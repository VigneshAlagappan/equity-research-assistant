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25725"/>
</workbook>
</file>

<file path=xl/calcChain.xml><?xml version="1.0" encoding="utf-8"?>
<calcChain xmlns="http://schemas.openxmlformats.org/spreadsheetml/2006/main">
  <c r="S20" i="18"/>
  <c r="T20" s="1"/>
  <c r="U20" s="1"/>
  <c r="V20" s="1"/>
  <c r="W20" s="1"/>
  <c r="X20" s="1"/>
  <c r="Y20" s="1"/>
  <c r="Z20" s="1"/>
  <c r="AA20" s="1"/>
  <c r="AB20" s="1"/>
  <c r="AC20" s="1"/>
  <c r="S21"/>
  <c r="T21"/>
  <c r="U21" s="1"/>
  <c r="V21" s="1"/>
  <c r="W21" s="1"/>
  <c r="X21" s="1"/>
  <c r="Y21" s="1"/>
  <c r="Z21" s="1"/>
  <c r="AA21" s="1"/>
  <c r="AB21" s="1"/>
  <c r="AC21" s="1"/>
  <c r="S22"/>
  <c r="T22" s="1"/>
  <c r="U22" s="1"/>
  <c r="V22" s="1"/>
  <c r="W22" s="1"/>
  <c r="X22" s="1"/>
  <c r="Y22" s="1"/>
  <c r="Z22" s="1"/>
  <c r="AA22" s="1"/>
  <c r="AB22" s="1"/>
  <c r="AC22" s="1"/>
  <c r="V19"/>
  <c r="W19" s="1"/>
  <c r="X19" s="1"/>
  <c r="Y19" s="1"/>
  <c r="Z19" s="1"/>
  <c r="AA19" s="1"/>
  <c r="AB19" s="1"/>
  <c r="AC19" s="1"/>
  <c r="U19"/>
  <c r="T19"/>
  <c r="S19"/>
  <c r="AC7"/>
  <c r="AC73"/>
  <c r="AC72"/>
  <c r="AC71"/>
  <c r="AC70"/>
  <c r="AC69"/>
  <c r="AC50"/>
  <c r="AC51"/>
  <c r="AC49"/>
  <c r="AC48"/>
  <c r="AC47"/>
  <c r="AC46"/>
  <c r="AC45"/>
  <c r="AC41"/>
  <c r="AC40"/>
  <c r="AC42"/>
  <c r="AC39"/>
  <c r="AC38"/>
  <c r="AC35"/>
  <c r="AC34"/>
  <c r="AC32"/>
  <c r="AC31"/>
  <c r="AC30"/>
  <c r="AC26"/>
  <c r="AC29"/>
  <c r="AC24"/>
  <c r="AC17"/>
  <c r="AC15"/>
  <c r="AC14"/>
  <c r="AC13"/>
  <c r="AC12"/>
  <c r="AC11"/>
  <c r="AC8"/>
  <c r="O29"/>
  <c r="O70" s="1"/>
  <c r="O30"/>
  <c r="O31"/>
  <c r="O32"/>
  <c r="O34"/>
  <c r="O35"/>
  <c r="O36"/>
  <c r="O38"/>
  <c r="O39"/>
  <c r="O41"/>
  <c r="O42"/>
  <c r="O71"/>
  <c r="O73"/>
  <c r="U17"/>
  <c r="V17" s="1"/>
  <c r="W17" s="1"/>
  <c r="X17" s="1"/>
  <c r="Y17" s="1"/>
  <c r="Z17" s="1"/>
  <c r="AA17" s="1"/>
  <c r="AB17" s="1"/>
  <c r="T17"/>
  <c r="S17"/>
  <c r="Q17"/>
  <c r="O40" l="1"/>
  <c r="O72" s="1"/>
  <c r="D36"/>
  <c r="E36"/>
  <c r="F36"/>
  <c r="G36"/>
  <c r="H36"/>
  <c r="I36"/>
  <c r="J36"/>
  <c r="K36"/>
  <c r="L36"/>
  <c r="M36"/>
  <c r="N36"/>
  <c r="P36"/>
  <c r="C36"/>
  <c r="C35"/>
  <c r="Q36" l="1"/>
  <c r="Q46"/>
  <c r="Q47"/>
  <c r="Q48"/>
  <c r="Q49"/>
  <c r="Q50"/>
  <c r="Q51"/>
  <c r="Q45"/>
  <c r="Q24"/>
  <c r="Q21"/>
  <c r="Q22"/>
  <c r="Q19"/>
  <c r="Q8"/>
  <c r="Q10"/>
  <c r="Q11"/>
  <c r="Q12"/>
  <c r="Q13"/>
  <c r="Q14"/>
  <c r="Q15"/>
  <c r="Q7"/>
  <c r="Q20"/>
  <c r="D35"/>
  <c r="E35"/>
  <c r="F35"/>
  <c r="G35"/>
  <c r="H35"/>
  <c r="I35"/>
  <c r="J35"/>
  <c r="K35"/>
  <c r="L35"/>
  <c r="M35"/>
  <c r="N35"/>
  <c r="P35"/>
  <c r="S35" s="1"/>
  <c r="T35" s="1"/>
  <c r="U35" s="1"/>
  <c r="V35" s="1"/>
  <c r="W35" s="1"/>
  <c r="X35" s="1"/>
  <c r="Y35" s="1"/>
  <c r="Z35" s="1"/>
  <c r="AA35" s="1"/>
  <c r="AB35" s="1"/>
  <c r="D34"/>
  <c r="E34"/>
  <c r="F34"/>
  <c r="G34"/>
  <c r="H34"/>
  <c r="I34"/>
  <c r="J34"/>
  <c r="K34"/>
  <c r="L34"/>
  <c r="M34"/>
  <c r="N34"/>
  <c r="P34"/>
  <c r="S34" s="1"/>
  <c r="T34" s="1"/>
  <c r="U34" s="1"/>
  <c r="V34" s="1"/>
  <c r="W34" s="1"/>
  <c r="X34" s="1"/>
  <c r="Y34" s="1"/>
  <c r="Z34" s="1"/>
  <c r="AA34" s="1"/>
  <c r="AB34" s="1"/>
  <c r="C34"/>
  <c r="Q35" l="1"/>
  <c r="Q34"/>
  <c r="S62"/>
  <c r="S61"/>
  <c r="C45" i="15"/>
  <c r="Q26" i="18"/>
  <c r="S49" l="1"/>
  <c r="T49" s="1"/>
  <c r="U49" s="1"/>
  <c r="V49" s="1"/>
  <c r="W49" s="1"/>
  <c r="X49" s="1"/>
  <c r="Y49" s="1"/>
  <c r="Z49" s="1"/>
  <c r="AA49" s="1"/>
  <c r="AB49" s="1"/>
  <c r="Q69"/>
  <c r="S69" s="1"/>
  <c r="T69" s="1"/>
  <c r="U69" s="1"/>
  <c r="V69" s="1"/>
  <c r="W69" s="1"/>
  <c r="X69" s="1"/>
  <c r="Y69" s="1"/>
  <c r="Z69" s="1"/>
  <c r="AA69" s="1"/>
  <c r="AB69" s="1"/>
  <c r="D73"/>
  <c r="E73"/>
  <c r="F73"/>
  <c r="G73"/>
  <c r="H73"/>
  <c r="I73"/>
  <c r="J73"/>
  <c r="K73"/>
  <c r="C73"/>
  <c r="D72"/>
  <c r="E72"/>
  <c r="F72"/>
  <c r="G72"/>
  <c r="H72"/>
  <c r="I72"/>
  <c r="J72"/>
  <c r="K72"/>
  <c r="C72"/>
  <c r="D71"/>
  <c r="E71"/>
  <c r="F71"/>
  <c r="G71"/>
  <c r="H71"/>
  <c r="I71"/>
  <c r="J71"/>
  <c r="K71"/>
  <c r="C71"/>
  <c r="D70"/>
  <c r="E70"/>
  <c r="F70"/>
  <c r="G70"/>
  <c r="H70"/>
  <c r="I70"/>
  <c r="J70"/>
  <c r="K70"/>
  <c r="C70"/>
  <c r="C29"/>
  <c r="D29"/>
  <c r="E29"/>
  <c r="F29"/>
  <c r="G29"/>
  <c r="H29"/>
  <c r="I29"/>
  <c r="J29"/>
  <c r="K29"/>
  <c r="L29"/>
  <c r="M29"/>
  <c r="M70" s="1"/>
  <c r="N29"/>
  <c r="P29"/>
  <c r="P70" s="1"/>
  <c r="D42"/>
  <c r="E42"/>
  <c r="F42"/>
  <c r="G42"/>
  <c r="H42"/>
  <c r="I42"/>
  <c r="J42"/>
  <c r="K42"/>
  <c r="L42"/>
  <c r="L73" s="1"/>
  <c r="M42"/>
  <c r="M73" s="1"/>
  <c r="N42"/>
  <c r="P42"/>
  <c r="D41"/>
  <c r="E41"/>
  <c r="F41"/>
  <c r="G41"/>
  <c r="H41"/>
  <c r="I41"/>
  <c r="J41"/>
  <c r="K41"/>
  <c r="L41"/>
  <c r="M41"/>
  <c r="N41"/>
  <c r="P41"/>
  <c r="D40"/>
  <c r="H40"/>
  <c r="D39"/>
  <c r="E39"/>
  <c r="F39"/>
  <c r="G39"/>
  <c r="H39"/>
  <c r="I39"/>
  <c r="J39"/>
  <c r="K39"/>
  <c r="L39"/>
  <c r="M39"/>
  <c r="N39"/>
  <c r="P39"/>
  <c r="D38"/>
  <c r="E38"/>
  <c r="E40" s="1"/>
  <c r="F38"/>
  <c r="F40" s="1"/>
  <c r="G38"/>
  <c r="G40" s="1"/>
  <c r="H38"/>
  <c r="I38"/>
  <c r="I40" s="1"/>
  <c r="J38"/>
  <c r="J40" s="1"/>
  <c r="K38"/>
  <c r="K40" s="1"/>
  <c r="L38"/>
  <c r="L40" s="1"/>
  <c r="L72" s="1"/>
  <c r="M38"/>
  <c r="N38"/>
  <c r="P38"/>
  <c r="D32"/>
  <c r="E32"/>
  <c r="F32"/>
  <c r="G32"/>
  <c r="H32"/>
  <c r="I32"/>
  <c r="J32"/>
  <c r="K32"/>
  <c r="L32"/>
  <c r="M32"/>
  <c r="N32"/>
  <c r="P32"/>
  <c r="D31"/>
  <c r="E31"/>
  <c r="F31"/>
  <c r="G31"/>
  <c r="H31"/>
  <c r="I31"/>
  <c r="J31"/>
  <c r="K31"/>
  <c r="L31"/>
  <c r="L71" s="1"/>
  <c r="M31"/>
  <c r="M71" s="1"/>
  <c r="N31"/>
  <c r="P31"/>
  <c r="C42"/>
  <c r="C41"/>
  <c r="C39"/>
  <c r="C38"/>
  <c r="C40" s="1"/>
  <c r="C32"/>
  <c r="C31"/>
  <c r="D30"/>
  <c r="E30"/>
  <c r="F30"/>
  <c r="G30"/>
  <c r="H30"/>
  <c r="I30"/>
  <c r="J30"/>
  <c r="K30"/>
  <c r="L30"/>
  <c r="M30"/>
  <c r="N30"/>
  <c r="P30"/>
  <c r="C30"/>
  <c r="S14"/>
  <c r="T14" s="1"/>
  <c r="U14" s="1"/>
  <c r="V14" s="1"/>
  <c r="W14" s="1"/>
  <c r="X14" s="1"/>
  <c r="Y14" s="1"/>
  <c r="Z14" s="1"/>
  <c r="AA14" s="1"/>
  <c r="AB14" s="1"/>
  <c r="S15"/>
  <c r="T15" s="1"/>
  <c r="U15" s="1"/>
  <c r="V15" s="1"/>
  <c r="W15" s="1"/>
  <c r="X15" s="1"/>
  <c r="Y15" s="1"/>
  <c r="Z15" s="1"/>
  <c r="AA15" s="1"/>
  <c r="AB15" s="1"/>
  <c r="S24"/>
  <c r="T24" s="1"/>
  <c r="U24" s="1"/>
  <c r="V24" s="1"/>
  <c r="W24" s="1"/>
  <c r="X24" s="1"/>
  <c r="Y24" s="1"/>
  <c r="Z24" s="1"/>
  <c r="AA24" s="1"/>
  <c r="AB24" s="1"/>
  <c r="S11"/>
  <c r="T11" s="1"/>
  <c r="U11" s="1"/>
  <c r="V11" s="1"/>
  <c r="W11" s="1"/>
  <c r="X11" s="1"/>
  <c r="Y11" s="1"/>
  <c r="Z11" s="1"/>
  <c r="AA11" s="1"/>
  <c r="AB11" s="1"/>
  <c r="S12"/>
  <c r="T12" s="1"/>
  <c r="U12" s="1"/>
  <c r="V12" s="1"/>
  <c r="W12" s="1"/>
  <c r="X12" s="1"/>
  <c r="Y12" s="1"/>
  <c r="Z12" s="1"/>
  <c r="AA12" s="1"/>
  <c r="AB12" s="1"/>
  <c r="S13"/>
  <c r="T13" s="1"/>
  <c r="U13" s="1"/>
  <c r="V13" s="1"/>
  <c r="W13" s="1"/>
  <c r="X13" s="1"/>
  <c r="Y13" s="1"/>
  <c r="Z13" s="1"/>
  <c r="AA13" s="1"/>
  <c r="AB13" s="1"/>
  <c r="S8"/>
  <c r="T8" s="1"/>
  <c r="U8" s="1"/>
  <c r="V8" s="1"/>
  <c r="W8" s="1"/>
  <c r="X8" s="1"/>
  <c r="Y8" s="1"/>
  <c r="Z8" s="1"/>
  <c r="AA8" s="1"/>
  <c r="AB8" s="1"/>
  <c r="S7"/>
  <c r="T7" s="1"/>
  <c r="U7" s="1"/>
  <c r="V7" s="1"/>
  <c r="W7" s="1"/>
  <c r="X7" s="1"/>
  <c r="Y7" s="1"/>
  <c r="Z7" s="1"/>
  <c r="AA7" s="1"/>
  <c r="AB7" s="1"/>
  <c r="Q30" l="1"/>
  <c r="N71"/>
  <c r="Q31"/>
  <c r="Q32"/>
  <c r="Q38"/>
  <c r="Q39"/>
  <c r="N70"/>
  <c r="Q29"/>
  <c r="Q41"/>
  <c r="N73"/>
  <c r="Q42"/>
  <c r="S41"/>
  <c r="T41" s="1"/>
  <c r="U41" s="1"/>
  <c r="V41" s="1"/>
  <c r="W41" s="1"/>
  <c r="X41" s="1"/>
  <c r="Y41" s="1"/>
  <c r="Z41" s="1"/>
  <c r="AA41" s="1"/>
  <c r="AB41" s="1"/>
  <c r="S42"/>
  <c r="T42" s="1"/>
  <c r="U42" s="1"/>
  <c r="V42" s="1"/>
  <c r="W42" s="1"/>
  <c r="X42" s="1"/>
  <c r="Y42" s="1"/>
  <c r="Z42" s="1"/>
  <c r="AA42" s="1"/>
  <c r="AB42" s="1"/>
  <c r="S32"/>
  <c r="T32" s="1"/>
  <c r="U32" s="1"/>
  <c r="V32" s="1"/>
  <c r="W32" s="1"/>
  <c r="X32" s="1"/>
  <c r="Y32" s="1"/>
  <c r="Z32" s="1"/>
  <c r="AA32" s="1"/>
  <c r="AB32" s="1"/>
  <c r="P71"/>
  <c r="S38"/>
  <c r="T38" s="1"/>
  <c r="U38" s="1"/>
  <c r="V38" s="1"/>
  <c r="W38" s="1"/>
  <c r="X38" s="1"/>
  <c r="Y38" s="1"/>
  <c r="Z38" s="1"/>
  <c r="AA38" s="1"/>
  <c r="AB38" s="1"/>
  <c r="L70"/>
  <c r="Q70"/>
  <c r="S70" s="1"/>
  <c r="T70" s="1"/>
  <c r="U70" s="1"/>
  <c r="V70" s="1"/>
  <c r="W70" s="1"/>
  <c r="X70" s="1"/>
  <c r="Y70" s="1"/>
  <c r="Z70" s="1"/>
  <c r="AA70" s="1"/>
  <c r="AB70" s="1"/>
  <c r="N40"/>
  <c r="S39"/>
  <c r="T39" s="1"/>
  <c r="U39" s="1"/>
  <c r="V39" s="1"/>
  <c r="W39" s="1"/>
  <c r="X39" s="1"/>
  <c r="Y39" s="1"/>
  <c r="Z39" s="1"/>
  <c r="AA39" s="1"/>
  <c r="AB39" s="1"/>
  <c r="M40"/>
  <c r="M72" s="1"/>
  <c r="P73"/>
  <c r="Q73" s="1"/>
  <c r="S73" s="1"/>
  <c r="T73" s="1"/>
  <c r="U73" s="1"/>
  <c r="V73" s="1"/>
  <c r="W73" s="1"/>
  <c r="X73" s="1"/>
  <c r="Y73" s="1"/>
  <c r="Z73" s="1"/>
  <c r="AA73" s="1"/>
  <c r="AB73" s="1"/>
  <c r="Q71"/>
  <c r="S71" s="1"/>
  <c r="T71" s="1"/>
  <c r="U71" s="1"/>
  <c r="V71" s="1"/>
  <c r="W71" s="1"/>
  <c r="X71" s="1"/>
  <c r="Y71" s="1"/>
  <c r="Z71" s="1"/>
  <c r="AA71" s="1"/>
  <c r="AB71" s="1"/>
  <c r="P40"/>
  <c r="S50"/>
  <c r="T50" s="1"/>
  <c r="U50" s="1"/>
  <c r="V50" s="1"/>
  <c r="W50" s="1"/>
  <c r="X50" s="1"/>
  <c r="Y50" s="1"/>
  <c r="Z50" s="1"/>
  <c r="AA50" s="1"/>
  <c r="AB50" s="1"/>
  <c r="S51"/>
  <c r="T51" s="1"/>
  <c r="U51" s="1"/>
  <c r="V51" s="1"/>
  <c r="W51" s="1"/>
  <c r="X51" s="1"/>
  <c r="Y51" s="1"/>
  <c r="Z51" s="1"/>
  <c r="AA51" s="1"/>
  <c r="AB51" s="1"/>
  <c r="S26"/>
  <c r="T26" s="1"/>
  <c r="U26" s="1"/>
  <c r="V26" s="1"/>
  <c r="W26" s="1"/>
  <c r="X26" s="1"/>
  <c r="Y26" s="1"/>
  <c r="Z26" s="1"/>
  <c r="AA26" s="1"/>
  <c r="AB26" s="1"/>
  <c r="C6" i="12"/>
  <c r="C25" i="15"/>
  <c r="C57"/>
  <c r="C56"/>
  <c r="C53"/>
  <c r="C52"/>
  <c r="C49"/>
  <c r="C48"/>
  <c r="C44"/>
  <c r="N72" i="18" l="1"/>
  <c r="Q40"/>
  <c r="P72"/>
  <c r="Q72" s="1"/>
  <c r="S72" s="1"/>
  <c r="T72" s="1"/>
  <c r="U72" s="1"/>
  <c r="V72" s="1"/>
  <c r="W72" s="1"/>
  <c r="X72" s="1"/>
  <c r="Y72" s="1"/>
  <c r="Z72" s="1"/>
  <c r="AA72" s="1"/>
  <c r="AB72" s="1"/>
  <c r="S40"/>
  <c r="T40" s="1"/>
  <c r="U40" s="1"/>
  <c r="V40" s="1"/>
  <c r="W40" s="1"/>
  <c r="X40" s="1"/>
  <c r="Y40" s="1"/>
  <c r="Z40" s="1"/>
  <c r="AA40" s="1"/>
  <c r="AB40" s="1"/>
  <c r="S48"/>
  <c r="T48" s="1"/>
  <c r="U48" s="1"/>
  <c r="V48" s="1"/>
  <c r="W48" s="1"/>
  <c r="X48" s="1"/>
  <c r="Y48" s="1"/>
  <c r="Z48" s="1"/>
  <c r="AA48" s="1"/>
  <c r="AB48" s="1"/>
  <c r="S31"/>
  <c r="T31" s="1"/>
  <c r="U31" s="1"/>
  <c r="V31" s="1"/>
  <c r="W31" s="1"/>
  <c r="X31" s="1"/>
  <c r="Y31" s="1"/>
  <c r="Z31" s="1"/>
  <c r="AA31" s="1"/>
  <c r="AB31" s="1"/>
  <c r="S45"/>
  <c r="T45" s="1"/>
  <c r="U45" s="1"/>
  <c r="V45" s="1"/>
  <c r="W45" s="1"/>
  <c r="X45" s="1"/>
  <c r="Y45" s="1"/>
  <c r="Z45" s="1"/>
  <c r="AA45" s="1"/>
  <c r="AB45" s="1"/>
  <c r="S29"/>
  <c r="T29" s="1"/>
  <c r="U29" s="1"/>
  <c r="V29" s="1"/>
  <c r="W29" s="1"/>
  <c r="X29" s="1"/>
  <c r="Y29" s="1"/>
  <c r="Z29" s="1"/>
  <c r="AA29" s="1"/>
  <c r="AB29" s="1"/>
  <c r="S47"/>
  <c r="T47" s="1"/>
  <c r="U47" s="1"/>
  <c r="V47" s="1"/>
  <c r="W47" s="1"/>
  <c r="X47" s="1"/>
  <c r="Y47" s="1"/>
  <c r="Z47" s="1"/>
  <c r="AA47" s="1"/>
  <c r="AB47" s="1"/>
  <c r="S46"/>
  <c r="T46" s="1"/>
  <c r="U46" s="1"/>
  <c r="V46" s="1"/>
  <c r="W46" s="1"/>
  <c r="X46" s="1"/>
  <c r="Y46" s="1"/>
  <c r="Z46" s="1"/>
  <c r="AA46" s="1"/>
  <c r="AB46" s="1"/>
  <c r="S64"/>
  <c r="S30"/>
  <c r="T30" s="1"/>
  <c r="U30" s="1"/>
  <c r="V30" s="1"/>
  <c r="W30" s="1"/>
  <c r="X30" s="1"/>
  <c r="Y30" s="1"/>
  <c r="Z30" s="1"/>
  <c r="AA30" s="1"/>
  <c r="AB30" s="1"/>
  <c r="C15" i="15"/>
  <c r="C20"/>
  <c r="C9"/>
  <c r="S55" i="18" l="1"/>
  <c r="S56"/>
  <c r="S66"/>
  <c r="S59"/>
  <c r="S58"/>
  <c r="S57"/>
  <c r="D31" i="8"/>
  <c r="D29"/>
  <c r="D28"/>
  <c r="D13"/>
  <c r="D30" s="1"/>
  <c r="E14"/>
  <c r="F14" s="1"/>
  <c r="G14" s="1"/>
  <c r="H14" s="1"/>
  <c r="I14" s="1"/>
  <c r="K37" i="12" l="1"/>
  <c r="I7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G40" l="1"/>
  <c r="J25"/>
  <c r="J26" s="1"/>
  <c r="J27" s="1"/>
  <c r="J28" s="1"/>
  <c r="J29" s="1"/>
  <c r="J30" s="1"/>
  <c r="J31" s="1"/>
  <c r="J32" s="1"/>
  <c r="J33" s="1"/>
  <c r="J34" s="1"/>
  <c r="N10" i="11"/>
  <c r="H44"/>
  <c r="I41"/>
  <c r="F41"/>
  <c r="G41" s="1"/>
  <c r="K41" s="1"/>
  <c r="I40"/>
  <c r="F40"/>
  <c r="G40" s="1"/>
  <c r="K40" s="1"/>
  <c r="I39"/>
  <c r="G39"/>
  <c r="K39" s="1"/>
  <c r="F39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42"/>
  <c r="O32"/>
  <c r="P32"/>
  <c r="P31"/>
  <c r="O31"/>
  <c r="N33"/>
  <c r="N34" s="1"/>
  <c r="N35" s="1"/>
  <c r="N36" s="1"/>
  <c r="N37" s="1"/>
  <c r="N38" s="1"/>
  <c r="N39" s="1"/>
  <c r="N40" s="1"/>
  <c r="N41" s="1"/>
  <c r="N32"/>
  <c r="N31"/>
  <c r="M34"/>
  <c r="M35"/>
  <c r="M36"/>
  <c r="M37"/>
  <c r="M38" s="1"/>
  <c r="M39" s="1"/>
  <c r="M40" s="1"/>
  <c r="M41" s="1"/>
  <c r="M33"/>
  <c r="M45"/>
  <c r="M32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P31" i="11" l="1"/>
  <c r="N32"/>
  <c r="T19" i="9"/>
  <c r="D22"/>
  <c r="N33" i="11" l="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N34" i="11" l="1"/>
  <c r="O33"/>
  <c r="D25" i="8"/>
  <c r="D23"/>
  <c r="N35" i="11" l="1"/>
  <c r="O34"/>
  <c r="D35" i="8"/>
  <c r="E5"/>
  <c r="E18" s="1"/>
  <c r="D18"/>
  <c r="D19"/>
  <c r="D21"/>
  <c r="D20"/>
  <c r="N36" i="11" l="1"/>
  <c r="O35"/>
  <c r="F5" i="8"/>
  <c r="G5" s="1"/>
  <c r="H5" s="1"/>
  <c r="I5" s="1"/>
  <c r="N37" i="11" l="1"/>
  <c r="O36"/>
  <c r="F18" i="8"/>
  <c r="G18"/>
  <c r="N38" i="11" l="1"/>
  <c r="O37"/>
  <c r="H18" i="8"/>
  <c r="N39" i="11" l="1"/>
  <c r="O38"/>
  <c r="I18" i="8"/>
  <c r="N40" i="11" l="1"/>
  <c r="O39"/>
  <c r="N41" l="1"/>
  <c r="O40"/>
  <c r="N42" l="1"/>
  <c r="O41"/>
</calcChain>
</file>

<file path=xl/sharedStrings.xml><?xml version="1.0" encoding="utf-8"?>
<sst xmlns="http://schemas.openxmlformats.org/spreadsheetml/2006/main" count="424" uniqueCount="282">
  <si>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</si>
  <si>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</si>
  <si>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</si>
  <si>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</si>
  <si>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</si>
  <si>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</si>
  <si>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</si>
  <si>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</si>
  <si>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</si>
  <si>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</si>
  <si>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</si>
  <si>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</si>
  <si>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</si>
  <si>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</si>
  <si>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</si>
  <si>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</si>
  <si>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</si>
  <si>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</si>
  <si>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</si>
  <si>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</si>
  <si>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</si>
  <si>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</si>
  <si>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</si>
  <si>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</si>
  <si>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</si>
  <si>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</si>
  <si>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</si>
  <si>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</si>
  <si>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</si>
  <si>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</si>
  <si>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</si>
  <si>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</si>
  <si>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</si>
  <si>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</si>
  <si>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</si>
  <si>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</si>
  <si>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</si>
  <si>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</si>
  <si>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</si>
  <si>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</si>
  <si>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</si>
  <si>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</si>
  <si>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</si>
  <si>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</si>
  <si>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</si>
  <si>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</si>
  <si>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</si>
  <si>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</si>
  <si>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</si>
  <si>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</si>
  <si>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</si>
  <si>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</si>
  <si>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</si>
  <si>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</si>
  <si>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</si>
  <si>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</si>
  <si>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</si>
  <si>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</si>
  <si>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</si>
  <si>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</si>
  <si>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</si>
  <si>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</si>
  <si>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</si>
  <si>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</si>
  <si>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</si>
  <si>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</si>
  <si>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</si>
  <si>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</si>
  <si>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</si>
  <si>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</si>
  <si>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</si>
  <si>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</si>
  <si>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</si>
  <si>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</si>
  <si>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</si>
  <si>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</si>
  <si>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</si>
  <si>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</si>
  <si>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</si>
  <si>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</si>
  <si>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</si>
  <si>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</si>
  <si>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</si>
  <si>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</si>
  <si>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</si>
  <si>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</si>
  <si>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</si>
  <si>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</si>
  <si>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</si>
  <si>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</si>
  <si>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</si>
  <si>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</si>
  <si>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</si>
  <si>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</si>
  <si>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</si>
  <si>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</si>
  <si>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</si>
  <si>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</si>
  <si>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</si>
  <si>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</si>
  <si>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</si>
  <si>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</si>
  <si>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</si>
  <si>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</si>
  <si>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</si>
  <si>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</si>
  <si>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</si>
  <si>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</si>
  <si>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</si>
  <si>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</si>
  <si>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</si>
  <si>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</si>
  <si>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</si>
  <si>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</si>
  <si>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</si>
  <si>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</si>
  <si>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</si>
  <si>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</si>
  <si>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</si>
  <si>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</si>
  <si>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</si>
  <si>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</si>
  <si>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</si>
  <si>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</si>
  <si>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</si>
  <si>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</si>
  <si>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</si>
  <si>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</si>
  <si>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</si>
  <si>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</si>
  <si>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</si>
  <si>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</si>
  <si>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</si>
  <si>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</si>
  <si>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</si>
  <si>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</si>
  <si>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</si>
  <si>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</si>
  <si>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</si>
  <si>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</si>
  <si>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</si>
  <si>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</si>
  <si>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</si>
  <si>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</si>
  <si>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</si>
  <si>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</si>
  <si>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</si>
  <si>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</si>
  <si>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</si>
  <si>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</si>
  <si>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</si>
  <si>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</si>
  <si>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</si>
  <si>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</si>
  <si>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</si>
  <si>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</si>
  <si>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</si>
  <si>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</si>
  <si>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</si>
  <si>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</si>
  <si>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</si>
  <si>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</si>
  <si>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</si>
  <si>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</si>
  <si>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</si>
  <si>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</si>
  <si>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</si>
  <si>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</si>
  <si>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</si>
  <si>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</si>
  <si>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</si>
  <si>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</si>
  <si>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</si>
  <si>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</si>
  <si>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</si>
  <si>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</si>
  <si>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</si>
  <si>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</si>
  <si>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</si>
  <si>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</si>
  <si>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</si>
  <si>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</si>
  <si>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</si>
  <si>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</si>
  <si>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</si>
  <si>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</si>
  <si>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</si>
  <si>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</si>
  <si>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</si>
  <si>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</si>
  <si>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</si>
  <si>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</si>
  <si>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</si>
  <si>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</si>
  <si>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</si>
  <si>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</si>
  <si>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</si>
  <si>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</si>
  <si>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</si>
  <si>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</si>
  <si>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</si>
  <si>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</si>
  <si>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</si>
  <si>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</si>
  <si>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</si>
  <si>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</si>
  <si>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</si>
  <si>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</si>
  <si>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</si>
  <si>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</si>
  <si>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</si>
  <si>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</si>
  <si>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</si>
  <si>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</si>
  <si>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</si>
  <si>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</si>
  <si>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</si>
  <si>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</si>
  <si>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</si>
  <si>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</si>
  <si>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</si>
  <si>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</si>
  <si>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</si>
  <si>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</si>
  <si>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</si>
  <si>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</si>
  <si>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</si>
  <si>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</si>
  <si>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</si>
  <si>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</si>
  <si>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</si>
  <si>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</si>
  <si>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</si>
  <si>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</si>
  <si>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</si>
  <si>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</si>
  <si>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</si>
  <si>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</si>
  <si>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</si>
  <si>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</si>
  <si>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</si>
  <si>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</si>
  <si>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</si>
  <si>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</si>
  <si>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</si>
  <si>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</si>
  <si>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</si>
  <si>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</si>
  <si>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</si>
  <si>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</si>
  <si>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</si>
  <si>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</si>
  <si>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</si>
  <si>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</si>
  <si>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</si>
  <si>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</si>
  <si>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</si>
  <si>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</si>
  <si>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</si>
  <si>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</si>
  <si>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</si>
  <si>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</si>
  <si>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</si>
  <si>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DB Reality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</si>
  <si>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</si>
  <si>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</si>
  <si>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</si>
  <si>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</si>
  <si>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</si>
  <si>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</si>
  <si>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</si>
  <si>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Top Expenses ( Employee )</t>
  </si>
  <si>
    <t>2nd highest Expenses Comp. ( others )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</si>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</sst>
</file>

<file path=xl/styles.xml><?xml version="1.0" encoding="utf-8"?>
<styleSheet xmlns="http://schemas.openxmlformats.org/spreadsheetml/2006/main">
  <numFmts count="12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[$₹-861]#,##0.00;[Red]\-[$₹-861]#,##0.00"/>
    <numFmt numFmtId="169" formatCode="[$₹-861]#,##0;[Red]\-[$₹-861]#,##0"/>
    <numFmt numFmtId="170" formatCode="0.0%"/>
    <numFmt numFmtId="171" formatCode="_-[$₹-861]* #,##0.00_-;\-[$₹-861]* #,##0.00_-;_-[$₹-861]* &quot;-&quot;??_-;_-@_-"/>
    <numFmt numFmtId="172" formatCode="_-[$₹-861]* #,##0_-;\-[$₹-861]* #,##0_-;_-[$₹-861]* &quot;-&quot;??_-;_-@_-"/>
    <numFmt numFmtId="173" formatCode="0.000"/>
    <numFmt numFmtId="174" formatCode="0.0"/>
    <numFmt numFmtId="175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6" fontId="2" fillId="6" borderId="0" xfId="2" applyNumberFormat="1" applyFont="1" applyFill="1"/>
    <xf numFmtId="166" fontId="2" fillId="5" borderId="0" xfId="2" applyNumberFormat="1" applyFont="1" applyFill="1"/>
    <xf numFmtId="1" fontId="2" fillId="5" borderId="0" xfId="2" applyNumberFormat="1" applyFont="1" applyFill="1"/>
    <xf numFmtId="166" fontId="2" fillId="6" borderId="1" xfId="2" applyNumberFormat="1" applyFont="1" applyFill="1" applyBorder="1"/>
    <xf numFmtId="167" fontId="2" fillId="5" borderId="1" xfId="0" applyNumberFormat="1" applyFont="1" applyFill="1" applyBorder="1"/>
    <xf numFmtId="165" fontId="2" fillId="5" borderId="0" xfId="0" applyNumberFormat="1" applyFont="1" applyFill="1"/>
    <xf numFmtId="165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6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8" fontId="4" fillId="5" borderId="1" xfId="0" applyNumberFormat="1" applyFont="1" applyFill="1" applyBorder="1"/>
    <xf numFmtId="168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9" fontId="4" fillId="6" borderId="1" xfId="0" applyNumberFormat="1" applyFont="1" applyFill="1" applyBorder="1"/>
    <xf numFmtId="168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70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70" fontId="2" fillId="8" borderId="1" xfId="0" applyNumberFormat="1" applyFont="1" applyFill="1" applyBorder="1"/>
    <xf numFmtId="2" fontId="2" fillId="8" borderId="1" xfId="1" applyNumberFormat="1" applyFont="1" applyFill="1" applyBorder="1"/>
    <xf numFmtId="170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9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6" fontId="2" fillId="5" borderId="1" xfId="2" applyNumberFormat="1" applyFont="1" applyFill="1" applyBorder="1"/>
    <xf numFmtId="166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2" fontId="2" fillId="5" borderId="1" xfId="2" applyNumberFormat="1" applyFont="1" applyFill="1" applyBorder="1" applyAlignment="1">
      <alignment horizontal="center"/>
    </xf>
    <xf numFmtId="171" fontId="0" fillId="5" borderId="1" xfId="2" applyNumberFormat="1" applyFont="1" applyFill="1" applyBorder="1"/>
    <xf numFmtId="171" fontId="0" fillId="5" borderId="1" xfId="0" applyNumberFormat="1" applyFill="1" applyBorder="1"/>
    <xf numFmtId="172" fontId="0" fillId="5" borderId="1" xfId="0" applyNumberFormat="1" applyFill="1" applyBorder="1"/>
    <xf numFmtId="166" fontId="2" fillId="5" borderId="10" xfId="2" applyNumberFormat="1" applyFont="1" applyFill="1" applyBorder="1"/>
    <xf numFmtId="166" fontId="2" fillId="5" borderId="11" xfId="2" applyNumberFormat="1" applyFont="1" applyFill="1" applyBorder="1"/>
    <xf numFmtId="172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2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6" fontId="0" fillId="5" borderId="10" xfId="2" applyNumberFormat="1" applyFont="1" applyFill="1" applyBorder="1"/>
    <xf numFmtId="166" fontId="0" fillId="5" borderId="11" xfId="2" applyNumberFormat="1" applyFont="1" applyFill="1" applyBorder="1"/>
    <xf numFmtId="171" fontId="0" fillId="5" borderId="11" xfId="2" applyNumberFormat="1" applyFont="1" applyFill="1" applyBorder="1"/>
    <xf numFmtId="171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6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3" fontId="4" fillId="5" borderId="1" xfId="0" applyNumberFormat="1" applyFont="1" applyFill="1" applyBorder="1"/>
    <xf numFmtId="9" fontId="4" fillId="6" borderId="1" xfId="0" applyNumberFormat="1" applyFont="1" applyFill="1" applyBorder="1"/>
    <xf numFmtId="174" fontId="4" fillId="5" borderId="1" xfId="0" applyNumberFormat="1" applyFont="1" applyFill="1" applyBorder="1"/>
    <xf numFmtId="175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71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6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2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" fontId="4" fillId="5" borderId="1" xfId="0" applyNumberFormat="1" applyFont="1" applyFill="1" applyBorder="1"/>
    <xf numFmtId="165" fontId="4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</c:ser>
        <c:marker val="1"/>
        <c:axId val="77380224"/>
        <c:axId val="77463936"/>
      </c:lineChart>
      <c:catAx>
        <c:axId val="77380224"/>
        <c:scaling>
          <c:orientation val="minMax"/>
        </c:scaling>
        <c:axPos val="b"/>
        <c:tickLblPos val="nextTo"/>
        <c:crossAx val="77463936"/>
        <c:crosses val="autoZero"/>
        <c:auto val="1"/>
        <c:lblAlgn val="ctr"/>
        <c:lblOffset val="100"/>
      </c:catAx>
      <c:valAx>
        <c:axId val="77463936"/>
        <c:scaling>
          <c:orientation val="minMax"/>
        </c:scaling>
        <c:axPos val="l"/>
        <c:majorGridlines/>
        <c:numFmt formatCode="General" sourceLinked="1"/>
        <c:tickLblPos val="nextTo"/>
        <c:crossAx val="7738022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3"/>
  <sheetViews>
    <sheetView topLeftCell="A34" zoomScale="80" zoomScaleNormal="80" workbookViewId="0">
      <selection activeCell="C70" sqref="C70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263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136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1">
        <v>125</v>
      </c>
      <c r="D7" s="20"/>
      <c r="E7" s="20"/>
      <c r="F7" s="20"/>
      <c r="G7" s="20"/>
    </row>
    <row r="8" spans="2:7">
      <c r="B8" s="20" t="s">
        <v>25</v>
      </c>
      <c r="C8" s="131">
        <v>136</v>
      </c>
      <c r="D8" s="20"/>
      <c r="E8" s="20"/>
      <c r="F8" s="20"/>
      <c r="G8" s="20"/>
    </row>
    <row r="9" spans="2:7">
      <c r="B9" s="20" t="s">
        <v>100</v>
      </c>
      <c r="C9" s="110">
        <f>C7/C8</f>
        <v>0.91911764705882348</v>
      </c>
      <c r="D9" s="20" t="s">
        <v>270</v>
      </c>
      <c r="E9" s="20"/>
      <c r="F9" s="20"/>
      <c r="G9" s="20"/>
    </row>
    <row r="10" spans="2:7">
      <c r="B10" s="20"/>
      <c r="C10" s="20"/>
      <c r="D10" s="20"/>
      <c r="E10" s="20"/>
      <c r="F10" s="20"/>
      <c r="G10" s="20"/>
    </row>
    <row r="11" spans="2:7">
      <c r="B11" s="108" t="s">
        <v>101</v>
      </c>
      <c r="C11" s="20"/>
      <c r="D11" s="20"/>
      <c r="E11" s="20"/>
      <c r="F11" s="20"/>
      <c r="G11" s="20"/>
    </row>
    <row r="12" spans="2:7">
      <c r="B12" s="20" t="s">
        <v>25</v>
      </c>
      <c r="C12" s="131">
        <v>136</v>
      </c>
      <c r="D12" s="20"/>
      <c r="E12" s="20"/>
      <c r="F12" s="20"/>
      <c r="G12" s="20"/>
    </row>
    <row r="13" spans="2:7">
      <c r="B13" s="20" t="s">
        <v>102</v>
      </c>
      <c r="C13" s="131">
        <v>136</v>
      </c>
      <c r="D13" s="20"/>
      <c r="E13" s="20"/>
      <c r="F13" s="20"/>
      <c r="G13" s="20"/>
    </row>
    <row r="14" spans="2:7">
      <c r="B14" s="20" t="s">
        <v>103</v>
      </c>
      <c r="C14" s="131">
        <v>100</v>
      </c>
      <c r="D14" s="20"/>
      <c r="E14" s="20"/>
      <c r="F14" s="20"/>
      <c r="G14" s="20"/>
    </row>
    <row r="15" spans="2:7">
      <c r="B15" s="20" t="s">
        <v>104</v>
      </c>
      <c r="C15" s="20">
        <f>C14*C12</f>
        <v>13600</v>
      </c>
      <c r="D15" s="20" t="s">
        <v>270</v>
      </c>
      <c r="E15" s="20"/>
      <c r="F15" s="20"/>
      <c r="G15" s="20"/>
    </row>
    <row r="16" spans="2:7">
      <c r="B16" s="20"/>
      <c r="C16" s="20"/>
      <c r="D16" s="20"/>
      <c r="E16" s="20"/>
      <c r="F16" s="20"/>
      <c r="G16" s="20"/>
    </row>
    <row r="17" spans="2:7">
      <c r="B17" s="108" t="s">
        <v>112</v>
      </c>
      <c r="C17" s="20"/>
      <c r="D17" s="20"/>
      <c r="E17" s="20"/>
      <c r="F17" s="20"/>
      <c r="G17" s="20"/>
    </row>
    <row r="18" spans="2:7">
      <c r="B18" s="20" t="s">
        <v>114</v>
      </c>
      <c r="C18" s="131">
        <v>136</v>
      </c>
      <c r="D18" s="20"/>
      <c r="E18" s="20"/>
      <c r="F18" s="20"/>
      <c r="G18" s="20"/>
    </row>
    <row r="19" spans="2:7">
      <c r="B19" s="20" t="s">
        <v>115</v>
      </c>
      <c r="C19" s="111">
        <v>0.08</v>
      </c>
      <c r="D19" s="20"/>
      <c r="E19" s="20"/>
      <c r="F19" s="20"/>
      <c r="G19" s="20"/>
    </row>
    <row r="20" spans="2:7">
      <c r="B20" s="20" t="s">
        <v>116</v>
      </c>
      <c r="C20" s="112">
        <f>C18/C19</f>
        <v>1700</v>
      </c>
      <c r="D20" s="20" t="s">
        <v>270</v>
      </c>
      <c r="E20" s="20"/>
      <c r="F20" s="20"/>
      <c r="G20" s="20"/>
    </row>
    <row r="21" spans="2:7">
      <c r="B21" s="20"/>
      <c r="C21" s="20"/>
      <c r="D21" s="20"/>
      <c r="E21" s="20"/>
      <c r="F21" s="20"/>
      <c r="G21" s="20"/>
    </row>
    <row r="22" spans="2:7">
      <c r="B22" s="108" t="s">
        <v>227</v>
      </c>
      <c r="C22" s="20"/>
      <c r="D22" s="20"/>
      <c r="E22" s="20"/>
      <c r="F22" s="20"/>
      <c r="G22" s="20"/>
    </row>
    <row r="23" spans="2:7">
      <c r="B23" s="20" t="s">
        <v>99</v>
      </c>
      <c r="C23" s="131">
        <v>125</v>
      </c>
      <c r="D23" s="20"/>
      <c r="E23" s="20"/>
      <c r="F23" s="20"/>
      <c r="G23" s="20"/>
    </row>
    <row r="24" spans="2:7">
      <c r="B24" s="20" t="s">
        <v>114</v>
      </c>
      <c r="C24" s="131">
        <v>136</v>
      </c>
      <c r="D24" s="20"/>
      <c r="E24" s="20"/>
      <c r="F24" s="20"/>
      <c r="G24" s="20"/>
    </row>
    <row r="25" spans="2:7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>
      <c r="B26" s="20" t="s">
        <v>77</v>
      </c>
      <c r="C26" s="131">
        <v>136</v>
      </c>
      <c r="D26" s="20"/>
      <c r="E26" s="20"/>
      <c r="F26" s="20"/>
      <c r="G26" s="20"/>
    </row>
    <row r="27" spans="2:7">
      <c r="B27" s="20" t="s">
        <v>229</v>
      </c>
      <c r="C27" s="132">
        <v>1</v>
      </c>
      <c r="D27" s="20"/>
      <c r="E27" s="20"/>
      <c r="F27" s="20"/>
      <c r="G27" s="20"/>
    </row>
    <row r="28" spans="2:7">
      <c r="B28" s="20" t="s">
        <v>230</v>
      </c>
      <c r="C28" s="22">
        <v>139.13</v>
      </c>
      <c r="D28" s="20"/>
      <c r="E28" s="20"/>
      <c r="F28" s="20"/>
      <c r="G28" s="20"/>
    </row>
    <row r="29" spans="2:7">
      <c r="B29" s="20" t="s">
        <v>231</v>
      </c>
      <c r="C29" s="133">
        <v>2.5499999999999998E-2</v>
      </c>
      <c r="D29" s="20"/>
      <c r="E29" s="20"/>
      <c r="F29" s="20"/>
      <c r="G29" s="20"/>
    </row>
    <row r="30" spans="2:7">
      <c r="B30" s="20" t="s">
        <v>232</v>
      </c>
      <c r="C30" s="133">
        <v>3.1899999999999998E-2</v>
      </c>
      <c r="D30" s="20"/>
      <c r="E30" s="20"/>
      <c r="F30" s="20"/>
      <c r="G30" s="20"/>
    </row>
    <row r="31" spans="2:7">
      <c r="B31" s="20" t="s">
        <v>233</v>
      </c>
      <c r="C31" s="133"/>
      <c r="D31" s="20"/>
      <c r="E31" s="20"/>
      <c r="F31" s="20"/>
      <c r="G31" s="20"/>
    </row>
    <row r="32" spans="2:7">
      <c r="B32" s="20" t="s">
        <v>269</v>
      </c>
      <c r="C32" s="133">
        <v>3.44E-2</v>
      </c>
      <c r="D32" s="20"/>
      <c r="E32" s="20"/>
      <c r="F32" s="20"/>
      <c r="G32" s="20"/>
    </row>
    <row r="33" spans="2:7">
      <c r="B33" s="20" t="s">
        <v>268</v>
      </c>
      <c r="C33" s="133">
        <v>0.1241</v>
      </c>
      <c r="D33" s="20"/>
      <c r="E33" s="20"/>
      <c r="F33" s="20"/>
      <c r="G33" s="20"/>
    </row>
    <row r="34" spans="2:7">
      <c r="B34" s="20"/>
      <c r="C34" s="20"/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108" t="s">
        <v>187</v>
      </c>
      <c r="C36" s="20"/>
      <c r="D36" s="20"/>
      <c r="E36" s="20"/>
      <c r="F36" s="20"/>
      <c r="G36" s="20"/>
    </row>
    <row r="37" spans="2:7">
      <c r="B37" s="20" t="s">
        <v>215</v>
      </c>
      <c r="C37" s="131">
        <v>3141.2</v>
      </c>
      <c r="D37" s="20"/>
      <c r="E37" s="20"/>
      <c r="F37" s="20"/>
      <c r="G37" s="20"/>
    </row>
    <row r="38" spans="2:7">
      <c r="B38" s="20" t="s">
        <v>216</v>
      </c>
      <c r="C38" s="131">
        <v>3384.26</v>
      </c>
      <c r="D38" s="20"/>
      <c r="E38" s="20"/>
      <c r="F38" s="20"/>
      <c r="G38" s="20"/>
    </row>
    <row r="39" spans="2:7">
      <c r="B39" s="20" t="s">
        <v>34</v>
      </c>
      <c r="C39" s="131">
        <v>92.03</v>
      </c>
      <c r="D39" s="20"/>
      <c r="E39" s="20"/>
      <c r="F39" s="20"/>
      <c r="G39" s="20"/>
    </row>
    <row r="40" spans="2:7">
      <c r="B40" s="20" t="s">
        <v>217</v>
      </c>
      <c r="C40" s="131">
        <v>31.09</v>
      </c>
      <c r="D40" s="20"/>
      <c r="E40" s="20"/>
      <c r="F40" s="20"/>
      <c r="G40" s="20"/>
    </row>
    <row r="41" spans="2:7">
      <c r="B41" s="20" t="s">
        <v>218</v>
      </c>
      <c r="C41" s="131">
        <v>1005.03</v>
      </c>
      <c r="D41" s="20"/>
      <c r="E41" s="20"/>
      <c r="F41" s="20"/>
      <c r="G41" s="20"/>
    </row>
    <row r="42" spans="2:7">
      <c r="B42" s="20"/>
      <c r="C42" s="20"/>
      <c r="D42" s="20"/>
      <c r="E42" s="20"/>
      <c r="F42" s="20"/>
      <c r="G42" s="20"/>
    </row>
    <row r="43" spans="2:7">
      <c r="B43" s="23" t="s">
        <v>212</v>
      </c>
      <c r="C43" s="131">
        <v>281.95</v>
      </c>
      <c r="D43" s="20"/>
      <c r="E43" s="20"/>
      <c r="F43" s="20"/>
      <c r="G43" s="20"/>
    </row>
    <row r="44" spans="2:7">
      <c r="B44" s="20" t="s">
        <v>264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>
      <c r="B46" s="20"/>
      <c r="C46" s="25"/>
      <c r="D46" s="20"/>
      <c r="E46" s="20"/>
      <c r="F46" s="20"/>
      <c r="G46" s="20"/>
    </row>
    <row r="47" spans="2:7">
      <c r="B47" s="23" t="s">
        <v>213</v>
      </c>
      <c r="C47" s="131">
        <v>171.6</v>
      </c>
      <c r="D47" s="20"/>
      <c r="E47" s="20"/>
      <c r="F47" s="20"/>
      <c r="G47" s="20"/>
    </row>
    <row r="48" spans="2:7">
      <c r="B48" s="20" t="s">
        <v>265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>
      <c r="B50" s="20"/>
      <c r="C50" s="25"/>
      <c r="D50" s="20"/>
      <c r="E50" s="20"/>
      <c r="F50" s="20"/>
      <c r="G50" s="20"/>
    </row>
    <row r="51" spans="2:7">
      <c r="B51" s="23" t="s">
        <v>214</v>
      </c>
      <c r="C51" s="131">
        <v>110.33</v>
      </c>
      <c r="D51" s="20"/>
      <c r="E51" s="20"/>
      <c r="F51" s="20"/>
      <c r="G51" s="20"/>
    </row>
    <row r="52" spans="2:7">
      <c r="B52" s="20" t="s">
        <v>266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>
      <c r="B54" s="20"/>
      <c r="C54" s="20"/>
      <c r="D54" s="20"/>
      <c r="E54" s="20"/>
      <c r="F54" s="20"/>
      <c r="G54" s="20"/>
    </row>
    <row r="55" spans="2:7">
      <c r="B55" s="23" t="s">
        <v>219</v>
      </c>
      <c r="C55" s="131">
        <v>1320.99</v>
      </c>
      <c r="D55" s="20"/>
      <c r="E55" s="20"/>
      <c r="F55" s="20"/>
      <c r="G55" s="20"/>
    </row>
    <row r="56" spans="2:7">
      <c r="B56" s="20" t="s">
        <v>267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>
      <c r="B58" s="20"/>
      <c r="C58" s="20"/>
      <c r="D58" s="20"/>
      <c r="E58" s="20"/>
      <c r="F58" s="20"/>
      <c r="G58" s="20"/>
    </row>
    <row r="59" spans="2:7">
      <c r="B59" s="20"/>
      <c r="C59" s="25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0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AC78"/>
  <sheetViews>
    <sheetView tabSelected="1" zoomScale="70" zoomScaleNormal="70" workbookViewId="0">
      <selection activeCell="A39" sqref="A39"/>
    </sheetView>
  </sheetViews>
  <sheetFormatPr defaultRowHeight="12.75"/>
  <cols>
    <col min="1" max="1" width="4.7109375" style="104" customWidth="1"/>
    <col min="2" max="2" width="46.7109375" style="104" bestFit="1" customWidth="1"/>
    <col min="3" max="4" width="8.140625" style="104" bestFit="1" customWidth="1"/>
    <col min="5" max="14" width="8.7109375" style="104" bestFit="1" customWidth="1"/>
    <col min="15" max="15" width="8.7109375" style="104" customWidth="1"/>
    <col min="16" max="16" width="10.5703125" style="104" bestFit="1" customWidth="1"/>
    <col min="17" max="17" width="10.85546875" style="104" bestFit="1" customWidth="1"/>
    <col min="18" max="18" width="10.5703125" style="104" bestFit="1" customWidth="1"/>
    <col min="19" max="19" width="12" style="104" bestFit="1" customWidth="1"/>
    <col min="20" max="16384" width="9.140625" style="104"/>
  </cols>
  <sheetData>
    <row r="2" spans="2:29">
      <c r="B2" s="123" t="s">
        <v>241</v>
      </c>
      <c r="C2" s="124">
        <v>0.22</v>
      </c>
      <c r="F2" s="104" t="s">
        <v>252</v>
      </c>
      <c r="H2" s="126">
        <v>2012</v>
      </c>
    </row>
    <row r="3" spans="2:29">
      <c r="C3" s="120"/>
      <c r="F3" s="104" t="s">
        <v>253</v>
      </c>
      <c r="H3" s="126">
        <v>2023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</row>
    <row r="4" spans="2:29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5">
        <v>2023</v>
      </c>
      <c r="AC4" s="116" t="s">
        <v>1</v>
      </c>
    </row>
    <row r="5" spans="2:29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20"/>
    </row>
    <row r="6" spans="2:29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20"/>
    </row>
    <row r="7" spans="2:29"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>
        <v>717</v>
      </c>
      <c r="P7" s="20">
        <v>717</v>
      </c>
      <c r="Q7" s="118" t="e">
        <f>((P7/N7)^(1/($H$3-$H$2) ))-1</f>
        <v>#DIV/0!</v>
      </c>
      <c r="R7" s="31">
        <v>0.1</v>
      </c>
      <c r="S7" s="119">
        <f>P7*(1+$R7)</f>
        <v>788.7</v>
      </c>
      <c r="T7" s="119">
        <f>S7*(1+$R7)</f>
        <v>867.57000000000016</v>
      </c>
      <c r="U7" s="119">
        <f t="shared" ref="U7:AB7" si="0">T7*(1+$R7)</f>
        <v>954.32700000000023</v>
      </c>
      <c r="V7" s="119">
        <f t="shared" si="0"/>
        <v>1049.7597000000003</v>
      </c>
      <c r="W7" s="119">
        <f t="shared" si="0"/>
        <v>1154.7356700000005</v>
      </c>
      <c r="X7" s="119">
        <f t="shared" si="0"/>
        <v>1270.2092370000007</v>
      </c>
      <c r="Y7" s="119">
        <f t="shared" si="0"/>
        <v>1397.2301607000009</v>
      </c>
      <c r="Z7" s="119">
        <f t="shared" si="0"/>
        <v>1536.9531767700012</v>
      </c>
      <c r="AA7" s="119">
        <f t="shared" si="0"/>
        <v>1690.6484944470014</v>
      </c>
      <c r="AB7" s="119">
        <f t="shared" si="0"/>
        <v>1859.7133438917017</v>
      </c>
      <c r="AC7" s="118">
        <f>((AB7/O7)^(1/($AB$4-$H$2) ))-1</f>
        <v>9.0510154068325965E-2</v>
      </c>
    </row>
    <row r="8" spans="2:29">
      <c r="B8" s="20" t="s">
        <v>240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>
        <v>859</v>
      </c>
      <c r="P8" s="20">
        <v>859</v>
      </c>
      <c r="Q8" s="118" t="e">
        <f t="shared" ref="Q8:Q19" si="1">((P8/N8)^(1/($H$3-$H$2) ))-1</f>
        <v>#DIV/0!</v>
      </c>
      <c r="R8" s="31">
        <v>0.1</v>
      </c>
      <c r="S8" s="119">
        <f t="shared" ref="S8:S15" si="2">P8*(1+$R8)</f>
        <v>944.90000000000009</v>
      </c>
      <c r="T8" s="119">
        <f t="shared" ref="T8:AB8" si="3">S8*(1+$R8)</f>
        <v>1039.3900000000001</v>
      </c>
      <c r="U8" s="119">
        <f t="shared" si="3"/>
        <v>1143.3290000000002</v>
      </c>
      <c r="V8" s="119">
        <f t="shared" si="3"/>
        <v>1257.6619000000003</v>
      </c>
      <c r="W8" s="119">
        <f t="shared" si="3"/>
        <v>1383.4280900000003</v>
      </c>
      <c r="X8" s="119">
        <f t="shared" si="3"/>
        <v>1521.7708990000006</v>
      </c>
      <c r="Y8" s="119">
        <f t="shared" si="3"/>
        <v>1673.9479889000008</v>
      </c>
      <c r="Z8" s="119">
        <f t="shared" si="3"/>
        <v>1841.342787790001</v>
      </c>
      <c r="AA8" s="119">
        <f t="shared" si="3"/>
        <v>2025.4770665690012</v>
      </c>
      <c r="AB8" s="119">
        <f t="shared" si="3"/>
        <v>2228.0247732259013</v>
      </c>
      <c r="AC8" s="118">
        <f>((AB8/O8)^(1/($AB$4-$H$2) ))-1</f>
        <v>9.0510154068325743E-2</v>
      </c>
    </row>
    <row r="9" spans="2:29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118"/>
      <c r="R9" s="31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8"/>
    </row>
    <row r="10" spans="2:29">
      <c r="B10" s="20" t="s">
        <v>273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>
        <v>92</v>
      </c>
      <c r="P10" s="20">
        <v>92</v>
      </c>
      <c r="Q10" s="118" t="e">
        <f t="shared" si="1"/>
        <v>#DIV/0!</v>
      </c>
      <c r="R10" s="31">
        <v>0.1</v>
      </c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8"/>
    </row>
    <row r="11" spans="2:29">
      <c r="B11" s="20" t="s">
        <v>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>
        <v>429</v>
      </c>
      <c r="P11" s="20">
        <v>429</v>
      </c>
      <c r="Q11" s="118" t="e">
        <f t="shared" si="1"/>
        <v>#DIV/0!</v>
      </c>
      <c r="R11" s="31">
        <v>0.1</v>
      </c>
      <c r="S11" s="119">
        <f t="shared" si="2"/>
        <v>471.90000000000003</v>
      </c>
      <c r="T11" s="119">
        <f t="shared" ref="T11:AB11" si="4">S11*(1+$R11)</f>
        <v>519.09</v>
      </c>
      <c r="U11" s="119">
        <f t="shared" si="4"/>
        <v>570.99900000000014</v>
      </c>
      <c r="V11" s="119">
        <f t="shared" si="4"/>
        <v>628.09890000000019</v>
      </c>
      <c r="W11" s="119">
        <f t="shared" si="4"/>
        <v>690.90879000000029</v>
      </c>
      <c r="X11" s="119">
        <f t="shared" si="4"/>
        <v>759.99966900000038</v>
      </c>
      <c r="Y11" s="119">
        <f t="shared" si="4"/>
        <v>835.9996359000005</v>
      </c>
      <c r="Z11" s="119">
        <f t="shared" si="4"/>
        <v>919.59959949000063</v>
      </c>
      <c r="AA11" s="119">
        <f t="shared" si="4"/>
        <v>1011.5595594390007</v>
      </c>
      <c r="AB11" s="119">
        <f t="shared" si="4"/>
        <v>1112.715515382901</v>
      </c>
      <c r="AC11" s="118">
        <f>((AB11/O11)^(1/($AB$4-$H$2) ))-1</f>
        <v>9.0510154068325965E-2</v>
      </c>
    </row>
    <row r="12" spans="2:29">
      <c r="B12" s="20" t="s">
        <v>2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>
        <v>132</v>
      </c>
      <c r="P12" s="20">
        <v>132</v>
      </c>
      <c r="Q12" s="118" t="e">
        <f t="shared" si="1"/>
        <v>#DIV/0!</v>
      </c>
      <c r="R12" s="31">
        <v>0.1</v>
      </c>
      <c r="S12" s="119">
        <f t="shared" si="2"/>
        <v>145.20000000000002</v>
      </c>
      <c r="T12" s="119">
        <f t="shared" ref="T12:AB12" si="5">S12*(1+$R12)</f>
        <v>159.72000000000003</v>
      </c>
      <c r="U12" s="119">
        <f t="shared" si="5"/>
        <v>175.69200000000004</v>
      </c>
      <c r="V12" s="119">
        <f t="shared" si="5"/>
        <v>193.26120000000006</v>
      </c>
      <c r="W12" s="119">
        <f t="shared" si="5"/>
        <v>212.58732000000009</v>
      </c>
      <c r="X12" s="119">
        <f t="shared" si="5"/>
        <v>233.84605200000013</v>
      </c>
      <c r="Y12" s="119">
        <f t="shared" si="5"/>
        <v>257.23065720000017</v>
      </c>
      <c r="Z12" s="119">
        <f t="shared" si="5"/>
        <v>282.95372292000019</v>
      </c>
      <c r="AA12" s="119">
        <f t="shared" si="5"/>
        <v>311.24909521200021</v>
      </c>
      <c r="AB12" s="119">
        <f t="shared" si="5"/>
        <v>342.37400473320025</v>
      </c>
      <c r="AC12" s="118">
        <f>((AB12/O12)^(1/($AB$4-$H$2) ))-1</f>
        <v>9.0510154068325965E-2</v>
      </c>
    </row>
    <row r="13" spans="2:29">
      <c r="B13" s="20" t="s">
        <v>218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>
        <v>134</v>
      </c>
      <c r="P13" s="20">
        <v>134</v>
      </c>
      <c r="Q13" s="118" t="e">
        <f t="shared" si="1"/>
        <v>#DIV/0!</v>
      </c>
      <c r="R13" s="31">
        <v>0.1</v>
      </c>
      <c r="S13" s="119">
        <f t="shared" si="2"/>
        <v>147.4</v>
      </c>
      <c r="T13" s="119">
        <f t="shared" ref="T13:AB13" si="6">S13*(1+$R13)</f>
        <v>162.14000000000001</v>
      </c>
      <c r="U13" s="119">
        <f t="shared" si="6"/>
        <v>178.35400000000004</v>
      </c>
      <c r="V13" s="119">
        <f t="shared" si="6"/>
        <v>196.18940000000006</v>
      </c>
      <c r="W13" s="119">
        <f t="shared" si="6"/>
        <v>215.8083400000001</v>
      </c>
      <c r="X13" s="119">
        <f t="shared" si="6"/>
        <v>237.38917400000014</v>
      </c>
      <c r="Y13" s="119">
        <f t="shared" si="6"/>
        <v>261.12809140000019</v>
      </c>
      <c r="Z13" s="119">
        <f t="shared" si="6"/>
        <v>287.24090054000021</v>
      </c>
      <c r="AA13" s="119">
        <f t="shared" si="6"/>
        <v>315.96499059400026</v>
      </c>
      <c r="AB13" s="119">
        <f t="shared" si="6"/>
        <v>347.56148965340032</v>
      </c>
      <c r="AC13" s="118">
        <f>((AB13/O13)^(1/($AB$4-$H$2) ))-1</f>
        <v>9.0510154068325965E-2</v>
      </c>
    </row>
    <row r="14" spans="2:29">
      <c r="B14" s="20" t="s">
        <v>19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>
        <v>742</v>
      </c>
      <c r="P14" s="20">
        <v>742</v>
      </c>
      <c r="Q14" s="118" t="e">
        <f t="shared" si="1"/>
        <v>#DIV/0!</v>
      </c>
      <c r="R14" s="31">
        <v>0.1</v>
      </c>
      <c r="S14" s="119">
        <f t="shared" si="2"/>
        <v>816.2</v>
      </c>
      <c r="T14" s="119">
        <f t="shared" ref="T14:AB14" si="7">S14*(1+$R14)</f>
        <v>897.82000000000016</v>
      </c>
      <c r="U14" s="119">
        <f t="shared" si="7"/>
        <v>987.60200000000032</v>
      </c>
      <c r="V14" s="119">
        <f t="shared" si="7"/>
        <v>1086.3622000000005</v>
      </c>
      <c r="W14" s="119">
        <f t="shared" si="7"/>
        <v>1194.9984200000006</v>
      </c>
      <c r="X14" s="119">
        <f t="shared" si="7"/>
        <v>1314.4982620000008</v>
      </c>
      <c r="Y14" s="119">
        <f t="shared" si="7"/>
        <v>1445.9480882000009</v>
      </c>
      <c r="Z14" s="119">
        <f t="shared" si="7"/>
        <v>1590.5428970200012</v>
      </c>
      <c r="AA14" s="119">
        <f t="shared" si="7"/>
        <v>1749.5971867220014</v>
      </c>
      <c r="AB14" s="119">
        <f t="shared" si="7"/>
        <v>1924.5569053942017</v>
      </c>
      <c r="AC14" s="118">
        <f>((AB14/O14)^(1/($AB$4-$H$2) ))-1</f>
        <v>9.0510154068325965E-2</v>
      </c>
    </row>
    <row r="15" spans="2:29">
      <c r="B15" s="20" t="s">
        <v>23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134"/>
      <c r="O15" s="134">
        <v>608</v>
      </c>
      <c r="P15" s="134">
        <v>608</v>
      </c>
      <c r="Q15" s="118" t="e">
        <f t="shared" si="1"/>
        <v>#DIV/0!</v>
      </c>
      <c r="R15" s="31">
        <v>0.1</v>
      </c>
      <c r="S15" s="119">
        <f t="shared" si="2"/>
        <v>668.80000000000007</v>
      </c>
      <c r="T15" s="119">
        <f t="shared" ref="T15:AB15" si="8">S15*(1+$R15)</f>
        <v>735.68000000000018</v>
      </c>
      <c r="U15" s="119">
        <f t="shared" si="8"/>
        <v>809.24800000000027</v>
      </c>
      <c r="V15" s="119">
        <f t="shared" si="8"/>
        <v>890.17280000000039</v>
      </c>
      <c r="W15" s="119">
        <f t="shared" si="8"/>
        <v>979.19008000000053</v>
      </c>
      <c r="X15" s="119">
        <f t="shared" si="8"/>
        <v>1077.1090880000006</v>
      </c>
      <c r="Y15" s="119">
        <f t="shared" si="8"/>
        <v>1184.8199968000008</v>
      </c>
      <c r="Z15" s="119">
        <f t="shared" si="8"/>
        <v>1303.301996480001</v>
      </c>
      <c r="AA15" s="119">
        <f t="shared" si="8"/>
        <v>1433.6321961280012</v>
      </c>
      <c r="AB15" s="119">
        <f t="shared" si="8"/>
        <v>1576.9954157408015</v>
      </c>
      <c r="AC15" s="118">
        <f>((AB15/O15)^(1/($AB$4-$H$2) ))-1</f>
        <v>9.0510154068325965E-2</v>
      </c>
    </row>
    <row r="16" spans="2:29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129"/>
      <c r="R16" s="12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8"/>
    </row>
    <row r="17" spans="2:29">
      <c r="B17" s="20" t="s">
        <v>281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>
        <v>136</v>
      </c>
      <c r="P17" s="20">
        <v>136</v>
      </c>
      <c r="Q17" s="118" t="e">
        <f t="shared" ref="Q17" si="9">((P17/N17)^(1/($H$3-$H$2) ))-1</f>
        <v>#DIV/0!</v>
      </c>
      <c r="R17" s="31">
        <v>0.1</v>
      </c>
      <c r="S17" s="119">
        <f t="shared" ref="S17" si="10">P17*(1+$R17)</f>
        <v>149.60000000000002</v>
      </c>
      <c r="T17" s="119">
        <f t="shared" ref="T17" si="11">S17*(1+$R17)</f>
        <v>164.56000000000003</v>
      </c>
      <c r="U17" s="119">
        <f t="shared" ref="U17" si="12">T17*(1+$R17)</f>
        <v>181.01600000000005</v>
      </c>
      <c r="V17" s="119">
        <f t="shared" ref="V17" si="13">U17*(1+$R17)</f>
        <v>199.11760000000007</v>
      </c>
      <c r="W17" s="119">
        <f t="shared" ref="W17" si="14">V17*(1+$R17)</f>
        <v>219.02936000000008</v>
      </c>
      <c r="X17" s="119">
        <f t="shared" ref="X17" si="15">W17*(1+$R17)</f>
        <v>240.93229600000012</v>
      </c>
      <c r="Y17" s="119">
        <f t="shared" ref="Y17" si="16">X17*(1+$R17)</f>
        <v>265.02552560000015</v>
      </c>
      <c r="Z17" s="119">
        <f t="shared" ref="Z17" si="17">Y17*(1+$R17)</f>
        <v>291.52807816000018</v>
      </c>
      <c r="AA17" s="119">
        <f t="shared" ref="AA17" si="18">Z17*(1+$R17)</f>
        <v>320.68088597600024</v>
      </c>
      <c r="AB17" s="119">
        <f t="shared" ref="AB17" si="19">AA17*(1+$R17)</f>
        <v>352.74897457360032</v>
      </c>
      <c r="AC17" s="118">
        <f>((AB17/O17)^(1/($AB$4-$H$2) ))-1</f>
        <v>9.0510154068325965E-2</v>
      </c>
    </row>
    <row r="18" spans="2:29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129"/>
      <c r="R18" s="12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8"/>
    </row>
    <row r="19" spans="2:29">
      <c r="B19" s="20" t="s">
        <v>89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>
        <v>365</v>
      </c>
      <c r="P19" s="20">
        <v>365</v>
      </c>
      <c r="Q19" s="118" t="e">
        <f t="shared" si="1"/>
        <v>#DIV/0!</v>
      </c>
      <c r="R19" s="31">
        <v>0.1</v>
      </c>
      <c r="S19" s="119">
        <f t="shared" ref="S19" si="20">P19*(1+$R19)</f>
        <v>401.50000000000006</v>
      </c>
      <c r="T19" s="119">
        <f t="shared" ref="T19" si="21">S19*(1+$R19)</f>
        <v>441.65000000000009</v>
      </c>
      <c r="U19" s="119">
        <f t="shared" ref="U19" si="22">T19*(1+$R19)</f>
        <v>485.81500000000011</v>
      </c>
      <c r="V19" s="119">
        <f t="shared" ref="V19" si="23">U19*(1+$R19)</f>
        <v>534.39650000000017</v>
      </c>
      <c r="W19" s="119">
        <f t="shared" ref="W19" si="24">V19*(1+$R19)</f>
        <v>587.8361500000002</v>
      </c>
      <c r="X19" s="119">
        <f t="shared" ref="X19" si="25">W19*(1+$R19)</f>
        <v>646.61976500000026</v>
      </c>
      <c r="Y19" s="119">
        <f t="shared" ref="Y19" si="26">X19*(1+$R19)</f>
        <v>711.28174150000029</v>
      </c>
      <c r="Z19" s="119">
        <f t="shared" ref="Z19" si="27">Y19*(1+$R19)</f>
        <v>782.40991565000036</v>
      </c>
      <c r="AA19" s="119">
        <f t="shared" ref="AA19" si="28">Z19*(1+$R19)</f>
        <v>860.65090721500042</v>
      </c>
      <c r="AB19" s="119">
        <f t="shared" ref="AB19" si="29">AA19*(1+$R19)</f>
        <v>946.71599793650057</v>
      </c>
      <c r="AC19" s="118">
        <f>((AB19/O19)^(1/($AB$4-$H$2) ))-1</f>
        <v>9.0510154068325743E-2</v>
      </c>
    </row>
    <row r="20" spans="2:29">
      <c r="B20" s="20" t="s">
        <v>262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>
        <v>265</v>
      </c>
      <c r="P20" s="20">
        <v>265</v>
      </c>
      <c r="Q20" s="118" t="e">
        <f>((P20/N20)^(1/($H$3-$H$2) ))-1</f>
        <v>#DIV/0!</v>
      </c>
      <c r="R20" s="31">
        <v>0.1</v>
      </c>
      <c r="S20" s="119">
        <f t="shared" ref="S20:S22" si="30">P20*(1+$R20)</f>
        <v>291.5</v>
      </c>
      <c r="T20" s="119">
        <f t="shared" ref="T20:T22" si="31">S20*(1+$R20)</f>
        <v>320.65000000000003</v>
      </c>
      <c r="U20" s="119">
        <f t="shared" ref="U20:U22" si="32">T20*(1+$R20)</f>
        <v>352.71500000000009</v>
      </c>
      <c r="V20" s="119">
        <f t="shared" ref="V20:V22" si="33">U20*(1+$R20)</f>
        <v>387.98650000000015</v>
      </c>
      <c r="W20" s="119">
        <f t="shared" ref="W20:W22" si="34">V20*(1+$R20)</f>
        <v>426.78515000000021</v>
      </c>
      <c r="X20" s="119">
        <f t="shared" ref="X20:X22" si="35">W20*(1+$R20)</f>
        <v>469.46366500000028</v>
      </c>
      <c r="Y20" s="119">
        <f t="shared" ref="Y20:Y22" si="36">X20*(1+$R20)</f>
        <v>516.4100315000004</v>
      </c>
      <c r="Z20" s="119">
        <f t="shared" ref="Z20:Z22" si="37">Y20*(1+$R20)</f>
        <v>568.05103465000047</v>
      </c>
      <c r="AA20" s="119">
        <f t="shared" ref="AA20:AA22" si="38">Z20*(1+$R20)</f>
        <v>624.85613811500059</v>
      </c>
      <c r="AB20" s="119">
        <f t="shared" ref="AB20:AB22" si="39">AA20*(1+$R20)</f>
        <v>687.34175192650071</v>
      </c>
      <c r="AC20" s="118">
        <f>((AB20/O20)^(1/($AB$4-$H$2) ))-1</f>
        <v>9.0510154068325965E-2</v>
      </c>
    </row>
    <row r="21" spans="2:29">
      <c r="B21" s="20" t="s">
        <v>271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>
        <v>158</v>
      </c>
      <c r="P21" s="20">
        <v>158</v>
      </c>
      <c r="Q21" s="118" t="e">
        <f t="shared" ref="Q21:Q24" si="40">((P21/N21)^(1/($H$3-$H$2) ))-1</f>
        <v>#DIV/0!</v>
      </c>
      <c r="R21" s="31">
        <v>0.1</v>
      </c>
      <c r="S21" s="119">
        <f t="shared" si="30"/>
        <v>173.8</v>
      </c>
      <c r="T21" s="119">
        <f t="shared" si="31"/>
        <v>191.18000000000004</v>
      </c>
      <c r="U21" s="119">
        <f t="shared" si="32"/>
        <v>210.29800000000006</v>
      </c>
      <c r="V21" s="119">
        <f t="shared" si="33"/>
        <v>231.32780000000008</v>
      </c>
      <c r="W21" s="119">
        <f t="shared" si="34"/>
        <v>254.46058000000011</v>
      </c>
      <c r="X21" s="119">
        <f t="shared" si="35"/>
        <v>279.90663800000016</v>
      </c>
      <c r="Y21" s="119">
        <f t="shared" si="36"/>
        <v>307.89730180000021</v>
      </c>
      <c r="Z21" s="119">
        <f t="shared" si="37"/>
        <v>338.68703198000026</v>
      </c>
      <c r="AA21" s="119">
        <f t="shared" si="38"/>
        <v>372.5557351780003</v>
      </c>
      <c r="AB21" s="119">
        <f t="shared" si="39"/>
        <v>409.81130869580039</v>
      </c>
      <c r="AC21" s="118">
        <f>((AB21/O21)^(1/($AB$4-$H$2) ))-1</f>
        <v>9.0510154068325965E-2</v>
      </c>
    </row>
    <row r="22" spans="2:29">
      <c r="B22" s="20" t="s">
        <v>272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>
        <v>69</v>
      </c>
      <c r="P22" s="20">
        <v>69</v>
      </c>
      <c r="Q22" s="118" t="e">
        <f t="shared" si="40"/>
        <v>#DIV/0!</v>
      </c>
      <c r="R22" s="31">
        <v>0.1</v>
      </c>
      <c r="S22" s="119">
        <f t="shared" si="30"/>
        <v>75.900000000000006</v>
      </c>
      <c r="T22" s="119">
        <f t="shared" si="31"/>
        <v>83.490000000000009</v>
      </c>
      <c r="U22" s="119">
        <f t="shared" si="32"/>
        <v>91.839000000000013</v>
      </c>
      <c r="V22" s="119">
        <f t="shared" si="33"/>
        <v>101.02290000000002</v>
      </c>
      <c r="W22" s="119">
        <f t="shared" si="34"/>
        <v>111.12519000000003</v>
      </c>
      <c r="X22" s="119">
        <f t="shared" si="35"/>
        <v>122.23770900000004</v>
      </c>
      <c r="Y22" s="119">
        <f t="shared" si="36"/>
        <v>134.46147990000006</v>
      </c>
      <c r="Z22" s="119">
        <f t="shared" si="37"/>
        <v>147.90762789000007</v>
      </c>
      <c r="AA22" s="119">
        <f t="shared" si="38"/>
        <v>162.69839067900008</v>
      </c>
      <c r="AB22" s="119">
        <f t="shared" si="39"/>
        <v>178.96822974690011</v>
      </c>
      <c r="AC22" s="118">
        <f>((AB22/O22)^(1/($AB$4-$H$2) ))-1</f>
        <v>9.0510154068325743E-2</v>
      </c>
    </row>
    <row r="23" spans="2:29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129"/>
      <c r="R23" s="12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8"/>
    </row>
    <row r="24" spans="2:29">
      <c r="B24" s="20" t="s">
        <v>257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>
        <v>66</v>
      </c>
      <c r="P24" s="20">
        <v>66</v>
      </c>
      <c r="Q24" s="118" t="e">
        <f t="shared" si="40"/>
        <v>#DIV/0!</v>
      </c>
      <c r="R24" s="31">
        <v>0.1</v>
      </c>
      <c r="S24" s="119">
        <f>P24*(1+$R24)</f>
        <v>72.600000000000009</v>
      </c>
      <c r="T24" s="119">
        <f t="shared" ref="T24:AB24" si="41">S24*(1+$R24)</f>
        <v>79.860000000000014</v>
      </c>
      <c r="U24" s="119">
        <f t="shared" si="41"/>
        <v>87.846000000000018</v>
      </c>
      <c r="V24" s="119">
        <f t="shared" si="41"/>
        <v>96.63060000000003</v>
      </c>
      <c r="W24" s="119">
        <f t="shared" si="41"/>
        <v>106.29366000000005</v>
      </c>
      <c r="X24" s="119">
        <f t="shared" si="41"/>
        <v>116.92302600000006</v>
      </c>
      <c r="Y24" s="119">
        <f t="shared" si="41"/>
        <v>128.61532860000008</v>
      </c>
      <c r="Z24" s="119">
        <f t="shared" si="41"/>
        <v>141.47686146000009</v>
      </c>
      <c r="AA24" s="119">
        <f t="shared" si="41"/>
        <v>155.62454760600011</v>
      </c>
      <c r="AB24" s="119">
        <f t="shared" si="41"/>
        <v>171.18700236660013</v>
      </c>
      <c r="AC24" s="118">
        <f>((AB24/O24)^(1/($AB$4-$H$2) ))-1</f>
        <v>9.0510154068325965E-2</v>
      </c>
    </row>
    <row r="25" spans="2:29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129"/>
      <c r="R25" s="12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8"/>
    </row>
    <row r="26" spans="2:29">
      <c r="B26" s="20" t="s">
        <v>239</v>
      </c>
      <c r="C26" s="119">
        <v>1</v>
      </c>
      <c r="D26" s="119">
        <v>1</v>
      </c>
      <c r="E26" s="127">
        <v>1</v>
      </c>
      <c r="F26" s="127">
        <v>1</v>
      </c>
      <c r="G26" s="127">
        <v>1</v>
      </c>
      <c r="H26" s="119">
        <v>1</v>
      </c>
      <c r="I26" s="119">
        <v>1</v>
      </c>
      <c r="J26" s="119">
        <v>1</v>
      </c>
      <c r="K26" s="119">
        <v>1</v>
      </c>
      <c r="L26" s="112">
        <v>2.82</v>
      </c>
      <c r="M26" s="112">
        <v>2.82</v>
      </c>
      <c r="N26" s="112">
        <v>20.18</v>
      </c>
      <c r="O26" s="112">
        <v>22.39</v>
      </c>
      <c r="P26" s="112">
        <v>22.39</v>
      </c>
      <c r="Q26" s="118">
        <f t="shared" ref="Q26" si="42">((P26/L26)^(1/($H$3-$H$2) ))-1</f>
        <v>0.20725900416217313</v>
      </c>
      <c r="R26" s="31">
        <v>0.1</v>
      </c>
      <c r="S26" s="119">
        <f t="shared" ref="S26" si="43">P26*(1+$R26)</f>
        <v>24.629000000000001</v>
      </c>
      <c r="T26" s="119">
        <f t="shared" ref="T26:AB26" si="44">S26*(1+$R26)</f>
        <v>27.091900000000003</v>
      </c>
      <c r="U26" s="119">
        <f t="shared" si="44"/>
        <v>29.801090000000006</v>
      </c>
      <c r="V26" s="119">
        <f t="shared" si="44"/>
        <v>32.781199000000008</v>
      </c>
      <c r="W26" s="119">
        <f t="shared" si="44"/>
        <v>36.059318900000015</v>
      </c>
      <c r="X26" s="119">
        <f t="shared" si="44"/>
        <v>39.665250790000023</v>
      </c>
      <c r="Y26" s="119">
        <f t="shared" si="44"/>
        <v>43.63177586900003</v>
      </c>
      <c r="Z26" s="119">
        <f t="shared" si="44"/>
        <v>47.994953455900038</v>
      </c>
      <c r="AA26" s="119">
        <f t="shared" si="44"/>
        <v>52.794448801490049</v>
      </c>
      <c r="AB26" s="119">
        <f t="shared" si="44"/>
        <v>58.073893681639056</v>
      </c>
      <c r="AC26" s="118">
        <f>((AB26/O26)^(1/($AB$4-$H$2) ))-1</f>
        <v>9.0510154068325965E-2</v>
      </c>
    </row>
    <row r="27" spans="2:29">
      <c r="B27" s="20"/>
      <c r="C27" s="20"/>
      <c r="D27" s="20"/>
      <c r="E27" s="128"/>
      <c r="F27" s="128"/>
      <c r="G27" s="128"/>
      <c r="H27" s="20"/>
      <c r="I27" s="20"/>
      <c r="J27" s="20"/>
      <c r="K27" s="20"/>
      <c r="L27" s="20"/>
      <c r="M27" s="20"/>
      <c r="N27" s="20"/>
      <c r="O27" s="20"/>
      <c r="P27" s="20"/>
      <c r="Q27" s="129"/>
      <c r="R27" s="12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8"/>
    </row>
    <row r="28" spans="2:29">
      <c r="B28" s="108" t="s">
        <v>243</v>
      </c>
      <c r="C28" s="20"/>
      <c r="D28" s="20"/>
      <c r="E28" s="128"/>
      <c r="F28" s="128"/>
      <c r="G28" s="128"/>
      <c r="H28" s="20"/>
      <c r="I28" s="20"/>
      <c r="J28" s="20"/>
      <c r="K28" s="20"/>
      <c r="L28" s="20"/>
      <c r="M28" s="20"/>
      <c r="N28" s="20"/>
      <c r="O28" s="20"/>
      <c r="P28" s="20"/>
      <c r="Q28" s="129"/>
      <c r="R28" s="12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8"/>
    </row>
    <row r="29" spans="2:29">
      <c r="B29" s="20" t="s">
        <v>258</v>
      </c>
      <c r="C29" s="25">
        <f t="shared" ref="C29:M29" si="45">C24/C26</f>
        <v>0</v>
      </c>
      <c r="D29" s="25">
        <f t="shared" si="45"/>
        <v>0</v>
      </c>
      <c r="E29" s="25">
        <f t="shared" si="45"/>
        <v>0</v>
      </c>
      <c r="F29" s="25">
        <f t="shared" si="45"/>
        <v>0</v>
      </c>
      <c r="G29" s="25">
        <f t="shared" si="45"/>
        <v>0</v>
      </c>
      <c r="H29" s="25">
        <f t="shared" si="45"/>
        <v>0</v>
      </c>
      <c r="I29" s="25">
        <f t="shared" si="45"/>
        <v>0</v>
      </c>
      <c r="J29" s="25">
        <f t="shared" si="45"/>
        <v>0</v>
      </c>
      <c r="K29" s="25">
        <f t="shared" si="45"/>
        <v>0</v>
      </c>
      <c r="L29" s="25">
        <f t="shared" si="45"/>
        <v>0</v>
      </c>
      <c r="M29" s="25">
        <f t="shared" si="45"/>
        <v>0</v>
      </c>
      <c r="N29" s="25">
        <f>N24/N26</f>
        <v>0</v>
      </c>
      <c r="O29" s="25">
        <f>O24/O26</f>
        <v>2.9477445288075033</v>
      </c>
      <c r="P29" s="25">
        <f>P24/P26</f>
        <v>2.9477445288075033</v>
      </c>
      <c r="Q29" s="118" t="e">
        <f t="shared" ref="Q29:Q42" si="46">((P29/N29)^(1/($H$3-$H$2) ))-1</f>
        <v>#DIV/0!</v>
      </c>
      <c r="R29" s="31">
        <v>0.1</v>
      </c>
      <c r="S29" s="119">
        <f t="shared" ref="S29:S32" si="47">P29*(1+$R29)</f>
        <v>3.2425189816882538</v>
      </c>
      <c r="T29" s="119">
        <f t="shared" ref="T29:AB32" si="48">S29*(1+$R29)</f>
        <v>3.5667708798570796</v>
      </c>
      <c r="U29" s="119">
        <f t="shared" si="48"/>
        <v>3.923447967842788</v>
      </c>
      <c r="V29" s="119">
        <f t="shared" si="48"/>
        <v>4.3157927646270675</v>
      </c>
      <c r="W29" s="119">
        <f t="shared" si="48"/>
        <v>4.7473720410897746</v>
      </c>
      <c r="X29" s="119">
        <f t="shared" si="48"/>
        <v>5.2221092451987525</v>
      </c>
      <c r="Y29" s="119">
        <f t="shared" si="48"/>
        <v>5.7443201697186286</v>
      </c>
      <c r="Z29" s="119">
        <f t="shared" si="48"/>
        <v>6.3187521866904923</v>
      </c>
      <c r="AA29" s="119">
        <f t="shared" si="48"/>
        <v>6.9506274053595423</v>
      </c>
      <c r="AB29" s="119">
        <f t="shared" si="48"/>
        <v>7.6456901458954967</v>
      </c>
      <c r="AC29" s="118">
        <f>((AB29/O29)^(1/($AB$4-$H$2) ))-1</f>
        <v>9.0510154068325965E-2</v>
      </c>
    </row>
    <row r="30" spans="2:29">
      <c r="B30" s="20" t="s">
        <v>245</v>
      </c>
      <c r="C30" s="25">
        <f t="shared" ref="C30:P30" si="49">C8/C26</f>
        <v>0</v>
      </c>
      <c r="D30" s="25">
        <f t="shared" si="49"/>
        <v>0</v>
      </c>
      <c r="E30" s="25">
        <f t="shared" si="49"/>
        <v>0</v>
      </c>
      <c r="F30" s="25">
        <f t="shared" si="49"/>
        <v>0</v>
      </c>
      <c r="G30" s="25">
        <f t="shared" si="49"/>
        <v>0</v>
      </c>
      <c r="H30" s="25">
        <f t="shared" si="49"/>
        <v>0</v>
      </c>
      <c r="I30" s="25">
        <f t="shared" si="49"/>
        <v>0</v>
      </c>
      <c r="J30" s="25">
        <f t="shared" si="49"/>
        <v>0</v>
      </c>
      <c r="K30" s="25">
        <f t="shared" si="49"/>
        <v>0</v>
      </c>
      <c r="L30" s="25">
        <f t="shared" si="49"/>
        <v>0</v>
      </c>
      <c r="M30" s="25">
        <f t="shared" si="49"/>
        <v>0</v>
      </c>
      <c r="N30" s="25">
        <f t="shared" si="49"/>
        <v>0</v>
      </c>
      <c r="O30" s="25">
        <f t="shared" ref="O30" si="50">O8/O26</f>
        <v>38.365341670388567</v>
      </c>
      <c r="P30" s="25">
        <f t="shared" si="49"/>
        <v>38.365341670388567</v>
      </c>
      <c r="Q30" s="118" t="e">
        <f t="shared" si="46"/>
        <v>#DIV/0!</v>
      </c>
      <c r="R30" s="31">
        <v>0.1</v>
      </c>
      <c r="S30" s="119">
        <f t="shared" si="47"/>
        <v>42.20187583742743</v>
      </c>
      <c r="T30" s="119">
        <f t="shared" si="48"/>
        <v>46.422063421170179</v>
      </c>
      <c r="U30" s="119">
        <f t="shared" si="48"/>
        <v>51.0642697632872</v>
      </c>
      <c r="V30" s="119">
        <f t="shared" si="48"/>
        <v>56.170696739615927</v>
      </c>
      <c r="W30" s="119">
        <f t="shared" si="48"/>
        <v>61.787766413577522</v>
      </c>
      <c r="X30" s="119">
        <f t="shared" si="48"/>
        <v>67.966543054935286</v>
      </c>
      <c r="Y30" s="119">
        <f t="shared" si="48"/>
        <v>74.763197360428819</v>
      </c>
      <c r="Z30" s="119">
        <f t="shared" si="48"/>
        <v>82.239517096471701</v>
      </c>
      <c r="AA30" s="119">
        <f t="shared" si="48"/>
        <v>90.463468806118883</v>
      </c>
      <c r="AB30" s="119">
        <f t="shared" si="48"/>
        <v>99.509815686730775</v>
      </c>
      <c r="AC30" s="118">
        <f>((AB30/O30)^(1/($AB$4-$H$2) ))-1</f>
        <v>9.0510154068325965E-2</v>
      </c>
    </row>
    <row r="31" spans="2:29">
      <c r="B31" s="20" t="s">
        <v>246</v>
      </c>
      <c r="C31" s="128">
        <f t="shared" ref="C31:P31" si="51">C7/C26</f>
        <v>0</v>
      </c>
      <c r="D31" s="128">
        <f t="shared" si="51"/>
        <v>0</v>
      </c>
      <c r="E31" s="128">
        <f t="shared" si="51"/>
        <v>0</v>
      </c>
      <c r="F31" s="128">
        <f t="shared" si="51"/>
        <v>0</v>
      </c>
      <c r="G31" s="128">
        <f t="shared" si="51"/>
        <v>0</v>
      </c>
      <c r="H31" s="128">
        <f t="shared" si="51"/>
        <v>0</v>
      </c>
      <c r="I31" s="128">
        <f t="shared" si="51"/>
        <v>0</v>
      </c>
      <c r="J31" s="128">
        <f t="shared" si="51"/>
        <v>0</v>
      </c>
      <c r="K31" s="128">
        <f t="shared" si="51"/>
        <v>0</v>
      </c>
      <c r="L31" s="128">
        <f t="shared" si="51"/>
        <v>0</v>
      </c>
      <c r="M31" s="128">
        <f t="shared" si="51"/>
        <v>0</v>
      </c>
      <c r="N31" s="128">
        <f t="shared" si="51"/>
        <v>0</v>
      </c>
      <c r="O31" s="128">
        <f t="shared" ref="O31" si="52">O7/O26</f>
        <v>32.023224653863331</v>
      </c>
      <c r="P31" s="128">
        <f t="shared" si="51"/>
        <v>32.023224653863331</v>
      </c>
      <c r="Q31" s="118" t="e">
        <f t="shared" si="46"/>
        <v>#DIV/0!</v>
      </c>
      <c r="R31" s="31">
        <v>0.1</v>
      </c>
      <c r="S31" s="119">
        <f t="shared" si="47"/>
        <v>35.225547119249669</v>
      </c>
      <c r="T31" s="119">
        <f t="shared" si="48"/>
        <v>38.748101831174637</v>
      </c>
      <c r="U31" s="119">
        <f t="shared" si="48"/>
        <v>42.622912014292105</v>
      </c>
      <c r="V31" s="119">
        <f t="shared" si="48"/>
        <v>46.885203215721319</v>
      </c>
      <c r="W31" s="119">
        <f t="shared" si="48"/>
        <v>51.573723537293453</v>
      </c>
      <c r="X31" s="119">
        <f t="shared" si="48"/>
        <v>56.731095891022804</v>
      </c>
      <c r="Y31" s="119">
        <f t="shared" si="48"/>
        <v>62.404205480125093</v>
      </c>
      <c r="Z31" s="119">
        <f t="shared" si="48"/>
        <v>68.644626028137608</v>
      </c>
      <c r="AA31" s="119">
        <f t="shared" si="48"/>
        <v>75.509088630951382</v>
      </c>
      <c r="AB31" s="119">
        <f t="shared" si="48"/>
        <v>83.059997494046527</v>
      </c>
      <c r="AC31" s="118">
        <f>((AB31/O31)^(1/($AB$4-$H$2) ))-1</f>
        <v>9.0510154068325965E-2</v>
      </c>
    </row>
    <row r="32" spans="2:29">
      <c r="B32" s="20" t="s">
        <v>247</v>
      </c>
      <c r="C32" s="128">
        <f t="shared" ref="C32:P32" si="53">C11/C26</f>
        <v>0</v>
      </c>
      <c r="D32" s="128">
        <f t="shared" si="53"/>
        <v>0</v>
      </c>
      <c r="E32" s="128">
        <f t="shared" si="53"/>
        <v>0</v>
      </c>
      <c r="F32" s="128">
        <f t="shared" si="53"/>
        <v>0</v>
      </c>
      <c r="G32" s="128">
        <f t="shared" si="53"/>
        <v>0</v>
      </c>
      <c r="H32" s="128">
        <f t="shared" si="53"/>
        <v>0</v>
      </c>
      <c r="I32" s="128">
        <f t="shared" si="53"/>
        <v>0</v>
      </c>
      <c r="J32" s="128">
        <f t="shared" si="53"/>
        <v>0</v>
      </c>
      <c r="K32" s="128">
        <f t="shared" si="53"/>
        <v>0</v>
      </c>
      <c r="L32" s="128">
        <f t="shared" si="53"/>
        <v>0</v>
      </c>
      <c r="M32" s="128">
        <f t="shared" si="53"/>
        <v>0</v>
      </c>
      <c r="N32" s="135">
        <f t="shared" si="53"/>
        <v>0</v>
      </c>
      <c r="O32" s="135">
        <f t="shared" ref="O32" si="54">O11/O26</f>
        <v>19.160339437248773</v>
      </c>
      <c r="P32" s="135">
        <f t="shared" si="53"/>
        <v>19.160339437248773</v>
      </c>
      <c r="Q32" s="118" t="e">
        <f t="shared" si="46"/>
        <v>#DIV/0!</v>
      </c>
      <c r="R32" s="31">
        <v>0.1</v>
      </c>
      <c r="S32" s="119">
        <f t="shared" si="47"/>
        <v>21.076373380973653</v>
      </c>
      <c r="T32" s="119">
        <f t="shared" si="48"/>
        <v>23.184010719071019</v>
      </c>
      <c r="U32" s="119">
        <f t="shared" si="48"/>
        <v>25.502411790978122</v>
      </c>
      <c r="V32" s="119">
        <f t="shared" si="48"/>
        <v>28.052652970075936</v>
      </c>
      <c r="W32" s="119">
        <f t="shared" si="48"/>
        <v>30.857918267083534</v>
      </c>
      <c r="X32" s="119">
        <f t="shared" si="48"/>
        <v>33.943710093791893</v>
      </c>
      <c r="Y32" s="119">
        <f t="shared" si="48"/>
        <v>37.338081103171085</v>
      </c>
      <c r="Z32" s="119">
        <f t="shared" si="48"/>
        <v>41.071889213488198</v>
      </c>
      <c r="AA32" s="119">
        <f t="shared" si="48"/>
        <v>45.17907813483702</v>
      </c>
      <c r="AB32" s="119">
        <f t="shared" si="48"/>
        <v>49.696985948320723</v>
      </c>
      <c r="AC32" s="118">
        <f>((AB32/O32)^(1/($AB$4-$H$2) ))-1</f>
        <v>9.0510154068325965E-2</v>
      </c>
    </row>
    <row r="33" spans="2:29">
      <c r="B33" s="20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9"/>
      <c r="R33" s="12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8"/>
    </row>
    <row r="34" spans="2:29">
      <c r="B34" s="20" t="s">
        <v>274</v>
      </c>
      <c r="C34" s="128">
        <f>(C8-C11)/C26</f>
        <v>0</v>
      </c>
      <c r="D34" s="128">
        <f t="shared" ref="D34:P34" si="55">(D8-D11)/D26</f>
        <v>0</v>
      </c>
      <c r="E34" s="128">
        <f t="shared" si="55"/>
        <v>0</v>
      </c>
      <c r="F34" s="128">
        <f t="shared" si="55"/>
        <v>0</v>
      </c>
      <c r="G34" s="128">
        <f t="shared" si="55"/>
        <v>0</v>
      </c>
      <c r="H34" s="128">
        <f t="shared" si="55"/>
        <v>0</v>
      </c>
      <c r="I34" s="128">
        <f t="shared" si="55"/>
        <v>0</v>
      </c>
      <c r="J34" s="128">
        <f t="shared" si="55"/>
        <v>0</v>
      </c>
      <c r="K34" s="128">
        <f t="shared" si="55"/>
        <v>0</v>
      </c>
      <c r="L34" s="128">
        <f t="shared" si="55"/>
        <v>0</v>
      </c>
      <c r="M34" s="128">
        <f t="shared" si="55"/>
        <v>0</v>
      </c>
      <c r="N34" s="128">
        <f t="shared" si="55"/>
        <v>0</v>
      </c>
      <c r="O34" s="128">
        <f t="shared" ref="O34" si="56">(O8-O11)/O26</f>
        <v>19.205002233139794</v>
      </c>
      <c r="P34" s="128">
        <f t="shared" si="55"/>
        <v>19.205002233139794</v>
      </c>
      <c r="Q34" s="118" t="e">
        <f t="shared" si="46"/>
        <v>#DIV/0!</v>
      </c>
      <c r="R34" s="31">
        <v>0.1</v>
      </c>
      <c r="S34" s="119">
        <f t="shared" ref="S34" si="57">P34*(1+$R34)</f>
        <v>21.125502456453773</v>
      </c>
      <c r="T34" s="119">
        <f t="shared" ref="T34" si="58">S34*(1+$R34)</f>
        <v>23.238052702099154</v>
      </c>
      <c r="U34" s="119">
        <f t="shared" ref="U34" si="59">T34*(1+$R34)</f>
        <v>25.56185797230907</v>
      </c>
      <c r="V34" s="119">
        <f t="shared" ref="V34" si="60">U34*(1+$R34)</f>
        <v>28.11804376953998</v>
      </c>
      <c r="W34" s="119">
        <f t="shared" ref="W34" si="61">V34*(1+$R34)</f>
        <v>30.929848146493981</v>
      </c>
      <c r="X34" s="119">
        <f t="shared" ref="X34" si="62">W34*(1+$R34)</f>
        <v>34.022832961143379</v>
      </c>
      <c r="Y34" s="119">
        <f t="shared" ref="Y34" si="63">X34*(1+$R34)</f>
        <v>37.42511625725772</v>
      </c>
      <c r="Z34" s="119">
        <f t="shared" ref="Z34" si="64">Y34*(1+$R34)</f>
        <v>41.167627882983496</v>
      </c>
      <c r="AA34" s="119">
        <f t="shared" ref="AA34" si="65">Z34*(1+$R34)</f>
        <v>45.284390671281848</v>
      </c>
      <c r="AB34" s="119">
        <f t="shared" ref="AB34" si="66">AA34*(1+$R34)</f>
        <v>49.812829738410038</v>
      </c>
      <c r="AC34" s="118">
        <f>((AB34/O34)^(1/($AB$4-$H$2) ))-1</f>
        <v>9.0510154068325965E-2</v>
      </c>
    </row>
    <row r="35" spans="2:29">
      <c r="B35" s="20" t="s">
        <v>275</v>
      </c>
      <c r="C35" s="128">
        <f>(C8-C11-C10)/C26</f>
        <v>0</v>
      </c>
      <c r="D35" s="128">
        <f t="shared" ref="D35:P35" si="67">(D8-D11-D10)/D26</f>
        <v>0</v>
      </c>
      <c r="E35" s="128">
        <f t="shared" si="67"/>
        <v>0</v>
      </c>
      <c r="F35" s="128">
        <f t="shared" si="67"/>
        <v>0</v>
      </c>
      <c r="G35" s="128">
        <f t="shared" si="67"/>
        <v>0</v>
      </c>
      <c r="H35" s="128">
        <f t="shared" si="67"/>
        <v>0</v>
      </c>
      <c r="I35" s="128">
        <f t="shared" si="67"/>
        <v>0</v>
      </c>
      <c r="J35" s="128">
        <f t="shared" si="67"/>
        <v>0</v>
      </c>
      <c r="K35" s="128">
        <f t="shared" si="67"/>
        <v>0</v>
      </c>
      <c r="L35" s="128">
        <f t="shared" si="67"/>
        <v>0</v>
      </c>
      <c r="M35" s="128">
        <f t="shared" si="67"/>
        <v>0</v>
      </c>
      <c r="N35" s="128">
        <f t="shared" si="67"/>
        <v>0</v>
      </c>
      <c r="O35" s="128">
        <f t="shared" ref="O35" si="68">(O8-O11-O10)/O26</f>
        <v>15.096025011165699</v>
      </c>
      <c r="P35" s="128">
        <f t="shared" si="67"/>
        <v>15.096025011165699</v>
      </c>
      <c r="Q35" s="118" t="e">
        <f t="shared" si="46"/>
        <v>#DIV/0!</v>
      </c>
      <c r="R35" s="31">
        <v>0.1</v>
      </c>
      <c r="S35" s="119">
        <f t="shared" ref="S35" si="69">P35*(1+$R35)</f>
        <v>16.605627512282268</v>
      </c>
      <c r="T35" s="119">
        <f t="shared" ref="T35" si="70">S35*(1+$R35)</f>
        <v>18.266190263510495</v>
      </c>
      <c r="U35" s="119">
        <f t="shared" ref="U35" si="71">T35*(1+$R35)</f>
        <v>20.092809289861545</v>
      </c>
      <c r="V35" s="119">
        <f t="shared" ref="V35" si="72">U35*(1+$R35)</f>
        <v>22.102090218847703</v>
      </c>
      <c r="W35" s="119">
        <f t="shared" ref="W35" si="73">V35*(1+$R35)</f>
        <v>24.312299240732475</v>
      </c>
      <c r="X35" s="119">
        <f t="shared" ref="X35" si="74">W35*(1+$R35)</f>
        <v>26.743529164805725</v>
      </c>
      <c r="Y35" s="119">
        <f t="shared" ref="Y35" si="75">X35*(1+$R35)</f>
        <v>29.417882081286301</v>
      </c>
      <c r="Z35" s="119">
        <f t="shared" ref="Z35" si="76">Y35*(1+$R35)</f>
        <v>32.359670289414936</v>
      </c>
      <c r="AA35" s="119">
        <f t="shared" ref="AA35" si="77">Z35*(1+$R35)</f>
        <v>35.595637318356431</v>
      </c>
      <c r="AB35" s="119">
        <f t="shared" ref="AB35" si="78">AA35*(1+$R35)</f>
        <v>39.155201050192076</v>
      </c>
      <c r="AC35" s="118">
        <f>((AB35/O35)^(1/($AB$4-$H$2) ))-1</f>
        <v>9.0510154068325965E-2</v>
      </c>
    </row>
    <row r="36" spans="2:29">
      <c r="B36" s="20" t="s">
        <v>280</v>
      </c>
      <c r="C36" s="128">
        <f>(C8+C14-C11-C10)/C26</f>
        <v>0</v>
      </c>
      <c r="D36" s="128">
        <f t="shared" ref="D36:P36" si="79">(D8+D14-D11-D10)/D26</f>
        <v>0</v>
      </c>
      <c r="E36" s="128">
        <f t="shared" si="79"/>
        <v>0</v>
      </c>
      <c r="F36" s="128">
        <f t="shared" si="79"/>
        <v>0</v>
      </c>
      <c r="G36" s="128">
        <f t="shared" si="79"/>
        <v>0</v>
      </c>
      <c r="H36" s="128">
        <f t="shared" si="79"/>
        <v>0</v>
      </c>
      <c r="I36" s="128">
        <f t="shared" si="79"/>
        <v>0</v>
      </c>
      <c r="J36" s="128">
        <f t="shared" si="79"/>
        <v>0</v>
      </c>
      <c r="K36" s="128">
        <f t="shared" si="79"/>
        <v>0</v>
      </c>
      <c r="L36" s="128">
        <f t="shared" si="79"/>
        <v>0</v>
      </c>
      <c r="M36" s="128">
        <f t="shared" si="79"/>
        <v>0</v>
      </c>
      <c r="N36" s="128">
        <f t="shared" si="79"/>
        <v>0</v>
      </c>
      <c r="O36" s="128">
        <f t="shared" ref="O36" si="80">(O8+O14-O11-O10)/O26</f>
        <v>48.235819562304599</v>
      </c>
      <c r="P36" s="128">
        <f t="shared" si="79"/>
        <v>48.235819562304599</v>
      </c>
      <c r="Q36" s="118" t="e">
        <f t="shared" ref="Q36" si="81">((P36/N36)^(1/($H$3-$H$2) ))-1</f>
        <v>#DIV/0!</v>
      </c>
      <c r="R36" s="31">
        <v>0.1</v>
      </c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8"/>
    </row>
    <row r="37" spans="2:29">
      <c r="B37" s="20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9"/>
      <c r="R37" s="12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8"/>
    </row>
    <row r="38" spans="2:29">
      <c r="B38" s="20" t="s">
        <v>248</v>
      </c>
      <c r="C38" s="128">
        <f t="shared" ref="C38:P38" si="82">C12/C26</f>
        <v>0</v>
      </c>
      <c r="D38" s="128">
        <f t="shared" si="82"/>
        <v>0</v>
      </c>
      <c r="E38" s="128">
        <f t="shared" si="82"/>
        <v>0</v>
      </c>
      <c r="F38" s="128">
        <f t="shared" si="82"/>
        <v>0</v>
      </c>
      <c r="G38" s="128">
        <f t="shared" si="82"/>
        <v>0</v>
      </c>
      <c r="H38" s="128">
        <f t="shared" si="82"/>
        <v>0</v>
      </c>
      <c r="I38" s="128">
        <f t="shared" si="82"/>
        <v>0</v>
      </c>
      <c r="J38" s="128">
        <f t="shared" si="82"/>
        <v>0</v>
      </c>
      <c r="K38" s="128">
        <f t="shared" si="82"/>
        <v>0</v>
      </c>
      <c r="L38" s="128">
        <f t="shared" si="82"/>
        <v>0</v>
      </c>
      <c r="M38" s="128">
        <f t="shared" si="82"/>
        <v>0</v>
      </c>
      <c r="N38" s="128">
        <f t="shared" si="82"/>
        <v>0</v>
      </c>
      <c r="O38" s="128">
        <f t="shared" ref="O38" si="83">O12/O26</f>
        <v>5.8954890576150065</v>
      </c>
      <c r="P38" s="128">
        <f t="shared" si="82"/>
        <v>5.8954890576150065</v>
      </c>
      <c r="Q38" s="118" t="e">
        <f t="shared" si="46"/>
        <v>#DIV/0!</v>
      </c>
      <c r="R38" s="31">
        <v>0.1</v>
      </c>
      <c r="S38" s="119">
        <f t="shared" ref="S38:S42" si="84">P38*(1+$R38)</f>
        <v>6.4850379633765076</v>
      </c>
      <c r="T38" s="119">
        <f t="shared" ref="T38:AB42" si="85">S38*(1+$R38)</f>
        <v>7.1335417597141593</v>
      </c>
      <c r="U38" s="119">
        <f t="shared" si="85"/>
        <v>7.8468959356855761</v>
      </c>
      <c r="V38" s="119">
        <f t="shared" si="85"/>
        <v>8.631585529254135</v>
      </c>
      <c r="W38" s="119">
        <f t="shared" si="85"/>
        <v>9.4947440821795492</v>
      </c>
      <c r="X38" s="119">
        <f t="shared" si="85"/>
        <v>10.444218490397505</v>
      </c>
      <c r="Y38" s="119">
        <f t="shared" si="85"/>
        <v>11.488640339437257</v>
      </c>
      <c r="Z38" s="119">
        <f t="shared" si="85"/>
        <v>12.637504373380985</v>
      </c>
      <c r="AA38" s="119">
        <f t="shared" si="85"/>
        <v>13.901254810719085</v>
      </c>
      <c r="AB38" s="119">
        <f t="shared" si="85"/>
        <v>15.291380291790993</v>
      </c>
      <c r="AC38" s="118">
        <f>((AB38/O38)^(1/($AB$4-$H$2) ))-1</f>
        <v>9.0510154068325965E-2</v>
      </c>
    </row>
    <row r="39" spans="2:29">
      <c r="B39" s="20" t="s">
        <v>255</v>
      </c>
      <c r="C39" s="128">
        <f t="shared" ref="C39:P39" si="86">C13/C26</f>
        <v>0</v>
      </c>
      <c r="D39" s="128">
        <f t="shared" si="86"/>
        <v>0</v>
      </c>
      <c r="E39" s="128">
        <f t="shared" si="86"/>
        <v>0</v>
      </c>
      <c r="F39" s="128">
        <f t="shared" si="86"/>
        <v>0</v>
      </c>
      <c r="G39" s="128">
        <f t="shared" si="86"/>
        <v>0</v>
      </c>
      <c r="H39" s="128">
        <f t="shared" si="86"/>
        <v>0</v>
      </c>
      <c r="I39" s="128">
        <f t="shared" si="86"/>
        <v>0</v>
      </c>
      <c r="J39" s="128">
        <f t="shared" si="86"/>
        <v>0</v>
      </c>
      <c r="K39" s="128">
        <f t="shared" si="86"/>
        <v>0</v>
      </c>
      <c r="L39" s="128">
        <f t="shared" si="86"/>
        <v>0</v>
      </c>
      <c r="M39" s="128">
        <f t="shared" si="86"/>
        <v>0</v>
      </c>
      <c r="N39" s="128">
        <f t="shared" si="86"/>
        <v>0</v>
      </c>
      <c r="O39" s="128">
        <f t="shared" ref="O39" si="87">O13/O26</f>
        <v>5.9848146493970518</v>
      </c>
      <c r="P39" s="128">
        <f t="shared" si="86"/>
        <v>5.9848146493970518</v>
      </c>
      <c r="Q39" s="118" t="e">
        <f t="shared" si="46"/>
        <v>#DIV/0!</v>
      </c>
      <c r="R39" s="31">
        <v>0.1</v>
      </c>
      <c r="S39" s="119">
        <f t="shared" si="84"/>
        <v>6.5832961143367577</v>
      </c>
      <c r="T39" s="119">
        <f t="shared" si="85"/>
        <v>7.241625725770434</v>
      </c>
      <c r="U39" s="119">
        <f t="shared" si="85"/>
        <v>7.9657882983474781</v>
      </c>
      <c r="V39" s="119">
        <f t="shared" si="85"/>
        <v>8.7623671281822268</v>
      </c>
      <c r="W39" s="119">
        <f t="shared" si="85"/>
        <v>9.6386038410004495</v>
      </c>
      <c r="X39" s="119">
        <f t="shared" si="85"/>
        <v>10.602464225100496</v>
      </c>
      <c r="Y39" s="119">
        <f t="shared" si="85"/>
        <v>11.662710647610547</v>
      </c>
      <c r="Z39" s="119">
        <f t="shared" si="85"/>
        <v>12.828981712371602</v>
      </c>
      <c r="AA39" s="119">
        <f t="shared" si="85"/>
        <v>14.111879883608763</v>
      </c>
      <c r="AB39" s="119">
        <f t="shared" si="85"/>
        <v>15.523067871969641</v>
      </c>
      <c r="AC39" s="118">
        <f>((AB39/O39)^(1/($AB$4-$H$2) ))-1</f>
        <v>9.0510154068325965E-2</v>
      </c>
    </row>
    <row r="40" spans="2:29">
      <c r="B40" s="20" t="s">
        <v>256</v>
      </c>
      <c r="C40" s="128">
        <f>(C38+C39)</f>
        <v>0</v>
      </c>
      <c r="D40" s="128">
        <f t="shared" ref="D40:P40" si="88">(D38+D39)</f>
        <v>0</v>
      </c>
      <c r="E40" s="128">
        <f t="shared" si="88"/>
        <v>0</v>
      </c>
      <c r="F40" s="128">
        <f t="shared" si="88"/>
        <v>0</v>
      </c>
      <c r="G40" s="128">
        <f t="shared" si="88"/>
        <v>0</v>
      </c>
      <c r="H40" s="128">
        <f t="shared" si="88"/>
        <v>0</v>
      </c>
      <c r="I40" s="128">
        <f t="shared" si="88"/>
        <v>0</v>
      </c>
      <c r="J40" s="128">
        <f t="shared" si="88"/>
        <v>0</v>
      </c>
      <c r="K40" s="128">
        <f t="shared" si="88"/>
        <v>0</v>
      </c>
      <c r="L40" s="128">
        <f t="shared" si="88"/>
        <v>0</v>
      </c>
      <c r="M40" s="128">
        <f t="shared" si="88"/>
        <v>0</v>
      </c>
      <c r="N40" s="128">
        <f t="shared" si="88"/>
        <v>0</v>
      </c>
      <c r="O40" s="128">
        <f t="shared" ref="O40" si="89">(O38+O39)</f>
        <v>11.880303707012057</v>
      </c>
      <c r="P40" s="128">
        <f t="shared" si="88"/>
        <v>11.880303707012057</v>
      </c>
      <c r="Q40" s="118" t="e">
        <f t="shared" si="46"/>
        <v>#DIV/0!</v>
      </c>
      <c r="R40" s="31">
        <v>0.1</v>
      </c>
      <c r="S40" s="119">
        <f t="shared" si="84"/>
        <v>13.068334077713263</v>
      </c>
      <c r="T40" s="119">
        <f t="shared" si="85"/>
        <v>14.375167485484591</v>
      </c>
      <c r="U40" s="119">
        <f t="shared" si="85"/>
        <v>15.812684234033052</v>
      </c>
      <c r="V40" s="119">
        <f t="shared" si="85"/>
        <v>17.393952657436358</v>
      </c>
      <c r="W40" s="119">
        <f t="shared" si="85"/>
        <v>19.133347923179997</v>
      </c>
      <c r="X40" s="119">
        <f t="shared" si="85"/>
        <v>21.046682715497997</v>
      </c>
      <c r="Y40" s="119">
        <f t="shared" si="85"/>
        <v>23.151350987047799</v>
      </c>
      <c r="Z40" s="119">
        <f t="shared" si="85"/>
        <v>25.466486085752582</v>
      </c>
      <c r="AA40" s="119">
        <f t="shared" si="85"/>
        <v>28.013134694327842</v>
      </c>
      <c r="AB40" s="119">
        <f t="shared" si="85"/>
        <v>30.81444816376063</v>
      </c>
      <c r="AC40" s="118">
        <f>((AB40/O40)^(1/($AB$4-$H$2) ))-1</f>
        <v>9.0510154068325965E-2</v>
      </c>
    </row>
    <row r="41" spans="2:29">
      <c r="B41" s="20" t="s">
        <v>249</v>
      </c>
      <c r="C41" s="128">
        <f t="shared" ref="C41:P41" si="90">C14/C26</f>
        <v>0</v>
      </c>
      <c r="D41" s="128">
        <f t="shared" si="90"/>
        <v>0</v>
      </c>
      <c r="E41" s="128">
        <f t="shared" si="90"/>
        <v>0</v>
      </c>
      <c r="F41" s="128">
        <f t="shared" si="90"/>
        <v>0</v>
      </c>
      <c r="G41" s="128">
        <f t="shared" si="90"/>
        <v>0</v>
      </c>
      <c r="H41" s="128">
        <f t="shared" si="90"/>
        <v>0</v>
      </c>
      <c r="I41" s="128">
        <f t="shared" si="90"/>
        <v>0</v>
      </c>
      <c r="J41" s="128">
        <f t="shared" si="90"/>
        <v>0</v>
      </c>
      <c r="K41" s="128">
        <f t="shared" si="90"/>
        <v>0</v>
      </c>
      <c r="L41" s="128">
        <f t="shared" si="90"/>
        <v>0</v>
      </c>
      <c r="M41" s="128">
        <f t="shared" si="90"/>
        <v>0</v>
      </c>
      <c r="N41" s="128">
        <f t="shared" si="90"/>
        <v>0</v>
      </c>
      <c r="O41" s="128">
        <f t="shared" ref="O41" si="91">O14/O26</f>
        <v>33.139794551138898</v>
      </c>
      <c r="P41" s="128">
        <f t="shared" si="90"/>
        <v>33.139794551138898</v>
      </c>
      <c r="Q41" s="118" t="e">
        <f t="shared" si="46"/>
        <v>#DIV/0!</v>
      </c>
      <c r="R41" s="31">
        <v>0.1</v>
      </c>
      <c r="S41" s="119">
        <f t="shared" si="84"/>
        <v>36.453774006252793</v>
      </c>
      <c r="T41" s="119">
        <f t="shared" si="85"/>
        <v>40.099151406878079</v>
      </c>
      <c r="U41" s="119">
        <f t="shared" si="85"/>
        <v>44.109066547565888</v>
      </c>
      <c r="V41" s="119">
        <f t="shared" si="85"/>
        <v>48.519973202322483</v>
      </c>
      <c r="W41" s="119">
        <f t="shared" si="85"/>
        <v>53.371970522554733</v>
      </c>
      <c r="X41" s="119">
        <f t="shared" si="85"/>
        <v>58.709167574810209</v>
      </c>
      <c r="Y41" s="119">
        <f t="shared" si="85"/>
        <v>64.580084332291236</v>
      </c>
      <c r="Z41" s="119">
        <f t="shared" si="85"/>
        <v>71.038092765520361</v>
      </c>
      <c r="AA41" s="119">
        <f t="shared" si="85"/>
        <v>78.141902042072402</v>
      </c>
      <c r="AB41" s="119">
        <f t="shared" si="85"/>
        <v>85.956092246279653</v>
      </c>
      <c r="AC41" s="118">
        <f>((AB41/O41)^(1/($AB$4-$H$2) ))-1</f>
        <v>9.0510154068325965E-2</v>
      </c>
    </row>
    <row r="42" spans="2:29">
      <c r="B42" s="20" t="s">
        <v>250</v>
      </c>
      <c r="C42" s="128">
        <f t="shared" ref="C42:P42" si="92">C15/C26</f>
        <v>0</v>
      </c>
      <c r="D42" s="128">
        <f t="shared" si="92"/>
        <v>0</v>
      </c>
      <c r="E42" s="128">
        <f t="shared" si="92"/>
        <v>0</v>
      </c>
      <c r="F42" s="128">
        <f t="shared" si="92"/>
        <v>0</v>
      </c>
      <c r="G42" s="128">
        <f t="shared" si="92"/>
        <v>0</v>
      </c>
      <c r="H42" s="128">
        <f t="shared" si="92"/>
        <v>0</v>
      </c>
      <c r="I42" s="128">
        <f t="shared" si="92"/>
        <v>0</v>
      </c>
      <c r="J42" s="128">
        <f t="shared" si="92"/>
        <v>0</v>
      </c>
      <c r="K42" s="128">
        <f t="shared" si="92"/>
        <v>0</v>
      </c>
      <c r="L42" s="128">
        <f t="shared" si="92"/>
        <v>0</v>
      </c>
      <c r="M42" s="128">
        <f t="shared" si="92"/>
        <v>0</v>
      </c>
      <c r="N42" s="128">
        <f t="shared" si="92"/>
        <v>0</v>
      </c>
      <c r="O42" s="128">
        <f t="shared" ref="O42" si="93">O15/O26</f>
        <v>27.15497990174185</v>
      </c>
      <c r="P42" s="128">
        <f t="shared" si="92"/>
        <v>27.15497990174185</v>
      </c>
      <c r="Q42" s="118" t="e">
        <f t="shared" si="46"/>
        <v>#DIV/0!</v>
      </c>
      <c r="R42" s="31">
        <v>0.1</v>
      </c>
      <c r="S42" s="119">
        <f t="shared" si="84"/>
        <v>29.870477891916039</v>
      </c>
      <c r="T42" s="119">
        <f t="shared" si="85"/>
        <v>32.857525681107646</v>
      </c>
      <c r="U42" s="119">
        <f t="shared" si="85"/>
        <v>36.143278249218412</v>
      </c>
      <c r="V42" s="119">
        <f t="shared" si="85"/>
        <v>39.757606074140256</v>
      </c>
      <c r="W42" s="119">
        <f t="shared" si="85"/>
        <v>43.733366681554287</v>
      </c>
      <c r="X42" s="119">
        <f t="shared" si="85"/>
        <v>48.106703349709719</v>
      </c>
      <c r="Y42" s="119">
        <f t="shared" si="85"/>
        <v>52.917373684680697</v>
      </c>
      <c r="Z42" s="119">
        <f t="shared" si="85"/>
        <v>58.209111053148774</v>
      </c>
      <c r="AA42" s="119">
        <f t="shared" si="85"/>
        <v>64.030022158463652</v>
      </c>
      <c r="AB42" s="119">
        <f t="shared" si="85"/>
        <v>70.433024374310023</v>
      </c>
      <c r="AC42" s="118">
        <f>((AB42/O42)^(1/($AB$4-$H$2) ))-1</f>
        <v>9.0510154068325965E-2</v>
      </c>
    </row>
    <row r="43" spans="2:29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129"/>
      <c r="R43" s="12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29"/>
    </row>
    <row r="44" spans="2:29">
      <c r="B44" s="108" t="s">
        <v>83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129"/>
      <c r="R44" s="12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29"/>
    </row>
    <row r="45" spans="2:29">
      <c r="B45" s="20" t="s">
        <v>82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118" t="e">
        <f t="shared" ref="Q45:Q51" si="94">((P45/N45)^(1/($H$3-$H$2) ))-1</f>
        <v>#DIV/0!</v>
      </c>
      <c r="R45" s="31">
        <v>0.1</v>
      </c>
      <c r="S45" s="119">
        <f t="shared" ref="S45:S51" si="95">P45*(1+$R45)</f>
        <v>0</v>
      </c>
      <c r="T45" s="119">
        <f t="shared" ref="T45:AB51" si="96">S45*(1+$R45)</f>
        <v>0</v>
      </c>
      <c r="U45" s="119">
        <f t="shared" si="96"/>
        <v>0</v>
      </c>
      <c r="V45" s="119">
        <f t="shared" si="96"/>
        <v>0</v>
      </c>
      <c r="W45" s="119">
        <f t="shared" si="96"/>
        <v>0</v>
      </c>
      <c r="X45" s="119">
        <f t="shared" si="96"/>
        <v>0</v>
      </c>
      <c r="Y45" s="119">
        <f t="shared" si="96"/>
        <v>0</v>
      </c>
      <c r="Z45" s="119">
        <f t="shared" si="96"/>
        <v>0</v>
      </c>
      <c r="AA45" s="119">
        <f t="shared" si="96"/>
        <v>0</v>
      </c>
      <c r="AB45" s="119">
        <f t="shared" si="96"/>
        <v>0</v>
      </c>
      <c r="AC45" s="118" t="e">
        <f>((AB45/O45)^(1/($AB$4-$H$2) ))-1</f>
        <v>#DIV/0!</v>
      </c>
    </row>
    <row r="46" spans="2:29">
      <c r="B46" s="20" t="s">
        <v>84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118" t="e">
        <f t="shared" si="94"/>
        <v>#DIV/0!</v>
      </c>
      <c r="R46" s="31">
        <v>0.1</v>
      </c>
      <c r="S46" s="119">
        <f t="shared" si="95"/>
        <v>0</v>
      </c>
      <c r="T46" s="119">
        <f t="shared" si="96"/>
        <v>0</v>
      </c>
      <c r="U46" s="119">
        <f t="shared" si="96"/>
        <v>0</v>
      </c>
      <c r="V46" s="119">
        <f t="shared" si="96"/>
        <v>0</v>
      </c>
      <c r="W46" s="119">
        <f t="shared" si="96"/>
        <v>0</v>
      </c>
      <c r="X46" s="119">
        <f t="shared" si="96"/>
        <v>0</v>
      </c>
      <c r="Y46" s="119">
        <f t="shared" si="96"/>
        <v>0</v>
      </c>
      <c r="Z46" s="119">
        <f t="shared" si="96"/>
        <v>0</v>
      </c>
      <c r="AA46" s="119">
        <f t="shared" si="96"/>
        <v>0</v>
      </c>
      <c r="AB46" s="119">
        <f t="shared" si="96"/>
        <v>0</v>
      </c>
      <c r="AC46" s="118" t="e">
        <f>((AB46/O46)^(1/($AB$4-$H$2) ))-1</f>
        <v>#DIV/0!</v>
      </c>
    </row>
    <row r="47" spans="2:29">
      <c r="B47" s="20" t="s">
        <v>85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118" t="e">
        <f t="shared" si="94"/>
        <v>#DIV/0!</v>
      </c>
      <c r="R47" s="31">
        <v>0.1</v>
      </c>
      <c r="S47" s="119">
        <f t="shared" si="95"/>
        <v>0</v>
      </c>
      <c r="T47" s="119">
        <f t="shared" si="96"/>
        <v>0</v>
      </c>
      <c r="U47" s="119">
        <f t="shared" si="96"/>
        <v>0</v>
      </c>
      <c r="V47" s="119">
        <f t="shared" si="96"/>
        <v>0</v>
      </c>
      <c r="W47" s="119">
        <f t="shared" si="96"/>
        <v>0</v>
      </c>
      <c r="X47" s="119">
        <f t="shared" si="96"/>
        <v>0</v>
      </c>
      <c r="Y47" s="119">
        <f t="shared" si="96"/>
        <v>0</v>
      </c>
      <c r="Z47" s="119">
        <f t="shared" si="96"/>
        <v>0</v>
      </c>
      <c r="AA47" s="119">
        <f t="shared" si="96"/>
        <v>0</v>
      </c>
      <c r="AB47" s="119">
        <f t="shared" si="96"/>
        <v>0</v>
      </c>
      <c r="AC47" s="118" t="e">
        <f>((AB47/O47)^(1/($AB$4-$H$2) ))-1</f>
        <v>#DIV/0!</v>
      </c>
    </row>
    <row r="48" spans="2:29">
      <c r="B48" s="20" t="s">
        <v>81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118" t="e">
        <f t="shared" si="94"/>
        <v>#DIV/0!</v>
      </c>
      <c r="R48" s="31">
        <v>0.1</v>
      </c>
      <c r="S48" s="119">
        <f t="shared" si="95"/>
        <v>0</v>
      </c>
      <c r="T48" s="119">
        <f t="shared" si="96"/>
        <v>0</v>
      </c>
      <c r="U48" s="119">
        <f t="shared" si="96"/>
        <v>0</v>
      </c>
      <c r="V48" s="119">
        <f t="shared" si="96"/>
        <v>0</v>
      </c>
      <c r="W48" s="119">
        <f t="shared" si="96"/>
        <v>0</v>
      </c>
      <c r="X48" s="119">
        <f t="shared" si="96"/>
        <v>0</v>
      </c>
      <c r="Y48" s="119">
        <f t="shared" si="96"/>
        <v>0</v>
      </c>
      <c r="Z48" s="119">
        <f t="shared" si="96"/>
        <v>0</v>
      </c>
      <c r="AA48" s="119">
        <f t="shared" si="96"/>
        <v>0</v>
      </c>
      <c r="AB48" s="119">
        <f t="shared" si="96"/>
        <v>0</v>
      </c>
      <c r="AC48" s="118" t="e">
        <f>((AB48/O48)^(1/($AB$4-$H$2) ))-1</f>
        <v>#DIV/0!</v>
      </c>
    </row>
    <row r="49" spans="2:29">
      <c r="B49" s="20" t="s">
        <v>78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118" t="e">
        <f t="shared" si="94"/>
        <v>#DIV/0!</v>
      </c>
      <c r="R49" s="31">
        <v>0.1</v>
      </c>
      <c r="S49" s="119">
        <f t="shared" si="95"/>
        <v>0</v>
      </c>
      <c r="T49" s="119">
        <f t="shared" si="96"/>
        <v>0</v>
      </c>
      <c r="U49" s="119">
        <f t="shared" si="96"/>
        <v>0</v>
      </c>
      <c r="V49" s="119">
        <f t="shared" si="96"/>
        <v>0</v>
      </c>
      <c r="W49" s="119">
        <f t="shared" si="96"/>
        <v>0</v>
      </c>
      <c r="X49" s="119">
        <f t="shared" si="96"/>
        <v>0</v>
      </c>
      <c r="Y49" s="119">
        <f t="shared" si="96"/>
        <v>0</v>
      </c>
      <c r="Z49" s="119">
        <f t="shared" si="96"/>
        <v>0</v>
      </c>
      <c r="AA49" s="119">
        <f t="shared" si="96"/>
        <v>0</v>
      </c>
      <c r="AB49" s="119">
        <f t="shared" si="96"/>
        <v>0</v>
      </c>
      <c r="AC49" s="118" t="e">
        <f>((AB49/O49)^(1/($AB$4-$H$2) ))-1</f>
        <v>#DIV/0!</v>
      </c>
    </row>
    <row r="50" spans="2:29">
      <c r="B50" s="20" t="s">
        <v>79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118" t="e">
        <f t="shared" si="94"/>
        <v>#DIV/0!</v>
      </c>
      <c r="R50" s="31">
        <v>0.1</v>
      </c>
      <c r="S50" s="119">
        <f t="shared" si="95"/>
        <v>0</v>
      </c>
      <c r="T50" s="119">
        <f t="shared" si="96"/>
        <v>0</v>
      </c>
      <c r="U50" s="119">
        <f t="shared" si="96"/>
        <v>0</v>
      </c>
      <c r="V50" s="119">
        <f t="shared" si="96"/>
        <v>0</v>
      </c>
      <c r="W50" s="119">
        <f t="shared" si="96"/>
        <v>0</v>
      </c>
      <c r="X50" s="119">
        <f t="shared" si="96"/>
        <v>0</v>
      </c>
      <c r="Y50" s="119">
        <f t="shared" si="96"/>
        <v>0</v>
      </c>
      <c r="Z50" s="119">
        <f t="shared" si="96"/>
        <v>0</v>
      </c>
      <c r="AA50" s="119">
        <f t="shared" si="96"/>
        <v>0</v>
      </c>
      <c r="AB50" s="119">
        <f t="shared" si="96"/>
        <v>0</v>
      </c>
      <c r="AC50" s="118" t="e">
        <f>((AB50/O50)^(1/($AB$4-$H$2) ))-1</f>
        <v>#DIV/0!</v>
      </c>
    </row>
    <row r="51" spans="2:29">
      <c r="B51" s="20" t="s">
        <v>80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18" t="e">
        <f t="shared" si="94"/>
        <v>#DIV/0!</v>
      </c>
      <c r="R51" s="31">
        <v>0.1</v>
      </c>
      <c r="S51" s="119">
        <f t="shared" si="95"/>
        <v>0</v>
      </c>
      <c r="T51" s="119">
        <f t="shared" si="96"/>
        <v>0</v>
      </c>
      <c r="U51" s="119">
        <f t="shared" si="96"/>
        <v>0</v>
      </c>
      <c r="V51" s="119">
        <f t="shared" si="96"/>
        <v>0</v>
      </c>
      <c r="W51" s="119">
        <f t="shared" si="96"/>
        <v>0</v>
      </c>
      <c r="X51" s="119">
        <f t="shared" si="96"/>
        <v>0</v>
      </c>
      <c r="Y51" s="119">
        <f t="shared" si="96"/>
        <v>0</v>
      </c>
      <c r="Z51" s="119">
        <f t="shared" si="96"/>
        <v>0</v>
      </c>
      <c r="AA51" s="119">
        <f t="shared" si="96"/>
        <v>0</v>
      </c>
      <c r="AB51" s="119">
        <f t="shared" si="96"/>
        <v>0</v>
      </c>
      <c r="AC51" s="118" t="e">
        <f>((AB51/O51)^(1/($AB$4-$H$2) ))-1</f>
        <v>#DIV/0!</v>
      </c>
    </row>
    <row r="52" spans="2:29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2:29"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2:29">
      <c r="B54" s="108" t="s">
        <v>244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3"/>
      <c r="R54" s="23"/>
      <c r="S54" s="122" t="s">
        <v>66</v>
      </c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2:29">
      <c r="B55" s="20" t="s">
        <v>25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121">
        <f>PV($C$2, ($AB$4-$S$4), 0, -AB29)</f>
        <v>1.2769627168718785</v>
      </c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2:29">
      <c r="B56" s="20" t="s">
        <v>276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121">
        <f>PV($C$2, ($AB$4-$S$4), 0, -AB30)</f>
        <v>16.619863239287024</v>
      </c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2:29">
      <c r="B57" s="20" t="s">
        <v>277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121">
        <f>PV($C$2, ($AB$4-$S$4), 0, -AB31)</f>
        <v>13.872458606017224</v>
      </c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2:29">
      <c r="B58" s="20" t="s">
        <v>278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121">
        <f>PV($C$2, ($AB$4-$S$4), 0, -AB32)</f>
        <v>8.30025765966721</v>
      </c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2:29">
      <c r="B59" s="20" t="s">
        <v>279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121">
        <f>PV($C$2, ($AB$4-$S$4), 0, -AB38)</f>
        <v>2.5539254337437569</v>
      </c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2:29"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121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2:29">
      <c r="B61" s="20" t="s">
        <v>274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121">
        <f>PV($C$2, ($AB$4-$S$4), 0, -AB34)</f>
        <v>8.319605579619811</v>
      </c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2:29">
      <c r="B62" s="20" t="s">
        <v>275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121">
        <f>PV($C$2, ($AB$4-$S$4), 0, -AB35)</f>
        <v>6.5395969439802242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2:29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121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2:29">
      <c r="B64" s="20" t="s">
        <v>249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121">
        <f>PV($C$2, ($AB$4-$S$4), 0, -AB41)</f>
        <v>14.356156604832327</v>
      </c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2:29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121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2:29">
      <c r="B66" s="20" t="s">
        <v>250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121">
        <f>PV($C$2, ($AB$4-$S$4), 0, -AB42)</f>
        <v>11.763535331183364</v>
      </c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2:29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121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2:29">
      <c r="B68" s="108" t="s">
        <v>251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2:29">
      <c r="B69" s="20" t="s">
        <v>204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>
        <v>700</v>
      </c>
      <c r="N69" s="22">
        <v>750</v>
      </c>
      <c r="O69" s="22">
        <v>70</v>
      </c>
      <c r="P69" s="22">
        <v>820</v>
      </c>
      <c r="Q69" s="118">
        <f t="shared" ref="Q69:Q73" si="97">((P69/M69)^(1/($H$3-$H$2) ))-1</f>
        <v>1.4487948004696882E-2</v>
      </c>
      <c r="R69" s="31">
        <v>0.1</v>
      </c>
      <c r="S69" s="119">
        <f t="shared" ref="S69:S73" si="98">P69*(1+$R69)</f>
        <v>902.00000000000011</v>
      </c>
      <c r="T69" s="119">
        <f t="shared" ref="T69:AB73" si="99">S69*(1+$R69)</f>
        <v>992.20000000000016</v>
      </c>
      <c r="U69" s="119">
        <f t="shared" si="99"/>
        <v>1091.4200000000003</v>
      </c>
      <c r="V69" s="119">
        <f t="shared" si="99"/>
        <v>1200.5620000000004</v>
      </c>
      <c r="W69" s="119">
        <f t="shared" si="99"/>
        <v>1320.6182000000006</v>
      </c>
      <c r="X69" s="119">
        <f t="shared" si="99"/>
        <v>1452.6800200000007</v>
      </c>
      <c r="Y69" s="119">
        <f t="shared" si="99"/>
        <v>1597.9480220000009</v>
      </c>
      <c r="Z69" s="119">
        <f t="shared" si="99"/>
        <v>1757.7428242000012</v>
      </c>
      <c r="AA69" s="119">
        <f t="shared" si="99"/>
        <v>1933.5171066200014</v>
      </c>
      <c r="AB69" s="119">
        <f t="shared" si="99"/>
        <v>2126.8688172820016</v>
      </c>
      <c r="AC69" s="118">
        <f>((AB69/O69)^(1/($AB$4-$H$2) ))-1</f>
        <v>0.36390994705749202</v>
      </c>
    </row>
    <row r="70" spans="2:29">
      <c r="B70" s="20" t="s">
        <v>42</v>
      </c>
      <c r="C70" s="25" t="e">
        <f>C69/C29</f>
        <v>#DIV/0!</v>
      </c>
      <c r="D70" s="25" t="e">
        <f t="shared" ref="D70:P70" si="100">D69/D29</f>
        <v>#DIV/0!</v>
      </c>
      <c r="E70" s="25" t="e">
        <f t="shared" si="100"/>
        <v>#DIV/0!</v>
      </c>
      <c r="F70" s="25" t="e">
        <f t="shared" si="100"/>
        <v>#DIV/0!</v>
      </c>
      <c r="G70" s="25" t="e">
        <f t="shared" si="100"/>
        <v>#DIV/0!</v>
      </c>
      <c r="H70" s="25" t="e">
        <f t="shared" si="100"/>
        <v>#DIV/0!</v>
      </c>
      <c r="I70" s="25" t="e">
        <f t="shared" si="100"/>
        <v>#DIV/0!</v>
      </c>
      <c r="J70" s="25" t="e">
        <f t="shared" si="100"/>
        <v>#DIV/0!</v>
      </c>
      <c r="K70" s="25" t="e">
        <f t="shared" si="100"/>
        <v>#DIV/0!</v>
      </c>
      <c r="L70" s="25" t="e">
        <f t="shared" si="100"/>
        <v>#DIV/0!</v>
      </c>
      <c r="M70" s="25" t="e">
        <f t="shared" si="100"/>
        <v>#DIV/0!</v>
      </c>
      <c r="N70" s="25" t="e">
        <f t="shared" si="100"/>
        <v>#DIV/0!</v>
      </c>
      <c r="O70" s="25">
        <f t="shared" ref="O70" si="101">O69/O29</f>
        <v>23.746969696969696</v>
      </c>
      <c r="P70" s="25">
        <f t="shared" si="100"/>
        <v>278.17878787878789</v>
      </c>
      <c r="Q70" s="118" t="e">
        <f t="shared" si="97"/>
        <v>#DIV/0!</v>
      </c>
      <c r="R70" s="31">
        <v>0.1</v>
      </c>
      <c r="S70" s="119">
        <f t="shared" si="98"/>
        <v>305.99666666666673</v>
      </c>
      <c r="T70" s="119">
        <f t="shared" si="99"/>
        <v>336.5963333333334</v>
      </c>
      <c r="U70" s="119">
        <f t="shared" si="99"/>
        <v>370.25596666666678</v>
      </c>
      <c r="V70" s="119">
        <f t="shared" si="99"/>
        <v>407.28156333333351</v>
      </c>
      <c r="W70" s="119">
        <f t="shared" si="99"/>
        <v>448.00971966666691</v>
      </c>
      <c r="X70" s="119">
        <f t="shared" si="99"/>
        <v>492.81069163333365</v>
      </c>
      <c r="Y70" s="119">
        <f t="shared" si="99"/>
        <v>542.09176079666702</v>
      </c>
      <c r="Z70" s="119">
        <f t="shared" si="99"/>
        <v>596.30093687633382</v>
      </c>
      <c r="AA70" s="119">
        <f t="shared" si="99"/>
        <v>655.93103056396728</v>
      </c>
      <c r="AB70" s="119">
        <f t="shared" si="99"/>
        <v>721.52413362036407</v>
      </c>
      <c r="AC70" s="118">
        <f>((AB70/O70)^(1/($AB$4-$H$2) ))-1</f>
        <v>0.36390994705749202</v>
      </c>
    </row>
    <row r="71" spans="2:29">
      <c r="B71" s="20" t="s">
        <v>259</v>
      </c>
      <c r="C71" s="25" t="e">
        <f>C69/C31</f>
        <v>#DIV/0!</v>
      </c>
      <c r="D71" s="25" t="e">
        <f t="shared" ref="D71:P71" si="102">D69/D31</f>
        <v>#DIV/0!</v>
      </c>
      <c r="E71" s="25" t="e">
        <f t="shared" si="102"/>
        <v>#DIV/0!</v>
      </c>
      <c r="F71" s="25" t="e">
        <f t="shared" si="102"/>
        <v>#DIV/0!</v>
      </c>
      <c r="G71" s="25" t="e">
        <f t="shared" si="102"/>
        <v>#DIV/0!</v>
      </c>
      <c r="H71" s="25" t="e">
        <f t="shared" si="102"/>
        <v>#DIV/0!</v>
      </c>
      <c r="I71" s="25" t="e">
        <f t="shared" si="102"/>
        <v>#DIV/0!</v>
      </c>
      <c r="J71" s="25" t="e">
        <f t="shared" si="102"/>
        <v>#DIV/0!</v>
      </c>
      <c r="K71" s="25" t="e">
        <f t="shared" si="102"/>
        <v>#DIV/0!</v>
      </c>
      <c r="L71" s="25" t="e">
        <f t="shared" si="102"/>
        <v>#DIV/0!</v>
      </c>
      <c r="M71" s="25" t="e">
        <f t="shared" si="102"/>
        <v>#DIV/0!</v>
      </c>
      <c r="N71" s="25" t="e">
        <f t="shared" si="102"/>
        <v>#DIV/0!</v>
      </c>
      <c r="O71" s="25">
        <f t="shared" ref="O71" si="103">O69/O31</f>
        <v>2.1859135285913531</v>
      </c>
      <c r="P71" s="25">
        <f t="shared" si="102"/>
        <v>25.606415620641563</v>
      </c>
      <c r="Q71" s="118" t="e">
        <f t="shared" si="97"/>
        <v>#DIV/0!</v>
      </c>
      <c r="R71" s="31">
        <v>0.1</v>
      </c>
      <c r="S71" s="119">
        <f t="shared" si="98"/>
        <v>28.167057182705722</v>
      </c>
      <c r="T71" s="119">
        <f t="shared" si="99"/>
        <v>30.983762900976298</v>
      </c>
      <c r="U71" s="119">
        <f t="shared" si="99"/>
        <v>34.082139191073928</v>
      </c>
      <c r="V71" s="119">
        <f t="shared" si="99"/>
        <v>37.490353110181324</v>
      </c>
      <c r="W71" s="119">
        <f t="shared" si="99"/>
        <v>41.239388421199457</v>
      </c>
      <c r="X71" s="119">
        <f t="shared" si="99"/>
        <v>45.363327263319405</v>
      </c>
      <c r="Y71" s="119">
        <f t="shared" si="99"/>
        <v>49.899659989651347</v>
      </c>
      <c r="Z71" s="119">
        <f t="shared" si="99"/>
        <v>54.889625988616487</v>
      </c>
      <c r="AA71" s="119">
        <f t="shared" si="99"/>
        <v>60.378588587478141</v>
      </c>
      <c r="AB71" s="119">
        <f t="shared" si="99"/>
        <v>66.416447446225959</v>
      </c>
      <c r="AC71" s="118">
        <f>((AB71/O71)^(1/($AB$4-$H$2) ))-1</f>
        <v>0.36390994705749202</v>
      </c>
    </row>
    <row r="72" spans="2:29">
      <c r="B72" s="20" t="s">
        <v>260</v>
      </c>
      <c r="C72" s="130" t="e">
        <f>C69/C40</f>
        <v>#DIV/0!</v>
      </c>
      <c r="D72" s="130" t="e">
        <f t="shared" ref="D72:P72" si="104">D69/D40</f>
        <v>#DIV/0!</v>
      </c>
      <c r="E72" s="130" t="e">
        <f t="shared" si="104"/>
        <v>#DIV/0!</v>
      </c>
      <c r="F72" s="130" t="e">
        <f t="shared" si="104"/>
        <v>#DIV/0!</v>
      </c>
      <c r="G72" s="130" t="e">
        <f t="shared" si="104"/>
        <v>#DIV/0!</v>
      </c>
      <c r="H72" s="130" t="e">
        <f t="shared" si="104"/>
        <v>#DIV/0!</v>
      </c>
      <c r="I72" s="130" t="e">
        <f t="shared" si="104"/>
        <v>#DIV/0!</v>
      </c>
      <c r="J72" s="130" t="e">
        <f t="shared" si="104"/>
        <v>#DIV/0!</v>
      </c>
      <c r="K72" s="130" t="e">
        <f t="shared" si="104"/>
        <v>#DIV/0!</v>
      </c>
      <c r="L72" s="130" t="e">
        <f t="shared" si="104"/>
        <v>#DIV/0!</v>
      </c>
      <c r="M72" s="25" t="e">
        <f t="shared" si="104"/>
        <v>#DIV/0!</v>
      </c>
      <c r="N72" s="25" t="e">
        <f t="shared" si="104"/>
        <v>#DIV/0!</v>
      </c>
      <c r="O72" s="25">
        <f t="shared" ref="O72" si="105">O69/O40</f>
        <v>5.8921052631578954</v>
      </c>
      <c r="P72" s="25">
        <f t="shared" si="104"/>
        <v>69.021804511278205</v>
      </c>
      <c r="Q72" s="118" t="e">
        <f t="shared" si="97"/>
        <v>#DIV/0!</v>
      </c>
      <c r="R72" s="31">
        <v>0.1</v>
      </c>
      <c r="S72" s="119">
        <f t="shared" si="98"/>
        <v>75.923984962406038</v>
      </c>
      <c r="T72" s="119">
        <f t="shared" si="99"/>
        <v>83.516383458646644</v>
      </c>
      <c r="U72" s="119">
        <f t="shared" si="99"/>
        <v>91.868021804511315</v>
      </c>
      <c r="V72" s="119">
        <f t="shared" si="99"/>
        <v>101.05482398496245</v>
      </c>
      <c r="W72" s="119">
        <f t="shared" si="99"/>
        <v>111.1603063834587</v>
      </c>
      <c r="X72" s="119">
        <f t="shared" si="99"/>
        <v>122.27633702180458</v>
      </c>
      <c r="Y72" s="119">
        <f t="shared" si="99"/>
        <v>134.50397072398505</v>
      </c>
      <c r="Z72" s="119">
        <f t="shared" si="99"/>
        <v>147.95436779638356</v>
      </c>
      <c r="AA72" s="119">
        <f t="shared" si="99"/>
        <v>162.74980457602194</v>
      </c>
      <c r="AB72" s="119">
        <f t="shared" si="99"/>
        <v>179.02478503362414</v>
      </c>
      <c r="AC72" s="118">
        <f>((AB72/O72)^(1/($AB$4-$H$2) ))-1</f>
        <v>0.36390994705749202</v>
      </c>
    </row>
    <row r="73" spans="2:29">
      <c r="B73" s="20" t="s">
        <v>261</v>
      </c>
      <c r="C73" s="130" t="e">
        <f>C69/C42</f>
        <v>#DIV/0!</v>
      </c>
      <c r="D73" s="130" t="e">
        <f t="shared" ref="D73:P73" si="106">D69/D42</f>
        <v>#DIV/0!</v>
      </c>
      <c r="E73" s="130" t="e">
        <f t="shared" si="106"/>
        <v>#DIV/0!</v>
      </c>
      <c r="F73" s="130" t="e">
        <f t="shared" si="106"/>
        <v>#DIV/0!</v>
      </c>
      <c r="G73" s="130" t="e">
        <f t="shared" si="106"/>
        <v>#DIV/0!</v>
      </c>
      <c r="H73" s="130" t="e">
        <f t="shared" si="106"/>
        <v>#DIV/0!</v>
      </c>
      <c r="I73" s="130" t="e">
        <f t="shared" si="106"/>
        <v>#DIV/0!</v>
      </c>
      <c r="J73" s="130" t="e">
        <f t="shared" si="106"/>
        <v>#DIV/0!</v>
      </c>
      <c r="K73" s="130" t="e">
        <f t="shared" si="106"/>
        <v>#DIV/0!</v>
      </c>
      <c r="L73" s="130" t="e">
        <f t="shared" si="106"/>
        <v>#DIV/0!</v>
      </c>
      <c r="M73" s="25" t="e">
        <f t="shared" si="106"/>
        <v>#DIV/0!</v>
      </c>
      <c r="N73" s="25" t="e">
        <f t="shared" si="106"/>
        <v>#DIV/0!</v>
      </c>
      <c r="O73" s="25">
        <f t="shared" ref="O73" si="107">O69/O42</f>
        <v>2.5777960526315788</v>
      </c>
      <c r="P73" s="25">
        <f t="shared" si="106"/>
        <v>30.19703947368421</v>
      </c>
      <c r="Q73" s="118" t="e">
        <f t="shared" si="97"/>
        <v>#DIV/0!</v>
      </c>
      <c r="R73" s="31">
        <v>0.1</v>
      </c>
      <c r="S73" s="119">
        <f t="shared" si="98"/>
        <v>33.216743421052634</v>
      </c>
      <c r="T73" s="119">
        <f t="shared" si="99"/>
        <v>36.538417763157902</v>
      </c>
      <c r="U73" s="119">
        <f t="shared" si="99"/>
        <v>40.192259539473696</v>
      </c>
      <c r="V73" s="119">
        <f t="shared" si="99"/>
        <v>44.211485493421073</v>
      </c>
      <c r="W73" s="119">
        <f t="shared" si="99"/>
        <v>48.632634042763186</v>
      </c>
      <c r="X73" s="119">
        <f t="shared" si="99"/>
        <v>53.495897447039511</v>
      </c>
      <c r="Y73" s="119">
        <f t="shared" si="99"/>
        <v>58.845487191743466</v>
      </c>
      <c r="Z73" s="119">
        <f t="shared" si="99"/>
        <v>64.73003591091782</v>
      </c>
      <c r="AA73" s="119">
        <f t="shared" si="99"/>
        <v>71.203039502009602</v>
      </c>
      <c r="AB73" s="119">
        <f t="shared" si="99"/>
        <v>78.323343452210565</v>
      </c>
      <c r="AC73" s="118">
        <f>((AB73/O73)^(1/($AB$4-$H$2) ))-1</f>
        <v>0.36390994705749202</v>
      </c>
    </row>
    <row r="74" spans="2:29"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2:29"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2:29"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2:29"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2:29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</sheetData>
  <pageMargins left="0.7" right="0.7" top="0.75" bottom="0.75" header="0.3" footer="0.3"/>
  <pageSetup orientation="portrait" r:id="rId1"/>
  <ignoredErrors>
    <ignoredError sqref="C70 S45:AB5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6" t="s">
        <v>27</v>
      </c>
      <c r="K5" s="136"/>
      <c r="M5" s="136" t="s">
        <v>65</v>
      </c>
      <c r="N5" s="136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6" t="s">
        <v>36</v>
      </c>
      <c r="K14" s="136"/>
      <c r="L14" s="136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D20" sqref="D2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6" t="s">
        <v>27</v>
      </c>
      <c r="S5" s="136"/>
    </row>
    <row r="6" spans="2:20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6" t="s">
        <v>36</v>
      </c>
      <c r="S14" s="136"/>
      <c r="T14" s="136"/>
    </row>
    <row r="15" spans="2:20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C3:J36"/>
  <sheetViews>
    <sheetView topLeftCell="B1" zoomScale="80" zoomScaleNormal="80" workbookViewId="0">
      <selection activeCell="C33" sqref="C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zoomScale="90" zoomScaleNormal="90" workbookViewId="0">
      <selection activeCell="C7" sqref="C7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36" t="s">
        <v>27</v>
      </c>
      <c r="C2" s="136"/>
      <c r="E2" s="136" t="s">
        <v>65</v>
      </c>
      <c r="F2" s="136"/>
      <c r="H2" s="140" t="s">
        <v>36</v>
      </c>
      <c r="I2" s="141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37" t="s">
        <v>68</v>
      </c>
      <c r="E10" s="138"/>
      <c r="F10" s="138"/>
      <c r="G10" s="138"/>
      <c r="H10" s="139"/>
      <c r="I10" s="137" t="s">
        <v>72</v>
      </c>
      <c r="J10" s="138"/>
      <c r="K10" s="138"/>
      <c r="L10" s="139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2013-05-15T01:58:07Z</dcterms:modified>
</cp:coreProperties>
</file>
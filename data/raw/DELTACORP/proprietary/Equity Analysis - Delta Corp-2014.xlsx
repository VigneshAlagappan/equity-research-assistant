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2" i="18" l="1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6" i="18"/>
  <c r="O12" i="18"/>
  <c r="N12" i="18"/>
  <c r="M12" i="18"/>
  <c r="L12" i="18"/>
  <c r="K12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6" i="18" s="1"/>
  <c r="Q175" i="18" s="1"/>
  <c r="Q67" i="18"/>
  <c r="Q68" i="18"/>
  <c r="Q176" i="18" s="1"/>
  <c r="Q70" i="18"/>
  <c r="Q111" i="18" s="1"/>
  <c r="Q112" i="18" s="1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H192" i="18"/>
  <c r="R52" i="18"/>
  <c r="P91" i="18"/>
  <c r="R9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Q191" i="18"/>
  <c r="P191" i="18"/>
  <c r="T191" i="18"/>
  <c r="T190" i="18" s="1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<sst xmlns="http://schemas.openxmlformats.org/spreadsheetml/2006/main" count="649" uniqueCount="457">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</sst>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16" fillId="5" borderId="1" xfId="1" applyFont="1" applyFill="1" applyBorder="1"/>
    <xf numFmtId="0" fontId="4" fillId="14" borderId="1" xfId="0" applyFont="1" applyFill="1" applyBorder="1"/>
    <xf numFmtId="175" fontId="4" fillId="14" borderId="1" xfId="2" applyNumberFormat="1" applyFont="1" applyFill="1" applyBorder="1"/>
    <xf numFmtId="0" fontId="17" fillId="14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47136"/>
        <c:axId val="103400192"/>
      </c:lineChart>
      <c:catAx>
        <c:axId val="102747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03400192"/>
        <c:crosses val="autoZero"/>
        <c:auto val="1"/>
        <c:lblAlgn val="ctr"/>
        <c:lblOffset val="100"/>
        <c:noMultiLvlLbl val="0"/>
      </c:catAx>
      <c:valAx>
        <c:axId val="103400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74713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D82" activePane="bottomRight" state="frozen"/>
      <selection pane="topRight" activeCell="C1" sqref="C1"/>
      <selection pane="bottomLeft" activeCell="A5" sqref="A5"/>
      <selection pane="bottomRight" activeCell="S114" sqref="S11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0" t="s">
        <v>291</v>
      </c>
      <c r="AF2" s="201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96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2" t="s">
        <v>292</v>
      </c>
      <c r="AF3" s="203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94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5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5</v>
      </c>
      <c r="H6" s="147">
        <v>5</v>
      </c>
      <c r="I6" s="147">
        <v>16.989999999999998</v>
      </c>
      <c r="J6" s="147">
        <v>21</v>
      </c>
      <c r="K6" s="147">
        <v>196</v>
      </c>
      <c r="L6" s="147">
        <v>198</v>
      </c>
      <c r="M6" s="147">
        <v>265</v>
      </c>
      <c r="N6" s="147">
        <v>557</v>
      </c>
      <c r="O6" s="147">
        <v>717</v>
      </c>
      <c r="P6" s="147">
        <v>750.71</v>
      </c>
      <c r="Q6" s="147"/>
      <c r="R6" s="118">
        <f>((Q6/G6)^(1/($H$2-$H$1) ))-1</f>
        <v>-1</v>
      </c>
      <c r="S6" s="31">
        <f>$L$2</f>
        <v>0.2</v>
      </c>
      <c r="T6" s="154">
        <f>Q6*(1+$S6)</f>
        <v>0</v>
      </c>
      <c r="U6" s="154">
        <f>T6*(1+$S6)</f>
        <v>0</v>
      </c>
      <c r="V6" s="154">
        <f t="shared" ref="V6:AC6" si="0">U6*(1+$S6)</f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54">
        <f t="shared" si="0"/>
        <v>0</v>
      </c>
      <c r="AD6" s="138">
        <f>((AC6/G6)^(1/($AC$3-$H$1) ))-1</f>
        <v>-1</v>
      </c>
      <c r="AE6" s="31">
        <f>$L$1</f>
        <v>0.05</v>
      </c>
      <c r="AF6" s="146">
        <f t="shared" ref="AF6:AF44" si="1">(AC6*(1+AE6))/($C$1-AE6)</f>
        <v>0</v>
      </c>
    </row>
    <row r="7" spans="2:32" x14ac:dyDescent="0.2">
      <c r="B7" s="20" t="s">
        <v>240</v>
      </c>
      <c r="C7" s="141"/>
      <c r="D7" s="141"/>
      <c r="E7" s="147"/>
      <c r="F7" s="147"/>
      <c r="G7" s="147">
        <v>9</v>
      </c>
      <c r="H7" s="147">
        <v>9</v>
      </c>
      <c r="I7" s="147">
        <v>40.64</v>
      </c>
      <c r="J7" s="147">
        <v>43</v>
      </c>
      <c r="K7" s="147">
        <v>228</v>
      </c>
      <c r="L7" s="147">
        <v>325</v>
      </c>
      <c r="M7" s="147">
        <v>270</v>
      </c>
      <c r="N7" s="147">
        <v>202</v>
      </c>
      <c r="O7" s="147">
        <v>429</v>
      </c>
      <c r="P7" s="147">
        <v>773.2</v>
      </c>
      <c r="Q7" s="147"/>
      <c r="R7" s="118">
        <f>((Q7/G7)^(1/($H$2-$H$1) ))-1</f>
        <v>-1</v>
      </c>
      <c r="S7" s="31">
        <f>$L$2</f>
        <v>0.2</v>
      </c>
      <c r="T7" s="154">
        <f t="shared" ref="T7:T44" si="2">Q7*(1+$S7)</f>
        <v>0</v>
      </c>
      <c r="U7" s="154">
        <f t="shared" ref="U7:AC7" si="3">T7*(1+$S7)</f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54">
        <f t="shared" si="3"/>
        <v>0</v>
      </c>
      <c r="AD7" s="138">
        <f>((AC7/G7)^(1/($AC$3-$H$1) ))-1</f>
        <v>-1</v>
      </c>
      <c r="AE7" s="31">
        <f>$L$1</f>
        <v>0.05</v>
      </c>
      <c r="AF7" s="146">
        <f t="shared" si="1"/>
        <v>0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</v>
      </c>
      <c r="I8" s="151">
        <f t="shared" ref="I8:P8" si="4">(I7-H7)/I7</f>
        <v>0.77854330708661412</v>
      </c>
      <c r="J8" s="151">
        <f t="shared" si="4"/>
        <v>5.4883720930232548E-2</v>
      </c>
      <c r="K8" s="151">
        <f t="shared" si="4"/>
        <v>0.81140350877192979</v>
      </c>
      <c r="L8" s="151">
        <f t="shared" si="4"/>
        <v>0.29846153846153844</v>
      </c>
      <c r="M8" s="151">
        <f t="shared" si="4"/>
        <v>-0.20370370370370369</v>
      </c>
      <c r="N8" s="151">
        <f t="shared" si="4"/>
        <v>-0.33663366336633666</v>
      </c>
      <c r="O8" s="151">
        <f t="shared" si="4"/>
        <v>0.52913752913752909</v>
      </c>
      <c r="P8" s="151">
        <f t="shared" si="4"/>
        <v>0.44516295913088466</v>
      </c>
      <c r="Q8" s="151" t="e">
        <f t="shared" ref="Q8" si="5">(Q7-P7)/Q7</f>
        <v>#DIV/0!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24</v>
      </c>
      <c r="H9" s="147">
        <v>0.08</v>
      </c>
      <c r="I9" s="147">
        <v>4.32</v>
      </c>
      <c r="J9" s="147">
        <v>25</v>
      </c>
      <c r="K9" s="147">
        <v>76.260000000000005</v>
      </c>
      <c r="L9" s="147">
        <v>52</v>
      </c>
      <c r="M9" s="147">
        <v>65</v>
      </c>
      <c r="N9" s="147">
        <v>54</v>
      </c>
      <c r="O9" s="147">
        <v>92</v>
      </c>
      <c r="P9" s="147">
        <v>295.55</v>
      </c>
      <c r="Q9" s="147"/>
      <c r="R9" s="118">
        <f>((Q9/G9)^(1/($H$2-$H$1) ))-1</f>
        <v>-1</v>
      </c>
      <c r="S9" s="31">
        <f t="shared" ref="S9:S40" si="6">$L$2</f>
        <v>0.2</v>
      </c>
      <c r="T9" s="154">
        <f t="shared" si="2"/>
        <v>0</v>
      </c>
      <c r="U9" s="154">
        <f t="shared" ref="U9" si="7">T9*(1+$S9)</f>
        <v>0</v>
      </c>
      <c r="V9" s="154">
        <f t="shared" ref="V9" si="8">U9*(1+$S9)</f>
        <v>0</v>
      </c>
      <c r="W9" s="154">
        <f t="shared" ref="W9" si="9">V9*(1+$S9)</f>
        <v>0</v>
      </c>
      <c r="X9" s="154">
        <f t="shared" ref="X9" si="10">W9*(1+$S9)</f>
        <v>0</v>
      </c>
      <c r="Y9" s="154">
        <f t="shared" ref="Y9" si="11">X9*(1+$S9)</f>
        <v>0</v>
      </c>
      <c r="Z9" s="154">
        <f t="shared" ref="Z9" si="12">Y9*(1+$S9)</f>
        <v>0</v>
      </c>
      <c r="AA9" s="154">
        <f t="shared" ref="AA9" si="13">Z9*(1+$S9)</f>
        <v>0</v>
      </c>
      <c r="AB9" s="154">
        <f t="shared" ref="AB9" si="14">AA9*(1+$S9)</f>
        <v>0</v>
      </c>
      <c r="AC9" s="154">
        <f t="shared" ref="AC9" si="15">AB9*(1+$S9)</f>
        <v>0</v>
      </c>
      <c r="AD9" s="138">
        <f>((AC9/G9)^(1/($AC$3-$H$1) ))-1</f>
        <v>-1</v>
      </c>
      <c r="AE9" s="31">
        <f t="shared" ref="AE9:AE81" si="16">$L$1</f>
        <v>0.05</v>
      </c>
      <c r="AF9" s="146">
        <f t="shared" si="1"/>
        <v>0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0.45</v>
      </c>
      <c r="H10" s="147">
        <v>25</v>
      </c>
      <c r="I10" s="147">
        <v>72</v>
      </c>
      <c r="J10" s="147">
        <v>79.5</v>
      </c>
      <c r="K10" s="147">
        <v>327</v>
      </c>
      <c r="L10" s="147">
        <v>325</v>
      </c>
      <c r="M10" s="147">
        <v>270</v>
      </c>
      <c r="N10" s="147">
        <v>202</v>
      </c>
      <c r="O10" s="147">
        <v>430</v>
      </c>
      <c r="P10" s="147">
        <v>0</v>
      </c>
      <c r="Q10" s="147"/>
      <c r="R10" s="118">
        <f>((Q10/G10)^(1/($H$2-$H$1) ))-1</f>
        <v>-1</v>
      </c>
      <c r="S10" s="31">
        <f t="shared" si="6"/>
        <v>0.2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>
        <f t="shared" ref="AD10:AD42" si="18">((AC10/G10)^(1/($AC$3-$H$1) ))-1</f>
        <v>-1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93">
        <f>(H10-G10)/H10</f>
        <v>0.98199999999999998</v>
      </c>
      <c r="I11" s="193">
        <f t="shared" ref="I11:P11" si="19">(I10-H10)/I10</f>
        <v>0.65277777777777779</v>
      </c>
      <c r="J11" s="193">
        <f t="shared" si="19"/>
        <v>9.4339622641509441E-2</v>
      </c>
      <c r="K11" s="193">
        <f t="shared" si="19"/>
        <v>0.75688073394495414</v>
      </c>
      <c r="L11" s="193">
        <f t="shared" si="19"/>
        <v>-6.1538461538461538E-3</v>
      </c>
      <c r="M11" s="193">
        <f t="shared" si="19"/>
        <v>-0.20370370370370369</v>
      </c>
      <c r="N11" s="193">
        <f t="shared" si="19"/>
        <v>-0.33663366336633666</v>
      </c>
      <c r="O11" s="193">
        <f t="shared" si="19"/>
        <v>0.53023255813953485</v>
      </c>
      <c r="P11" s="193" t="e">
        <f t="shared" si="19"/>
        <v>#DIV/0!</v>
      </c>
      <c r="Q11" s="148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0.01</v>
      </c>
      <c r="H12" s="147">
        <v>0</v>
      </c>
      <c r="I12" s="147">
        <v>2.82</v>
      </c>
      <c r="J12" s="147">
        <v>3</v>
      </c>
      <c r="K12" s="147">
        <f>6+81</f>
        <v>87</v>
      </c>
      <c r="L12" s="147">
        <f>11+5</f>
        <v>16</v>
      </c>
      <c r="M12" s="147">
        <f>23+23</f>
        <v>46</v>
      </c>
      <c r="N12" s="147">
        <f>64</f>
        <v>64</v>
      </c>
      <c r="O12" s="147">
        <f>132+4</f>
        <v>136</v>
      </c>
      <c r="P12" s="147">
        <v>46</v>
      </c>
      <c r="Q12" s="147"/>
      <c r="R12" s="118">
        <f>((Q12/G12)^(1/($H$2-$H$1) ))-1</f>
        <v>-1</v>
      </c>
      <c r="S12" s="31">
        <f t="shared" si="6"/>
        <v>0.2</v>
      </c>
      <c r="T12" s="154">
        <f t="shared" si="2"/>
        <v>0</v>
      </c>
      <c r="U12" s="154">
        <f t="shared" ref="U12:AC12" si="21">T12*(1+$S12)</f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54">
        <f t="shared" si="21"/>
        <v>0</v>
      </c>
      <c r="AD12" s="138">
        <f t="shared" si="18"/>
        <v>-1</v>
      </c>
      <c r="AE12" s="31">
        <f t="shared" si="16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4</v>
      </c>
      <c r="H13" s="147">
        <v>4</v>
      </c>
      <c r="I13" s="147">
        <v>0.42</v>
      </c>
      <c r="J13" s="147">
        <v>88</v>
      </c>
      <c r="K13" s="147">
        <v>265</v>
      </c>
      <c r="L13" s="147">
        <v>224</v>
      </c>
      <c r="M13" s="147">
        <v>172</v>
      </c>
      <c r="N13" s="147">
        <v>162</v>
      </c>
      <c r="O13" s="147">
        <v>134</v>
      </c>
      <c r="P13" s="147">
        <v>114.1</v>
      </c>
      <c r="Q13" s="147"/>
      <c r="R13" s="118">
        <f>((Q13/G13)^(1/($H$2-$H$1) ))-1</f>
        <v>-1</v>
      </c>
      <c r="S13" s="31">
        <f t="shared" si="6"/>
        <v>0.2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29</v>
      </c>
      <c r="H14" s="147">
        <v>0.3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18">
        <f>((Q14/G14)^(1/($H$2-$H$1) ))-1</f>
        <v>-1</v>
      </c>
      <c r="S14" s="31">
        <f t="shared" si="6"/>
        <v>0.2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29</v>
      </c>
      <c r="H15" s="147">
        <v>0.3</v>
      </c>
      <c r="I15" s="147">
        <v>107</v>
      </c>
      <c r="J15" s="147">
        <v>46</v>
      </c>
      <c r="K15" s="147">
        <v>359</v>
      </c>
      <c r="L15" s="147">
        <v>328</v>
      </c>
      <c r="M15" s="147">
        <v>374</v>
      </c>
      <c r="N15" s="147">
        <v>509</v>
      </c>
      <c r="O15" s="147">
        <v>742</v>
      </c>
      <c r="P15" s="147">
        <v>489</v>
      </c>
      <c r="Q15" s="147"/>
      <c r="R15" s="118">
        <f>((Q15/G15)^(1/($H$2-$H$1) ))-1</f>
        <v>-1</v>
      </c>
      <c r="S15" s="31">
        <f t="shared" si="6"/>
        <v>0.2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5</v>
      </c>
      <c r="H16" s="147">
        <v>0.56999999999999995</v>
      </c>
      <c r="I16" s="147">
        <v>100</v>
      </c>
      <c r="J16" s="147">
        <v>8.36</v>
      </c>
      <c r="K16" s="147">
        <v>259</v>
      </c>
      <c r="L16" s="147">
        <v>272</v>
      </c>
      <c r="M16" s="147">
        <v>299</v>
      </c>
      <c r="N16" s="147">
        <v>442</v>
      </c>
      <c r="O16" s="147">
        <v>608</v>
      </c>
      <c r="P16" s="147">
        <f>P15-P10</f>
        <v>489</v>
      </c>
      <c r="Q16" s="147"/>
      <c r="R16" s="118">
        <f>((Q16/G16)^(1/($H$2-$H$1) ))-1</f>
        <v>-1</v>
      </c>
      <c r="S16" s="31">
        <f t="shared" si="6"/>
        <v>0.2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</v>
      </c>
      <c r="H18" s="147">
        <v>29</v>
      </c>
      <c r="I18" s="147">
        <v>9.4700000000000006</v>
      </c>
      <c r="J18" s="147">
        <v>25</v>
      </c>
      <c r="K18" s="147">
        <v>65</v>
      </c>
      <c r="L18" s="147">
        <v>115</v>
      </c>
      <c r="M18" s="147">
        <v>135</v>
      </c>
      <c r="N18" s="147">
        <v>192</v>
      </c>
      <c r="O18" s="147">
        <v>136</v>
      </c>
      <c r="P18" s="147">
        <v>261.85000000000002</v>
      </c>
      <c r="Q18" s="147"/>
      <c r="R18" s="118">
        <f>((Q18/G18)^(1/($H$2-$H$1) ))-1</f>
        <v>-1</v>
      </c>
      <c r="S18" s="31">
        <f t="shared" si="6"/>
        <v>0.2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6"/>
        <v>0.2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 t="e">
        <f t="shared" ref="AD20:AD22" si="54">((AC20/G20)^(1/($AC$3-$H$1) ))-1</f>
        <v>#DIV/0!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6"/>
        <v>0.2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 t="e">
        <f t="shared" si="54"/>
        <v>#DIV/0!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6"/>
        <v>0.2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 t="e">
        <f t="shared" si="54"/>
        <v>#DIV/0!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6"/>
        <v>0.2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 t="e">
        <f t="shared" ref="AD23" si="64">((AC23/G23)^(1/($AC$3-$H$1) ))-1</f>
        <v>#DIV/0!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0</v>
      </c>
      <c r="H25" s="147">
        <v>0.26</v>
      </c>
      <c r="I25" s="147">
        <v>54</v>
      </c>
      <c r="J25" s="147">
        <v>41</v>
      </c>
      <c r="K25" s="147">
        <v>108</v>
      </c>
      <c r="L25" s="147">
        <v>111</v>
      </c>
      <c r="M25" s="147">
        <v>144</v>
      </c>
      <c r="N25" s="147">
        <v>380</v>
      </c>
      <c r="O25" s="147">
        <v>378</v>
      </c>
      <c r="P25" s="147">
        <v>425.4</v>
      </c>
      <c r="Q25" s="147">
        <v>558.5</v>
      </c>
      <c r="R25" s="118" t="e">
        <f>((Q25/G25)^(1/($H$2-$H$1) ))-1</f>
        <v>#DIV/0!</v>
      </c>
      <c r="S25" s="31">
        <f t="shared" si="6"/>
        <v>0.2</v>
      </c>
      <c r="T25" s="154">
        <f t="shared" si="2"/>
        <v>670.19999999999993</v>
      </c>
      <c r="U25" s="154">
        <f t="shared" si="36"/>
        <v>804.2399999999999</v>
      </c>
      <c r="V25" s="154">
        <f t="shared" si="37"/>
        <v>965.08799999999985</v>
      </c>
      <c r="W25" s="154">
        <f t="shared" si="38"/>
        <v>1158.1055999999999</v>
      </c>
      <c r="X25" s="154">
        <f t="shared" si="39"/>
        <v>1389.7267199999999</v>
      </c>
      <c r="Y25" s="154">
        <f t="shared" si="40"/>
        <v>1667.6720639999999</v>
      </c>
      <c r="Z25" s="154">
        <f t="shared" si="41"/>
        <v>2001.2064767999998</v>
      </c>
      <c r="AA25" s="154">
        <f t="shared" si="42"/>
        <v>2401.4477721599997</v>
      </c>
      <c r="AB25" s="154">
        <f t="shared" si="43"/>
        <v>2881.7373265919996</v>
      </c>
      <c r="AC25" s="154">
        <f t="shared" si="44"/>
        <v>3458.0847919103994</v>
      </c>
      <c r="AD25" s="138" t="e">
        <f t="shared" si="18"/>
        <v>#DIV/0!</v>
      </c>
      <c r="AE25" s="31">
        <f t="shared" si="16"/>
        <v>0.05</v>
      </c>
      <c r="AF25" s="146">
        <f t="shared" si="1"/>
        <v>21358.759008858353</v>
      </c>
    </row>
    <row r="26" spans="2:32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>
        <f>(H25-G25)/H25</f>
        <v>1</v>
      </c>
      <c r="I26" s="148">
        <f t="shared" ref="I26:P26" si="65">(I25-H25)/I25</f>
        <v>0.99518518518518517</v>
      </c>
      <c r="J26" s="148">
        <f t="shared" si="65"/>
        <v>-0.31707317073170732</v>
      </c>
      <c r="K26" s="148">
        <f t="shared" si="65"/>
        <v>0.62037037037037035</v>
      </c>
      <c r="L26" s="148">
        <f t="shared" si="65"/>
        <v>2.7027027027027029E-2</v>
      </c>
      <c r="M26" s="148">
        <f t="shared" si="65"/>
        <v>0.22916666666666666</v>
      </c>
      <c r="N26" s="148">
        <f t="shared" si="65"/>
        <v>0.62105263157894741</v>
      </c>
      <c r="O26" s="148">
        <f t="shared" si="65"/>
        <v>-5.2910052910052907E-3</v>
      </c>
      <c r="P26" s="148">
        <f t="shared" si="65"/>
        <v>0.1114245416078984</v>
      </c>
      <c r="Q26" s="148">
        <f t="shared" ref="Q26" si="66">(Q25-P25)/Q25</f>
        <v>0.2383169203222919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0.05</v>
      </c>
      <c r="H27" s="147">
        <v>0.05</v>
      </c>
      <c r="I27" s="147">
        <v>47</v>
      </c>
      <c r="J27" s="147">
        <v>16</v>
      </c>
      <c r="K27" s="147">
        <v>57</v>
      </c>
      <c r="L27" s="147">
        <v>58</v>
      </c>
      <c r="M27" s="147">
        <v>85</v>
      </c>
      <c r="N27" s="147">
        <v>188</v>
      </c>
      <c r="O27" s="147">
        <v>264</v>
      </c>
      <c r="P27" s="147">
        <v>348.69</v>
      </c>
      <c r="Q27" s="147">
        <v>425</v>
      </c>
      <c r="R27" s="118">
        <f>((Q27/G27)^(1/($H$2-$H$1) ))-1</f>
        <v>1.732763842553104</v>
      </c>
      <c r="S27" s="31">
        <f t="shared" si="6"/>
        <v>0.2</v>
      </c>
      <c r="T27" s="154">
        <f t="shared" si="2"/>
        <v>510</v>
      </c>
      <c r="U27" s="154">
        <f t="shared" si="36"/>
        <v>612</v>
      </c>
      <c r="V27" s="154">
        <f t="shared" si="37"/>
        <v>734.4</v>
      </c>
      <c r="W27" s="154">
        <f t="shared" si="38"/>
        <v>881.28</v>
      </c>
      <c r="X27" s="154">
        <f t="shared" si="39"/>
        <v>1057.5359999999998</v>
      </c>
      <c r="Y27" s="154">
        <f t="shared" si="40"/>
        <v>1269.0431999999998</v>
      </c>
      <c r="Z27" s="154">
        <f t="shared" si="41"/>
        <v>1522.8518399999998</v>
      </c>
      <c r="AA27" s="154">
        <f t="shared" si="42"/>
        <v>1827.4222079999997</v>
      </c>
      <c r="AB27" s="154">
        <f t="shared" si="43"/>
        <v>2192.9066495999996</v>
      </c>
      <c r="AC27" s="154">
        <f t="shared" si="44"/>
        <v>2631.4879795199995</v>
      </c>
      <c r="AD27" s="138">
        <f t="shared" si="18"/>
        <v>0.72211269914317788</v>
      </c>
      <c r="AE27" s="31">
        <f t="shared" si="16"/>
        <v>0.05</v>
      </c>
      <c r="AF27" s="146">
        <f t="shared" si="1"/>
        <v>16253.308108799998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</v>
      </c>
      <c r="I28" s="148">
        <f t="shared" si="67"/>
        <v>0.99893617021276604</v>
      </c>
      <c r="J28" s="148">
        <f t="shared" si="67"/>
        <v>-1.9375</v>
      </c>
      <c r="K28" s="148">
        <f t="shared" si="67"/>
        <v>0.7192982456140351</v>
      </c>
      <c r="L28" s="148">
        <f t="shared" si="67"/>
        <v>1.7241379310344827E-2</v>
      </c>
      <c r="M28" s="148">
        <f t="shared" si="67"/>
        <v>0.31764705882352939</v>
      </c>
      <c r="N28" s="148">
        <f t="shared" si="67"/>
        <v>0.5478723404255319</v>
      </c>
      <c r="O28" s="148">
        <f t="shared" si="67"/>
        <v>0.2878787878787879</v>
      </c>
      <c r="P28" s="148">
        <f t="shared" si="67"/>
        <v>0.24288049556913016</v>
      </c>
      <c r="Q28" s="148">
        <f t="shared" ref="Q28" si="68">(Q27-P27)/Q27</f>
        <v>0.17955294117647058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0.01</v>
      </c>
      <c r="H29" s="147">
        <v>0.01</v>
      </c>
      <c r="I29" s="147">
        <v>7.75</v>
      </c>
      <c r="J29" s="147">
        <v>27.32</v>
      </c>
      <c r="K29" s="147">
        <v>41</v>
      </c>
      <c r="L29" s="147"/>
      <c r="M29" s="147"/>
      <c r="N29" s="147"/>
      <c r="O29" s="147"/>
      <c r="P29" s="147">
        <v>15.45</v>
      </c>
      <c r="Q29" s="147">
        <v>33.42</v>
      </c>
      <c r="R29" s="118">
        <f>((Q29/G29)^(1/($H$2-$H$1) ))-1</f>
        <v>1.4635210170672051</v>
      </c>
      <c r="S29" s="31">
        <f t="shared" si="6"/>
        <v>0.2</v>
      </c>
      <c r="T29" s="154">
        <f t="shared" si="2"/>
        <v>40.103999999999999</v>
      </c>
      <c r="U29" s="154">
        <f t="shared" ref="U29" si="69">T29*(1+$S29)</f>
        <v>48.1248</v>
      </c>
      <c r="V29" s="154">
        <f t="shared" ref="V29" si="70">U29*(1+$S29)</f>
        <v>57.749759999999995</v>
      </c>
      <c r="W29" s="154">
        <f t="shared" ref="W29" si="71">V29*(1+$S29)</f>
        <v>69.299711999999985</v>
      </c>
      <c r="X29" s="154">
        <f t="shared" ref="X29" si="72">W29*(1+$S29)</f>
        <v>83.15965439999998</v>
      </c>
      <c r="Y29" s="154">
        <f t="shared" ref="Y29" si="73">X29*(1+$S29)</f>
        <v>99.791585279999978</v>
      </c>
      <c r="Z29" s="154">
        <f t="shared" ref="Z29" si="74">Y29*(1+$S29)</f>
        <v>119.74990233599996</v>
      </c>
      <c r="AA29" s="154">
        <f t="shared" ref="AA29" si="75">Z29*(1+$S29)</f>
        <v>143.69988280319996</v>
      </c>
      <c r="AB29" s="154">
        <f t="shared" ref="AB29" si="76">AA29*(1+$S29)</f>
        <v>172.43985936383993</v>
      </c>
      <c r="AC29" s="154">
        <f t="shared" ref="AC29" si="77">AB29*(1+$S29)</f>
        <v>206.92783123660791</v>
      </c>
      <c r="AD29" s="138">
        <f t="shared" ref="AD29" si="78">((AC29/G29)^(1/($AC$3-$H$1) ))-1</f>
        <v>0.64358036867552726</v>
      </c>
      <c r="AE29" s="31">
        <f t="shared" si="16"/>
        <v>0.05</v>
      </c>
      <c r="AF29" s="146">
        <f t="shared" ref="AF29" si="79">(AC29*(1+AE29))/($C$1-AE29)</f>
        <v>1278.0836635202256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0</v>
      </c>
      <c r="I30" s="148">
        <f t="shared" si="80"/>
        <v>0.9987096774193549</v>
      </c>
      <c r="J30" s="148">
        <f t="shared" si="80"/>
        <v>0.71632503660322111</v>
      </c>
      <c r="K30" s="148">
        <f t="shared" si="80"/>
        <v>0.33365853658536587</v>
      </c>
      <c r="L30" s="148" t="e">
        <f t="shared" si="80"/>
        <v>#DIV/0!</v>
      </c>
      <c r="M30" s="148" t="e">
        <f t="shared" si="80"/>
        <v>#DIV/0!</v>
      </c>
      <c r="N30" s="148" t="e">
        <f t="shared" si="80"/>
        <v>#DIV/0!</v>
      </c>
      <c r="O30" s="148" t="e">
        <f t="shared" si="80"/>
        <v>#DIV/0!</v>
      </c>
      <c r="P30" s="148">
        <f t="shared" si="80"/>
        <v>1</v>
      </c>
      <c r="Q30" s="148">
        <f t="shared" ref="Q30" si="81">(Q29-P29)/Q29</f>
        <v>0.5377019748653501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0.01</v>
      </c>
      <c r="H33" s="147">
        <v>0.01</v>
      </c>
      <c r="I33" s="147">
        <v>6</v>
      </c>
      <c r="J33" s="147">
        <v>6</v>
      </c>
      <c r="K33" s="147">
        <v>19</v>
      </c>
      <c r="L33" s="147"/>
      <c r="M33" s="147"/>
      <c r="N33" s="147"/>
      <c r="O33" s="147"/>
      <c r="P33" s="147"/>
      <c r="Q33" s="147">
        <v>53.66</v>
      </c>
      <c r="R33" s="118">
        <f>((Q33/G33)^(1/($H$2-$H$1) ))-1</f>
        <v>1.5966034501593636</v>
      </c>
      <c r="S33" s="31">
        <f t="shared" si="6"/>
        <v>0.2</v>
      </c>
      <c r="T33" s="154">
        <f t="shared" si="2"/>
        <v>64.391999999999996</v>
      </c>
      <c r="U33" s="154">
        <f t="shared" si="36"/>
        <v>77.270399999999995</v>
      </c>
      <c r="V33" s="154">
        <f t="shared" si="37"/>
        <v>92.724479999999986</v>
      </c>
      <c r="W33" s="154">
        <f t="shared" si="38"/>
        <v>111.26937599999998</v>
      </c>
      <c r="X33" s="154">
        <f t="shared" si="39"/>
        <v>133.52325119999998</v>
      </c>
      <c r="Y33" s="154">
        <f t="shared" si="40"/>
        <v>160.22790143999995</v>
      </c>
      <c r="Z33" s="154">
        <f t="shared" si="41"/>
        <v>192.27348172799995</v>
      </c>
      <c r="AA33" s="154">
        <f t="shared" si="42"/>
        <v>230.72817807359993</v>
      </c>
      <c r="AB33" s="154">
        <f t="shared" si="43"/>
        <v>276.8738136883199</v>
      </c>
      <c r="AC33" s="154">
        <f t="shared" si="44"/>
        <v>332.24857642598386</v>
      </c>
      <c r="AD33" s="138">
        <f t="shared" si="18"/>
        <v>0.68295752958923672</v>
      </c>
      <c r="AE33" s="31">
        <f t="shared" si="16"/>
        <v>0.05</v>
      </c>
      <c r="AF33" s="146">
        <f t="shared" si="1"/>
        <v>2052.1235602781358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0.01</v>
      </c>
      <c r="H34" s="147">
        <v>0.01</v>
      </c>
      <c r="I34" s="147">
        <v>2.2400000000000002</v>
      </c>
      <c r="J34" s="147">
        <v>2.73</v>
      </c>
      <c r="K34" s="147">
        <v>3.75</v>
      </c>
      <c r="L34" s="147">
        <v>8</v>
      </c>
      <c r="M34" s="147">
        <v>20</v>
      </c>
      <c r="N34" s="147">
        <v>24</v>
      </c>
      <c r="O34" s="147">
        <v>32</v>
      </c>
      <c r="P34" s="147">
        <v>35.47</v>
      </c>
      <c r="Q34" s="147">
        <v>48.7</v>
      </c>
      <c r="R34" s="118">
        <f>((Q34/G34)^(1/($H$2-$H$1) ))-1</f>
        <v>1.5687712986548608</v>
      </c>
      <c r="S34" s="31">
        <f t="shared" si="6"/>
        <v>0.2</v>
      </c>
      <c r="T34" s="154">
        <f t="shared" si="2"/>
        <v>58.44</v>
      </c>
      <c r="U34" s="154">
        <f t="shared" si="36"/>
        <v>70.128</v>
      </c>
      <c r="V34" s="154">
        <f t="shared" si="37"/>
        <v>84.153599999999997</v>
      </c>
      <c r="W34" s="154">
        <f t="shared" si="38"/>
        <v>100.98432</v>
      </c>
      <c r="X34" s="154">
        <f t="shared" si="39"/>
        <v>121.18118399999999</v>
      </c>
      <c r="Y34" s="154">
        <f t="shared" si="40"/>
        <v>145.41742079999997</v>
      </c>
      <c r="Z34" s="154">
        <f t="shared" si="41"/>
        <v>174.50090495999996</v>
      </c>
      <c r="AA34" s="154">
        <f t="shared" si="42"/>
        <v>209.40108595199993</v>
      </c>
      <c r="AB34" s="154">
        <f t="shared" si="43"/>
        <v>251.28130314239991</v>
      </c>
      <c r="AC34" s="154">
        <f t="shared" si="44"/>
        <v>301.5375637708799</v>
      </c>
      <c r="AD34" s="138">
        <f t="shared" si="18"/>
        <v>0.67481588394209369</v>
      </c>
      <c r="AE34" s="31">
        <f t="shared" si="16"/>
        <v>0.05</v>
      </c>
      <c r="AF34" s="146">
        <f t="shared" si="1"/>
        <v>1862.4378938789644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0.32</v>
      </c>
      <c r="H36" s="147">
        <v>0.32</v>
      </c>
      <c r="I36" s="147">
        <v>-11</v>
      </c>
      <c r="J36" s="147">
        <v>23</v>
      </c>
      <c r="K36" s="147">
        <v>47</v>
      </c>
      <c r="L36" s="147">
        <v>43</v>
      </c>
      <c r="M36" s="147">
        <v>48</v>
      </c>
      <c r="N36" s="147">
        <v>187</v>
      </c>
      <c r="O36" s="147">
        <v>100</v>
      </c>
      <c r="P36" s="147">
        <v>95.23</v>
      </c>
      <c r="Q36" s="147">
        <v>133.52000000000001</v>
      </c>
      <c r="R36" s="118">
        <f>((Q36/G36)^(1/($H$2-$H$1) ))-1</f>
        <v>0.95503775828014303</v>
      </c>
      <c r="S36" s="31">
        <f t="shared" si="6"/>
        <v>0.2</v>
      </c>
      <c r="T36" s="154">
        <f t="shared" si="2"/>
        <v>160.22400000000002</v>
      </c>
      <c r="U36" s="154">
        <f t="shared" ref="U36" si="85">T36*(1+$S36)</f>
        <v>192.26880000000003</v>
      </c>
      <c r="V36" s="154">
        <f t="shared" ref="V36" si="86">U36*(1+$S36)</f>
        <v>230.72256000000002</v>
      </c>
      <c r="W36" s="154">
        <f t="shared" ref="W36" si="87">V36*(1+$S36)</f>
        <v>276.86707200000001</v>
      </c>
      <c r="X36" s="154">
        <f t="shared" si="39"/>
        <v>332.24048640000001</v>
      </c>
      <c r="Y36" s="154">
        <f t="shared" si="40"/>
        <v>398.68858368000002</v>
      </c>
      <c r="Z36" s="154">
        <f t="shared" si="41"/>
        <v>478.426300416</v>
      </c>
      <c r="AA36" s="154">
        <f t="shared" si="42"/>
        <v>574.11156049919998</v>
      </c>
      <c r="AB36" s="154">
        <f t="shared" si="43"/>
        <v>688.93387259904</v>
      </c>
      <c r="AC36" s="154">
        <f t="shared" si="44"/>
        <v>826.72064711884798</v>
      </c>
      <c r="AD36" s="138">
        <f t="shared" si="18"/>
        <v>0.4811888709963652</v>
      </c>
      <c r="AE36" s="31">
        <f t="shared" si="16"/>
        <v>0.05</v>
      </c>
      <c r="AF36" s="146">
        <f t="shared" si="1"/>
        <v>5106.2157616164141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</v>
      </c>
      <c r="I37" s="148">
        <f t="shared" si="88"/>
        <v>1.0290909090909091</v>
      </c>
      <c r="J37" s="148">
        <f t="shared" si="88"/>
        <v>1.4782608695652173</v>
      </c>
      <c r="K37" s="148">
        <f t="shared" si="88"/>
        <v>0.51063829787234039</v>
      </c>
      <c r="L37" s="148">
        <f t="shared" si="88"/>
        <v>-9.3023255813953487E-2</v>
      </c>
      <c r="M37" s="148">
        <f t="shared" si="88"/>
        <v>0.10416666666666667</v>
      </c>
      <c r="N37" s="148">
        <f t="shared" si="88"/>
        <v>0.74331550802139035</v>
      </c>
      <c r="O37" s="148">
        <f t="shared" si="88"/>
        <v>-0.87</v>
      </c>
      <c r="P37" s="148">
        <f t="shared" si="88"/>
        <v>-5.0089257586894843E-2</v>
      </c>
      <c r="Q37" s="148">
        <f t="shared" ref="Q37" si="89">(Q36-P36)/Q36</f>
        <v>0.2867735170760935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0.32</v>
      </c>
      <c r="H38" s="147">
        <v>0.21</v>
      </c>
      <c r="I38" s="147"/>
      <c r="J38" s="147"/>
      <c r="K38" s="147"/>
      <c r="L38" s="147"/>
      <c r="M38" s="147"/>
      <c r="N38" s="147"/>
      <c r="O38" s="147"/>
      <c r="P38" s="147"/>
      <c r="Q38" s="147">
        <v>131.30000000000001</v>
      </c>
      <c r="R38" s="118">
        <f>((Q38/G38)^(1/($H$2-$H$1) ))-1</f>
        <v>0.95139902240775576</v>
      </c>
      <c r="S38" s="31">
        <f t="shared" si="6"/>
        <v>0.2</v>
      </c>
      <c r="T38" s="154">
        <f t="shared" si="2"/>
        <v>157.56</v>
      </c>
      <c r="U38" s="154">
        <f t="shared" ref="U38" si="90">T38*(1+$S38)</f>
        <v>189.072</v>
      </c>
      <c r="V38" s="154">
        <f t="shared" ref="V38" si="91">U38*(1+$S38)</f>
        <v>226.88640000000001</v>
      </c>
      <c r="W38" s="154">
        <f t="shared" ref="W38" si="92">V38*(1+$S38)</f>
        <v>272.26368000000002</v>
      </c>
      <c r="X38" s="154">
        <f t="shared" ref="X38" si="93">W38*(1+$S38)</f>
        <v>326.71641600000004</v>
      </c>
      <c r="Y38" s="154">
        <f t="shared" ref="Y38" si="94">X38*(1+$S38)</f>
        <v>392.05969920000001</v>
      </c>
      <c r="Z38" s="154">
        <f t="shared" ref="Z38" si="95">Y38*(1+$S38)</f>
        <v>470.47163904000001</v>
      </c>
      <c r="AA38" s="154">
        <f t="shared" ref="AA38" si="96">Z38*(1+$S38)</f>
        <v>564.56596684800002</v>
      </c>
      <c r="AB38" s="154">
        <f t="shared" ref="AB38" si="97">AA38*(1+$S38)</f>
        <v>677.4791602176</v>
      </c>
      <c r="AC38" s="154">
        <f t="shared" ref="AC38" si="98">AB38*(1+$S38)</f>
        <v>812.97499226111995</v>
      </c>
      <c r="AD38" s="138">
        <f t="shared" ref="AD38" si="99">((AC38/G38)^(1/($AC$3-$H$1) ))-1</f>
        <v>0.47994767381682957</v>
      </c>
      <c r="AE38" s="31">
        <f t="shared" si="16"/>
        <v>0.05</v>
      </c>
      <c r="AF38" s="146">
        <f t="shared" ref="AF38" si="100">(AC38*(1+AE38))/($C$1-AE38)</f>
        <v>5021.316128671624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-0.52380952380952395</v>
      </c>
      <c r="I39" s="148" t="e">
        <f t="shared" si="101"/>
        <v>#DIV/0!</v>
      </c>
      <c r="J39" s="148" t="e">
        <f t="shared" si="101"/>
        <v>#DIV/0!</v>
      </c>
      <c r="K39" s="148" t="e">
        <f t="shared" si="101"/>
        <v>#DIV/0!</v>
      </c>
      <c r="L39" s="148" t="e">
        <f t="shared" si="101"/>
        <v>#DIV/0!</v>
      </c>
      <c r="M39" s="148" t="e">
        <f t="shared" si="101"/>
        <v>#DIV/0!</v>
      </c>
      <c r="N39" s="148" t="e">
        <f t="shared" si="101"/>
        <v>#DIV/0!</v>
      </c>
      <c r="O39" s="148" t="e">
        <f t="shared" si="101"/>
        <v>#DIV/0!</v>
      </c>
      <c r="P39" s="148" t="e">
        <f t="shared" si="101"/>
        <v>#DIV/0!</v>
      </c>
      <c r="Q39" s="148">
        <f t="shared" ref="Q39" si="102">(Q38-P38)/Q38</f>
        <v>1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0.28000000000000003</v>
      </c>
      <c r="H40" s="147">
        <v>0.09</v>
      </c>
      <c r="I40" s="147">
        <v>3</v>
      </c>
      <c r="J40" s="147">
        <v>20</v>
      </c>
      <c r="K40" s="147">
        <v>23</v>
      </c>
      <c r="L40" s="147">
        <v>10</v>
      </c>
      <c r="M40" s="147">
        <v>13</v>
      </c>
      <c r="N40" s="147">
        <v>165</v>
      </c>
      <c r="O40" s="147">
        <v>67</v>
      </c>
      <c r="P40" s="147">
        <v>50.96</v>
      </c>
      <c r="Q40" s="147">
        <v>65.44</v>
      </c>
      <c r="R40" s="118">
        <f>((Q40/G40)^(1/($H$2-$H$1) ))-1</f>
        <v>0.83310461604057773</v>
      </c>
      <c r="S40" s="31">
        <f t="shared" si="6"/>
        <v>0.2</v>
      </c>
      <c r="T40" s="154">
        <f t="shared" si="2"/>
        <v>78.527999999999992</v>
      </c>
      <c r="U40" s="154">
        <f t="shared" ref="U40:AC40" si="103">T40*(1+$S40)</f>
        <v>94.233599999999981</v>
      </c>
      <c r="V40" s="154">
        <f t="shared" si="103"/>
        <v>113.08031999999997</v>
      </c>
      <c r="W40" s="154">
        <f t="shared" si="103"/>
        <v>135.69638399999997</v>
      </c>
      <c r="X40" s="154">
        <f t="shared" si="103"/>
        <v>162.83566079999994</v>
      </c>
      <c r="Y40" s="154">
        <f t="shared" si="103"/>
        <v>195.40279295999991</v>
      </c>
      <c r="Z40" s="154">
        <f t="shared" si="103"/>
        <v>234.48335155199987</v>
      </c>
      <c r="AA40" s="154">
        <f t="shared" si="103"/>
        <v>281.38002186239981</v>
      </c>
      <c r="AB40" s="154">
        <f t="shared" si="103"/>
        <v>337.65602623487979</v>
      </c>
      <c r="AC40" s="154">
        <f t="shared" si="103"/>
        <v>405.18723148185575</v>
      </c>
      <c r="AD40" s="138">
        <f t="shared" si="18"/>
        <v>0.43888102681143426</v>
      </c>
      <c r="AE40" s="31">
        <f t="shared" si="16"/>
        <v>0.05</v>
      </c>
      <c r="AF40" s="146">
        <f t="shared" si="1"/>
        <v>2502.6270179761682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-2.1111111111111116</v>
      </c>
      <c r="I41" s="148">
        <f t="shared" si="104"/>
        <v>0.97000000000000008</v>
      </c>
      <c r="J41" s="148">
        <f t="shared" si="104"/>
        <v>0.85</v>
      </c>
      <c r="K41" s="148">
        <f t="shared" si="104"/>
        <v>0.13043478260869565</v>
      </c>
      <c r="L41" s="148">
        <f t="shared" si="104"/>
        <v>-1.3</v>
      </c>
      <c r="M41" s="148">
        <f t="shared" si="104"/>
        <v>0.23076923076923078</v>
      </c>
      <c r="N41" s="148">
        <f t="shared" si="104"/>
        <v>0.92121212121212126</v>
      </c>
      <c r="O41" s="148">
        <f t="shared" si="104"/>
        <v>-1.4626865671641791</v>
      </c>
      <c r="P41" s="148">
        <f t="shared" si="104"/>
        <v>-0.31475667189952899</v>
      </c>
      <c r="Q41" s="148">
        <f t="shared" ref="Q41" si="105">(Q40-P40)/Q40</f>
        <v>0.22127139364303175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v>0.4</v>
      </c>
      <c r="H42" s="147">
        <v>0.4</v>
      </c>
      <c r="I42" s="147">
        <v>1.05</v>
      </c>
      <c r="J42" s="147">
        <v>1.05</v>
      </c>
      <c r="K42" s="147">
        <v>13.55</v>
      </c>
      <c r="L42" s="147">
        <v>13.55</v>
      </c>
      <c r="M42" s="147">
        <v>16.71</v>
      </c>
      <c r="N42" s="147">
        <v>20.18</v>
      </c>
      <c r="O42" s="147">
        <v>22.39</v>
      </c>
      <c r="P42" s="147">
        <v>22.68</v>
      </c>
      <c r="Q42" s="145">
        <f>P42</f>
        <v>22.68</v>
      </c>
      <c r="R42" s="118">
        <f>((Q42/G42)^(1/($H$2-$H$1) ))-1</f>
        <v>0.56618320359071705</v>
      </c>
      <c r="S42" s="31">
        <f>P1</f>
        <v>0.05</v>
      </c>
      <c r="T42" s="154">
        <f t="shared" si="2"/>
        <v>23.814</v>
      </c>
      <c r="U42" s="154">
        <f t="shared" ref="U42:AC42" si="106">T42*(1+$S42)</f>
        <v>25.0047</v>
      </c>
      <c r="V42" s="154">
        <f t="shared" si="106"/>
        <v>26.254935</v>
      </c>
      <c r="W42" s="154">
        <f t="shared" si="106"/>
        <v>27.567681750000002</v>
      </c>
      <c r="X42" s="154">
        <f t="shared" si="106"/>
        <v>28.946065837500004</v>
      </c>
      <c r="Y42" s="154">
        <f t="shared" si="106"/>
        <v>30.393369129375007</v>
      </c>
      <c r="Z42" s="154">
        <f t="shared" si="106"/>
        <v>31.913037585843757</v>
      </c>
      <c r="AA42" s="154">
        <f t="shared" si="106"/>
        <v>33.508689465135944</v>
      </c>
      <c r="AB42" s="154">
        <f t="shared" si="106"/>
        <v>35.184123938392744</v>
      </c>
      <c r="AC42" s="154">
        <f t="shared" si="106"/>
        <v>36.943330135312387</v>
      </c>
      <c r="AD42" s="138">
        <f t="shared" si="18"/>
        <v>0.25393147128753313</v>
      </c>
      <c r="AE42" s="31">
        <f t="shared" si="16"/>
        <v>0.05</v>
      </c>
      <c r="AF42" s="146">
        <f t="shared" si="1"/>
        <v>228.17939201222359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-1.4999999999999998</v>
      </c>
      <c r="H43" s="148">
        <f t="shared" ref="H43" si="107">(H42-G42)/H42</f>
        <v>0</v>
      </c>
      <c r="I43" s="148">
        <f t="shared" ref="I43" si="108">(I42-H42)/I42</f>
        <v>0.61904761904761907</v>
      </c>
      <c r="J43" s="148">
        <f t="shared" ref="J43" si="109">(J42-I42)/J42</f>
        <v>0</v>
      </c>
      <c r="K43" s="148">
        <f t="shared" ref="K43" si="110">(K42-J42)/K42</f>
        <v>0.92250922509225086</v>
      </c>
      <c r="L43" s="148">
        <f t="shared" ref="L43" si="111">(L42-K42)/L42</f>
        <v>0</v>
      </c>
      <c r="M43" s="148">
        <f t="shared" ref="M43" si="112">(M42-L42)/M42</f>
        <v>0.18910831837223219</v>
      </c>
      <c r="N43" s="148">
        <f t="shared" ref="N43" si="113">(N42-M42)/N42</f>
        <v>0.17195242814667983</v>
      </c>
      <c r="O43" s="148">
        <f t="shared" ref="O43" si="114">(O42-N42)/O42</f>
        <v>9.870477891916038E-2</v>
      </c>
      <c r="P43" s="148">
        <f t="shared" ref="P43:Q43" si="115">(P42-O42)/P42</f>
        <v>1.2786596119929416E-2</v>
      </c>
      <c r="Q43" s="148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</v>
      </c>
      <c r="H44" s="145">
        <v>0</v>
      </c>
      <c r="I44" s="145">
        <v>0</v>
      </c>
      <c r="J44" s="145">
        <v>5</v>
      </c>
      <c r="K44" s="145">
        <v>0.4</v>
      </c>
      <c r="L44" s="145">
        <v>0.2</v>
      </c>
      <c r="M44" s="145">
        <v>0.25</v>
      </c>
      <c r="N44" s="145">
        <v>0.3</v>
      </c>
      <c r="O44" s="145">
        <v>0.35</v>
      </c>
      <c r="P44" s="145">
        <v>0.25</v>
      </c>
      <c r="Q44" s="145">
        <v>0.25</v>
      </c>
      <c r="R44" s="118" t="e">
        <f>((Q44/G44)^(1/($H$2-$H$1) ))-1</f>
        <v>#DIV/0!</v>
      </c>
      <c r="S44" s="31">
        <f>P1</f>
        <v>0.05</v>
      </c>
      <c r="T44" s="154">
        <f t="shared" si="2"/>
        <v>0.26250000000000001</v>
      </c>
      <c r="U44" s="154">
        <f t="shared" ref="U44" si="116">T44*(1+$S44)</f>
        <v>0.27562500000000001</v>
      </c>
      <c r="V44" s="154">
        <f t="shared" ref="V44" si="117">U44*(1+$S44)</f>
        <v>0.28940625000000003</v>
      </c>
      <c r="W44" s="154">
        <f t="shared" ref="W44" si="118">V44*(1+$S44)</f>
        <v>0.30387656250000006</v>
      </c>
      <c r="X44" s="154">
        <f t="shared" ref="X44" si="119">W44*(1+$S44)</f>
        <v>0.31907039062500009</v>
      </c>
      <c r="Y44" s="154">
        <f t="shared" ref="Y44" si="120">X44*(1+$S44)</f>
        <v>0.3350239101562501</v>
      </c>
      <c r="Z44" s="154">
        <f t="shared" ref="Z44" si="121">Y44*(1+$S44)</f>
        <v>0.35177510566406262</v>
      </c>
      <c r="AA44" s="154">
        <f t="shared" ref="AA44" si="122">Z44*(1+$S44)</f>
        <v>0.36936386094726575</v>
      </c>
      <c r="AB44" s="154">
        <f t="shared" ref="AB44" si="123">AA44*(1+$S44)</f>
        <v>0.38783205399462906</v>
      </c>
      <c r="AC44" s="154">
        <f t="shared" ref="AC44" si="124">AB44*(1+$S44)</f>
        <v>0.4072236566943605</v>
      </c>
      <c r="AD44" s="138" t="e">
        <f t="shared" ref="AD44" si="125">((AC44/G44)^(1/($AC$3-$H$1) ))-1</f>
        <v>#DIV/0!</v>
      </c>
      <c r="AE44" s="31">
        <f t="shared" si="16"/>
        <v>0.05</v>
      </c>
      <c r="AF44" s="146">
        <f t="shared" si="1"/>
        <v>2.5152049384063448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 t="s">
        <v>456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0</v>
      </c>
      <c r="H50" s="133">
        <f t="shared" si="126"/>
        <v>0.65</v>
      </c>
      <c r="I50" s="133">
        <f t="shared" si="126"/>
        <v>51.428571428571423</v>
      </c>
      <c r="J50" s="133">
        <f t="shared" si="126"/>
        <v>39.047619047619044</v>
      </c>
      <c r="K50" s="133">
        <f t="shared" si="126"/>
        <v>7.9704797047970475</v>
      </c>
      <c r="L50" s="133">
        <f t="shared" si="126"/>
        <v>8.1918819188191883</v>
      </c>
      <c r="M50" s="133">
        <f t="shared" si="126"/>
        <v>8.6175942549371634</v>
      </c>
      <c r="N50" s="133">
        <f t="shared" si="126"/>
        <v>18.830525272547078</v>
      </c>
      <c r="O50" s="133">
        <f t="shared" si="126"/>
        <v>16.882536846806609</v>
      </c>
      <c r="P50" s="133">
        <f t="shared" si="126"/>
        <v>18.756613756613756</v>
      </c>
      <c r="Q50" s="133">
        <f t="shared" ref="Q50" si="127">Q25/Q42</f>
        <v>24.625220458553791</v>
      </c>
      <c r="R50" s="118" t="e">
        <f>((P50/G50)^(1/($H$2-$H$1) ))-1</f>
        <v>#DIV/0!</v>
      </c>
      <c r="S50" s="128"/>
      <c r="T50" s="158">
        <f t="shared" ref="T50:AC50" si="128">T25/T42</f>
        <v>28.143109095490043</v>
      </c>
      <c r="U50" s="158">
        <f t="shared" si="128"/>
        <v>32.163553251988624</v>
      </c>
      <c r="V50" s="158">
        <f t="shared" si="128"/>
        <v>36.758346573701282</v>
      </c>
      <c r="W50" s="158">
        <f t="shared" si="128"/>
        <v>42.009538941372888</v>
      </c>
      <c r="X50" s="158">
        <f t="shared" si="128"/>
        <v>48.010901647283305</v>
      </c>
      <c r="Y50" s="158">
        <f t="shared" si="128"/>
        <v>54.869601882609487</v>
      </c>
      <c r="Z50" s="158">
        <f t="shared" si="128"/>
        <v>62.708116437267982</v>
      </c>
      <c r="AA50" s="158">
        <f t="shared" si="128"/>
        <v>71.666418785449125</v>
      </c>
      <c r="AB50" s="158">
        <f t="shared" si="128"/>
        <v>81.90447861194184</v>
      </c>
      <c r="AC50" s="158">
        <f t="shared" si="128"/>
        <v>93.605118413647801</v>
      </c>
      <c r="AD50" s="138" t="e">
        <f t="shared" ref="AD50" si="129">((AC50/G50)^(1/($AC$3-$H$1) ))-1</f>
        <v>#DIV/0!</v>
      </c>
      <c r="AE50" s="31">
        <f t="shared" si="16"/>
        <v>0.05</v>
      </c>
      <c r="AF50" s="146">
        <f t="shared" ref="AF50:AF51" si="130">(AC50*(1+AE50))/($C$1-AE50)</f>
        <v>578.14926079017766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0.125</v>
      </c>
      <c r="H51" s="133">
        <f t="shared" si="131"/>
        <v>0.125</v>
      </c>
      <c r="I51" s="133">
        <f t="shared" si="131"/>
        <v>44.761904761904759</v>
      </c>
      <c r="J51" s="133">
        <f t="shared" si="131"/>
        <v>15.238095238095237</v>
      </c>
      <c r="K51" s="133">
        <f t="shared" si="131"/>
        <v>4.2066420664206641</v>
      </c>
      <c r="L51" s="133">
        <f t="shared" si="131"/>
        <v>4.280442804428044</v>
      </c>
      <c r="M51" s="133">
        <f t="shared" si="131"/>
        <v>5.0867743865948531</v>
      </c>
      <c r="N51" s="133">
        <f t="shared" si="131"/>
        <v>9.3161546085232914</v>
      </c>
      <c r="O51" s="133">
        <f t="shared" si="131"/>
        <v>11.790978115230013</v>
      </c>
      <c r="P51" s="133">
        <f t="shared" si="131"/>
        <v>15.374338624338625</v>
      </c>
      <c r="Q51" s="133">
        <f t="shared" ref="Q51" si="132">Q27/Q42</f>
        <v>18.738977072310405</v>
      </c>
      <c r="R51" s="118">
        <f>((P51/G51)^(1/($H$2-$H$1) ))-1</f>
        <v>0.7069059931356847</v>
      </c>
      <c r="S51" s="128"/>
      <c r="T51" s="158">
        <f t="shared" ref="T51:AC51" si="133">T27/T42</f>
        <v>21.415973796926178</v>
      </c>
      <c r="U51" s="158">
        <f t="shared" si="133"/>
        <v>24.475398625058489</v>
      </c>
      <c r="V51" s="158">
        <f t="shared" si="133"/>
        <v>27.971884142923987</v>
      </c>
      <c r="W51" s="158">
        <f t="shared" si="133"/>
        <v>31.967867591913127</v>
      </c>
      <c r="X51" s="158">
        <f t="shared" si="133"/>
        <v>36.534705819329275</v>
      </c>
      <c r="Y51" s="158">
        <f t="shared" si="133"/>
        <v>41.75394950780489</v>
      </c>
      <c r="Z51" s="158">
        <f t="shared" si="133"/>
        <v>47.718799437491299</v>
      </c>
      <c r="AA51" s="158">
        <f t="shared" si="133"/>
        <v>54.535770785704344</v>
      </c>
      <c r="AB51" s="158">
        <f t="shared" si="133"/>
        <v>62.3265951836621</v>
      </c>
      <c r="AC51" s="158">
        <f t="shared" si="133"/>
        <v>71.230394495613822</v>
      </c>
      <c r="AD51" s="138">
        <f t="shared" ref="AD51" si="134">((AC51/G51)^(1/($AC$3-$H$1) ))-1</f>
        <v>0.37337066544387598</v>
      </c>
      <c r="AE51" s="31">
        <f t="shared" si="16"/>
        <v>0.05</v>
      </c>
      <c r="AF51" s="146">
        <f t="shared" si="130"/>
        <v>439.95243659055603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3.999999999999998E-2</v>
      </c>
      <c r="H52" s="133">
        <f t="shared" ref="H52:P52" si="135">H38-H40</f>
        <v>0.12</v>
      </c>
      <c r="I52" s="133">
        <f t="shared" si="135"/>
        <v>-3</v>
      </c>
      <c r="J52" s="133">
        <f t="shared" si="135"/>
        <v>-20</v>
      </c>
      <c r="K52" s="133">
        <f t="shared" si="135"/>
        <v>-23</v>
      </c>
      <c r="L52" s="133">
        <f t="shared" si="135"/>
        <v>-10</v>
      </c>
      <c r="M52" s="133">
        <f t="shared" si="135"/>
        <v>-13</v>
      </c>
      <c r="N52" s="133">
        <f t="shared" si="135"/>
        <v>-165</v>
      </c>
      <c r="O52" s="133">
        <f t="shared" si="135"/>
        <v>-67</v>
      </c>
      <c r="P52" s="133">
        <f t="shared" si="135"/>
        <v>-50.96</v>
      </c>
      <c r="Q52" s="133">
        <f t="shared" ref="Q52" si="136">Q38-Q40</f>
        <v>65.860000000000014</v>
      </c>
      <c r="R52" s="118">
        <f>((P52/G52)^(1/($H$2-$H$1) ))-1</f>
        <v>-3.213190642550118</v>
      </c>
      <c r="S52" s="128"/>
      <c r="T52" s="133">
        <f t="shared" ref="T52:AC52" si="137">T38-T40</f>
        <v>79.032000000000011</v>
      </c>
      <c r="U52" s="133">
        <f t="shared" si="137"/>
        <v>94.838400000000021</v>
      </c>
      <c r="V52" s="133">
        <f t="shared" si="137"/>
        <v>113.80608000000004</v>
      </c>
      <c r="W52" s="133">
        <f t="shared" si="137"/>
        <v>136.56729600000006</v>
      </c>
      <c r="X52" s="133">
        <f t="shared" si="137"/>
        <v>163.8807552000001</v>
      </c>
      <c r="Y52" s="133">
        <f t="shared" si="137"/>
        <v>196.6569062400001</v>
      </c>
      <c r="Z52" s="133">
        <f t="shared" si="137"/>
        <v>235.98828748800014</v>
      </c>
      <c r="AA52" s="133">
        <f t="shared" si="137"/>
        <v>283.1859449856002</v>
      </c>
      <c r="AB52" s="133">
        <f t="shared" si="137"/>
        <v>339.82313398272021</v>
      </c>
      <c r="AC52" s="133">
        <f t="shared" si="137"/>
        <v>407.7877607792642</v>
      </c>
      <c r="AD52" s="138">
        <f t="shared" ref="AD52" si="138">((AC52/G52)^(1/($AC$3-$H$1) ))-1</f>
        <v>0.58642194841519424</v>
      </c>
      <c r="AE52" s="31">
        <f t="shared" si="16"/>
        <v>0.05</v>
      </c>
      <c r="AF52" s="146">
        <f t="shared" ref="AF52" si="139">(AC52*(1+AE52))/($C$1-AE52)</f>
        <v>2518.6891106954554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0.70000000000000007</v>
      </c>
      <c r="H54" s="133">
        <f t="shared" si="140"/>
        <v>0.22499999999999998</v>
      </c>
      <c r="I54" s="133">
        <f t="shared" si="140"/>
        <v>2.8571428571428572</v>
      </c>
      <c r="J54" s="133">
        <f t="shared" si="140"/>
        <v>19.047619047619047</v>
      </c>
      <c r="K54" s="133">
        <f t="shared" si="140"/>
        <v>1.6974169741697416</v>
      </c>
      <c r="L54" s="133">
        <f t="shared" si="140"/>
        <v>0.73800738007380073</v>
      </c>
      <c r="M54" s="133">
        <f t="shared" si="140"/>
        <v>0.77797725912627169</v>
      </c>
      <c r="N54" s="133">
        <f t="shared" si="140"/>
        <v>8.1764122893954418</v>
      </c>
      <c r="O54" s="133">
        <f t="shared" si="140"/>
        <v>2.9924073246985259</v>
      </c>
      <c r="P54" s="133">
        <f t="shared" si="140"/>
        <v>2.2469135802469138</v>
      </c>
      <c r="Q54" s="133">
        <f t="shared" ref="Q54" si="141">Q40/Q42</f>
        <v>2.8853615520282188</v>
      </c>
      <c r="R54" s="118">
        <f>((P54/G54)^(1/($H$2-$H$1) ))-1</f>
        <v>0.13835175388502741</v>
      </c>
      <c r="S54" s="128"/>
      <c r="T54" s="158">
        <f t="shared" ref="T54:AC54" si="142">T40/T42</f>
        <v>3.2975560594608209</v>
      </c>
      <c r="U54" s="158">
        <f t="shared" si="142"/>
        <v>3.7686354965266524</v>
      </c>
      <c r="V54" s="158">
        <f t="shared" si="142"/>
        <v>4.3070119960304591</v>
      </c>
      <c r="W54" s="158">
        <f t="shared" si="142"/>
        <v>4.9222994240348106</v>
      </c>
      <c r="X54" s="158">
        <f t="shared" si="142"/>
        <v>5.625485056039782</v>
      </c>
      <c r="Y54" s="158">
        <f t="shared" si="142"/>
        <v>6.429125778331179</v>
      </c>
      <c r="Z54" s="158">
        <f t="shared" si="142"/>
        <v>7.3475723180927748</v>
      </c>
      <c r="AA54" s="158">
        <f t="shared" si="142"/>
        <v>8.3972255063917416</v>
      </c>
      <c r="AB54" s="158">
        <f t="shared" si="142"/>
        <v>9.5968291501619909</v>
      </c>
      <c r="AC54" s="158">
        <f t="shared" si="142"/>
        <v>10.967804743042274</v>
      </c>
      <c r="AD54" s="138">
        <f t="shared" ref="AD54:AD68" si="143">((AC54/G54)^(1/($AC$3-$H$1) ))-1</f>
        <v>0.14749574419246003</v>
      </c>
      <c r="AE54" s="31">
        <f t="shared" si="16"/>
        <v>0.05</v>
      </c>
      <c r="AF54" s="146">
        <f t="shared" ref="AF54:AF82" si="144">(AC54*(1+AE54))/($C$1-AE54)</f>
        <v>67.742323412908178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0</v>
      </c>
      <c r="H55" s="133">
        <f t="shared" ref="H55:P55" si="146">H20/H42</f>
        <v>0</v>
      </c>
      <c r="I55" s="133">
        <f t="shared" si="146"/>
        <v>0</v>
      </c>
      <c r="J55" s="133">
        <f t="shared" si="146"/>
        <v>0</v>
      </c>
      <c r="K55" s="133">
        <f t="shared" si="146"/>
        <v>0</v>
      </c>
      <c r="L55" s="133">
        <f t="shared" si="146"/>
        <v>0</v>
      </c>
      <c r="M55" s="133">
        <f t="shared" si="146"/>
        <v>0</v>
      </c>
      <c r="N55" s="133">
        <f t="shared" si="146"/>
        <v>0</v>
      </c>
      <c r="O55" s="133">
        <f t="shared" si="146"/>
        <v>0</v>
      </c>
      <c r="P55" s="133">
        <f t="shared" si="146"/>
        <v>0</v>
      </c>
      <c r="Q55" s="133">
        <f t="shared" ref="Q55" si="147">Q20/Q42</f>
        <v>0</v>
      </c>
      <c r="R55" s="118" t="e">
        <f>((P55/G55)^(1/($H$2-$H$1) ))-1</f>
        <v>#DIV/0!</v>
      </c>
      <c r="S55" s="128"/>
      <c r="T55" s="133">
        <f t="shared" ref="T55:AC55" si="148">T20/T42</f>
        <v>0</v>
      </c>
      <c r="U55" s="133">
        <f t="shared" si="148"/>
        <v>0</v>
      </c>
      <c r="V55" s="133">
        <f t="shared" si="148"/>
        <v>0</v>
      </c>
      <c r="W55" s="133">
        <f t="shared" si="148"/>
        <v>0</v>
      </c>
      <c r="X55" s="133">
        <f t="shared" si="148"/>
        <v>0</v>
      </c>
      <c r="Y55" s="133">
        <f t="shared" si="148"/>
        <v>0</v>
      </c>
      <c r="Z55" s="133">
        <f t="shared" si="148"/>
        <v>0</v>
      </c>
      <c r="AA55" s="133">
        <f t="shared" si="148"/>
        <v>0</v>
      </c>
      <c r="AB55" s="133">
        <f t="shared" si="148"/>
        <v>0</v>
      </c>
      <c r="AC55" s="133">
        <f t="shared" si="148"/>
        <v>0</v>
      </c>
      <c r="AD55" s="138" t="e">
        <f t="shared" ref="AD55" si="149">((AC55/G55)^(1/($AC$3-$H$1) ))-1</f>
        <v>#DIV/0!</v>
      </c>
      <c r="AE55" s="31">
        <f t="shared" si="16"/>
        <v>0.05</v>
      </c>
      <c r="AF55" s="146">
        <f t="shared" si="144"/>
        <v>0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22.5</v>
      </c>
      <c r="H56" s="133">
        <f t="shared" si="150"/>
        <v>22.5</v>
      </c>
      <c r="I56" s="133">
        <f t="shared" si="150"/>
        <v>38.704761904761902</v>
      </c>
      <c r="J56" s="133">
        <f t="shared" si="150"/>
        <v>40.952380952380949</v>
      </c>
      <c r="K56" s="133">
        <f t="shared" si="150"/>
        <v>16.826568265682656</v>
      </c>
      <c r="L56" s="133">
        <f t="shared" si="150"/>
        <v>23.985239852398522</v>
      </c>
      <c r="M56" s="133">
        <f t="shared" si="150"/>
        <v>16.157989228007182</v>
      </c>
      <c r="N56" s="133">
        <f t="shared" si="150"/>
        <v>10.009910802775025</v>
      </c>
      <c r="O56" s="133">
        <f t="shared" si="150"/>
        <v>19.160339437248773</v>
      </c>
      <c r="P56" s="133">
        <f t="shared" si="150"/>
        <v>34.091710758377424</v>
      </c>
      <c r="Q56" s="133">
        <f t="shared" ref="Q56" si="151">Q7/Q42</f>
        <v>0</v>
      </c>
      <c r="R56" s="118">
        <f>((P56/G56)^(1/($H$2-$H$1) ))-1</f>
        <v>4.7253471250761958E-2</v>
      </c>
      <c r="S56" s="128"/>
      <c r="T56" s="158">
        <f t="shared" ref="T56:AC56" si="152">T7/T42</f>
        <v>0</v>
      </c>
      <c r="U56" s="158">
        <f t="shared" si="152"/>
        <v>0</v>
      </c>
      <c r="V56" s="158">
        <f t="shared" si="152"/>
        <v>0</v>
      </c>
      <c r="W56" s="158">
        <f t="shared" si="152"/>
        <v>0</v>
      </c>
      <c r="X56" s="158">
        <f t="shared" si="152"/>
        <v>0</v>
      </c>
      <c r="Y56" s="158">
        <f t="shared" si="152"/>
        <v>0</v>
      </c>
      <c r="Z56" s="158">
        <f t="shared" si="152"/>
        <v>0</v>
      </c>
      <c r="AA56" s="158">
        <f t="shared" si="152"/>
        <v>0</v>
      </c>
      <c r="AB56" s="158">
        <f t="shared" si="152"/>
        <v>0</v>
      </c>
      <c r="AC56" s="158">
        <f t="shared" si="152"/>
        <v>0</v>
      </c>
      <c r="AD56" s="138">
        <f t="shared" si="143"/>
        <v>-1</v>
      </c>
      <c r="AE56" s="31">
        <f t="shared" si="16"/>
        <v>0.05</v>
      </c>
      <c r="AF56" s="146">
        <f t="shared" si="144"/>
        <v>0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12.5</v>
      </c>
      <c r="H57" s="144">
        <f t="shared" si="153"/>
        <v>12.5</v>
      </c>
      <c r="I57" s="144">
        <f t="shared" si="153"/>
        <v>16.18095238095238</v>
      </c>
      <c r="J57" s="144">
        <f t="shared" si="153"/>
        <v>20</v>
      </c>
      <c r="K57" s="144">
        <f t="shared" si="153"/>
        <v>14.464944649446494</v>
      </c>
      <c r="L57" s="144">
        <f t="shared" si="153"/>
        <v>14.612546125461254</v>
      </c>
      <c r="M57" s="144">
        <f t="shared" si="153"/>
        <v>15.858767205266307</v>
      </c>
      <c r="N57" s="144">
        <f t="shared" si="153"/>
        <v>27.601585728444004</v>
      </c>
      <c r="O57" s="144">
        <f t="shared" si="153"/>
        <v>32.023224653863331</v>
      </c>
      <c r="P57" s="144">
        <f t="shared" si="153"/>
        <v>33.100088183421519</v>
      </c>
      <c r="Q57" s="144">
        <f t="shared" ref="Q57" si="154">Q6/Q42</f>
        <v>0</v>
      </c>
      <c r="R57" s="118">
        <f>((P57/G57)^(1/($H$2-$H$1) ))-1</f>
        <v>0.11427148129081299</v>
      </c>
      <c r="S57" s="128"/>
      <c r="T57" s="157">
        <f t="shared" ref="T57:AC57" si="155">T6/T42</f>
        <v>0</v>
      </c>
      <c r="U57" s="157">
        <f t="shared" si="155"/>
        <v>0</v>
      </c>
      <c r="V57" s="157">
        <f t="shared" si="155"/>
        <v>0</v>
      </c>
      <c r="W57" s="157">
        <f t="shared" si="155"/>
        <v>0</v>
      </c>
      <c r="X57" s="157">
        <f t="shared" si="155"/>
        <v>0</v>
      </c>
      <c r="Y57" s="157">
        <f t="shared" si="155"/>
        <v>0</v>
      </c>
      <c r="Z57" s="157">
        <f t="shared" si="155"/>
        <v>0</v>
      </c>
      <c r="AA57" s="157">
        <f t="shared" si="155"/>
        <v>0</v>
      </c>
      <c r="AB57" s="157">
        <f t="shared" si="155"/>
        <v>0</v>
      </c>
      <c r="AC57" s="157">
        <f t="shared" si="155"/>
        <v>0</v>
      </c>
      <c r="AD57" s="138">
        <f t="shared" si="143"/>
        <v>-1</v>
      </c>
      <c r="AE57" s="31">
        <f t="shared" si="16"/>
        <v>0.05</v>
      </c>
      <c r="AF57" s="146">
        <f t="shared" si="144"/>
        <v>0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1.125</v>
      </c>
      <c r="H58" s="144">
        <f t="shared" si="156"/>
        <v>62.5</v>
      </c>
      <c r="I58" s="144">
        <f t="shared" si="156"/>
        <v>68.571428571428569</v>
      </c>
      <c r="J58" s="144">
        <f t="shared" si="156"/>
        <v>75.714285714285708</v>
      </c>
      <c r="K58" s="144">
        <f t="shared" si="156"/>
        <v>24.132841328413281</v>
      </c>
      <c r="L58" s="144">
        <f t="shared" si="156"/>
        <v>23.985239852398522</v>
      </c>
      <c r="M58" s="144">
        <f t="shared" si="156"/>
        <v>16.157989228007182</v>
      </c>
      <c r="N58" s="144">
        <f t="shared" si="156"/>
        <v>10.009910802775025</v>
      </c>
      <c r="O58" s="144">
        <f t="shared" si="156"/>
        <v>19.205002233139794</v>
      </c>
      <c r="P58" s="144">
        <f t="shared" si="156"/>
        <v>0</v>
      </c>
      <c r="Q58" s="144">
        <f t="shared" ref="Q58" si="157">Q10/Q42</f>
        <v>0</v>
      </c>
      <c r="R58" s="118">
        <f>((P58/G58)^(1/($H$2-$H$1) ))-1</f>
        <v>-1</v>
      </c>
      <c r="S58" s="128"/>
      <c r="T58" s="157">
        <f t="shared" ref="T58:AC58" si="158">T10/T42</f>
        <v>0</v>
      </c>
      <c r="U58" s="157">
        <f t="shared" si="158"/>
        <v>0</v>
      </c>
      <c r="V58" s="157">
        <f t="shared" si="158"/>
        <v>0</v>
      </c>
      <c r="W58" s="157">
        <f t="shared" si="158"/>
        <v>0</v>
      </c>
      <c r="X58" s="157">
        <f t="shared" si="158"/>
        <v>0</v>
      </c>
      <c r="Y58" s="157">
        <f t="shared" si="158"/>
        <v>0</v>
      </c>
      <c r="Z58" s="157">
        <f t="shared" si="158"/>
        <v>0</v>
      </c>
      <c r="AA58" s="157">
        <f t="shared" si="158"/>
        <v>0</v>
      </c>
      <c r="AB58" s="157">
        <f t="shared" si="158"/>
        <v>0</v>
      </c>
      <c r="AC58" s="157">
        <f t="shared" si="158"/>
        <v>0</v>
      </c>
      <c r="AD58" s="138">
        <f t="shared" si="143"/>
        <v>-1</v>
      </c>
      <c r="AE58" s="31">
        <f t="shared" si="16"/>
        <v>0.05</v>
      </c>
      <c r="AF58" s="146">
        <f t="shared" si="144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21.375</v>
      </c>
      <c r="H60" s="144">
        <f t="shared" si="159"/>
        <v>-40</v>
      </c>
      <c r="I60" s="144">
        <f t="shared" si="159"/>
        <v>-29.866666666666664</v>
      </c>
      <c r="J60" s="144">
        <f t="shared" si="159"/>
        <v>-34.761904761904759</v>
      </c>
      <c r="K60" s="144">
        <f t="shared" si="159"/>
        <v>-7.3062730627306269</v>
      </c>
      <c r="L60" s="144">
        <f t="shared" si="159"/>
        <v>0</v>
      </c>
      <c r="M60" s="144">
        <f t="shared" si="159"/>
        <v>0</v>
      </c>
      <c r="N60" s="144">
        <f t="shared" si="159"/>
        <v>0</v>
      </c>
      <c r="O60" s="144">
        <f t="shared" si="159"/>
        <v>-4.4662795891022775E-2</v>
      </c>
      <c r="P60" s="144">
        <f t="shared" si="159"/>
        <v>34.091710758377424</v>
      </c>
      <c r="Q60" s="144">
        <f t="shared" ref="Q60" si="160">(Q7-Q10)/Q42</f>
        <v>0</v>
      </c>
      <c r="R60" s="118">
        <f>((P60/G60)^(1/($H$2-$H$1) ))-1</f>
        <v>5.3239076304571142E-2</v>
      </c>
      <c r="S60" s="128"/>
      <c r="T60" s="157">
        <f t="shared" ref="T60:AC60" si="161">(T7-T10)/T42</f>
        <v>0</v>
      </c>
      <c r="U60" s="157">
        <f t="shared" si="161"/>
        <v>0</v>
      </c>
      <c r="V60" s="157">
        <f t="shared" si="161"/>
        <v>0</v>
      </c>
      <c r="W60" s="157">
        <f t="shared" si="161"/>
        <v>0</v>
      </c>
      <c r="X60" s="157">
        <f t="shared" si="161"/>
        <v>0</v>
      </c>
      <c r="Y60" s="157">
        <f t="shared" si="161"/>
        <v>0</v>
      </c>
      <c r="Z60" s="157">
        <f t="shared" si="161"/>
        <v>0</v>
      </c>
      <c r="AA60" s="157">
        <f t="shared" si="161"/>
        <v>0</v>
      </c>
      <c r="AB60" s="157">
        <f t="shared" si="161"/>
        <v>0</v>
      </c>
      <c r="AC60" s="157">
        <f t="shared" si="161"/>
        <v>0</v>
      </c>
      <c r="AD60" s="138">
        <f t="shared" si="143"/>
        <v>-1</v>
      </c>
      <c r="AE60" s="31">
        <f t="shared" si="16"/>
        <v>0.05</v>
      </c>
      <c r="AF60" s="146">
        <f t="shared" si="144"/>
        <v>0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-38.624999999999993</v>
      </c>
      <c r="H61" s="144">
        <f t="shared" si="162"/>
        <v>-40.199999999999996</v>
      </c>
      <c r="I61" s="144">
        <f t="shared" si="162"/>
        <v>-33.980952380952381</v>
      </c>
      <c r="J61" s="144">
        <f t="shared" si="162"/>
        <v>-58.571428571428569</v>
      </c>
      <c r="K61" s="144">
        <f t="shared" si="162"/>
        <v>-12.934317343173431</v>
      </c>
      <c r="L61" s="144">
        <f t="shared" si="162"/>
        <v>-3.8376383763837638</v>
      </c>
      <c r="M61" s="144">
        <f t="shared" si="162"/>
        <v>-3.8898862956313582</v>
      </c>
      <c r="N61" s="144">
        <f t="shared" si="162"/>
        <v>-2.67591674925669</v>
      </c>
      <c r="O61" s="144">
        <f t="shared" si="162"/>
        <v>-4.1536400178651185</v>
      </c>
      <c r="P61" s="144">
        <f t="shared" si="162"/>
        <v>21.060405643738978</v>
      </c>
      <c r="Q61" s="144">
        <f t="shared" ref="Q61" si="163">(Q7-Q10-Q9)/Q42</f>
        <v>0</v>
      </c>
      <c r="R61" s="118">
        <f>((P61/G61)^(1/($H$2-$H$1) ))-1</f>
        <v>-1.9348310690612238</v>
      </c>
      <c r="S61" s="128"/>
      <c r="T61" s="157">
        <f t="shared" ref="T61:AC61" si="164">(T7-T10-T9)/T42</f>
        <v>0</v>
      </c>
      <c r="U61" s="157">
        <f t="shared" si="164"/>
        <v>0</v>
      </c>
      <c r="V61" s="157">
        <f t="shared" si="164"/>
        <v>0</v>
      </c>
      <c r="W61" s="157">
        <f t="shared" si="164"/>
        <v>0</v>
      </c>
      <c r="X61" s="157">
        <f t="shared" si="164"/>
        <v>0</v>
      </c>
      <c r="Y61" s="157">
        <f t="shared" si="164"/>
        <v>0</v>
      </c>
      <c r="Z61" s="157">
        <f t="shared" si="164"/>
        <v>0</v>
      </c>
      <c r="AA61" s="157">
        <f t="shared" si="164"/>
        <v>0</v>
      </c>
      <c r="AB61" s="157">
        <f t="shared" si="164"/>
        <v>0</v>
      </c>
      <c r="AC61" s="157">
        <f t="shared" si="164"/>
        <v>0</v>
      </c>
      <c r="AD61" s="138">
        <f t="shared" si="143"/>
        <v>-1</v>
      </c>
      <c r="AE61" s="31">
        <f t="shared" si="16"/>
        <v>0.05</v>
      </c>
      <c r="AF61" s="146">
        <f t="shared" si="144"/>
        <v>0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33.874999999999993</v>
      </c>
      <c r="H62" s="144">
        <f t="shared" si="165"/>
        <v>-39.449999999999996</v>
      </c>
      <c r="I62" s="144">
        <f t="shared" si="165"/>
        <v>67.92380952380951</v>
      </c>
      <c r="J62" s="144">
        <f t="shared" si="165"/>
        <v>-14.761904761904761</v>
      </c>
      <c r="K62" s="144">
        <f t="shared" si="165"/>
        <v>13.560147601476015</v>
      </c>
      <c r="L62" s="144">
        <f t="shared" si="165"/>
        <v>20.369003690036898</v>
      </c>
      <c r="M62" s="144">
        <f t="shared" si="165"/>
        <v>18.491921005385997</v>
      </c>
      <c r="N62" s="144">
        <f t="shared" si="165"/>
        <v>22.547076313181368</v>
      </c>
      <c r="O62" s="144">
        <f t="shared" si="165"/>
        <v>28.986154533273783</v>
      </c>
      <c r="P62" s="144">
        <f t="shared" si="165"/>
        <v>42.621252204585545</v>
      </c>
      <c r="Q62" s="144">
        <f t="shared" ref="Q62" si="166">(Q7+Q15-Q10-Q9)/Q42</f>
        <v>0</v>
      </c>
      <c r="R62" s="118">
        <f>((P62/G62)^(1/($H$2-$H$1) ))-1</f>
        <v>2.5847936065782617E-2</v>
      </c>
      <c r="S62" s="128"/>
      <c r="T62" s="157">
        <f t="shared" ref="T62:AC62" si="167">(T7+T15-T10-T9)/T42</f>
        <v>0</v>
      </c>
      <c r="U62" s="157">
        <f t="shared" si="167"/>
        <v>0</v>
      </c>
      <c r="V62" s="157">
        <f t="shared" si="167"/>
        <v>0</v>
      </c>
      <c r="W62" s="157">
        <f t="shared" si="167"/>
        <v>0</v>
      </c>
      <c r="X62" s="157">
        <f t="shared" si="167"/>
        <v>0</v>
      </c>
      <c r="Y62" s="157">
        <f t="shared" si="167"/>
        <v>0</v>
      </c>
      <c r="Z62" s="157">
        <f t="shared" si="167"/>
        <v>0</v>
      </c>
      <c r="AA62" s="157">
        <f t="shared" si="167"/>
        <v>0</v>
      </c>
      <c r="AB62" s="157">
        <f t="shared" si="167"/>
        <v>0</v>
      </c>
      <c r="AC62" s="157">
        <f t="shared" si="167"/>
        <v>0</v>
      </c>
      <c r="AD62" s="138">
        <f t="shared" si="143"/>
        <v>-1</v>
      </c>
      <c r="AE62" s="31">
        <f t="shared" si="16"/>
        <v>0.05</v>
      </c>
      <c r="AF62" s="146">
        <f t="shared" si="144"/>
        <v>0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2.4999999999999998E-2</v>
      </c>
      <c r="H64" s="144">
        <f t="shared" si="168"/>
        <v>0</v>
      </c>
      <c r="I64" s="144">
        <f t="shared" si="168"/>
        <v>2.6857142857142855</v>
      </c>
      <c r="J64" s="144">
        <f t="shared" si="168"/>
        <v>2.8571428571428572</v>
      </c>
      <c r="K64" s="144">
        <f t="shared" si="168"/>
        <v>6.4206642066420665</v>
      </c>
      <c r="L64" s="144">
        <f t="shared" si="168"/>
        <v>1.1808118081180812</v>
      </c>
      <c r="M64" s="144">
        <f t="shared" si="168"/>
        <v>2.7528426092160383</v>
      </c>
      <c r="N64" s="144">
        <f t="shared" si="168"/>
        <v>3.1714568880079286</v>
      </c>
      <c r="O64" s="144">
        <f t="shared" si="168"/>
        <v>6.0741402411790979</v>
      </c>
      <c r="P64" s="144">
        <f t="shared" si="168"/>
        <v>2.0282186948853616</v>
      </c>
      <c r="Q64" s="144">
        <f t="shared" ref="Q64" si="169">Q12/Q42</f>
        <v>0</v>
      </c>
      <c r="R64" s="118">
        <f>((P64/G64)^(1/($H$2-$H$1) ))-1</f>
        <v>0.62978580280298391</v>
      </c>
      <c r="S64" s="128"/>
      <c r="T64" s="157">
        <f t="shared" ref="T64:AC64" si="170">T12/T42</f>
        <v>0</v>
      </c>
      <c r="U64" s="157">
        <f t="shared" si="170"/>
        <v>0</v>
      </c>
      <c r="V64" s="157">
        <f t="shared" si="170"/>
        <v>0</v>
      </c>
      <c r="W64" s="157">
        <f t="shared" si="170"/>
        <v>0</v>
      </c>
      <c r="X64" s="157">
        <f t="shared" si="170"/>
        <v>0</v>
      </c>
      <c r="Y64" s="157">
        <f t="shared" si="170"/>
        <v>0</v>
      </c>
      <c r="Z64" s="157">
        <f t="shared" si="170"/>
        <v>0</v>
      </c>
      <c r="AA64" s="157">
        <f t="shared" si="170"/>
        <v>0</v>
      </c>
      <c r="AB64" s="157">
        <f t="shared" si="170"/>
        <v>0</v>
      </c>
      <c r="AC64" s="157">
        <f t="shared" si="170"/>
        <v>0</v>
      </c>
      <c r="AD64" s="138">
        <f t="shared" si="143"/>
        <v>-1</v>
      </c>
      <c r="AE64" s="31">
        <f t="shared" si="16"/>
        <v>0.05</v>
      </c>
      <c r="AF64" s="146">
        <f t="shared" si="144"/>
        <v>0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10</v>
      </c>
      <c r="H65" s="144">
        <f t="shared" si="171"/>
        <v>10</v>
      </c>
      <c r="I65" s="144">
        <f t="shared" si="171"/>
        <v>0.39999999999999997</v>
      </c>
      <c r="J65" s="144">
        <f t="shared" si="171"/>
        <v>83.80952380952381</v>
      </c>
      <c r="K65" s="144">
        <f t="shared" si="171"/>
        <v>19.55719557195572</v>
      </c>
      <c r="L65" s="144">
        <f t="shared" si="171"/>
        <v>16.531365313653136</v>
      </c>
      <c r="M65" s="144">
        <f t="shared" si="171"/>
        <v>10.293237582286055</v>
      </c>
      <c r="N65" s="144">
        <f t="shared" si="171"/>
        <v>8.0277502477700686</v>
      </c>
      <c r="O65" s="144">
        <f t="shared" si="171"/>
        <v>5.9848146493970518</v>
      </c>
      <c r="P65" s="144">
        <f t="shared" si="171"/>
        <v>5.0308641975308639</v>
      </c>
      <c r="Q65" s="144">
        <f t="shared" ref="Q65" si="172">Q13/Q42</f>
        <v>0</v>
      </c>
      <c r="R65" s="118">
        <f>((P65/G65)^(1/($H$2-$H$1) ))-1</f>
        <v>-7.3491992501279801E-2</v>
      </c>
      <c r="S65" s="128"/>
      <c r="T65" s="157">
        <f t="shared" ref="T65:AC65" si="173">T13/T42</f>
        <v>0</v>
      </c>
      <c r="U65" s="157">
        <f t="shared" si="173"/>
        <v>0</v>
      </c>
      <c r="V65" s="157">
        <f t="shared" si="173"/>
        <v>0</v>
      </c>
      <c r="W65" s="157">
        <f t="shared" si="173"/>
        <v>0</v>
      </c>
      <c r="X65" s="157">
        <f t="shared" si="173"/>
        <v>0</v>
      </c>
      <c r="Y65" s="157">
        <f t="shared" si="173"/>
        <v>0</v>
      </c>
      <c r="Z65" s="157">
        <f t="shared" si="173"/>
        <v>0</v>
      </c>
      <c r="AA65" s="157">
        <f t="shared" si="173"/>
        <v>0</v>
      </c>
      <c r="AB65" s="157">
        <f t="shared" si="173"/>
        <v>0</v>
      </c>
      <c r="AC65" s="157">
        <f t="shared" si="173"/>
        <v>0</v>
      </c>
      <c r="AD65" s="138">
        <f t="shared" si="143"/>
        <v>-1</v>
      </c>
      <c r="AE65" s="31">
        <f t="shared" si="16"/>
        <v>0.05</v>
      </c>
      <c r="AF65" s="146">
        <f t="shared" si="144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10.025</v>
      </c>
      <c r="H66" s="144">
        <f t="shared" si="174"/>
        <v>10</v>
      </c>
      <c r="I66" s="144">
        <f t="shared" si="174"/>
        <v>3.0857142857142854</v>
      </c>
      <c r="J66" s="144">
        <f t="shared" si="174"/>
        <v>86.666666666666671</v>
      </c>
      <c r="K66" s="144">
        <f t="shared" si="174"/>
        <v>25.977859778597786</v>
      </c>
      <c r="L66" s="144">
        <f t="shared" si="174"/>
        <v>17.712177121771219</v>
      </c>
      <c r="M66" s="144">
        <f t="shared" si="174"/>
        <v>13.046080191502094</v>
      </c>
      <c r="N66" s="144">
        <f t="shared" si="174"/>
        <v>11.199207135777996</v>
      </c>
      <c r="O66" s="144">
        <f t="shared" ref="O66" si="175">(O64+O65)</f>
        <v>12.05895489057615</v>
      </c>
      <c r="P66" s="144">
        <f t="shared" si="174"/>
        <v>7.0590828924162254</v>
      </c>
      <c r="Q66" s="144">
        <f t="shared" ref="Q66" si="176">(Q64+Q65)</f>
        <v>0</v>
      </c>
      <c r="R66" s="118">
        <f>((P66/G66)^(1/($H$2-$H$1) ))-1</f>
        <v>-3.8224373926229793E-2</v>
      </c>
      <c r="S66" s="128"/>
      <c r="T66" s="157">
        <f t="shared" ref="T66:AC66" si="177">(T64+T65)</f>
        <v>0</v>
      </c>
      <c r="U66" s="157">
        <f t="shared" si="177"/>
        <v>0</v>
      </c>
      <c r="V66" s="157">
        <f t="shared" si="177"/>
        <v>0</v>
      </c>
      <c r="W66" s="157">
        <f t="shared" si="177"/>
        <v>0</v>
      </c>
      <c r="X66" s="157">
        <f t="shared" si="177"/>
        <v>0</v>
      </c>
      <c r="Y66" s="157">
        <f t="shared" si="177"/>
        <v>0</v>
      </c>
      <c r="Z66" s="157">
        <f t="shared" si="177"/>
        <v>0</v>
      </c>
      <c r="AA66" s="157">
        <f t="shared" si="177"/>
        <v>0</v>
      </c>
      <c r="AB66" s="157">
        <f t="shared" si="177"/>
        <v>0</v>
      </c>
      <c r="AC66" s="157">
        <f t="shared" si="177"/>
        <v>0</v>
      </c>
      <c r="AD66" s="138">
        <f t="shared" si="143"/>
        <v>-1</v>
      </c>
      <c r="AE66" s="31">
        <f t="shared" si="16"/>
        <v>0.05</v>
      </c>
      <c r="AF66" s="146">
        <f t="shared" si="144"/>
        <v>0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72.5</v>
      </c>
      <c r="H67" s="144">
        <f t="shared" si="178"/>
        <v>0.74999999999999989</v>
      </c>
      <c r="I67" s="144">
        <f t="shared" si="178"/>
        <v>101.9047619047619</v>
      </c>
      <c r="J67" s="144">
        <f t="shared" si="178"/>
        <v>43.80952380952381</v>
      </c>
      <c r="K67" s="144">
        <f t="shared" si="178"/>
        <v>26.494464944649444</v>
      </c>
      <c r="L67" s="144">
        <f t="shared" si="178"/>
        <v>24.206642066420663</v>
      </c>
      <c r="M67" s="144">
        <f t="shared" si="178"/>
        <v>22.381807301017353</v>
      </c>
      <c r="N67" s="144">
        <f t="shared" si="178"/>
        <v>25.222993062438057</v>
      </c>
      <c r="O67" s="144">
        <f t="shared" si="178"/>
        <v>33.139794551138898</v>
      </c>
      <c r="P67" s="144">
        <f t="shared" si="178"/>
        <v>21.56084656084656</v>
      </c>
      <c r="Q67" s="144">
        <f t="shared" ref="Q67" si="179">Q15/Q42</f>
        <v>0</v>
      </c>
      <c r="R67" s="118">
        <f>((P67/G67)^(1/($H$2-$H$1) ))-1</f>
        <v>-0.1260615100822472</v>
      </c>
      <c r="S67" s="128"/>
      <c r="T67" s="157">
        <f t="shared" ref="T67:AC67" si="180">T15/T42</f>
        <v>0</v>
      </c>
      <c r="U67" s="157">
        <f t="shared" si="180"/>
        <v>0</v>
      </c>
      <c r="V67" s="157">
        <f t="shared" si="180"/>
        <v>0</v>
      </c>
      <c r="W67" s="157">
        <f t="shared" si="180"/>
        <v>0</v>
      </c>
      <c r="X67" s="157">
        <f t="shared" si="180"/>
        <v>0</v>
      </c>
      <c r="Y67" s="157">
        <f t="shared" si="180"/>
        <v>0</v>
      </c>
      <c r="Z67" s="157">
        <f t="shared" si="180"/>
        <v>0</v>
      </c>
      <c r="AA67" s="157">
        <f t="shared" si="180"/>
        <v>0</v>
      </c>
      <c r="AB67" s="157">
        <f t="shared" si="180"/>
        <v>0</v>
      </c>
      <c r="AC67" s="157">
        <f t="shared" si="180"/>
        <v>0</v>
      </c>
      <c r="AD67" s="138">
        <f t="shared" si="143"/>
        <v>-1</v>
      </c>
      <c r="AE67" s="31">
        <f t="shared" si="16"/>
        <v>0.05</v>
      </c>
      <c r="AF67" s="146">
        <f t="shared" si="144"/>
        <v>0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12.5</v>
      </c>
      <c r="H68" s="144">
        <f t="shared" si="181"/>
        <v>1.4249999999999998</v>
      </c>
      <c r="I68" s="144">
        <f t="shared" si="181"/>
        <v>95.238095238095241</v>
      </c>
      <c r="J68" s="144">
        <f t="shared" si="181"/>
        <v>7.9619047619047612</v>
      </c>
      <c r="K68" s="144">
        <f t="shared" si="181"/>
        <v>19.114391143911437</v>
      </c>
      <c r="L68" s="144">
        <f t="shared" si="181"/>
        <v>20.073800738007378</v>
      </c>
      <c r="M68" s="144">
        <f t="shared" si="181"/>
        <v>17.893476959904248</v>
      </c>
      <c r="N68" s="144">
        <f t="shared" si="181"/>
        <v>21.902874132804758</v>
      </c>
      <c r="O68" s="144">
        <f t="shared" si="181"/>
        <v>27.15497990174185</v>
      </c>
      <c r="P68" s="144">
        <f t="shared" si="181"/>
        <v>21.56084656084656</v>
      </c>
      <c r="Q68" s="144">
        <f t="shared" ref="Q68" si="182">Q16/Q42</f>
        <v>0</v>
      </c>
      <c r="R68" s="118">
        <f>((P68/G68)^(1/($H$2-$H$1) ))-1</f>
        <v>6.2444370132105131E-2</v>
      </c>
      <c r="S68" s="128"/>
      <c r="T68" s="157">
        <f t="shared" ref="T68:AC68" si="183">T16/T42</f>
        <v>0</v>
      </c>
      <c r="U68" s="157">
        <f t="shared" si="183"/>
        <v>0</v>
      </c>
      <c r="V68" s="157">
        <f t="shared" si="183"/>
        <v>0</v>
      </c>
      <c r="W68" s="157">
        <f t="shared" si="183"/>
        <v>0</v>
      </c>
      <c r="X68" s="157">
        <f t="shared" si="183"/>
        <v>0</v>
      </c>
      <c r="Y68" s="157">
        <f t="shared" si="183"/>
        <v>0</v>
      </c>
      <c r="Z68" s="157">
        <f t="shared" si="183"/>
        <v>0</v>
      </c>
      <c r="AA68" s="157">
        <f t="shared" si="183"/>
        <v>0</v>
      </c>
      <c r="AB68" s="157">
        <f t="shared" si="183"/>
        <v>0</v>
      </c>
      <c r="AC68" s="157">
        <f t="shared" si="183"/>
        <v>0</v>
      </c>
      <c r="AD68" s="138">
        <f t="shared" si="143"/>
        <v>-1</v>
      </c>
      <c r="AE68" s="137"/>
      <c r="AF68" s="146">
        <f t="shared" si="144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0</v>
      </c>
      <c r="H70" s="159">
        <f t="shared" si="184"/>
        <v>0</v>
      </c>
      <c r="I70" s="159">
        <f t="shared" si="184"/>
        <v>0</v>
      </c>
      <c r="J70" s="159">
        <f t="shared" si="184"/>
        <v>5</v>
      </c>
      <c r="K70" s="159">
        <f t="shared" si="184"/>
        <v>0.4</v>
      </c>
      <c r="L70" s="159">
        <f t="shared" si="184"/>
        <v>0.2</v>
      </c>
      <c r="M70" s="159">
        <f t="shared" si="184"/>
        <v>0.25</v>
      </c>
      <c r="N70" s="159">
        <f t="shared" si="184"/>
        <v>0.3</v>
      </c>
      <c r="O70" s="159">
        <f t="shared" si="184"/>
        <v>0.35</v>
      </c>
      <c r="P70" s="159">
        <f t="shared" si="184"/>
        <v>0.25</v>
      </c>
      <c r="Q70" s="159">
        <f t="shared" ref="Q70" si="185">Q44</f>
        <v>0.25</v>
      </c>
      <c r="R70" s="118" t="e">
        <f>((P70/G70)^(1/($H$2-$H$1) ))-1</f>
        <v>#DIV/0!</v>
      </c>
      <c r="S70" s="128"/>
      <c r="T70" s="159">
        <f t="shared" ref="T70:AC70" si="186">T44</f>
        <v>0.26250000000000001</v>
      </c>
      <c r="U70" s="159">
        <f t="shared" si="186"/>
        <v>0.27562500000000001</v>
      </c>
      <c r="V70" s="159">
        <f t="shared" si="186"/>
        <v>0.28940625000000003</v>
      </c>
      <c r="W70" s="159">
        <f t="shared" si="186"/>
        <v>0.30387656250000006</v>
      </c>
      <c r="X70" s="159">
        <f t="shared" si="186"/>
        <v>0.31907039062500009</v>
      </c>
      <c r="Y70" s="159">
        <f t="shared" si="186"/>
        <v>0.3350239101562501</v>
      </c>
      <c r="Z70" s="159">
        <f t="shared" si="186"/>
        <v>0.35177510566406262</v>
      </c>
      <c r="AA70" s="159">
        <f t="shared" si="186"/>
        <v>0.36936386094726575</v>
      </c>
      <c r="AB70" s="159">
        <f t="shared" si="186"/>
        <v>0.38783205399462906</v>
      </c>
      <c r="AC70" s="159">
        <f t="shared" si="186"/>
        <v>0.4072236566943605</v>
      </c>
      <c r="AD70" s="138" t="e">
        <f t="shared" ref="AD70" si="187">((AC70/G70)^(1/($AC$3-$H$1) ))-1</f>
        <v>#DIV/0!</v>
      </c>
      <c r="AE70" s="31">
        <f t="shared" si="16"/>
        <v>0.05</v>
      </c>
      <c r="AF70" s="146">
        <f t="shared" si="144"/>
        <v>2.5152049384063448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0</v>
      </c>
      <c r="H72" s="144">
        <f t="shared" si="188"/>
        <v>0</v>
      </c>
      <c r="I72" s="144">
        <f t="shared" si="188"/>
        <v>0</v>
      </c>
      <c r="J72" s="144">
        <f t="shared" si="188"/>
        <v>0</v>
      </c>
      <c r="K72" s="144">
        <f t="shared" si="188"/>
        <v>0</v>
      </c>
      <c r="L72" s="144">
        <f t="shared" si="188"/>
        <v>0</v>
      </c>
      <c r="M72" s="144">
        <f t="shared" si="188"/>
        <v>0</v>
      </c>
      <c r="N72" s="144">
        <f t="shared" si="188"/>
        <v>0</v>
      </c>
      <c r="O72" s="144">
        <f t="shared" si="188"/>
        <v>0</v>
      </c>
      <c r="P72" s="144">
        <f t="shared" si="188"/>
        <v>0</v>
      </c>
      <c r="Q72" s="144">
        <f t="shared" ref="Q72" si="189">Q20+Q21</f>
        <v>0</v>
      </c>
      <c r="R72" s="118" t="e">
        <f>((P72/G72)^(1/($H$2-$H$1) ))-1</f>
        <v>#DIV/0!</v>
      </c>
      <c r="S72" s="128"/>
      <c r="T72" s="144">
        <f t="shared" ref="T72:AC72" si="190">T20+T21</f>
        <v>0</v>
      </c>
      <c r="U72" s="144">
        <f t="shared" si="190"/>
        <v>0</v>
      </c>
      <c r="V72" s="144">
        <f t="shared" si="190"/>
        <v>0</v>
      </c>
      <c r="W72" s="144">
        <f t="shared" si="190"/>
        <v>0</v>
      </c>
      <c r="X72" s="144">
        <f t="shared" si="190"/>
        <v>0</v>
      </c>
      <c r="Y72" s="144">
        <f t="shared" si="190"/>
        <v>0</v>
      </c>
      <c r="Z72" s="144">
        <f t="shared" si="190"/>
        <v>0</v>
      </c>
      <c r="AA72" s="144">
        <f t="shared" si="190"/>
        <v>0</v>
      </c>
      <c r="AB72" s="144">
        <f t="shared" si="190"/>
        <v>0</v>
      </c>
      <c r="AC72" s="144">
        <f t="shared" si="190"/>
        <v>0</v>
      </c>
      <c r="AD72" s="138" t="e">
        <f t="shared" ref="AD72:AD77" si="191">((AC72/G72)^(1/($AC$3-$H$1) ))-1</f>
        <v>#DIV/0!</v>
      </c>
      <c r="AE72" s="31">
        <f t="shared" si="16"/>
        <v>0.05</v>
      </c>
      <c r="AF72" s="146">
        <f t="shared" si="144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0</v>
      </c>
      <c r="H74" s="144">
        <f t="shared" si="192"/>
        <v>0</v>
      </c>
      <c r="I74" s="144">
        <f t="shared" si="192"/>
        <v>0</v>
      </c>
      <c r="J74" s="144">
        <f t="shared" si="192"/>
        <v>0</v>
      </c>
      <c r="K74" s="144">
        <f t="shared" si="192"/>
        <v>0</v>
      </c>
      <c r="L74" s="144">
        <f t="shared" si="192"/>
        <v>0</v>
      </c>
      <c r="M74" s="144">
        <f t="shared" si="192"/>
        <v>0</v>
      </c>
      <c r="N74" s="144">
        <f t="shared" si="192"/>
        <v>0</v>
      </c>
      <c r="O74" s="144">
        <f t="shared" si="192"/>
        <v>0</v>
      </c>
      <c r="P74" s="144">
        <f t="shared" si="192"/>
        <v>0</v>
      </c>
      <c r="Q74" s="144">
        <f t="shared" ref="Q74" si="193">Q72/Q42</f>
        <v>0</v>
      </c>
      <c r="R74" s="118" t="e">
        <f>((P74/G74)^(1/($H$2-$H$1) ))-1</f>
        <v>#DIV/0!</v>
      </c>
      <c r="S74" s="128"/>
      <c r="T74" s="146">
        <f t="shared" ref="T74:AC74" si="194">T72/T42</f>
        <v>0</v>
      </c>
      <c r="U74" s="146">
        <f t="shared" si="194"/>
        <v>0</v>
      </c>
      <c r="V74" s="146">
        <f t="shared" si="194"/>
        <v>0</v>
      </c>
      <c r="W74" s="146">
        <f t="shared" si="194"/>
        <v>0</v>
      </c>
      <c r="X74" s="146">
        <f t="shared" si="194"/>
        <v>0</v>
      </c>
      <c r="Y74" s="146">
        <f t="shared" si="194"/>
        <v>0</v>
      </c>
      <c r="Z74" s="146">
        <f t="shared" si="194"/>
        <v>0</v>
      </c>
      <c r="AA74" s="146">
        <f t="shared" si="194"/>
        <v>0</v>
      </c>
      <c r="AB74" s="146">
        <f t="shared" si="194"/>
        <v>0</v>
      </c>
      <c r="AC74" s="146">
        <f t="shared" si="194"/>
        <v>0</v>
      </c>
      <c r="AD74" s="138" t="e">
        <f t="shared" si="191"/>
        <v>#DIV/0!</v>
      </c>
      <c r="AE74" s="31">
        <f t="shared" si="16"/>
        <v>0.05</v>
      </c>
      <c r="AF74" s="146">
        <f t="shared" si="144"/>
        <v>0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0</v>
      </c>
      <c r="H75" s="144">
        <f t="shared" si="195"/>
        <v>0</v>
      </c>
      <c r="I75" s="144">
        <f t="shared" si="195"/>
        <v>0</v>
      </c>
      <c r="J75" s="144">
        <f t="shared" si="195"/>
        <v>0</v>
      </c>
      <c r="K75" s="144">
        <f t="shared" si="195"/>
        <v>0</v>
      </c>
      <c r="L75" s="144">
        <f t="shared" si="195"/>
        <v>0</v>
      </c>
      <c r="M75" s="144">
        <f t="shared" si="195"/>
        <v>0</v>
      </c>
      <c r="N75" s="144">
        <f t="shared" si="195"/>
        <v>0</v>
      </c>
      <c r="O75" s="144">
        <f t="shared" si="195"/>
        <v>0</v>
      </c>
      <c r="P75" s="144">
        <f t="shared" si="195"/>
        <v>0</v>
      </c>
      <c r="Q75" s="144">
        <f t="shared" ref="Q75" si="196">Q20/Q42</f>
        <v>0</v>
      </c>
      <c r="R75" s="118" t="e">
        <f>((P75/G75)^(1/($H$2-$H$1) ))-1</f>
        <v>#DIV/0!</v>
      </c>
      <c r="S75" s="128"/>
      <c r="T75" s="146">
        <f t="shared" ref="T75:AC75" si="197">T20/T42</f>
        <v>0</v>
      </c>
      <c r="U75" s="146">
        <f t="shared" si="197"/>
        <v>0</v>
      </c>
      <c r="V75" s="146">
        <f t="shared" si="197"/>
        <v>0</v>
      </c>
      <c r="W75" s="146">
        <f t="shared" si="197"/>
        <v>0</v>
      </c>
      <c r="X75" s="146">
        <f t="shared" si="197"/>
        <v>0</v>
      </c>
      <c r="Y75" s="146">
        <f t="shared" si="197"/>
        <v>0</v>
      </c>
      <c r="Z75" s="146">
        <f t="shared" si="197"/>
        <v>0</v>
      </c>
      <c r="AA75" s="146">
        <f t="shared" si="197"/>
        <v>0</v>
      </c>
      <c r="AB75" s="146">
        <f t="shared" si="197"/>
        <v>0</v>
      </c>
      <c r="AC75" s="146">
        <f t="shared" si="197"/>
        <v>0</v>
      </c>
      <c r="AD75" s="138" t="e">
        <f t="shared" si="191"/>
        <v>#DIV/0!</v>
      </c>
      <c r="AE75" s="31">
        <f t="shared" si="16"/>
        <v>0.05</v>
      </c>
      <c r="AF75" s="146">
        <f t="shared" si="144"/>
        <v>0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0</v>
      </c>
      <c r="H76" s="144">
        <f t="shared" si="198"/>
        <v>0</v>
      </c>
      <c r="I76" s="144">
        <f t="shared" si="198"/>
        <v>0</v>
      </c>
      <c r="J76" s="144">
        <f t="shared" si="198"/>
        <v>0</v>
      </c>
      <c r="K76" s="144">
        <f t="shared" si="198"/>
        <v>0</v>
      </c>
      <c r="L76" s="144">
        <f t="shared" si="198"/>
        <v>0</v>
      </c>
      <c r="M76" s="144">
        <f t="shared" si="198"/>
        <v>0</v>
      </c>
      <c r="N76" s="144">
        <f t="shared" si="198"/>
        <v>0</v>
      </c>
      <c r="O76" s="144">
        <f t="shared" si="198"/>
        <v>0</v>
      </c>
      <c r="P76" s="144">
        <f t="shared" si="198"/>
        <v>0</v>
      </c>
      <c r="Q76" s="144">
        <f t="shared" ref="Q76" si="199">Q21/Q42</f>
        <v>0</v>
      </c>
      <c r="R76" s="118" t="e">
        <f>((P76/G76)^(1/($H$2-$H$1) ))-1</f>
        <v>#DIV/0!</v>
      </c>
      <c r="S76" s="128"/>
      <c r="T76" s="146">
        <f t="shared" ref="T76:AC76" si="200">T21/T42</f>
        <v>0</v>
      </c>
      <c r="U76" s="146">
        <f t="shared" si="200"/>
        <v>0</v>
      </c>
      <c r="V76" s="146">
        <f t="shared" si="200"/>
        <v>0</v>
      </c>
      <c r="W76" s="146">
        <f t="shared" si="200"/>
        <v>0</v>
      </c>
      <c r="X76" s="146">
        <f t="shared" si="200"/>
        <v>0</v>
      </c>
      <c r="Y76" s="146">
        <f t="shared" si="200"/>
        <v>0</v>
      </c>
      <c r="Z76" s="146">
        <f t="shared" si="200"/>
        <v>0</v>
      </c>
      <c r="AA76" s="146">
        <f t="shared" si="200"/>
        <v>0</v>
      </c>
      <c r="AB76" s="146">
        <f t="shared" si="200"/>
        <v>0</v>
      </c>
      <c r="AC76" s="146">
        <f t="shared" si="200"/>
        <v>0</v>
      </c>
      <c r="AD76" s="138" t="e">
        <f t="shared" si="191"/>
        <v>#DIV/0!</v>
      </c>
      <c r="AE76" s="31">
        <f t="shared" si="16"/>
        <v>0.05</v>
      </c>
      <c r="AF76" s="146">
        <f t="shared" si="144"/>
        <v>0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0</v>
      </c>
      <c r="H77" s="144">
        <f t="shared" si="201"/>
        <v>0</v>
      </c>
      <c r="I77" s="144">
        <f t="shared" si="201"/>
        <v>0</v>
      </c>
      <c r="J77" s="144">
        <f t="shared" si="201"/>
        <v>0</v>
      </c>
      <c r="K77" s="144">
        <f t="shared" si="201"/>
        <v>0</v>
      </c>
      <c r="L77" s="144">
        <f t="shared" si="201"/>
        <v>0</v>
      </c>
      <c r="M77" s="144">
        <f t="shared" si="201"/>
        <v>0</v>
      </c>
      <c r="N77" s="144">
        <f t="shared" si="201"/>
        <v>0</v>
      </c>
      <c r="O77" s="144">
        <f t="shared" si="201"/>
        <v>0</v>
      </c>
      <c r="P77" s="144">
        <f t="shared" si="201"/>
        <v>0</v>
      </c>
      <c r="Q77" s="144">
        <f t="shared" ref="Q77" si="202">Q22/Q42</f>
        <v>0</v>
      </c>
      <c r="R77" s="118" t="e">
        <f>((P77/G77)^(1/($H$2-$H$1) ))-1</f>
        <v>#DIV/0!</v>
      </c>
      <c r="S77" s="128"/>
      <c r="T77" s="146">
        <f t="shared" ref="T77:AC77" si="203">T22/T42</f>
        <v>0</v>
      </c>
      <c r="U77" s="146">
        <f t="shared" si="203"/>
        <v>0</v>
      </c>
      <c r="V77" s="146">
        <f t="shared" si="203"/>
        <v>0</v>
      </c>
      <c r="W77" s="146">
        <f t="shared" si="203"/>
        <v>0</v>
      </c>
      <c r="X77" s="146">
        <f t="shared" si="203"/>
        <v>0</v>
      </c>
      <c r="Y77" s="146">
        <f t="shared" si="203"/>
        <v>0</v>
      </c>
      <c r="Z77" s="146">
        <f t="shared" si="203"/>
        <v>0</v>
      </c>
      <c r="AA77" s="146">
        <f t="shared" si="203"/>
        <v>0</v>
      </c>
      <c r="AB77" s="146">
        <f t="shared" si="203"/>
        <v>0</v>
      </c>
      <c r="AC77" s="146">
        <f t="shared" si="203"/>
        <v>0</v>
      </c>
      <c r="AD77" s="138" t="e">
        <f t="shared" si="191"/>
        <v>#DIV/0!</v>
      </c>
      <c r="AE77" s="31">
        <f t="shared" si="16"/>
        <v>0.05</v>
      </c>
      <c r="AF77" s="146">
        <f t="shared" si="144"/>
        <v>0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0</v>
      </c>
      <c r="H78" s="144">
        <f t="shared" si="204"/>
        <v>0</v>
      </c>
      <c r="I78" s="144">
        <f t="shared" si="204"/>
        <v>0</v>
      </c>
      <c r="J78" s="144">
        <f t="shared" si="204"/>
        <v>0</v>
      </c>
      <c r="K78" s="144">
        <f t="shared" si="204"/>
        <v>0</v>
      </c>
      <c r="L78" s="144">
        <f t="shared" si="204"/>
        <v>0</v>
      </c>
      <c r="M78" s="144">
        <f t="shared" si="204"/>
        <v>0</v>
      </c>
      <c r="N78" s="144">
        <f t="shared" si="204"/>
        <v>0</v>
      </c>
      <c r="O78" s="144">
        <f t="shared" si="204"/>
        <v>0</v>
      </c>
      <c r="P78" s="144">
        <f t="shared" si="204"/>
        <v>0</v>
      </c>
      <c r="Q78" s="144">
        <f t="shared" ref="Q78" si="205">Q23/Q42</f>
        <v>0</v>
      </c>
      <c r="R78" s="118" t="e">
        <f>((P78/G78)^(1/($H$2-$H$1) ))-1</f>
        <v>#DIV/0!</v>
      </c>
      <c r="S78" s="128"/>
      <c r="T78" s="146">
        <f t="shared" ref="T78:AC78" si="206">T23/T42</f>
        <v>0</v>
      </c>
      <c r="U78" s="146">
        <f t="shared" si="206"/>
        <v>0</v>
      </c>
      <c r="V78" s="146">
        <f t="shared" si="206"/>
        <v>0</v>
      </c>
      <c r="W78" s="146">
        <f t="shared" si="206"/>
        <v>0</v>
      </c>
      <c r="X78" s="146">
        <f t="shared" si="206"/>
        <v>0</v>
      </c>
      <c r="Y78" s="146">
        <f t="shared" si="206"/>
        <v>0</v>
      </c>
      <c r="Z78" s="146">
        <f t="shared" si="206"/>
        <v>0</v>
      </c>
      <c r="AA78" s="146">
        <f t="shared" si="206"/>
        <v>0</v>
      </c>
      <c r="AB78" s="146">
        <f t="shared" si="206"/>
        <v>0</v>
      </c>
      <c r="AC78" s="146">
        <f t="shared" si="206"/>
        <v>0</v>
      </c>
      <c r="AD78" s="138" t="e">
        <f t="shared" ref="AD78" si="207">((AC78/G78)^(1/($AC$3-$H$1) ))-1</f>
        <v>#DIV/0!</v>
      </c>
      <c r="AE78" s="31">
        <f t="shared" si="16"/>
        <v>0.05</v>
      </c>
      <c r="AF78" s="146">
        <f t="shared" si="144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0.79999999999999993</v>
      </c>
      <c r="H80" s="144">
        <f t="shared" si="208"/>
        <v>0.79999999999999993</v>
      </c>
      <c r="I80" s="144">
        <f t="shared" si="208"/>
        <v>-10.476190476190476</v>
      </c>
      <c r="J80" s="144">
        <f t="shared" si="208"/>
        <v>21.904761904761905</v>
      </c>
      <c r="K80" s="144">
        <f t="shared" si="208"/>
        <v>3.4686346863468631</v>
      </c>
      <c r="L80" s="144">
        <f t="shared" si="208"/>
        <v>3.1734317343173428</v>
      </c>
      <c r="M80" s="144">
        <f t="shared" si="208"/>
        <v>2.8725314183123878</v>
      </c>
      <c r="N80" s="144">
        <f t="shared" si="208"/>
        <v>9.2666005946481658</v>
      </c>
      <c r="O80" s="144">
        <f t="shared" si="208"/>
        <v>4.4662795891022773</v>
      </c>
      <c r="P80" s="144">
        <f t="shared" si="208"/>
        <v>4.1988536155202825</v>
      </c>
      <c r="Q80" s="144">
        <f t="shared" ref="Q80" si="209">Q36/Q42</f>
        <v>5.8871252204585547</v>
      </c>
      <c r="R80" s="118">
        <f>((P80/G80)^(1/($H$2-$H$1) ))-1</f>
        <v>0.20227696811646778</v>
      </c>
      <c r="S80" s="128"/>
      <c r="T80" s="144">
        <f t="shared" ref="T80:AC80" si="210">T36/T42</f>
        <v>6.7281431090954911</v>
      </c>
      <c r="U80" s="144">
        <f t="shared" si="210"/>
        <v>7.6893064103948472</v>
      </c>
      <c r="V80" s="144">
        <f t="shared" si="210"/>
        <v>8.7877787547369675</v>
      </c>
      <c r="W80" s="144">
        <f t="shared" si="210"/>
        <v>10.04317571969939</v>
      </c>
      <c r="X80" s="144">
        <f t="shared" si="210"/>
        <v>11.477915108227874</v>
      </c>
      <c r="Y80" s="144">
        <f t="shared" si="210"/>
        <v>13.117617266546141</v>
      </c>
      <c r="Z80" s="144">
        <f t="shared" si="210"/>
        <v>14.991562590338445</v>
      </c>
      <c r="AA80" s="144">
        <f t="shared" si="210"/>
        <v>17.133214388958223</v>
      </c>
      <c r="AB80" s="144">
        <f t="shared" si="210"/>
        <v>19.580816444523684</v>
      </c>
      <c r="AC80" s="144">
        <f t="shared" si="210"/>
        <v>22.378075936598492</v>
      </c>
      <c r="AD80" s="138">
        <f t="shared" ref="AD80:AD82" si="211">((AC80/G80)^(1/($AC$3-$H$1) ))-1</f>
        <v>0.18123590077493201</v>
      </c>
      <c r="AE80" s="31">
        <f t="shared" si="16"/>
        <v>0.05</v>
      </c>
      <c r="AF80" s="146">
        <f t="shared" si="144"/>
        <v>138.21752784369659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0.70000000000000007</v>
      </c>
      <c r="H81" s="144">
        <f t="shared" si="212"/>
        <v>0.22499999999999998</v>
      </c>
      <c r="I81" s="144">
        <f t="shared" si="212"/>
        <v>2.8571428571428572</v>
      </c>
      <c r="J81" s="144">
        <f t="shared" si="212"/>
        <v>19.047619047619047</v>
      </c>
      <c r="K81" s="144">
        <f t="shared" si="212"/>
        <v>1.6974169741697416</v>
      </c>
      <c r="L81" s="144">
        <f t="shared" si="212"/>
        <v>0.73800738007380073</v>
      </c>
      <c r="M81" s="144">
        <f t="shared" si="212"/>
        <v>0.77797725912627169</v>
      </c>
      <c r="N81" s="144">
        <f t="shared" si="212"/>
        <v>8.1764122893954418</v>
      </c>
      <c r="O81" s="144">
        <f t="shared" si="212"/>
        <v>2.9924073246985259</v>
      </c>
      <c r="P81" s="144">
        <f t="shared" si="212"/>
        <v>2.2469135802469138</v>
      </c>
      <c r="Q81" s="144">
        <f t="shared" ref="Q81" si="213">Q40/Q42</f>
        <v>2.8853615520282188</v>
      </c>
      <c r="R81" s="118">
        <f>((P81/G81)^(1/($H$2-$H$1) ))-1</f>
        <v>0.13835175388502741</v>
      </c>
      <c r="S81" s="128"/>
      <c r="T81" s="144">
        <f t="shared" ref="T81:AC81" si="214">T40/T42</f>
        <v>3.2975560594608209</v>
      </c>
      <c r="U81" s="144">
        <f t="shared" si="214"/>
        <v>3.7686354965266524</v>
      </c>
      <c r="V81" s="144">
        <f t="shared" si="214"/>
        <v>4.3070119960304591</v>
      </c>
      <c r="W81" s="144">
        <f t="shared" si="214"/>
        <v>4.9222994240348106</v>
      </c>
      <c r="X81" s="144">
        <f t="shared" si="214"/>
        <v>5.625485056039782</v>
      </c>
      <c r="Y81" s="144">
        <f t="shared" si="214"/>
        <v>6.429125778331179</v>
      </c>
      <c r="Z81" s="144">
        <f t="shared" si="214"/>
        <v>7.3475723180927748</v>
      </c>
      <c r="AA81" s="144">
        <f t="shared" si="214"/>
        <v>8.3972255063917416</v>
      </c>
      <c r="AB81" s="144">
        <f t="shared" si="214"/>
        <v>9.5968291501619909</v>
      </c>
      <c r="AC81" s="144">
        <f t="shared" si="214"/>
        <v>10.967804743042274</v>
      </c>
      <c r="AD81" s="138">
        <f t="shared" si="211"/>
        <v>0.14749574419246003</v>
      </c>
      <c r="AE81" s="31">
        <f t="shared" si="16"/>
        <v>0.05</v>
      </c>
      <c r="AF81" s="146">
        <f t="shared" si="144"/>
        <v>67.742323412908178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12.5</v>
      </c>
      <c r="H82" s="144">
        <f t="shared" si="215"/>
        <v>12.5</v>
      </c>
      <c r="I82" s="144">
        <f t="shared" si="215"/>
        <v>16.18095238095238</v>
      </c>
      <c r="J82" s="144">
        <f t="shared" si="215"/>
        <v>20</v>
      </c>
      <c r="K82" s="144">
        <f t="shared" si="215"/>
        <v>14.464944649446494</v>
      </c>
      <c r="L82" s="144">
        <f t="shared" si="215"/>
        <v>14.612546125461254</v>
      </c>
      <c r="M82" s="144">
        <f t="shared" si="215"/>
        <v>15.858767205266307</v>
      </c>
      <c r="N82" s="144">
        <f t="shared" si="215"/>
        <v>27.601585728444004</v>
      </c>
      <c r="O82" s="144">
        <f t="shared" si="215"/>
        <v>32.023224653863331</v>
      </c>
      <c r="P82" s="144">
        <f t="shared" si="215"/>
        <v>33.100088183421519</v>
      </c>
      <c r="Q82" s="144">
        <f t="shared" ref="Q82" si="216">Q6/Q42</f>
        <v>0</v>
      </c>
      <c r="R82" s="118">
        <f>((P82/G82)^(1/($H$2-$H$1) ))-1</f>
        <v>0.11427148129081299</v>
      </c>
      <c r="S82" s="128"/>
      <c r="T82" s="144">
        <f t="shared" ref="T82:AC82" si="217">T6/T42</f>
        <v>0</v>
      </c>
      <c r="U82" s="144">
        <f t="shared" si="217"/>
        <v>0</v>
      </c>
      <c r="V82" s="144">
        <f t="shared" si="217"/>
        <v>0</v>
      </c>
      <c r="W82" s="144">
        <f t="shared" si="217"/>
        <v>0</v>
      </c>
      <c r="X82" s="144">
        <f t="shared" si="217"/>
        <v>0</v>
      </c>
      <c r="Y82" s="144">
        <f t="shared" si="217"/>
        <v>0</v>
      </c>
      <c r="Z82" s="144">
        <f t="shared" si="217"/>
        <v>0</v>
      </c>
      <c r="AA82" s="144">
        <f t="shared" si="217"/>
        <v>0</v>
      </c>
      <c r="AB82" s="144">
        <f t="shared" si="217"/>
        <v>0</v>
      </c>
      <c r="AC82" s="144">
        <f t="shared" si="217"/>
        <v>0</v>
      </c>
      <c r="AD82" s="138">
        <f t="shared" si="211"/>
        <v>-1</v>
      </c>
      <c r="AE82" s="31">
        <f t="shared" ref="AE82" si="218">$L$1</f>
        <v>0.05</v>
      </c>
      <c r="AF82" s="146">
        <f t="shared" si="144"/>
        <v>0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 t="e">
        <f t="shared" si="219"/>
        <v>#DIV/0!</v>
      </c>
      <c r="H86" s="152">
        <f t="shared" si="219"/>
        <v>1.2307692307692308</v>
      </c>
      <c r="I86" s="152">
        <f t="shared" si="219"/>
        <v>-0.20370370370370369</v>
      </c>
      <c r="J86" s="152">
        <f t="shared" si="219"/>
        <v>0.56097560975609762</v>
      </c>
      <c r="K86" s="152">
        <f t="shared" si="219"/>
        <v>0.43518518518518517</v>
      </c>
      <c r="L86" s="152">
        <f t="shared" si="219"/>
        <v>0.38738738738738737</v>
      </c>
      <c r="M86" s="152">
        <f t="shared" si="219"/>
        <v>0.33333333333333331</v>
      </c>
      <c r="N86" s="152">
        <f t="shared" si="219"/>
        <v>0.49210526315789471</v>
      </c>
      <c r="O86" s="152">
        <f t="shared" si="219"/>
        <v>0.26455026455026454</v>
      </c>
      <c r="P86" s="152">
        <f t="shared" si="219"/>
        <v>0.22385989656793609</v>
      </c>
      <c r="Q86" s="152">
        <f t="shared" ref="Q86" si="220">Q36/Q25</f>
        <v>0.23906893464637424</v>
      </c>
      <c r="R86" s="118" t="e">
        <f t="shared" ref="R86:R138" si="221">((P86/G86)^(1/($H$2-$H$1) ))-1</f>
        <v>#DIV/0!</v>
      </c>
      <c r="S86" s="152"/>
      <c r="T86" s="152">
        <f t="shared" ref="T86:AC86" si="222">T36/T25</f>
        <v>0.23906893464637427</v>
      </c>
      <c r="U86" s="152">
        <f t="shared" si="222"/>
        <v>0.23906893464637427</v>
      </c>
      <c r="V86" s="152">
        <f t="shared" si="222"/>
        <v>0.23906893464637427</v>
      </c>
      <c r="W86" s="152">
        <f t="shared" si="222"/>
        <v>0.23906893464637424</v>
      </c>
      <c r="X86" s="152">
        <f t="shared" si="222"/>
        <v>0.23906893464637424</v>
      </c>
      <c r="Y86" s="152">
        <f t="shared" si="222"/>
        <v>0.23906893464637424</v>
      </c>
      <c r="Z86" s="152">
        <f t="shared" si="222"/>
        <v>0.23906893464637424</v>
      </c>
      <c r="AA86" s="152">
        <f t="shared" si="222"/>
        <v>0.23906893464637424</v>
      </c>
      <c r="AB86" s="152">
        <f t="shared" si="222"/>
        <v>0.23906893464637424</v>
      </c>
      <c r="AC86" s="152">
        <f t="shared" si="222"/>
        <v>0.23906893464637424</v>
      </c>
      <c r="AD86" s="138" t="e">
        <f t="shared" ref="AD86:AD125" si="223">((AC86/G86)^(1/($AC$3-$H$1) ))-1</f>
        <v>#DIV/0!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 t="e">
        <f t="shared" si="224"/>
        <v>#DIV/0!</v>
      </c>
      <c r="H87" s="152">
        <f t="shared" si="224"/>
        <v>0.34615384615384615</v>
      </c>
      <c r="I87" s="152">
        <f t="shared" si="224"/>
        <v>5.5555555555555552E-2</v>
      </c>
      <c r="J87" s="152">
        <f t="shared" si="224"/>
        <v>0.48780487804878048</v>
      </c>
      <c r="K87" s="152">
        <f t="shared" si="224"/>
        <v>0.21296296296296297</v>
      </c>
      <c r="L87" s="152">
        <f t="shared" si="224"/>
        <v>9.0090090090090086E-2</v>
      </c>
      <c r="M87" s="152">
        <f t="shared" si="224"/>
        <v>9.0277777777777776E-2</v>
      </c>
      <c r="N87" s="152">
        <f t="shared" si="224"/>
        <v>0.43421052631578949</v>
      </c>
      <c r="O87" s="152">
        <f t="shared" si="224"/>
        <v>0.17724867724867724</v>
      </c>
      <c r="P87" s="152">
        <f t="shared" si="224"/>
        <v>0.11979313587212037</v>
      </c>
      <c r="Q87" s="152">
        <f t="shared" ref="Q87" si="225">Q40/Q25</f>
        <v>0.11717099373321396</v>
      </c>
      <c r="R87" s="118" t="e">
        <f t="shared" si="221"/>
        <v>#DIV/0!</v>
      </c>
      <c r="S87" s="152"/>
      <c r="T87" s="152">
        <f t="shared" ref="T87:AC87" si="226">T40/T25</f>
        <v>0.11717099373321396</v>
      </c>
      <c r="U87" s="152">
        <f t="shared" si="226"/>
        <v>0.11717099373321396</v>
      </c>
      <c r="V87" s="152">
        <f t="shared" si="226"/>
        <v>0.11717099373321395</v>
      </c>
      <c r="W87" s="152">
        <f t="shared" si="226"/>
        <v>0.11717099373321395</v>
      </c>
      <c r="X87" s="152">
        <f t="shared" si="226"/>
        <v>0.11717099373321394</v>
      </c>
      <c r="Y87" s="152">
        <f t="shared" si="226"/>
        <v>0.11717099373321392</v>
      </c>
      <c r="Z87" s="152">
        <f t="shared" si="226"/>
        <v>0.11717099373321392</v>
      </c>
      <c r="AA87" s="152">
        <f t="shared" si="226"/>
        <v>0.11717099373321391</v>
      </c>
      <c r="AB87" s="152">
        <f t="shared" si="226"/>
        <v>0.11717099373321391</v>
      </c>
      <c r="AC87" s="152">
        <f t="shared" si="226"/>
        <v>0.11717099373321391</v>
      </c>
      <c r="AD87" s="138" t="e">
        <f t="shared" si="223"/>
        <v>#DIV/0!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3.1111111111111114E-2</v>
      </c>
      <c r="H88" s="152">
        <f t="shared" si="227"/>
        <v>0.01</v>
      </c>
      <c r="I88" s="152">
        <f t="shared" si="227"/>
        <v>7.3818897637795269E-2</v>
      </c>
      <c r="J88" s="152">
        <f t="shared" si="227"/>
        <v>0.46511627906976744</v>
      </c>
      <c r="K88" s="152">
        <f t="shared" si="227"/>
        <v>0.10087719298245613</v>
      </c>
      <c r="L88" s="152">
        <f t="shared" si="227"/>
        <v>3.0769230769230771E-2</v>
      </c>
      <c r="M88" s="152">
        <f t="shared" si="227"/>
        <v>4.8148148148148148E-2</v>
      </c>
      <c r="N88" s="152">
        <f t="shared" si="227"/>
        <v>0.81683168316831678</v>
      </c>
      <c r="O88" s="152">
        <f t="shared" si="227"/>
        <v>0.15617715617715619</v>
      </c>
      <c r="P88" s="152">
        <f t="shared" ref="P88:Q88" si="228">P40/P7</f>
        <v>6.5907915157785824E-2</v>
      </c>
      <c r="Q88" s="152" t="e">
        <f t="shared" si="228"/>
        <v>#DIV/0!</v>
      </c>
      <c r="R88" s="118">
        <f t="shared" si="221"/>
        <v>8.6987806806182455E-2</v>
      </c>
      <c r="S88" s="20"/>
      <c r="T88" s="152" t="e">
        <f t="shared" ref="T88" si="229">T40/T7</f>
        <v>#DIV/0!</v>
      </c>
      <c r="U88" s="152" t="e">
        <f t="shared" ref="U88:AC88" si="230">U40/U7</f>
        <v>#DIV/0!</v>
      </c>
      <c r="V88" s="152" t="e">
        <f t="shared" si="230"/>
        <v>#DIV/0!</v>
      </c>
      <c r="W88" s="152" t="e">
        <f t="shared" si="230"/>
        <v>#DIV/0!</v>
      </c>
      <c r="X88" s="152" t="e">
        <f t="shared" si="230"/>
        <v>#DIV/0!</v>
      </c>
      <c r="Y88" s="152" t="e">
        <f t="shared" si="230"/>
        <v>#DIV/0!</v>
      </c>
      <c r="Z88" s="152" t="e">
        <f t="shared" si="230"/>
        <v>#DIV/0!</v>
      </c>
      <c r="AA88" s="152" t="e">
        <f t="shared" si="230"/>
        <v>#DIV/0!</v>
      </c>
      <c r="AB88" s="152" t="e">
        <f t="shared" si="230"/>
        <v>#DIV/0!</v>
      </c>
      <c r="AC88" s="152" t="e">
        <f t="shared" si="230"/>
        <v>#DIV/0!</v>
      </c>
      <c r="AD88" s="138" t="e">
        <f t="shared" si="223"/>
        <v>#DIV/0!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2.9629629629629634E-2</v>
      </c>
      <c r="H89" s="152">
        <f t="shared" ref="H89:O89" si="232">(H40)/(H7+H10)</f>
        <v>2.6470588235294116E-3</v>
      </c>
      <c r="I89" s="152">
        <f t="shared" si="232"/>
        <v>2.6633522727272728E-2</v>
      </c>
      <c r="J89" s="152">
        <f t="shared" si="232"/>
        <v>0.16326530612244897</v>
      </c>
      <c r="K89" s="152">
        <f t="shared" si="232"/>
        <v>4.1441441441441441E-2</v>
      </c>
      <c r="L89" s="152">
        <f t="shared" si="232"/>
        <v>1.5384615384615385E-2</v>
      </c>
      <c r="M89" s="152">
        <f t="shared" si="232"/>
        <v>2.4074074074074074E-2</v>
      </c>
      <c r="N89" s="152">
        <f t="shared" si="232"/>
        <v>0.40841584158415839</v>
      </c>
      <c r="O89" s="152">
        <f t="shared" si="232"/>
        <v>7.7997671711292196E-2</v>
      </c>
      <c r="P89" s="152">
        <f t="shared" ref="P89:Q89" si="233">(P40)/(P7+P10)</f>
        <v>6.5907915157785824E-2</v>
      </c>
      <c r="Q89" s="152" t="e">
        <f t="shared" si="233"/>
        <v>#DIV/0!</v>
      </c>
      <c r="R89" s="118">
        <f t="shared" si="221"/>
        <v>9.2896509761888568E-2</v>
      </c>
      <c r="S89" s="20"/>
      <c r="T89" s="152" t="e">
        <f t="shared" ref="T89:AC89" si="234">(T40)/(T7+T10)</f>
        <v>#DIV/0!</v>
      </c>
      <c r="U89" s="152" t="e">
        <f t="shared" si="234"/>
        <v>#DIV/0!</v>
      </c>
      <c r="V89" s="152" t="e">
        <f t="shared" si="234"/>
        <v>#DIV/0!</v>
      </c>
      <c r="W89" s="152" t="e">
        <f t="shared" si="234"/>
        <v>#DIV/0!</v>
      </c>
      <c r="X89" s="152" t="e">
        <f t="shared" si="234"/>
        <v>#DIV/0!</v>
      </c>
      <c r="Y89" s="152" t="e">
        <f t="shared" si="234"/>
        <v>#DIV/0!</v>
      </c>
      <c r="Z89" s="152" t="e">
        <f t="shared" si="234"/>
        <v>#DIV/0!</v>
      </c>
      <c r="AA89" s="152" t="e">
        <f t="shared" si="234"/>
        <v>#DIV/0!</v>
      </c>
      <c r="AB89" s="152" t="e">
        <f t="shared" si="234"/>
        <v>#DIV/0!</v>
      </c>
      <c r="AC89" s="152" t="e">
        <f t="shared" si="234"/>
        <v>#DIV/0!</v>
      </c>
      <c r="AD89" s="138" t="e">
        <f t="shared" si="223"/>
        <v>#DIV/0!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 t="e">
        <f>G20/G25</f>
        <v>#DIV/0!</v>
      </c>
      <c r="H90" s="152">
        <f t="shared" ref="H90:P90" si="235">H20/H25</f>
        <v>0</v>
      </c>
      <c r="I90" s="152">
        <f t="shared" si="235"/>
        <v>0</v>
      </c>
      <c r="J90" s="152">
        <f t="shared" si="235"/>
        <v>0</v>
      </c>
      <c r="K90" s="152">
        <f t="shared" si="235"/>
        <v>0</v>
      </c>
      <c r="L90" s="152">
        <f t="shared" si="235"/>
        <v>0</v>
      </c>
      <c r="M90" s="152">
        <f t="shared" si="235"/>
        <v>0</v>
      </c>
      <c r="N90" s="152">
        <f t="shared" si="235"/>
        <v>0</v>
      </c>
      <c r="O90" s="152">
        <f t="shared" si="235"/>
        <v>0</v>
      </c>
      <c r="P90" s="152">
        <f t="shared" si="235"/>
        <v>0</v>
      </c>
      <c r="Q90" s="152">
        <f t="shared" ref="Q90" si="236">Q20/Q25</f>
        <v>0</v>
      </c>
      <c r="R90" s="118" t="e">
        <f t="shared" si="221"/>
        <v>#DIV/0!</v>
      </c>
      <c r="S90" s="20"/>
      <c r="T90" s="152">
        <f t="shared" ref="T90:AC90" si="237">T20/T25</f>
        <v>0</v>
      </c>
      <c r="U90" s="152">
        <f t="shared" si="237"/>
        <v>0</v>
      </c>
      <c r="V90" s="152">
        <f t="shared" si="237"/>
        <v>0</v>
      </c>
      <c r="W90" s="152">
        <f t="shared" si="237"/>
        <v>0</v>
      </c>
      <c r="X90" s="152">
        <f t="shared" si="237"/>
        <v>0</v>
      </c>
      <c r="Y90" s="152">
        <f t="shared" si="237"/>
        <v>0</v>
      </c>
      <c r="Z90" s="152">
        <f t="shared" si="237"/>
        <v>0</v>
      </c>
      <c r="AA90" s="152">
        <f t="shared" si="237"/>
        <v>0</v>
      </c>
      <c r="AB90" s="152">
        <f t="shared" si="237"/>
        <v>0</v>
      </c>
      <c r="AC90" s="152">
        <f t="shared" si="237"/>
        <v>0</v>
      </c>
      <c r="AD90" s="138" t="e">
        <f t="shared" si="223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 t="e">
        <f>G52/G25</f>
        <v>#DIV/0!</v>
      </c>
      <c r="H91" s="152">
        <f t="shared" ref="H91:P91" si="238">H52/H25</f>
        <v>0.46153846153846151</v>
      </c>
      <c r="I91" s="152">
        <f t="shared" si="238"/>
        <v>-5.5555555555555552E-2</v>
      </c>
      <c r="J91" s="152">
        <f t="shared" si="238"/>
        <v>-0.48780487804878048</v>
      </c>
      <c r="K91" s="152">
        <f t="shared" si="238"/>
        <v>-0.21296296296296297</v>
      </c>
      <c r="L91" s="152">
        <f t="shared" si="238"/>
        <v>-9.0090090090090086E-2</v>
      </c>
      <c r="M91" s="152">
        <f t="shared" si="238"/>
        <v>-9.0277777777777776E-2</v>
      </c>
      <c r="N91" s="152">
        <f t="shared" si="238"/>
        <v>-0.43421052631578949</v>
      </c>
      <c r="O91" s="152">
        <f t="shared" si="238"/>
        <v>-0.17724867724867724</v>
      </c>
      <c r="P91" s="152">
        <f t="shared" si="238"/>
        <v>-0.11979313587212037</v>
      </c>
      <c r="Q91" s="152">
        <f t="shared" ref="Q91" si="239">Q52/Q25</f>
        <v>0.11792300805729636</v>
      </c>
      <c r="R91" s="118" t="e">
        <f t="shared" si="221"/>
        <v>#DIV/0!</v>
      </c>
      <c r="S91" s="20"/>
      <c r="T91" s="152">
        <f t="shared" ref="T91:AC91" si="240">T52/T25</f>
        <v>0.11792300805729636</v>
      </c>
      <c r="U91" s="152">
        <f t="shared" si="240"/>
        <v>0.11792300805729637</v>
      </c>
      <c r="V91" s="152">
        <f t="shared" si="240"/>
        <v>0.11792300805729639</v>
      </c>
      <c r="W91" s="152">
        <f t="shared" si="240"/>
        <v>0.11792300805729639</v>
      </c>
      <c r="X91" s="152">
        <f t="shared" si="240"/>
        <v>0.11792300805729641</v>
      </c>
      <c r="Y91" s="152">
        <f t="shared" si="240"/>
        <v>0.1179230080572964</v>
      </c>
      <c r="Z91" s="152">
        <f t="shared" si="240"/>
        <v>0.11792300805729641</v>
      </c>
      <c r="AA91" s="152">
        <f t="shared" si="240"/>
        <v>0.11792300805729643</v>
      </c>
      <c r="AB91" s="152">
        <f t="shared" si="240"/>
        <v>0.11792300805729641</v>
      </c>
      <c r="AC91" s="152">
        <f t="shared" si="240"/>
        <v>0.11792300805729641</v>
      </c>
      <c r="AD91" s="138" t="e">
        <f t="shared" si="223"/>
        <v>#DIV/0!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 t="e">
        <f>G29/G25</f>
        <v>#DIV/0!</v>
      </c>
      <c r="H93" s="152">
        <f t="shared" ref="H93:P93" si="241">H29/H25</f>
        <v>3.8461538461538464E-2</v>
      </c>
      <c r="I93" s="152">
        <f t="shared" si="241"/>
        <v>0.14351851851851852</v>
      </c>
      <c r="J93" s="152">
        <f t="shared" si="241"/>
        <v>0.66634146341463418</v>
      </c>
      <c r="K93" s="152">
        <f t="shared" si="241"/>
        <v>0.37962962962962965</v>
      </c>
      <c r="L93" s="152">
        <f t="shared" si="241"/>
        <v>0</v>
      </c>
      <c r="M93" s="152">
        <f t="shared" si="241"/>
        <v>0</v>
      </c>
      <c r="N93" s="152">
        <f t="shared" si="241"/>
        <v>0</v>
      </c>
      <c r="O93" s="152">
        <f t="shared" si="241"/>
        <v>0</v>
      </c>
      <c r="P93" s="152">
        <f t="shared" si="241"/>
        <v>3.6318758815232721E-2</v>
      </c>
      <c r="Q93" s="152">
        <f t="shared" ref="Q93" si="242">Q29/Q25</f>
        <v>5.9838854073410927E-2</v>
      </c>
      <c r="R93" s="118" t="e">
        <f t="shared" si="221"/>
        <v>#DIV/0!</v>
      </c>
      <c r="S93" s="20"/>
      <c r="T93" s="152">
        <f t="shared" ref="T93:AC93" si="243">T29/T25</f>
        <v>5.9838854073410927E-2</v>
      </c>
      <c r="U93" s="152">
        <f t="shared" si="243"/>
        <v>5.9838854073410934E-2</v>
      </c>
      <c r="V93" s="152">
        <f t="shared" si="243"/>
        <v>5.9838854073410927E-2</v>
      </c>
      <c r="W93" s="152">
        <f t="shared" si="243"/>
        <v>5.9838854073410913E-2</v>
      </c>
      <c r="X93" s="152">
        <f t="shared" si="243"/>
        <v>5.9838854073410913E-2</v>
      </c>
      <c r="Y93" s="152">
        <f t="shared" si="243"/>
        <v>5.9838854073410913E-2</v>
      </c>
      <c r="Z93" s="152">
        <f t="shared" si="243"/>
        <v>5.9838854073410913E-2</v>
      </c>
      <c r="AA93" s="152">
        <f t="shared" si="243"/>
        <v>5.9838854073410913E-2</v>
      </c>
      <c r="AB93" s="152">
        <f t="shared" si="243"/>
        <v>5.9838854073410906E-2</v>
      </c>
      <c r="AC93" s="152">
        <f t="shared" si="243"/>
        <v>5.9838854073410906E-2</v>
      </c>
      <c r="AD93" s="138" t="e">
        <f t="shared" si="223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3.125E-2</v>
      </c>
      <c r="H94" s="152">
        <f t="shared" ref="H94:P94" si="244">H29/H36</f>
        <v>3.125E-2</v>
      </c>
      <c r="I94" s="152">
        <f t="shared" si="244"/>
        <v>-0.70454545454545459</v>
      </c>
      <c r="J94" s="152">
        <f t="shared" si="244"/>
        <v>1.1878260869565218</v>
      </c>
      <c r="K94" s="152">
        <f t="shared" si="244"/>
        <v>0.87234042553191493</v>
      </c>
      <c r="L94" s="152">
        <f t="shared" si="244"/>
        <v>0</v>
      </c>
      <c r="M94" s="152">
        <f t="shared" si="244"/>
        <v>0</v>
      </c>
      <c r="N94" s="152">
        <f t="shared" si="244"/>
        <v>0</v>
      </c>
      <c r="O94" s="152">
        <f t="shared" si="244"/>
        <v>0</v>
      </c>
      <c r="P94" s="152">
        <f t="shared" si="244"/>
        <v>0.16223879029717525</v>
      </c>
      <c r="Q94" s="152">
        <f t="shared" ref="Q94" si="245">Q29/Q36</f>
        <v>0.25029958058717794</v>
      </c>
      <c r="R94" s="118">
        <f t="shared" ref="R94" si="246">((P94/G94)^(1/($H$2-$H$1) ))-1</f>
        <v>0.20082106433863123</v>
      </c>
      <c r="S94" s="20"/>
      <c r="T94" s="152">
        <f t="shared" ref="T94:AC94" si="247">T29/T36</f>
        <v>0.25029958058717794</v>
      </c>
      <c r="U94" s="152">
        <f t="shared" si="247"/>
        <v>0.25029958058717794</v>
      </c>
      <c r="V94" s="152">
        <f t="shared" si="247"/>
        <v>0.25029958058717794</v>
      </c>
      <c r="W94" s="152">
        <f t="shared" si="247"/>
        <v>0.25029958058717788</v>
      </c>
      <c r="X94" s="152">
        <f t="shared" si="247"/>
        <v>0.25029958058717788</v>
      </c>
      <c r="Y94" s="152">
        <f t="shared" si="247"/>
        <v>0.25029958058717788</v>
      </c>
      <c r="Z94" s="152">
        <f t="shared" si="247"/>
        <v>0.25029958058717788</v>
      </c>
      <c r="AA94" s="152">
        <f t="shared" si="247"/>
        <v>0.25029958058717788</v>
      </c>
      <c r="AB94" s="152">
        <f t="shared" si="247"/>
        <v>0.25029958058717783</v>
      </c>
      <c r="AC94" s="152">
        <f t="shared" si="247"/>
        <v>0.25029958058717783</v>
      </c>
      <c r="AD94" s="138">
        <f t="shared" ref="AD94" si="248">((AC94/G94)^(1/($AC$3-$H$1) ))-1</f>
        <v>0.10963591535083905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3.5714285714285712E-2</v>
      </c>
      <c r="H95" s="171">
        <f t="shared" si="249"/>
        <v>0.11111111111111112</v>
      </c>
      <c r="I95" s="171">
        <f t="shared" si="249"/>
        <v>2.5833333333333335</v>
      </c>
      <c r="J95" s="171">
        <f t="shared" si="249"/>
        <v>1.3660000000000001</v>
      </c>
      <c r="K95" s="171">
        <f t="shared" si="249"/>
        <v>1.7826086956521738</v>
      </c>
      <c r="L95" s="171">
        <f t="shared" si="249"/>
        <v>0</v>
      </c>
      <c r="M95" s="171">
        <f t="shared" si="249"/>
        <v>0</v>
      </c>
      <c r="N95" s="171">
        <f t="shared" si="249"/>
        <v>0</v>
      </c>
      <c r="O95" s="171">
        <f t="shared" si="249"/>
        <v>0</v>
      </c>
      <c r="P95" s="171">
        <f t="shared" si="249"/>
        <v>0.30317896389324961</v>
      </c>
      <c r="Q95" s="171">
        <f t="shared" ref="Q95" si="250">Q29/Q40</f>
        <v>0.51069682151589246</v>
      </c>
      <c r="R95" s="118">
        <f t="shared" ref="R95" si="251">((P95/G95)^(1/($H$2-$H$1) ))-1</f>
        <v>0.26825430149884411</v>
      </c>
      <c r="S95" s="20"/>
      <c r="T95" s="171">
        <f t="shared" ref="T95:AC95" si="252">T29/T40</f>
        <v>0.51069682151589246</v>
      </c>
      <c r="U95" s="171">
        <f t="shared" si="252"/>
        <v>0.51069682151589257</v>
      </c>
      <c r="V95" s="171">
        <f t="shared" si="252"/>
        <v>0.51069682151589246</v>
      </c>
      <c r="W95" s="171">
        <f t="shared" si="252"/>
        <v>0.51069682151589246</v>
      </c>
      <c r="X95" s="171">
        <f t="shared" si="252"/>
        <v>0.51069682151589246</v>
      </c>
      <c r="Y95" s="171">
        <f t="shared" si="252"/>
        <v>0.51069682151589257</v>
      </c>
      <c r="Z95" s="171">
        <f t="shared" si="252"/>
        <v>0.51069682151589257</v>
      </c>
      <c r="AA95" s="171">
        <f t="shared" si="252"/>
        <v>0.51069682151589257</v>
      </c>
      <c r="AB95" s="171">
        <f t="shared" si="252"/>
        <v>0.51069682151589257</v>
      </c>
      <c r="AC95" s="171">
        <f t="shared" si="252"/>
        <v>0.51069682151589257</v>
      </c>
      <c r="AD95" s="138">
        <f t="shared" ref="AD95" si="253">((AC95/G95)^(1/($AC$3-$H$1) ))-1</f>
        <v>0.14226286819397971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1</v>
      </c>
      <c r="H96" s="171" t="e">
        <f t="shared" si="254"/>
        <v>#DIV/0!</v>
      </c>
      <c r="I96" s="171">
        <f t="shared" si="254"/>
        <v>2.74822695035461</v>
      </c>
      <c r="J96" s="171">
        <f t="shared" si="254"/>
        <v>9.1066666666666674</v>
      </c>
      <c r="K96" s="171">
        <f t="shared" si="254"/>
        <v>0.47126436781609193</v>
      </c>
      <c r="L96" s="171">
        <f t="shared" si="254"/>
        <v>0</v>
      </c>
      <c r="M96" s="171">
        <f t="shared" si="254"/>
        <v>0</v>
      </c>
      <c r="N96" s="171">
        <f t="shared" si="254"/>
        <v>0</v>
      </c>
      <c r="O96" s="171">
        <f t="shared" si="254"/>
        <v>0</v>
      </c>
      <c r="P96" s="171">
        <f t="shared" si="254"/>
        <v>0.33586956521739131</v>
      </c>
      <c r="Q96" s="171" t="e">
        <f t="shared" ref="Q96" si="255">Q29/Q12</f>
        <v>#DIV/0!</v>
      </c>
      <c r="R96" s="118">
        <f t="shared" si="221"/>
        <v>-0.1141661032999175</v>
      </c>
      <c r="S96" s="20"/>
      <c r="T96" s="152" t="e">
        <f t="shared" ref="T96:AC96" si="256">T29/T12</f>
        <v>#DIV/0!</v>
      </c>
      <c r="U96" s="152" t="e">
        <f t="shared" si="256"/>
        <v>#DIV/0!</v>
      </c>
      <c r="V96" s="152" t="e">
        <f t="shared" si="256"/>
        <v>#DIV/0!</v>
      </c>
      <c r="W96" s="152" t="e">
        <f t="shared" si="256"/>
        <v>#DIV/0!</v>
      </c>
      <c r="X96" s="152" t="e">
        <f t="shared" si="256"/>
        <v>#DIV/0!</v>
      </c>
      <c r="Y96" s="152" t="e">
        <f t="shared" si="256"/>
        <v>#DIV/0!</v>
      </c>
      <c r="Z96" s="152" t="e">
        <f t="shared" si="256"/>
        <v>#DIV/0!</v>
      </c>
      <c r="AA96" s="152" t="e">
        <f t="shared" si="256"/>
        <v>#DIV/0!</v>
      </c>
      <c r="AB96" s="152" t="e">
        <f t="shared" si="256"/>
        <v>#DIV/0!</v>
      </c>
      <c r="AC96" s="152" t="e">
        <f t="shared" si="256"/>
        <v>#DIV/0!</v>
      </c>
      <c r="AD96" s="138" t="e">
        <f t="shared" si="223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7">H29/H23</f>
        <v>#DIV/0!</v>
      </c>
      <c r="I97" s="171" t="e">
        <f t="shared" si="257"/>
        <v>#DIV/0!</v>
      </c>
      <c r="J97" s="171" t="e">
        <f t="shared" si="257"/>
        <v>#DIV/0!</v>
      </c>
      <c r="K97" s="171" t="e">
        <f t="shared" si="257"/>
        <v>#DIV/0!</v>
      </c>
      <c r="L97" s="171" t="e">
        <f t="shared" si="257"/>
        <v>#DIV/0!</v>
      </c>
      <c r="M97" s="171" t="e">
        <f t="shared" si="257"/>
        <v>#DIV/0!</v>
      </c>
      <c r="N97" s="171" t="e">
        <f t="shared" si="257"/>
        <v>#DIV/0!</v>
      </c>
      <c r="O97" s="171" t="e">
        <f t="shared" si="257"/>
        <v>#DIV/0!</v>
      </c>
      <c r="P97" s="171" t="e">
        <f t="shared" si="257"/>
        <v>#DIV/0!</v>
      </c>
      <c r="Q97" s="171" t="e">
        <f t="shared" ref="Q97" si="258">Q29/Q23</f>
        <v>#DIV/0!</v>
      </c>
      <c r="R97" s="118" t="e">
        <f t="shared" ref="R97" si="259">((P97/G97)^(1/($H$2-$H$1) ))-1</f>
        <v>#DIV/0!</v>
      </c>
      <c r="S97" s="20"/>
      <c r="T97" s="171" t="e">
        <f t="shared" ref="T97:AC97" si="260">T29/T23</f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71" t="e">
        <f t="shared" si="260"/>
        <v>#DIV/0!</v>
      </c>
      <c r="AD97" s="138" t="e">
        <f t="shared" ref="AD97" si="261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>
        <f t="shared" ref="H99:P99" si="262">1/H93</f>
        <v>26</v>
      </c>
      <c r="I99" s="127">
        <f t="shared" si="262"/>
        <v>6.967741935483871</v>
      </c>
      <c r="J99" s="127">
        <f t="shared" si="262"/>
        <v>1.5007320644216691</v>
      </c>
      <c r="K99" s="127">
        <f t="shared" si="262"/>
        <v>2.6341463414634143</v>
      </c>
      <c r="L99" s="127" t="e">
        <f t="shared" si="262"/>
        <v>#DIV/0!</v>
      </c>
      <c r="M99" s="127" t="e">
        <f t="shared" si="262"/>
        <v>#DIV/0!</v>
      </c>
      <c r="N99" s="127" t="e">
        <f t="shared" si="262"/>
        <v>#DIV/0!</v>
      </c>
      <c r="O99" s="127" t="e">
        <f t="shared" si="262"/>
        <v>#DIV/0!</v>
      </c>
      <c r="P99" s="127">
        <f t="shared" si="262"/>
        <v>27.533980582524272</v>
      </c>
      <c r="Q99" s="127">
        <f t="shared" ref="Q99" si="263">1/Q93</f>
        <v>16.711549970077797</v>
      </c>
      <c r="R99" s="118" t="e">
        <f t="shared" si="221"/>
        <v>#DIV/0!</v>
      </c>
      <c r="S99" s="20"/>
      <c r="T99" s="127">
        <f t="shared" ref="T99:AC99" si="264">1/T93</f>
        <v>16.711549970077797</v>
      </c>
      <c r="U99" s="127">
        <f t="shared" si="264"/>
        <v>16.711549970077794</v>
      </c>
      <c r="V99" s="127">
        <f t="shared" si="264"/>
        <v>16.711549970077797</v>
      </c>
      <c r="W99" s="127">
        <f t="shared" si="264"/>
        <v>16.711549970077801</v>
      </c>
      <c r="X99" s="127">
        <f t="shared" si="264"/>
        <v>16.711549970077801</v>
      </c>
      <c r="Y99" s="127">
        <f t="shared" si="264"/>
        <v>16.711549970077801</v>
      </c>
      <c r="Z99" s="127">
        <f t="shared" si="264"/>
        <v>16.711549970077801</v>
      </c>
      <c r="AA99" s="127">
        <f t="shared" si="264"/>
        <v>16.711549970077801</v>
      </c>
      <c r="AB99" s="127">
        <f t="shared" si="264"/>
        <v>16.711549970077801</v>
      </c>
      <c r="AC99" s="127">
        <f t="shared" si="264"/>
        <v>16.711549970077801</v>
      </c>
      <c r="AD99" s="138" t="e">
        <f t="shared" si="223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65">1/G94</f>
        <v>32</v>
      </c>
      <c r="H100" s="127">
        <f t="shared" si="265"/>
        <v>32</v>
      </c>
      <c r="I100" s="127">
        <f t="shared" si="265"/>
        <v>-1.4193548387096773</v>
      </c>
      <c r="J100" s="127">
        <f t="shared" si="265"/>
        <v>0.84187408491947291</v>
      </c>
      <c r="K100" s="127">
        <f t="shared" si="265"/>
        <v>1.1463414634146341</v>
      </c>
      <c r="L100" s="127" t="e">
        <f t="shared" si="265"/>
        <v>#DIV/0!</v>
      </c>
      <c r="M100" s="127" t="e">
        <f t="shared" si="265"/>
        <v>#DIV/0!</v>
      </c>
      <c r="N100" s="127" t="e">
        <f t="shared" si="265"/>
        <v>#DIV/0!</v>
      </c>
      <c r="O100" s="127" t="e">
        <f t="shared" si="265"/>
        <v>#DIV/0!</v>
      </c>
      <c r="P100" s="127">
        <f t="shared" si="265"/>
        <v>6.163754045307444</v>
      </c>
      <c r="Q100" s="127">
        <f t="shared" ref="Q100" si="266">1/Q94</f>
        <v>3.9952124476361464</v>
      </c>
      <c r="R100" s="118">
        <f t="shared" si="221"/>
        <v>-0.16723646037075157</v>
      </c>
      <c r="S100" s="20"/>
      <c r="T100" s="127">
        <f t="shared" ref="T100:AC100" si="267">1/T94</f>
        <v>3.9952124476361464</v>
      </c>
      <c r="U100" s="127">
        <f t="shared" si="267"/>
        <v>3.9952124476361464</v>
      </c>
      <c r="V100" s="127">
        <f t="shared" si="267"/>
        <v>3.9952124476361464</v>
      </c>
      <c r="W100" s="127">
        <f t="shared" si="267"/>
        <v>3.9952124476361472</v>
      </c>
      <c r="X100" s="127">
        <f t="shared" si="267"/>
        <v>3.9952124476361472</v>
      </c>
      <c r="Y100" s="127">
        <f t="shared" si="267"/>
        <v>3.9952124476361472</v>
      </c>
      <c r="Z100" s="127">
        <f t="shared" si="267"/>
        <v>3.9952124476361472</v>
      </c>
      <c r="AA100" s="127">
        <f t="shared" si="267"/>
        <v>3.9952124476361472</v>
      </c>
      <c r="AB100" s="127">
        <f t="shared" si="267"/>
        <v>3.9952124476361481</v>
      </c>
      <c r="AC100" s="127">
        <f t="shared" si="267"/>
        <v>3.9952124476361481</v>
      </c>
      <c r="AD100" s="138">
        <f t="shared" si="223"/>
        <v>-9.8803502873440086E-2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65"/>
        <v>28</v>
      </c>
      <c r="H101" s="127">
        <f t="shared" si="265"/>
        <v>9</v>
      </c>
      <c r="I101" s="127">
        <f t="shared" si="265"/>
        <v>0.38709677419354838</v>
      </c>
      <c r="J101" s="127">
        <f t="shared" si="265"/>
        <v>0.73206442166910679</v>
      </c>
      <c r="K101" s="127">
        <f t="shared" si="265"/>
        <v>0.56097560975609762</v>
      </c>
      <c r="L101" s="127" t="e">
        <f t="shared" si="265"/>
        <v>#DIV/0!</v>
      </c>
      <c r="M101" s="127" t="e">
        <f t="shared" si="265"/>
        <v>#DIV/0!</v>
      </c>
      <c r="N101" s="127" t="e">
        <f t="shared" si="265"/>
        <v>#DIV/0!</v>
      </c>
      <c r="O101" s="127" t="e">
        <f t="shared" si="265"/>
        <v>#DIV/0!</v>
      </c>
      <c r="P101" s="127">
        <f t="shared" si="265"/>
        <v>3.2983818770226536</v>
      </c>
      <c r="Q101" s="127">
        <f t="shared" ref="Q101" si="268">1/Q95</f>
        <v>1.9581089168162775</v>
      </c>
      <c r="R101" s="118">
        <f t="shared" si="221"/>
        <v>-0.21151460017270729</v>
      </c>
      <c r="S101" s="20"/>
      <c r="T101" s="127">
        <f t="shared" ref="T101:AC101" si="269">1/T95</f>
        <v>1.9581089168162775</v>
      </c>
      <c r="U101" s="127">
        <f t="shared" si="269"/>
        <v>1.9581089168162771</v>
      </c>
      <c r="V101" s="127">
        <f t="shared" si="269"/>
        <v>1.9581089168162775</v>
      </c>
      <c r="W101" s="127">
        <f t="shared" si="269"/>
        <v>1.9581089168162775</v>
      </c>
      <c r="X101" s="127">
        <f t="shared" si="269"/>
        <v>1.9581089168162775</v>
      </c>
      <c r="Y101" s="127">
        <f t="shared" si="269"/>
        <v>1.9581089168162771</v>
      </c>
      <c r="Z101" s="127">
        <f t="shared" si="269"/>
        <v>1.9581089168162771</v>
      </c>
      <c r="AA101" s="127">
        <f t="shared" si="269"/>
        <v>1.9581089168162771</v>
      </c>
      <c r="AB101" s="127">
        <f t="shared" si="269"/>
        <v>1.9581089168162771</v>
      </c>
      <c r="AC101" s="127">
        <f t="shared" si="269"/>
        <v>1.9581089168162771</v>
      </c>
      <c r="AD101" s="138">
        <f t="shared" si="223"/>
        <v>-0.12454477174672585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65"/>
        <v>1</v>
      </c>
      <c r="H102" s="127" t="e">
        <f t="shared" si="265"/>
        <v>#DIV/0!</v>
      </c>
      <c r="I102" s="127">
        <f t="shared" si="265"/>
        <v>0.3638709677419355</v>
      </c>
      <c r="J102" s="127">
        <f t="shared" si="265"/>
        <v>0.10980966325036602</v>
      </c>
      <c r="K102" s="127">
        <f t="shared" si="265"/>
        <v>2.1219512195121952</v>
      </c>
      <c r="L102" s="127" t="e">
        <f t="shared" si="265"/>
        <v>#DIV/0!</v>
      </c>
      <c r="M102" s="127" t="e">
        <f t="shared" si="265"/>
        <v>#DIV/0!</v>
      </c>
      <c r="N102" s="127" t="e">
        <f t="shared" si="265"/>
        <v>#DIV/0!</v>
      </c>
      <c r="O102" s="127" t="e">
        <f t="shared" si="265"/>
        <v>#DIV/0!</v>
      </c>
      <c r="P102" s="127">
        <f t="shared" si="265"/>
        <v>2.9773462783171523</v>
      </c>
      <c r="Q102" s="127" t="e">
        <f t="shared" ref="Q102" si="270">1/Q96</f>
        <v>#DIV/0!</v>
      </c>
      <c r="R102" s="118">
        <f t="shared" si="221"/>
        <v>0.12887980887298434</v>
      </c>
      <c r="S102" s="20"/>
      <c r="T102" s="127" t="e">
        <f t="shared" ref="T102:AC102" si="271">1/T96</f>
        <v>#DIV/0!</v>
      </c>
      <c r="U102" s="127" t="e">
        <f t="shared" si="271"/>
        <v>#DIV/0!</v>
      </c>
      <c r="V102" s="127" t="e">
        <f t="shared" si="271"/>
        <v>#DIV/0!</v>
      </c>
      <c r="W102" s="127" t="e">
        <f t="shared" si="271"/>
        <v>#DIV/0!</v>
      </c>
      <c r="X102" s="127" t="e">
        <f t="shared" si="271"/>
        <v>#DIV/0!</v>
      </c>
      <c r="Y102" s="127" t="e">
        <f t="shared" si="271"/>
        <v>#DIV/0!</v>
      </c>
      <c r="Z102" s="127" t="e">
        <f t="shared" si="271"/>
        <v>#DIV/0!</v>
      </c>
      <c r="AA102" s="127" t="e">
        <f t="shared" si="271"/>
        <v>#DIV/0!</v>
      </c>
      <c r="AB102" s="127" t="e">
        <f t="shared" si="271"/>
        <v>#DIV/0!</v>
      </c>
      <c r="AC102" s="127" t="e">
        <f t="shared" si="271"/>
        <v>#DIV/0!</v>
      </c>
      <c r="AD102" s="138" t="e">
        <f t="shared" si="223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5"/>
        <v>#DIV/0!</v>
      </c>
      <c r="H103" s="127" t="e">
        <f t="shared" si="265"/>
        <v>#DIV/0!</v>
      </c>
      <c r="I103" s="127" t="e">
        <f t="shared" si="265"/>
        <v>#DIV/0!</v>
      </c>
      <c r="J103" s="127" t="e">
        <f t="shared" si="265"/>
        <v>#DIV/0!</v>
      </c>
      <c r="K103" s="127" t="e">
        <f t="shared" si="265"/>
        <v>#DIV/0!</v>
      </c>
      <c r="L103" s="127" t="e">
        <f t="shared" si="265"/>
        <v>#DIV/0!</v>
      </c>
      <c r="M103" s="127" t="e">
        <f t="shared" si="265"/>
        <v>#DIV/0!</v>
      </c>
      <c r="N103" s="127" t="e">
        <f t="shared" si="265"/>
        <v>#DIV/0!</v>
      </c>
      <c r="O103" s="127" t="e">
        <f t="shared" si="265"/>
        <v>#DIV/0!</v>
      </c>
      <c r="P103" s="127" t="e">
        <f t="shared" si="265"/>
        <v>#DIV/0!</v>
      </c>
      <c r="Q103" s="127" t="e">
        <f t="shared" ref="Q103" si="272">1/Q97</f>
        <v>#DIV/0!</v>
      </c>
      <c r="R103" s="118" t="e">
        <f t="shared" si="221"/>
        <v>#DIV/0!</v>
      </c>
      <c r="S103" s="20"/>
      <c r="T103" s="127" t="e">
        <f t="shared" ref="T103:AC103" si="273">1/T97</f>
        <v>#DIV/0!</v>
      </c>
      <c r="U103" s="127" t="e">
        <f t="shared" si="273"/>
        <v>#DIV/0!</v>
      </c>
      <c r="V103" s="127" t="e">
        <f t="shared" si="273"/>
        <v>#DIV/0!</v>
      </c>
      <c r="W103" s="127" t="e">
        <f t="shared" si="273"/>
        <v>#DIV/0!</v>
      </c>
      <c r="X103" s="127" t="e">
        <f t="shared" si="273"/>
        <v>#DIV/0!</v>
      </c>
      <c r="Y103" s="127" t="e">
        <f t="shared" si="273"/>
        <v>#DIV/0!</v>
      </c>
      <c r="Z103" s="127" t="e">
        <f t="shared" si="273"/>
        <v>#DIV/0!</v>
      </c>
      <c r="AA103" s="127" t="e">
        <f t="shared" si="273"/>
        <v>#DIV/0!</v>
      </c>
      <c r="AB103" s="127" t="e">
        <f t="shared" si="273"/>
        <v>#DIV/0!</v>
      </c>
      <c r="AC103" s="127" t="e">
        <f t="shared" si="273"/>
        <v>#DIV/0!</v>
      </c>
      <c r="AD103" s="138" t="e">
        <f t="shared" si="223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-3.5599999999999996</v>
      </c>
      <c r="H106" s="163">
        <f t="shared" si="274"/>
        <v>21</v>
      </c>
      <c r="I106" s="163">
        <f t="shared" si="274"/>
        <v>68.760000000000005</v>
      </c>
      <c r="J106" s="163">
        <f t="shared" si="274"/>
        <v>-11.5</v>
      </c>
      <c r="K106" s="163">
        <f t="shared" si="274"/>
        <v>-25</v>
      </c>
      <c r="L106" s="163">
        <f t="shared" si="274"/>
        <v>85</v>
      </c>
      <c r="M106" s="163">
        <f t="shared" si="274"/>
        <v>52</v>
      </c>
      <c r="N106" s="163">
        <f t="shared" si="274"/>
        <v>-24</v>
      </c>
      <c r="O106" s="163">
        <f t="shared" si="274"/>
        <v>160</v>
      </c>
      <c r="P106" s="163">
        <f>P10-(P12+P13)</f>
        <v>-160.1</v>
      </c>
      <c r="Q106" s="163">
        <f>Q10-(Q12+Q13)</f>
        <v>0</v>
      </c>
      <c r="R106" s="118">
        <f t="shared" si="221"/>
        <v>0.52637114787519312</v>
      </c>
      <c r="S106" s="20"/>
      <c r="T106" s="163">
        <f>T10-(T12+T13)</f>
        <v>0</v>
      </c>
      <c r="U106" s="163">
        <f t="shared" ref="U106:AC106" si="275">U10-(U12+U13)</f>
        <v>0</v>
      </c>
      <c r="V106" s="163">
        <f t="shared" si="275"/>
        <v>0</v>
      </c>
      <c r="W106" s="163">
        <f t="shared" si="275"/>
        <v>0</v>
      </c>
      <c r="X106" s="163">
        <f t="shared" si="275"/>
        <v>0</v>
      </c>
      <c r="Y106" s="163">
        <f t="shared" si="275"/>
        <v>0</v>
      </c>
      <c r="Z106" s="163">
        <f t="shared" si="275"/>
        <v>0</v>
      </c>
      <c r="AA106" s="163">
        <f t="shared" si="275"/>
        <v>0</v>
      </c>
      <c r="AB106" s="163">
        <f t="shared" si="275"/>
        <v>0</v>
      </c>
      <c r="AC106" s="163">
        <f t="shared" si="275"/>
        <v>0</v>
      </c>
      <c r="AD106" s="138">
        <f t="shared" si="223"/>
        <v>-1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0.28000000000000003</v>
      </c>
      <c r="H107" s="152">
        <f t="shared" si="276"/>
        <v>3.1034482758620688E-3</v>
      </c>
      <c r="I107" s="152">
        <f t="shared" si="276"/>
        <v>0.3167898627243928</v>
      </c>
      <c r="J107" s="152">
        <f t="shared" si="276"/>
        <v>0.8</v>
      </c>
      <c r="K107" s="152">
        <f t="shared" si="276"/>
        <v>0.35384615384615387</v>
      </c>
      <c r="L107" s="152">
        <f t="shared" si="276"/>
        <v>8.6956521739130432E-2</v>
      </c>
      <c r="M107" s="152">
        <f t="shared" si="276"/>
        <v>9.6296296296296297E-2</v>
      </c>
      <c r="N107" s="152">
        <f t="shared" si="276"/>
        <v>0.859375</v>
      </c>
      <c r="O107" s="152">
        <f t="shared" si="276"/>
        <v>0.49264705882352944</v>
      </c>
      <c r="P107" s="152">
        <f t="shared" si="276"/>
        <v>0.19461523773152567</v>
      </c>
      <c r="Q107" s="152" t="e">
        <f t="shared" ref="Q107" si="277">Q40/Q18</f>
        <v>#DIV/0!</v>
      </c>
      <c r="R107" s="118">
        <f t="shared" si="221"/>
        <v>-3.9612421299317524E-2</v>
      </c>
      <c r="S107" s="20"/>
      <c r="T107" s="152" t="e">
        <f t="shared" ref="T107:AC107" si="278">T40/T18</f>
        <v>#DIV/0!</v>
      </c>
      <c r="U107" s="152" t="e">
        <f t="shared" si="278"/>
        <v>#DIV/0!</v>
      </c>
      <c r="V107" s="152" t="e">
        <f t="shared" si="278"/>
        <v>#DIV/0!</v>
      </c>
      <c r="W107" s="152" t="e">
        <f t="shared" si="278"/>
        <v>#DIV/0!</v>
      </c>
      <c r="X107" s="152" t="e">
        <f t="shared" si="278"/>
        <v>#DIV/0!</v>
      </c>
      <c r="Y107" s="152" t="e">
        <f t="shared" si="278"/>
        <v>#DIV/0!</v>
      </c>
      <c r="Z107" s="152" t="e">
        <f t="shared" si="278"/>
        <v>#DIV/0!</v>
      </c>
      <c r="AA107" s="152" t="e">
        <f t="shared" si="278"/>
        <v>#DIV/0!</v>
      </c>
      <c r="AB107" s="152" t="e">
        <f t="shared" si="278"/>
        <v>#DIV/0!</v>
      </c>
      <c r="AC107" s="152" t="e">
        <f t="shared" si="278"/>
        <v>#DIV/0!</v>
      </c>
      <c r="AD107" s="138" t="e">
        <f t="shared" si="223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 t="e">
        <f t="shared" ref="G108:P108" si="279">G40/G25</f>
        <v>#DIV/0!</v>
      </c>
      <c r="H108" s="152">
        <f t="shared" si="279"/>
        <v>0.34615384615384615</v>
      </c>
      <c r="I108" s="152">
        <f t="shared" si="279"/>
        <v>5.5555555555555552E-2</v>
      </c>
      <c r="J108" s="152">
        <f t="shared" si="279"/>
        <v>0.48780487804878048</v>
      </c>
      <c r="K108" s="152">
        <f t="shared" si="279"/>
        <v>0.21296296296296297</v>
      </c>
      <c r="L108" s="152">
        <f t="shared" si="279"/>
        <v>9.0090090090090086E-2</v>
      </c>
      <c r="M108" s="152">
        <f t="shared" si="279"/>
        <v>9.0277777777777776E-2</v>
      </c>
      <c r="N108" s="152">
        <f t="shared" si="279"/>
        <v>0.43421052631578949</v>
      </c>
      <c r="O108" s="152">
        <f t="shared" si="279"/>
        <v>0.17724867724867724</v>
      </c>
      <c r="P108" s="152">
        <f t="shared" si="279"/>
        <v>0.11979313587212037</v>
      </c>
      <c r="Q108" s="152">
        <f t="shared" ref="Q108" si="280">Q40/Q25</f>
        <v>0.11717099373321396</v>
      </c>
      <c r="R108" s="118" t="e">
        <f t="shared" si="221"/>
        <v>#DIV/0!</v>
      </c>
      <c r="S108" s="20"/>
      <c r="T108" s="152">
        <f t="shared" ref="T108:AC108" si="281">T40/T25</f>
        <v>0.11717099373321396</v>
      </c>
      <c r="U108" s="152">
        <f t="shared" si="281"/>
        <v>0.11717099373321396</v>
      </c>
      <c r="V108" s="152">
        <f t="shared" si="281"/>
        <v>0.11717099373321395</v>
      </c>
      <c r="W108" s="152">
        <f t="shared" si="281"/>
        <v>0.11717099373321395</v>
      </c>
      <c r="X108" s="152">
        <f t="shared" si="281"/>
        <v>0.11717099373321394</v>
      </c>
      <c r="Y108" s="152">
        <f t="shared" si="281"/>
        <v>0.11717099373321392</v>
      </c>
      <c r="Z108" s="152">
        <f t="shared" si="281"/>
        <v>0.11717099373321392</v>
      </c>
      <c r="AA108" s="152">
        <f t="shared" si="281"/>
        <v>0.11717099373321391</v>
      </c>
      <c r="AB108" s="152">
        <f t="shared" si="281"/>
        <v>0.11717099373321391</v>
      </c>
      <c r="AC108" s="152">
        <f t="shared" si="281"/>
        <v>0.11717099373321391</v>
      </c>
      <c r="AD108" s="138" t="e">
        <f t="shared" si="223"/>
        <v>#DIV/0!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0</v>
      </c>
      <c r="H109" s="152">
        <f t="shared" si="282"/>
        <v>8.9655172413793099E-3</v>
      </c>
      <c r="I109" s="152">
        <f t="shared" si="282"/>
        <v>5.7022175290390704</v>
      </c>
      <c r="J109" s="152">
        <f t="shared" si="282"/>
        <v>1.64</v>
      </c>
      <c r="K109" s="152">
        <f t="shared" si="282"/>
        <v>1.6615384615384616</v>
      </c>
      <c r="L109" s="152">
        <f t="shared" si="282"/>
        <v>0.9652173913043478</v>
      </c>
      <c r="M109" s="152">
        <f t="shared" si="282"/>
        <v>1.0666666666666667</v>
      </c>
      <c r="N109" s="152">
        <f t="shared" si="282"/>
        <v>1.9791666666666667</v>
      </c>
      <c r="O109" s="152">
        <f t="shared" si="282"/>
        <v>2.7794117647058822</v>
      </c>
      <c r="P109" s="152">
        <f>P25/P18</f>
        <v>1.6245942333396981</v>
      </c>
      <c r="Q109" s="152" t="e">
        <f>Q25/Q18</f>
        <v>#DIV/0!</v>
      </c>
      <c r="R109" s="118" t="e">
        <f t="shared" si="221"/>
        <v>#DIV/0!</v>
      </c>
      <c r="S109" s="20"/>
      <c r="T109" s="152" t="e">
        <f>T25/T18</f>
        <v>#DIV/0!</v>
      </c>
      <c r="U109" s="152" t="e">
        <f t="shared" ref="U109:AC109" si="283">U25/U18</f>
        <v>#DIV/0!</v>
      </c>
      <c r="V109" s="152" t="e">
        <f t="shared" si="283"/>
        <v>#DIV/0!</v>
      </c>
      <c r="W109" s="152" t="e">
        <f t="shared" si="283"/>
        <v>#DIV/0!</v>
      </c>
      <c r="X109" s="152" t="e">
        <f t="shared" si="283"/>
        <v>#DIV/0!</v>
      </c>
      <c r="Y109" s="152" t="e">
        <f t="shared" si="283"/>
        <v>#DIV/0!</v>
      </c>
      <c r="Z109" s="152" t="e">
        <f t="shared" si="283"/>
        <v>#DIV/0!</v>
      </c>
      <c r="AA109" s="152" t="e">
        <f t="shared" si="283"/>
        <v>#DIV/0!</v>
      </c>
      <c r="AB109" s="152" t="e">
        <f t="shared" si="283"/>
        <v>#DIV/0!</v>
      </c>
      <c r="AC109" s="152" t="e">
        <f t="shared" si="283"/>
        <v>#DIV/0!</v>
      </c>
      <c r="AD109" s="138" t="e">
        <f t="shared" si="223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0</v>
      </c>
      <c r="H111" s="165">
        <f t="shared" ref="H111:P111" si="285">H70*H42</f>
        <v>0</v>
      </c>
      <c r="I111" s="165">
        <f t="shared" si="285"/>
        <v>0</v>
      </c>
      <c r="J111" s="165">
        <f t="shared" si="285"/>
        <v>5.25</v>
      </c>
      <c r="K111" s="165">
        <f t="shared" si="285"/>
        <v>5.4200000000000008</v>
      </c>
      <c r="L111" s="165">
        <f t="shared" si="285"/>
        <v>2.7100000000000004</v>
      </c>
      <c r="M111" s="165">
        <f t="shared" si="285"/>
        <v>4.1775000000000002</v>
      </c>
      <c r="N111" s="165">
        <f t="shared" si="285"/>
        <v>6.0539999999999994</v>
      </c>
      <c r="O111" s="165">
        <f t="shared" si="285"/>
        <v>7.8365</v>
      </c>
      <c r="P111" s="165">
        <f t="shared" si="285"/>
        <v>5.67</v>
      </c>
      <c r="Q111" s="165">
        <f t="shared" ref="Q111" si="286">Q70*Q42</f>
        <v>5.67</v>
      </c>
      <c r="R111" s="118" t="e">
        <f t="shared" si="221"/>
        <v>#DIV/0!</v>
      </c>
      <c r="S111" s="20"/>
      <c r="T111" s="165">
        <f t="shared" ref="T111:AC111" si="287">T70*T42</f>
        <v>6.2511749999999999</v>
      </c>
      <c r="U111" s="165">
        <f t="shared" si="287"/>
        <v>6.8919204375000005</v>
      </c>
      <c r="V111" s="165">
        <f t="shared" si="287"/>
        <v>7.5983422823437508</v>
      </c>
      <c r="W111" s="165">
        <f t="shared" si="287"/>
        <v>8.3771723662839861</v>
      </c>
      <c r="X111" s="165">
        <f t="shared" si="287"/>
        <v>9.2358325338280967</v>
      </c>
      <c r="Y111" s="165">
        <f t="shared" si="287"/>
        <v>10.182505368545478</v>
      </c>
      <c r="Z111" s="165">
        <f t="shared" si="287"/>
        <v>11.226212168821389</v>
      </c>
      <c r="AA111" s="165">
        <f t="shared" si="287"/>
        <v>12.376898916125581</v>
      </c>
      <c r="AB111" s="165">
        <f t="shared" si="287"/>
        <v>13.645531055028455</v>
      </c>
      <c r="AC111" s="165">
        <f t="shared" si="287"/>
        <v>15.044197988168873</v>
      </c>
      <c r="AD111" s="138" t="e">
        <f t="shared" si="223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0</v>
      </c>
      <c r="H112" s="165">
        <f t="shared" si="288"/>
        <v>0</v>
      </c>
      <c r="I112" s="165">
        <f t="shared" si="288"/>
        <v>0</v>
      </c>
      <c r="J112" s="165">
        <f t="shared" si="288"/>
        <v>6.1425000000000001</v>
      </c>
      <c r="K112" s="165">
        <f t="shared" si="288"/>
        <v>6.341400000000001</v>
      </c>
      <c r="L112" s="165">
        <f t="shared" si="288"/>
        <v>3.1707000000000005</v>
      </c>
      <c r="M112" s="165">
        <f t="shared" si="288"/>
        <v>4.8876750000000007</v>
      </c>
      <c r="N112" s="165">
        <f t="shared" si="288"/>
        <v>7.0831799999999996</v>
      </c>
      <c r="O112" s="165">
        <f t="shared" si="288"/>
        <v>9.1687049999999992</v>
      </c>
      <c r="P112" s="165">
        <f t="shared" si="288"/>
        <v>6.6338999999999997</v>
      </c>
      <c r="Q112" s="165">
        <f t="shared" ref="Q112" si="289">(Q111*0.17)+Q111</f>
        <v>6.6338999999999997</v>
      </c>
      <c r="R112" s="118" t="e">
        <f t="shared" si="221"/>
        <v>#DIV/0!</v>
      </c>
      <c r="S112" s="20"/>
      <c r="T112" s="165">
        <f t="shared" ref="T112:AC112" si="290">(T111*0.17)+T111</f>
        <v>7.3138747500000001</v>
      </c>
      <c r="U112" s="165">
        <f t="shared" si="290"/>
        <v>8.0635469118750009</v>
      </c>
      <c r="V112" s="165">
        <f t="shared" si="290"/>
        <v>8.8900604703421884</v>
      </c>
      <c r="W112" s="165">
        <f t="shared" si="290"/>
        <v>9.8012916685522633</v>
      </c>
      <c r="X112" s="165">
        <f t="shared" si="290"/>
        <v>10.805924064578873</v>
      </c>
      <c r="Y112" s="165">
        <f t="shared" si="290"/>
        <v>11.913531281198209</v>
      </c>
      <c r="Z112" s="165">
        <f t="shared" si="290"/>
        <v>13.134668237521026</v>
      </c>
      <c r="AA112" s="165">
        <f t="shared" si="290"/>
        <v>14.48097173186693</v>
      </c>
      <c r="AB112" s="165">
        <f t="shared" si="290"/>
        <v>15.965271334383292</v>
      </c>
      <c r="AC112" s="165">
        <f t="shared" si="290"/>
        <v>17.601711646157582</v>
      </c>
      <c r="AD112" s="138" t="e">
        <f t="shared" si="223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</v>
      </c>
      <c r="H113" s="152">
        <f t="shared" si="291"/>
        <v>0</v>
      </c>
      <c r="I113" s="152">
        <f t="shared" si="291"/>
        <v>0</v>
      </c>
      <c r="J113" s="152">
        <f t="shared" si="291"/>
        <v>0.30712499999999998</v>
      </c>
      <c r="K113" s="152">
        <f t="shared" si="291"/>
        <v>0.27571304347826092</v>
      </c>
      <c r="L113" s="152">
        <f t="shared" si="291"/>
        <v>0.31707000000000007</v>
      </c>
      <c r="M113" s="152">
        <f t="shared" si="291"/>
        <v>0.37597500000000006</v>
      </c>
      <c r="N113" s="152">
        <f t="shared" si="291"/>
        <v>4.2928363636363633E-2</v>
      </c>
      <c r="O113" s="152">
        <f t="shared" si="291"/>
        <v>0.13684634328358208</v>
      </c>
      <c r="P113" s="152">
        <f t="shared" si="291"/>
        <v>0.13017857142857142</v>
      </c>
      <c r="Q113" s="152">
        <f t="shared" ref="Q113" si="292">Q112/Q40</f>
        <v>0.10137377750611247</v>
      </c>
      <c r="R113" s="118" t="e">
        <f t="shared" si="221"/>
        <v>#DIV/0!</v>
      </c>
      <c r="S113" s="20"/>
      <c r="T113" s="152">
        <f t="shared" ref="T113:AC113" si="293">T112/T40</f>
        <v>9.3137158083740845E-2</v>
      </c>
      <c r="U113" s="152">
        <f t="shared" si="293"/>
        <v>8.5569763989436914E-2</v>
      </c>
      <c r="V113" s="152">
        <f t="shared" si="293"/>
        <v>7.8617220665295168E-2</v>
      </c>
      <c r="W113" s="152">
        <f t="shared" si="293"/>
        <v>7.2229571486239944E-2</v>
      </c>
      <c r="X113" s="152">
        <f t="shared" si="293"/>
        <v>6.6360918802982963E-2</v>
      </c>
      <c r="Y113" s="152">
        <f t="shared" si="293"/>
        <v>6.0969094150240613E-2</v>
      </c>
      <c r="Z113" s="152">
        <f t="shared" si="293"/>
        <v>5.6015355250533576E-2</v>
      </c>
      <c r="AA113" s="152">
        <f t="shared" si="293"/>
        <v>5.1464107636427725E-2</v>
      </c>
      <c r="AB113" s="152">
        <f t="shared" si="293"/>
        <v>4.7282648890967977E-2</v>
      </c>
      <c r="AC113" s="152">
        <f t="shared" si="293"/>
        <v>4.3440933668576834E-2</v>
      </c>
      <c r="AD113" s="138" t="e">
        <f t="shared" si="223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294">1-H113</f>
        <v>1</v>
      </c>
      <c r="I114" s="152">
        <f t="shared" si="294"/>
        <v>1</v>
      </c>
      <c r="J114" s="152">
        <f t="shared" si="294"/>
        <v>0.69287500000000002</v>
      </c>
      <c r="K114" s="152">
        <f t="shared" si="294"/>
        <v>0.72428695652173913</v>
      </c>
      <c r="L114" s="152">
        <f t="shared" si="294"/>
        <v>0.68292999999999993</v>
      </c>
      <c r="M114" s="152">
        <f t="shared" si="294"/>
        <v>0.62402499999999994</v>
      </c>
      <c r="N114" s="152">
        <f t="shared" si="294"/>
        <v>0.95707163636363635</v>
      </c>
      <c r="O114" s="152">
        <f t="shared" si="294"/>
        <v>0.86315365671641797</v>
      </c>
      <c r="P114" s="152">
        <f t="shared" si="294"/>
        <v>0.86982142857142852</v>
      </c>
      <c r="Q114" s="152">
        <f t="shared" ref="Q114" si="295">1-Q113</f>
        <v>0.89862622249388757</v>
      </c>
      <c r="R114" s="118">
        <f t="shared" si="221"/>
        <v>-1.5376920486090295E-2</v>
      </c>
      <c r="S114" s="20"/>
      <c r="T114" s="152">
        <f t="shared" ref="T114:AC114" si="296">1-T113</f>
        <v>0.90686284191625921</v>
      </c>
      <c r="U114" s="152">
        <f t="shared" si="296"/>
        <v>0.91443023601056306</v>
      </c>
      <c r="V114" s="152">
        <f t="shared" si="296"/>
        <v>0.9213827793347048</v>
      </c>
      <c r="W114" s="152">
        <f t="shared" si="296"/>
        <v>0.92777042851376001</v>
      </c>
      <c r="X114" s="152">
        <f t="shared" si="296"/>
        <v>0.933639081197017</v>
      </c>
      <c r="Y114" s="152">
        <f t="shared" si="296"/>
        <v>0.93903090584975935</v>
      </c>
      <c r="Z114" s="152">
        <f t="shared" si="296"/>
        <v>0.94398464474946642</v>
      </c>
      <c r="AA114" s="152">
        <f t="shared" si="296"/>
        <v>0.94853589236357227</v>
      </c>
      <c r="AB114" s="152">
        <f t="shared" si="296"/>
        <v>0.952717351109032</v>
      </c>
      <c r="AC114" s="152">
        <f t="shared" si="296"/>
        <v>0.95655906633142318</v>
      </c>
      <c r="AD114" s="138">
        <f t="shared" si="223"/>
        <v>-2.2181731817997319E-3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297">F112/F20</f>
        <v>#DIV/0!</v>
      </c>
      <c r="G115" s="152" t="e">
        <f t="shared" si="297"/>
        <v>#DIV/0!</v>
      </c>
      <c r="H115" s="152" t="e">
        <f t="shared" si="297"/>
        <v>#DIV/0!</v>
      </c>
      <c r="I115" s="152" t="e">
        <f t="shared" si="297"/>
        <v>#DIV/0!</v>
      </c>
      <c r="J115" s="152" t="e">
        <f t="shared" si="297"/>
        <v>#DIV/0!</v>
      </c>
      <c r="K115" s="152" t="e">
        <f t="shared" si="297"/>
        <v>#DIV/0!</v>
      </c>
      <c r="L115" s="152" t="e">
        <f t="shared" si="297"/>
        <v>#DIV/0!</v>
      </c>
      <c r="M115" s="152" t="e">
        <f t="shared" si="297"/>
        <v>#DIV/0!</v>
      </c>
      <c r="N115" s="152" t="e">
        <f t="shared" si="297"/>
        <v>#DIV/0!</v>
      </c>
      <c r="O115" s="152" t="e">
        <f t="shared" si="297"/>
        <v>#DIV/0!</v>
      </c>
      <c r="P115" s="152" t="e">
        <f t="shared" si="297"/>
        <v>#DIV/0!</v>
      </c>
      <c r="Q115" s="152" t="e">
        <f>Q112/Q20</f>
        <v>#DIV/0!</v>
      </c>
      <c r="R115" s="118" t="e">
        <f t="shared" si="221"/>
        <v>#DIV/0!</v>
      </c>
      <c r="S115" s="20"/>
      <c r="T115" s="152" t="e">
        <f>T112/T20</f>
        <v>#DIV/0!</v>
      </c>
      <c r="U115" s="152" t="e">
        <f t="shared" ref="U115:AC115" si="298">U112/U20</f>
        <v>#DIV/0!</v>
      </c>
      <c r="V115" s="152" t="e">
        <f t="shared" si="298"/>
        <v>#DIV/0!</v>
      </c>
      <c r="W115" s="152" t="e">
        <f t="shared" si="298"/>
        <v>#DIV/0!</v>
      </c>
      <c r="X115" s="152" t="e">
        <f t="shared" si="298"/>
        <v>#DIV/0!</v>
      </c>
      <c r="Y115" s="152" t="e">
        <f t="shared" si="298"/>
        <v>#DIV/0!</v>
      </c>
      <c r="Z115" s="152" t="e">
        <f t="shared" si="298"/>
        <v>#DIV/0!</v>
      </c>
      <c r="AA115" s="152" t="e">
        <f t="shared" si="298"/>
        <v>#DIV/0!</v>
      </c>
      <c r="AB115" s="152" t="e">
        <f t="shared" si="298"/>
        <v>#DIV/0!</v>
      </c>
      <c r="AC115" s="152" t="e">
        <f t="shared" si="298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 t="e">
        <f>G31/G25</f>
        <v>#DIV/0!</v>
      </c>
      <c r="H117" s="152">
        <f t="shared" ref="H117:P117" si="299">H31/H25</f>
        <v>0</v>
      </c>
      <c r="I117" s="152">
        <f t="shared" si="299"/>
        <v>0</v>
      </c>
      <c r="J117" s="152">
        <f t="shared" si="299"/>
        <v>0</v>
      </c>
      <c r="K117" s="152">
        <f t="shared" si="299"/>
        <v>0</v>
      </c>
      <c r="L117" s="152">
        <f t="shared" si="299"/>
        <v>0</v>
      </c>
      <c r="M117" s="152">
        <f t="shared" si="299"/>
        <v>0</v>
      </c>
      <c r="N117" s="152">
        <f t="shared" si="299"/>
        <v>0</v>
      </c>
      <c r="O117" s="152">
        <f t="shared" si="299"/>
        <v>0</v>
      </c>
      <c r="P117" s="152">
        <f t="shared" si="299"/>
        <v>0</v>
      </c>
      <c r="Q117" s="152">
        <f t="shared" ref="Q117" si="300">Q31/Q25</f>
        <v>0</v>
      </c>
      <c r="R117" s="118" t="e">
        <f t="shared" si="221"/>
        <v>#DIV/0!</v>
      </c>
      <c r="S117" s="20"/>
      <c r="T117" s="152">
        <f t="shared" ref="T117:AC117" si="301">T31/T25</f>
        <v>0</v>
      </c>
      <c r="U117" s="152">
        <f t="shared" si="301"/>
        <v>0</v>
      </c>
      <c r="V117" s="152">
        <f t="shared" si="301"/>
        <v>0</v>
      </c>
      <c r="W117" s="152">
        <f t="shared" si="301"/>
        <v>0</v>
      </c>
      <c r="X117" s="152">
        <f t="shared" si="301"/>
        <v>0</v>
      </c>
      <c r="Y117" s="152">
        <f t="shared" si="301"/>
        <v>0</v>
      </c>
      <c r="Z117" s="152">
        <f t="shared" si="301"/>
        <v>0</v>
      </c>
      <c r="AA117" s="152">
        <f t="shared" si="301"/>
        <v>0</v>
      </c>
      <c r="AB117" s="152">
        <f t="shared" si="301"/>
        <v>0</v>
      </c>
      <c r="AC117" s="152">
        <f t="shared" si="301"/>
        <v>0</v>
      </c>
      <c r="AD117" s="138" t="e">
        <f t="shared" si="223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 t="e">
        <f>G32/G25</f>
        <v>#DIV/0!</v>
      </c>
      <c r="H118" s="152">
        <f t="shared" ref="H118:P118" si="302">H32/H25</f>
        <v>0</v>
      </c>
      <c r="I118" s="152">
        <f t="shared" si="302"/>
        <v>0</v>
      </c>
      <c r="J118" s="152">
        <f t="shared" si="302"/>
        <v>0</v>
      </c>
      <c r="K118" s="152">
        <f t="shared" si="302"/>
        <v>0</v>
      </c>
      <c r="L118" s="152">
        <f t="shared" si="302"/>
        <v>0</v>
      </c>
      <c r="M118" s="152">
        <f t="shared" si="302"/>
        <v>0</v>
      </c>
      <c r="N118" s="152">
        <f t="shared" si="302"/>
        <v>0</v>
      </c>
      <c r="O118" s="152">
        <f t="shared" si="302"/>
        <v>0</v>
      </c>
      <c r="P118" s="152">
        <f t="shared" si="302"/>
        <v>0</v>
      </c>
      <c r="Q118" s="152">
        <f t="shared" ref="Q118" si="303">Q32/Q25</f>
        <v>0</v>
      </c>
      <c r="R118" s="118" t="e">
        <f t="shared" si="221"/>
        <v>#DIV/0!</v>
      </c>
      <c r="S118" s="20"/>
      <c r="T118" s="152">
        <f t="shared" ref="T118:AC118" si="304">T32/T25</f>
        <v>0</v>
      </c>
      <c r="U118" s="152">
        <f t="shared" si="304"/>
        <v>0</v>
      </c>
      <c r="V118" s="152">
        <f t="shared" si="304"/>
        <v>0</v>
      </c>
      <c r="W118" s="152">
        <f t="shared" si="304"/>
        <v>0</v>
      </c>
      <c r="X118" s="152">
        <f t="shared" si="304"/>
        <v>0</v>
      </c>
      <c r="Y118" s="152">
        <f t="shared" si="304"/>
        <v>0</v>
      </c>
      <c r="Z118" s="152">
        <f t="shared" si="304"/>
        <v>0</v>
      </c>
      <c r="AA118" s="152">
        <f t="shared" si="304"/>
        <v>0</v>
      </c>
      <c r="AB118" s="152">
        <f t="shared" si="304"/>
        <v>0</v>
      </c>
      <c r="AC118" s="152">
        <f t="shared" si="304"/>
        <v>0</v>
      </c>
      <c r="AD118" s="138" t="e">
        <f t="shared" si="223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 t="e">
        <f>G27/G25</f>
        <v>#DIV/0!</v>
      </c>
      <c r="H120" s="152">
        <f t="shared" ref="H120:P120" si="305">H27/H25</f>
        <v>0.19230769230769232</v>
      </c>
      <c r="I120" s="152">
        <f t="shared" si="305"/>
        <v>0.87037037037037035</v>
      </c>
      <c r="J120" s="152">
        <f t="shared" si="305"/>
        <v>0.3902439024390244</v>
      </c>
      <c r="K120" s="152">
        <f t="shared" si="305"/>
        <v>0.52777777777777779</v>
      </c>
      <c r="L120" s="152">
        <f t="shared" si="305"/>
        <v>0.52252252252252251</v>
      </c>
      <c r="M120" s="152">
        <f t="shared" si="305"/>
        <v>0.59027777777777779</v>
      </c>
      <c r="N120" s="152">
        <f t="shared" si="305"/>
        <v>0.49473684210526314</v>
      </c>
      <c r="O120" s="152">
        <f t="shared" si="305"/>
        <v>0.69841269841269837</v>
      </c>
      <c r="P120" s="152">
        <f t="shared" si="305"/>
        <v>0.81967559943582513</v>
      </c>
      <c r="Q120" s="152">
        <f t="shared" ref="Q120" si="306">Q27/Q25</f>
        <v>0.76096687555953446</v>
      </c>
      <c r="R120" s="118" t="e">
        <f t="shared" si="221"/>
        <v>#DIV/0!</v>
      </c>
      <c r="S120" s="20"/>
      <c r="T120" s="152">
        <f t="shared" ref="T120:AC120" si="307">T27/T25</f>
        <v>0.76096687555953457</v>
      </c>
      <c r="U120" s="152">
        <f t="shared" si="307"/>
        <v>0.76096687555953457</v>
      </c>
      <c r="V120" s="152">
        <f t="shared" si="307"/>
        <v>0.76096687555953457</v>
      </c>
      <c r="W120" s="152">
        <f t="shared" si="307"/>
        <v>0.76096687555953457</v>
      </c>
      <c r="X120" s="152">
        <f t="shared" si="307"/>
        <v>0.76096687555953446</v>
      </c>
      <c r="Y120" s="152">
        <f t="shared" si="307"/>
        <v>0.76096687555953446</v>
      </c>
      <c r="Z120" s="152">
        <f t="shared" si="307"/>
        <v>0.76096687555953446</v>
      </c>
      <c r="AA120" s="152">
        <f t="shared" si="307"/>
        <v>0.76096687555953446</v>
      </c>
      <c r="AB120" s="152">
        <f t="shared" si="307"/>
        <v>0.76096687555953446</v>
      </c>
      <c r="AC120" s="152">
        <f t="shared" si="307"/>
        <v>0.76096687555953446</v>
      </c>
      <c r="AD120" s="138" t="e">
        <f t="shared" si="223"/>
        <v>#DIV/0!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 t="e">
        <f>G33/G25</f>
        <v>#DIV/0!</v>
      </c>
      <c r="H121" s="152">
        <f t="shared" ref="H121:P121" si="308">H33/H25</f>
        <v>3.8461538461538464E-2</v>
      </c>
      <c r="I121" s="152">
        <f t="shared" si="308"/>
        <v>0.1111111111111111</v>
      </c>
      <c r="J121" s="152">
        <f t="shared" si="308"/>
        <v>0.14634146341463414</v>
      </c>
      <c r="K121" s="152">
        <f t="shared" si="308"/>
        <v>0.17592592592592593</v>
      </c>
      <c r="L121" s="152">
        <f t="shared" si="308"/>
        <v>0</v>
      </c>
      <c r="M121" s="152">
        <f t="shared" si="308"/>
        <v>0</v>
      </c>
      <c r="N121" s="152">
        <f t="shared" si="308"/>
        <v>0</v>
      </c>
      <c r="O121" s="152">
        <f t="shared" si="308"/>
        <v>0</v>
      </c>
      <c r="P121" s="152">
        <f t="shared" si="308"/>
        <v>0</v>
      </c>
      <c r="Q121" s="152">
        <f t="shared" ref="Q121" si="309">Q33/Q25</f>
        <v>9.6078782452999098E-2</v>
      </c>
      <c r="R121" s="118" t="e">
        <f t="shared" si="221"/>
        <v>#DIV/0!</v>
      </c>
      <c r="S121" s="20"/>
      <c r="T121" s="152">
        <f t="shared" ref="T121:AC121" si="310">T33/T25</f>
        <v>9.6078782452999112E-2</v>
      </c>
      <c r="U121" s="152">
        <f t="shared" si="310"/>
        <v>9.6078782452999112E-2</v>
      </c>
      <c r="V121" s="152">
        <f t="shared" si="310"/>
        <v>9.6078782452999098E-2</v>
      </c>
      <c r="W121" s="152">
        <f t="shared" si="310"/>
        <v>9.6078782452999098E-2</v>
      </c>
      <c r="X121" s="152">
        <f t="shared" si="310"/>
        <v>9.6078782452999098E-2</v>
      </c>
      <c r="Y121" s="152">
        <f t="shared" si="310"/>
        <v>9.6078782452999084E-2</v>
      </c>
      <c r="Z121" s="152">
        <f t="shared" si="310"/>
        <v>9.6078782452999084E-2</v>
      </c>
      <c r="AA121" s="152">
        <f t="shared" si="310"/>
        <v>9.6078782452999098E-2</v>
      </c>
      <c r="AB121" s="152">
        <f t="shared" si="310"/>
        <v>9.6078782452999084E-2</v>
      </c>
      <c r="AC121" s="152">
        <f t="shared" si="310"/>
        <v>9.6078782452999084E-2</v>
      </c>
      <c r="AD121" s="138" t="e">
        <f t="shared" si="223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 t="e">
        <f>G34/G25</f>
        <v>#DIV/0!</v>
      </c>
      <c r="H122" s="152">
        <f t="shared" ref="H122:P122" si="311">H34/H25</f>
        <v>3.8461538461538464E-2</v>
      </c>
      <c r="I122" s="152">
        <f t="shared" si="311"/>
        <v>4.1481481481481487E-2</v>
      </c>
      <c r="J122" s="152">
        <f t="shared" si="311"/>
        <v>6.658536585365854E-2</v>
      </c>
      <c r="K122" s="152">
        <f t="shared" si="311"/>
        <v>3.4722222222222224E-2</v>
      </c>
      <c r="L122" s="152">
        <f t="shared" si="311"/>
        <v>7.2072072072072071E-2</v>
      </c>
      <c r="M122" s="152">
        <f t="shared" si="311"/>
        <v>0.1388888888888889</v>
      </c>
      <c r="N122" s="152">
        <f t="shared" si="311"/>
        <v>6.3157894736842107E-2</v>
      </c>
      <c r="O122" s="152">
        <f t="shared" si="311"/>
        <v>8.4656084656084651E-2</v>
      </c>
      <c r="P122" s="152">
        <f t="shared" si="311"/>
        <v>8.338034790785144E-2</v>
      </c>
      <c r="Q122" s="152">
        <f t="shared" ref="Q122" si="312">Q34/Q25</f>
        <v>8.7197851387645478E-2</v>
      </c>
      <c r="R122" s="118" t="e">
        <f t="shared" si="221"/>
        <v>#DIV/0!</v>
      </c>
      <c r="S122" s="20"/>
      <c r="T122" s="152">
        <f t="shared" ref="T122:AC122" si="313">T34/T25</f>
        <v>8.7197851387645478E-2</v>
      </c>
      <c r="U122" s="152">
        <f t="shared" si="313"/>
        <v>8.7197851387645492E-2</v>
      </c>
      <c r="V122" s="152">
        <f t="shared" si="313"/>
        <v>8.7197851387645492E-2</v>
      </c>
      <c r="W122" s="152">
        <f t="shared" si="313"/>
        <v>8.7197851387645492E-2</v>
      </c>
      <c r="X122" s="152">
        <f t="shared" si="313"/>
        <v>8.7197851387645478E-2</v>
      </c>
      <c r="Y122" s="152">
        <f t="shared" si="313"/>
        <v>8.7197851387645464E-2</v>
      </c>
      <c r="Z122" s="152">
        <f t="shared" si="313"/>
        <v>8.7197851387645464E-2</v>
      </c>
      <c r="AA122" s="152">
        <f t="shared" si="313"/>
        <v>8.7197851387645464E-2</v>
      </c>
      <c r="AB122" s="152">
        <f t="shared" si="313"/>
        <v>8.7197851387645464E-2</v>
      </c>
      <c r="AC122" s="152">
        <f t="shared" si="313"/>
        <v>8.7197851387645464E-2</v>
      </c>
      <c r="AD122" s="138" t="e">
        <f t="shared" si="223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1.2083333333333333</v>
      </c>
      <c r="H125" s="25">
        <f t="shared" ref="H125:AC125" si="314">H15/H9</f>
        <v>3.75</v>
      </c>
      <c r="I125" s="25">
        <f t="shared" si="314"/>
        <v>24.768518518518515</v>
      </c>
      <c r="J125" s="25">
        <f t="shared" si="314"/>
        <v>1.84</v>
      </c>
      <c r="K125" s="25">
        <f t="shared" si="314"/>
        <v>4.7075793338578542</v>
      </c>
      <c r="L125" s="25">
        <f t="shared" si="314"/>
        <v>6.3076923076923075</v>
      </c>
      <c r="M125" s="25">
        <f t="shared" si="314"/>
        <v>5.7538461538461538</v>
      </c>
      <c r="N125" s="25">
        <f t="shared" si="314"/>
        <v>9.4259259259259256</v>
      </c>
      <c r="O125" s="25">
        <f t="shared" si="314"/>
        <v>8.0652173913043477</v>
      </c>
      <c r="P125" s="25">
        <f t="shared" si="314"/>
        <v>1.6545423786161393</v>
      </c>
      <c r="Q125" s="25" t="e">
        <f t="shared" ref="Q125" si="315">Q15/Q9</f>
        <v>#DIV/0!</v>
      </c>
      <c r="R125" s="118">
        <f t="shared" si="221"/>
        <v>3.5537145878834275E-2</v>
      </c>
      <c r="S125" s="20"/>
      <c r="T125" s="20" t="e">
        <f t="shared" si="314"/>
        <v>#DIV/0!</v>
      </c>
      <c r="U125" s="20" t="e">
        <f t="shared" si="314"/>
        <v>#DIV/0!</v>
      </c>
      <c r="V125" s="20" t="e">
        <f t="shared" si="314"/>
        <v>#DIV/0!</v>
      </c>
      <c r="W125" s="20" t="e">
        <f t="shared" si="314"/>
        <v>#DIV/0!</v>
      </c>
      <c r="X125" s="20" t="e">
        <f t="shared" si="314"/>
        <v>#DIV/0!</v>
      </c>
      <c r="Y125" s="20" t="e">
        <f t="shared" si="314"/>
        <v>#DIV/0!</v>
      </c>
      <c r="Z125" s="20" t="e">
        <f t="shared" si="314"/>
        <v>#DIV/0!</v>
      </c>
      <c r="AA125" s="20" t="e">
        <f t="shared" si="314"/>
        <v>#DIV/0!</v>
      </c>
      <c r="AB125" s="20" t="e">
        <f t="shared" si="314"/>
        <v>#DIV/0!</v>
      </c>
      <c r="AC125" s="20" t="e">
        <f t="shared" si="314"/>
        <v>#DIV/0!</v>
      </c>
      <c r="AD125" s="138" t="e">
        <f t="shared" si="223"/>
        <v>#DIV/0!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4.1666666666666669E-4</v>
      </c>
      <c r="H126" s="25">
        <f t="shared" ref="H126:P126" si="316">H12/H9</f>
        <v>0</v>
      </c>
      <c r="I126" s="25">
        <f t="shared" si="316"/>
        <v>0.65277777777777768</v>
      </c>
      <c r="J126" s="25">
        <f t="shared" si="316"/>
        <v>0.12</v>
      </c>
      <c r="K126" s="25">
        <f t="shared" si="316"/>
        <v>1.1408339889850512</v>
      </c>
      <c r="L126" s="25">
        <f t="shared" si="316"/>
        <v>0.30769230769230771</v>
      </c>
      <c r="M126" s="25">
        <f t="shared" si="316"/>
        <v>0.70769230769230773</v>
      </c>
      <c r="N126" s="25">
        <f t="shared" si="316"/>
        <v>1.1851851851851851</v>
      </c>
      <c r="O126" s="25">
        <f t="shared" si="316"/>
        <v>1.4782608695652173</v>
      </c>
      <c r="P126" s="25">
        <f t="shared" si="316"/>
        <v>0.1556420233463035</v>
      </c>
      <c r="Q126" s="25" t="e">
        <f t="shared" ref="Q126" si="317">Q12/Q9</f>
        <v>#DIV/0!</v>
      </c>
      <c r="R126" s="118">
        <f t="shared" si="221"/>
        <v>0.9311470522224945</v>
      </c>
      <c r="S126" s="128"/>
      <c r="T126" s="20" t="e">
        <f t="shared" ref="T126:AC126" si="318">T12/T9</f>
        <v>#DIV/0!</v>
      </c>
      <c r="U126" s="20" t="e">
        <f t="shared" si="318"/>
        <v>#DIV/0!</v>
      </c>
      <c r="V126" s="20" t="e">
        <f t="shared" si="318"/>
        <v>#DIV/0!</v>
      </c>
      <c r="W126" s="20" t="e">
        <f t="shared" si="318"/>
        <v>#DIV/0!</v>
      </c>
      <c r="X126" s="20" t="e">
        <f t="shared" si="318"/>
        <v>#DIV/0!</v>
      </c>
      <c r="Y126" s="20" t="e">
        <f t="shared" si="318"/>
        <v>#DIV/0!</v>
      </c>
      <c r="Z126" s="20" t="e">
        <f t="shared" si="318"/>
        <v>#DIV/0!</v>
      </c>
      <c r="AA126" s="20" t="e">
        <f t="shared" si="318"/>
        <v>#DIV/0!</v>
      </c>
      <c r="AB126" s="20" t="e">
        <f t="shared" si="318"/>
        <v>#DIV/0!</v>
      </c>
      <c r="AC126" s="20" t="e">
        <f t="shared" si="318"/>
        <v>#DIV/0!</v>
      </c>
      <c r="AD126" s="118" t="e">
        <f t="shared" ref="AD126" si="319">((AC126/T126)^(1/($H$2-$H$1) ))-1</f>
        <v>#DIV/0!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</v>
      </c>
      <c r="H127" s="25">
        <f t="shared" ref="H127:P127" si="320">H25/360</f>
        <v>7.222222222222223E-4</v>
      </c>
      <c r="I127" s="25">
        <f t="shared" si="320"/>
        <v>0.15</v>
      </c>
      <c r="J127" s="25">
        <f t="shared" si="320"/>
        <v>0.11388888888888889</v>
      </c>
      <c r="K127" s="25">
        <f t="shared" si="320"/>
        <v>0.3</v>
      </c>
      <c r="L127" s="25">
        <f t="shared" si="320"/>
        <v>0.30833333333333335</v>
      </c>
      <c r="M127" s="25">
        <f t="shared" si="320"/>
        <v>0.4</v>
      </c>
      <c r="N127" s="25">
        <f t="shared" si="320"/>
        <v>1.0555555555555556</v>
      </c>
      <c r="O127" s="25">
        <f t="shared" si="320"/>
        <v>1.05</v>
      </c>
      <c r="P127" s="25">
        <f t="shared" si="320"/>
        <v>1.1816666666666666</v>
      </c>
      <c r="Q127" s="25">
        <f t="shared" ref="Q127" si="321">Q25/360</f>
        <v>1.5513888888888889</v>
      </c>
      <c r="R127" s="118" t="e">
        <f t="shared" si="221"/>
        <v>#DIV/0!</v>
      </c>
      <c r="S127" s="128"/>
      <c r="T127" s="25">
        <f t="shared" ref="T127:AC127" si="322">T25/360</f>
        <v>1.8616666666666666</v>
      </c>
      <c r="U127" s="25">
        <f t="shared" si="322"/>
        <v>2.2339999999999995</v>
      </c>
      <c r="V127" s="25">
        <f t="shared" si="322"/>
        <v>2.6807999999999996</v>
      </c>
      <c r="W127" s="25">
        <f t="shared" si="322"/>
        <v>3.2169599999999998</v>
      </c>
      <c r="X127" s="25">
        <f t="shared" si="322"/>
        <v>3.8603519999999998</v>
      </c>
      <c r="Y127" s="25">
        <f t="shared" si="322"/>
        <v>4.6324223999999994</v>
      </c>
      <c r="Z127" s="25">
        <f t="shared" si="322"/>
        <v>5.5589068799999994</v>
      </c>
      <c r="AA127" s="25">
        <f t="shared" si="322"/>
        <v>6.6706882559999991</v>
      </c>
      <c r="AB127" s="25">
        <f t="shared" si="322"/>
        <v>8.004825907199999</v>
      </c>
      <c r="AC127" s="25">
        <f t="shared" si="322"/>
        <v>9.6057910886399984</v>
      </c>
      <c r="AD127" s="118">
        <f t="shared" ref="AD127:AD138" si="323">((AC127/T127)^(1/($H$2-$H$1) ))-1</f>
        <v>0.19999999999999996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1.3888888888888889E-4</v>
      </c>
      <c r="H128" s="25">
        <f t="shared" ref="H128:P128" si="324">H27/360</f>
        <v>1.3888888888888889E-4</v>
      </c>
      <c r="I128" s="25">
        <f t="shared" si="324"/>
        <v>0.13055555555555556</v>
      </c>
      <c r="J128" s="25">
        <f t="shared" si="324"/>
        <v>4.4444444444444446E-2</v>
      </c>
      <c r="K128" s="25">
        <f t="shared" si="324"/>
        <v>0.15833333333333333</v>
      </c>
      <c r="L128" s="25">
        <f t="shared" si="324"/>
        <v>0.16111111111111112</v>
      </c>
      <c r="M128" s="25">
        <f t="shared" si="324"/>
        <v>0.2361111111111111</v>
      </c>
      <c r="N128" s="25">
        <f t="shared" si="324"/>
        <v>0.52222222222222225</v>
      </c>
      <c r="O128" s="25">
        <f t="shared" si="324"/>
        <v>0.73333333333333328</v>
      </c>
      <c r="P128" s="25">
        <f t="shared" si="324"/>
        <v>0.96858333333333335</v>
      </c>
      <c r="Q128" s="25">
        <f t="shared" ref="Q128" si="325">Q27/360</f>
        <v>1.1805555555555556</v>
      </c>
      <c r="R128" s="118">
        <f t="shared" si="221"/>
        <v>1.673327496557441</v>
      </c>
      <c r="S128" s="128"/>
      <c r="T128" s="25">
        <f t="shared" ref="T128:AC128" si="326">T27/360</f>
        <v>1.4166666666666667</v>
      </c>
      <c r="U128" s="25">
        <f t="shared" si="326"/>
        <v>1.7</v>
      </c>
      <c r="V128" s="25">
        <f t="shared" si="326"/>
        <v>2.04</v>
      </c>
      <c r="W128" s="25">
        <f t="shared" si="326"/>
        <v>2.448</v>
      </c>
      <c r="X128" s="25">
        <f t="shared" si="326"/>
        <v>2.9375999999999993</v>
      </c>
      <c r="Y128" s="25">
        <f t="shared" si="326"/>
        <v>3.5251199999999994</v>
      </c>
      <c r="Z128" s="25">
        <f t="shared" si="326"/>
        <v>4.2301439999999992</v>
      </c>
      <c r="AA128" s="25">
        <f t="shared" si="326"/>
        <v>5.0761727999999993</v>
      </c>
      <c r="AB128" s="25">
        <f t="shared" si="326"/>
        <v>6.0914073599999989</v>
      </c>
      <c r="AC128" s="25">
        <f t="shared" si="326"/>
        <v>7.3096888319999982</v>
      </c>
      <c r="AD128" s="118">
        <f t="shared" si="323"/>
        <v>0.19999999999999996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0.05</v>
      </c>
      <c r="H130" s="25">
        <f t="shared" ref="H130:P130" si="327">H10/H7</f>
        <v>2.7777777777777777</v>
      </c>
      <c r="I130" s="25">
        <f t="shared" si="327"/>
        <v>1.7716535433070866</v>
      </c>
      <c r="J130" s="25">
        <f t="shared" si="327"/>
        <v>1.8488372093023255</v>
      </c>
      <c r="K130" s="25">
        <f t="shared" si="327"/>
        <v>1.4342105263157894</v>
      </c>
      <c r="L130" s="25">
        <f t="shared" si="327"/>
        <v>1</v>
      </c>
      <c r="M130" s="25">
        <f t="shared" si="327"/>
        <v>1</v>
      </c>
      <c r="N130" s="25">
        <f t="shared" si="327"/>
        <v>1</v>
      </c>
      <c r="O130" s="25">
        <f t="shared" si="327"/>
        <v>1.0023310023310024</v>
      </c>
      <c r="P130" s="25">
        <f t="shared" si="327"/>
        <v>0</v>
      </c>
      <c r="Q130" s="25" t="e">
        <f t="shared" ref="Q130" si="328">Q10/Q7</f>
        <v>#DIV/0!</v>
      </c>
      <c r="R130" s="118">
        <f t="shared" si="221"/>
        <v>-1</v>
      </c>
      <c r="S130" s="128"/>
      <c r="T130" s="25" t="e">
        <f t="shared" ref="T130:AC130" si="329">T10/T7</f>
        <v>#DIV/0!</v>
      </c>
      <c r="U130" s="25" t="e">
        <f t="shared" si="329"/>
        <v>#DIV/0!</v>
      </c>
      <c r="V130" s="25" t="e">
        <f t="shared" si="329"/>
        <v>#DIV/0!</v>
      </c>
      <c r="W130" s="25" t="e">
        <f t="shared" si="329"/>
        <v>#DIV/0!</v>
      </c>
      <c r="X130" s="25" t="e">
        <f t="shared" si="329"/>
        <v>#DIV/0!</v>
      </c>
      <c r="Y130" s="25" t="e">
        <f t="shared" si="329"/>
        <v>#DIV/0!</v>
      </c>
      <c r="Z130" s="25" t="e">
        <f t="shared" si="329"/>
        <v>#DIV/0!</v>
      </c>
      <c r="AA130" s="25" t="e">
        <f t="shared" si="329"/>
        <v>#DIV/0!</v>
      </c>
      <c r="AB130" s="25" t="e">
        <f t="shared" si="329"/>
        <v>#DIV/0!</v>
      </c>
      <c r="AC130" s="25" t="e">
        <f t="shared" si="329"/>
        <v>#DIV/0!</v>
      </c>
      <c r="AD130" s="118" t="e">
        <f t="shared" si="323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4.7619047619047623E-2</v>
      </c>
      <c r="H131" s="25">
        <f t="shared" ref="H131:P131" si="330">H10/(H10+H7)</f>
        <v>0.73529411764705888</v>
      </c>
      <c r="I131" s="25">
        <f t="shared" si="330"/>
        <v>0.63920454545454541</v>
      </c>
      <c r="J131" s="25">
        <f t="shared" si="330"/>
        <v>0.6489795918367347</v>
      </c>
      <c r="K131" s="25">
        <f t="shared" si="330"/>
        <v>0.58918918918918917</v>
      </c>
      <c r="L131" s="25">
        <f t="shared" si="330"/>
        <v>0.5</v>
      </c>
      <c r="M131" s="25">
        <f t="shared" si="330"/>
        <v>0.5</v>
      </c>
      <c r="N131" s="25">
        <f t="shared" si="330"/>
        <v>0.5</v>
      </c>
      <c r="O131" s="25">
        <f t="shared" si="330"/>
        <v>0.50058207217694994</v>
      </c>
      <c r="P131" s="25">
        <f t="shared" si="330"/>
        <v>0</v>
      </c>
      <c r="Q131" s="25" t="e">
        <f t="shared" ref="Q131" si="331">Q10/(Q10+Q7)</f>
        <v>#DIV/0!</v>
      </c>
      <c r="R131" s="118">
        <f t="shared" si="221"/>
        <v>-1</v>
      </c>
      <c r="S131" s="128"/>
      <c r="T131" s="25" t="e">
        <f t="shared" ref="T131:AC131" si="332">T10/(T10+T7)</f>
        <v>#DIV/0!</v>
      </c>
      <c r="U131" s="25" t="e">
        <f t="shared" si="332"/>
        <v>#DIV/0!</v>
      </c>
      <c r="V131" s="25" t="e">
        <f t="shared" si="332"/>
        <v>#DIV/0!</v>
      </c>
      <c r="W131" s="25" t="e">
        <f t="shared" si="332"/>
        <v>#DIV/0!</v>
      </c>
      <c r="X131" s="25" t="e">
        <f t="shared" si="332"/>
        <v>#DIV/0!</v>
      </c>
      <c r="Y131" s="25" t="e">
        <f t="shared" si="332"/>
        <v>#DIV/0!</v>
      </c>
      <c r="Z131" s="25" t="e">
        <f t="shared" si="332"/>
        <v>#DIV/0!</v>
      </c>
      <c r="AA131" s="25" t="e">
        <f t="shared" si="332"/>
        <v>#DIV/0!</v>
      </c>
      <c r="AB131" s="25" t="e">
        <f t="shared" si="332"/>
        <v>#DIV/0!</v>
      </c>
      <c r="AC131" s="25" t="e">
        <f t="shared" si="332"/>
        <v>#DIV/0!</v>
      </c>
      <c r="AD131" s="118" t="e">
        <f t="shared" si="323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5</v>
      </c>
      <c r="H133" s="25">
        <f t="shared" ref="H133:P133" si="333">H16</f>
        <v>0.56999999999999995</v>
      </c>
      <c r="I133" s="25">
        <f t="shared" si="333"/>
        <v>100</v>
      </c>
      <c r="J133" s="25">
        <f t="shared" si="333"/>
        <v>8.36</v>
      </c>
      <c r="K133" s="25">
        <f t="shared" si="333"/>
        <v>259</v>
      </c>
      <c r="L133" s="25">
        <f t="shared" si="333"/>
        <v>272</v>
      </c>
      <c r="M133" s="25">
        <f t="shared" si="333"/>
        <v>299</v>
      </c>
      <c r="N133" s="25">
        <f t="shared" si="333"/>
        <v>442</v>
      </c>
      <c r="O133" s="25">
        <f t="shared" si="333"/>
        <v>608</v>
      </c>
      <c r="P133" s="25">
        <f t="shared" si="333"/>
        <v>489</v>
      </c>
      <c r="Q133" s="25">
        <f t="shared" ref="Q133" si="334">Q16</f>
        <v>0</v>
      </c>
      <c r="R133" s="118">
        <f t="shared" si="221"/>
        <v>0.66398252725042184</v>
      </c>
      <c r="S133" s="128"/>
      <c r="T133" s="25">
        <f t="shared" ref="T133:AC133" si="335">T16</f>
        <v>0</v>
      </c>
      <c r="U133" s="25">
        <f t="shared" si="335"/>
        <v>0</v>
      </c>
      <c r="V133" s="25">
        <f t="shared" si="335"/>
        <v>0</v>
      </c>
      <c r="W133" s="25">
        <f t="shared" si="335"/>
        <v>0</v>
      </c>
      <c r="X133" s="25">
        <f t="shared" si="335"/>
        <v>0</v>
      </c>
      <c r="Y133" s="25">
        <f t="shared" si="335"/>
        <v>0</v>
      </c>
      <c r="Z133" s="25">
        <f t="shared" si="335"/>
        <v>0</v>
      </c>
      <c r="AA133" s="25">
        <f t="shared" si="335"/>
        <v>0</v>
      </c>
      <c r="AB133" s="25">
        <f t="shared" si="335"/>
        <v>0</v>
      </c>
      <c r="AC133" s="25">
        <f t="shared" si="335"/>
        <v>0</v>
      </c>
      <c r="AD133" s="118" t="e">
        <f t="shared" si="323"/>
        <v>#DIV/0!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 t="e">
        <f t="shared" ref="G134:P134" si="336">G133*365/G25</f>
        <v>#DIV/0!</v>
      </c>
      <c r="H134" s="119">
        <f t="shared" si="336"/>
        <v>800.19230769230762</v>
      </c>
      <c r="I134" s="119">
        <f t="shared" si="336"/>
        <v>675.92592592592598</v>
      </c>
      <c r="J134" s="119">
        <f t="shared" si="336"/>
        <v>74.424390243902437</v>
      </c>
      <c r="K134" s="119">
        <f t="shared" si="336"/>
        <v>875.32407407407402</v>
      </c>
      <c r="L134" s="119">
        <f t="shared" si="336"/>
        <v>894.41441441441441</v>
      </c>
      <c r="M134" s="119">
        <f t="shared" si="336"/>
        <v>757.88194444444446</v>
      </c>
      <c r="N134" s="119">
        <f t="shared" si="336"/>
        <v>424.55263157894734</v>
      </c>
      <c r="O134" s="119">
        <f t="shared" si="336"/>
        <v>587.08994708994715</v>
      </c>
      <c r="P134" s="119">
        <f t="shared" si="336"/>
        <v>419.56981664315941</v>
      </c>
      <c r="Q134" s="119">
        <f t="shared" ref="Q134" si="337">Q133*365/Q25</f>
        <v>0</v>
      </c>
      <c r="R134" s="118" t="e">
        <f t="shared" si="221"/>
        <v>#DIV/0!</v>
      </c>
      <c r="S134" s="128"/>
      <c r="T134" s="119">
        <f t="shared" ref="T134:AC134" si="338">T133*365/T25</f>
        <v>0</v>
      </c>
      <c r="U134" s="119">
        <f t="shared" si="338"/>
        <v>0</v>
      </c>
      <c r="V134" s="119">
        <f t="shared" si="338"/>
        <v>0</v>
      </c>
      <c r="W134" s="119">
        <f t="shared" si="338"/>
        <v>0</v>
      </c>
      <c r="X134" s="119">
        <f t="shared" si="338"/>
        <v>0</v>
      </c>
      <c r="Y134" s="119">
        <f t="shared" si="338"/>
        <v>0</v>
      </c>
      <c r="Z134" s="119">
        <f t="shared" si="338"/>
        <v>0</v>
      </c>
      <c r="AA134" s="119">
        <f t="shared" si="338"/>
        <v>0</v>
      </c>
      <c r="AB134" s="119">
        <f t="shared" si="338"/>
        <v>0</v>
      </c>
      <c r="AC134" s="119">
        <f t="shared" si="338"/>
        <v>0</v>
      </c>
      <c r="AD134" s="118" t="e">
        <f t="shared" si="323"/>
        <v>#DIV/0!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79.999999999999986</v>
      </c>
      <c r="H135" s="133">
        <f t="shared" ref="H135:P135" si="339">H80/H29</f>
        <v>79.999999999999986</v>
      </c>
      <c r="I135" s="133">
        <f t="shared" si="339"/>
        <v>-1.3517665130568357</v>
      </c>
      <c r="J135" s="133">
        <f t="shared" si="339"/>
        <v>0.80178484278045037</v>
      </c>
      <c r="K135" s="133">
        <f t="shared" si="339"/>
        <v>8.4600846008460073E-2</v>
      </c>
      <c r="L135" s="133" t="e">
        <f t="shared" si="339"/>
        <v>#DIV/0!</v>
      </c>
      <c r="M135" s="133" t="e">
        <f t="shared" si="339"/>
        <v>#DIV/0!</v>
      </c>
      <c r="N135" s="133" t="e">
        <f t="shared" si="339"/>
        <v>#DIV/0!</v>
      </c>
      <c r="O135" s="133" t="e">
        <f t="shared" si="339"/>
        <v>#DIV/0!</v>
      </c>
      <c r="P135" s="133">
        <f t="shared" si="339"/>
        <v>0.27177046055147458</v>
      </c>
      <c r="Q135" s="133">
        <f t="shared" ref="Q135" si="340">Q80/Q29</f>
        <v>0.17615575165944208</v>
      </c>
      <c r="R135" s="118">
        <f t="shared" si="221"/>
        <v>-0.4682847206380395</v>
      </c>
      <c r="S135" s="128"/>
      <c r="T135" s="133">
        <f t="shared" ref="T135:AC135" si="341">T80/T29</f>
        <v>0.16776738253280199</v>
      </c>
      <c r="U135" s="133">
        <f t="shared" si="341"/>
        <v>0.15977845955504952</v>
      </c>
      <c r="V135" s="133">
        <f t="shared" si="341"/>
        <v>0.15216996148099954</v>
      </c>
      <c r="W135" s="133">
        <f t="shared" si="341"/>
        <v>0.14492377283904717</v>
      </c>
      <c r="X135" s="133">
        <f t="shared" si="341"/>
        <v>0.13802264079909254</v>
      </c>
      <c r="Y135" s="133">
        <f t="shared" si="341"/>
        <v>0.13145013409437384</v>
      </c>
      <c r="Z135" s="133">
        <f t="shared" si="341"/>
        <v>0.12519060389940367</v>
      </c>
      <c r="AA135" s="133">
        <f t="shared" si="341"/>
        <v>0.11922914657086063</v>
      </c>
      <c r="AB135" s="133">
        <f t="shared" si="341"/>
        <v>0.11355156816272442</v>
      </c>
      <c r="AC135" s="133">
        <f t="shared" si="341"/>
        <v>0.10814435063116611</v>
      </c>
      <c r="AD135" s="118">
        <f t="shared" si="323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0</v>
      </c>
      <c r="H137" s="180">
        <f t="shared" ref="H137:P137" si="342">H25/H14</f>
        <v>0.8666666666666667</v>
      </c>
      <c r="I137" s="180" t="e">
        <f t="shared" si="342"/>
        <v>#DIV/0!</v>
      </c>
      <c r="J137" s="180" t="e">
        <f t="shared" si="342"/>
        <v>#DIV/0!</v>
      </c>
      <c r="K137" s="180" t="e">
        <f t="shared" si="342"/>
        <v>#DIV/0!</v>
      </c>
      <c r="L137" s="180" t="e">
        <f t="shared" si="342"/>
        <v>#DIV/0!</v>
      </c>
      <c r="M137" s="180" t="e">
        <f t="shared" si="342"/>
        <v>#DIV/0!</v>
      </c>
      <c r="N137" s="180" t="e">
        <f t="shared" si="342"/>
        <v>#DIV/0!</v>
      </c>
      <c r="O137" s="180" t="e">
        <f t="shared" si="342"/>
        <v>#DIV/0!</v>
      </c>
      <c r="P137" s="180" t="e">
        <f t="shared" si="342"/>
        <v>#DIV/0!</v>
      </c>
      <c r="Q137" s="180" t="e">
        <f t="shared" ref="Q137" si="343">Q25/Q14</f>
        <v>#DIV/0!</v>
      </c>
      <c r="R137" s="118" t="e">
        <f t="shared" si="221"/>
        <v>#DIV/0!</v>
      </c>
      <c r="S137" s="128"/>
      <c r="T137" s="20" t="e">
        <f t="shared" ref="T137" si="344">T25/T14</f>
        <v>#DIV/0!</v>
      </c>
      <c r="U137" s="20" t="e">
        <f t="shared" ref="U137:AC137" si="345">U25/U14</f>
        <v>#DIV/0!</v>
      </c>
      <c r="V137" s="20" t="e">
        <f t="shared" si="345"/>
        <v>#DIV/0!</v>
      </c>
      <c r="W137" s="20" t="e">
        <f t="shared" si="345"/>
        <v>#DIV/0!</v>
      </c>
      <c r="X137" s="20" t="e">
        <f t="shared" si="345"/>
        <v>#DIV/0!</v>
      </c>
      <c r="Y137" s="20" t="e">
        <f t="shared" si="345"/>
        <v>#DIV/0!</v>
      </c>
      <c r="Z137" s="20" t="e">
        <f t="shared" si="345"/>
        <v>#DIV/0!</v>
      </c>
      <c r="AA137" s="20" t="e">
        <f t="shared" si="345"/>
        <v>#DIV/0!</v>
      </c>
      <c r="AB137" s="20" t="e">
        <f t="shared" si="345"/>
        <v>#DIV/0!</v>
      </c>
      <c r="AC137" s="20" t="e">
        <f t="shared" si="345"/>
        <v>#DIV/0!</v>
      </c>
      <c r="AD137" s="118" t="e">
        <f t="shared" si="323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1.724137931034483E-3</v>
      </c>
      <c r="H138" s="180">
        <f t="shared" ref="H138:P138" si="346">H27/H14</f>
        <v>0.16666666666666669</v>
      </c>
      <c r="I138" s="180" t="e">
        <f t="shared" si="346"/>
        <v>#DIV/0!</v>
      </c>
      <c r="J138" s="180" t="e">
        <f t="shared" si="346"/>
        <v>#DIV/0!</v>
      </c>
      <c r="K138" s="180" t="e">
        <f t="shared" si="346"/>
        <v>#DIV/0!</v>
      </c>
      <c r="L138" s="180" t="e">
        <f t="shared" si="346"/>
        <v>#DIV/0!</v>
      </c>
      <c r="M138" s="180" t="e">
        <f t="shared" si="346"/>
        <v>#DIV/0!</v>
      </c>
      <c r="N138" s="180" t="e">
        <f t="shared" si="346"/>
        <v>#DIV/0!</v>
      </c>
      <c r="O138" s="180" t="e">
        <f t="shared" si="346"/>
        <v>#DIV/0!</v>
      </c>
      <c r="P138" s="180" t="e">
        <f t="shared" si="346"/>
        <v>#DIV/0!</v>
      </c>
      <c r="Q138" s="180" t="e">
        <f t="shared" ref="Q138" si="347">Q27/Q14</f>
        <v>#DIV/0!</v>
      </c>
      <c r="R138" s="118" t="e">
        <f t="shared" si="221"/>
        <v>#DIV/0!</v>
      </c>
      <c r="S138" s="128"/>
      <c r="T138" s="20" t="e">
        <f t="shared" ref="T138:AC138" si="348">T27/T14</f>
        <v>#DIV/0!</v>
      </c>
      <c r="U138" s="20" t="e">
        <f t="shared" si="348"/>
        <v>#DIV/0!</v>
      </c>
      <c r="V138" s="20" t="e">
        <f t="shared" si="348"/>
        <v>#DIV/0!</v>
      </c>
      <c r="W138" s="20" t="e">
        <f t="shared" si="348"/>
        <v>#DIV/0!</v>
      </c>
      <c r="X138" s="20" t="e">
        <f t="shared" si="348"/>
        <v>#DIV/0!</v>
      </c>
      <c r="Y138" s="20" t="e">
        <f t="shared" si="348"/>
        <v>#DIV/0!</v>
      </c>
      <c r="Z138" s="20" t="e">
        <f t="shared" si="348"/>
        <v>#DIV/0!</v>
      </c>
      <c r="AA138" s="20" t="e">
        <f t="shared" si="348"/>
        <v>#DIV/0!</v>
      </c>
      <c r="AB138" s="20" t="e">
        <f t="shared" si="348"/>
        <v>#DIV/0!</v>
      </c>
      <c r="AC138" s="20" t="e">
        <f t="shared" si="348"/>
        <v>#DIV/0!</v>
      </c>
      <c r="AD138" s="118" t="e">
        <f t="shared" si="323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3.8494780240455286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13.145955064542322</v>
      </c>
      <c r="T142" s="133">
        <f>PV($C$1, ($AC$3-$T$3), 0, -AC54)</f>
        <v>1.8318134106329462</v>
      </c>
      <c r="U142" s="133">
        <f>PV($C$1, ($AC$3-$T$3), 0, -AF54)</f>
        <v>11.314141653909376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49">T143+U143</f>
        <v>0</v>
      </c>
      <c r="T143" s="133">
        <f>PV($C$1, ($AC$3-$T$3), 0, -AC56)</f>
        <v>0</v>
      </c>
      <c r="U143" s="133">
        <f>PV($C$1, ($AC$3-$T$3), 0, -AF56)</f>
        <v>0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9"/>
        <v>0</v>
      </c>
      <c r="T144" s="133">
        <f>PV($C$1, ($AC$3-$T$3), 0, -AC57)</f>
        <v>0</v>
      </c>
      <c r="U144" s="133">
        <f>PV($C$1, ($AC$3-$T$3), 0, -AF57)</f>
        <v>0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9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49"/>
        <v>0</v>
      </c>
      <c r="T146" s="133">
        <f>PV($C$1, ($AC$3-$T$3), 0, -AC64)</f>
        <v>0</v>
      </c>
      <c r="U146" s="133">
        <f>PV($C$1, ($AC$3-$T$3), 0, -AF64)</f>
        <v>0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9"/>
        <v>0</v>
      </c>
      <c r="T148" s="133">
        <f>PV($C$1, ($AC$3-$T$3), 0, -AC60)</f>
        <v>0</v>
      </c>
      <c r="U148" s="133">
        <f>PV($C$1, ($AC$3-$T$3), 0, -$AF$60)</f>
        <v>0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9"/>
        <v>0</v>
      </c>
      <c r="T149" s="133">
        <f>PV($C$1, ($AC$3-$T$3), 0, -AC61)</f>
        <v>0</v>
      </c>
      <c r="U149" s="133">
        <f>PV($C$1, ($AC$3-$T$3), 0, -$AF$61)</f>
        <v>0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49"/>
        <v>0</v>
      </c>
      <c r="T150" s="133">
        <f>PV($C$1, ($AC$3-$T$3), 0, -AC62)</f>
        <v>0</v>
      </c>
      <c r="U150" s="133">
        <f>PV($C$1, ($AC$3-$T$3), 0, -$AF$62)</f>
        <v>0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9"/>
        <v>0</v>
      </c>
      <c r="T152" s="133">
        <f>PV($C$1, ($AC$3-$T$3), 0, -AC67)</f>
        <v>0</v>
      </c>
      <c r="U152" s="133">
        <f>PV($C$1, ($AC$3-$T$3), 0, -AF67)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49"/>
        <v>0</v>
      </c>
      <c r="T153" s="133">
        <f>PV($C$1, ($AC$3-$T$3), 0, -AC68)</f>
        <v>0</v>
      </c>
      <c r="U153" s="133">
        <f>PV($C$1, ($AC$3-$T$3), 0, -AF68)</f>
        <v>0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50">T155+U155</f>
        <v>0</v>
      </c>
      <c r="T155" s="133">
        <f>PV($C$1, ($AC$3-$T$3), 0, -AC12)</f>
        <v>0</v>
      </c>
      <c r="U155" s="133">
        <f>PV($C$1, ($AC$3-$T$3), 0, -AF12)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0</v>
      </c>
      <c r="T156" s="140">
        <f>T155/P42</f>
        <v>0</v>
      </c>
      <c r="U156" s="140">
        <f>U155/P42</f>
        <v>0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51">T159+U159</f>
        <v>2.3691712341257731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1.9490884331818763</v>
      </c>
      <c r="U159" s="133">
        <f>PV($C$1, ($AC$3-$T$3), 0, -AF70)</f>
        <v>0.42008280094389688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49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52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2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2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52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100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90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40</v>
      </c>
      <c r="M171" s="22">
        <v>35</v>
      </c>
      <c r="N171" s="22">
        <v>70</v>
      </c>
      <c r="O171" s="22">
        <v>70</v>
      </c>
      <c r="P171" s="22">
        <v>40</v>
      </c>
      <c r="Q171" s="22">
        <v>60</v>
      </c>
      <c r="R171" s="118" t="e">
        <f t="shared" ref="R171:R176" si="353">((P171/G171)^(1/($H$2-$H$1) ))-1</f>
        <v>#DIV/0!</v>
      </c>
      <c r="S171" s="31">
        <f>L2-3%</f>
        <v>0.17</v>
      </c>
      <c r="T171" s="119">
        <f t="shared" ref="T171" si="354">P171*(1+$S171)</f>
        <v>46.8</v>
      </c>
      <c r="U171" s="119">
        <f t="shared" ref="U171:AC171" si="355">T171*(1+$S171)</f>
        <v>54.755999999999993</v>
      </c>
      <c r="V171" s="119">
        <f t="shared" si="355"/>
        <v>64.064519999999987</v>
      </c>
      <c r="W171" s="119">
        <f t="shared" si="355"/>
        <v>74.955488399999979</v>
      </c>
      <c r="X171" s="119">
        <f t="shared" si="355"/>
        <v>87.697921427999972</v>
      </c>
      <c r="Y171" s="119">
        <f t="shared" si="355"/>
        <v>102.60656807075996</v>
      </c>
      <c r="Z171" s="119">
        <f t="shared" si="355"/>
        <v>120.04968464278915</v>
      </c>
      <c r="AA171" s="119">
        <f t="shared" si="355"/>
        <v>140.45813103206328</v>
      </c>
      <c r="AB171" s="119">
        <f t="shared" si="355"/>
        <v>164.33601330751404</v>
      </c>
      <c r="AC171" s="119">
        <f t="shared" si="355"/>
        <v>192.27313556979141</v>
      </c>
      <c r="AD171" s="138" t="e">
        <f t="shared" ref="AD171:AD176" si="356">((AC171/G171)^(1/($AC$3-$H$1) ))-1</f>
        <v>#DIV/0!</v>
      </c>
      <c r="AE171" s="31">
        <v>0.08</v>
      </c>
      <c r="AF171" s="127" t="e">
        <f t="shared" ref="AF171:AF179" si="357">(AC171*(1+AD171))/($C$1-AE171)</f>
        <v>#DIV/0!</v>
      </c>
    </row>
    <row r="172" spans="2:32" x14ac:dyDescent="0.2">
      <c r="B172" s="20" t="s">
        <v>361</v>
      </c>
      <c r="C172" s="25" t="e">
        <f t="shared" ref="C172:P172" si="358">C171/C50</f>
        <v>#DIV/0!</v>
      </c>
      <c r="D172" s="25" t="e">
        <f t="shared" si="358"/>
        <v>#DIV/0!</v>
      </c>
      <c r="E172" s="25" t="e">
        <f t="shared" si="358"/>
        <v>#DIV/0!</v>
      </c>
      <c r="F172" s="25" t="e">
        <f t="shared" si="358"/>
        <v>#DIV/0!</v>
      </c>
      <c r="G172" s="25" t="e">
        <f t="shared" si="358"/>
        <v>#DIV/0!</v>
      </c>
      <c r="H172" s="25">
        <f t="shared" si="358"/>
        <v>0</v>
      </c>
      <c r="I172" s="25">
        <f t="shared" si="358"/>
        <v>0</v>
      </c>
      <c r="J172" s="25">
        <f t="shared" si="358"/>
        <v>0</v>
      </c>
      <c r="K172" s="25">
        <f t="shared" si="358"/>
        <v>0</v>
      </c>
      <c r="L172" s="25">
        <f t="shared" si="358"/>
        <v>4.8828828828828827</v>
      </c>
      <c r="M172" s="25">
        <f t="shared" si="358"/>
        <v>4.0614583333333334</v>
      </c>
      <c r="N172" s="25">
        <f t="shared" si="358"/>
        <v>3.7173684210526314</v>
      </c>
      <c r="O172" s="25">
        <f t="shared" si="358"/>
        <v>4.1462962962962964</v>
      </c>
      <c r="P172" s="25">
        <f t="shared" si="358"/>
        <v>2.132581100141044</v>
      </c>
      <c r="Q172" s="25">
        <f t="shared" ref="Q172" si="359">Q171/Q50</f>
        <v>2.4365264100268575</v>
      </c>
      <c r="R172" s="118" t="e">
        <f t="shared" ref="R172" si="360">((P172/G172)^(1/($H$2-$H$1) ))-1</f>
        <v>#DIV/0!</v>
      </c>
      <c r="S172" s="128"/>
      <c r="T172" s="25">
        <f t="shared" ref="T172:AC172" si="361">T171/T50</f>
        <v>1.6629292748433304</v>
      </c>
      <c r="U172" s="25">
        <f t="shared" si="361"/>
        <v>1.7024238451208593</v>
      </c>
      <c r="V172" s="25">
        <f t="shared" si="361"/>
        <v>1.7428564114424798</v>
      </c>
      <c r="W172" s="25">
        <f t="shared" si="361"/>
        <v>1.7842492512142387</v>
      </c>
      <c r="X172" s="25">
        <f t="shared" si="361"/>
        <v>1.8266251709305767</v>
      </c>
      <c r="Y172" s="25">
        <f t="shared" si="361"/>
        <v>1.8700075187401779</v>
      </c>
      <c r="Z172" s="25">
        <f t="shared" si="361"/>
        <v>1.914420197310257</v>
      </c>
      <c r="AA172" s="25">
        <f t="shared" si="361"/>
        <v>1.9598876769963753</v>
      </c>
      <c r="AB172" s="25">
        <f t="shared" si="361"/>
        <v>2.0064350093250396</v>
      </c>
      <c r="AC172" s="25">
        <f t="shared" si="361"/>
        <v>2.0540878407965093</v>
      </c>
      <c r="AD172" s="138" t="e">
        <f t="shared" ref="AD172" si="362">((AC172/G172)^(1/($AC$3-$H$1) ))-1</f>
        <v>#DIV/0!</v>
      </c>
      <c r="AE172" s="31">
        <v>0.08</v>
      </c>
      <c r="AF172" s="127" t="e">
        <f t="shared" ref="AF172" si="363">(AC172*(1+AD172))/($C$1-AE172)</f>
        <v>#DIV/0!</v>
      </c>
    </row>
    <row r="173" spans="2:32" x14ac:dyDescent="0.2">
      <c r="B173" s="20" t="s">
        <v>389</v>
      </c>
      <c r="C173" s="25" t="e">
        <f t="shared" ref="C173:P173" si="364">C171/C54</f>
        <v>#DIV/0!</v>
      </c>
      <c r="D173" s="25" t="e">
        <f t="shared" si="364"/>
        <v>#DIV/0!</v>
      </c>
      <c r="E173" s="25" t="e">
        <f t="shared" si="364"/>
        <v>#DIV/0!</v>
      </c>
      <c r="F173" s="25" t="e">
        <f t="shared" si="364"/>
        <v>#DIV/0!</v>
      </c>
      <c r="G173" s="25">
        <f t="shared" si="364"/>
        <v>0</v>
      </c>
      <c r="H173" s="25">
        <f t="shared" si="364"/>
        <v>0</v>
      </c>
      <c r="I173" s="25">
        <f t="shared" si="364"/>
        <v>0</v>
      </c>
      <c r="J173" s="25">
        <f t="shared" si="364"/>
        <v>0</v>
      </c>
      <c r="K173" s="25">
        <f t="shared" si="364"/>
        <v>0</v>
      </c>
      <c r="L173" s="25">
        <f t="shared" si="364"/>
        <v>54.2</v>
      </c>
      <c r="M173" s="25">
        <f t="shared" si="364"/>
        <v>44.988461538461536</v>
      </c>
      <c r="N173" s="25">
        <f t="shared" si="364"/>
        <v>8.5612121212121206</v>
      </c>
      <c r="O173" s="25">
        <f t="shared" si="364"/>
        <v>23.392537313432836</v>
      </c>
      <c r="P173" s="25">
        <f t="shared" si="364"/>
        <v>17.802197802197799</v>
      </c>
      <c r="Q173" s="25">
        <f t="shared" ref="Q173" si="365">Q171/Q54</f>
        <v>20.794621026894866</v>
      </c>
      <c r="R173" s="118" t="e">
        <f t="shared" si="353"/>
        <v>#DIV/0!</v>
      </c>
      <c r="S173" s="128"/>
      <c r="T173" s="119">
        <f t="shared" ref="T173:AC173" si="366">T171/T54</f>
        <v>14.192328850855747</v>
      </c>
      <c r="U173" s="119">
        <f t="shared" si="366"/>
        <v>14.52939666106357</v>
      </c>
      <c r="V173" s="119">
        <f t="shared" si="366"/>
        <v>14.874469831763831</v>
      </c>
      <c r="W173" s="119">
        <f t="shared" si="366"/>
        <v>15.227738490268221</v>
      </c>
      <c r="X173" s="119">
        <f t="shared" si="366"/>
        <v>15.589397279412095</v>
      </c>
      <c r="Y173" s="119">
        <f t="shared" si="366"/>
        <v>15.959645464798133</v>
      </c>
      <c r="Z173" s="119">
        <f t="shared" si="366"/>
        <v>16.33868704458709</v>
      </c>
      <c r="AA173" s="119">
        <f t="shared" si="366"/>
        <v>16.726730861896034</v>
      </c>
      <c r="AB173" s="119">
        <f t="shared" si="366"/>
        <v>17.123990719866061</v>
      </c>
      <c r="AC173" s="119">
        <f t="shared" si="366"/>
        <v>17.53068549946288</v>
      </c>
      <c r="AD173" s="138" t="e">
        <f t="shared" si="356"/>
        <v>#DIV/0!</v>
      </c>
      <c r="AE173" s="31">
        <v>0.08</v>
      </c>
      <c r="AF173" s="127" t="e">
        <f t="shared" si="357"/>
        <v>#DIV/0!</v>
      </c>
    </row>
    <row r="174" spans="2:32" x14ac:dyDescent="0.2">
      <c r="B174" s="20" t="s">
        <v>258</v>
      </c>
      <c r="C174" s="25" t="e">
        <f t="shared" ref="C174:P174" si="367">C171/C57</f>
        <v>#DIV/0!</v>
      </c>
      <c r="D174" s="25" t="e">
        <f t="shared" si="367"/>
        <v>#DIV/0!</v>
      </c>
      <c r="E174" s="25" t="e">
        <f t="shared" si="367"/>
        <v>#DIV/0!</v>
      </c>
      <c r="F174" s="25" t="e">
        <f t="shared" si="367"/>
        <v>#DIV/0!</v>
      </c>
      <c r="G174" s="25">
        <f t="shared" si="367"/>
        <v>0</v>
      </c>
      <c r="H174" s="25">
        <f t="shared" si="367"/>
        <v>0</v>
      </c>
      <c r="I174" s="25">
        <f t="shared" si="367"/>
        <v>0</v>
      </c>
      <c r="J174" s="25">
        <f t="shared" si="367"/>
        <v>0</v>
      </c>
      <c r="K174" s="25">
        <f t="shared" si="367"/>
        <v>0</v>
      </c>
      <c r="L174" s="25">
        <f t="shared" si="367"/>
        <v>2.7373737373737375</v>
      </c>
      <c r="M174" s="25">
        <f t="shared" si="367"/>
        <v>2.2069811320754718</v>
      </c>
      <c r="N174" s="25">
        <f t="shared" si="367"/>
        <v>2.5360861759425495</v>
      </c>
      <c r="O174" s="25">
        <f t="shared" si="367"/>
        <v>2.1859135285913531</v>
      </c>
      <c r="P174" s="25">
        <f t="shared" si="367"/>
        <v>1.208455994991408</v>
      </c>
      <c r="Q174" s="25" t="e">
        <f t="shared" ref="Q174" si="368">Q171/Q57</f>
        <v>#DIV/0!</v>
      </c>
      <c r="R174" s="118" t="e">
        <f t="shared" si="353"/>
        <v>#DIV/0!</v>
      </c>
      <c r="S174" s="128"/>
      <c r="T174" s="119" t="e">
        <f t="shared" ref="T174:AC174" si="369">T171/T57</f>
        <v>#DIV/0!</v>
      </c>
      <c r="U174" s="119" t="e">
        <f t="shared" si="369"/>
        <v>#DIV/0!</v>
      </c>
      <c r="V174" s="119" t="e">
        <f t="shared" si="369"/>
        <v>#DIV/0!</v>
      </c>
      <c r="W174" s="119" t="e">
        <f t="shared" si="369"/>
        <v>#DIV/0!</v>
      </c>
      <c r="X174" s="119" t="e">
        <f t="shared" si="369"/>
        <v>#DIV/0!</v>
      </c>
      <c r="Y174" s="119" t="e">
        <f t="shared" si="369"/>
        <v>#DIV/0!</v>
      </c>
      <c r="Z174" s="119" t="e">
        <f t="shared" si="369"/>
        <v>#DIV/0!</v>
      </c>
      <c r="AA174" s="119" t="e">
        <f t="shared" si="369"/>
        <v>#DIV/0!</v>
      </c>
      <c r="AB174" s="119" t="e">
        <f t="shared" si="369"/>
        <v>#DIV/0!</v>
      </c>
      <c r="AC174" s="119" t="e">
        <f t="shared" si="369"/>
        <v>#DIV/0!</v>
      </c>
      <c r="AD174" s="138" t="e">
        <f t="shared" si="356"/>
        <v>#DIV/0!</v>
      </c>
      <c r="AE174" s="31">
        <v>0.08</v>
      </c>
      <c r="AF174" s="127" t="e">
        <f t="shared" si="357"/>
        <v>#DIV/0!</v>
      </c>
    </row>
    <row r="175" spans="2:32" x14ac:dyDescent="0.2">
      <c r="B175" s="20" t="s">
        <v>259</v>
      </c>
      <c r="C175" s="25" t="e">
        <f t="shared" ref="C175:P175" si="370">C171/C66</f>
        <v>#DIV/0!</v>
      </c>
      <c r="D175" s="25" t="e">
        <f t="shared" si="370"/>
        <v>#DIV/0!</v>
      </c>
      <c r="E175" s="25" t="e">
        <f t="shared" si="370"/>
        <v>#DIV/0!</v>
      </c>
      <c r="F175" s="25" t="e">
        <f t="shared" si="370"/>
        <v>#DIV/0!</v>
      </c>
      <c r="G175" s="25">
        <f t="shared" si="370"/>
        <v>0</v>
      </c>
      <c r="H175" s="25">
        <f t="shared" si="370"/>
        <v>0</v>
      </c>
      <c r="I175" s="25">
        <f t="shared" si="370"/>
        <v>0</v>
      </c>
      <c r="J175" s="25">
        <f t="shared" si="370"/>
        <v>0</v>
      </c>
      <c r="K175" s="25">
        <f t="shared" si="370"/>
        <v>0</v>
      </c>
      <c r="L175" s="25">
        <f t="shared" si="370"/>
        <v>2.2583333333333333</v>
      </c>
      <c r="M175" s="25">
        <f t="shared" si="370"/>
        <v>2.6827981651376147</v>
      </c>
      <c r="N175" s="25">
        <f t="shared" si="370"/>
        <v>6.2504424778761072</v>
      </c>
      <c r="O175" s="25">
        <f t="shared" si="370"/>
        <v>5.8048148148148151</v>
      </c>
      <c r="P175" s="25">
        <f t="shared" si="370"/>
        <v>5.6664584634603372</v>
      </c>
      <c r="Q175" s="25" t="e">
        <f t="shared" ref="Q175" si="371">Q171/Q66</f>
        <v>#DIV/0!</v>
      </c>
      <c r="R175" s="118" t="e">
        <f t="shared" si="353"/>
        <v>#DIV/0!</v>
      </c>
      <c r="S175" s="128"/>
      <c r="T175" s="119" t="e">
        <f t="shared" ref="T175:AC175" si="372">T171/T66</f>
        <v>#DIV/0!</v>
      </c>
      <c r="U175" s="119" t="e">
        <f t="shared" si="372"/>
        <v>#DIV/0!</v>
      </c>
      <c r="V175" s="119" t="e">
        <f t="shared" si="372"/>
        <v>#DIV/0!</v>
      </c>
      <c r="W175" s="119" t="e">
        <f t="shared" si="372"/>
        <v>#DIV/0!</v>
      </c>
      <c r="X175" s="119" t="e">
        <f t="shared" si="372"/>
        <v>#DIV/0!</v>
      </c>
      <c r="Y175" s="119" t="e">
        <f t="shared" si="372"/>
        <v>#DIV/0!</v>
      </c>
      <c r="Z175" s="119" t="e">
        <f t="shared" si="372"/>
        <v>#DIV/0!</v>
      </c>
      <c r="AA175" s="119" t="e">
        <f t="shared" si="372"/>
        <v>#DIV/0!</v>
      </c>
      <c r="AB175" s="119" t="e">
        <f t="shared" si="372"/>
        <v>#DIV/0!</v>
      </c>
      <c r="AC175" s="119" t="e">
        <f t="shared" si="372"/>
        <v>#DIV/0!</v>
      </c>
      <c r="AD175" s="138" t="e">
        <f t="shared" si="356"/>
        <v>#DIV/0!</v>
      </c>
      <c r="AE175" s="31">
        <v>0.08</v>
      </c>
      <c r="AF175" s="127" t="e">
        <f t="shared" si="357"/>
        <v>#DIV/0!</v>
      </c>
    </row>
    <row r="176" spans="2:32" x14ac:dyDescent="0.2">
      <c r="B176" s="20" t="s">
        <v>260</v>
      </c>
      <c r="C176" s="25" t="e">
        <f t="shared" ref="C176:P176" si="373">C171/C68</f>
        <v>#DIV/0!</v>
      </c>
      <c r="D176" s="25" t="e">
        <f t="shared" si="373"/>
        <v>#DIV/0!</v>
      </c>
      <c r="E176" s="25" t="e">
        <f t="shared" si="373"/>
        <v>#DIV/0!</v>
      </c>
      <c r="F176" s="25" t="e">
        <f t="shared" si="373"/>
        <v>#DIV/0!</v>
      </c>
      <c r="G176" s="25">
        <f t="shared" si="373"/>
        <v>0</v>
      </c>
      <c r="H176" s="25">
        <f t="shared" si="373"/>
        <v>0</v>
      </c>
      <c r="I176" s="25">
        <f t="shared" si="373"/>
        <v>0</v>
      </c>
      <c r="J176" s="25">
        <f t="shared" si="373"/>
        <v>0</v>
      </c>
      <c r="K176" s="25">
        <f t="shared" si="373"/>
        <v>0</v>
      </c>
      <c r="L176" s="25">
        <f t="shared" si="373"/>
        <v>1.9926470588235297</v>
      </c>
      <c r="M176" s="25">
        <f t="shared" si="373"/>
        <v>1.9560200668896321</v>
      </c>
      <c r="N176" s="25">
        <f t="shared" si="373"/>
        <v>3.1959276018099545</v>
      </c>
      <c r="O176" s="25">
        <f t="shared" si="373"/>
        <v>2.5777960526315788</v>
      </c>
      <c r="P176" s="25">
        <f t="shared" si="373"/>
        <v>1.8552147239263805</v>
      </c>
      <c r="Q176" s="25" t="e">
        <f t="shared" ref="Q176" si="374">Q171/Q68</f>
        <v>#DIV/0!</v>
      </c>
      <c r="R176" s="118" t="e">
        <f t="shared" si="353"/>
        <v>#DIV/0!</v>
      </c>
      <c r="S176" s="128"/>
      <c r="T176" s="119" t="e">
        <f t="shared" ref="T176:AC176" si="375">T171/T68</f>
        <v>#DIV/0!</v>
      </c>
      <c r="U176" s="119" t="e">
        <f t="shared" si="375"/>
        <v>#DIV/0!</v>
      </c>
      <c r="V176" s="119" t="e">
        <f t="shared" si="375"/>
        <v>#DIV/0!</v>
      </c>
      <c r="W176" s="119" t="e">
        <f t="shared" si="375"/>
        <v>#DIV/0!</v>
      </c>
      <c r="X176" s="119" t="e">
        <f t="shared" si="375"/>
        <v>#DIV/0!</v>
      </c>
      <c r="Y176" s="119" t="e">
        <f t="shared" si="375"/>
        <v>#DIV/0!</v>
      </c>
      <c r="Z176" s="119" t="e">
        <f t="shared" si="375"/>
        <v>#DIV/0!</v>
      </c>
      <c r="AA176" s="119" t="e">
        <f t="shared" si="375"/>
        <v>#DIV/0!</v>
      </c>
      <c r="AB176" s="119" t="e">
        <f t="shared" si="375"/>
        <v>#DIV/0!</v>
      </c>
      <c r="AC176" s="119" t="e">
        <f t="shared" si="375"/>
        <v>#DIV/0!</v>
      </c>
      <c r="AD176" s="138" t="e">
        <f t="shared" si="356"/>
        <v>#DIV/0!</v>
      </c>
      <c r="AE176" s="31">
        <v>0.08</v>
      </c>
      <c r="AF176" s="127" t="e">
        <f t="shared" si="357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376">G171/G62</f>
        <v>0</v>
      </c>
      <c r="H177" s="182">
        <f t="shared" si="376"/>
        <v>0</v>
      </c>
      <c r="I177" s="182">
        <f t="shared" si="376"/>
        <v>0</v>
      </c>
      <c r="J177" s="182">
        <f t="shared" si="376"/>
        <v>0</v>
      </c>
      <c r="K177" s="182">
        <f t="shared" si="376"/>
        <v>0</v>
      </c>
      <c r="L177" s="182">
        <f t="shared" si="376"/>
        <v>1.9637681159420293</v>
      </c>
      <c r="M177" s="182">
        <f t="shared" si="376"/>
        <v>1.8927184466019418</v>
      </c>
      <c r="N177" s="182">
        <f t="shared" si="376"/>
        <v>3.1046153846153848</v>
      </c>
      <c r="O177" s="182">
        <f t="shared" si="376"/>
        <v>2.4149460708782744</v>
      </c>
      <c r="P177" s="182">
        <f t="shared" si="376"/>
        <v>0.93849893963689013</v>
      </c>
      <c r="Q177" s="182" t="e">
        <f t="shared" ref="Q177" si="377">Q171/Q62</f>
        <v>#DIV/0!</v>
      </c>
      <c r="R177" s="118" t="e">
        <f t="shared" ref="R177:R180" si="378">((P177/G177)^(1/($H$2-$H$1) ))-1</f>
        <v>#DIV/0!</v>
      </c>
      <c r="S177" s="128"/>
      <c r="T177" s="135" t="e">
        <f t="shared" ref="T177:AC177" si="379">T171/T62</f>
        <v>#DIV/0!</v>
      </c>
      <c r="U177" s="135" t="e">
        <f t="shared" si="379"/>
        <v>#DIV/0!</v>
      </c>
      <c r="V177" s="135" t="e">
        <f t="shared" si="379"/>
        <v>#DIV/0!</v>
      </c>
      <c r="W177" s="135" t="e">
        <f t="shared" si="379"/>
        <v>#DIV/0!</v>
      </c>
      <c r="X177" s="135" t="e">
        <f t="shared" si="379"/>
        <v>#DIV/0!</v>
      </c>
      <c r="Y177" s="135" t="e">
        <f t="shared" si="379"/>
        <v>#DIV/0!</v>
      </c>
      <c r="Z177" s="135" t="e">
        <f t="shared" si="379"/>
        <v>#DIV/0!</v>
      </c>
      <c r="AA177" s="135" t="e">
        <f t="shared" si="379"/>
        <v>#DIV/0!</v>
      </c>
      <c r="AB177" s="135" t="e">
        <f t="shared" si="379"/>
        <v>#DIV/0!</v>
      </c>
      <c r="AC177" s="135" t="e">
        <f t="shared" si="379"/>
        <v>#DIV/0!</v>
      </c>
      <c r="AD177" s="138" t="e">
        <f t="shared" ref="AD177" si="380">((AC177/G177)^(1/($AC$3-$H$1) ))-1</f>
        <v>#DIV/0!</v>
      </c>
      <c r="AE177" s="31">
        <v>0.08</v>
      </c>
      <c r="AF177" s="127" t="e">
        <f t="shared" si="357"/>
        <v>#DIV/0!</v>
      </c>
    </row>
    <row r="178" spans="2:46" x14ac:dyDescent="0.2">
      <c r="B178" s="20" t="s">
        <v>371</v>
      </c>
      <c r="C178" s="161" t="e">
        <f t="shared" ref="C178:P178" si="381">C54/C171</f>
        <v>#DIV/0!</v>
      </c>
      <c r="D178" s="161" t="e">
        <f t="shared" si="381"/>
        <v>#DIV/0!</v>
      </c>
      <c r="E178" s="161" t="e">
        <f t="shared" si="381"/>
        <v>#DIV/0!</v>
      </c>
      <c r="F178" s="161" t="e">
        <f t="shared" si="381"/>
        <v>#DIV/0!</v>
      </c>
      <c r="G178" s="161" t="e">
        <f t="shared" si="381"/>
        <v>#DIV/0!</v>
      </c>
      <c r="H178" s="161" t="e">
        <f t="shared" si="381"/>
        <v>#DIV/0!</v>
      </c>
      <c r="I178" s="161" t="e">
        <f t="shared" si="381"/>
        <v>#DIV/0!</v>
      </c>
      <c r="J178" s="161" t="e">
        <f t="shared" si="381"/>
        <v>#DIV/0!</v>
      </c>
      <c r="K178" s="161" t="e">
        <f t="shared" si="381"/>
        <v>#DIV/0!</v>
      </c>
      <c r="L178" s="161">
        <f t="shared" si="381"/>
        <v>1.8450184501845018E-2</v>
      </c>
      <c r="M178" s="161">
        <f t="shared" si="381"/>
        <v>2.2227921689322049E-2</v>
      </c>
      <c r="N178" s="161">
        <f t="shared" si="381"/>
        <v>0.11680588984850632</v>
      </c>
      <c r="O178" s="161">
        <f t="shared" si="381"/>
        <v>4.2748676067121801E-2</v>
      </c>
      <c r="P178" s="161">
        <f t="shared" si="381"/>
        <v>5.6172839506172842E-2</v>
      </c>
      <c r="Q178" s="161">
        <f t="shared" ref="Q178" si="382">Q54/Q171</f>
        <v>4.8089359200470312E-2</v>
      </c>
      <c r="R178" s="118" t="e">
        <f t="shared" si="378"/>
        <v>#DIV/0!</v>
      </c>
      <c r="S178" s="128"/>
      <c r="T178" s="161">
        <f t="shared" ref="T178:AC178" si="383">T54/T171</f>
        <v>7.0460599561128656E-2</v>
      </c>
      <c r="U178" s="161">
        <f t="shared" si="383"/>
        <v>6.8825982477292949E-2</v>
      </c>
      <c r="V178" s="161">
        <f t="shared" si="383"/>
        <v>6.7229286913106659E-2</v>
      </c>
      <c r="W178" s="161">
        <f t="shared" si="383"/>
        <v>6.5669633126355723E-2</v>
      </c>
      <c r="X178" s="161">
        <f t="shared" si="383"/>
        <v>6.4146161783986036E-2</v>
      </c>
      <c r="Y178" s="161">
        <f t="shared" si="383"/>
        <v>6.2658033488631054E-2</v>
      </c>
      <c r="Z178" s="161">
        <f t="shared" si="383"/>
        <v>6.1204428316123119E-2</v>
      </c>
      <c r="AA178" s="161">
        <f t="shared" si="383"/>
        <v>5.9784545363734426E-2</v>
      </c>
      <c r="AB178" s="161">
        <f t="shared" si="383"/>
        <v>5.8397602308898101E-2</v>
      </c>
      <c r="AC178" s="161">
        <f t="shared" si="383"/>
        <v>5.7042834978166645E-2</v>
      </c>
      <c r="AD178" s="138" t="e">
        <f t="shared" ref="AD178:AD180" si="384">((AC178/G178)^(1/($AC$3-$H$1) ))-1</f>
        <v>#DIV/0!</v>
      </c>
      <c r="AE178" s="31">
        <v>0.08</v>
      </c>
      <c r="AF178" s="127" t="e">
        <f t="shared" si="357"/>
        <v>#DIV/0!</v>
      </c>
    </row>
    <row r="179" spans="2:46" x14ac:dyDescent="0.2">
      <c r="B179" s="20" t="s">
        <v>320</v>
      </c>
      <c r="C179" s="152" t="e">
        <f t="shared" ref="C179:P179" si="385">C44/C171</f>
        <v>#DIV/0!</v>
      </c>
      <c r="D179" s="152" t="e">
        <f t="shared" si="385"/>
        <v>#DIV/0!</v>
      </c>
      <c r="E179" s="152" t="e">
        <f t="shared" si="385"/>
        <v>#DIV/0!</v>
      </c>
      <c r="F179" s="152" t="e">
        <f t="shared" si="385"/>
        <v>#DIV/0!</v>
      </c>
      <c r="G179" s="152" t="e">
        <f t="shared" si="385"/>
        <v>#DIV/0!</v>
      </c>
      <c r="H179" s="152" t="e">
        <f t="shared" si="385"/>
        <v>#DIV/0!</v>
      </c>
      <c r="I179" s="152" t="e">
        <f t="shared" si="385"/>
        <v>#DIV/0!</v>
      </c>
      <c r="J179" s="152" t="e">
        <f t="shared" si="385"/>
        <v>#DIV/0!</v>
      </c>
      <c r="K179" s="152" t="e">
        <f t="shared" si="385"/>
        <v>#DIV/0!</v>
      </c>
      <c r="L179" s="152">
        <f t="shared" si="385"/>
        <v>5.0000000000000001E-3</v>
      </c>
      <c r="M179" s="152">
        <f t="shared" si="385"/>
        <v>7.1428571428571426E-3</v>
      </c>
      <c r="N179" s="152">
        <f t="shared" si="385"/>
        <v>4.2857142857142859E-3</v>
      </c>
      <c r="O179" s="152">
        <f t="shared" si="385"/>
        <v>5.0000000000000001E-3</v>
      </c>
      <c r="P179" s="152">
        <f t="shared" si="385"/>
        <v>6.2500000000000003E-3</v>
      </c>
      <c r="Q179" s="152">
        <f t="shared" ref="Q179" si="386">Q44/Q171</f>
        <v>4.1666666666666666E-3</v>
      </c>
      <c r="R179" s="118" t="e">
        <f t="shared" si="378"/>
        <v>#DIV/0!</v>
      </c>
      <c r="S179" s="128"/>
      <c r="T179" s="152">
        <f t="shared" ref="T179:AC179" si="387">T44/T171</f>
        <v>5.6089743589743599E-3</v>
      </c>
      <c r="U179" s="152">
        <f t="shared" si="387"/>
        <v>5.0336949375410925E-3</v>
      </c>
      <c r="V179" s="152">
        <f t="shared" si="387"/>
        <v>4.517418533690724E-3</v>
      </c>
      <c r="W179" s="152">
        <f t="shared" si="387"/>
        <v>4.054093555876292E-3</v>
      </c>
      <c r="X179" s="152">
        <f t="shared" si="387"/>
        <v>3.6382890886069289E-3</v>
      </c>
      <c r="Y179" s="152">
        <f t="shared" si="387"/>
        <v>3.2651312333651932E-3</v>
      </c>
      <c r="Z179" s="152">
        <f t="shared" si="387"/>
        <v>2.9302459786610707E-3</v>
      </c>
      <c r="AA179" s="152">
        <f t="shared" si="387"/>
        <v>2.6297079295676284E-3</v>
      </c>
      <c r="AB179" s="152">
        <f t="shared" si="387"/>
        <v>2.3599942957658201E-3</v>
      </c>
      <c r="AC179" s="152">
        <f t="shared" si="387"/>
        <v>2.1179435987641977E-3</v>
      </c>
      <c r="AD179" s="138" t="e">
        <f t="shared" si="384"/>
        <v>#DIV/0!</v>
      </c>
      <c r="AE179" s="31">
        <v>0.08</v>
      </c>
      <c r="AF179" s="127" t="e">
        <f t="shared" si="357"/>
        <v>#DIV/0!</v>
      </c>
    </row>
    <row r="180" spans="2:46" x14ac:dyDescent="0.2">
      <c r="B180" s="20" t="s">
        <v>447</v>
      </c>
      <c r="C180" s="181" t="e">
        <f t="shared" ref="C180:O180" si="388">(C173)/($L$2*100)</f>
        <v>#DIV/0!</v>
      </c>
      <c r="D180" s="181" t="e">
        <f t="shared" si="388"/>
        <v>#DIV/0!</v>
      </c>
      <c r="E180" s="181" t="e">
        <f t="shared" si="388"/>
        <v>#DIV/0!</v>
      </c>
      <c r="F180" s="181" t="e">
        <f t="shared" si="388"/>
        <v>#DIV/0!</v>
      </c>
      <c r="G180" s="181">
        <f t="shared" si="388"/>
        <v>0</v>
      </c>
      <c r="H180" s="181">
        <f t="shared" si="388"/>
        <v>0</v>
      </c>
      <c r="I180" s="181">
        <f t="shared" si="388"/>
        <v>0</v>
      </c>
      <c r="J180" s="181">
        <f t="shared" si="388"/>
        <v>0</v>
      </c>
      <c r="K180" s="181">
        <f t="shared" si="388"/>
        <v>0</v>
      </c>
      <c r="L180" s="181">
        <f t="shared" si="388"/>
        <v>2.71</v>
      </c>
      <c r="M180" s="181">
        <f t="shared" si="388"/>
        <v>2.249423076923077</v>
      </c>
      <c r="N180" s="181">
        <f t="shared" si="388"/>
        <v>0.42806060606060603</v>
      </c>
      <c r="O180" s="181">
        <f t="shared" si="388"/>
        <v>1.1696268656716418</v>
      </c>
      <c r="P180" s="181">
        <f>(P173)/($L$2*100)</f>
        <v>0.89010989010988995</v>
      </c>
      <c r="Q180" s="181">
        <f>(Q173)/($L$2*100)</f>
        <v>1.0397310513447433</v>
      </c>
      <c r="R180" s="118" t="e">
        <f t="shared" si="378"/>
        <v>#DIV/0!</v>
      </c>
      <c r="S180" s="128"/>
      <c r="T180" s="181">
        <f>(T173)/($L$2*100)</f>
        <v>0.70961644254278733</v>
      </c>
      <c r="U180" s="181">
        <f t="shared" ref="U180:AC180" si="389">(U173)/($L$2*100)</f>
        <v>0.72646983305317847</v>
      </c>
      <c r="V180" s="181">
        <f t="shared" si="389"/>
        <v>0.74372349158819151</v>
      </c>
      <c r="W180" s="181">
        <f t="shared" si="389"/>
        <v>0.76138692451341106</v>
      </c>
      <c r="X180" s="181">
        <f t="shared" si="389"/>
        <v>0.7794698639706048</v>
      </c>
      <c r="Y180" s="181">
        <f t="shared" si="389"/>
        <v>0.79798227323990667</v>
      </c>
      <c r="Z180" s="181">
        <f t="shared" si="389"/>
        <v>0.81693435222935451</v>
      </c>
      <c r="AA180" s="181">
        <f t="shared" si="389"/>
        <v>0.83633654309480165</v>
      </c>
      <c r="AB180" s="181">
        <f t="shared" si="389"/>
        <v>0.85619953599330301</v>
      </c>
      <c r="AC180" s="181">
        <f t="shared" si="389"/>
        <v>0.87653427497314396</v>
      </c>
      <c r="AD180" s="138" t="e">
        <f t="shared" si="384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390">G180-1</f>
        <v>-1</v>
      </c>
      <c r="H181" s="152">
        <f t="shared" si="390"/>
        <v>-1</v>
      </c>
      <c r="I181" s="152">
        <f t="shared" si="390"/>
        <v>-1</v>
      </c>
      <c r="J181" s="152">
        <f t="shared" si="390"/>
        <v>-1</v>
      </c>
      <c r="K181" s="152">
        <f t="shared" si="390"/>
        <v>-1</v>
      </c>
      <c r="L181" s="152">
        <f t="shared" si="390"/>
        <v>1.71</v>
      </c>
      <c r="M181" s="152">
        <f t="shared" si="390"/>
        <v>1.249423076923077</v>
      </c>
      <c r="N181" s="152">
        <f t="shared" si="390"/>
        <v>-0.57193939393939397</v>
      </c>
      <c r="O181" s="152">
        <f t="shared" si="390"/>
        <v>0.16962686567164176</v>
      </c>
      <c r="P181" s="152">
        <f t="shared" si="390"/>
        <v>-0.10989010989011005</v>
      </c>
      <c r="Q181" s="152">
        <f>Q180-1</f>
        <v>3.9731051344743307E-2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7" t="s">
        <v>351</v>
      </c>
      <c r="L183" s="208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0.96051381276457048</v>
      </c>
      <c r="Q184" s="128">
        <f>(Q171-T159)/Q171</f>
        <v>0.96751519278030207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1</v>
      </c>
      <c r="N185" s="20"/>
      <c r="O185" s="20"/>
      <c r="P185" s="128">
        <f>(Q171-S150)/Q171</f>
        <v>1</v>
      </c>
      <c r="Q185" s="128">
        <f>(Q171-T150)/Q171</f>
        <v>1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1</v>
      </c>
      <c r="N186" s="20"/>
      <c r="O186" s="20"/>
      <c r="P186" s="128">
        <f>(Q171-S143)/Q171</f>
        <v>1</v>
      </c>
      <c r="Q186" s="128">
        <f>(Q171-T143)/Q171</f>
        <v>1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1</v>
      </c>
      <c r="N187" s="20"/>
      <c r="O187" s="20"/>
      <c r="P187" s="128">
        <f>(Q171-S156)/Q171</f>
        <v>1</v>
      </c>
      <c r="Q187" s="128">
        <f>(Q171-T156)/Q171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4.5641415709562141</v>
      </c>
      <c r="Q189" s="25">
        <f>Q171/T142</f>
        <v>32.754427744509307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0.21909925107570538</v>
      </c>
      <c r="Q190" s="152">
        <f>1/Q189</f>
        <v>3.0530223510549105E-2</v>
      </c>
      <c r="R190" s="20"/>
      <c r="S190" s="20"/>
      <c r="T190" s="129">
        <f>Q171-T191</f>
        <v>55.958048074752192</v>
      </c>
      <c r="U190" s="185">
        <f>T190-U191</f>
        <v>51.713998553241993</v>
      </c>
      <c r="V190" s="185">
        <f t="shared" ref="V190:X190" si="391">U190-V191</f>
        <v>47.257746555656283</v>
      </c>
      <c r="W190" s="185">
        <f t="shared" si="391"/>
        <v>42.578681958191289</v>
      </c>
      <c r="X190" s="185">
        <f t="shared" si="391"/>
        <v>37.665664130853045</v>
      </c>
      <c r="Y190" s="185">
        <f>X190-Y191</f>
        <v>32.506995412147894</v>
      </c>
      <c r="Z190" s="185">
        <f t="shared" ref="Z190:AC190" si="392">Y190-Z191</f>
        <v>27.090393257507483</v>
      </c>
      <c r="AA190" s="185">
        <f t="shared" si="392"/>
        <v>21.40296099513505</v>
      </c>
      <c r="AB190" s="185">
        <f t="shared" si="392"/>
        <v>15.431157119643995</v>
      </c>
      <c r="AC190" s="185">
        <f t="shared" si="392"/>
        <v>9.1607630503783888</v>
      </c>
      <c r="AD190" s="185">
        <f t="shared" ref="AD190" si="393">AC190-AD191</f>
        <v>2.5768492776495009</v>
      </c>
      <c r="AE190" s="185">
        <f t="shared" ref="AE190" si="394">AD190-AE191</f>
        <v>-4.3362601837158321</v>
      </c>
      <c r="AF190" s="185">
        <f t="shared" ref="AF190" si="395">AE190-AF191</f>
        <v>-11.595025118149433</v>
      </c>
      <c r="AG190" s="185">
        <f t="shared" ref="AG190" si="396">AF190-AG191</f>
        <v>-19.216728299304712</v>
      </c>
      <c r="AH190" s="185">
        <f t="shared" ref="AH190" si="397">AG190-AH191</f>
        <v>-27.219516639517757</v>
      </c>
      <c r="AI190" s="185">
        <f t="shared" ref="AI190" si="398">AH190-AI191</f>
        <v>-35.622444396741457</v>
      </c>
      <c r="AJ190" s="185">
        <f t="shared" ref="AJ190" si="399">AI190-AJ191</f>
        <v>-44.445518541826338</v>
      </c>
      <c r="AK190" s="185">
        <f t="shared" ref="AK190" si="400">AJ190-AK191</f>
        <v>-53.709746394165464</v>
      </c>
      <c r="AL190" s="185">
        <f t="shared" ref="AL190" si="401">AK190-AL191</f>
        <v>-63.437185639121552</v>
      </c>
      <c r="AM190" s="185">
        <f t="shared" ref="AM190" si="402">AL190-AM191</f>
        <v>-73.650996846325441</v>
      </c>
      <c r="AN190" s="185">
        <f t="shared" ref="AN190" si="403">AM190-AN191</f>
        <v>-84.375498613889519</v>
      </c>
      <c r="AO190" s="185">
        <f t="shared" ref="AO190" si="404">AN190-AO191</f>
        <v>-95.6362254698318</v>
      </c>
      <c r="AP190" s="185">
        <f t="shared" ref="AP190" si="405">AO190-AP191</f>
        <v>-107.4599886685712</v>
      </c>
      <c r="AQ190" s="185">
        <f t="shared" ref="AQ190" si="406">AP190-AQ191</f>
        <v>-119.87494002724758</v>
      </c>
      <c r="AR190" s="185">
        <f t="shared" ref="AR190" si="407">AQ190-AR191</f>
        <v>-132.91063895385776</v>
      </c>
      <c r="AS190" s="185">
        <f t="shared" ref="AS190" si="408">AR190-AS191</f>
        <v>-146.59812282679846</v>
      </c>
      <c r="AT190" s="185">
        <f t="shared" ref="AT190" si="409">AS190-AT191</f>
        <v>-160.96998089338621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15.586528777463769</v>
      </c>
      <c r="Q191" s="181">
        <f>Q171/R141</f>
        <v>15.586528777463769</v>
      </c>
      <c r="R191" s="20"/>
      <c r="S191" s="20"/>
      <c r="T191" s="186">
        <f>R141*(1+$K$191)</f>
        <v>4.0419519252478056</v>
      </c>
      <c r="U191" s="186">
        <f>T191*(1+$K$191)</f>
        <v>4.2440495215101963</v>
      </c>
      <c r="V191" s="186">
        <f t="shared" ref="V191:AC191" si="410">U191*(1+$K$191)</f>
        <v>4.4562519975857064</v>
      </c>
      <c r="W191" s="186">
        <f t="shared" si="410"/>
        <v>4.6790645974649916</v>
      </c>
      <c r="X191" s="186">
        <f t="shared" si="410"/>
        <v>4.9130178273382414</v>
      </c>
      <c r="Y191" s="186">
        <f t="shared" si="410"/>
        <v>5.1586687187051536</v>
      </c>
      <c r="Z191" s="186">
        <f t="shared" si="410"/>
        <v>5.4166021546404117</v>
      </c>
      <c r="AA191" s="186">
        <f t="shared" si="410"/>
        <v>5.6874322623724325</v>
      </c>
      <c r="AB191" s="186">
        <f t="shared" si="410"/>
        <v>5.9718038754910543</v>
      </c>
      <c r="AC191" s="186">
        <f t="shared" si="410"/>
        <v>6.2703940692656071</v>
      </c>
      <c r="AD191" s="186">
        <f t="shared" ref="AD191" si="411">AC191*(1+$K$191)</f>
        <v>6.5839137727288879</v>
      </c>
      <c r="AE191" s="186">
        <f t="shared" ref="AE191" si="412">AD191*(1+$K$191)</f>
        <v>6.913109461365333</v>
      </c>
      <c r="AF191" s="186">
        <f t="shared" ref="AF191" si="413">AE191*(1+$K$191)</f>
        <v>7.2587649344336</v>
      </c>
      <c r="AG191" s="186">
        <f t="shared" ref="AG191" si="414">AF191*(1+$K$191)</f>
        <v>7.6217031811552802</v>
      </c>
      <c r="AH191" s="186">
        <f t="shared" ref="AH191" si="415">AG191*(1+$K$191)</f>
        <v>8.0027883402130442</v>
      </c>
      <c r="AI191" s="186">
        <f t="shared" ref="AI191" si="416">AH191*(1+$K$191)</f>
        <v>8.4029277572236971</v>
      </c>
      <c r="AJ191" s="186">
        <f t="shared" ref="AJ191" si="417">AI191*(1+$K$191)</f>
        <v>8.8230741450848829</v>
      </c>
      <c r="AK191" s="186">
        <f t="shared" ref="AK191" si="418">AJ191*(1+$K$191)</f>
        <v>9.2642278523391273</v>
      </c>
      <c r="AL191" s="186">
        <f t="shared" ref="AL191" si="419">AK191*(1+$K$191)</f>
        <v>9.7274392449560843</v>
      </c>
      <c r="AM191" s="186">
        <f t="shared" ref="AM191" si="420">AL191*(1+$K$191)</f>
        <v>10.213811207203889</v>
      </c>
      <c r="AN191" s="186">
        <f t="shared" ref="AN191" si="421">AM191*(1+$K$191)</f>
        <v>10.724501767564083</v>
      </c>
      <c r="AO191" s="186">
        <f t="shared" ref="AO191" si="422">AN191*(1+$K$191)</f>
        <v>11.260726855942288</v>
      </c>
      <c r="AP191" s="186">
        <f t="shared" ref="AP191" si="423">AO191*(1+$K$191)</f>
        <v>11.823763198739403</v>
      </c>
      <c r="AQ191" s="186">
        <f t="shared" ref="AQ191" si="424">AP191*(1+$K$191)</f>
        <v>12.414951358676374</v>
      </c>
      <c r="AR191" s="186">
        <f t="shared" ref="AR191" si="425">AQ191*(1+$K$191)</f>
        <v>13.035698926610193</v>
      </c>
      <c r="AS191" s="186">
        <f t="shared" ref="AS191" si="426">AR191*(1+$K$191)</f>
        <v>13.687483872940703</v>
      </c>
      <c r="AT191" s="186">
        <f t="shared" ref="AT191" si="427">AS191*(1+$K$191)</f>
        <v>14.371858066587739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20.794621026894866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20.794621026894866</v>
      </c>
      <c r="Q192" s="181">
        <f>Q171/Q54</f>
        <v>20.794621026894866</v>
      </c>
      <c r="R192" s="20"/>
      <c r="S192" s="20"/>
      <c r="T192" s="186">
        <f>Q54*(1+$K$192)</f>
        <v>3.0296296296296297</v>
      </c>
      <c r="U192" s="186">
        <f>T192*(1+$K$192)</f>
        <v>3.1811111111111114</v>
      </c>
      <c r="V192" s="186">
        <f t="shared" ref="V192:AC192" si="428">U192*(1+$K$192)</f>
        <v>3.3401666666666672</v>
      </c>
      <c r="W192" s="186">
        <f t="shared" si="428"/>
        <v>3.5071750000000006</v>
      </c>
      <c r="X192" s="186">
        <f t="shared" si="428"/>
        <v>3.6825337500000006</v>
      </c>
      <c r="Y192" s="186">
        <f t="shared" si="428"/>
        <v>3.8666604375000007</v>
      </c>
      <c r="Z192" s="186">
        <f t="shared" si="428"/>
        <v>4.0599934593750007</v>
      </c>
      <c r="AA192" s="186">
        <f t="shared" si="428"/>
        <v>4.2629931323437509</v>
      </c>
      <c r="AB192" s="186">
        <f t="shared" si="428"/>
        <v>4.4761427889609386</v>
      </c>
      <c r="AC192" s="186">
        <f t="shared" si="428"/>
        <v>4.6999499284089854</v>
      </c>
      <c r="AD192" s="186">
        <f t="shared" ref="AD192" si="429">AC192*(1+$K$192)</f>
        <v>4.9349474248294349</v>
      </c>
      <c r="AE192" s="186">
        <f t="shared" ref="AE192" si="430">AD192*(1+$K$192)</f>
        <v>5.1816947960709072</v>
      </c>
      <c r="AF192" s="186">
        <f t="shared" ref="AF192" si="431">AE192*(1+$K$192)</f>
        <v>5.4407795358744524</v>
      </c>
      <c r="AG192" s="186">
        <f t="shared" ref="AG192" si="432">AF192*(1+$K$192)</f>
        <v>5.712818512668175</v>
      </c>
      <c r="AH192" s="186">
        <f t="shared" ref="AH192" si="433">AG192*(1+$K$192)</f>
        <v>5.9984594383015839</v>
      </c>
      <c r="AI192" s="186">
        <f t="shared" ref="AI192" si="434">AH192*(1+$K$192)</f>
        <v>6.2983824102166635</v>
      </c>
      <c r="AJ192" s="186">
        <f t="shared" ref="AJ192" si="435">AI192*(1+$K$192)</f>
        <v>6.6133015307274965</v>
      </c>
      <c r="AK192" s="186">
        <f t="shared" ref="AK192" si="436">AJ192*(1+$K$192)</f>
        <v>6.9439666072638717</v>
      </c>
      <c r="AL192" s="186">
        <f t="shared" ref="AL192" si="437">AK192*(1+$K$192)</f>
        <v>7.291164937627066</v>
      </c>
      <c r="AM192" s="186">
        <f t="shared" ref="AM192" si="438">AL192*(1+$K$192)</f>
        <v>7.6557231845084193</v>
      </c>
      <c r="AN192" s="186">
        <f t="shared" ref="AN192" si="439">AM192*(1+$K$192)</f>
        <v>8.0385093437338409</v>
      </c>
      <c r="AO192" s="186">
        <f t="shared" ref="AO192" si="440">AN192*(1+$K$192)</f>
        <v>8.440434810920534</v>
      </c>
      <c r="AP192" s="186">
        <f t="shared" ref="AP192" si="441">AO192*(1+$K$192)</f>
        <v>8.8624565514665612</v>
      </c>
      <c r="AQ192" s="186">
        <f t="shared" ref="AQ192" si="442">AP192*(1+$K$192)</f>
        <v>9.3055793790398891</v>
      </c>
      <c r="AR192" s="186">
        <f t="shared" ref="AR192" si="443">AQ192*(1+$K$192)</f>
        <v>9.7708583479918847</v>
      </c>
      <c r="AS192" s="186">
        <f t="shared" ref="AS192" si="444">AR192*(1+$K$192)</f>
        <v>10.25940126539148</v>
      </c>
      <c r="AT192" s="186">
        <f t="shared" ref="AT192" si="445">AS192*(1+$K$192)</f>
        <v>10.772371328661054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56.970370370370368</v>
      </c>
      <c r="U193" s="185">
        <f>T193-U192</f>
        <v>53.789259259259254</v>
      </c>
      <c r="V193" s="185">
        <f t="shared" ref="V193:AA193" si="446">U193-V192</f>
        <v>50.449092592592585</v>
      </c>
      <c r="W193" s="185">
        <f t="shared" si="446"/>
        <v>46.941917592592581</v>
      </c>
      <c r="X193" s="185">
        <f t="shared" si="446"/>
        <v>43.259383842592584</v>
      </c>
      <c r="Y193" s="185">
        <f t="shared" si="446"/>
        <v>39.392723405092582</v>
      </c>
      <c r="Z193" s="185">
        <f t="shared" si="446"/>
        <v>35.332729945717581</v>
      </c>
      <c r="AA193" s="185">
        <f t="shared" si="446"/>
        <v>31.069736813373829</v>
      </c>
      <c r="AB193" s="185">
        <f>AA193-AB192</f>
        <v>26.593594024412891</v>
      </c>
      <c r="AC193" s="185">
        <f t="shared" ref="AC193" si="447">AB193-AC192</f>
        <v>21.893644096003904</v>
      </c>
      <c r="AD193" s="185">
        <f t="shared" ref="AD193" si="448">AC193-AD192</f>
        <v>16.958696671174469</v>
      </c>
      <c r="AE193" s="185">
        <f t="shared" ref="AE193" si="449">AD193-AE192</f>
        <v>11.777001875103561</v>
      </c>
      <c r="AF193" s="185">
        <f t="shared" ref="AF193" si="450">AE193-AF192</f>
        <v>6.336222339229109</v>
      </c>
      <c r="AG193" s="185">
        <f t="shared" ref="AG193" si="451">AF193-AG192</f>
        <v>0.62340382656093407</v>
      </c>
      <c r="AH193" s="185">
        <f t="shared" ref="AH193" si="452">AG193-AH192</f>
        <v>-5.3750556117406498</v>
      </c>
      <c r="AI193" s="185">
        <f t="shared" ref="AI193" si="453">AH193-AI192</f>
        <v>-11.673438021957313</v>
      </c>
      <c r="AJ193" s="185">
        <f t="shared" ref="AJ193" si="454">AI193-AJ192</f>
        <v>-18.286739552684811</v>
      </c>
      <c r="AK193" s="185">
        <f t="shared" ref="AK193" si="455">AJ193-AK192</f>
        <v>-25.230706159948681</v>
      </c>
      <c r="AL193" s="185">
        <f t="shared" ref="AL193" si="456">AK193-AL192</f>
        <v>-32.521871097575747</v>
      </c>
      <c r="AM193" s="185">
        <f t="shared" ref="AM193" si="457">AL193-AM192</f>
        <v>-40.177594282084165</v>
      </c>
      <c r="AN193" s="185">
        <f t="shared" ref="AN193" si="458">AM193-AN192</f>
        <v>-48.216103625818008</v>
      </c>
      <c r="AO193" s="185">
        <f t="shared" ref="AO193" si="459">AN193-AO192</f>
        <v>-56.656538436738543</v>
      </c>
      <c r="AP193" s="185">
        <f t="shared" ref="AP193" si="460">AO193-AP192</f>
        <v>-65.518994988205108</v>
      </c>
      <c r="AQ193" s="185">
        <f t="shared" ref="AQ193" si="461">AP193-AQ192</f>
        <v>-74.824574367244992</v>
      </c>
      <c r="AR193" s="185">
        <f t="shared" ref="AR193" si="462">AQ193-AR192</f>
        <v>-84.595432715236882</v>
      </c>
      <c r="AS193" s="185">
        <f t="shared" ref="AS193" si="463">AR193-AS192</f>
        <v>-94.854833980628356</v>
      </c>
      <c r="AT193" s="185">
        <f t="shared" ref="AT193" si="464">AS193-AT192</f>
        <v>-105.62720530928941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65">C10/C7</f>
        <v>#DIV/0!</v>
      </c>
      <c r="D195" s="25" t="e">
        <f t="shared" si="465"/>
        <v>#DIV/0!</v>
      </c>
      <c r="E195" s="25" t="e">
        <f t="shared" si="465"/>
        <v>#DIV/0!</v>
      </c>
      <c r="F195" s="25" t="e">
        <f t="shared" si="465"/>
        <v>#DIV/0!</v>
      </c>
      <c r="G195" s="25">
        <f t="shared" si="465"/>
        <v>0.05</v>
      </c>
      <c r="H195" s="25">
        <f t="shared" si="465"/>
        <v>2.7777777777777777</v>
      </c>
      <c r="I195" s="25">
        <f t="shared" si="465"/>
        <v>1.7716535433070866</v>
      </c>
      <c r="J195" s="25">
        <f t="shared" si="465"/>
        <v>1.8488372093023255</v>
      </c>
      <c r="K195" s="25">
        <f t="shared" si="465"/>
        <v>1.4342105263157894</v>
      </c>
      <c r="L195" s="25">
        <f t="shared" si="465"/>
        <v>1</v>
      </c>
      <c r="M195" s="25">
        <f t="shared" si="465"/>
        <v>1</v>
      </c>
      <c r="N195" s="25">
        <f t="shared" si="465"/>
        <v>1</v>
      </c>
      <c r="O195" s="25">
        <f t="shared" si="465"/>
        <v>1.0023310023310024</v>
      </c>
      <c r="P195" s="25">
        <f t="shared" si="465"/>
        <v>0</v>
      </c>
      <c r="Q195" s="25" t="e">
        <f t="shared" ref="Q195" si="466">Q10/Q7</f>
        <v>#DIV/0!</v>
      </c>
      <c r="R195" s="118">
        <f t="shared" ref="R195:R197" si="467">((P195/G195)^(1/($H$2-$H$1) ))-1</f>
        <v>-1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45</v>
      </c>
      <c r="H196" s="112" t="e">
        <f t="shared" ref="H196:P196" si="468">H10/H12</f>
        <v>#DIV/0!</v>
      </c>
      <c r="I196" s="112">
        <f t="shared" si="468"/>
        <v>25.531914893617024</v>
      </c>
      <c r="J196" s="112">
        <f t="shared" si="468"/>
        <v>26.5</v>
      </c>
      <c r="K196" s="112">
        <f t="shared" si="468"/>
        <v>3.7586206896551726</v>
      </c>
      <c r="L196" s="112">
        <f t="shared" si="468"/>
        <v>20.3125</v>
      </c>
      <c r="M196" s="112">
        <f t="shared" si="468"/>
        <v>5.8695652173913047</v>
      </c>
      <c r="N196" s="112">
        <f t="shared" si="468"/>
        <v>3.15625</v>
      </c>
      <c r="O196" s="112">
        <f t="shared" si="468"/>
        <v>3.1617647058823528</v>
      </c>
      <c r="P196" s="112">
        <f t="shared" si="468"/>
        <v>0</v>
      </c>
      <c r="Q196" s="112" t="e">
        <f t="shared" ref="Q196" si="469">Q10/Q12</f>
        <v>#DIV/0!</v>
      </c>
      <c r="R196" s="118">
        <f t="shared" si="467"/>
        <v>-1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0.11221945137157108</v>
      </c>
      <c r="H197" s="25">
        <f t="shared" ref="H197:P197" si="470">H10/(H12+H13)</f>
        <v>6.25</v>
      </c>
      <c r="I197" s="25">
        <f t="shared" si="470"/>
        <v>22.222222222222225</v>
      </c>
      <c r="J197" s="25">
        <f t="shared" si="470"/>
        <v>0.87362637362637363</v>
      </c>
      <c r="K197" s="25">
        <f t="shared" si="470"/>
        <v>0.92897727272727271</v>
      </c>
      <c r="L197" s="25">
        <f t="shared" si="470"/>
        <v>1.3541666666666667</v>
      </c>
      <c r="M197" s="25">
        <f t="shared" si="470"/>
        <v>1.238532110091743</v>
      </c>
      <c r="N197" s="25">
        <f t="shared" si="470"/>
        <v>0.89380530973451322</v>
      </c>
      <c r="O197" s="25">
        <f t="shared" si="470"/>
        <v>1.5925925925925926</v>
      </c>
      <c r="P197" s="25">
        <f t="shared" si="470"/>
        <v>0</v>
      </c>
      <c r="Q197" s="25" t="e">
        <f t="shared" ref="Q197" si="471">Q10/(Q12+Q13)</f>
        <v>#DIV/0!</v>
      </c>
      <c r="R197" s="118">
        <f t="shared" si="467"/>
        <v>-1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4" t="s">
        <v>337</v>
      </c>
      <c r="M200" s="205"/>
      <c r="N200" s="206"/>
      <c r="O200" s="23" t="s">
        <v>340</v>
      </c>
      <c r="P200" s="20"/>
      <c r="Q200" s="137"/>
      <c r="R200" s="204" t="s">
        <v>338</v>
      </c>
      <c r="S200" s="205"/>
      <c r="T200" s="206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7" t="s">
        <v>27</v>
      </c>
      <c r="E213" s="198"/>
      <c r="F213" s="198"/>
      <c r="G213" s="199"/>
      <c r="H213" s="20"/>
      <c r="I213" s="197" t="s">
        <v>393</v>
      </c>
      <c r="J213" s="198"/>
      <c r="K213" s="19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9" t="s">
        <v>27</v>
      </c>
      <c r="K5" s="209"/>
      <c r="M5" s="209" t="s">
        <v>65</v>
      </c>
      <c r="N5" s="20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9" t="s">
        <v>36</v>
      </c>
      <c r="K14" s="209"/>
      <c r="L14" s="20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9" t="s">
        <v>27</v>
      </c>
      <c r="S5" s="20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9" t="s">
        <v>36</v>
      </c>
      <c r="S14" s="209"/>
      <c r="T14" s="20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9" t="s">
        <v>27</v>
      </c>
      <c r="C2" s="209"/>
      <c r="E2" s="209" t="s">
        <v>65</v>
      </c>
      <c r="F2" s="209"/>
      <c r="H2" s="213" t="s">
        <v>36</v>
      </c>
      <c r="I2" s="21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0" t="s">
        <v>68</v>
      </c>
      <c r="E10" s="211"/>
      <c r="F10" s="211"/>
      <c r="G10" s="211"/>
      <c r="H10" s="212"/>
      <c r="I10" s="210" t="s">
        <v>72</v>
      </c>
      <c r="J10" s="211"/>
      <c r="K10" s="211"/>
      <c r="L10" s="21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5" t="s">
        <v>432</v>
      </c>
      <c r="C3" s="216"/>
      <c r="F3" s="215" t="s">
        <v>433</v>
      </c>
      <c r="G3" s="216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2014-08-03T17:20:59Z</dcterms:modified>
</cp:coreProperties>
</file>
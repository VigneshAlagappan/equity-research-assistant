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P28" i="18" l="1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6" i="18"/>
  <c r="O12" i="18"/>
  <c r="N12" i="18"/>
  <c r="M12" i="18"/>
  <c r="L12" i="18"/>
  <c r="K12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G212" i="18" l="1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S42" i="18"/>
  <c r="D199" i="18"/>
  <c r="H199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R42" i="18"/>
  <c r="G213" i="18"/>
  <c r="G214" i="18" s="1"/>
  <c r="G215" i="18" s="1"/>
  <c r="K210" i="18"/>
  <c r="K209" i="18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H202" i="18"/>
  <c r="I202" i="18" s="1"/>
  <c r="J202" i="18" s="1"/>
  <c r="J203" i="18" s="1"/>
  <c r="H200" i="18"/>
  <c r="H198" i="18"/>
  <c r="H197" i="18"/>
  <c r="I197" i="18" s="1"/>
  <c r="J197" i="18" s="1"/>
  <c r="D205" i="18" l="1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8" i="18" l="1"/>
  <c r="Q97" i="18"/>
  <c r="Q100" i="18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G93" i="18"/>
  <c r="G99" i="18" s="1"/>
  <c r="G90" i="18"/>
  <c r="G96" i="18" s="1"/>
  <c r="S29" i="18"/>
  <c r="Q29" i="18"/>
  <c r="L30" i="18"/>
  <c r="K30" i="18"/>
  <c r="J30" i="18"/>
  <c r="I30" i="18"/>
  <c r="H30" i="18"/>
  <c r="G30" i="18"/>
  <c r="Q96" i="18" l="1"/>
  <c r="Q99" i="18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G41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M187" i="18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P186" i="18"/>
  <c r="S186" i="18"/>
  <c r="M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T185" i="18" s="1"/>
  <c r="U185" i="18" s="1"/>
  <c r="V185" i="18" s="1"/>
  <c r="W185" i="18" s="1"/>
  <c r="X185" i="18" s="1"/>
  <c r="Y185" i="18" s="1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Z185" i="18" l="1"/>
  <c r="AA185" i="18" s="1"/>
  <c r="AB185" i="18" s="1"/>
  <c r="AC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85" i="18" l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C94" i="18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R138" i="18" s="1"/>
  <c r="P184" i="18" s="1"/>
  <c r="P185" i="18" s="1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<sst xmlns="http://schemas.openxmlformats.org/spreadsheetml/2006/main" count="619" uniqueCount="429">
  <si>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</si>
  <si>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</si>
  <si>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</si>
  <si>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</si>
  <si>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</si>
  <si>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</si>
  <si>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</si>
  <si>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</si>
  <si>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</si>
  <si>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</si>
  <si>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</si>
  <si>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</si>
  <si>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</si>
  <si>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</si>
  <si>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</si>
  <si>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</si>
  <si>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</si>
  <si>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</si>
  <si>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</si>
  <si>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</si>
  <si>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</si>
  <si>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</si>
  <si>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</si>
  <si>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</si>
  <si>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</si>
  <si>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</si>
  <si>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</si>
  <si>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</si>
  <si>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</si>
  <si>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</si>
  <si>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</si>
  <si>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</si>
  <si>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</si>
  <si>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</si>
  <si>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</si>
  <si>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</si>
  <si>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</si>
  <si>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</si>
  <si>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</si>
  <si>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</si>
  <si>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</si>
  <si>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</si>
  <si>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</si>
  <si>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</si>
  <si>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</si>
  <si>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</si>
  <si>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</si>
  <si>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</si>
  <si>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</si>
  <si>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</si>
  <si>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</si>
  <si>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</si>
  <si>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</si>
  <si>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</si>
  <si>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</si>
  <si>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</si>
  <si>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</si>
  <si>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</si>
  <si>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</si>
  <si>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</si>
  <si>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</si>
  <si>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</si>
  <si>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</si>
  <si>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</si>
  <si>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</si>
  <si>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</si>
  <si>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</si>
  <si>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</si>
  <si>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</si>
  <si>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</si>
  <si>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</si>
  <si>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</si>
  <si>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</si>
  <si>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</si>
  <si>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</si>
  <si>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</si>
  <si>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</si>
  <si>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</si>
  <si>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</si>
  <si>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</si>
  <si>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</si>
  <si>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</si>
  <si>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</si>
  <si>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</si>
  <si>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</si>
  <si>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</si>
  <si>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</si>
  <si>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</si>
  <si>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</si>
  <si>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</si>
  <si>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</si>
  <si>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</si>
  <si>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</si>
  <si>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</si>
  <si>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</si>
  <si>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</si>
  <si>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</si>
  <si>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</si>
  <si>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</si>
  <si>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</si>
  <si>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</si>
  <si>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</si>
  <si>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</si>
  <si>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</si>
  <si>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</si>
  <si>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</si>
  <si>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</si>
  <si>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</si>
  <si>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</si>
  <si>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</si>
  <si>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</si>
  <si>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</si>
  <si>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</si>
  <si>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</si>
  <si>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</si>
  <si>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</si>
  <si>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</si>
  <si>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</si>
  <si>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</si>
  <si>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</si>
  <si>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</si>
  <si>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</si>
  <si>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</si>
  <si>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</si>
  <si>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</si>
  <si>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</si>
  <si>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</si>
  <si>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</si>
  <si>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</si>
  <si>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</si>
  <si>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</si>
  <si>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</si>
  <si>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</si>
  <si>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</si>
  <si>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</si>
  <si>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</si>
  <si>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</si>
  <si>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</si>
  <si>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</si>
  <si>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</si>
  <si>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</si>
  <si>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</si>
  <si>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</si>
  <si>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</si>
  <si>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</si>
  <si>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</si>
  <si>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</si>
  <si>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</si>
  <si>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</si>
  <si>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</si>
  <si>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</si>
  <si>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</si>
  <si>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</si>
  <si>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</si>
  <si>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</si>
  <si>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</si>
  <si>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</si>
  <si>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</si>
  <si>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</si>
  <si>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</si>
  <si>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</si>
  <si>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</si>
  <si>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</si>
  <si>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</si>
  <si>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</si>
  <si>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</si>
  <si>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</si>
  <si>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</si>
  <si>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</si>
  <si>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</si>
  <si>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</si>
  <si>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</si>
  <si>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</si>
  <si>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</si>
  <si>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</si>
  <si>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</si>
  <si>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</si>
  <si>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</si>
  <si>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</si>
  <si>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</si>
  <si>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</si>
  <si>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</si>
  <si>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</si>
  <si>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</si>
  <si>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</si>
  <si>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</si>
  <si>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</si>
  <si>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</si>
  <si>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</si>
  <si>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</si>
  <si>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</si>
  <si>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</si>
  <si>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</si>
  <si>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</si>
  <si>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</si>
  <si>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</si>
  <si>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</si>
  <si>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</si>
  <si>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</si>
  <si>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</si>
  <si>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</si>
  <si>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</si>
  <si>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</si>
  <si>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</si>
  <si>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</si>
  <si>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</si>
  <si>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</si>
  <si>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</si>
  <si>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</si>
  <si>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</si>
  <si>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</si>
  <si>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</si>
  <si>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</si>
  <si>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</si>
  <si>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</si>
  <si>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</si>
  <si>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</si>
  <si>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</si>
  <si>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</si>
  <si>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</si>
  <si>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</si>
  <si>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</si>
  <si>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</si>
  <si>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</si>
  <si>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</si>
  <si>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</si>
  <si>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</si>
  <si>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</si>
  <si>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</si>
  <si>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</si>
  <si>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</si>
  <si>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</si>
  <si>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</si>
  <si>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</si>
  <si>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</si>
  <si>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</si>
  <si>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</si>
  <si>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</si>
  <si>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</si>
  <si>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</si>
  <si>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</si>
  <si>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</si>
  <si>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</si>
  <si>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</si>
  <si>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</si>
  <si>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</si>
  <si>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</si>
  <si>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</si>
  <si>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</si>
  <si>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</si>
  <si>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</si>
  <si>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</si>
  <si>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</si>
  <si>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</si>
  <si>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</si>
  <si>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</si>
  <si>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</si>
  <si>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</si>
  <si>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</si>
  <si>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</si>
  <si>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</si>
  <si>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</si>
  <si>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</si>
  <si>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</si>
  <si>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</si>
  <si>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</si>
  <si>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</si>
  <si>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</si>
  <si>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</si>
  <si>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</si>
  <si>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</si>
  <si>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</si>
  <si>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</si>
  <si>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</si>
  <si>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</si>
  <si>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</si>
  <si>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</si>
  <si>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</si>
  <si>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</si>
  <si>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</si>
  <si>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</si>
  <si>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</si>
  <si>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</si>
  <si>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</si>
  <si>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</si>
  <si>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</si>
  <si>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</si>
  <si>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</si>
  <si>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</si>
  <si>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</si>
  <si>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</si>
  <si>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</si>
  <si>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</si>
  <si>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</si>
  <si>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</si>
  <si>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</si>
  <si>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</si>
  <si>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</si>
  <si>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</si>
  <si>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</si>
  <si>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</si>
  <si>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</si>
  <si>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</si>
  <si>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</si>
  <si>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</si>
  <si>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</si>
  <si>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</si>
  <si>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</si>
  <si>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</si>
  <si>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</si>
  <si>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</si>
  <si>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</si>
  <si>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</si>
  <si>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</si>
  <si>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</si>
  <si>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</si>
  <si>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</si>
  <si>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</si>
  <si>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</si>
  <si>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</si>
  <si>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</si>
  <si>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</si>
  <si>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</si>
  <si>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</si>
  <si>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</si>
  <si>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</si>
  <si>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</si>
  <si>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</si>
  <si>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</si>
  <si>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</si>
  <si>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</si>
  <si>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</si>
  <si>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</si>
  <si>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</si>
  <si>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</si>
  <si>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</si>
  <si>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</si>
  <si>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</si>
  <si>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</si>
  <si>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</si>
  <si>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</si>
  <si>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</si>
  <si>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</si>
  <si>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</si>
  <si>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</si>
  <si>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</si>
  <si>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</si>
  <si>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</si>
  <si>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</si>
  <si>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</si>
  <si>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</si>
  <si>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</si>
  <si>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</si>
  <si>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</si>
  <si>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</si>
  <si>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</si>
  <si>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</si>
  <si>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</si>
  <si>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</si>
  <si>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</si>
  <si>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</si>
  <si>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</si>
  <si>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</si>
  <si>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</si>
  <si>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</si>
  <si>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</si>
  <si>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</si>
  <si>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</si>
  <si>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</si>
  <si>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</si>
  <si>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</si>
  <si>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</si>
  <si>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</si>
  <si>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</si>
  <si>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</si>
  <si>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</si>
  <si>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</si>
  <si>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</si>
  <si>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</si>
  <si>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</si>
  <si>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</si>
  <si>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</si>
  <si>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</si>
  <si>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</si>
  <si>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</si>
  <si>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</si>
  <si>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</si>
  <si>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</si>
  <si>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</si>
  <si>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</si>
  <si>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</si>
  <si>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</si>
  <si>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</si>
  <si>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</si>
  <si>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</si>
  <si>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</si>
  <si>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</si>
  <si>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</si>
  <si>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</si>
  <si>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</si>
  <si>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</si>
  <si>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</si>
  <si>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</si>
  <si>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</si>
  <si>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</si>
  <si>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</si>
  <si>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</si>
  <si>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</si>
  <si>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</si>
  <si>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</si>
  <si>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</si>
  <si>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</si>
  <si>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</si>
  <si>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</si>
  <si>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</si>
  <si>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</si>
  <si>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</si>
  <si>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</si>
  <si>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</si>
  <si>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</si>
  <si>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</si>
  <si>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</si>
  <si>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</si>
  <si>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</si>
  <si>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</si>
  <si>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</si>
  <si>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</si>
  <si>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</si>
  <si>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10x1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</si>
</sst>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0"/>
      <color theme="9" tint="-0.499984740745262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9" fontId="15" fillId="5" borderId="1" xfId="1" applyFont="1" applyFill="1" applyBorder="1"/>
    <xf numFmtId="175" fontId="8" fillId="5" borderId="1" xfId="2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190208"/>
        <c:axId val="94851456"/>
      </c:lineChart>
      <c:catAx>
        <c:axId val="94190208"/>
        <c:scaling>
          <c:orientation val="minMax"/>
        </c:scaling>
        <c:delete val="0"/>
        <c:axPos val="b"/>
        <c:majorTickMark val="out"/>
        <c:minorTickMark val="none"/>
        <c:tickLblPos val="nextTo"/>
        <c:crossAx val="94851456"/>
        <c:crosses val="autoZero"/>
        <c:auto val="1"/>
        <c:lblAlgn val="ctr"/>
        <c:lblOffset val="100"/>
        <c:noMultiLvlLbl val="0"/>
      </c:catAx>
      <c:valAx>
        <c:axId val="94851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419020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C158" activePane="bottomRight" state="frozen"/>
      <selection pane="topRight" activeCell="C1" sqref="C1"/>
      <selection pane="bottomLeft" activeCell="A5" sqref="A5"/>
      <selection pane="bottomRight" activeCell="L167" sqref="L167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2" t="s">
        <v>291</v>
      </c>
      <c r="AE2" s="193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4" t="s">
        <v>292</v>
      </c>
      <c r="AE3" s="195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5</v>
      </c>
      <c r="H6" s="147">
        <v>5</v>
      </c>
      <c r="I6" s="147">
        <v>16.989999999999998</v>
      </c>
      <c r="J6" s="147">
        <v>21</v>
      </c>
      <c r="K6" s="147">
        <v>196</v>
      </c>
      <c r="L6" s="147">
        <v>198</v>
      </c>
      <c r="M6" s="147">
        <v>265</v>
      </c>
      <c r="N6" s="147">
        <v>557</v>
      </c>
      <c r="O6" s="147">
        <v>717</v>
      </c>
      <c r="P6" s="147">
        <v>750.71</v>
      </c>
      <c r="Q6" s="118">
        <f>((P6/G6)^(1/($H$2-$H$1) ))-1</f>
        <v>0.74515327823781918</v>
      </c>
      <c r="R6" s="31">
        <f>$L$2</f>
        <v>0.12</v>
      </c>
      <c r="S6" s="154">
        <f>P6*(1+$R6)</f>
        <v>840.79520000000014</v>
      </c>
      <c r="T6" s="154">
        <f>S6*(1+$R6)</f>
        <v>941.6906240000003</v>
      </c>
      <c r="U6" s="154">
        <f t="shared" ref="U6:AB6" si="0">T6*(1+$R6)</f>
        <v>1054.6934988800003</v>
      </c>
      <c r="V6" s="154">
        <f t="shared" si="0"/>
        <v>1181.2567187456004</v>
      </c>
      <c r="W6" s="154">
        <f t="shared" si="0"/>
        <v>1323.0075249950726</v>
      </c>
      <c r="X6" s="154">
        <f t="shared" si="0"/>
        <v>1481.7684279944815</v>
      </c>
      <c r="Y6" s="154">
        <f t="shared" si="0"/>
        <v>1659.5806393538194</v>
      </c>
      <c r="Z6" s="154">
        <f t="shared" si="0"/>
        <v>1858.7303160762779</v>
      </c>
      <c r="AA6" s="154">
        <f t="shared" si="0"/>
        <v>2081.7779540054312</v>
      </c>
      <c r="AB6" s="154">
        <f t="shared" si="0"/>
        <v>2331.5913084860831</v>
      </c>
      <c r="AC6" s="138">
        <f>((AB6/G6)^(1/($AB$3-$H$1) ))-1</f>
        <v>0.38183748522597916</v>
      </c>
      <c r="AD6" s="31">
        <f>$L$1</f>
        <v>0.05</v>
      </c>
      <c r="AE6" s="146">
        <f t="shared" ref="AE6:AE43" si="1">(AB6*(1+AD6))/($C$1-AD6)</f>
        <v>14401.005140649339</v>
      </c>
    </row>
    <row r="7" spans="2:31" x14ac:dyDescent="0.2">
      <c r="B7" s="20" t="s">
        <v>240</v>
      </c>
      <c r="C7" s="141"/>
      <c r="D7" s="141"/>
      <c r="E7" s="147"/>
      <c r="F7" s="147"/>
      <c r="G7" s="147">
        <v>9</v>
      </c>
      <c r="H7" s="147">
        <v>9</v>
      </c>
      <c r="I7" s="147">
        <v>40.64</v>
      </c>
      <c r="J7" s="147">
        <v>43</v>
      </c>
      <c r="K7" s="147">
        <v>228</v>
      </c>
      <c r="L7" s="147">
        <v>325</v>
      </c>
      <c r="M7" s="147">
        <v>270</v>
      </c>
      <c r="N7" s="147">
        <v>202</v>
      </c>
      <c r="O7" s="147">
        <v>429</v>
      </c>
      <c r="P7" s="147">
        <v>773.2</v>
      </c>
      <c r="Q7" s="118">
        <f>((P7/G7)^(1/($H$2-$H$1) ))-1</f>
        <v>0.64019079657501732</v>
      </c>
      <c r="R7" s="31">
        <f>$L$2</f>
        <v>0.12</v>
      </c>
      <c r="S7" s="154">
        <f t="shared" ref="S7:S16" si="2">P7*(1+$R7)</f>
        <v>865.98400000000015</v>
      </c>
      <c r="T7" s="154">
        <f t="shared" ref="T7:AB7" si="3">S7*(1+$R7)</f>
        <v>969.9020800000003</v>
      </c>
      <c r="U7" s="154">
        <f t="shared" si="3"/>
        <v>1086.2903296000004</v>
      </c>
      <c r="V7" s="154">
        <f t="shared" si="3"/>
        <v>1216.6451691520006</v>
      </c>
      <c r="W7" s="154">
        <f t="shared" si="3"/>
        <v>1362.6425894502408</v>
      </c>
      <c r="X7" s="154">
        <f t="shared" si="3"/>
        <v>1526.1597001842699</v>
      </c>
      <c r="Y7" s="154">
        <f t="shared" si="3"/>
        <v>1709.2988642063824</v>
      </c>
      <c r="Z7" s="154">
        <f t="shared" si="3"/>
        <v>1914.4147279111485</v>
      </c>
      <c r="AA7" s="154">
        <f t="shared" si="3"/>
        <v>2144.1444952604866</v>
      </c>
      <c r="AB7" s="154">
        <f t="shared" si="3"/>
        <v>2401.441834691745</v>
      </c>
      <c r="AC7" s="138">
        <f>((AB7/G7)^(1/($AB$3-$H$1) ))-1</f>
        <v>0.34182627808840316</v>
      </c>
      <c r="AD7" s="31">
        <f>$L$1</f>
        <v>0.05</v>
      </c>
      <c r="AE7" s="146">
        <f t="shared" si="1"/>
        <v>14832.434861331369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</v>
      </c>
      <c r="I8" s="151">
        <f t="shared" ref="I8:P8" si="4">(I7-H7)/I7</f>
        <v>0.77854330708661412</v>
      </c>
      <c r="J8" s="151">
        <f t="shared" si="4"/>
        <v>5.4883720930232548E-2</v>
      </c>
      <c r="K8" s="151">
        <f t="shared" si="4"/>
        <v>0.81140350877192979</v>
      </c>
      <c r="L8" s="151">
        <f t="shared" si="4"/>
        <v>0.29846153846153844</v>
      </c>
      <c r="M8" s="151">
        <f t="shared" si="4"/>
        <v>-0.20370370370370369</v>
      </c>
      <c r="N8" s="151">
        <f t="shared" si="4"/>
        <v>-0.33663366336633666</v>
      </c>
      <c r="O8" s="151">
        <f t="shared" si="4"/>
        <v>0.52913752913752909</v>
      </c>
      <c r="P8" s="151">
        <f t="shared" si="4"/>
        <v>0.44516295913088466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24</v>
      </c>
      <c r="H9" s="147">
        <v>0.08</v>
      </c>
      <c r="I9" s="147">
        <v>4.32</v>
      </c>
      <c r="J9" s="147">
        <v>25</v>
      </c>
      <c r="K9" s="147">
        <v>76.260000000000005</v>
      </c>
      <c r="L9" s="147">
        <v>52</v>
      </c>
      <c r="M9" s="147">
        <v>65</v>
      </c>
      <c r="N9" s="147">
        <v>54</v>
      </c>
      <c r="O9" s="147">
        <v>92</v>
      </c>
      <c r="P9" s="147">
        <v>295.55</v>
      </c>
      <c r="Q9" s="118">
        <f t="shared" ref="Q9:Q16" si="5">((P9/G9)^(1/($H$2-$H$1) ))-1</f>
        <v>0.32177564979477191</v>
      </c>
      <c r="R9" s="31">
        <f t="shared" ref="R9:R42" si="6">$L$2</f>
        <v>0.12</v>
      </c>
      <c r="S9" s="154">
        <f t="shared" ref="S9" si="7">P9*(1+$R9)</f>
        <v>331.01600000000002</v>
      </c>
      <c r="T9" s="154">
        <f t="shared" ref="T9" si="8">S9*(1+$R9)</f>
        <v>370.73792000000003</v>
      </c>
      <c r="U9" s="154">
        <f t="shared" ref="U9" si="9">T9*(1+$R9)</f>
        <v>415.2264704000001</v>
      </c>
      <c r="V9" s="154">
        <f t="shared" ref="V9" si="10">U9*(1+$R9)</f>
        <v>465.05364684800014</v>
      </c>
      <c r="W9" s="154">
        <f t="shared" ref="W9" si="11">V9*(1+$R9)</f>
        <v>520.86008446976018</v>
      </c>
      <c r="X9" s="154">
        <f t="shared" ref="X9" si="12">W9*(1+$R9)</f>
        <v>583.36329460613149</v>
      </c>
      <c r="Y9" s="154">
        <f t="shared" ref="Y9" si="13">X9*(1+$R9)</f>
        <v>653.36688995886732</v>
      </c>
      <c r="Z9" s="154">
        <f t="shared" ref="Z9" si="14">Y9*(1+$R9)</f>
        <v>731.77091675393149</v>
      </c>
      <c r="AA9" s="154">
        <f t="shared" ref="AA9" si="15">Z9*(1+$R9)</f>
        <v>819.58342676440338</v>
      </c>
      <c r="AB9" s="154">
        <f t="shared" ref="AB9" si="16">AA9*(1+$R9)</f>
        <v>917.93343797613193</v>
      </c>
      <c r="AC9" s="138">
        <f>((AB9/G9)^(1/($AB$3-$H$1) ))-1</f>
        <v>0.21141998534875861</v>
      </c>
      <c r="AD9" s="31">
        <f t="shared" ref="AD9:AD79" si="17">$L$1</f>
        <v>0.05</v>
      </c>
      <c r="AE9" s="146">
        <f t="shared" si="1"/>
        <v>5669.5888816172865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0.45</v>
      </c>
      <c r="H10" s="147">
        <v>25</v>
      </c>
      <c r="I10" s="147">
        <v>72</v>
      </c>
      <c r="J10" s="147">
        <v>79.5</v>
      </c>
      <c r="K10" s="147">
        <v>327</v>
      </c>
      <c r="L10" s="147">
        <v>325</v>
      </c>
      <c r="M10" s="147">
        <v>270</v>
      </c>
      <c r="N10" s="147">
        <v>202</v>
      </c>
      <c r="O10" s="147">
        <v>430</v>
      </c>
      <c r="P10" s="147">
        <v>0</v>
      </c>
      <c r="Q10" s="118">
        <f t="shared" si="5"/>
        <v>-1</v>
      </c>
      <c r="R10" s="31">
        <f t="shared" si="6"/>
        <v>0.12</v>
      </c>
      <c r="S10" s="154">
        <f t="shared" si="2"/>
        <v>0</v>
      </c>
      <c r="T10" s="154">
        <f t="shared" ref="T10:AB10" si="18">S10*(1+$R10)</f>
        <v>0</v>
      </c>
      <c r="U10" s="154">
        <f t="shared" si="18"/>
        <v>0</v>
      </c>
      <c r="V10" s="154">
        <f t="shared" si="18"/>
        <v>0</v>
      </c>
      <c r="W10" s="154">
        <f t="shared" si="18"/>
        <v>0</v>
      </c>
      <c r="X10" s="154">
        <f t="shared" si="18"/>
        <v>0</v>
      </c>
      <c r="Y10" s="154">
        <f t="shared" si="18"/>
        <v>0</v>
      </c>
      <c r="Z10" s="154">
        <f t="shared" si="18"/>
        <v>0</v>
      </c>
      <c r="AA10" s="154">
        <f t="shared" si="18"/>
        <v>0</v>
      </c>
      <c r="AB10" s="154">
        <f t="shared" si="18"/>
        <v>0</v>
      </c>
      <c r="AC10" s="138">
        <f t="shared" ref="AC10:AC42" si="19">((AB10/G10)^(1/($AB$3-$H$1) ))-1</f>
        <v>-1</v>
      </c>
      <c r="AD10" s="31">
        <f t="shared" si="17"/>
        <v>0.05</v>
      </c>
      <c r="AE10" s="146">
        <f t="shared" si="1"/>
        <v>0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87">
        <f>(H10-G10)/H10</f>
        <v>0.98199999999999998</v>
      </c>
      <c r="I11" s="187">
        <f t="shared" ref="I11:P11" si="20">(I10-H10)/I10</f>
        <v>0.65277777777777779</v>
      </c>
      <c r="J11" s="187">
        <f t="shared" si="20"/>
        <v>9.4339622641509441E-2</v>
      </c>
      <c r="K11" s="187">
        <f t="shared" si="20"/>
        <v>0.75688073394495414</v>
      </c>
      <c r="L11" s="187">
        <f t="shared" si="20"/>
        <v>-6.1538461538461538E-3</v>
      </c>
      <c r="M11" s="187">
        <f t="shared" si="20"/>
        <v>-0.20370370370370369</v>
      </c>
      <c r="N11" s="187">
        <f t="shared" si="20"/>
        <v>-0.33663366336633666</v>
      </c>
      <c r="O11" s="187">
        <f t="shared" si="20"/>
        <v>0.53023255813953485</v>
      </c>
      <c r="P11" s="187" t="e">
        <f t="shared" si="20"/>
        <v>#DIV/0!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0.01</v>
      </c>
      <c r="H12" s="147">
        <v>0</v>
      </c>
      <c r="I12" s="147">
        <v>2.82</v>
      </c>
      <c r="J12" s="147">
        <v>3</v>
      </c>
      <c r="K12" s="147">
        <f>6+81</f>
        <v>87</v>
      </c>
      <c r="L12" s="147">
        <f>11+5</f>
        <v>16</v>
      </c>
      <c r="M12" s="147">
        <f>23+23</f>
        <v>46</v>
      </c>
      <c r="N12" s="147">
        <f>64</f>
        <v>64</v>
      </c>
      <c r="O12" s="147">
        <f>132+4</f>
        <v>136</v>
      </c>
      <c r="P12" s="147">
        <v>46</v>
      </c>
      <c r="Q12" s="118">
        <f t="shared" si="5"/>
        <v>1.5525431498006461</v>
      </c>
      <c r="R12" s="31">
        <f t="shared" si="6"/>
        <v>0.12</v>
      </c>
      <c r="S12" s="154">
        <f t="shared" si="2"/>
        <v>51.52</v>
      </c>
      <c r="T12" s="154">
        <f t="shared" ref="T12:AB12" si="21">S12*(1+$R12)</f>
        <v>57.702400000000011</v>
      </c>
      <c r="U12" s="154">
        <f t="shared" si="21"/>
        <v>64.626688000000016</v>
      </c>
      <c r="V12" s="154">
        <f t="shared" si="21"/>
        <v>72.381890560000031</v>
      </c>
      <c r="W12" s="154">
        <f t="shared" si="21"/>
        <v>81.067717427200037</v>
      </c>
      <c r="X12" s="154">
        <f t="shared" si="21"/>
        <v>90.795843518464054</v>
      </c>
      <c r="Y12" s="154">
        <f t="shared" si="21"/>
        <v>101.69134474067975</v>
      </c>
      <c r="Z12" s="154">
        <f t="shared" si="21"/>
        <v>113.89430610956133</v>
      </c>
      <c r="AA12" s="154">
        <f t="shared" si="21"/>
        <v>127.5616228427087</v>
      </c>
      <c r="AB12" s="154">
        <f t="shared" si="21"/>
        <v>142.86901758383377</v>
      </c>
      <c r="AC12" s="138">
        <f t="shared" si="19"/>
        <v>0.65455401737536856</v>
      </c>
      <c r="AD12" s="31">
        <f t="shared" si="17"/>
        <v>0.05</v>
      </c>
      <c r="AE12" s="146">
        <f t="shared" si="1"/>
        <v>882.4262850766205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4</v>
      </c>
      <c r="H13" s="147">
        <v>4</v>
      </c>
      <c r="I13" s="147">
        <v>0.42</v>
      </c>
      <c r="J13" s="147">
        <v>88</v>
      </c>
      <c r="K13" s="147">
        <v>265</v>
      </c>
      <c r="L13" s="147">
        <v>224</v>
      </c>
      <c r="M13" s="147">
        <v>172</v>
      </c>
      <c r="N13" s="147">
        <v>162</v>
      </c>
      <c r="O13" s="147">
        <v>134</v>
      </c>
      <c r="P13" s="147">
        <v>114.1</v>
      </c>
      <c r="Q13" s="118">
        <f t="shared" si="5"/>
        <v>0.45108127933679754</v>
      </c>
      <c r="R13" s="31">
        <f t="shared" si="6"/>
        <v>0.12</v>
      </c>
      <c r="S13" s="154">
        <f t="shared" si="2"/>
        <v>127.792</v>
      </c>
      <c r="T13" s="154">
        <f t="shared" ref="T13:AB13" si="22">S13*(1+$R13)</f>
        <v>143.12704000000002</v>
      </c>
      <c r="U13" s="154">
        <f t="shared" si="22"/>
        <v>160.30228480000005</v>
      </c>
      <c r="V13" s="154">
        <f t="shared" si="22"/>
        <v>179.53855897600008</v>
      </c>
      <c r="W13" s="154">
        <f t="shared" si="22"/>
        <v>201.0831860531201</v>
      </c>
      <c r="X13" s="154">
        <f t="shared" si="22"/>
        <v>225.21316837949453</v>
      </c>
      <c r="Y13" s="154">
        <f t="shared" si="22"/>
        <v>252.2387485850339</v>
      </c>
      <c r="Z13" s="154">
        <f t="shared" si="22"/>
        <v>282.50739841523801</v>
      </c>
      <c r="AA13" s="154">
        <f t="shared" si="22"/>
        <v>316.4082862250666</v>
      </c>
      <c r="AB13" s="154">
        <f t="shared" si="22"/>
        <v>354.37728057207465</v>
      </c>
      <c r="AC13" s="138">
        <f t="shared" si="19"/>
        <v>0.26617882500719836</v>
      </c>
      <c r="AD13" s="31">
        <f t="shared" si="17"/>
        <v>0.05</v>
      </c>
      <c r="AE13" s="146">
        <f t="shared" si="1"/>
        <v>2188.8008505922262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v>29</v>
      </c>
      <c r="H14" s="147">
        <v>0.3</v>
      </c>
      <c r="I14" s="147"/>
      <c r="J14" s="147"/>
      <c r="K14" s="147"/>
      <c r="L14" s="147"/>
      <c r="M14" s="147"/>
      <c r="N14" s="147"/>
      <c r="O14" s="147"/>
      <c r="P14" s="147"/>
      <c r="Q14" s="118">
        <f t="shared" ref="Q14" si="23">((P14/G14)^(1/($H$2-$H$1) ))-1</f>
        <v>-1</v>
      </c>
      <c r="R14" s="31">
        <f t="shared" si="6"/>
        <v>0.12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>
        <f t="shared" ref="AC14" si="34">((AB14/G14)^(1/($AB$3-$H$1) ))-1</f>
        <v>-1</v>
      </c>
      <c r="AD14" s="31">
        <f t="shared" si="17"/>
        <v>0.05</v>
      </c>
      <c r="AE14" s="146">
        <f t="shared" ref="AE14" si="35">(AB14*(1+AD14))/($C$1-AD14)</f>
        <v>0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29</v>
      </c>
      <c r="H15" s="147">
        <v>0.3</v>
      </c>
      <c r="I15" s="147">
        <v>107</v>
      </c>
      <c r="J15" s="147">
        <v>46</v>
      </c>
      <c r="K15" s="147">
        <v>359</v>
      </c>
      <c r="L15" s="147">
        <v>328</v>
      </c>
      <c r="M15" s="147">
        <v>374</v>
      </c>
      <c r="N15" s="147">
        <v>509</v>
      </c>
      <c r="O15" s="147">
        <v>742</v>
      </c>
      <c r="P15" s="147">
        <v>489</v>
      </c>
      <c r="Q15" s="118">
        <f t="shared" si="5"/>
        <v>0.36874778388061968</v>
      </c>
      <c r="R15" s="31">
        <f t="shared" si="6"/>
        <v>0.12</v>
      </c>
      <c r="S15" s="154">
        <f t="shared" si="2"/>
        <v>547.68000000000006</v>
      </c>
      <c r="T15" s="154">
        <f t="shared" ref="T15:AB15" si="36">S15*(1+$R15)</f>
        <v>613.40160000000014</v>
      </c>
      <c r="U15" s="154">
        <f t="shared" si="36"/>
        <v>687.00979200000017</v>
      </c>
      <c r="V15" s="154">
        <f t="shared" si="36"/>
        <v>769.45096704000025</v>
      </c>
      <c r="W15" s="154">
        <f t="shared" si="36"/>
        <v>861.78508308480036</v>
      </c>
      <c r="X15" s="154">
        <f t="shared" si="36"/>
        <v>965.19929305497647</v>
      </c>
      <c r="Y15" s="154">
        <f t="shared" si="36"/>
        <v>1081.0232082215737</v>
      </c>
      <c r="Z15" s="154">
        <f t="shared" si="36"/>
        <v>1210.7459932081626</v>
      </c>
      <c r="AA15" s="154">
        <f t="shared" si="36"/>
        <v>1356.0355123931422</v>
      </c>
      <c r="AB15" s="154">
        <f t="shared" si="36"/>
        <v>1518.7597738803195</v>
      </c>
      <c r="AC15" s="138">
        <f t="shared" si="19"/>
        <v>0.23162495041146602</v>
      </c>
      <c r="AD15" s="31">
        <f t="shared" si="17"/>
        <v>0.05</v>
      </c>
      <c r="AE15" s="146">
        <f t="shared" si="1"/>
        <v>9380.5750739666801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5</v>
      </c>
      <c r="H16" s="147">
        <v>0.56999999999999995</v>
      </c>
      <c r="I16" s="147">
        <v>100</v>
      </c>
      <c r="J16" s="147">
        <v>8.36</v>
      </c>
      <c r="K16" s="147">
        <v>259</v>
      </c>
      <c r="L16" s="147">
        <v>272</v>
      </c>
      <c r="M16" s="147">
        <v>299</v>
      </c>
      <c r="N16" s="147">
        <v>442</v>
      </c>
      <c r="O16" s="147">
        <v>608</v>
      </c>
      <c r="P16" s="147">
        <f>P15-P10</f>
        <v>489</v>
      </c>
      <c r="Q16" s="118">
        <f t="shared" si="5"/>
        <v>0.66398252725042184</v>
      </c>
      <c r="R16" s="31">
        <f t="shared" si="6"/>
        <v>0.12</v>
      </c>
      <c r="S16" s="154">
        <f t="shared" si="2"/>
        <v>547.68000000000006</v>
      </c>
      <c r="T16" s="154">
        <f t="shared" ref="T16:AB16" si="37">S16*(1+$R16)</f>
        <v>613.40160000000014</v>
      </c>
      <c r="U16" s="154">
        <f t="shared" si="37"/>
        <v>687.00979200000017</v>
      </c>
      <c r="V16" s="154">
        <f t="shared" si="37"/>
        <v>769.45096704000025</v>
      </c>
      <c r="W16" s="154">
        <f t="shared" si="37"/>
        <v>861.78508308480036</v>
      </c>
      <c r="X16" s="154">
        <f t="shared" si="37"/>
        <v>965.19929305497647</v>
      </c>
      <c r="Y16" s="154">
        <f t="shared" si="37"/>
        <v>1081.0232082215737</v>
      </c>
      <c r="Z16" s="154">
        <f t="shared" si="37"/>
        <v>1210.7459932081626</v>
      </c>
      <c r="AA16" s="154">
        <f t="shared" si="37"/>
        <v>1356.0355123931422</v>
      </c>
      <c r="AB16" s="154">
        <f t="shared" si="37"/>
        <v>1518.7597738803195</v>
      </c>
      <c r="AC16" s="138">
        <f t="shared" si="19"/>
        <v>0.35101104336996825</v>
      </c>
      <c r="AD16" s="31">
        <f t="shared" si="17"/>
        <v>0.05</v>
      </c>
      <c r="AE16" s="146">
        <f t="shared" si="1"/>
        <v>9380.5750739666801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1</v>
      </c>
      <c r="H18" s="147">
        <v>29</v>
      </c>
      <c r="I18" s="147">
        <v>9.4700000000000006</v>
      </c>
      <c r="J18" s="147">
        <v>25</v>
      </c>
      <c r="K18" s="147">
        <v>65</v>
      </c>
      <c r="L18" s="147">
        <v>115</v>
      </c>
      <c r="M18" s="147">
        <v>135</v>
      </c>
      <c r="N18" s="147">
        <v>192</v>
      </c>
      <c r="O18" s="147">
        <v>136</v>
      </c>
      <c r="P18" s="147">
        <v>261.85000000000002</v>
      </c>
      <c r="Q18" s="118">
        <f>((P18/G18)^(1/($H$2-$H$1) ))-1</f>
        <v>0.85640405629237915</v>
      </c>
      <c r="R18" s="31">
        <f t="shared" si="6"/>
        <v>0.12</v>
      </c>
      <c r="S18" s="154">
        <f t="shared" ref="S18:S34" si="38">P18*(1+$R18)</f>
        <v>293.27200000000005</v>
      </c>
      <c r="T18" s="154">
        <f t="shared" ref="T18:T34" si="39">S18*(1+$R18)</f>
        <v>328.46464000000009</v>
      </c>
      <c r="U18" s="154">
        <f t="shared" ref="U18:U34" si="40">T18*(1+$R18)</f>
        <v>367.88039680000014</v>
      </c>
      <c r="V18" s="154">
        <f t="shared" ref="V18:V34" si="41">U18*(1+$R18)</f>
        <v>412.02604441600022</v>
      </c>
      <c r="W18" s="154">
        <f t="shared" ref="W18:W36" si="42">V18*(1+$R18)</f>
        <v>461.46916974592028</v>
      </c>
      <c r="X18" s="154">
        <f t="shared" ref="X18:X36" si="43">W18*(1+$R18)</f>
        <v>516.84547011543077</v>
      </c>
      <c r="Y18" s="154">
        <f t="shared" ref="Y18:Y36" si="44">X18*(1+$R18)</f>
        <v>578.86692652928252</v>
      </c>
      <c r="Z18" s="154">
        <f t="shared" ref="Z18:Z36" si="45">Y18*(1+$R18)</f>
        <v>648.33095771279648</v>
      </c>
      <c r="AA18" s="154">
        <f t="shared" ref="AA18:AA36" si="46">Z18*(1+$R18)</f>
        <v>726.13067263833216</v>
      </c>
      <c r="AB18" s="154">
        <f t="shared" ref="AB18:AB36" si="47">AA18*(1+$R18)</f>
        <v>813.26635335493211</v>
      </c>
      <c r="AC18" s="138">
        <f t="shared" si="19"/>
        <v>0.42288613540295517</v>
      </c>
      <c r="AD18" s="31">
        <f t="shared" si="17"/>
        <v>0.05</v>
      </c>
      <c r="AE18" s="146">
        <f t="shared" si="1"/>
        <v>5023.1157118981109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0.05</v>
      </c>
      <c r="AE20" s="146">
        <f t="shared" si="1"/>
        <v>0</v>
      </c>
    </row>
    <row r="21" spans="2:31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0.05</v>
      </c>
      <c r="AE21" s="146">
        <f t="shared" si="1"/>
        <v>0</v>
      </c>
    </row>
    <row r="22" spans="2:31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0.05</v>
      </c>
      <c r="AE22" s="146">
        <f t="shared" si="1"/>
        <v>0</v>
      </c>
    </row>
    <row r="23" spans="2:31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0.12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0.05</v>
      </c>
      <c r="AE23" s="146">
        <f t="shared" si="1"/>
        <v>0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0</v>
      </c>
      <c r="H25" s="147">
        <v>0.26</v>
      </c>
      <c r="I25" s="147">
        <v>54</v>
      </c>
      <c r="J25" s="147">
        <v>41</v>
      </c>
      <c r="K25" s="147">
        <v>108</v>
      </c>
      <c r="L25" s="147">
        <v>111</v>
      </c>
      <c r="M25" s="147">
        <v>144</v>
      </c>
      <c r="N25" s="147">
        <v>380</v>
      </c>
      <c r="O25" s="147">
        <v>378</v>
      </c>
      <c r="P25" s="147">
        <v>425.4</v>
      </c>
      <c r="Q25" s="118" t="e">
        <f>((P25/G25)^(1/($H$2-$H$1) ))-1</f>
        <v>#DIV/0!</v>
      </c>
      <c r="R25" s="31">
        <f t="shared" si="6"/>
        <v>0.12</v>
      </c>
      <c r="S25" s="154">
        <f t="shared" si="38"/>
        <v>476.44800000000004</v>
      </c>
      <c r="T25" s="154">
        <f t="shared" si="39"/>
        <v>533.62176000000011</v>
      </c>
      <c r="U25" s="154">
        <f t="shared" si="40"/>
        <v>597.65637120000019</v>
      </c>
      <c r="V25" s="154">
        <f t="shared" si="41"/>
        <v>669.37513574400032</v>
      </c>
      <c r="W25" s="154">
        <f t="shared" si="42"/>
        <v>749.70015203328046</v>
      </c>
      <c r="X25" s="154">
        <f t="shared" si="43"/>
        <v>839.66417027727425</v>
      </c>
      <c r="Y25" s="154">
        <f t="shared" si="44"/>
        <v>940.42387071054725</v>
      </c>
      <c r="Z25" s="154">
        <f t="shared" si="45"/>
        <v>1053.274735195813</v>
      </c>
      <c r="AA25" s="154">
        <f t="shared" si="46"/>
        <v>1179.6677034193108</v>
      </c>
      <c r="AB25" s="154">
        <f t="shared" si="47"/>
        <v>1321.2278278296283</v>
      </c>
      <c r="AC25" s="138" t="e">
        <f t="shared" si="19"/>
        <v>#DIV/0!</v>
      </c>
      <c r="AD25" s="31">
        <f t="shared" si="17"/>
        <v>0.05</v>
      </c>
      <c r="AE25" s="146">
        <f t="shared" si="1"/>
        <v>8160.5248189477052</v>
      </c>
    </row>
    <row r="26" spans="2:31" s="123" customFormat="1" x14ac:dyDescent="0.2">
      <c r="B26" s="23"/>
      <c r="C26" s="149"/>
      <c r="D26" s="149"/>
      <c r="E26" s="150"/>
      <c r="F26" s="150"/>
      <c r="G26" s="148" t="e">
        <f>(G25-F25)/G25</f>
        <v>#DIV/0!</v>
      </c>
      <c r="H26" s="148">
        <f>(H25-G25)/H25</f>
        <v>1</v>
      </c>
      <c r="I26" s="148">
        <f t="shared" ref="I26:P26" si="70">(I25-H25)/I25</f>
        <v>0.99518518518518517</v>
      </c>
      <c r="J26" s="148">
        <f t="shared" si="70"/>
        <v>-0.31707317073170732</v>
      </c>
      <c r="K26" s="148">
        <f t="shared" si="70"/>
        <v>0.62037037037037035</v>
      </c>
      <c r="L26" s="148">
        <f t="shared" si="70"/>
        <v>2.7027027027027029E-2</v>
      </c>
      <c r="M26" s="148">
        <f t="shared" si="70"/>
        <v>0.22916666666666666</v>
      </c>
      <c r="N26" s="148">
        <f t="shared" si="70"/>
        <v>0.62105263157894741</v>
      </c>
      <c r="O26" s="148">
        <f t="shared" si="70"/>
        <v>-5.2910052910052907E-3</v>
      </c>
      <c r="P26" s="148">
        <f t="shared" si="70"/>
        <v>0.1114245416078984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0.05</v>
      </c>
      <c r="H27" s="147">
        <v>0.05</v>
      </c>
      <c r="I27" s="147">
        <v>47</v>
      </c>
      <c r="J27" s="147">
        <v>16</v>
      </c>
      <c r="K27" s="147">
        <v>57</v>
      </c>
      <c r="L27" s="147">
        <v>58</v>
      </c>
      <c r="M27" s="147">
        <v>85</v>
      </c>
      <c r="N27" s="147">
        <v>188</v>
      </c>
      <c r="O27" s="147">
        <v>264</v>
      </c>
      <c r="P27" s="147">
        <v>348.69</v>
      </c>
      <c r="Q27" s="118">
        <f>((P27/G27)^(1/($H$2-$H$1) ))-1</f>
        <v>1.673327496557441</v>
      </c>
      <c r="R27" s="31">
        <f t="shared" si="6"/>
        <v>0.12</v>
      </c>
      <c r="S27" s="154">
        <f t="shared" si="38"/>
        <v>390.53280000000001</v>
      </c>
      <c r="T27" s="154">
        <f t="shared" si="39"/>
        <v>437.39673600000003</v>
      </c>
      <c r="U27" s="154">
        <f t="shared" si="40"/>
        <v>489.88434432000008</v>
      </c>
      <c r="V27" s="154">
        <f t="shared" si="41"/>
        <v>548.67046563840017</v>
      </c>
      <c r="W27" s="154">
        <f t="shared" si="42"/>
        <v>614.51092151500825</v>
      </c>
      <c r="X27" s="154">
        <f t="shared" si="43"/>
        <v>688.25223209680928</v>
      </c>
      <c r="Y27" s="154">
        <f t="shared" si="44"/>
        <v>770.84249994842651</v>
      </c>
      <c r="Z27" s="154">
        <f t="shared" si="45"/>
        <v>863.3435999422378</v>
      </c>
      <c r="AA27" s="154">
        <f t="shared" si="46"/>
        <v>966.94483193530641</v>
      </c>
      <c r="AB27" s="154">
        <f t="shared" si="47"/>
        <v>1082.9782117675434</v>
      </c>
      <c r="AC27" s="138">
        <f t="shared" si="19"/>
        <v>0.6911887860820578</v>
      </c>
      <c r="AD27" s="31">
        <f t="shared" si="17"/>
        <v>0.05</v>
      </c>
      <c r="AE27" s="146">
        <f t="shared" si="1"/>
        <v>6688.9830726818864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P28" si="71">(G27-F27)/G27</f>
        <v>1</v>
      </c>
      <c r="H28" s="148">
        <f t="shared" si="71"/>
        <v>0</v>
      </c>
      <c r="I28" s="148">
        <f t="shared" si="71"/>
        <v>0.99893617021276604</v>
      </c>
      <c r="J28" s="148">
        <f t="shared" si="71"/>
        <v>-1.9375</v>
      </c>
      <c r="K28" s="148">
        <f t="shared" si="71"/>
        <v>0.7192982456140351</v>
      </c>
      <c r="L28" s="148">
        <f t="shared" si="71"/>
        <v>1.7241379310344827E-2</v>
      </c>
      <c r="M28" s="148">
        <f t="shared" si="71"/>
        <v>0.31764705882352939</v>
      </c>
      <c r="N28" s="148">
        <f t="shared" si="71"/>
        <v>0.5478723404255319</v>
      </c>
      <c r="O28" s="148">
        <f t="shared" si="71"/>
        <v>0.2878787878787879</v>
      </c>
      <c r="P28" s="148">
        <f t="shared" si="71"/>
        <v>0.24288049556913016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0.01</v>
      </c>
      <c r="H29" s="147">
        <v>0.01</v>
      </c>
      <c r="I29" s="147">
        <v>7.75</v>
      </c>
      <c r="J29" s="147">
        <v>27.32</v>
      </c>
      <c r="K29" s="147">
        <v>41</v>
      </c>
      <c r="L29" s="147"/>
      <c r="M29" s="147"/>
      <c r="N29" s="147"/>
      <c r="O29" s="147"/>
      <c r="P29" s="147"/>
      <c r="Q29" s="118">
        <f>((P29/G29)^(1/($H$2-$H$1) ))-1</f>
        <v>-1</v>
      </c>
      <c r="R29" s="31">
        <f t="shared" si="6"/>
        <v>0.12</v>
      </c>
      <c r="S29" s="154">
        <f t="shared" ref="S29" si="72">P29*(1+$R29)</f>
        <v>0</v>
      </c>
      <c r="T29" s="154">
        <f t="shared" ref="T29" si="73">S29*(1+$R29)</f>
        <v>0</v>
      </c>
      <c r="U29" s="154">
        <f t="shared" ref="U29" si="74">T29*(1+$R29)</f>
        <v>0</v>
      </c>
      <c r="V29" s="154">
        <f t="shared" ref="V29" si="75">U29*(1+$R29)</f>
        <v>0</v>
      </c>
      <c r="W29" s="154">
        <f t="shared" ref="W29" si="76">V29*(1+$R29)</f>
        <v>0</v>
      </c>
      <c r="X29" s="154">
        <f t="shared" ref="X29" si="77">W29*(1+$R29)</f>
        <v>0</v>
      </c>
      <c r="Y29" s="154">
        <f t="shared" ref="Y29" si="78">X29*(1+$R29)</f>
        <v>0</v>
      </c>
      <c r="Z29" s="154">
        <f t="shared" ref="Z29" si="79">Y29*(1+$R29)</f>
        <v>0</v>
      </c>
      <c r="AA29" s="154">
        <f t="shared" ref="AA29" si="80">Z29*(1+$R29)</f>
        <v>0</v>
      </c>
      <c r="AB29" s="154">
        <f t="shared" ref="AB29" si="81">AA29*(1+$R29)</f>
        <v>0</v>
      </c>
      <c r="AC29" s="138">
        <f t="shared" ref="AC29" si="82">((AB29/G29)^(1/($AB$3-$H$1) ))-1</f>
        <v>-1</v>
      </c>
      <c r="AD29" s="31">
        <f t="shared" si="17"/>
        <v>0.05</v>
      </c>
      <c r="AE29" s="146">
        <f t="shared" ref="AE29" si="83">(AB29*(1+AD29))/($C$1-AD29)</f>
        <v>0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84">(G29-F29)/G29</f>
        <v>1</v>
      </c>
      <c r="H30" s="148">
        <f t="shared" si="84"/>
        <v>0</v>
      </c>
      <c r="I30" s="148">
        <f t="shared" si="84"/>
        <v>0.9987096774193549</v>
      </c>
      <c r="J30" s="148">
        <f t="shared" si="84"/>
        <v>0.71632503660322111</v>
      </c>
      <c r="K30" s="148">
        <f t="shared" si="84"/>
        <v>0.33365853658536587</v>
      </c>
      <c r="L30" s="148" t="e">
        <f t="shared" si="84"/>
        <v>#DIV/0!</v>
      </c>
      <c r="M30" s="148" t="e">
        <f t="shared" ref="M30" si="85">(M29-L29)/M29</f>
        <v>#DIV/0!</v>
      </c>
      <c r="N30" s="148" t="e">
        <f t="shared" ref="N30" si="86">(N29-M29)/N29</f>
        <v>#DIV/0!</v>
      </c>
      <c r="O30" s="148" t="e">
        <f t="shared" ref="O30" si="87">(O29-N29)/O29</f>
        <v>#DIV/0!</v>
      </c>
      <c r="P30" s="148" t="e">
        <f t="shared" ref="P30" si="88">(P29-O29)/P29</f>
        <v>#DIV/0!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89">T31*(1+$R31)</f>
        <v>0</v>
      </c>
      <c r="V31" s="154">
        <f t="shared" si="89"/>
        <v>0</v>
      </c>
      <c r="W31" s="154">
        <f t="shared" si="89"/>
        <v>0</v>
      </c>
      <c r="X31" s="154">
        <f t="shared" si="89"/>
        <v>0</v>
      </c>
      <c r="Y31" s="154">
        <f t="shared" si="89"/>
        <v>0</v>
      </c>
      <c r="Z31" s="154">
        <f t="shared" si="89"/>
        <v>0</v>
      </c>
      <c r="AA31" s="154">
        <f t="shared" si="89"/>
        <v>0</v>
      </c>
      <c r="AB31" s="154">
        <f t="shared" si="89"/>
        <v>0</v>
      </c>
      <c r="AC31" s="138" t="e">
        <f t="shared" ref="AC31" si="9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89"/>
        <v>0</v>
      </c>
      <c r="V32" s="154">
        <f t="shared" si="89"/>
        <v>0</v>
      </c>
      <c r="W32" s="154">
        <f t="shared" si="89"/>
        <v>0</v>
      </c>
      <c r="X32" s="154">
        <f t="shared" si="89"/>
        <v>0</v>
      </c>
      <c r="Y32" s="154">
        <f t="shared" si="89"/>
        <v>0</v>
      </c>
      <c r="Z32" s="154">
        <f t="shared" si="89"/>
        <v>0</v>
      </c>
      <c r="AA32" s="154">
        <f t="shared" si="89"/>
        <v>0</v>
      </c>
      <c r="AB32" s="154">
        <f t="shared" si="89"/>
        <v>0</v>
      </c>
      <c r="AC32" s="138" t="e">
        <f t="shared" ref="AC32" si="9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v>0.01</v>
      </c>
      <c r="H33" s="147">
        <v>0.01</v>
      </c>
      <c r="I33" s="147">
        <v>6</v>
      </c>
      <c r="J33" s="147">
        <v>6</v>
      </c>
      <c r="K33" s="147">
        <v>19</v>
      </c>
      <c r="L33" s="147"/>
      <c r="M33" s="147"/>
      <c r="N33" s="147"/>
      <c r="O33" s="147"/>
      <c r="P33" s="147"/>
      <c r="Q33" s="118">
        <f>((P33/G33)^(1/($H$2-$H$1) ))-1</f>
        <v>-1</v>
      </c>
      <c r="R33" s="31">
        <f t="shared" si="6"/>
        <v>0.12</v>
      </c>
      <c r="S33" s="154">
        <f t="shared" si="38"/>
        <v>0</v>
      </c>
      <c r="T33" s="154">
        <f t="shared" si="39"/>
        <v>0</v>
      </c>
      <c r="U33" s="154">
        <f t="shared" si="40"/>
        <v>0</v>
      </c>
      <c r="V33" s="154">
        <f t="shared" si="41"/>
        <v>0</v>
      </c>
      <c r="W33" s="154">
        <f t="shared" si="42"/>
        <v>0</v>
      </c>
      <c r="X33" s="154">
        <f t="shared" si="43"/>
        <v>0</v>
      </c>
      <c r="Y33" s="154">
        <f t="shared" si="44"/>
        <v>0</v>
      </c>
      <c r="Z33" s="154">
        <f t="shared" si="45"/>
        <v>0</v>
      </c>
      <c r="AA33" s="154">
        <f t="shared" si="46"/>
        <v>0</v>
      </c>
      <c r="AB33" s="154">
        <f t="shared" si="47"/>
        <v>0</v>
      </c>
      <c r="AC33" s="138">
        <f t="shared" si="19"/>
        <v>-1</v>
      </c>
      <c r="AD33" s="31">
        <f t="shared" si="17"/>
        <v>0.05</v>
      </c>
      <c r="AE33" s="146">
        <f t="shared" si="1"/>
        <v>0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0.01</v>
      </c>
      <c r="H34" s="147">
        <v>0.01</v>
      </c>
      <c r="I34" s="147">
        <v>2.2400000000000002</v>
      </c>
      <c r="J34" s="147">
        <v>2.73</v>
      </c>
      <c r="K34" s="147">
        <v>3.75</v>
      </c>
      <c r="L34" s="147">
        <v>8</v>
      </c>
      <c r="M34" s="147">
        <v>20</v>
      </c>
      <c r="N34" s="147">
        <v>24</v>
      </c>
      <c r="O34" s="147">
        <v>32</v>
      </c>
      <c r="P34" s="147">
        <v>35.47</v>
      </c>
      <c r="Q34" s="118">
        <f>((P34/G34)^(1/($H$2-$H$1) ))-1</f>
        <v>1.4798706061190523</v>
      </c>
      <c r="R34" s="31">
        <f t="shared" si="6"/>
        <v>0.12</v>
      </c>
      <c r="S34" s="154">
        <f t="shared" si="38"/>
        <v>39.726400000000005</v>
      </c>
      <c r="T34" s="154">
        <f t="shared" si="39"/>
        <v>44.49356800000001</v>
      </c>
      <c r="U34" s="154">
        <f t="shared" si="40"/>
        <v>49.832796160000015</v>
      </c>
      <c r="V34" s="154">
        <f t="shared" si="41"/>
        <v>55.812731699200022</v>
      </c>
      <c r="W34" s="154">
        <f t="shared" si="42"/>
        <v>62.510259503104031</v>
      </c>
      <c r="X34" s="154">
        <f t="shared" si="43"/>
        <v>70.01149064347652</v>
      </c>
      <c r="Y34" s="154">
        <f t="shared" si="44"/>
        <v>78.412869520693704</v>
      </c>
      <c r="Z34" s="154">
        <f t="shared" si="45"/>
        <v>87.822413863176962</v>
      </c>
      <c r="AA34" s="154">
        <f t="shared" si="46"/>
        <v>98.3611035267582</v>
      </c>
      <c r="AB34" s="154">
        <f t="shared" si="47"/>
        <v>110.16443594996919</v>
      </c>
      <c r="AC34" s="138">
        <f t="shared" si="19"/>
        <v>0.63207090193743887</v>
      </c>
      <c r="AD34" s="31">
        <f t="shared" si="17"/>
        <v>0.05</v>
      </c>
      <c r="AE34" s="146">
        <f t="shared" si="1"/>
        <v>680.42739851451563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0.32</v>
      </c>
      <c r="H36" s="147">
        <v>0.32</v>
      </c>
      <c r="I36" s="147">
        <v>-11</v>
      </c>
      <c r="J36" s="147">
        <v>23</v>
      </c>
      <c r="K36" s="147">
        <v>47</v>
      </c>
      <c r="L36" s="147">
        <v>43</v>
      </c>
      <c r="M36" s="147">
        <v>48</v>
      </c>
      <c r="N36" s="147">
        <v>187</v>
      </c>
      <c r="O36" s="147">
        <v>100</v>
      </c>
      <c r="P36" s="147">
        <v>95.23</v>
      </c>
      <c r="Q36" s="118">
        <f>((P36/G36)^(1/($H$2-$H$1) ))-1</f>
        <v>0.88298599352798401</v>
      </c>
      <c r="R36" s="31">
        <f t="shared" si="6"/>
        <v>0.12</v>
      </c>
      <c r="S36" s="154">
        <f t="shared" ref="S36" si="92">P36*(1+$R36)</f>
        <v>106.65760000000002</v>
      </c>
      <c r="T36" s="154">
        <f t="shared" ref="T36" si="93">S36*(1+$R36)</f>
        <v>119.45651200000003</v>
      </c>
      <c r="U36" s="154">
        <f t="shared" ref="U36" si="94">T36*(1+$R36)</f>
        <v>133.79129344000006</v>
      </c>
      <c r="V36" s="154">
        <f t="shared" ref="V36" si="95">U36*(1+$R36)</f>
        <v>149.84624865280009</v>
      </c>
      <c r="W36" s="154">
        <f t="shared" si="42"/>
        <v>167.82779849113612</v>
      </c>
      <c r="X36" s="154">
        <f t="shared" si="43"/>
        <v>187.96713431007248</v>
      </c>
      <c r="Y36" s="154">
        <f t="shared" si="44"/>
        <v>210.52319042728121</v>
      </c>
      <c r="Z36" s="154">
        <f t="shared" si="45"/>
        <v>235.78597327855496</v>
      </c>
      <c r="AA36" s="154">
        <f t="shared" si="46"/>
        <v>264.08029007198161</v>
      </c>
      <c r="AB36" s="154">
        <f t="shared" si="47"/>
        <v>295.76992488061944</v>
      </c>
      <c r="AC36" s="138">
        <f t="shared" si="19"/>
        <v>0.4325010503950304</v>
      </c>
      <c r="AD36" s="31">
        <f t="shared" si="17"/>
        <v>0.05</v>
      </c>
      <c r="AE36" s="146">
        <f t="shared" si="1"/>
        <v>1826.8142419097085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96">(G36-F36)/G36</f>
        <v>1</v>
      </c>
      <c r="H37" s="148">
        <f t="shared" ref="H37" si="97">(H36-G36)/H36</f>
        <v>0</v>
      </c>
      <c r="I37" s="148">
        <f t="shared" ref="I37" si="98">(I36-H36)/I36</f>
        <v>1.0290909090909091</v>
      </c>
      <c r="J37" s="148">
        <f t="shared" ref="J37" si="99">(J36-I36)/J36</f>
        <v>1.4782608695652173</v>
      </c>
      <c r="K37" s="148">
        <f t="shared" ref="K37" si="100">(K36-J36)/K36</f>
        <v>0.51063829787234039</v>
      </c>
      <c r="L37" s="148">
        <f t="shared" ref="L37" si="101">(L36-K36)/L36</f>
        <v>-9.3023255813953487E-2</v>
      </c>
      <c r="M37" s="148">
        <f t="shared" ref="M37" si="102">(M36-L36)/M36</f>
        <v>0.10416666666666667</v>
      </c>
      <c r="N37" s="148">
        <f t="shared" ref="N37" si="103">(N36-M36)/N36</f>
        <v>0.74331550802139035</v>
      </c>
      <c r="O37" s="148">
        <f t="shared" ref="O37" si="104">(O36-N36)/O36</f>
        <v>-0.87</v>
      </c>
      <c r="P37" s="148">
        <f t="shared" ref="P37" si="105">(P36-O36)/P36</f>
        <v>-5.0089257586894843E-2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>
        <v>0.32</v>
      </c>
      <c r="H38" s="147">
        <v>0.21</v>
      </c>
      <c r="I38" s="147"/>
      <c r="J38" s="147"/>
      <c r="K38" s="147"/>
      <c r="L38" s="147"/>
      <c r="M38" s="147"/>
      <c r="N38" s="147"/>
      <c r="O38" s="147"/>
      <c r="P38" s="147"/>
      <c r="Q38" s="118">
        <f>((P38/G38)^(1/($H$2-$H$1) ))-1</f>
        <v>-1</v>
      </c>
      <c r="R38" s="31">
        <f t="shared" si="6"/>
        <v>0.12</v>
      </c>
      <c r="S38" s="154">
        <f t="shared" ref="S38" si="106">P38*(1+$R38)</f>
        <v>0</v>
      </c>
      <c r="T38" s="154">
        <f t="shared" ref="T38" si="107">S38*(1+$R38)</f>
        <v>0</v>
      </c>
      <c r="U38" s="154">
        <f t="shared" ref="U38" si="108">T38*(1+$R38)</f>
        <v>0</v>
      </c>
      <c r="V38" s="154">
        <f t="shared" ref="V38" si="109">U38*(1+$R38)</f>
        <v>0</v>
      </c>
      <c r="W38" s="154">
        <f t="shared" ref="W38" si="110">V38*(1+$R38)</f>
        <v>0</v>
      </c>
      <c r="X38" s="154">
        <f t="shared" ref="X38" si="111">W38*(1+$R38)</f>
        <v>0</v>
      </c>
      <c r="Y38" s="154">
        <f t="shared" ref="Y38" si="112">X38*(1+$R38)</f>
        <v>0</v>
      </c>
      <c r="Z38" s="154">
        <f t="shared" ref="Z38" si="113">Y38*(1+$R38)</f>
        <v>0</v>
      </c>
      <c r="AA38" s="154">
        <f t="shared" ref="AA38" si="114">Z38*(1+$R38)</f>
        <v>0</v>
      </c>
      <c r="AB38" s="154">
        <f t="shared" ref="AB38" si="115">AA38*(1+$R38)</f>
        <v>0</v>
      </c>
      <c r="AC38" s="138">
        <f t="shared" ref="AC38" si="116">((AB38/G38)^(1/($AB$3-$H$1) ))-1</f>
        <v>-1</v>
      </c>
      <c r="AD38" s="31">
        <f t="shared" si="17"/>
        <v>0.05</v>
      </c>
      <c r="AE38" s="146">
        <f t="shared" ref="AE38" si="117">(AB38*(1+AD38))/($C$1-AD38)</f>
        <v>0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-0.52380952380952395</v>
      </c>
      <c r="I39" s="148" t="e">
        <f t="shared" ref="I39" si="120">(I38-H38)/I38</f>
        <v>#DIV/0!</v>
      </c>
      <c r="J39" s="148" t="e">
        <f t="shared" ref="J39" si="121">(J38-I38)/J38</f>
        <v>#DIV/0!</v>
      </c>
      <c r="K39" s="148" t="e">
        <f t="shared" ref="K39" si="122">(K38-J38)/K38</f>
        <v>#DIV/0!</v>
      </c>
      <c r="L39" s="148" t="e">
        <f t="shared" ref="L39" si="123">(L38-K38)/L38</f>
        <v>#DIV/0!</v>
      </c>
      <c r="M39" s="148" t="e">
        <f t="shared" ref="M39" si="124">(M38-L38)/M38</f>
        <v>#DIV/0!</v>
      </c>
      <c r="N39" s="148" t="e">
        <f t="shared" ref="N39" si="125">(N38-M38)/N38</f>
        <v>#DIV/0!</v>
      </c>
      <c r="O39" s="148" t="e">
        <f t="shared" ref="O39" si="126">(O38-N38)/O38</f>
        <v>#DIV/0!</v>
      </c>
      <c r="P39" s="148" t="e">
        <f t="shared" ref="P39" si="127">(P38-O38)/P38</f>
        <v>#DIV/0!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>
        <v>0.28000000000000003</v>
      </c>
      <c r="H40" s="147">
        <v>0.09</v>
      </c>
      <c r="I40" s="147">
        <v>3</v>
      </c>
      <c r="J40" s="147">
        <v>20</v>
      </c>
      <c r="K40" s="147">
        <v>23</v>
      </c>
      <c r="L40" s="147">
        <v>10</v>
      </c>
      <c r="M40" s="147">
        <v>13</v>
      </c>
      <c r="N40" s="147">
        <v>165</v>
      </c>
      <c r="O40" s="147">
        <v>67</v>
      </c>
      <c r="P40" s="147">
        <v>50.96</v>
      </c>
      <c r="Q40" s="118">
        <f>((P40/G40)^(1/($H$2-$H$1) ))-1</f>
        <v>0.78286739671276351</v>
      </c>
      <c r="R40" s="31">
        <f t="shared" si="6"/>
        <v>0.12</v>
      </c>
      <c r="S40" s="154">
        <f>P40*(1+$R40)</f>
        <v>57.075200000000009</v>
      </c>
      <c r="T40" s="154">
        <f t="shared" ref="T40:AB40" si="128">S40*(1+$R40)</f>
        <v>63.924224000000017</v>
      </c>
      <c r="U40" s="154">
        <f t="shared" si="128"/>
        <v>71.595130880000028</v>
      </c>
      <c r="V40" s="154">
        <f t="shared" si="128"/>
        <v>80.186546585600041</v>
      </c>
      <c r="W40" s="154">
        <f t="shared" si="128"/>
        <v>89.808932175872059</v>
      </c>
      <c r="X40" s="154">
        <f t="shared" si="128"/>
        <v>100.58600403697672</v>
      </c>
      <c r="Y40" s="154">
        <f t="shared" si="128"/>
        <v>112.65632452141394</v>
      </c>
      <c r="Z40" s="154">
        <f t="shared" si="128"/>
        <v>126.17508346398363</v>
      </c>
      <c r="AA40" s="154">
        <f t="shared" si="128"/>
        <v>141.31609347966167</v>
      </c>
      <c r="AB40" s="154">
        <f t="shared" si="128"/>
        <v>158.27402469722108</v>
      </c>
      <c r="AC40" s="138">
        <f t="shared" si="19"/>
        <v>0.39590334560543283</v>
      </c>
      <c r="AD40" s="31">
        <f t="shared" si="17"/>
        <v>0.05</v>
      </c>
      <c r="AE40" s="146">
        <f t="shared" si="1"/>
        <v>977.57485842401275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29">(H40-G40)/H40</f>
        <v>-2.1111111111111116</v>
      </c>
      <c r="I41" s="148">
        <f t="shared" si="129"/>
        <v>0.97000000000000008</v>
      </c>
      <c r="J41" s="148">
        <f t="shared" si="129"/>
        <v>0.85</v>
      </c>
      <c r="K41" s="148">
        <f t="shared" si="129"/>
        <v>0.13043478260869565</v>
      </c>
      <c r="L41" s="148">
        <f t="shared" si="129"/>
        <v>-1.3</v>
      </c>
      <c r="M41" s="148">
        <f t="shared" si="129"/>
        <v>0.23076923076923078</v>
      </c>
      <c r="N41" s="148">
        <f t="shared" si="129"/>
        <v>0.92121212121212126</v>
      </c>
      <c r="O41" s="148">
        <f t="shared" si="129"/>
        <v>-1.4626865671641791</v>
      </c>
      <c r="P41" s="148">
        <f t="shared" si="129"/>
        <v>-0.31475667189952899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147">
        <v>0.4</v>
      </c>
      <c r="H42" s="147">
        <v>0.4</v>
      </c>
      <c r="I42" s="147">
        <v>1.05</v>
      </c>
      <c r="J42" s="147">
        <v>1.05</v>
      </c>
      <c r="K42" s="147">
        <v>13.55</v>
      </c>
      <c r="L42" s="147">
        <v>13.55</v>
      </c>
      <c r="M42" s="147">
        <v>16.71</v>
      </c>
      <c r="N42" s="147">
        <v>20.18</v>
      </c>
      <c r="O42" s="147">
        <v>22.39</v>
      </c>
      <c r="P42" s="147">
        <v>22.68</v>
      </c>
      <c r="Q42" s="118">
        <f>((P42/G42)^(1/($H$2-$H$1) ))-1</f>
        <v>0.56618320359071705</v>
      </c>
      <c r="R42" s="31">
        <f t="shared" si="6"/>
        <v>0.12</v>
      </c>
      <c r="S42" s="154">
        <f>P42*(1.5)</f>
        <v>34.019999999999996</v>
      </c>
      <c r="T42" s="154">
        <f t="shared" ref="T42:AB42" si="130">S42*(1+$R42)</f>
        <v>38.102399999999996</v>
      </c>
      <c r="U42" s="154">
        <f t="shared" si="130"/>
        <v>42.674687999999996</v>
      </c>
      <c r="V42" s="154">
        <f t="shared" si="130"/>
        <v>47.795650559999999</v>
      </c>
      <c r="W42" s="154">
        <f t="shared" si="130"/>
        <v>53.531128627200005</v>
      </c>
      <c r="X42" s="154">
        <f t="shared" si="130"/>
        <v>59.954864062464011</v>
      </c>
      <c r="Y42" s="154">
        <f t="shared" si="130"/>
        <v>67.149447749959705</v>
      </c>
      <c r="Z42" s="154">
        <f t="shared" si="130"/>
        <v>75.207381479954876</v>
      </c>
      <c r="AA42" s="154">
        <f t="shared" si="130"/>
        <v>84.232267257549466</v>
      </c>
      <c r="AB42" s="154">
        <f t="shared" si="130"/>
        <v>94.340139328455408</v>
      </c>
      <c r="AC42" s="138">
        <f t="shared" si="19"/>
        <v>0.33313953057888646</v>
      </c>
      <c r="AD42" s="31">
        <f t="shared" si="17"/>
        <v>0.05</v>
      </c>
      <c r="AE42" s="146">
        <f t="shared" si="1"/>
        <v>582.68909585222468</v>
      </c>
    </row>
    <row r="43" spans="2:31" x14ac:dyDescent="0.2">
      <c r="B43" s="20" t="s">
        <v>282</v>
      </c>
      <c r="C43" s="145"/>
      <c r="D43" s="145"/>
      <c r="E43" s="145"/>
      <c r="F43" s="147"/>
      <c r="G43" s="147">
        <v>0.01</v>
      </c>
      <c r="H43" s="147">
        <v>0.01</v>
      </c>
      <c r="I43" s="147">
        <v>0.01</v>
      </c>
      <c r="J43" s="147">
        <v>5</v>
      </c>
      <c r="K43" s="147">
        <v>0.4</v>
      </c>
      <c r="L43" s="147">
        <v>0.2</v>
      </c>
      <c r="M43" s="147">
        <v>0.25</v>
      </c>
      <c r="N43" s="147">
        <v>0.3</v>
      </c>
      <c r="O43" s="147">
        <v>0.35</v>
      </c>
      <c r="P43" s="147">
        <v>0.25</v>
      </c>
      <c r="Q43" s="118">
        <f>((P43/G43)^(1/($H$2-$H$1) ))-1</f>
        <v>0.42996914830872868</v>
      </c>
      <c r="R43" s="31">
        <v>0.05</v>
      </c>
      <c r="S43" s="154">
        <f t="shared" ref="S43" si="131">P43*(1+$R43)</f>
        <v>0.26250000000000001</v>
      </c>
      <c r="T43" s="154">
        <f t="shared" ref="T43" si="132">S43*(1+$R43)</f>
        <v>0.27562500000000001</v>
      </c>
      <c r="U43" s="154">
        <f t="shared" ref="U43" si="133">T43*(1+$R43)</f>
        <v>0.28940625000000003</v>
      </c>
      <c r="V43" s="154">
        <f t="shared" ref="V43" si="134">U43*(1+$R43)</f>
        <v>0.30387656250000006</v>
      </c>
      <c r="W43" s="154">
        <f t="shared" ref="W43" si="135">V43*(1+$R43)</f>
        <v>0.31907039062500009</v>
      </c>
      <c r="X43" s="154">
        <f t="shared" ref="X43" si="136">W43*(1+$R43)</f>
        <v>0.3350239101562501</v>
      </c>
      <c r="Y43" s="154">
        <f t="shared" ref="Y43" si="137">X43*(1+$R43)</f>
        <v>0.35177510566406262</v>
      </c>
      <c r="Z43" s="154">
        <f t="shared" ref="Z43" si="138">Y43*(1+$R43)</f>
        <v>0.36936386094726575</v>
      </c>
      <c r="AA43" s="154">
        <f t="shared" ref="AA43" si="139">Z43*(1+$R43)</f>
        <v>0.38783205399462906</v>
      </c>
      <c r="AB43" s="154">
        <f t="shared" ref="AB43" si="140">AA43*(1+$R43)</f>
        <v>0.4072236566943605</v>
      </c>
      <c r="AC43" s="138">
        <f t="shared" ref="AC43" si="141">((AB43/G43)^(1/($AB$3-$H$1) ))-1</f>
        <v>0.2154246852101418</v>
      </c>
      <c r="AD43" s="31">
        <f t="shared" si="17"/>
        <v>0.05</v>
      </c>
      <c r="AE43" s="146">
        <f t="shared" si="1"/>
        <v>2.5152049384063448</v>
      </c>
    </row>
    <row r="44" spans="2:31" x14ac:dyDescent="0.2">
      <c r="B44" s="20" t="s">
        <v>427</v>
      </c>
      <c r="C44" s="20"/>
      <c r="D44" s="20"/>
      <c r="E44" s="127"/>
      <c r="F44" s="127"/>
      <c r="G44" s="147">
        <v>0</v>
      </c>
      <c r="H44" s="147">
        <v>0</v>
      </c>
      <c r="I44" s="147">
        <v>0</v>
      </c>
      <c r="J44" s="147">
        <v>0</v>
      </c>
      <c r="K44" s="188" t="s">
        <v>428</v>
      </c>
      <c r="L44" s="147">
        <v>0</v>
      </c>
      <c r="M44" s="147">
        <v>0</v>
      </c>
      <c r="N44" s="147">
        <v>0</v>
      </c>
      <c r="O44" s="147">
        <v>0</v>
      </c>
      <c r="P44" s="147">
        <v>0</v>
      </c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425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426</v>
      </c>
      <c r="C46" s="20"/>
      <c r="D46" s="20"/>
      <c r="E46" s="127"/>
      <c r="F46" s="12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42">C25/C42</f>
        <v>0</v>
      </c>
      <c r="D49" s="133">
        <f t="shared" si="142"/>
        <v>0</v>
      </c>
      <c r="E49" s="133">
        <f t="shared" si="142"/>
        <v>0</v>
      </c>
      <c r="F49" s="133">
        <f t="shared" si="142"/>
        <v>0</v>
      </c>
      <c r="G49" s="133">
        <f t="shared" si="142"/>
        <v>0</v>
      </c>
      <c r="H49" s="133">
        <f t="shared" si="142"/>
        <v>0.65</v>
      </c>
      <c r="I49" s="133">
        <f t="shared" si="142"/>
        <v>51.428571428571423</v>
      </c>
      <c r="J49" s="133">
        <f t="shared" si="142"/>
        <v>39.047619047619044</v>
      </c>
      <c r="K49" s="133">
        <f t="shared" si="142"/>
        <v>7.9704797047970475</v>
      </c>
      <c r="L49" s="133">
        <f t="shared" si="142"/>
        <v>8.1918819188191883</v>
      </c>
      <c r="M49" s="133">
        <f t="shared" si="142"/>
        <v>8.6175942549371634</v>
      </c>
      <c r="N49" s="133">
        <f t="shared" si="142"/>
        <v>18.830525272547078</v>
      </c>
      <c r="O49" s="133">
        <f t="shared" si="142"/>
        <v>16.882536846806609</v>
      </c>
      <c r="P49" s="133">
        <f t="shared" si="142"/>
        <v>18.756613756613756</v>
      </c>
      <c r="Q49" s="118" t="e">
        <f>((P49/G49)^(1/($H$2-$H$1) ))-1</f>
        <v>#DIV/0!</v>
      </c>
      <c r="R49" s="128"/>
      <c r="S49" s="158">
        <f t="shared" ref="S49:AB49" si="143">S25/S42</f>
        <v>14.00493827160494</v>
      </c>
      <c r="T49" s="158">
        <f t="shared" si="143"/>
        <v>14.004938271604942</v>
      </c>
      <c r="U49" s="158">
        <f t="shared" si="143"/>
        <v>14.004938271604944</v>
      </c>
      <c r="V49" s="158">
        <f t="shared" si="143"/>
        <v>14.004938271604946</v>
      </c>
      <c r="W49" s="158">
        <f t="shared" si="143"/>
        <v>14.004938271604946</v>
      </c>
      <c r="X49" s="158">
        <f t="shared" si="143"/>
        <v>14.004938271604946</v>
      </c>
      <c r="Y49" s="158">
        <f t="shared" si="143"/>
        <v>14.004938271604946</v>
      </c>
      <c r="Z49" s="158">
        <f t="shared" si="143"/>
        <v>14.004938271604946</v>
      </c>
      <c r="AA49" s="158">
        <f t="shared" si="143"/>
        <v>14.004938271604948</v>
      </c>
      <c r="AB49" s="158">
        <f t="shared" si="143"/>
        <v>14.004938271604948</v>
      </c>
      <c r="AC49" s="138" t="e">
        <f t="shared" ref="AC49" si="144">((AB49/G49)^(1/($AB$3-$H$1) ))-1</f>
        <v>#DIV/0!</v>
      </c>
      <c r="AD49" s="31">
        <f t="shared" si="17"/>
        <v>0.05</v>
      </c>
      <c r="AE49" s="146">
        <f t="shared" ref="AE49:AE50" si="145">(AB49*(1+AD49))/($C$1-AD49)</f>
        <v>86.501089324618803</v>
      </c>
    </row>
    <row r="50" spans="2:31" x14ac:dyDescent="0.2">
      <c r="B50" s="20" t="s">
        <v>304</v>
      </c>
      <c r="C50" s="133">
        <f t="shared" ref="C50:P50" si="146">C27/C42</f>
        <v>0</v>
      </c>
      <c r="D50" s="133">
        <f t="shared" si="146"/>
        <v>0</v>
      </c>
      <c r="E50" s="133">
        <f t="shared" si="146"/>
        <v>0</v>
      </c>
      <c r="F50" s="133">
        <f t="shared" si="146"/>
        <v>0</v>
      </c>
      <c r="G50" s="133">
        <f t="shared" si="146"/>
        <v>0.125</v>
      </c>
      <c r="H50" s="133">
        <f t="shared" si="146"/>
        <v>0.125</v>
      </c>
      <c r="I50" s="133">
        <f t="shared" si="146"/>
        <v>44.761904761904759</v>
      </c>
      <c r="J50" s="133">
        <f t="shared" si="146"/>
        <v>15.238095238095237</v>
      </c>
      <c r="K50" s="133">
        <f t="shared" si="146"/>
        <v>4.2066420664206641</v>
      </c>
      <c r="L50" s="133">
        <f t="shared" si="146"/>
        <v>4.280442804428044</v>
      </c>
      <c r="M50" s="133">
        <f t="shared" si="146"/>
        <v>5.0867743865948531</v>
      </c>
      <c r="N50" s="133">
        <f t="shared" si="146"/>
        <v>9.3161546085232914</v>
      </c>
      <c r="O50" s="133">
        <f t="shared" si="146"/>
        <v>11.790978115230013</v>
      </c>
      <c r="P50" s="133">
        <f t="shared" si="146"/>
        <v>15.374338624338625</v>
      </c>
      <c r="Q50" s="118">
        <f>((P50/G50)^(1/($H$2-$H$1) ))-1</f>
        <v>0.7069059931356847</v>
      </c>
      <c r="R50" s="128"/>
      <c r="S50" s="158">
        <f t="shared" ref="S50:AB50" si="147">S27/S42</f>
        <v>11.479506172839507</v>
      </c>
      <c r="T50" s="158">
        <f t="shared" si="147"/>
        <v>11.479506172839509</v>
      </c>
      <c r="U50" s="158">
        <f t="shared" si="147"/>
        <v>11.479506172839509</v>
      </c>
      <c r="V50" s="158">
        <f t="shared" si="147"/>
        <v>11.47950617283951</v>
      </c>
      <c r="W50" s="158">
        <f t="shared" si="147"/>
        <v>11.47950617283951</v>
      </c>
      <c r="X50" s="158">
        <f t="shared" si="147"/>
        <v>11.479506172839509</v>
      </c>
      <c r="Y50" s="158">
        <f t="shared" si="147"/>
        <v>11.479506172839509</v>
      </c>
      <c r="Z50" s="158">
        <f t="shared" si="147"/>
        <v>11.479506172839509</v>
      </c>
      <c r="AA50" s="158">
        <f t="shared" si="147"/>
        <v>11.47950617283951</v>
      </c>
      <c r="AB50" s="158">
        <f t="shared" si="147"/>
        <v>11.47950617283951</v>
      </c>
      <c r="AC50" s="138">
        <f t="shared" ref="AC50" si="148">((AB50/G50)^(1/($AB$3-$H$1) ))-1</f>
        <v>0.26857597970086156</v>
      </c>
      <c r="AD50" s="31">
        <f t="shared" si="17"/>
        <v>0.05</v>
      </c>
      <c r="AE50" s="146">
        <f t="shared" si="145"/>
        <v>70.902832244008749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49">C40/C42</f>
        <v>0</v>
      </c>
      <c r="D52" s="25">
        <f t="shared" si="149"/>
        <v>0</v>
      </c>
      <c r="E52" s="25">
        <f t="shared" si="149"/>
        <v>0</v>
      </c>
      <c r="F52" s="133">
        <f t="shared" si="149"/>
        <v>0</v>
      </c>
      <c r="G52" s="133">
        <f t="shared" si="149"/>
        <v>0.70000000000000007</v>
      </c>
      <c r="H52" s="133">
        <f t="shared" si="149"/>
        <v>0.22499999999999998</v>
      </c>
      <c r="I52" s="133">
        <f t="shared" si="149"/>
        <v>2.8571428571428572</v>
      </c>
      <c r="J52" s="133">
        <f t="shared" si="149"/>
        <v>19.047619047619047</v>
      </c>
      <c r="K52" s="133">
        <f t="shared" si="149"/>
        <v>1.6974169741697416</v>
      </c>
      <c r="L52" s="133">
        <f t="shared" si="149"/>
        <v>0.73800738007380073</v>
      </c>
      <c r="M52" s="133">
        <f t="shared" si="149"/>
        <v>0.77797725912627169</v>
      </c>
      <c r="N52" s="133">
        <f t="shared" si="149"/>
        <v>8.1764122893954418</v>
      </c>
      <c r="O52" s="133">
        <f t="shared" si="149"/>
        <v>2.9924073246985259</v>
      </c>
      <c r="P52" s="133">
        <f t="shared" si="149"/>
        <v>2.2469135802469138</v>
      </c>
      <c r="Q52" s="118">
        <f>((P52/G52)^(1/($H$2-$H$1) ))-1</f>
        <v>0.13835175388502741</v>
      </c>
      <c r="R52" s="128"/>
      <c r="S52" s="158">
        <f t="shared" ref="S52:AB52" si="150">S40/S42</f>
        <v>1.6776954732510292</v>
      </c>
      <c r="T52" s="158">
        <f t="shared" si="150"/>
        <v>1.6776954732510294</v>
      </c>
      <c r="U52" s="158">
        <f t="shared" si="150"/>
        <v>1.6776954732510296</v>
      </c>
      <c r="V52" s="158">
        <f t="shared" si="150"/>
        <v>1.6776954732510296</v>
      </c>
      <c r="W52" s="158">
        <f t="shared" si="150"/>
        <v>1.6776954732510299</v>
      </c>
      <c r="X52" s="158">
        <f t="shared" si="150"/>
        <v>1.6776954732510299</v>
      </c>
      <c r="Y52" s="158">
        <f t="shared" si="150"/>
        <v>1.6776954732510296</v>
      </c>
      <c r="Z52" s="158">
        <f t="shared" si="150"/>
        <v>1.6776954732510299</v>
      </c>
      <c r="AA52" s="158">
        <f t="shared" si="150"/>
        <v>1.6776954732510299</v>
      </c>
      <c r="AB52" s="158">
        <f t="shared" si="150"/>
        <v>1.6776954732510299</v>
      </c>
      <c r="AC52" s="138">
        <f t="shared" ref="AC52:AC66" si="151">((AB52/G52)^(1/($AB$3-$H$1) ))-1</f>
        <v>4.7079704402203548E-2</v>
      </c>
      <c r="AD52" s="31">
        <f t="shared" si="17"/>
        <v>0.05</v>
      </c>
      <c r="AE52" s="146">
        <f t="shared" ref="AE52:AE80" si="152">(AB52*(1+AD52))/($C$1-AD52)</f>
        <v>10.362236746550481</v>
      </c>
    </row>
    <row r="53" spans="2:31" x14ac:dyDescent="0.2">
      <c r="B53" s="20" t="s">
        <v>388</v>
      </c>
      <c r="C53" s="133">
        <f t="shared" ref="C53:F53" si="153">C20/C42</f>
        <v>0</v>
      </c>
      <c r="D53" s="133">
        <f t="shared" si="153"/>
        <v>0</v>
      </c>
      <c r="E53" s="133">
        <f t="shared" si="153"/>
        <v>0</v>
      </c>
      <c r="F53" s="133">
        <f t="shared" si="153"/>
        <v>0</v>
      </c>
      <c r="G53" s="133">
        <f>G20/G42</f>
        <v>0</v>
      </c>
      <c r="H53" s="133">
        <f t="shared" ref="H53:P53" si="154">H20/H42</f>
        <v>0</v>
      </c>
      <c r="I53" s="133">
        <f t="shared" si="154"/>
        <v>0</v>
      </c>
      <c r="J53" s="133">
        <f t="shared" si="154"/>
        <v>0</v>
      </c>
      <c r="K53" s="133">
        <f t="shared" si="154"/>
        <v>0</v>
      </c>
      <c r="L53" s="133">
        <f t="shared" si="154"/>
        <v>0</v>
      </c>
      <c r="M53" s="133">
        <f t="shared" si="154"/>
        <v>0</v>
      </c>
      <c r="N53" s="133">
        <f t="shared" si="154"/>
        <v>0</v>
      </c>
      <c r="O53" s="133">
        <f t="shared" si="154"/>
        <v>0</v>
      </c>
      <c r="P53" s="133">
        <f t="shared" si="154"/>
        <v>0</v>
      </c>
      <c r="Q53" s="118" t="e">
        <f>((P53/G53)^(1/($H$2-$H$1) ))-1</f>
        <v>#DIV/0!</v>
      </c>
      <c r="R53" s="128"/>
      <c r="S53" s="133">
        <f t="shared" ref="S53:AB53" si="155">S20/S42</f>
        <v>0</v>
      </c>
      <c r="T53" s="133">
        <f t="shared" si="155"/>
        <v>0</v>
      </c>
      <c r="U53" s="133">
        <f t="shared" si="155"/>
        <v>0</v>
      </c>
      <c r="V53" s="133">
        <f t="shared" si="155"/>
        <v>0</v>
      </c>
      <c r="W53" s="133">
        <f t="shared" si="155"/>
        <v>0</v>
      </c>
      <c r="X53" s="133">
        <f t="shared" si="155"/>
        <v>0</v>
      </c>
      <c r="Y53" s="133">
        <f t="shared" si="155"/>
        <v>0</v>
      </c>
      <c r="Z53" s="133">
        <f t="shared" si="155"/>
        <v>0</v>
      </c>
      <c r="AA53" s="133">
        <f t="shared" si="155"/>
        <v>0</v>
      </c>
      <c r="AB53" s="133">
        <f t="shared" si="155"/>
        <v>0</v>
      </c>
      <c r="AC53" s="138" t="e">
        <f t="shared" ref="AC53" si="156">((AB53/G53)^(1/($AB$3-$H$1) ))-1</f>
        <v>#DIV/0!</v>
      </c>
      <c r="AD53" s="31">
        <f t="shared" si="17"/>
        <v>0.05</v>
      </c>
      <c r="AE53" s="146">
        <f t="shared" si="152"/>
        <v>0</v>
      </c>
    </row>
    <row r="54" spans="2:31" x14ac:dyDescent="0.2">
      <c r="B54" s="20" t="s">
        <v>245</v>
      </c>
      <c r="C54" s="25">
        <f t="shared" ref="C54:P54" si="157">C7/C42</f>
        <v>0</v>
      </c>
      <c r="D54" s="25">
        <f t="shared" si="157"/>
        <v>0</v>
      </c>
      <c r="E54" s="25">
        <f t="shared" si="157"/>
        <v>0</v>
      </c>
      <c r="F54" s="133">
        <f t="shared" si="157"/>
        <v>0</v>
      </c>
      <c r="G54" s="133">
        <f t="shared" si="157"/>
        <v>22.5</v>
      </c>
      <c r="H54" s="133">
        <f t="shared" si="157"/>
        <v>22.5</v>
      </c>
      <c r="I54" s="133">
        <f t="shared" si="157"/>
        <v>38.704761904761902</v>
      </c>
      <c r="J54" s="133">
        <f t="shared" si="157"/>
        <v>40.952380952380949</v>
      </c>
      <c r="K54" s="133">
        <f t="shared" si="157"/>
        <v>16.826568265682656</v>
      </c>
      <c r="L54" s="133">
        <f t="shared" si="157"/>
        <v>23.985239852398522</v>
      </c>
      <c r="M54" s="133">
        <f t="shared" si="157"/>
        <v>16.157989228007182</v>
      </c>
      <c r="N54" s="133">
        <f t="shared" si="157"/>
        <v>10.009910802775025</v>
      </c>
      <c r="O54" s="133">
        <f t="shared" si="157"/>
        <v>19.160339437248773</v>
      </c>
      <c r="P54" s="133">
        <f t="shared" si="157"/>
        <v>34.091710758377424</v>
      </c>
      <c r="Q54" s="118">
        <f>((P54/G54)^(1/($H$2-$H$1) ))-1</f>
        <v>4.7253471250761958E-2</v>
      </c>
      <c r="R54" s="128"/>
      <c r="S54" s="158">
        <f t="shared" ref="S54:AB54" si="158">S7/S42</f>
        <v>25.455144032921819</v>
      </c>
      <c r="T54" s="158">
        <f t="shared" si="158"/>
        <v>25.455144032921822</v>
      </c>
      <c r="U54" s="158">
        <f t="shared" si="158"/>
        <v>25.455144032921822</v>
      </c>
      <c r="V54" s="158">
        <f t="shared" si="158"/>
        <v>25.455144032921822</v>
      </c>
      <c r="W54" s="158">
        <f t="shared" si="158"/>
        <v>25.455144032921826</v>
      </c>
      <c r="X54" s="158">
        <f t="shared" si="158"/>
        <v>25.455144032921826</v>
      </c>
      <c r="Y54" s="158">
        <f t="shared" si="158"/>
        <v>25.455144032921822</v>
      </c>
      <c r="Z54" s="158">
        <f t="shared" si="158"/>
        <v>25.455144032921822</v>
      </c>
      <c r="AA54" s="158">
        <f t="shared" si="158"/>
        <v>25.455144032921822</v>
      </c>
      <c r="AB54" s="158">
        <f t="shared" si="158"/>
        <v>25.455144032921822</v>
      </c>
      <c r="AC54" s="138">
        <f t="shared" si="151"/>
        <v>6.5160077473245259E-3</v>
      </c>
      <c r="AD54" s="31">
        <f t="shared" si="17"/>
        <v>0.05</v>
      </c>
      <c r="AE54" s="146">
        <f t="shared" si="152"/>
        <v>157.22294843863483</v>
      </c>
    </row>
    <row r="55" spans="2:31" x14ac:dyDescent="0.2">
      <c r="B55" s="20" t="s">
        <v>246</v>
      </c>
      <c r="C55" s="127">
        <f t="shared" ref="C55:P55" si="159">C6/C42</f>
        <v>0</v>
      </c>
      <c r="D55" s="127">
        <f t="shared" si="159"/>
        <v>0</v>
      </c>
      <c r="E55" s="127">
        <f t="shared" si="159"/>
        <v>0</v>
      </c>
      <c r="F55" s="144">
        <f t="shared" si="159"/>
        <v>0</v>
      </c>
      <c r="G55" s="144">
        <f t="shared" si="159"/>
        <v>12.5</v>
      </c>
      <c r="H55" s="144">
        <f t="shared" si="159"/>
        <v>12.5</v>
      </c>
      <c r="I55" s="144">
        <f t="shared" si="159"/>
        <v>16.18095238095238</v>
      </c>
      <c r="J55" s="144">
        <f t="shared" si="159"/>
        <v>20</v>
      </c>
      <c r="K55" s="144">
        <f t="shared" si="159"/>
        <v>14.464944649446494</v>
      </c>
      <c r="L55" s="144">
        <f t="shared" si="159"/>
        <v>14.612546125461254</v>
      </c>
      <c r="M55" s="144">
        <f t="shared" si="159"/>
        <v>15.858767205266307</v>
      </c>
      <c r="N55" s="144">
        <f t="shared" si="159"/>
        <v>27.601585728444004</v>
      </c>
      <c r="O55" s="144">
        <f t="shared" si="159"/>
        <v>32.023224653863331</v>
      </c>
      <c r="P55" s="144">
        <f t="shared" si="159"/>
        <v>33.100088183421519</v>
      </c>
      <c r="Q55" s="118">
        <f>((P55/G55)^(1/($H$2-$H$1) ))-1</f>
        <v>0.11427148129081299</v>
      </c>
      <c r="R55" s="128"/>
      <c r="S55" s="157">
        <f t="shared" ref="S55:AB55" si="160">S6/S42</f>
        <v>24.714732510288073</v>
      </c>
      <c r="T55" s="157">
        <f t="shared" si="160"/>
        <v>24.714732510288076</v>
      </c>
      <c r="U55" s="157">
        <f t="shared" si="160"/>
        <v>24.714732510288076</v>
      </c>
      <c r="V55" s="157">
        <f t="shared" si="160"/>
        <v>24.714732510288076</v>
      </c>
      <c r="W55" s="157">
        <f t="shared" si="160"/>
        <v>24.714732510288073</v>
      </c>
      <c r="X55" s="157">
        <f t="shared" si="160"/>
        <v>24.714732510288076</v>
      </c>
      <c r="Y55" s="157">
        <f t="shared" si="160"/>
        <v>24.714732510288073</v>
      </c>
      <c r="Z55" s="157">
        <f t="shared" si="160"/>
        <v>24.714732510288073</v>
      </c>
      <c r="AA55" s="157">
        <f t="shared" si="160"/>
        <v>24.714732510288069</v>
      </c>
      <c r="AB55" s="157">
        <f t="shared" si="160"/>
        <v>24.714732510288073</v>
      </c>
      <c r="AC55" s="138">
        <f t="shared" si="151"/>
        <v>3.6528775518303469E-2</v>
      </c>
      <c r="AD55" s="31">
        <f t="shared" si="17"/>
        <v>0.05</v>
      </c>
      <c r="AE55" s="146">
        <f t="shared" si="152"/>
        <v>152.64981844589695</v>
      </c>
    </row>
    <row r="56" spans="2:31" x14ac:dyDescent="0.2">
      <c r="B56" s="20" t="s">
        <v>247</v>
      </c>
      <c r="C56" s="127">
        <f t="shared" ref="C56:P56" si="161">C10/C42</f>
        <v>0</v>
      </c>
      <c r="D56" s="127">
        <f t="shared" si="161"/>
        <v>0</v>
      </c>
      <c r="E56" s="127">
        <f t="shared" si="161"/>
        <v>0</v>
      </c>
      <c r="F56" s="144">
        <f t="shared" si="161"/>
        <v>0</v>
      </c>
      <c r="G56" s="144">
        <f t="shared" si="161"/>
        <v>1.125</v>
      </c>
      <c r="H56" s="144">
        <f t="shared" si="161"/>
        <v>62.5</v>
      </c>
      <c r="I56" s="144">
        <f t="shared" si="161"/>
        <v>68.571428571428569</v>
      </c>
      <c r="J56" s="144">
        <f t="shared" si="161"/>
        <v>75.714285714285708</v>
      </c>
      <c r="K56" s="144">
        <f t="shared" si="161"/>
        <v>24.132841328413281</v>
      </c>
      <c r="L56" s="144">
        <f t="shared" si="161"/>
        <v>23.985239852398522</v>
      </c>
      <c r="M56" s="144">
        <f t="shared" si="161"/>
        <v>16.157989228007182</v>
      </c>
      <c r="N56" s="144">
        <f t="shared" si="161"/>
        <v>10.009910802775025</v>
      </c>
      <c r="O56" s="144">
        <f t="shared" si="161"/>
        <v>19.205002233139794</v>
      </c>
      <c r="P56" s="144">
        <f t="shared" si="161"/>
        <v>0</v>
      </c>
      <c r="Q56" s="118">
        <f>((P56/G56)^(1/($H$2-$H$1) ))-1</f>
        <v>-1</v>
      </c>
      <c r="R56" s="128"/>
      <c r="S56" s="157">
        <f t="shared" ref="S56:AB56" si="162">S10/S42</f>
        <v>0</v>
      </c>
      <c r="T56" s="157">
        <f t="shared" si="162"/>
        <v>0</v>
      </c>
      <c r="U56" s="157">
        <f t="shared" si="162"/>
        <v>0</v>
      </c>
      <c r="V56" s="157">
        <f t="shared" si="162"/>
        <v>0</v>
      </c>
      <c r="W56" s="157">
        <f t="shared" si="162"/>
        <v>0</v>
      </c>
      <c r="X56" s="157">
        <f t="shared" si="162"/>
        <v>0</v>
      </c>
      <c r="Y56" s="157">
        <f t="shared" si="162"/>
        <v>0</v>
      </c>
      <c r="Z56" s="157">
        <f t="shared" si="162"/>
        <v>0</v>
      </c>
      <c r="AA56" s="157">
        <f t="shared" si="162"/>
        <v>0</v>
      </c>
      <c r="AB56" s="157">
        <f t="shared" si="162"/>
        <v>0</v>
      </c>
      <c r="AC56" s="138">
        <f t="shared" si="151"/>
        <v>-1</v>
      </c>
      <c r="AD56" s="31">
        <f t="shared" si="17"/>
        <v>0.05</v>
      </c>
      <c r="AE56" s="146">
        <f t="shared" si="152"/>
        <v>0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63">(C7-C10)/C42</f>
        <v>0</v>
      </c>
      <c r="D58" s="127">
        <f t="shared" si="163"/>
        <v>0</v>
      </c>
      <c r="E58" s="127">
        <f t="shared" si="163"/>
        <v>0</v>
      </c>
      <c r="F58" s="144">
        <f t="shared" si="163"/>
        <v>0</v>
      </c>
      <c r="G58" s="144">
        <f t="shared" si="163"/>
        <v>21.375</v>
      </c>
      <c r="H58" s="144">
        <f t="shared" si="163"/>
        <v>-40</v>
      </c>
      <c r="I58" s="144">
        <f t="shared" si="163"/>
        <v>-29.866666666666664</v>
      </c>
      <c r="J58" s="144">
        <f t="shared" si="163"/>
        <v>-34.761904761904759</v>
      </c>
      <c r="K58" s="144">
        <f t="shared" si="163"/>
        <v>-7.3062730627306269</v>
      </c>
      <c r="L58" s="144">
        <f t="shared" si="163"/>
        <v>0</v>
      </c>
      <c r="M58" s="144">
        <f t="shared" si="163"/>
        <v>0</v>
      </c>
      <c r="N58" s="144">
        <f t="shared" si="163"/>
        <v>0</v>
      </c>
      <c r="O58" s="144">
        <f t="shared" si="163"/>
        <v>-4.4662795891022775E-2</v>
      </c>
      <c r="P58" s="144">
        <f t="shared" si="163"/>
        <v>34.091710758377424</v>
      </c>
      <c r="Q58" s="118">
        <f>((P58/G58)^(1/($H$2-$H$1) ))-1</f>
        <v>5.3239076304571142E-2</v>
      </c>
      <c r="R58" s="128"/>
      <c r="S58" s="157">
        <f t="shared" ref="S58:AB58" si="164">(S7-S10)/S42</f>
        <v>25.455144032921819</v>
      </c>
      <c r="T58" s="157">
        <f t="shared" si="164"/>
        <v>25.455144032921822</v>
      </c>
      <c r="U58" s="157">
        <f t="shared" si="164"/>
        <v>25.455144032921822</v>
      </c>
      <c r="V58" s="157">
        <f t="shared" si="164"/>
        <v>25.455144032921822</v>
      </c>
      <c r="W58" s="157">
        <f t="shared" si="164"/>
        <v>25.455144032921826</v>
      </c>
      <c r="X58" s="157">
        <f t="shared" si="164"/>
        <v>25.455144032921826</v>
      </c>
      <c r="Y58" s="157">
        <f t="shared" si="164"/>
        <v>25.455144032921822</v>
      </c>
      <c r="Z58" s="157">
        <f t="shared" si="164"/>
        <v>25.455144032921822</v>
      </c>
      <c r="AA58" s="157">
        <f t="shared" si="164"/>
        <v>25.455144032921822</v>
      </c>
      <c r="AB58" s="157">
        <f t="shared" si="164"/>
        <v>25.455144032921822</v>
      </c>
      <c r="AC58" s="138">
        <f t="shared" si="151"/>
        <v>9.2369168362054221E-3</v>
      </c>
      <c r="AD58" s="31">
        <f t="shared" si="17"/>
        <v>0.05</v>
      </c>
      <c r="AE58" s="146">
        <f t="shared" si="152"/>
        <v>157.22294843863483</v>
      </c>
    </row>
    <row r="59" spans="2:31" x14ac:dyDescent="0.2">
      <c r="B59" s="20" t="s">
        <v>271</v>
      </c>
      <c r="C59" s="127">
        <f t="shared" ref="C59:P59" si="165">(C7-C10-C9)/C42</f>
        <v>0</v>
      </c>
      <c r="D59" s="127">
        <f t="shared" si="165"/>
        <v>0</v>
      </c>
      <c r="E59" s="127">
        <f t="shared" si="165"/>
        <v>0</v>
      </c>
      <c r="F59" s="144">
        <f t="shared" si="165"/>
        <v>0</v>
      </c>
      <c r="G59" s="144">
        <f t="shared" si="165"/>
        <v>-38.624999999999993</v>
      </c>
      <c r="H59" s="144">
        <f t="shared" si="165"/>
        <v>-40.199999999999996</v>
      </c>
      <c r="I59" s="144">
        <f t="shared" si="165"/>
        <v>-33.980952380952381</v>
      </c>
      <c r="J59" s="144">
        <f t="shared" si="165"/>
        <v>-58.571428571428569</v>
      </c>
      <c r="K59" s="144">
        <f t="shared" si="165"/>
        <v>-12.934317343173431</v>
      </c>
      <c r="L59" s="144">
        <f t="shared" si="165"/>
        <v>-3.8376383763837638</v>
      </c>
      <c r="M59" s="144">
        <f t="shared" si="165"/>
        <v>-3.8898862956313582</v>
      </c>
      <c r="N59" s="144">
        <f t="shared" si="165"/>
        <v>-2.67591674925669</v>
      </c>
      <c r="O59" s="144">
        <f t="shared" si="165"/>
        <v>-4.1536400178651185</v>
      </c>
      <c r="P59" s="144">
        <f t="shared" si="165"/>
        <v>21.060405643738978</v>
      </c>
      <c r="Q59" s="118">
        <f>((P59/G59)^(1/($H$2-$H$1) ))-1</f>
        <v>-1.9348310690612238</v>
      </c>
      <c r="R59" s="128"/>
      <c r="S59" s="157">
        <f t="shared" ref="S59:AB59" si="166">(S7-S10-S9)/S42</f>
        <v>15.72510288065844</v>
      </c>
      <c r="T59" s="157">
        <f t="shared" si="166"/>
        <v>15.725102880658445</v>
      </c>
      <c r="U59" s="157">
        <f t="shared" si="166"/>
        <v>15.725102880658444</v>
      </c>
      <c r="V59" s="157">
        <f t="shared" si="166"/>
        <v>15.725102880658444</v>
      </c>
      <c r="W59" s="157">
        <f t="shared" si="166"/>
        <v>15.725102880658447</v>
      </c>
      <c r="X59" s="157">
        <f t="shared" si="166"/>
        <v>15.725102880658447</v>
      </c>
      <c r="Y59" s="157">
        <f t="shared" si="166"/>
        <v>15.725102880658444</v>
      </c>
      <c r="Z59" s="157">
        <f t="shared" si="166"/>
        <v>15.725102880658445</v>
      </c>
      <c r="AA59" s="157">
        <f t="shared" si="166"/>
        <v>15.725102880658445</v>
      </c>
      <c r="AB59" s="157">
        <f t="shared" si="166"/>
        <v>15.725102880658444</v>
      </c>
      <c r="AC59" s="138">
        <f t="shared" si="151"/>
        <v>-1.953804156522855</v>
      </c>
      <c r="AD59" s="31">
        <f t="shared" si="17"/>
        <v>0.05</v>
      </c>
      <c r="AE59" s="146">
        <f t="shared" si="152"/>
        <v>97.125635439360977</v>
      </c>
    </row>
    <row r="60" spans="2:31" x14ac:dyDescent="0.2">
      <c r="B60" s="20" t="s">
        <v>276</v>
      </c>
      <c r="C60" s="127">
        <f t="shared" ref="C60:P60" si="167">(C7+C15-C10-C9)/C42</f>
        <v>0</v>
      </c>
      <c r="D60" s="127">
        <f t="shared" si="167"/>
        <v>0</v>
      </c>
      <c r="E60" s="127">
        <f t="shared" si="167"/>
        <v>0</v>
      </c>
      <c r="F60" s="144">
        <f t="shared" si="167"/>
        <v>0</v>
      </c>
      <c r="G60" s="144">
        <f t="shared" si="167"/>
        <v>33.874999999999993</v>
      </c>
      <c r="H60" s="144">
        <f t="shared" si="167"/>
        <v>-39.449999999999996</v>
      </c>
      <c r="I60" s="144">
        <f t="shared" si="167"/>
        <v>67.92380952380951</v>
      </c>
      <c r="J60" s="144">
        <f t="shared" si="167"/>
        <v>-14.761904761904761</v>
      </c>
      <c r="K60" s="144">
        <f t="shared" si="167"/>
        <v>13.560147601476015</v>
      </c>
      <c r="L60" s="144">
        <f t="shared" si="167"/>
        <v>20.369003690036898</v>
      </c>
      <c r="M60" s="144">
        <f t="shared" si="167"/>
        <v>18.491921005385997</v>
      </c>
      <c r="N60" s="144">
        <f t="shared" si="167"/>
        <v>22.547076313181368</v>
      </c>
      <c r="O60" s="144">
        <f t="shared" si="167"/>
        <v>28.986154533273783</v>
      </c>
      <c r="P60" s="144">
        <f t="shared" si="167"/>
        <v>42.621252204585545</v>
      </c>
      <c r="Q60" s="118">
        <f>((P60/G60)^(1/($H$2-$H$1) ))-1</f>
        <v>2.5847936065782617E-2</v>
      </c>
      <c r="R60" s="128"/>
      <c r="S60" s="157">
        <f t="shared" ref="S60:AB60" si="168">(S7+S15-S10-S9)/S42</f>
        <v>31.82386831275721</v>
      </c>
      <c r="T60" s="157">
        <f t="shared" si="168"/>
        <v>31.823868312757217</v>
      </c>
      <c r="U60" s="157">
        <f t="shared" si="168"/>
        <v>31.823868312757217</v>
      </c>
      <c r="V60" s="157">
        <f t="shared" si="168"/>
        <v>31.823868312757217</v>
      </c>
      <c r="W60" s="157">
        <f t="shared" si="168"/>
        <v>31.823868312757213</v>
      </c>
      <c r="X60" s="157">
        <f t="shared" si="168"/>
        <v>31.823868312757217</v>
      </c>
      <c r="Y60" s="157">
        <f t="shared" si="168"/>
        <v>31.823868312757213</v>
      </c>
      <c r="Z60" s="157">
        <f t="shared" si="168"/>
        <v>31.823868312757217</v>
      </c>
      <c r="AA60" s="157">
        <f t="shared" si="168"/>
        <v>31.82386831275721</v>
      </c>
      <c r="AB60" s="157">
        <f t="shared" si="168"/>
        <v>31.82386831275721</v>
      </c>
      <c r="AC60" s="138">
        <f t="shared" si="151"/>
        <v>-3.2820074048065528E-3</v>
      </c>
      <c r="AD60" s="31">
        <f t="shared" si="17"/>
        <v>0.05</v>
      </c>
      <c r="AE60" s="146">
        <f t="shared" si="152"/>
        <v>196.5591866376181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69">C12/C42</f>
        <v>0</v>
      </c>
      <c r="D62" s="127">
        <f t="shared" si="169"/>
        <v>0</v>
      </c>
      <c r="E62" s="127">
        <f t="shared" si="169"/>
        <v>0</v>
      </c>
      <c r="F62" s="144">
        <f t="shared" si="169"/>
        <v>0</v>
      </c>
      <c r="G62" s="144">
        <f t="shared" si="169"/>
        <v>2.4999999999999998E-2</v>
      </c>
      <c r="H62" s="144">
        <f t="shared" si="169"/>
        <v>0</v>
      </c>
      <c r="I62" s="144">
        <f t="shared" si="169"/>
        <v>2.6857142857142855</v>
      </c>
      <c r="J62" s="144">
        <f t="shared" si="169"/>
        <v>2.8571428571428572</v>
      </c>
      <c r="K62" s="144">
        <f t="shared" si="169"/>
        <v>6.4206642066420665</v>
      </c>
      <c r="L62" s="144">
        <f t="shared" si="169"/>
        <v>1.1808118081180812</v>
      </c>
      <c r="M62" s="144">
        <f t="shared" si="169"/>
        <v>2.7528426092160383</v>
      </c>
      <c r="N62" s="144">
        <f t="shared" si="169"/>
        <v>3.1714568880079286</v>
      </c>
      <c r="O62" s="144">
        <f t="shared" si="169"/>
        <v>6.0741402411790979</v>
      </c>
      <c r="P62" s="144">
        <f t="shared" si="169"/>
        <v>2.0282186948853616</v>
      </c>
      <c r="Q62" s="118">
        <f>((P62/G62)^(1/($H$2-$H$1) ))-1</f>
        <v>0.62978580280298391</v>
      </c>
      <c r="R62" s="128"/>
      <c r="S62" s="157">
        <f t="shared" ref="S62:AB62" si="170">S12/S42</f>
        <v>1.5144032921810702</v>
      </c>
      <c r="T62" s="157">
        <f t="shared" si="170"/>
        <v>1.5144032921810704</v>
      </c>
      <c r="U62" s="157">
        <f t="shared" si="170"/>
        <v>1.5144032921810704</v>
      </c>
      <c r="V62" s="157">
        <f t="shared" si="170"/>
        <v>1.5144032921810706</v>
      </c>
      <c r="W62" s="157">
        <f t="shared" si="170"/>
        <v>1.5144032921810706</v>
      </c>
      <c r="X62" s="157">
        <f t="shared" si="170"/>
        <v>1.5144032921810706</v>
      </c>
      <c r="Y62" s="157">
        <f t="shared" si="170"/>
        <v>1.5144032921810704</v>
      </c>
      <c r="Z62" s="157">
        <f t="shared" si="170"/>
        <v>1.5144032921810704</v>
      </c>
      <c r="AA62" s="157">
        <f t="shared" si="170"/>
        <v>1.5144032921810704</v>
      </c>
      <c r="AB62" s="157">
        <f t="shared" si="170"/>
        <v>1.5144032921810706</v>
      </c>
      <c r="AC62" s="138">
        <f t="shared" si="151"/>
        <v>0.24109590888578247</v>
      </c>
      <c r="AD62" s="31">
        <f t="shared" si="17"/>
        <v>0.05</v>
      </c>
      <c r="AE62" s="146">
        <f t="shared" si="152"/>
        <v>9.353667392883084</v>
      </c>
    </row>
    <row r="63" spans="2:31" x14ac:dyDescent="0.2">
      <c r="B63" s="20" t="s">
        <v>255</v>
      </c>
      <c r="C63" s="127">
        <f t="shared" ref="C63:P63" si="171">C13/C42</f>
        <v>0</v>
      </c>
      <c r="D63" s="127">
        <f t="shared" si="171"/>
        <v>0</v>
      </c>
      <c r="E63" s="127">
        <f t="shared" si="171"/>
        <v>0</v>
      </c>
      <c r="F63" s="144">
        <f t="shared" si="171"/>
        <v>0</v>
      </c>
      <c r="G63" s="144">
        <f t="shared" si="171"/>
        <v>10</v>
      </c>
      <c r="H63" s="144">
        <f t="shared" si="171"/>
        <v>10</v>
      </c>
      <c r="I63" s="144">
        <f t="shared" si="171"/>
        <v>0.39999999999999997</v>
      </c>
      <c r="J63" s="144">
        <f t="shared" si="171"/>
        <v>83.80952380952381</v>
      </c>
      <c r="K63" s="144">
        <f t="shared" si="171"/>
        <v>19.55719557195572</v>
      </c>
      <c r="L63" s="144">
        <f t="shared" si="171"/>
        <v>16.531365313653136</v>
      </c>
      <c r="M63" s="144">
        <f t="shared" si="171"/>
        <v>10.293237582286055</v>
      </c>
      <c r="N63" s="144">
        <f t="shared" si="171"/>
        <v>8.0277502477700686</v>
      </c>
      <c r="O63" s="144">
        <f t="shared" si="171"/>
        <v>5.9848146493970518</v>
      </c>
      <c r="P63" s="144">
        <f t="shared" si="171"/>
        <v>5.0308641975308639</v>
      </c>
      <c r="Q63" s="118">
        <f>((P63/G63)^(1/($H$2-$H$1) ))-1</f>
        <v>-7.3491992501279801E-2</v>
      </c>
      <c r="R63" s="128"/>
      <c r="S63" s="157">
        <f t="shared" ref="S63:AB63" si="172">S13/S42</f>
        <v>3.7563786008230458</v>
      </c>
      <c r="T63" s="157">
        <f t="shared" si="172"/>
        <v>3.7563786008230462</v>
      </c>
      <c r="U63" s="157">
        <f t="shared" si="172"/>
        <v>3.7563786008230466</v>
      </c>
      <c r="V63" s="157">
        <f t="shared" si="172"/>
        <v>3.7563786008230471</v>
      </c>
      <c r="W63" s="157">
        <f t="shared" si="172"/>
        <v>3.7563786008230466</v>
      </c>
      <c r="X63" s="157">
        <f t="shared" si="172"/>
        <v>3.7563786008230466</v>
      </c>
      <c r="Y63" s="157">
        <f t="shared" si="172"/>
        <v>3.7563786008230466</v>
      </c>
      <c r="Z63" s="157">
        <f t="shared" si="172"/>
        <v>3.7563786008230466</v>
      </c>
      <c r="AA63" s="157">
        <f t="shared" si="172"/>
        <v>3.7563786008230466</v>
      </c>
      <c r="AB63" s="157">
        <f t="shared" si="172"/>
        <v>3.7563786008230471</v>
      </c>
      <c r="AC63" s="138">
        <f t="shared" si="151"/>
        <v>-5.0227829897604104E-2</v>
      </c>
      <c r="AD63" s="31">
        <f t="shared" si="17"/>
        <v>0.05</v>
      </c>
      <c r="AE63" s="146">
        <f t="shared" si="152"/>
        <v>23.201161946260001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73">(D62+D63)</f>
        <v>0</v>
      </c>
      <c r="E64" s="127">
        <f t="shared" si="173"/>
        <v>0</v>
      </c>
      <c r="F64" s="144">
        <f t="shared" si="173"/>
        <v>0</v>
      </c>
      <c r="G64" s="144">
        <f t="shared" si="173"/>
        <v>10.025</v>
      </c>
      <c r="H64" s="144">
        <f t="shared" si="173"/>
        <v>10</v>
      </c>
      <c r="I64" s="144">
        <f t="shared" si="173"/>
        <v>3.0857142857142854</v>
      </c>
      <c r="J64" s="144">
        <f t="shared" si="173"/>
        <v>86.666666666666671</v>
      </c>
      <c r="K64" s="144">
        <f t="shared" si="173"/>
        <v>25.977859778597786</v>
      </c>
      <c r="L64" s="144">
        <f t="shared" si="173"/>
        <v>17.712177121771219</v>
      </c>
      <c r="M64" s="144">
        <f t="shared" si="173"/>
        <v>13.046080191502094</v>
      </c>
      <c r="N64" s="144">
        <f t="shared" si="173"/>
        <v>11.199207135777996</v>
      </c>
      <c r="O64" s="144">
        <f t="shared" ref="O64" si="174">(O62+O63)</f>
        <v>12.05895489057615</v>
      </c>
      <c r="P64" s="144">
        <f t="shared" si="173"/>
        <v>7.0590828924162254</v>
      </c>
      <c r="Q64" s="118">
        <f>((P64/G64)^(1/($H$2-$H$1) ))-1</f>
        <v>-3.8224373926229793E-2</v>
      </c>
      <c r="R64" s="128"/>
      <c r="S64" s="157">
        <f t="shared" ref="S64:AB64" si="175">(S62+S63)</f>
        <v>5.2707818930041164</v>
      </c>
      <c r="T64" s="157">
        <f t="shared" si="175"/>
        <v>5.2707818930041164</v>
      </c>
      <c r="U64" s="157">
        <f t="shared" si="175"/>
        <v>5.2707818930041173</v>
      </c>
      <c r="V64" s="157">
        <f t="shared" si="175"/>
        <v>5.2707818930041181</v>
      </c>
      <c r="W64" s="157">
        <f t="shared" si="175"/>
        <v>5.2707818930041173</v>
      </c>
      <c r="X64" s="157">
        <f t="shared" si="175"/>
        <v>5.2707818930041173</v>
      </c>
      <c r="Y64" s="157">
        <f t="shared" si="175"/>
        <v>5.2707818930041173</v>
      </c>
      <c r="Z64" s="157">
        <f t="shared" si="175"/>
        <v>5.2707818930041173</v>
      </c>
      <c r="AA64" s="157">
        <f t="shared" si="175"/>
        <v>5.2707818930041173</v>
      </c>
      <c r="AB64" s="157">
        <f t="shared" si="175"/>
        <v>5.2707818930041181</v>
      </c>
      <c r="AC64" s="138">
        <f t="shared" si="151"/>
        <v>-3.3270944333044561E-2</v>
      </c>
      <c r="AD64" s="31">
        <f t="shared" si="17"/>
        <v>0.05</v>
      </c>
      <c r="AE64" s="146">
        <f t="shared" si="152"/>
        <v>32.55482933914309</v>
      </c>
    </row>
    <row r="65" spans="2:31" x14ac:dyDescent="0.2">
      <c r="B65" s="20" t="s">
        <v>249</v>
      </c>
      <c r="C65" s="127">
        <f t="shared" ref="C65:P65" si="176">C15/C42</f>
        <v>0</v>
      </c>
      <c r="D65" s="127">
        <f t="shared" si="176"/>
        <v>0</v>
      </c>
      <c r="E65" s="127">
        <f t="shared" si="176"/>
        <v>0</v>
      </c>
      <c r="F65" s="144">
        <f t="shared" si="176"/>
        <v>0</v>
      </c>
      <c r="G65" s="144">
        <f t="shared" si="176"/>
        <v>72.5</v>
      </c>
      <c r="H65" s="144">
        <f t="shared" si="176"/>
        <v>0.74999999999999989</v>
      </c>
      <c r="I65" s="144">
        <f t="shared" si="176"/>
        <v>101.9047619047619</v>
      </c>
      <c r="J65" s="144">
        <f t="shared" si="176"/>
        <v>43.80952380952381</v>
      </c>
      <c r="K65" s="144">
        <f t="shared" si="176"/>
        <v>26.494464944649444</v>
      </c>
      <c r="L65" s="144">
        <f t="shared" si="176"/>
        <v>24.206642066420663</v>
      </c>
      <c r="M65" s="144">
        <f t="shared" si="176"/>
        <v>22.381807301017353</v>
      </c>
      <c r="N65" s="144">
        <f t="shared" si="176"/>
        <v>25.222993062438057</v>
      </c>
      <c r="O65" s="144">
        <f t="shared" si="176"/>
        <v>33.139794551138898</v>
      </c>
      <c r="P65" s="144">
        <f t="shared" si="176"/>
        <v>21.56084656084656</v>
      </c>
      <c r="Q65" s="118">
        <f>((P65/G65)^(1/($H$2-$H$1) ))-1</f>
        <v>-0.1260615100822472</v>
      </c>
      <c r="R65" s="128"/>
      <c r="S65" s="157">
        <f t="shared" ref="S65:AB65" si="177">S15/S42</f>
        <v>16.098765432098769</v>
      </c>
      <c r="T65" s="157">
        <f t="shared" si="177"/>
        <v>16.098765432098769</v>
      </c>
      <c r="U65" s="157">
        <f t="shared" si="177"/>
        <v>16.098765432098769</v>
      </c>
      <c r="V65" s="157">
        <f t="shared" si="177"/>
        <v>16.098765432098769</v>
      </c>
      <c r="W65" s="157">
        <f t="shared" si="177"/>
        <v>16.098765432098769</v>
      </c>
      <c r="X65" s="157">
        <f t="shared" si="177"/>
        <v>16.098765432098769</v>
      </c>
      <c r="Y65" s="157">
        <f t="shared" si="177"/>
        <v>16.098765432098766</v>
      </c>
      <c r="Z65" s="157">
        <f t="shared" si="177"/>
        <v>16.098765432098769</v>
      </c>
      <c r="AA65" s="157">
        <f t="shared" si="177"/>
        <v>16.098765432098766</v>
      </c>
      <c r="AB65" s="157">
        <f t="shared" si="177"/>
        <v>16.098765432098769</v>
      </c>
      <c r="AC65" s="138">
        <f t="shared" si="151"/>
        <v>-7.6147003249794731E-2</v>
      </c>
      <c r="AD65" s="31">
        <f t="shared" si="17"/>
        <v>0.05</v>
      </c>
      <c r="AE65" s="146">
        <f t="shared" si="152"/>
        <v>99.433551198257121</v>
      </c>
    </row>
    <row r="66" spans="2:31" x14ac:dyDescent="0.2">
      <c r="B66" s="20" t="s">
        <v>250</v>
      </c>
      <c r="C66" s="127">
        <f t="shared" ref="C66:P66" si="178">C16/C42</f>
        <v>0</v>
      </c>
      <c r="D66" s="127">
        <f t="shared" si="178"/>
        <v>0</v>
      </c>
      <c r="E66" s="127">
        <f t="shared" si="178"/>
        <v>0</v>
      </c>
      <c r="F66" s="144">
        <f t="shared" si="178"/>
        <v>0</v>
      </c>
      <c r="G66" s="144">
        <f t="shared" si="178"/>
        <v>12.5</v>
      </c>
      <c r="H66" s="144">
        <f t="shared" si="178"/>
        <v>1.4249999999999998</v>
      </c>
      <c r="I66" s="144">
        <f t="shared" si="178"/>
        <v>95.238095238095241</v>
      </c>
      <c r="J66" s="144">
        <f t="shared" si="178"/>
        <v>7.9619047619047612</v>
      </c>
      <c r="K66" s="144">
        <f t="shared" si="178"/>
        <v>19.114391143911437</v>
      </c>
      <c r="L66" s="144">
        <f t="shared" si="178"/>
        <v>20.073800738007378</v>
      </c>
      <c r="M66" s="144">
        <f t="shared" si="178"/>
        <v>17.893476959904248</v>
      </c>
      <c r="N66" s="144">
        <f t="shared" si="178"/>
        <v>21.902874132804758</v>
      </c>
      <c r="O66" s="144">
        <f t="shared" si="178"/>
        <v>27.15497990174185</v>
      </c>
      <c r="P66" s="144">
        <f t="shared" si="178"/>
        <v>21.56084656084656</v>
      </c>
      <c r="Q66" s="118">
        <f>((P66/G66)^(1/($H$2-$H$1) ))-1</f>
        <v>6.2444370132105131E-2</v>
      </c>
      <c r="R66" s="128"/>
      <c r="S66" s="157">
        <f t="shared" ref="S66:AB66" si="179">S16/S42</f>
        <v>16.098765432098769</v>
      </c>
      <c r="T66" s="157">
        <f t="shared" si="179"/>
        <v>16.098765432098769</v>
      </c>
      <c r="U66" s="157">
        <f t="shared" si="179"/>
        <v>16.098765432098769</v>
      </c>
      <c r="V66" s="157">
        <f t="shared" si="179"/>
        <v>16.098765432098769</v>
      </c>
      <c r="W66" s="157">
        <f t="shared" si="179"/>
        <v>16.098765432098769</v>
      </c>
      <c r="X66" s="157">
        <f t="shared" si="179"/>
        <v>16.098765432098769</v>
      </c>
      <c r="Y66" s="157">
        <f t="shared" si="179"/>
        <v>16.098765432098766</v>
      </c>
      <c r="Z66" s="157">
        <f t="shared" si="179"/>
        <v>16.098765432098769</v>
      </c>
      <c r="AA66" s="157">
        <f t="shared" si="179"/>
        <v>16.098765432098766</v>
      </c>
      <c r="AB66" s="157">
        <f t="shared" si="179"/>
        <v>16.098765432098769</v>
      </c>
      <c r="AC66" s="138">
        <f t="shared" si="151"/>
        <v>1.3405583122511944E-2</v>
      </c>
      <c r="AD66" s="137"/>
      <c r="AE66" s="146">
        <f t="shared" si="152"/>
        <v>73.176206509539867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52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80">D43</f>
        <v>0</v>
      </c>
      <c r="E68" s="159">
        <f t="shared" si="180"/>
        <v>0</v>
      </c>
      <c r="F68" s="159">
        <f t="shared" si="180"/>
        <v>0</v>
      </c>
      <c r="G68" s="159">
        <f t="shared" si="180"/>
        <v>0.01</v>
      </c>
      <c r="H68" s="159">
        <f t="shared" si="180"/>
        <v>0.01</v>
      </c>
      <c r="I68" s="159">
        <f t="shared" si="180"/>
        <v>0.01</v>
      </c>
      <c r="J68" s="159">
        <f t="shared" si="180"/>
        <v>5</v>
      </c>
      <c r="K68" s="159">
        <f t="shared" si="180"/>
        <v>0.4</v>
      </c>
      <c r="L68" s="159">
        <f t="shared" si="180"/>
        <v>0.2</v>
      </c>
      <c r="M68" s="159">
        <f t="shared" si="180"/>
        <v>0.25</v>
      </c>
      <c r="N68" s="159">
        <f t="shared" si="180"/>
        <v>0.3</v>
      </c>
      <c r="O68" s="159">
        <f t="shared" si="180"/>
        <v>0.35</v>
      </c>
      <c r="P68" s="159">
        <f t="shared" si="180"/>
        <v>0.25</v>
      </c>
      <c r="Q68" s="118">
        <f>((P68/G68)^(1/($H$2-$H$1) ))-1</f>
        <v>0.42996914830872868</v>
      </c>
      <c r="R68" s="128"/>
      <c r="S68" s="159">
        <f t="shared" ref="S68:AB68" si="181">S43</f>
        <v>0.26250000000000001</v>
      </c>
      <c r="T68" s="159">
        <f t="shared" si="181"/>
        <v>0.27562500000000001</v>
      </c>
      <c r="U68" s="159">
        <f t="shared" si="181"/>
        <v>0.28940625000000003</v>
      </c>
      <c r="V68" s="159">
        <f t="shared" si="181"/>
        <v>0.30387656250000006</v>
      </c>
      <c r="W68" s="159">
        <f t="shared" si="181"/>
        <v>0.31907039062500009</v>
      </c>
      <c r="X68" s="159">
        <f t="shared" si="181"/>
        <v>0.3350239101562501</v>
      </c>
      <c r="Y68" s="159">
        <f t="shared" si="181"/>
        <v>0.35177510566406262</v>
      </c>
      <c r="Z68" s="159">
        <f t="shared" si="181"/>
        <v>0.36936386094726575</v>
      </c>
      <c r="AA68" s="159">
        <f t="shared" si="181"/>
        <v>0.38783205399462906</v>
      </c>
      <c r="AB68" s="159">
        <f t="shared" si="181"/>
        <v>0.4072236566943605</v>
      </c>
      <c r="AC68" s="138">
        <f t="shared" ref="AC68" si="182">((AB68/G68)^(1/($AB$3-$H$1) ))-1</f>
        <v>0.2154246852101418</v>
      </c>
      <c r="AD68" s="31">
        <f t="shared" si="17"/>
        <v>0.05</v>
      </c>
      <c r="AE68" s="146">
        <f t="shared" si="152"/>
        <v>2.5152049384063448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83">C20+C21</f>
        <v>0</v>
      </c>
      <c r="D70" s="127">
        <f t="shared" si="183"/>
        <v>0</v>
      </c>
      <c r="E70" s="127">
        <f t="shared" si="183"/>
        <v>0</v>
      </c>
      <c r="F70" s="144">
        <f t="shared" si="183"/>
        <v>0</v>
      </c>
      <c r="G70" s="144">
        <f t="shared" si="183"/>
        <v>0</v>
      </c>
      <c r="H70" s="144">
        <f t="shared" si="183"/>
        <v>0</v>
      </c>
      <c r="I70" s="144">
        <f t="shared" si="183"/>
        <v>0</v>
      </c>
      <c r="J70" s="144">
        <f t="shared" si="183"/>
        <v>0</v>
      </c>
      <c r="K70" s="144">
        <f t="shared" si="183"/>
        <v>0</v>
      </c>
      <c r="L70" s="144">
        <f t="shared" si="183"/>
        <v>0</v>
      </c>
      <c r="M70" s="144">
        <f t="shared" si="183"/>
        <v>0</v>
      </c>
      <c r="N70" s="144">
        <f t="shared" si="183"/>
        <v>0</v>
      </c>
      <c r="O70" s="144">
        <f t="shared" si="183"/>
        <v>0</v>
      </c>
      <c r="P70" s="144">
        <f t="shared" si="183"/>
        <v>0</v>
      </c>
      <c r="Q70" s="118" t="e">
        <f>((P70/G70)^(1/($H$2-$H$1) ))-1</f>
        <v>#DIV/0!</v>
      </c>
      <c r="R70" s="128"/>
      <c r="S70" s="144">
        <f t="shared" ref="S70:AB70" si="184">S20+S21</f>
        <v>0</v>
      </c>
      <c r="T70" s="144">
        <f t="shared" si="184"/>
        <v>0</v>
      </c>
      <c r="U70" s="144">
        <f t="shared" si="184"/>
        <v>0</v>
      </c>
      <c r="V70" s="144">
        <f t="shared" si="184"/>
        <v>0</v>
      </c>
      <c r="W70" s="144">
        <f t="shared" si="184"/>
        <v>0</v>
      </c>
      <c r="X70" s="144">
        <f t="shared" si="184"/>
        <v>0</v>
      </c>
      <c r="Y70" s="144">
        <f t="shared" si="184"/>
        <v>0</v>
      </c>
      <c r="Z70" s="144">
        <f t="shared" si="184"/>
        <v>0</v>
      </c>
      <c r="AA70" s="144">
        <f t="shared" si="184"/>
        <v>0</v>
      </c>
      <c r="AB70" s="144">
        <f t="shared" si="184"/>
        <v>0</v>
      </c>
      <c r="AC70" s="138" t="e">
        <f t="shared" ref="AC70:AC75" si="185">((AB70/G70)^(1/($AB$3-$H$1) ))-1</f>
        <v>#DIV/0!</v>
      </c>
      <c r="AD70" s="31">
        <f t="shared" si="17"/>
        <v>0.05</v>
      </c>
      <c r="AE70" s="146">
        <f t="shared" si="152"/>
        <v>0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86">C70/C42</f>
        <v>0</v>
      </c>
      <c r="D72" s="127">
        <f t="shared" si="186"/>
        <v>0</v>
      </c>
      <c r="E72" s="127">
        <f t="shared" si="186"/>
        <v>0</v>
      </c>
      <c r="F72" s="144">
        <f t="shared" si="186"/>
        <v>0</v>
      </c>
      <c r="G72" s="144">
        <f t="shared" si="186"/>
        <v>0</v>
      </c>
      <c r="H72" s="144">
        <f t="shared" si="186"/>
        <v>0</v>
      </c>
      <c r="I72" s="144">
        <f t="shared" si="186"/>
        <v>0</v>
      </c>
      <c r="J72" s="144">
        <f t="shared" si="186"/>
        <v>0</v>
      </c>
      <c r="K72" s="144">
        <f t="shared" si="186"/>
        <v>0</v>
      </c>
      <c r="L72" s="144">
        <f t="shared" si="186"/>
        <v>0</v>
      </c>
      <c r="M72" s="144">
        <f t="shared" si="186"/>
        <v>0</v>
      </c>
      <c r="N72" s="144">
        <f t="shared" si="186"/>
        <v>0</v>
      </c>
      <c r="O72" s="144">
        <f t="shared" si="186"/>
        <v>0</v>
      </c>
      <c r="P72" s="144">
        <f t="shared" si="186"/>
        <v>0</v>
      </c>
      <c r="Q72" s="118" t="e">
        <f>((P72/G72)^(1/($H$2-$H$1) ))-1</f>
        <v>#DIV/0!</v>
      </c>
      <c r="R72" s="128"/>
      <c r="S72" s="146">
        <f t="shared" ref="S72:AB72" si="187">S70/S42</f>
        <v>0</v>
      </c>
      <c r="T72" s="146">
        <f t="shared" si="187"/>
        <v>0</v>
      </c>
      <c r="U72" s="146">
        <f t="shared" si="187"/>
        <v>0</v>
      </c>
      <c r="V72" s="146">
        <f t="shared" si="187"/>
        <v>0</v>
      </c>
      <c r="W72" s="146">
        <f t="shared" si="187"/>
        <v>0</v>
      </c>
      <c r="X72" s="146">
        <f t="shared" si="187"/>
        <v>0</v>
      </c>
      <c r="Y72" s="146">
        <f t="shared" si="187"/>
        <v>0</v>
      </c>
      <c r="Z72" s="146">
        <f t="shared" si="187"/>
        <v>0</v>
      </c>
      <c r="AA72" s="146">
        <f t="shared" si="187"/>
        <v>0</v>
      </c>
      <c r="AB72" s="146">
        <f t="shared" si="187"/>
        <v>0</v>
      </c>
      <c r="AC72" s="138" t="e">
        <f t="shared" si="185"/>
        <v>#DIV/0!</v>
      </c>
      <c r="AD72" s="31">
        <f t="shared" si="17"/>
        <v>0.05</v>
      </c>
      <c r="AE72" s="146">
        <f t="shared" si="152"/>
        <v>0</v>
      </c>
    </row>
    <row r="73" spans="2:31" x14ac:dyDescent="0.2">
      <c r="B73" s="20" t="s">
        <v>287</v>
      </c>
      <c r="C73" s="127">
        <f t="shared" ref="C73:P73" si="188">C20/C42</f>
        <v>0</v>
      </c>
      <c r="D73" s="127">
        <f t="shared" si="188"/>
        <v>0</v>
      </c>
      <c r="E73" s="127">
        <f t="shared" si="188"/>
        <v>0</v>
      </c>
      <c r="F73" s="144">
        <f t="shared" si="188"/>
        <v>0</v>
      </c>
      <c r="G73" s="144">
        <f t="shared" si="188"/>
        <v>0</v>
      </c>
      <c r="H73" s="144">
        <f t="shared" si="188"/>
        <v>0</v>
      </c>
      <c r="I73" s="144">
        <f t="shared" si="188"/>
        <v>0</v>
      </c>
      <c r="J73" s="144">
        <f t="shared" si="188"/>
        <v>0</v>
      </c>
      <c r="K73" s="144">
        <f t="shared" si="188"/>
        <v>0</v>
      </c>
      <c r="L73" s="144">
        <f t="shared" si="188"/>
        <v>0</v>
      </c>
      <c r="M73" s="144">
        <f t="shared" si="188"/>
        <v>0</v>
      </c>
      <c r="N73" s="144">
        <f t="shared" si="188"/>
        <v>0</v>
      </c>
      <c r="O73" s="144">
        <f t="shared" si="188"/>
        <v>0</v>
      </c>
      <c r="P73" s="144">
        <f t="shared" si="188"/>
        <v>0</v>
      </c>
      <c r="Q73" s="118" t="e">
        <f>((P73/G73)^(1/($H$2-$H$1) ))-1</f>
        <v>#DIV/0!</v>
      </c>
      <c r="R73" s="128"/>
      <c r="S73" s="146">
        <f t="shared" ref="S73:AB73" si="189">S20/S42</f>
        <v>0</v>
      </c>
      <c r="T73" s="146">
        <f t="shared" si="189"/>
        <v>0</v>
      </c>
      <c r="U73" s="146">
        <f t="shared" si="189"/>
        <v>0</v>
      </c>
      <c r="V73" s="146">
        <f t="shared" si="189"/>
        <v>0</v>
      </c>
      <c r="W73" s="146">
        <f t="shared" si="189"/>
        <v>0</v>
      </c>
      <c r="X73" s="146">
        <f t="shared" si="189"/>
        <v>0</v>
      </c>
      <c r="Y73" s="146">
        <f t="shared" si="189"/>
        <v>0</v>
      </c>
      <c r="Z73" s="146">
        <f t="shared" si="189"/>
        <v>0</v>
      </c>
      <c r="AA73" s="146">
        <f t="shared" si="189"/>
        <v>0</v>
      </c>
      <c r="AB73" s="146">
        <f t="shared" si="189"/>
        <v>0</v>
      </c>
      <c r="AC73" s="138" t="e">
        <f t="shared" si="185"/>
        <v>#DIV/0!</v>
      </c>
      <c r="AD73" s="31">
        <f t="shared" si="17"/>
        <v>0.05</v>
      </c>
      <c r="AE73" s="146">
        <f t="shared" si="152"/>
        <v>0</v>
      </c>
    </row>
    <row r="74" spans="2:31" x14ac:dyDescent="0.2">
      <c r="B74" s="20" t="s">
        <v>288</v>
      </c>
      <c r="C74" s="127">
        <f t="shared" ref="C74:P74" si="190">C21/C42</f>
        <v>0</v>
      </c>
      <c r="D74" s="127">
        <f t="shared" si="190"/>
        <v>0</v>
      </c>
      <c r="E74" s="127">
        <f t="shared" si="190"/>
        <v>0</v>
      </c>
      <c r="F74" s="144">
        <f t="shared" si="190"/>
        <v>0</v>
      </c>
      <c r="G74" s="144">
        <f t="shared" si="190"/>
        <v>0</v>
      </c>
      <c r="H74" s="144">
        <f t="shared" si="190"/>
        <v>0</v>
      </c>
      <c r="I74" s="144">
        <f t="shared" si="190"/>
        <v>0</v>
      </c>
      <c r="J74" s="144">
        <f t="shared" si="190"/>
        <v>0</v>
      </c>
      <c r="K74" s="144">
        <f t="shared" si="190"/>
        <v>0</v>
      </c>
      <c r="L74" s="144">
        <f t="shared" si="190"/>
        <v>0</v>
      </c>
      <c r="M74" s="144">
        <f t="shared" si="190"/>
        <v>0</v>
      </c>
      <c r="N74" s="144">
        <f t="shared" si="190"/>
        <v>0</v>
      </c>
      <c r="O74" s="144">
        <f t="shared" si="190"/>
        <v>0</v>
      </c>
      <c r="P74" s="144">
        <f t="shared" si="190"/>
        <v>0</v>
      </c>
      <c r="Q74" s="118" t="e">
        <f>((P74/G74)^(1/($H$2-$H$1) ))-1</f>
        <v>#DIV/0!</v>
      </c>
      <c r="R74" s="128"/>
      <c r="S74" s="146">
        <f t="shared" ref="S74:AB74" si="191">S21/S42</f>
        <v>0</v>
      </c>
      <c r="T74" s="146">
        <f t="shared" si="191"/>
        <v>0</v>
      </c>
      <c r="U74" s="146">
        <f t="shared" si="191"/>
        <v>0</v>
      </c>
      <c r="V74" s="146">
        <f t="shared" si="191"/>
        <v>0</v>
      </c>
      <c r="W74" s="146">
        <f t="shared" si="191"/>
        <v>0</v>
      </c>
      <c r="X74" s="146">
        <f t="shared" si="191"/>
        <v>0</v>
      </c>
      <c r="Y74" s="146">
        <f t="shared" si="191"/>
        <v>0</v>
      </c>
      <c r="Z74" s="146">
        <f t="shared" si="191"/>
        <v>0</v>
      </c>
      <c r="AA74" s="146">
        <f t="shared" si="191"/>
        <v>0</v>
      </c>
      <c r="AB74" s="146">
        <f t="shared" si="191"/>
        <v>0</v>
      </c>
      <c r="AC74" s="138" t="e">
        <f t="shared" si="185"/>
        <v>#DIV/0!</v>
      </c>
      <c r="AD74" s="31">
        <f t="shared" si="17"/>
        <v>0.05</v>
      </c>
      <c r="AE74" s="146">
        <f t="shared" si="152"/>
        <v>0</v>
      </c>
    </row>
    <row r="75" spans="2:31" x14ac:dyDescent="0.2">
      <c r="B75" s="20" t="s">
        <v>289</v>
      </c>
      <c r="C75" s="127">
        <f t="shared" ref="C75:P75" si="192">C22/C42</f>
        <v>0</v>
      </c>
      <c r="D75" s="127">
        <f t="shared" si="192"/>
        <v>0</v>
      </c>
      <c r="E75" s="127">
        <f t="shared" si="192"/>
        <v>0</v>
      </c>
      <c r="F75" s="144">
        <f t="shared" si="192"/>
        <v>0</v>
      </c>
      <c r="G75" s="144">
        <f t="shared" si="192"/>
        <v>0</v>
      </c>
      <c r="H75" s="144">
        <f t="shared" si="192"/>
        <v>0</v>
      </c>
      <c r="I75" s="144">
        <f t="shared" si="192"/>
        <v>0</v>
      </c>
      <c r="J75" s="144">
        <f t="shared" si="192"/>
        <v>0</v>
      </c>
      <c r="K75" s="144">
        <f t="shared" si="192"/>
        <v>0</v>
      </c>
      <c r="L75" s="144">
        <f t="shared" si="192"/>
        <v>0</v>
      </c>
      <c r="M75" s="144">
        <f t="shared" si="192"/>
        <v>0</v>
      </c>
      <c r="N75" s="144">
        <f t="shared" si="192"/>
        <v>0</v>
      </c>
      <c r="O75" s="144">
        <f t="shared" si="192"/>
        <v>0</v>
      </c>
      <c r="P75" s="144">
        <f t="shared" si="192"/>
        <v>0</v>
      </c>
      <c r="Q75" s="118" t="e">
        <f>((P75/G75)^(1/($H$2-$H$1) ))-1</f>
        <v>#DIV/0!</v>
      </c>
      <c r="R75" s="128"/>
      <c r="S75" s="146">
        <f t="shared" ref="S75:AB75" si="193">S22/S42</f>
        <v>0</v>
      </c>
      <c r="T75" s="146">
        <f t="shared" si="193"/>
        <v>0</v>
      </c>
      <c r="U75" s="146">
        <f t="shared" si="193"/>
        <v>0</v>
      </c>
      <c r="V75" s="146">
        <f t="shared" si="193"/>
        <v>0</v>
      </c>
      <c r="W75" s="146">
        <f t="shared" si="193"/>
        <v>0</v>
      </c>
      <c r="X75" s="146">
        <f t="shared" si="193"/>
        <v>0</v>
      </c>
      <c r="Y75" s="146">
        <f t="shared" si="193"/>
        <v>0</v>
      </c>
      <c r="Z75" s="146">
        <f t="shared" si="193"/>
        <v>0</v>
      </c>
      <c r="AA75" s="146">
        <f t="shared" si="193"/>
        <v>0</v>
      </c>
      <c r="AB75" s="146">
        <f t="shared" si="193"/>
        <v>0</v>
      </c>
      <c r="AC75" s="138" t="e">
        <f t="shared" si="185"/>
        <v>#DIV/0!</v>
      </c>
      <c r="AD75" s="31">
        <f t="shared" si="17"/>
        <v>0.05</v>
      </c>
      <c r="AE75" s="146">
        <f t="shared" si="152"/>
        <v>0</v>
      </c>
    </row>
    <row r="76" spans="2:31" x14ac:dyDescent="0.2">
      <c r="B76" s="20" t="s">
        <v>296</v>
      </c>
      <c r="C76" s="127">
        <f t="shared" ref="C76:P76" si="194">C23/C42</f>
        <v>0</v>
      </c>
      <c r="D76" s="127">
        <f t="shared" si="194"/>
        <v>0</v>
      </c>
      <c r="E76" s="127">
        <f t="shared" si="194"/>
        <v>0</v>
      </c>
      <c r="F76" s="144">
        <f t="shared" si="194"/>
        <v>0</v>
      </c>
      <c r="G76" s="144">
        <f t="shared" si="194"/>
        <v>0</v>
      </c>
      <c r="H76" s="144">
        <f t="shared" si="194"/>
        <v>0</v>
      </c>
      <c r="I76" s="144">
        <f t="shared" si="194"/>
        <v>0</v>
      </c>
      <c r="J76" s="144">
        <f t="shared" si="194"/>
        <v>0</v>
      </c>
      <c r="K76" s="144">
        <f t="shared" si="194"/>
        <v>0</v>
      </c>
      <c r="L76" s="144">
        <f t="shared" si="194"/>
        <v>0</v>
      </c>
      <c r="M76" s="144">
        <f t="shared" si="194"/>
        <v>0</v>
      </c>
      <c r="N76" s="144">
        <f t="shared" si="194"/>
        <v>0</v>
      </c>
      <c r="O76" s="144">
        <f t="shared" si="194"/>
        <v>0</v>
      </c>
      <c r="P76" s="144">
        <f t="shared" si="194"/>
        <v>0</v>
      </c>
      <c r="Q76" s="118" t="e">
        <f>((P76/G76)^(1/($H$2-$H$1) ))-1</f>
        <v>#DIV/0!</v>
      </c>
      <c r="R76" s="128"/>
      <c r="S76" s="146">
        <f t="shared" ref="S76:AB76" si="195">S23/S42</f>
        <v>0</v>
      </c>
      <c r="T76" s="146">
        <f t="shared" si="195"/>
        <v>0</v>
      </c>
      <c r="U76" s="146">
        <f t="shared" si="195"/>
        <v>0</v>
      </c>
      <c r="V76" s="146">
        <f t="shared" si="195"/>
        <v>0</v>
      </c>
      <c r="W76" s="146">
        <f t="shared" si="195"/>
        <v>0</v>
      </c>
      <c r="X76" s="146">
        <f t="shared" si="195"/>
        <v>0</v>
      </c>
      <c r="Y76" s="146">
        <f t="shared" si="195"/>
        <v>0</v>
      </c>
      <c r="Z76" s="146">
        <f t="shared" si="195"/>
        <v>0</v>
      </c>
      <c r="AA76" s="146">
        <f t="shared" si="195"/>
        <v>0</v>
      </c>
      <c r="AB76" s="146">
        <f t="shared" si="195"/>
        <v>0</v>
      </c>
      <c r="AC76" s="138" t="e">
        <f t="shared" ref="AC76" si="196">((AB76/G76)^(1/($AB$3-$H$1) ))-1</f>
        <v>#DIV/0!</v>
      </c>
      <c r="AD76" s="31">
        <f t="shared" si="17"/>
        <v>0.05</v>
      </c>
      <c r="AE76" s="146">
        <f t="shared" si="152"/>
        <v>0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197">C36/C42</f>
        <v>0</v>
      </c>
      <c r="D78" s="144">
        <f t="shared" si="197"/>
        <v>0</v>
      </c>
      <c r="E78" s="144">
        <f t="shared" si="197"/>
        <v>0</v>
      </c>
      <c r="F78" s="144">
        <f t="shared" si="197"/>
        <v>0</v>
      </c>
      <c r="G78" s="144">
        <f t="shared" si="197"/>
        <v>0.79999999999999993</v>
      </c>
      <c r="H78" s="144">
        <f t="shared" si="197"/>
        <v>0.79999999999999993</v>
      </c>
      <c r="I78" s="144">
        <f t="shared" si="197"/>
        <v>-10.476190476190476</v>
      </c>
      <c r="J78" s="144">
        <f t="shared" si="197"/>
        <v>21.904761904761905</v>
      </c>
      <c r="K78" s="144">
        <f t="shared" si="197"/>
        <v>3.4686346863468631</v>
      </c>
      <c r="L78" s="144">
        <f t="shared" si="197"/>
        <v>3.1734317343173428</v>
      </c>
      <c r="M78" s="144">
        <f t="shared" si="197"/>
        <v>2.8725314183123878</v>
      </c>
      <c r="N78" s="144">
        <f t="shared" si="197"/>
        <v>9.2666005946481658</v>
      </c>
      <c r="O78" s="144">
        <f t="shared" si="197"/>
        <v>4.4662795891022773</v>
      </c>
      <c r="P78" s="144">
        <f t="shared" si="197"/>
        <v>4.1988536155202825</v>
      </c>
      <c r="Q78" s="118">
        <f>((P78/G78)^(1/($H$2-$H$1) ))-1</f>
        <v>0.20227696811646778</v>
      </c>
      <c r="R78" s="128"/>
      <c r="S78" s="144">
        <f t="shared" ref="S78:AB78" si="198">S36/S42</f>
        <v>3.1351440329218114</v>
      </c>
      <c r="T78" s="144">
        <f t="shared" si="198"/>
        <v>3.1351440329218119</v>
      </c>
      <c r="U78" s="144">
        <f t="shared" si="198"/>
        <v>3.1351440329218123</v>
      </c>
      <c r="V78" s="144">
        <f t="shared" si="198"/>
        <v>3.1351440329218128</v>
      </c>
      <c r="W78" s="144">
        <f t="shared" si="198"/>
        <v>3.1351440329218128</v>
      </c>
      <c r="X78" s="144">
        <f t="shared" si="198"/>
        <v>3.1351440329218128</v>
      </c>
      <c r="Y78" s="144">
        <f t="shared" si="198"/>
        <v>3.1351440329218128</v>
      </c>
      <c r="Z78" s="144">
        <f t="shared" si="198"/>
        <v>3.1351440329218123</v>
      </c>
      <c r="AA78" s="144">
        <f t="shared" si="198"/>
        <v>3.1351440329218128</v>
      </c>
      <c r="AB78" s="144">
        <f t="shared" si="198"/>
        <v>3.1351440329218132</v>
      </c>
      <c r="AC78" s="138">
        <f t="shared" ref="AC78:AC80" si="199">((AB78/G78)^(1/($AB$3-$H$1) ))-1</f>
        <v>7.4531973238388893E-2</v>
      </c>
      <c r="AD78" s="31">
        <f t="shared" si="17"/>
        <v>0.05</v>
      </c>
      <c r="AE78" s="146">
        <f t="shared" si="152"/>
        <v>19.364124909222966</v>
      </c>
    </row>
    <row r="79" spans="2:31" x14ac:dyDescent="0.2">
      <c r="B79" s="20" t="s">
        <v>312</v>
      </c>
      <c r="C79" s="144">
        <f t="shared" ref="C79:P79" si="200">C40/C42</f>
        <v>0</v>
      </c>
      <c r="D79" s="144">
        <f t="shared" si="200"/>
        <v>0</v>
      </c>
      <c r="E79" s="144">
        <f t="shared" si="200"/>
        <v>0</v>
      </c>
      <c r="F79" s="144">
        <f t="shared" si="200"/>
        <v>0</v>
      </c>
      <c r="G79" s="144">
        <f t="shared" si="200"/>
        <v>0.70000000000000007</v>
      </c>
      <c r="H79" s="144">
        <f t="shared" si="200"/>
        <v>0.22499999999999998</v>
      </c>
      <c r="I79" s="144">
        <f t="shared" si="200"/>
        <v>2.8571428571428572</v>
      </c>
      <c r="J79" s="144">
        <f t="shared" si="200"/>
        <v>19.047619047619047</v>
      </c>
      <c r="K79" s="144">
        <f t="shared" si="200"/>
        <v>1.6974169741697416</v>
      </c>
      <c r="L79" s="144">
        <f t="shared" si="200"/>
        <v>0.73800738007380073</v>
      </c>
      <c r="M79" s="144">
        <f t="shared" si="200"/>
        <v>0.77797725912627169</v>
      </c>
      <c r="N79" s="144">
        <f t="shared" si="200"/>
        <v>8.1764122893954418</v>
      </c>
      <c r="O79" s="144">
        <f t="shared" si="200"/>
        <v>2.9924073246985259</v>
      </c>
      <c r="P79" s="144">
        <f t="shared" si="200"/>
        <v>2.2469135802469138</v>
      </c>
      <c r="Q79" s="118">
        <f>((P79/G79)^(1/($H$2-$H$1) ))-1</f>
        <v>0.13835175388502741</v>
      </c>
      <c r="R79" s="128"/>
      <c r="S79" s="144">
        <f t="shared" ref="S79:AB79" si="201">S40/S42</f>
        <v>1.6776954732510292</v>
      </c>
      <c r="T79" s="144">
        <f t="shared" si="201"/>
        <v>1.6776954732510294</v>
      </c>
      <c r="U79" s="144">
        <f t="shared" si="201"/>
        <v>1.6776954732510296</v>
      </c>
      <c r="V79" s="144">
        <f t="shared" si="201"/>
        <v>1.6776954732510296</v>
      </c>
      <c r="W79" s="144">
        <f t="shared" si="201"/>
        <v>1.6776954732510299</v>
      </c>
      <c r="X79" s="144">
        <f t="shared" si="201"/>
        <v>1.6776954732510299</v>
      </c>
      <c r="Y79" s="144">
        <f t="shared" si="201"/>
        <v>1.6776954732510296</v>
      </c>
      <c r="Z79" s="144">
        <f t="shared" si="201"/>
        <v>1.6776954732510299</v>
      </c>
      <c r="AA79" s="144">
        <f t="shared" si="201"/>
        <v>1.6776954732510299</v>
      </c>
      <c r="AB79" s="144">
        <f t="shared" si="201"/>
        <v>1.6776954732510299</v>
      </c>
      <c r="AC79" s="138">
        <f t="shared" si="199"/>
        <v>4.7079704402203548E-2</v>
      </c>
      <c r="AD79" s="31">
        <f t="shared" si="17"/>
        <v>0.05</v>
      </c>
      <c r="AE79" s="146">
        <f t="shared" si="152"/>
        <v>10.362236746550481</v>
      </c>
    </row>
    <row r="80" spans="2:31" x14ac:dyDescent="0.2">
      <c r="B80" s="20" t="s">
        <v>313</v>
      </c>
      <c r="C80" s="144">
        <f t="shared" ref="C80:P80" si="202">C6/C42</f>
        <v>0</v>
      </c>
      <c r="D80" s="144">
        <f t="shared" si="202"/>
        <v>0</v>
      </c>
      <c r="E80" s="144">
        <f t="shared" si="202"/>
        <v>0</v>
      </c>
      <c r="F80" s="144">
        <f t="shared" si="202"/>
        <v>0</v>
      </c>
      <c r="G80" s="144">
        <f t="shared" si="202"/>
        <v>12.5</v>
      </c>
      <c r="H80" s="144">
        <f t="shared" si="202"/>
        <v>12.5</v>
      </c>
      <c r="I80" s="144">
        <f t="shared" si="202"/>
        <v>16.18095238095238</v>
      </c>
      <c r="J80" s="144">
        <f t="shared" si="202"/>
        <v>20</v>
      </c>
      <c r="K80" s="144">
        <f t="shared" si="202"/>
        <v>14.464944649446494</v>
      </c>
      <c r="L80" s="144">
        <f t="shared" si="202"/>
        <v>14.612546125461254</v>
      </c>
      <c r="M80" s="144">
        <f t="shared" si="202"/>
        <v>15.858767205266307</v>
      </c>
      <c r="N80" s="144">
        <f t="shared" si="202"/>
        <v>27.601585728444004</v>
      </c>
      <c r="O80" s="144">
        <f t="shared" si="202"/>
        <v>32.023224653863331</v>
      </c>
      <c r="P80" s="144">
        <f t="shared" si="202"/>
        <v>33.100088183421519</v>
      </c>
      <c r="Q80" s="118">
        <f>((P80/G80)^(1/($H$2-$H$1) ))-1</f>
        <v>0.11427148129081299</v>
      </c>
      <c r="R80" s="128"/>
      <c r="S80" s="144">
        <f t="shared" ref="S80:AB80" si="203">S6/S42</f>
        <v>24.714732510288073</v>
      </c>
      <c r="T80" s="144">
        <f t="shared" si="203"/>
        <v>24.714732510288076</v>
      </c>
      <c r="U80" s="144">
        <f t="shared" si="203"/>
        <v>24.714732510288076</v>
      </c>
      <c r="V80" s="144">
        <f t="shared" si="203"/>
        <v>24.714732510288076</v>
      </c>
      <c r="W80" s="144">
        <f t="shared" si="203"/>
        <v>24.714732510288073</v>
      </c>
      <c r="X80" s="144">
        <f t="shared" si="203"/>
        <v>24.714732510288076</v>
      </c>
      <c r="Y80" s="144">
        <f t="shared" si="203"/>
        <v>24.714732510288073</v>
      </c>
      <c r="Z80" s="144">
        <f t="shared" si="203"/>
        <v>24.714732510288073</v>
      </c>
      <c r="AA80" s="144">
        <f t="shared" si="203"/>
        <v>24.714732510288069</v>
      </c>
      <c r="AB80" s="144">
        <f t="shared" si="203"/>
        <v>24.714732510288073</v>
      </c>
      <c r="AC80" s="138">
        <f t="shared" si="199"/>
        <v>3.6528775518303469E-2</v>
      </c>
      <c r="AD80" s="31">
        <f t="shared" ref="AD80" si="204">$L$1</f>
        <v>0.05</v>
      </c>
      <c r="AE80" s="146">
        <f t="shared" si="152"/>
        <v>152.64981844589695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05">E36/E25</f>
        <v>#DIV/0!</v>
      </c>
      <c r="F84" s="152" t="e">
        <f t="shared" si="205"/>
        <v>#DIV/0!</v>
      </c>
      <c r="G84" s="152" t="e">
        <f t="shared" si="205"/>
        <v>#DIV/0!</v>
      </c>
      <c r="H84" s="152">
        <f t="shared" si="205"/>
        <v>1.2307692307692308</v>
      </c>
      <c r="I84" s="152">
        <f t="shared" si="205"/>
        <v>-0.20370370370370369</v>
      </c>
      <c r="J84" s="152">
        <f t="shared" si="205"/>
        <v>0.56097560975609762</v>
      </c>
      <c r="K84" s="152">
        <f t="shared" si="205"/>
        <v>0.43518518518518517</v>
      </c>
      <c r="L84" s="152">
        <f t="shared" si="205"/>
        <v>0.38738738738738737</v>
      </c>
      <c r="M84" s="152">
        <f t="shared" si="205"/>
        <v>0.33333333333333331</v>
      </c>
      <c r="N84" s="152">
        <f t="shared" si="205"/>
        <v>0.49210526315789471</v>
      </c>
      <c r="O84" s="152">
        <f t="shared" si="205"/>
        <v>0.26455026455026454</v>
      </c>
      <c r="P84" s="152">
        <f t="shared" si="205"/>
        <v>0.22385989656793609</v>
      </c>
      <c r="Q84" s="118" t="e">
        <f t="shared" ref="Q84:Q134" si="206">((P84/G84)^(1/($H$2-$H$1) ))-1</f>
        <v>#DIV/0!</v>
      </c>
      <c r="R84" s="152"/>
      <c r="S84" s="152">
        <f t="shared" ref="S84:AB84" si="207">S36/S25</f>
        <v>0.22385989656793609</v>
      </c>
      <c r="T84" s="152">
        <f t="shared" si="207"/>
        <v>0.22385989656793606</v>
      </c>
      <c r="U84" s="152">
        <f t="shared" si="207"/>
        <v>0.22385989656793609</v>
      </c>
      <c r="V84" s="152">
        <f t="shared" si="207"/>
        <v>0.22385989656793609</v>
      </c>
      <c r="W84" s="152">
        <f t="shared" si="207"/>
        <v>0.22385989656793609</v>
      </c>
      <c r="X84" s="152">
        <f t="shared" si="207"/>
        <v>0.22385989656793609</v>
      </c>
      <c r="Y84" s="152">
        <f t="shared" si="207"/>
        <v>0.22385989656793609</v>
      </c>
      <c r="Z84" s="152">
        <f t="shared" si="207"/>
        <v>0.22385989656793606</v>
      </c>
      <c r="AA84" s="152">
        <f t="shared" si="207"/>
        <v>0.22385989656793609</v>
      </c>
      <c r="AB84" s="152">
        <f t="shared" si="207"/>
        <v>0.22385989656793609</v>
      </c>
      <c r="AC84" s="138" t="e">
        <f t="shared" ref="AC84:AC121" si="208">((AB84/G84)^(1/($AB$3-$H$1) ))-1</f>
        <v>#DIV/0!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09">E40/E25</f>
        <v>#DIV/0!</v>
      </c>
      <c r="F85" s="152" t="e">
        <f t="shared" si="209"/>
        <v>#DIV/0!</v>
      </c>
      <c r="G85" s="152" t="e">
        <f t="shared" si="209"/>
        <v>#DIV/0!</v>
      </c>
      <c r="H85" s="152">
        <f t="shared" si="209"/>
        <v>0.34615384615384615</v>
      </c>
      <c r="I85" s="152">
        <f t="shared" si="209"/>
        <v>5.5555555555555552E-2</v>
      </c>
      <c r="J85" s="152">
        <f t="shared" si="209"/>
        <v>0.48780487804878048</v>
      </c>
      <c r="K85" s="152">
        <f t="shared" si="209"/>
        <v>0.21296296296296297</v>
      </c>
      <c r="L85" s="152">
        <f t="shared" si="209"/>
        <v>9.0090090090090086E-2</v>
      </c>
      <c r="M85" s="152">
        <f t="shared" si="209"/>
        <v>9.0277777777777776E-2</v>
      </c>
      <c r="N85" s="152">
        <f t="shared" si="209"/>
        <v>0.43421052631578949</v>
      </c>
      <c r="O85" s="152">
        <f t="shared" si="209"/>
        <v>0.17724867724867724</v>
      </c>
      <c r="P85" s="152">
        <f t="shared" si="209"/>
        <v>0.11979313587212037</v>
      </c>
      <c r="Q85" s="118" t="e">
        <f t="shared" si="206"/>
        <v>#DIV/0!</v>
      </c>
      <c r="R85" s="152"/>
      <c r="S85" s="152">
        <f t="shared" ref="S85:AB85" si="210">S40/S25</f>
        <v>0.11979313587212037</v>
      </c>
      <c r="T85" s="152">
        <f t="shared" si="210"/>
        <v>0.11979313587212037</v>
      </c>
      <c r="U85" s="152">
        <f t="shared" si="210"/>
        <v>0.11979313587212037</v>
      </c>
      <c r="V85" s="152">
        <f t="shared" si="210"/>
        <v>0.11979313587212036</v>
      </c>
      <c r="W85" s="152">
        <f t="shared" si="210"/>
        <v>0.11979313587212036</v>
      </c>
      <c r="X85" s="152">
        <f t="shared" si="210"/>
        <v>0.11979313587212036</v>
      </c>
      <c r="Y85" s="152">
        <f t="shared" si="210"/>
        <v>0.11979313587212036</v>
      </c>
      <c r="Z85" s="152">
        <f t="shared" si="210"/>
        <v>0.11979313587212036</v>
      </c>
      <c r="AA85" s="152">
        <f t="shared" si="210"/>
        <v>0.11979313587212036</v>
      </c>
      <c r="AB85" s="152">
        <f t="shared" si="210"/>
        <v>0.11979313587212034</v>
      </c>
      <c r="AC85" s="138" t="e">
        <f t="shared" si="208"/>
        <v>#DIV/0!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211">E40/E7</f>
        <v>#DIV/0!</v>
      </c>
      <c r="F86" s="152" t="e">
        <f t="shared" si="211"/>
        <v>#DIV/0!</v>
      </c>
      <c r="G86" s="152">
        <f>G40/G7</f>
        <v>3.1111111111111114E-2</v>
      </c>
      <c r="H86" s="152">
        <f t="shared" si="211"/>
        <v>0.01</v>
      </c>
      <c r="I86" s="152">
        <f t="shared" si="211"/>
        <v>7.3818897637795269E-2</v>
      </c>
      <c r="J86" s="152">
        <f t="shared" si="211"/>
        <v>0.46511627906976744</v>
      </c>
      <c r="K86" s="152">
        <f t="shared" si="211"/>
        <v>0.10087719298245613</v>
      </c>
      <c r="L86" s="152">
        <f t="shared" si="211"/>
        <v>3.0769230769230771E-2</v>
      </c>
      <c r="M86" s="152">
        <f t="shared" si="211"/>
        <v>4.8148148148148148E-2</v>
      </c>
      <c r="N86" s="152">
        <f t="shared" si="211"/>
        <v>0.81683168316831678</v>
      </c>
      <c r="O86" s="152">
        <f t="shared" si="211"/>
        <v>0.15617715617715619</v>
      </c>
      <c r="P86" s="152">
        <f t="shared" ref="P86" si="212">P40/P7</f>
        <v>6.5907915157785824E-2</v>
      </c>
      <c r="Q86" s="118">
        <f t="shared" si="206"/>
        <v>8.6987806806182455E-2</v>
      </c>
      <c r="R86" s="20"/>
      <c r="S86" s="152">
        <f t="shared" ref="S86" si="213">S40/S7</f>
        <v>6.5907915157785824E-2</v>
      </c>
      <c r="T86" s="152">
        <f t="shared" ref="T86:AB86" si="214">T40/T7</f>
        <v>6.5907915157785824E-2</v>
      </c>
      <c r="U86" s="152">
        <f t="shared" si="214"/>
        <v>6.5907915157785824E-2</v>
      </c>
      <c r="V86" s="152">
        <f t="shared" si="214"/>
        <v>6.5907915157785824E-2</v>
      </c>
      <c r="W86" s="152">
        <f t="shared" si="214"/>
        <v>6.5907915157785824E-2</v>
      </c>
      <c r="X86" s="152">
        <f t="shared" si="214"/>
        <v>6.5907915157785824E-2</v>
      </c>
      <c r="Y86" s="152">
        <f t="shared" si="214"/>
        <v>6.5907915157785837E-2</v>
      </c>
      <c r="Z86" s="152">
        <f t="shared" si="214"/>
        <v>6.5907915157785837E-2</v>
      </c>
      <c r="AA86" s="152">
        <f t="shared" si="214"/>
        <v>6.5907915157785837E-2</v>
      </c>
      <c r="AB86" s="152">
        <f t="shared" si="214"/>
        <v>6.5907915157785837E-2</v>
      </c>
      <c r="AC86" s="138">
        <f t="shared" si="208"/>
        <v>4.0301094411468119E-2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215">(E40)/(E7+E10)</f>
        <v>#DIV/0!</v>
      </c>
      <c r="F87" s="152" t="e">
        <f t="shared" si="215"/>
        <v>#DIV/0!</v>
      </c>
      <c r="G87" s="152">
        <f>(G40)/(G7+G10)</f>
        <v>2.9629629629629634E-2</v>
      </c>
      <c r="H87" s="152">
        <f t="shared" ref="H87:O87" si="216">(H40)/(H7+H10)</f>
        <v>2.6470588235294116E-3</v>
      </c>
      <c r="I87" s="152">
        <f t="shared" si="216"/>
        <v>2.6633522727272728E-2</v>
      </c>
      <c r="J87" s="152">
        <f t="shared" si="216"/>
        <v>0.16326530612244897</v>
      </c>
      <c r="K87" s="152">
        <f t="shared" si="216"/>
        <v>4.1441441441441441E-2</v>
      </c>
      <c r="L87" s="152">
        <f t="shared" si="216"/>
        <v>1.5384615384615385E-2</v>
      </c>
      <c r="M87" s="152">
        <f t="shared" si="216"/>
        <v>2.4074074074074074E-2</v>
      </c>
      <c r="N87" s="152">
        <f t="shared" si="216"/>
        <v>0.40841584158415839</v>
      </c>
      <c r="O87" s="152">
        <f t="shared" si="216"/>
        <v>7.7997671711292196E-2</v>
      </c>
      <c r="P87" s="152">
        <f t="shared" ref="P87" si="217">(P40)/(P7+P10)</f>
        <v>6.5907915157785824E-2</v>
      </c>
      <c r="Q87" s="118">
        <f t="shared" si="206"/>
        <v>9.2896509761888568E-2</v>
      </c>
      <c r="R87" s="20"/>
      <c r="S87" s="152">
        <f t="shared" ref="S87:AB87" si="218">(S40)/(S7+S10)</f>
        <v>6.5907915157785824E-2</v>
      </c>
      <c r="T87" s="152">
        <f t="shared" si="218"/>
        <v>6.5907915157785824E-2</v>
      </c>
      <c r="U87" s="152">
        <f t="shared" si="218"/>
        <v>6.5907915157785824E-2</v>
      </c>
      <c r="V87" s="152">
        <f t="shared" si="218"/>
        <v>6.5907915157785824E-2</v>
      </c>
      <c r="W87" s="152">
        <f t="shared" si="218"/>
        <v>6.5907915157785824E-2</v>
      </c>
      <c r="X87" s="152">
        <f t="shared" si="218"/>
        <v>6.5907915157785824E-2</v>
      </c>
      <c r="Y87" s="152">
        <f t="shared" si="218"/>
        <v>6.5907915157785837E-2</v>
      </c>
      <c r="Z87" s="152">
        <f t="shared" si="218"/>
        <v>6.5907915157785837E-2</v>
      </c>
      <c r="AA87" s="152">
        <f t="shared" si="218"/>
        <v>6.5907915157785837E-2</v>
      </c>
      <c r="AB87" s="152">
        <f t="shared" si="218"/>
        <v>6.5907915157785837E-2</v>
      </c>
      <c r="AC87" s="138">
        <f t="shared" si="208"/>
        <v>4.2975919982219946E-2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 t="e">
        <f>G20/G25</f>
        <v>#DIV/0!</v>
      </c>
      <c r="H88" s="152">
        <f t="shared" ref="H88:P88" si="219">H20/H25</f>
        <v>0</v>
      </c>
      <c r="I88" s="152">
        <f t="shared" si="219"/>
        <v>0</v>
      </c>
      <c r="J88" s="152">
        <f t="shared" si="219"/>
        <v>0</v>
      </c>
      <c r="K88" s="152">
        <f t="shared" si="219"/>
        <v>0</v>
      </c>
      <c r="L88" s="152">
        <f t="shared" si="219"/>
        <v>0</v>
      </c>
      <c r="M88" s="152">
        <f t="shared" si="219"/>
        <v>0</v>
      </c>
      <c r="N88" s="152">
        <f t="shared" si="219"/>
        <v>0</v>
      </c>
      <c r="O88" s="152">
        <f t="shared" si="219"/>
        <v>0</v>
      </c>
      <c r="P88" s="152">
        <f t="shared" si="219"/>
        <v>0</v>
      </c>
      <c r="Q88" s="118" t="e">
        <f t="shared" si="206"/>
        <v>#DIV/0!</v>
      </c>
      <c r="R88" s="20"/>
      <c r="S88" s="152">
        <f t="shared" ref="S88:AB88" si="220">S20/S25</f>
        <v>0</v>
      </c>
      <c r="T88" s="152">
        <f t="shared" si="220"/>
        <v>0</v>
      </c>
      <c r="U88" s="152">
        <f t="shared" si="220"/>
        <v>0</v>
      </c>
      <c r="V88" s="152">
        <f t="shared" si="220"/>
        <v>0</v>
      </c>
      <c r="W88" s="152">
        <f t="shared" si="220"/>
        <v>0</v>
      </c>
      <c r="X88" s="152">
        <f t="shared" si="220"/>
        <v>0</v>
      </c>
      <c r="Y88" s="152">
        <f t="shared" si="220"/>
        <v>0</v>
      </c>
      <c r="Z88" s="152">
        <f t="shared" si="220"/>
        <v>0</v>
      </c>
      <c r="AA88" s="152">
        <f t="shared" si="220"/>
        <v>0</v>
      </c>
      <c r="AB88" s="152">
        <f t="shared" si="220"/>
        <v>0</v>
      </c>
      <c r="AC88" s="138" t="e">
        <f t="shared" si="208"/>
        <v>#DIV/0!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 t="e">
        <f>G29/G25</f>
        <v>#DIV/0!</v>
      </c>
      <c r="H90" s="152">
        <f t="shared" ref="H90:P90" si="221">H29/H25</f>
        <v>3.8461538461538464E-2</v>
      </c>
      <c r="I90" s="152">
        <f t="shared" si="221"/>
        <v>0.14351851851851852</v>
      </c>
      <c r="J90" s="152">
        <f t="shared" si="221"/>
        <v>0.66634146341463418</v>
      </c>
      <c r="K90" s="152">
        <f t="shared" si="221"/>
        <v>0.37962962962962965</v>
      </c>
      <c r="L90" s="152">
        <f t="shared" si="221"/>
        <v>0</v>
      </c>
      <c r="M90" s="152">
        <f t="shared" si="221"/>
        <v>0</v>
      </c>
      <c r="N90" s="152">
        <f t="shared" si="221"/>
        <v>0</v>
      </c>
      <c r="O90" s="152">
        <f t="shared" si="221"/>
        <v>0</v>
      </c>
      <c r="P90" s="152">
        <f t="shared" si="221"/>
        <v>0</v>
      </c>
      <c r="Q90" s="118" t="e">
        <f t="shared" si="206"/>
        <v>#DIV/0!</v>
      </c>
      <c r="R90" s="20"/>
      <c r="S90" s="152">
        <f t="shared" ref="S90:AB90" si="222">S29/S25</f>
        <v>0</v>
      </c>
      <c r="T90" s="152">
        <f t="shared" si="222"/>
        <v>0</v>
      </c>
      <c r="U90" s="152">
        <f t="shared" si="222"/>
        <v>0</v>
      </c>
      <c r="V90" s="152">
        <f t="shared" si="222"/>
        <v>0</v>
      </c>
      <c r="W90" s="152">
        <f t="shared" si="222"/>
        <v>0</v>
      </c>
      <c r="X90" s="152">
        <f t="shared" si="222"/>
        <v>0</v>
      </c>
      <c r="Y90" s="152">
        <f t="shared" si="222"/>
        <v>0</v>
      </c>
      <c r="Z90" s="152">
        <f t="shared" si="222"/>
        <v>0</v>
      </c>
      <c r="AA90" s="152">
        <f t="shared" si="222"/>
        <v>0</v>
      </c>
      <c r="AB90" s="152">
        <f t="shared" si="222"/>
        <v>0</v>
      </c>
      <c r="AC90" s="138" t="e">
        <f t="shared" si="208"/>
        <v>#DIV/0!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>
        <f>G29/G36</f>
        <v>3.125E-2</v>
      </c>
      <c r="H91" s="152">
        <f t="shared" ref="H91:P91" si="223">H29/H36</f>
        <v>3.125E-2</v>
      </c>
      <c r="I91" s="152">
        <f t="shared" si="223"/>
        <v>-0.70454545454545459</v>
      </c>
      <c r="J91" s="152">
        <f t="shared" si="223"/>
        <v>1.1878260869565218</v>
      </c>
      <c r="K91" s="152">
        <f t="shared" si="223"/>
        <v>0.87234042553191493</v>
      </c>
      <c r="L91" s="152">
        <f t="shared" si="223"/>
        <v>0</v>
      </c>
      <c r="M91" s="152">
        <f t="shared" si="223"/>
        <v>0</v>
      </c>
      <c r="N91" s="152">
        <f t="shared" si="223"/>
        <v>0</v>
      </c>
      <c r="O91" s="152">
        <f t="shared" si="223"/>
        <v>0</v>
      </c>
      <c r="P91" s="152">
        <f t="shared" si="223"/>
        <v>0</v>
      </c>
      <c r="Q91" s="118">
        <f t="shared" ref="Q91" si="224">((P91/G91)^(1/($H$2-$H$1) ))-1</f>
        <v>-1</v>
      </c>
      <c r="R91" s="20"/>
      <c r="S91" s="152">
        <f t="shared" ref="S91:AB91" si="225">S29/S36</f>
        <v>0</v>
      </c>
      <c r="T91" s="152">
        <f t="shared" si="225"/>
        <v>0</v>
      </c>
      <c r="U91" s="152">
        <f t="shared" si="225"/>
        <v>0</v>
      </c>
      <c r="V91" s="152">
        <f t="shared" si="225"/>
        <v>0</v>
      </c>
      <c r="W91" s="152">
        <f t="shared" si="225"/>
        <v>0</v>
      </c>
      <c r="X91" s="152">
        <f t="shared" si="225"/>
        <v>0</v>
      </c>
      <c r="Y91" s="152">
        <f t="shared" si="225"/>
        <v>0</v>
      </c>
      <c r="Z91" s="152">
        <f t="shared" si="225"/>
        <v>0</v>
      </c>
      <c r="AA91" s="152">
        <f t="shared" si="225"/>
        <v>0</v>
      </c>
      <c r="AB91" s="152">
        <f t="shared" si="225"/>
        <v>0</v>
      </c>
      <c r="AC91" s="138">
        <f t="shared" ref="AC91" si="226">((AB91/G91)^(1/($AB$3-$H$1) ))-1</f>
        <v>-1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>
        <f t="shared" ref="G92:P92" si="227">G29/G40</f>
        <v>3.5714285714285712E-2</v>
      </c>
      <c r="H92" s="171">
        <f t="shared" si="227"/>
        <v>0.11111111111111112</v>
      </c>
      <c r="I92" s="171">
        <f t="shared" si="227"/>
        <v>2.5833333333333335</v>
      </c>
      <c r="J92" s="171">
        <f t="shared" si="227"/>
        <v>1.3660000000000001</v>
      </c>
      <c r="K92" s="171">
        <f t="shared" si="227"/>
        <v>1.7826086956521738</v>
      </c>
      <c r="L92" s="171">
        <f t="shared" si="227"/>
        <v>0</v>
      </c>
      <c r="M92" s="171">
        <f t="shared" si="227"/>
        <v>0</v>
      </c>
      <c r="N92" s="171">
        <f t="shared" si="227"/>
        <v>0</v>
      </c>
      <c r="O92" s="171">
        <f t="shared" si="227"/>
        <v>0</v>
      </c>
      <c r="P92" s="171">
        <f t="shared" si="227"/>
        <v>0</v>
      </c>
      <c r="Q92" s="118">
        <f t="shared" ref="Q92" si="228">((P92/G92)^(1/($H$2-$H$1) ))-1</f>
        <v>-1</v>
      </c>
      <c r="R92" s="20"/>
      <c r="S92" s="171">
        <f t="shared" ref="S92:AB92" si="229">S29/S40</f>
        <v>0</v>
      </c>
      <c r="T92" s="171">
        <f t="shared" si="229"/>
        <v>0</v>
      </c>
      <c r="U92" s="171">
        <f t="shared" si="229"/>
        <v>0</v>
      </c>
      <c r="V92" s="171">
        <f t="shared" si="229"/>
        <v>0</v>
      </c>
      <c r="W92" s="171">
        <f t="shared" si="229"/>
        <v>0</v>
      </c>
      <c r="X92" s="171">
        <f t="shared" si="229"/>
        <v>0</v>
      </c>
      <c r="Y92" s="171">
        <f t="shared" si="229"/>
        <v>0</v>
      </c>
      <c r="Z92" s="171">
        <f t="shared" si="229"/>
        <v>0</v>
      </c>
      <c r="AA92" s="171">
        <f t="shared" si="229"/>
        <v>0</v>
      </c>
      <c r="AB92" s="171">
        <f t="shared" si="229"/>
        <v>0</v>
      </c>
      <c r="AC92" s="138">
        <f t="shared" ref="AC92" si="230">((AB92/G92)^(1/($AB$3-$H$1) ))-1</f>
        <v>-1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>
        <f t="shared" ref="G93:P93" si="231">G29/G12</f>
        <v>1</v>
      </c>
      <c r="H93" s="171" t="e">
        <f t="shared" si="231"/>
        <v>#DIV/0!</v>
      </c>
      <c r="I93" s="171">
        <f t="shared" si="231"/>
        <v>2.74822695035461</v>
      </c>
      <c r="J93" s="171">
        <f t="shared" si="231"/>
        <v>9.1066666666666674</v>
      </c>
      <c r="K93" s="171">
        <f t="shared" si="231"/>
        <v>0.47126436781609193</v>
      </c>
      <c r="L93" s="171">
        <f t="shared" si="231"/>
        <v>0</v>
      </c>
      <c r="M93" s="171">
        <f t="shared" si="231"/>
        <v>0</v>
      </c>
      <c r="N93" s="171">
        <f t="shared" si="231"/>
        <v>0</v>
      </c>
      <c r="O93" s="171">
        <f t="shared" si="231"/>
        <v>0</v>
      </c>
      <c r="P93" s="171">
        <f t="shared" si="231"/>
        <v>0</v>
      </c>
      <c r="Q93" s="118">
        <f t="shared" si="206"/>
        <v>-1</v>
      </c>
      <c r="R93" s="20"/>
      <c r="S93" s="152">
        <f t="shared" ref="S93:AB93" si="232">S29/S12</f>
        <v>0</v>
      </c>
      <c r="T93" s="152">
        <f t="shared" si="232"/>
        <v>0</v>
      </c>
      <c r="U93" s="152">
        <f t="shared" si="232"/>
        <v>0</v>
      </c>
      <c r="V93" s="152">
        <f t="shared" si="232"/>
        <v>0</v>
      </c>
      <c r="W93" s="152">
        <f t="shared" si="232"/>
        <v>0</v>
      </c>
      <c r="X93" s="152">
        <f t="shared" si="232"/>
        <v>0</v>
      </c>
      <c r="Y93" s="152">
        <f t="shared" si="232"/>
        <v>0</v>
      </c>
      <c r="Z93" s="152">
        <f t="shared" si="232"/>
        <v>0</v>
      </c>
      <c r="AA93" s="152">
        <f t="shared" si="232"/>
        <v>0</v>
      </c>
      <c r="AB93" s="152">
        <f t="shared" si="232"/>
        <v>0</v>
      </c>
      <c r="AC93" s="138">
        <f t="shared" si="208"/>
        <v>-1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 t="e">
        <f>G29/G23</f>
        <v>#DIV/0!</v>
      </c>
      <c r="H94" s="171" t="e">
        <f t="shared" ref="H94:P94" si="233">H29/H23</f>
        <v>#DIV/0!</v>
      </c>
      <c r="I94" s="171" t="e">
        <f t="shared" si="233"/>
        <v>#DIV/0!</v>
      </c>
      <c r="J94" s="171" t="e">
        <f t="shared" si="233"/>
        <v>#DIV/0!</v>
      </c>
      <c r="K94" s="171" t="e">
        <f t="shared" si="233"/>
        <v>#DIV/0!</v>
      </c>
      <c r="L94" s="171" t="e">
        <f t="shared" si="233"/>
        <v>#DIV/0!</v>
      </c>
      <c r="M94" s="171" t="e">
        <f t="shared" si="233"/>
        <v>#DIV/0!</v>
      </c>
      <c r="N94" s="171" t="e">
        <f t="shared" si="233"/>
        <v>#DIV/0!</v>
      </c>
      <c r="O94" s="171" t="e">
        <f t="shared" si="233"/>
        <v>#DIV/0!</v>
      </c>
      <c r="P94" s="171" t="e">
        <f t="shared" si="233"/>
        <v>#DIV/0!</v>
      </c>
      <c r="Q94" s="118" t="e">
        <f t="shared" ref="Q94" si="234">((P94/G94)^(1/($H$2-$H$1) ))-1</f>
        <v>#DIV/0!</v>
      </c>
      <c r="R94" s="20"/>
      <c r="S94" s="171" t="e">
        <f t="shared" ref="S94:AB94" si="235">S29/S23</f>
        <v>#DIV/0!</v>
      </c>
      <c r="T94" s="171" t="e">
        <f t="shared" si="235"/>
        <v>#DIV/0!</v>
      </c>
      <c r="U94" s="171" t="e">
        <f t="shared" si="235"/>
        <v>#DIV/0!</v>
      </c>
      <c r="V94" s="171" t="e">
        <f t="shared" si="235"/>
        <v>#DIV/0!</v>
      </c>
      <c r="W94" s="171" t="e">
        <f t="shared" si="235"/>
        <v>#DIV/0!</v>
      </c>
      <c r="X94" s="171" t="e">
        <f t="shared" si="235"/>
        <v>#DIV/0!</v>
      </c>
      <c r="Y94" s="171" t="e">
        <f t="shared" si="235"/>
        <v>#DIV/0!</v>
      </c>
      <c r="Z94" s="171" t="e">
        <f t="shared" si="235"/>
        <v>#DIV/0!</v>
      </c>
      <c r="AA94" s="171" t="e">
        <f t="shared" si="235"/>
        <v>#DIV/0!</v>
      </c>
      <c r="AB94" s="171" t="e">
        <f t="shared" si="235"/>
        <v>#DIV/0!</v>
      </c>
      <c r="AC94" s="138" t="e">
        <f t="shared" ref="AC94" si="236">((AB94/G94)^(1/($AB$3-$H$1) ))-1</f>
        <v>#DIV/0!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403</v>
      </c>
      <c r="C96" s="152"/>
      <c r="D96" s="152"/>
      <c r="E96" s="152"/>
      <c r="F96" s="152"/>
      <c r="G96" s="127" t="e">
        <f>1/G90</f>
        <v>#DIV/0!</v>
      </c>
      <c r="H96" s="127">
        <f t="shared" ref="H96:P96" si="237">1/H90</f>
        <v>26</v>
      </c>
      <c r="I96" s="127">
        <f t="shared" si="237"/>
        <v>6.967741935483871</v>
      </c>
      <c r="J96" s="127">
        <f t="shared" si="237"/>
        <v>1.5007320644216691</v>
      </c>
      <c r="K96" s="127">
        <f t="shared" si="237"/>
        <v>2.6341463414634143</v>
      </c>
      <c r="L96" s="127" t="e">
        <f t="shared" si="237"/>
        <v>#DIV/0!</v>
      </c>
      <c r="M96" s="127" t="e">
        <f t="shared" si="237"/>
        <v>#DIV/0!</v>
      </c>
      <c r="N96" s="127" t="e">
        <f t="shared" si="237"/>
        <v>#DIV/0!</v>
      </c>
      <c r="O96" s="127" t="e">
        <f t="shared" si="237"/>
        <v>#DIV/0!</v>
      </c>
      <c r="P96" s="127" t="e">
        <f t="shared" si="237"/>
        <v>#DIV/0!</v>
      </c>
      <c r="Q96" s="118" t="e">
        <f t="shared" si="206"/>
        <v>#DIV/0!</v>
      </c>
      <c r="R96" s="20"/>
      <c r="S96" s="127" t="e">
        <f t="shared" ref="S96:AB96" si="238">1/S90</f>
        <v>#DIV/0!</v>
      </c>
      <c r="T96" s="127" t="e">
        <f t="shared" si="238"/>
        <v>#DIV/0!</v>
      </c>
      <c r="U96" s="127" t="e">
        <f t="shared" si="238"/>
        <v>#DIV/0!</v>
      </c>
      <c r="V96" s="127" t="e">
        <f t="shared" si="238"/>
        <v>#DIV/0!</v>
      </c>
      <c r="W96" s="127" t="e">
        <f t="shared" si="238"/>
        <v>#DIV/0!</v>
      </c>
      <c r="X96" s="127" t="e">
        <f t="shared" si="238"/>
        <v>#DIV/0!</v>
      </c>
      <c r="Y96" s="127" t="e">
        <f t="shared" si="238"/>
        <v>#DIV/0!</v>
      </c>
      <c r="Z96" s="127" t="e">
        <f t="shared" si="238"/>
        <v>#DIV/0!</v>
      </c>
      <c r="AA96" s="127" t="e">
        <f t="shared" si="238"/>
        <v>#DIV/0!</v>
      </c>
      <c r="AB96" s="127" t="e">
        <f t="shared" si="238"/>
        <v>#DIV/0!</v>
      </c>
      <c r="AC96" s="138" t="e">
        <f t="shared" si="208"/>
        <v>#DIV/0!</v>
      </c>
      <c r="AD96" s="146"/>
      <c r="AE96" s="146"/>
    </row>
    <row r="97" spans="2:31" ht="12" customHeight="1" x14ac:dyDescent="0.2">
      <c r="B97" s="20" t="s">
        <v>404</v>
      </c>
      <c r="C97" s="152"/>
      <c r="D97" s="152"/>
      <c r="E97" s="152"/>
      <c r="F97" s="152"/>
      <c r="G97" s="127">
        <f t="shared" ref="G97:P100" si="239">1/G91</f>
        <v>32</v>
      </c>
      <c r="H97" s="127">
        <f t="shared" si="239"/>
        <v>32</v>
      </c>
      <c r="I97" s="127">
        <f t="shared" si="239"/>
        <v>-1.4193548387096773</v>
      </c>
      <c r="J97" s="127">
        <f t="shared" si="239"/>
        <v>0.84187408491947291</v>
      </c>
      <c r="K97" s="127">
        <f t="shared" si="239"/>
        <v>1.1463414634146341</v>
      </c>
      <c r="L97" s="127" t="e">
        <f t="shared" si="239"/>
        <v>#DIV/0!</v>
      </c>
      <c r="M97" s="127" t="e">
        <f t="shared" si="239"/>
        <v>#DIV/0!</v>
      </c>
      <c r="N97" s="127" t="e">
        <f t="shared" si="239"/>
        <v>#DIV/0!</v>
      </c>
      <c r="O97" s="127" t="e">
        <f t="shared" si="239"/>
        <v>#DIV/0!</v>
      </c>
      <c r="P97" s="127" t="e">
        <f t="shared" si="239"/>
        <v>#DIV/0!</v>
      </c>
      <c r="Q97" s="118" t="e">
        <f t="shared" si="206"/>
        <v>#DIV/0!</v>
      </c>
      <c r="R97" s="20"/>
      <c r="S97" s="127" t="e">
        <f t="shared" ref="S97:AB97" si="240">1/S91</f>
        <v>#DIV/0!</v>
      </c>
      <c r="T97" s="127" t="e">
        <f t="shared" si="240"/>
        <v>#DIV/0!</v>
      </c>
      <c r="U97" s="127" t="e">
        <f t="shared" si="240"/>
        <v>#DIV/0!</v>
      </c>
      <c r="V97" s="127" t="e">
        <f t="shared" si="240"/>
        <v>#DIV/0!</v>
      </c>
      <c r="W97" s="127" t="e">
        <f t="shared" si="240"/>
        <v>#DIV/0!</v>
      </c>
      <c r="X97" s="127" t="e">
        <f t="shared" si="240"/>
        <v>#DIV/0!</v>
      </c>
      <c r="Y97" s="127" t="e">
        <f t="shared" si="240"/>
        <v>#DIV/0!</v>
      </c>
      <c r="Z97" s="127" t="e">
        <f t="shared" si="240"/>
        <v>#DIV/0!</v>
      </c>
      <c r="AA97" s="127" t="e">
        <f t="shared" si="240"/>
        <v>#DIV/0!</v>
      </c>
      <c r="AB97" s="127" t="e">
        <f t="shared" si="240"/>
        <v>#DIV/0!</v>
      </c>
      <c r="AC97" s="138" t="e">
        <f t="shared" si="208"/>
        <v>#DIV/0!</v>
      </c>
      <c r="AD97" s="146"/>
      <c r="AE97" s="146"/>
    </row>
    <row r="98" spans="2:31" ht="12" customHeight="1" x14ac:dyDescent="0.2">
      <c r="B98" s="20" t="s">
        <v>405</v>
      </c>
      <c r="C98" s="152"/>
      <c r="D98" s="152"/>
      <c r="E98" s="152"/>
      <c r="F98" s="152"/>
      <c r="G98" s="127">
        <f t="shared" si="239"/>
        <v>28</v>
      </c>
      <c r="H98" s="127">
        <f t="shared" si="239"/>
        <v>9</v>
      </c>
      <c r="I98" s="127">
        <f t="shared" si="239"/>
        <v>0.38709677419354838</v>
      </c>
      <c r="J98" s="127">
        <f t="shared" si="239"/>
        <v>0.73206442166910679</v>
      </c>
      <c r="K98" s="127">
        <f t="shared" si="239"/>
        <v>0.56097560975609762</v>
      </c>
      <c r="L98" s="127" t="e">
        <f t="shared" si="239"/>
        <v>#DIV/0!</v>
      </c>
      <c r="M98" s="127" t="e">
        <f t="shared" si="239"/>
        <v>#DIV/0!</v>
      </c>
      <c r="N98" s="127" t="e">
        <f t="shared" si="239"/>
        <v>#DIV/0!</v>
      </c>
      <c r="O98" s="127" t="e">
        <f t="shared" si="239"/>
        <v>#DIV/0!</v>
      </c>
      <c r="P98" s="127" t="e">
        <f t="shared" si="239"/>
        <v>#DIV/0!</v>
      </c>
      <c r="Q98" s="118" t="e">
        <f t="shared" si="206"/>
        <v>#DIV/0!</v>
      </c>
      <c r="R98" s="20"/>
      <c r="S98" s="127" t="e">
        <f t="shared" ref="S98:AB98" si="241">1/S92</f>
        <v>#DIV/0!</v>
      </c>
      <c r="T98" s="127" t="e">
        <f t="shared" si="241"/>
        <v>#DIV/0!</v>
      </c>
      <c r="U98" s="127" t="e">
        <f t="shared" si="241"/>
        <v>#DIV/0!</v>
      </c>
      <c r="V98" s="127" t="e">
        <f t="shared" si="241"/>
        <v>#DIV/0!</v>
      </c>
      <c r="W98" s="127" t="e">
        <f t="shared" si="241"/>
        <v>#DIV/0!</v>
      </c>
      <c r="X98" s="127" t="e">
        <f t="shared" si="241"/>
        <v>#DIV/0!</v>
      </c>
      <c r="Y98" s="127" t="e">
        <f t="shared" si="241"/>
        <v>#DIV/0!</v>
      </c>
      <c r="Z98" s="127" t="e">
        <f t="shared" si="241"/>
        <v>#DIV/0!</v>
      </c>
      <c r="AA98" s="127" t="e">
        <f t="shared" si="241"/>
        <v>#DIV/0!</v>
      </c>
      <c r="AB98" s="127" t="e">
        <f t="shared" si="241"/>
        <v>#DIV/0!</v>
      </c>
      <c r="AC98" s="138" t="e">
        <f t="shared" si="208"/>
        <v>#DIV/0!</v>
      </c>
      <c r="AD98" s="146"/>
      <c r="AE98" s="146"/>
    </row>
    <row r="99" spans="2:31" ht="12" customHeight="1" x14ac:dyDescent="0.2">
      <c r="B99" s="20" t="s">
        <v>406</v>
      </c>
      <c r="C99" s="152"/>
      <c r="D99" s="152"/>
      <c r="E99" s="152"/>
      <c r="F99" s="152"/>
      <c r="G99" s="127">
        <f t="shared" si="239"/>
        <v>1</v>
      </c>
      <c r="H99" s="127" t="e">
        <f t="shared" si="239"/>
        <v>#DIV/0!</v>
      </c>
      <c r="I99" s="127">
        <f t="shared" si="239"/>
        <v>0.3638709677419355</v>
      </c>
      <c r="J99" s="127">
        <f t="shared" si="239"/>
        <v>0.10980966325036602</v>
      </c>
      <c r="K99" s="127">
        <f t="shared" si="239"/>
        <v>2.1219512195121952</v>
      </c>
      <c r="L99" s="127" t="e">
        <f t="shared" si="239"/>
        <v>#DIV/0!</v>
      </c>
      <c r="M99" s="127" t="e">
        <f t="shared" si="239"/>
        <v>#DIV/0!</v>
      </c>
      <c r="N99" s="127" t="e">
        <f t="shared" si="239"/>
        <v>#DIV/0!</v>
      </c>
      <c r="O99" s="127" t="e">
        <f t="shared" si="239"/>
        <v>#DIV/0!</v>
      </c>
      <c r="P99" s="127" t="e">
        <f t="shared" si="239"/>
        <v>#DIV/0!</v>
      </c>
      <c r="Q99" s="118" t="e">
        <f t="shared" si="206"/>
        <v>#DIV/0!</v>
      </c>
      <c r="R99" s="20"/>
      <c r="S99" s="127" t="e">
        <f t="shared" ref="S99:AB99" si="242">1/S93</f>
        <v>#DIV/0!</v>
      </c>
      <c r="T99" s="127" t="e">
        <f t="shared" si="242"/>
        <v>#DIV/0!</v>
      </c>
      <c r="U99" s="127" t="e">
        <f t="shared" si="242"/>
        <v>#DIV/0!</v>
      </c>
      <c r="V99" s="127" t="e">
        <f t="shared" si="242"/>
        <v>#DIV/0!</v>
      </c>
      <c r="W99" s="127" t="e">
        <f t="shared" si="242"/>
        <v>#DIV/0!</v>
      </c>
      <c r="X99" s="127" t="e">
        <f t="shared" si="242"/>
        <v>#DIV/0!</v>
      </c>
      <c r="Y99" s="127" t="e">
        <f t="shared" si="242"/>
        <v>#DIV/0!</v>
      </c>
      <c r="Z99" s="127" t="e">
        <f t="shared" si="242"/>
        <v>#DIV/0!</v>
      </c>
      <c r="AA99" s="127" t="e">
        <f t="shared" si="242"/>
        <v>#DIV/0!</v>
      </c>
      <c r="AB99" s="127" t="e">
        <f t="shared" si="242"/>
        <v>#DIV/0!</v>
      </c>
      <c r="AC99" s="138" t="e">
        <f t="shared" si="208"/>
        <v>#DIV/0!</v>
      </c>
      <c r="AD99" s="146"/>
      <c r="AE99" s="146"/>
    </row>
    <row r="100" spans="2:31" ht="12" customHeight="1" x14ac:dyDescent="0.2">
      <c r="B100" s="20" t="s">
        <v>407</v>
      </c>
      <c r="C100" s="152"/>
      <c r="D100" s="152"/>
      <c r="E100" s="152"/>
      <c r="F100" s="152"/>
      <c r="G100" s="127" t="e">
        <f t="shared" si="239"/>
        <v>#DIV/0!</v>
      </c>
      <c r="H100" s="127" t="e">
        <f t="shared" si="239"/>
        <v>#DIV/0!</v>
      </c>
      <c r="I100" s="127" t="e">
        <f t="shared" si="239"/>
        <v>#DIV/0!</v>
      </c>
      <c r="J100" s="127" t="e">
        <f t="shared" si="239"/>
        <v>#DIV/0!</v>
      </c>
      <c r="K100" s="127" t="e">
        <f t="shared" si="239"/>
        <v>#DIV/0!</v>
      </c>
      <c r="L100" s="127" t="e">
        <f t="shared" si="239"/>
        <v>#DIV/0!</v>
      </c>
      <c r="M100" s="127" t="e">
        <f t="shared" si="239"/>
        <v>#DIV/0!</v>
      </c>
      <c r="N100" s="127" t="e">
        <f t="shared" si="239"/>
        <v>#DIV/0!</v>
      </c>
      <c r="O100" s="127" t="e">
        <f t="shared" si="239"/>
        <v>#DIV/0!</v>
      </c>
      <c r="P100" s="127" t="e">
        <f t="shared" si="239"/>
        <v>#DIV/0!</v>
      </c>
      <c r="Q100" s="118" t="e">
        <f t="shared" si="206"/>
        <v>#DIV/0!</v>
      </c>
      <c r="R100" s="20"/>
      <c r="S100" s="127" t="e">
        <f t="shared" ref="S100:AB100" si="243">1/S94</f>
        <v>#DIV/0!</v>
      </c>
      <c r="T100" s="127" t="e">
        <f t="shared" si="243"/>
        <v>#DIV/0!</v>
      </c>
      <c r="U100" s="127" t="e">
        <f t="shared" si="243"/>
        <v>#DIV/0!</v>
      </c>
      <c r="V100" s="127" t="e">
        <f t="shared" si="243"/>
        <v>#DIV/0!</v>
      </c>
      <c r="W100" s="127" t="e">
        <f t="shared" si="243"/>
        <v>#DIV/0!</v>
      </c>
      <c r="X100" s="127" t="e">
        <f t="shared" si="243"/>
        <v>#DIV/0!</v>
      </c>
      <c r="Y100" s="127" t="e">
        <f t="shared" si="243"/>
        <v>#DIV/0!</v>
      </c>
      <c r="Z100" s="127" t="e">
        <f t="shared" si="243"/>
        <v>#DIV/0!</v>
      </c>
      <c r="AA100" s="127" t="e">
        <f t="shared" si="243"/>
        <v>#DIV/0!</v>
      </c>
      <c r="AB100" s="127" t="e">
        <f t="shared" si="243"/>
        <v>#DIV/0!</v>
      </c>
      <c r="AC100" s="138" t="e">
        <f t="shared" si="208"/>
        <v>#DIV/0!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44">F10-(F12+F13)</f>
        <v>0</v>
      </c>
      <c r="G103" s="163">
        <f t="shared" si="244"/>
        <v>-3.5599999999999996</v>
      </c>
      <c r="H103" s="163">
        <f t="shared" si="244"/>
        <v>21</v>
      </c>
      <c r="I103" s="163">
        <f t="shared" si="244"/>
        <v>68.760000000000005</v>
      </c>
      <c r="J103" s="163">
        <f t="shared" si="244"/>
        <v>-11.5</v>
      </c>
      <c r="K103" s="163">
        <f t="shared" si="244"/>
        <v>-25</v>
      </c>
      <c r="L103" s="163">
        <f t="shared" si="244"/>
        <v>85</v>
      </c>
      <c r="M103" s="163">
        <f t="shared" si="244"/>
        <v>52</v>
      </c>
      <c r="N103" s="163">
        <f t="shared" si="244"/>
        <v>-24</v>
      </c>
      <c r="O103" s="163">
        <f t="shared" si="244"/>
        <v>160</v>
      </c>
      <c r="P103" s="163">
        <f>P10-(P12+P13)</f>
        <v>-160.1</v>
      </c>
      <c r="Q103" s="118">
        <f t="shared" si="206"/>
        <v>0.52637114787519312</v>
      </c>
      <c r="R103" s="20"/>
      <c r="S103" s="163">
        <f>S10-(S12+S13)</f>
        <v>-179.31200000000001</v>
      </c>
      <c r="T103" s="163">
        <f t="shared" ref="T103:AB103" si="245">T10-(T12+T13)</f>
        <v>-200.82944000000003</v>
      </c>
      <c r="U103" s="163">
        <f t="shared" si="245"/>
        <v>-224.92897280000005</v>
      </c>
      <c r="V103" s="163">
        <f t="shared" si="245"/>
        <v>-251.92044953600009</v>
      </c>
      <c r="W103" s="163">
        <f t="shared" si="245"/>
        <v>-282.15090348032015</v>
      </c>
      <c r="X103" s="163">
        <f t="shared" si="245"/>
        <v>-316.0090118979586</v>
      </c>
      <c r="Y103" s="163">
        <f t="shared" si="245"/>
        <v>-353.93009332571364</v>
      </c>
      <c r="Z103" s="163">
        <f t="shared" si="245"/>
        <v>-396.40170452479936</v>
      </c>
      <c r="AA103" s="163">
        <f t="shared" si="245"/>
        <v>-443.96990906777529</v>
      </c>
      <c r="AB103" s="163">
        <f t="shared" si="245"/>
        <v>-497.24629815590845</v>
      </c>
      <c r="AC103" s="138">
        <f t="shared" si="208"/>
        <v>0.29688400743612808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>
        <f t="shared" ref="G104:P104" si="246">G40/G18</f>
        <v>0.28000000000000003</v>
      </c>
      <c r="H104" s="152">
        <f t="shared" si="246"/>
        <v>3.1034482758620688E-3</v>
      </c>
      <c r="I104" s="152">
        <f t="shared" si="246"/>
        <v>0.3167898627243928</v>
      </c>
      <c r="J104" s="152">
        <f t="shared" si="246"/>
        <v>0.8</v>
      </c>
      <c r="K104" s="152">
        <f t="shared" si="246"/>
        <v>0.35384615384615387</v>
      </c>
      <c r="L104" s="152">
        <f t="shared" si="246"/>
        <v>8.6956521739130432E-2</v>
      </c>
      <c r="M104" s="152">
        <f t="shared" si="246"/>
        <v>9.6296296296296297E-2</v>
      </c>
      <c r="N104" s="152">
        <f t="shared" si="246"/>
        <v>0.859375</v>
      </c>
      <c r="O104" s="152">
        <f t="shared" si="246"/>
        <v>0.49264705882352944</v>
      </c>
      <c r="P104" s="152">
        <f t="shared" si="246"/>
        <v>0.19461523773152567</v>
      </c>
      <c r="Q104" s="118">
        <f t="shared" si="206"/>
        <v>-3.9612421299317524E-2</v>
      </c>
      <c r="R104" s="20"/>
      <c r="S104" s="152">
        <f t="shared" ref="S104:AB104" si="247">S40/S18</f>
        <v>0.19461523773152567</v>
      </c>
      <c r="T104" s="152">
        <f t="shared" si="247"/>
        <v>0.19461523773152567</v>
      </c>
      <c r="U104" s="152">
        <f t="shared" si="247"/>
        <v>0.19461523773152567</v>
      </c>
      <c r="V104" s="152">
        <f t="shared" si="247"/>
        <v>0.19461523773152567</v>
      </c>
      <c r="W104" s="152">
        <f t="shared" si="247"/>
        <v>0.1946152377315257</v>
      </c>
      <c r="X104" s="152">
        <f t="shared" si="247"/>
        <v>0.1946152377315257</v>
      </c>
      <c r="Y104" s="152">
        <f t="shared" si="247"/>
        <v>0.1946152377315257</v>
      </c>
      <c r="Z104" s="152">
        <f t="shared" si="247"/>
        <v>0.1946152377315257</v>
      </c>
      <c r="AA104" s="152">
        <f t="shared" si="247"/>
        <v>0.1946152377315257</v>
      </c>
      <c r="AB104" s="152">
        <f t="shared" si="247"/>
        <v>0.19461523773152567</v>
      </c>
      <c r="AC104" s="138">
        <f t="shared" si="208"/>
        <v>-1.8963421686501225E-2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 t="e">
        <f t="shared" ref="G105:P105" si="248">G40/G25</f>
        <v>#DIV/0!</v>
      </c>
      <c r="H105" s="152">
        <f t="shared" si="248"/>
        <v>0.34615384615384615</v>
      </c>
      <c r="I105" s="152">
        <f t="shared" si="248"/>
        <v>5.5555555555555552E-2</v>
      </c>
      <c r="J105" s="152">
        <f t="shared" si="248"/>
        <v>0.48780487804878048</v>
      </c>
      <c r="K105" s="152">
        <f t="shared" si="248"/>
        <v>0.21296296296296297</v>
      </c>
      <c r="L105" s="152">
        <f t="shared" si="248"/>
        <v>9.0090090090090086E-2</v>
      </c>
      <c r="M105" s="152">
        <f t="shared" si="248"/>
        <v>9.0277777777777776E-2</v>
      </c>
      <c r="N105" s="152">
        <f t="shared" si="248"/>
        <v>0.43421052631578949</v>
      </c>
      <c r="O105" s="152">
        <f t="shared" si="248"/>
        <v>0.17724867724867724</v>
      </c>
      <c r="P105" s="152">
        <f t="shared" si="248"/>
        <v>0.11979313587212037</v>
      </c>
      <c r="Q105" s="118" t="e">
        <f t="shared" si="206"/>
        <v>#DIV/0!</v>
      </c>
      <c r="R105" s="20"/>
      <c r="S105" s="152">
        <f t="shared" ref="S105:AB105" si="249">S40/S25</f>
        <v>0.11979313587212037</v>
      </c>
      <c r="T105" s="152">
        <f t="shared" si="249"/>
        <v>0.11979313587212037</v>
      </c>
      <c r="U105" s="152">
        <f t="shared" si="249"/>
        <v>0.11979313587212037</v>
      </c>
      <c r="V105" s="152">
        <f t="shared" si="249"/>
        <v>0.11979313587212036</v>
      </c>
      <c r="W105" s="152">
        <f t="shared" si="249"/>
        <v>0.11979313587212036</v>
      </c>
      <c r="X105" s="152">
        <f t="shared" si="249"/>
        <v>0.11979313587212036</v>
      </c>
      <c r="Y105" s="152">
        <f t="shared" si="249"/>
        <v>0.11979313587212036</v>
      </c>
      <c r="Z105" s="152">
        <f t="shared" si="249"/>
        <v>0.11979313587212036</v>
      </c>
      <c r="AA105" s="152">
        <f t="shared" si="249"/>
        <v>0.11979313587212036</v>
      </c>
      <c r="AB105" s="152">
        <f t="shared" si="249"/>
        <v>0.11979313587212034</v>
      </c>
      <c r="AC105" s="138" t="e">
        <f t="shared" si="208"/>
        <v>#DIV/0!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>
        <f t="shared" ref="G106:O106" si="250">G25/G18</f>
        <v>0</v>
      </c>
      <c r="H106" s="152">
        <f t="shared" si="250"/>
        <v>8.9655172413793099E-3</v>
      </c>
      <c r="I106" s="152">
        <f t="shared" si="250"/>
        <v>5.7022175290390704</v>
      </c>
      <c r="J106" s="152">
        <f t="shared" si="250"/>
        <v>1.64</v>
      </c>
      <c r="K106" s="152">
        <f t="shared" si="250"/>
        <v>1.6615384615384616</v>
      </c>
      <c r="L106" s="152">
        <f t="shared" si="250"/>
        <v>0.9652173913043478</v>
      </c>
      <c r="M106" s="152">
        <f t="shared" si="250"/>
        <v>1.0666666666666667</v>
      </c>
      <c r="N106" s="152">
        <f t="shared" si="250"/>
        <v>1.9791666666666667</v>
      </c>
      <c r="O106" s="152">
        <f t="shared" si="250"/>
        <v>2.7794117647058822</v>
      </c>
      <c r="P106" s="152">
        <f>P25/P18</f>
        <v>1.6245942333396981</v>
      </c>
      <c r="Q106" s="118" t="e">
        <f t="shared" si="206"/>
        <v>#DIV/0!</v>
      </c>
      <c r="R106" s="20"/>
      <c r="S106" s="152">
        <f>S25/S18</f>
        <v>1.6245942333396981</v>
      </c>
      <c r="T106" s="152">
        <f t="shared" ref="T106:AB106" si="251">T25/T18</f>
        <v>1.6245942333396981</v>
      </c>
      <c r="U106" s="152">
        <f t="shared" si="251"/>
        <v>1.6245942333396981</v>
      </c>
      <c r="V106" s="152">
        <f t="shared" si="251"/>
        <v>1.6245942333396981</v>
      </c>
      <c r="W106" s="152">
        <f t="shared" si="251"/>
        <v>1.6245942333396983</v>
      </c>
      <c r="X106" s="152">
        <f t="shared" si="251"/>
        <v>1.6245942333396983</v>
      </c>
      <c r="Y106" s="152">
        <f t="shared" si="251"/>
        <v>1.6245942333396983</v>
      </c>
      <c r="Z106" s="152">
        <f t="shared" si="251"/>
        <v>1.6245942333396985</v>
      </c>
      <c r="AA106" s="152">
        <f t="shared" si="251"/>
        <v>1.6245942333396985</v>
      </c>
      <c r="AB106" s="152">
        <f t="shared" si="251"/>
        <v>1.6245942333396985</v>
      </c>
      <c r="AC106" s="138" t="e">
        <f t="shared" si="208"/>
        <v>#DIV/0!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52">E68*E42</f>
        <v>0</v>
      </c>
      <c r="F108" s="165">
        <f t="shared" si="252"/>
        <v>0</v>
      </c>
      <c r="G108" s="165">
        <f>G68*G42</f>
        <v>4.0000000000000001E-3</v>
      </c>
      <c r="H108" s="165">
        <f t="shared" ref="H108:P108" si="253">H68*H42</f>
        <v>4.0000000000000001E-3</v>
      </c>
      <c r="I108" s="165">
        <f t="shared" si="253"/>
        <v>1.0500000000000001E-2</v>
      </c>
      <c r="J108" s="165">
        <f t="shared" si="253"/>
        <v>5.25</v>
      </c>
      <c r="K108" s="165">
        <f t="shared" si="253"/>
        <v>5.4200000000000008</v>
      </c>
      <c r="L108" s="165">
        <f t="shared" si="253"/>
        <v>2.7100000000000004</v>
      </c>
      <c r="M108" s="165">
        <f t="shared" si="253"/>
        <v>4.1775000000000002</v>
      </c>
      <c r="N108" s="165">
        <f t="shared" si="253"/>
        <v>6.0539999999999994</v>
      </c>
      <c r="O108" s="165">
        <f t="shared" si="253"/>
        <v>7.8365</v>
      </c>
      <c r="P108" s="165">
        <f t="shared" si="253"/>
        <v>5.67</v>
      </c>
      <c r="Q108" s="118">
        <f t="shared" si="206"/>
        <v>1.2395936617340539</v>
      </c>
      <c r="R108" s="20"/>
      <c r="S108" s="165">
        <f t="shared" ref="S108:AB108" si="254">S68*S42</f>
        <v>8.9302499999999991</v>
      </c>
      <c r="T108" s="165">
        <f t="shared" si="254"/>
        <v>10.501973999999999</v>
      </c>
      <c r="U108" s="165">
        <f t="shared" si="254"/>
        <v>12.350321424000001</v>
      </c>
      <c r="V108" s="165">
        <f t="shared" si="254"/>
        <v>14.523977994624003</v>
      </c>
      <c r="W108" s="165">
        <f t="shared" si="254"/>
        <v>17.080198121677832</v>
      </c>
      <c r="X108" s="165">
        <f t="shared" si="254"/>
        <v>20.086312991093131</v>
      </c>
      <c r="Y108" s="165">
        <f t="shared" si="254"/>
        <v>23.621504077525525</v>
      </c>
      <c r="Z108" s="165">
        <f t="shared" si="254"/>
        <v>27.778888795170023</v>
      </c>
      <c r="AA108" s="165">
        <f t="shared" si="254"/>
        <v>32.667973223119951</v>
      </c>
      <c r="AB108" s="165">
        <f t="shared" si="254"/>
        <v>38.417536510389063</v>
      </c>
      <c r="AC108" s="138">
        <f t="shared" si="208"/>
        <v>0.62033069429503929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55">(G108*0.17)+G108</f>
        <v>4.6800000000000001E-3</v>
      </c>
      <c r="H109" s="165">
        <f t="shared" si="255"/>
        <v>4.6800000000000001E-3</v>
      </c>
      <c r="I109" s="165">
        <f t="shared" si="255"/>
        <v>1.2285000000000001E-2</v>
      </c>
      <c r="J109" s="165">
        <f t="shared" si="255"/>
        <v>6.1425000000000001</v>
      </c>
      <c r="K109" s="165">
        <f t="shared" si="255"/>
        <v>6.341400000000001</v>
      </c>
      <c r="L109" s="165">
        <f t="shared" si="255"/>
        <v>3.1707000000000005</v>
      </c>
      <c r="M109" s="165">
        <f t="shared" si="255"/>
        <v>4.8876750000000007</v>
      </c>
      <c r="N109" s="165">
        <f t="shared" si="255"/>
        <v>7.0831799999999996</v>
      </c>
      <c r="O109" s="165">
        <f t="shared" si="255"/>
        <v>9.1687049999999992</v>
      </c>
      <c r="P109" s="165">
        <f t="shared" si="255"/>
        <v>6.6338999999999997</v>
      </c>
      <c r="Q109" s="118">
        <f t="shared" si="206"/>
        <v>1.2395936617340539</v>
      </c>
      <c r="R109" s="20"/>
      <c r="S109" s="165">
        <f t="shared" ref="S109:AB109" si="256">(S108*0.17)+S108</f>
        <v>10.448392499999999</v>
      </c>
      <c r="T109" s="165">
        <f t="shared" si="256"/>
        <v>12.287309579999999</v>
      </c>
      <c r="U109" s="165">
        <f t="shared" si="256"/>
        <v>14.449876066080002</v>
      </c>
      <c r="V109" s="165">
        <f t="shared" si="256"/>
        <v>16.993054253710085</v>
      </c>
      <c r="W109" s="165">
        <f t="shared" si="256"/>
        <v>19.983831802363063</v>
      </c>
      <c r="X109" s="165">
        <f t="shared" si="256"/>
        <v>23.500986199578964</v>
      </c>
      <c r="Y109" s="165">
        <f t="shared" si="256"/>
        <v>27.637159770704866</v>
      </c>
      <c r="Z109" s="165">
        <f t="shared" si="256"/>
        <v>32.501299890348925</v>
      </c>
      <c r="AA109" s="165">
        <f t="shared" si="256"/>
        <v>38.221528671050343</v>
      </c>
      <c r="AB109" s="165">
        <f t="shared" si="256"/>
        <v>44.948517717155205</v>
      </c>
      <c r="AC109" s="138">
        <f t="shared" si="208"/>
        <v>0.62033069429503929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 t="shared" ref="F110:P110" si="257">F109/F40</f>
        <v>#DIV/0!</v>
      </c>
      <c r="G110" s="152">
        <f t="shared" si="257"/>
        <v>1.6714285714285713E-2</v>
      </c>
      <c r="H110" s="152">
        <f t="shared" si="257"/>
        <v>5.2000000000000005E-2</v>
      </c>
      <c r="I110" s="152">
        <f t="shared" si="257"/>
        <v>4.0950000000000005E-3</v>
      </c>
      <c r="J110" s="152">
        <f t="shared" si="257"/>
        <v>0.30712499999999998</v>
      </c>
      <c r="K110" s="152">
        <f t="shared" si="257"/>
        <v>0.27571304347826092</v>
      </c>
      <c r="L110" s="152">
        <f t="shared" si="257"/>
        <v>0.31707000000000007</v>
      </c>
      <c r="M110" s="152">
        <f t="shared" si="257"/>
        <v>0.37597500000000006</v>
      </c>
      <c r="N110" s="152">
        <f t="shared" si="257"/>
        <v>4.2928363636363633E-2</v>
      </c>
      <c r="O110" s="152">
        <f t="shared" si="257"/>
        <v>0.13684634328358208</v>
      </c>
      <c r="P110" s="152">
        <f t="shared" si="257"/>
        <v>0.13017857142857142</v>
      </c>
      <c r="Q110" s="118">
        <f t="shared" si="206"/>
        <v>0.25617511760179057</v>
      </c>
      <c r="R110" s="20"/>
      <c r="S110" s="152">
        <f t="shared" ref="S110:AB110" si="258">S109/S40</f>
        <v>0.18306361607142851</v>
      </c>
      <c r="T110" s="152">
        <f t="shared" si="258"/>
        <v>0.19221679687499993</v>
      </c>
      <c r="U110" s="152">
        <f t="shared" si="258"/>
        <v>0.20182763671874995</v>
      </c>
      <c r="V110" s="152">
        <f t="shared" si="258"/>
        <v>0.21191901855468745</v>
      </c>
      <c r="W110" s="152">
        <f t="shared" si="258"/>
        <v>0.22251496948242183</v>
      </c>
      <c r="X110" s="152">
        <f t="shared" si="258"/>
        <v>0.23364071795654293</v>
      </c>
      <c r="Y110" s="152">
        <f t="shared" si="258"/>
        <v>0.24532275385437008</v>
      </c>
      <c r="Z110" s="152">
        <f t="shared" si="258"/>
        <v>0.25758889154708858</v>
      </c>
      <c r="AA110" s="152">
        <f t="shared" si="258"/>
        <v>0.27046833612444299</v>
      </c>
      <c r="AB110" s="152">
        <f t="shared" si="258"/>
        <v>0.28399175293066514</v>
      </c>
      <c r="AC110" s="138">
        <f t="shared" si="208"/>
        <v>0.16077570800023233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>
        <f>1-G110</f>
        <v>0.98328571428571432</v>
      </c>
      <c r="H111" s="152">
        <f t="shared" ref="H111:P111" si="259">1-H110</f>
        <v>0.94799999999999995</v>
      </c>
      <c r="I111" s="152">
        <f t="shared" si="259"/>
        <v>0.99590500000000004</v>
      </c>
      <c r="J111" s="152">
        <f t="shared" si="259"/>
        <v>0.69287500000000002</v>
      </c>
      <c r="K111" s="152">
        <f t="shared" si="259"/>
        <v>0.72428695652173913</v>
      </c>
      <c r="L111" s="152">
        <f t="shared" si="259"/>
        <v>0.68292999999999993</v>
      </c>
      <c r="M111" s="152">
        <f t="shared" si="259"/>
        <v>0.62402499999999994</v>
      </c>
      <c r="N111" s="152">
        <f t="shared" si="259"/>
        <v>0.95707163636363635</v>
      </c>
      <c r="O111" s="152">
        <f t="shared" si="259"/>
        <v>0.86315365671641797</v>
      </c>
      <c r="P111" s="152">
        <f t="shared" si="259"/>
        <v>0.86982142857142852</v>
      </c>
      <c r="Q111" s="118">
        <f t="shared" si="206"/>
        <v>-1.3531152696079074E-2</v>
      </c>
      <c r="R111" s="20"/>
      <c r="S111" s="152">
        <f t="shared" ref="S111:AB111" si="260">1-S110</f>
        <v>0.81693638392857149</v>
      </c>
      <c r="T111" s="152">
        <f t="shared" si="260"/>
        <v>0.80778320312500007</v>
      </c>
      <c r="U111" s="152">
        <f t="shared" si="260"/>
        <v>0.79817236328125007</v>
      </c>
      <c r="V111" s="152">
        <f t="shared" si="260"/>
        <v>0.78808098144531258</v>
      </c>
      <c r="W111" s="152">
        <f t="shared" si="260"/>
        <v>0.77748503051757822</v>
      </c>
      <c r="X111" s="152">
        <f t="shared" si="260"/>
        <v>0.76635928204345705</v>
      </c>
      <c r="Y111" s="152">
        <f t="shared" si="260"/>
        <v>0.75467724614562992</v>
      </c>
      <c r="Z111" s="152">
        <f t="shared" si="260"/>
        <v>0.74241110845291147</v>
      </c>
      <c r="AA111" s="152">
        <f t="shared" si="260"/>
        <v>0.72953166387555701</v>
      </c>
      <c r="AB111" s="152">
        <f t="shared" si="260"/>
        <v>0.71600824706933486</v>
      </c>
      <c r="AC111" s="138">
        <f t="shared" si="208"/>
        <v>-1.6556568583317777E-2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 t="e">
        <f>G31/G25</f>
        <v>#DIV/0!</v>
      </c>
      <c r="H113" s="152">
        <f t="shared" ref="H113:P113" si="261">H31/H25</f>
        <v>0</v>
      </c>
      <c r="I113" s="152">
        <f t="shared" si="261"/>
        <v>0</v>
      </c>
      <c r="J113" s="152">
        <f t="shared" si="261"/>
        <v>0</v>
      </c>
      <c r="K113" s="152">
        <f t="shared" si="261"/>
        <v>0</v>
      </c>
      <c r="L113" s="152">
        <f t="shared" si="261"/>
        <v>0</v>
      </c>
      <c r="M113" s="152">
        <f t="shared" si="261"/>
        <v>0</v>
      </c>
      <c r="N113" s="152">
        <f t="shared" si="261"/>
        <v>0</v>
      </c>
      <c r="O113" s="152">
        <f t="shared" si="261"/>
        <v>0</v>
      </c>
      <c r="P113" s="152">
        <f t="shared" si="261"/>
        <v>0</v>
      </c>
      <c r="Q113" s="118" t="e">
        <f t="shared" si="206"/>
        <v>#DIV/0!</v>
      </c>
      <c r="R113" s="20"/>
      <c r="S113" s="152">
        <f t="shared" ref="S113:AB113" si="262">S31/S25</f>
        <v>0</v>
      </c>
      <c r="T113" s="152">
        <f t="shared" si="262"/>
        <v>0</v>
      </c>
      <c r="U113" s="152">
        <f t="shared" si="262"/>
        <v>0</v>
      </c>
      <c r="V113" s="152">
        <f t="shared" si="262"/>
        <v>0</v>
      </c>
      <c r="W113" s="152">
        <f t="shared" si="262"/>
        <v>0</v>
      </c>
      <c r="X113" s="152">
        <f t="shared" si="262"/>
        <v>0</v>
      </c>
      <c r="Y113" s="152">
        <f t="shared" si="262"/>
        <v>0</v>
      </c>
      <c r="Z113" s="152">
        <f t="shared" si="262"/>
        <v>0</v>
      </c>
      <c r="AA113" s="152">
        <f t="shared" si="262"/>
        <v>0</v>
      </c>
      <c r="AB113" s="152">
        <f t="shared" si="262"/>
        <v>0</v>
      </c>
      <c r="AC113" s="138" t="e">
        <f t="shared" si="208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 t="e">
        <f>G32/G25</f>
        <v>#DIV/0!</v>
      </c>
      <c r="H114" s="152">
        <f t="shared" ref="H114:P114" si="263">H32/H25</f>
        <v>0</v>
      </c>
      <c r="I114" s="152">
        <f t="shared" si="263"/>
        <v>0</v>
      </c>
      <c r="J114" s="152">
        <f t="shared" si="263"/>
        <v>0</v>
      </c>
      <c r="K114" s="152">
        <f t="shared" si="263"/>
        <v>0</v>
      </c>
      <c r="L114" s="152">
        <f t="shared" si="263"/>
        <v>0</v>
      </c>
      <c r="M114" s="152">
        <f t="shared" si="263"/>
        <v>0</v>
      </c>
      <c r="N114" s="152">
        <f t="shared" si="263"/>
        <v>0</v>
      </c>
      <c r="O114" s="152">
        <f t="shared" si="263"/>
        <v>0</v>
      </c>
      <c r="P114" s="152">
        <f t="shared" si="263"/>
        <v>0</v>
      </c>
      <c r="Q114" s="118" t="e">
        <f t="shared" si="206"/>
        <v>#DIV/0!</v>
      </c>
      <c r="R114" s="20"/>
      <c r="S114" s="152">
        <f t="shared" ref="S114:AB114" si="264">S32/S25</f>
        <v>0</v>
      </c>
      <c r="T114" s="152">
        <f t="shared" si="264"/>
        <v>0</v>
      </c>
      <c r="U114" s="152">
        <f t="shared" si="264"/>
        <v>0</v>
      </c>
      <c r="V114" s="152">
        <f t="shared" si="264"/>
        <v>0</v>
      </c>
      <c r="W114" s="152">
        <f t="shared" si="264"/>
        <v>0</v>
      </c>
      <c r="X114" s="152">
        <f t="shared" si="264"/>
        <v>0</v>
      </c>
      <c r="Y114" s="152">
        <f t="shared" si="264"/>
        <v>0</v>
      </c>
      <c r="Z114" s="152">
        <f t="shared" si="264"/>
        <v>0</v>
      </c>
      <c r="AA114" s="152">
        <f t="shared" si="264"/>
        <v>0</v>
      </c>
      <c r="AB114" s="152">
        <f t="shared" si="264"/>
        <v>0</v>
      </c>
      <c r="AC114" s="138" t="e">
        <f t="shared" si="208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 t="e">
        <f>G27/G25</f>
        <v>#DIV/0!</v>
      </c>
      <c r="H116" s="152">
        <f t="shared" ref="H116:P116" si="265">H27/H25</f>
        <v>0.19230769230769232</v>
      </c>
      <c r="I116" s="152">
        <f t="shared" si="265"/>
        <v>0.87037037037037035</v>
      </c>
      <c r="J116" s="152">
        <f t="shared" si="265"/>
        <v>0.3902439024390244</v>
      </c>
      <c r="K116" s="152">
        <f t="shared" si="265"/>
        <v>0.52777777777777779</v>
      </c>
      <c r="L116" s="152">
        <f t="shared" si="265"/>
        <v>0.52252252252252251</v>
      </c>
      <c r="M116" s="152">
        <f t="shared" si="265"/>
        <v>0.59027777777777779</v>
      </c>
      <c r="N116" s="152">
        <f t="shared" si="265"/>
        <v>0.49473684210526314</v>
      </c>
      <c r="O116" s="152">
        <f t="shared" si="265"/>
        <v>0.69841269841269837</v>
      </c>
      <c r="P116" s="152">
        <f t="shared" si="265"/>
        <v>0.81967559943582513</v>
      </c>
      <c r="Q116" s="118" t="e">
        <f t="shared" si="206"/>
        <v>#DIV/0!</v>
      </c>
      <c r="R116" s="20"/>
      <c r="S116" s="152">
        <f t="shared" ref="S116:AB116" si="266">S27/S25</f>
        <v>0.81967559943582502</v>
      </c>
      <c r="T116" s="152">
        <f t="shared" si="266"/>
        <v>0.81967559943582502</v>
      </c>
      <c r="U116" s="152">
        <f t="shared" si="266"/>
        <v>0.81967559943582502</v>
      </c>
      <c r="V116" s="152">
        <f t="shared" si="266"/>
        <v>0.81967559943582502</v>
      </c>
      <c r="W116" s="152">
        <f t="shared" si="266"/>
        <v>0.81967559943582491</v>
      </c>
      <c r="X116" s="152">
        <f t="shared" si="266"/>
        <v>0.8196755994358248</v>
      </c>
      <c r="Y116" s="152">
        <f t="shared" si="266"/>
        <v>0.81967559943582491</v>
      </c>
      <c r="Z116" s="152">
        <f t="shared" si="266"/>
        <v>0.81967559943582491</v>
      </c>
      <c r="AA116" s="152">
        <f t="shared" si="266"/>
        <v>0.8196755994358248</v>
      </c>
      <c r="AB116" s="152">
        <f t="shared" si="266"/>
        <v>0.81967559943582491</v>
      </c>
      <c r="AC116" s="138" t="e">
        <f t="shared" si="208"/>
        <v>#DIV/0!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 t="e">
        <f>G33/G25</f>
        <v>#DIV/0!</v>
      </c>
      <c r="H117" s="152">
        <f t="shared" ref="H117:P117" si="267">H33/H25</f>
        <v>3.8461538461538464E-2</v>
      </c>
      <c r="I117" s="152">
        <f t="shared" si="267"/>
        <v>0.1111111111111111</v>
      </c>
      <c r="J117" s="152">
        <f t="shared" si="267"/>
        <v>0.14634146341463414</v>
      </c>
      <c r="K117" s="152">
        <f t="shared" si="267"/>
        <v>0.17592592592592593</v>
      </c>
      <c r="L117" s="152">
        <f t="shared" si="267"/>
        <v>0</v>
      </c>
      <c r="M117" s="152">
        <f t="shared" si="267"/>
        <v>0</v>
      </c>
      <c r="N117" s="152">
        <f t="shared" si="267"/>
        <v>0</v>
      </c>
      <c r="O117" s="152">
        <f t="shared" si="267"/>
        <v>0</v>
      </c>
      <c r="P117" s="152">
        <f t="shared" si="267"/>
        <v>0</v>
      </c>
      <c r="Q117" s="118" t="e">
        <f t="shared" si="206"/>
        <v>#DIV/0!</v>
      </c>
      <c r="R117" s="20"/>
      <c r="S117" s="152">
        <f t="shared" ref="S117:AB117" si="268">S33/S25</f>
        <v>0</v>
      </c>
      <c r="T117" s="152">
        <f t="shared" si="268"/>
        <v>0</v>
      </c>
      <c r="U117" s="152">
        <f t="shared" si="268"/>
        <v>0</v>
      </c>
      <c r="V117" s="152">
        <f t="shared" si="268"/>
        <v>0</v>
      </c>
      <c r="W117" s="152">
        <f t="shared" si="268"/>
        <v>0</v>
      </c>
      <c r="X117" s="152">
        <f t="shared" si="268"/>
        <v>0</v>
      </c>
      <c r="Y117" s="152">
        <f t="shared" si="268"/>
        <v>0</v>
      </c>
      <c r="Z117" s="152">
        <f t="shared" si="268"/>
        <v>0</v>
      </c>
      <c r="AA117" s="152">
        <f t="shared" si="268"/>
        <v>0</v>
      </c>
      <c r="AB117" s="152">
        <f t="shared" si="268"/>
        <v>0</v>
      </c>
      <c r="AC117" s="138" t="e">
        <f t="shared" si="208"/>
        <v>#DIV/0!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 t="e">
        <f>G34/G25</f>
        <v>#DIV/0!</v>
      </c>
      <c r="H118" s="152">
        <f t="shared" ref="H118:P118" si="269">H34/H25</f>
        <v>3.8461538461538464E-2</v>
      </c>
      <c r="I118" s="152">
        <f t="shared" si="269"/>
        <v>4.1481481481481487E-2</v>
      </c>
      <c r="J118" s="152">
        <f t="shared" si="269"/>
        <v>6.658536585365854E-2</v>
      </c>
      <c r="K118" s="152">
        <f t="shared" si="269"/>
        <v>3.4722222222222224E-2</v>
      </c>
      <c r="L118" s="152">
        <f t="shared" si="269"/>
        <v>7.2072072072072071E-2</v>
      </c>
      <c r="M118" s="152">
        <f t="shared" si="269"/>
        <v>0.1388888888888889</v>
      </c>
      <c r="N118" s="152">
        <f t="shared" si="269"/>
        <v>6.3157894736842107E-2</v>
      </c>
      <c r="O118" s="152">
        <f t="shared" si="269"/>
        <v>8.4656084656084651E-2</v>
      </c>
      <c r="P118" s="152">
        <f t="shared" si="269"/>
        <v>8.338034790785144E-2</v>
      </c>
      <c r="Q118" s="118" t="e">
        <f t="shared" si="206"/>
        <v>#DIV/0!</v>
      </c>
      <c r="R118" s="20"/>
      <c r="S118" s="152">
        <f t="shared" ref="S118:AB118" si="270">S34/S25</f>
        <v>8.338034790785144E-2</v>
      </c>
      <c r="T118" s="152">
        <f t="shared" si="270"/>
        <v>8.338034790785144E-2</v>
      </c>
      <c r="U118" s="152">
        <f t="shared" si="270"/>
        <v>8.3380347907851426E-2</v>
      </c>
      <c r="V118" s="152">
        <f t="shared" si="270"/>
        <v>8.3380347907851426E-2</v>
      </c>
      <c r="W118" s="152">
        <f t="shared" si="270"/>
        <v>8.3380347907851426E-2</v>
      </c>
      <c r="X118" s="152">
        <f t="shared" si="270"/>
        <v>8.3380347907851413E-2</v>
      </c>
      <c r="Y118" s="152">
        <f t="shared" si="270"/>
        <v>8.3380347907851413E-2</v>
      </c>
      <c r="Z118" s="152">
        <f t="shared" si="270"/>
        <v>8.3380347907851413E-2</v>
      </c>
      <c r="AA118" s="152">
        <f t="shared" si="270"/>
        <v>8.3380347907851399E-2</v>
      </c>
      <c r="AB118" s="152">
        <f t="shared" si="270"/>
        <v>8.3380347907851399E-2</v>
      </c>
      <c r="AC118" s="138" t="e">
        <f t="shared" si="208"/>
        <v>#DIV/0!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1.2083333333333333</v>
      </c>
      <c r="H121" s="25">
        <f t="shared" ref="H121:AB121" si="271">H15/H9</f>
        <v>3.75</v>
      </c>
      <c r="I121" s="25">
        <f t="shared" si="271"/>
        <v>24.768518518518515</v>
      </c>
      <c r="J121" s="25">
        <f t="shared" si="271"/>
        <v>1.84</v>
      </c>
      <c r="K121" s="25">
        <f t="shared" si="271"/>
        <v>4.7075793338578542</v>
      </c>
      <c r="L121" s="25">
        <f t="shared" si="271"/>
        <v>6.3076923076923075</v>
      </c>
      <c r="M121" s="25">
        <f t="shared" si="271"/>
        <v>5.7538461538461538</v>
      </c>
      <c r="N121" s="25">
        <f t="shared" si="271"/>
        <v>9.4259259259259256</v>
      </c>
      <c r="O121" s="25">
        <f t="shared" si="271"/>
        <v>8.0652173913043477</v>
      </c>
      <c r="P121" s="25">
        <f t="shared" si="271"/>
        <v>1.6545423786161393</v>
      </c>
      <c r="Q121" s="118">
        <f t="shared" si="206"/>
        <v>3.5537145878834275E-2</v>
      </c>
      <c r="R121" s="20"/>
      <c r="S121" s="20">
        <f t="shared" si="271"/>
        <v>1.6545423786161395</v>
      </c>
      <c r="T121" s="20">
        <f t="shared" si="271"/>
        <v>1.6545423786161397</v>
      </c>
      <c r="U121" s="20">
        <f t="shared" si="271"/>
        <v>1.6545423786161395</v>
      </c>
      <c r="V121" s="20">
        <f t="shared" si="271"/>
        <v>1.6545423786161395</v>
      </c>
      <c r="W121" s="20">
        <f t="shared" si="271"/>
        <v>1.6545423786161395</v>
      </c>
      <c r="X121" s="20">
        <f t="shared" si="271"/>
        <v>1.6545423786161393</v>
      </c>
      <c r="Y121" s="20">
        <f t="shared" si="271"/>
        <v>1.6545423786161393</v>
      </c>
      <c r="Z121" s="20">
        <f t="shared" si="271"/>
        <v>1.6545423786161393</v>
      </c>
      <c r="AA121" s="20">
        <f t="shared" si="271"/>
        <v>1.6545423786161391</v>
      </c>
      <c r="AB121" s="20">
        <f t="shared" si="271"/>
        <v>1.6545423786161391</v>
      </c>
      <c r="AC121" s="138">
        <f t="shared" si="208"/>
        <v>1.6678745032335573E-2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4.1666666666666669E-4</v>
      </c>
      <c r="H122" s="25">
        <f t="shared" ref="H122:P122" si="272">H12/H9</f>
        <v>0</v>
      </c>
      <c r="I122" s="25">
        <f t="shared" si="272"/>
        <v>0.65277777777777768</v>
      </c>
      <c r="J122" s="25">
        <f t="shared" si="272"/>
        <v>0.12</v>
      </c>
      <c r="K122" s="25">
        <f t="shared" si="272"/>
        <v>1.1408339889850512</v>
      </c>
      <c r="L122" s="25">
        <f t="shared" si="272"/>
        <v>0.30769230769230771</v>
      </c>
      <c r="M122" s="25">
        <f t="shared" si="272"/>
        <v>0.70769230769230773</v>
      </c>
      <c r="N122" s="25">
        <f t="shared" si="272"/>
        <v>1.1851851851851851</v>
      </c>
      <c r="O122" s="25">
        <f t="shared" si="272"/>
        <v>1.4782608695652173</v>
      </c>
      <c r="P122" s="25">
        <f t="shared" si="272"/>
        <v>0.1556420233463035</v>
      </c>
      <c r="Q122" s="118">
        <f t="shared" si="206"/>
        <v>0.9311470522224945</v>
      </c>
      <c r="R122" s="128"/>
      <c r="S122" s="20">
        <f t="shared" ref="S122:AB122" si="273">S12/S9</f>
        <v>0.1556420233463035</v>
      </c>
      <c r="T122" s="20">
        <f t="shared" si="273"/>
        <v>0.15564202334630353</v>
      </c>
      <c r="U122" s="20">
        <f t="shared" si="273"/>
        <v>0.1556420233463035</v>
      </c>
      <c r="V122" s="20">
        <f t="shared" si="273"/>
        <v>0.15564202334630353</v>
      </c>
      <c r="W122" s="20">
        <f t="shared" si="273"/>
        <v>0.15564202334630353</v>
      </c>
      <c r="X122" s="20">
        <f t="shared" si="273"/>
        <v>0.1556420233463035</v>
      </c>
      <c r="Y122" s="20">
        <f t="shared" si="273"/>
        <v>0.15564202334630353</v>
      </c>
      <c r="Z122" s="20">
        <f t="shared" si="273"/>
        <v>0.1556420233463035</v>
      </c>
      <c r="AA122" s="20">
        <f t="shared" si="273"/>
        <v>0.1556420233463035</v>
      </c>
      <c r="AB122" s="20">
        <f t="shared" si="273"/>
        <v>0.1556420233463035</v>
      </c>
      <c r="AC122" s="118">
        <f t="shared" ref="AC122" si="274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0</v>
      </c>
      <c r="H123" s="25">
        <f t="shared" ref="H123:P123" si="275">H25/360</f>
        <v>7.222222222222223E-4</v>
      </c>
      <c r="I123" s="25">
        <f t="shared" si="275"/>
        <v>0.15</v>
      </c>
      <c r="J123" s="25">
        <f t="shared" si="275"/>
        <v>0.11388888888888889</v>
      </c>
      <c r="K123" s="25">
        <f t="shared" si="275"/>
        <v>0.3</v>
      </c>
      <c r="L123" s="25">
        <f t="shared" si="275"/>
        <v>0.30833333333333335</v>
      </c>
      <c r="M123" s="25">
        <f t="shared" si="275"/>
        <v>0.4</v>
      </c>
      <c r="N123" s="25">
        <f t="shared" si="275"/>
        <v>1.0555555555555556</v>
      </c>
      <c r="O123" s="25">
        <f t="shared" si="275"/>
        <v>1.05</v>
      </c>
      <c r="P123" s="25">
        <f t="shared" si="275"/>
        <v>1.1816666666666666</v>
      </c>
      <c r="Q123" s="118" t="e">
        <f t="shared" si="206"/>
        <v>#DIV/0!</v>
      </c>
      <c r="R123" s="128"/>
      <c r="S123" s="25">
        <f t="shared" ref="S123:AB123" si="276">S25/360</f>
        <v>1.3234666666666668</v>
      </c>
      <c r="T123" s="25">
        <f t="shared" si="276"/>
        <v>1.4822826666666669</v>
      </c>
      <c r="U123" s="25">
        <f t="shared" si="276"/>
        <v>1.6601565866666672</v>
      </c>
      <c r="V123" s="25">
        <f t="shared" si="276"/>
        <v>1.8593753770666674</v>
      </c>
      <c r="W123" s="25">
        <f t="shared" si="276"/>
        <v>2.0825004223146681</v>
      </c>
      <c r="X123" s="25">
        <f t="shared" si="276"/>
        <v>2.3324004729924286</v>
      </c>
      <c r="Y123" s="25">
        <f t="shared" si="276"/>
        <v>2.6122885297515199</v>
      </c>
      <c r="Z123" s="25">
        <f t="shared" si="276"/>
        <v>2.9257631533217028</v>
      </c>
      <c r="AA123" s="25">
        <f t="shared" si="276"/>
        <v>3.2768547317203076</v>
      </c>
      <c r="AB123" s="25">
        <f t="shared" si="276"/>
        <v>3.6700772995267452</v>
      </c>
      <c r="AC123" s="118">
        <f t="shared" ref="AC123:AC134" si="277">((AB123/S123)^(1/($H$2-$H$1) ))-1</f>
        <v>0.12000000000000011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1.3888888888888889E-4</v>
      </c>
      <c r="H124" s="25">
        <f t="shared" ref="H124:P124" si="278">H27/360</f>
        <v>1.3888888888888889E-4</v>
      </c>
      <c r="I124" s="25">
        <f t="shared" si="278"/>
        <v>0.13055555555555556</v>
      </c>
      <c r="J124" s="25">
        <f t="shared" si="278"/>
        <v>4.4444444444444446E-2</v>
      </c>
      <c r="K124" s="25">
        <f t="shared" si="278"/>
        <v>0.15833333333333333</v>
      </c>
      <c r="L124" s="25">
        <f t="shared" si="278"/>
        <v>0.16111111111111112</v>
      </c>
      <c r="M124" s="25">
        <f t="shared" si="278"/>
        <v>0.2361111111111111</v>
      </c>
      <c r="N124" s="25">
        <f t="shared" si="278"/>
        <v>0.52222222222222225</v>
      </c>
      <c r="O124" s="25">
        <f t="shared" si="278"/>
        <v>0.73333333333333328</v>
      </c>
      <c r="P124" s="25">
        <f t="shared" si="278"/>
        <v>0.96858333333333335</v>
      </c>
      <c r="Q124" s="118">
        <f t="shared" si="206"/>
        <v>1.673327496557441</v>
      </c>
      <c r="R124" s="128"/>
      <c r="S124" s="25">
        <f t="shared" ref="S124:AB124" si="279">S27/360</f>
        <v>1.0848133333333334</v>
      </c>
      <c r="T124" s="25">
        <f t="shared" si="279"/>
        <v>1.2149909333333335</v>
      </c>
      <c r="U124" s="25">
        <f t="shared" si="279"/>
        <v>1.3607898453333336</v>
      </c>
      <c r="V124" s="25">
        <f t="shared" si="279"/>
        <v>1.5240846267733339</v>
      </c>
      <c r="W124" s="25">
        <f t="shared" si="279"/>
        <v>1.7069747819861341</v>
      </c>
      <c r="X124" s="25">
        <f t="shared" si="279"/>
        <v>1.9118117558244703</v>
      </c>
      <c r="Y124" s="25">
        <f t="shared" si="279"/>
        <v>2.1412291665234071</v>
      </c>
      <c r="Z124" s="25">
        <f t="shared" si="279"/>
        <v>2.3981766665062163</v>
      </c>
      <c r="AA124" s="25">
        <f t="shared" si="279"/>
        <v>2.6859578664869623</v>
      </c>
      <c r="AB124" s="25">
        <f t="shared" si="279"/>
        <v>3.0082728104653982</v>
      </c>
      <c r="AC124" s="118">
        <f t="shared" si="277"/>
        <v>0.12000000000000011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0.05</v>
      </c>
      <c r="H126" s="25">
        <f t="shared" ref="H126:P126" si="280">H10/H7</f>
        <v>2.7777777777777777</v>
      </c>
      <c r="I126" s="25">
        <f t="shared" si="280"/>
        <v>1.7716535433070866</v>
      </c>
      <c r="J126" s="25">
        <f t="shared" si="280"/>
        <v>1.8488372093023255</v>
      </c>
      <c r="K126" s="25">
        <f t="shared" si="280"/>
        <v>1.4342105263157894</v>
      </c>
      <c r="L126" s="25">
        <f t="shared" si="280"/>
        <v>1</v>
      </c>
      <c r="M126" s="25">
        <f t="shared" si="280"/>
        <v>1</v>
      </c>
      <c r="N126" s="25">
        <f t="shared" si="280"/>
        <v>1</v>
      </c>
      <c r="O126" s="25">
        <f t="shared" si="280"/>
        <v>1.0023310023310024</v>
      </c>
      <c r="P126" s="25">
        <f t="shared" si="280"/>
        <v>0</v>
      </c>
      <c r="Q126" s="118">
        <f t="shared" si="206"/>
        <v>-1</v>
      </c>
      <c r="R126" s="128"/>
      <c r="S126" s="25">
        <f t="shared" ref="S126:AB126" si="281">S10/S7</f>
        <v>0</v>
      </c>
      <c r="T126" s="25">
        <f t="shared" si="281"/>
        <v>0</v>
      </c>
      <c r="U126" s="25">
        <f t="shared" si="281"/>
        <v>0</v>
      </c>
      <c r="V126" s="25">
        <f t="shared" si="281"/>
        <v>0</v>
      </c>
      <c r="W126" s="25">
        <f t="shared" si="281"/>
        <v>0</v>
      </c>
      <c r="X126" s="25">
        <f t="shared" si="281"/>
        <v>0</v>
      </c>
      <c r="Y126" s="25">
        <f t="shared" si="281"/>
        <v>0</v>
      </c>
      <c r="Z126" s="25">
        <f t="shared" si="281"/>
        <v>0</v>
      </c>
      <c r="AA126" s="25">
        <f t="shared" si="281"/>
        <v>0</v>
      </c>
      <c r="AB126" s="25">
        <f t="shared" si="281"/>
        <v>0</v>
      </c>
      <c r="AC126" s="118" t="e">
        <f t="shared" si="277"/>
        <v>#DIV/0!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4.7619047619047623E-2</v>
      </c>
      <c r="H127" s="25">
        <f t="shared" ref="H127:P127" si="282">H10/(H10+H7)</f>
        <v>0.73529411764705888</v>
      </c>
      <c r="I127" s="25">
        <f t="shared" si="282"/>
        <v>0.63920454545454541</v>
      </c>
      <c r="J127" s="25">
        <f t="shared" si="282"/>
        <v>0.6489795918367347</v>
      </c>
      <c r="K127" s="25">
        <f t="shared" si="282"/>
        <v>0.58918918918918917</v>
      </c>
      <c r="L127" s="25">
        <f t="shared" si="282"/>
        <v>0.5</v>
      </c>
      <c r="M127" s="25">
        <f t="shared" si="282"/>
        <v>0.5</v>
      </c>
      <c r="N127" s="25">
        <f t="shared" si="282"/>
        <v>0.5</v>
      </c>
      <c r="O127" s="25">
        <f t="shared" si="282"/>
        <v>0.50058207217694994</v>
      </c>
      <c r="P127" s="25">
        <f t="shared" si="282"/>
        <v>0</v>
      </c>
      <c r="Q127" s="118">
        <f t="shared" si="206"/>
        <v>-1</v>
      </c>
      <c r="R127" s="128"/>
      <c r="S127" s="25">
        <f t="shared" ref="S127:AB127" si="283">S10/(S10+S7)</f>
        <v>0</v>
      </c>
      <c r="T127" s="25">
        <f t="shared" si="283"/>
        <v>0</v>
      </c>
      <c r="U127" s="25">
        <f t="shared" si="283"/>
        <v>0</v>
      </c>
      <c r="V127" s="25">
        <f t="shared" si="283"/>
        <v>0</v>
      </c>
      <c r="W127" s="25">
        <f t="shared" si="283"/>
        <v>0</v>
      </c>
      <c r="X127" s="25">
        <f t="shared" si="283"/>
        <v>0</v>
      </c>
      <c r="Y127" s="25">
        <f t="shared" si="283"/>
        <v>0</v>
      </c>
      <c r="Z127" s="25">
        <f t="shared" si="283"/>
        <v>0</v>
      </c>
      <c r="AA127" s="25">
        <f t="shared" si="283"/>
        <v>0</v>
      </c>
      <c r="AB127" s="25">
        <f t="shared" si="283"/>
        <v>0</v>
      </c>
      <c r="AC127" s="118" t="e">
        <f t="shared" si="277"/>
        <v>#DIV/0!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5</v>
      </c>
      <c r="H129" s="25">
        <f t="shared" ref="H129:P129" si="284">H16</f>
        <v>0.56999999999999995</v>
      </c>
      <c r="I129" s="25">
        <f t="shared" si="284"/>
        <v>100</v>
      </c>
      <c r="J129" s="25">
        <f t="shared" si="284"/>
        <v>8.36</v>
      </c>
      <c r="K129" s="25">
        <f t="shared" si="284"/>
        <v>259</v>
      </c>
      <c r="L129" s="25">
        <f t="shared" si="284"/>
        <v>272</v>
      </c>
      <c r="M129" s="25">
        <f t="shared" si="284"/>
        <v>299</v>
      </c>
      <c r="N129" s="25">
        <f t="shared" si="284"/>
        <v>442</v>
      </c>
      <c r="O129" s="25">
        <f t="shared" si="284"/>
        <v>608</v>
      </c>
      <c r="P129" s="25">
        <f t="shared" si="284"/>
        <v>489</v>
      </c>
      <c r="Q129" s="118">
        <f t="shared" si="206"/>
        <v>0.66398252725042184</v>
      </c>
      <c r="R129" s="128"/>
      <c r="S129" s="25">
        <f t="shared" ref="S129:AB129" si="285">S16</f>
        <v>547.68000000000006</v>
      </c>
      <c r="T129" s="25">
        <f t="shared" si="285"/>
        <v>613.40160000000014</v>
      </c>
      <c r="U129" s="25">
        <f t="shared" si="285"/>
        <v>687.00979200000017</v>
      </c>
      <c r="V129" s="25">
        <f t="shared" si="285"/>
        <v>769.45096704000025</v>
      </c>
      <c r="W129" s="25">
        <f t="shared" si="285"/>
        <v>861.78508308480036</v>
      </c>
      <c r="X129" s="25">
        <f t="shared" si="285"/>
        <v>965.19929305497647</v>
      </c>
      <c r="Y129" s="25">
        <f t="shared" si="285"/>
        <v>1081.0232082215737</v>
      </c>
      <c r="Z129" s="25">
        <f t="shared" si="285"/>
        <v>1210.7459932081626</v>
      </c>
      <c r="AA129" s="25">
        <f t="shared" si="285"/>
        <v>1356.0355123931422</v>
      </c>
      <c r="AB129" s="25">
        <f t="shared" si="285"/>
        <v>1518.7597738803195</v>
      </c>
      <c r="AC129" s="118">
        <f t="shared" si="277"/>
        <v>0.12000000000000011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 t="e">
        <f t="shared" ref="G130:P130" si="286">G129*365/G25</f>
        <v>#DIV/0!</v>
      </c>
      <c r="H130" s="119">
        <f t="shared" si="286"/>
        <v>800.19230769230762</v>
      </c>
      <c r="I130" s="119">
        <f t="shared" si="286"/>
        <v>675.92592592592598</v>
      </c>
      <c r="J130" s="119">
        <f t="shared" si="286"/>
        <v>74.424390243902437</v>
      </c>
      <c r="K130" s="119">
        <f t="shared" si="286"/>
        <v>875.32407407407402</v>
      </c>
      <c r="L130" s="119">
        <f t="shared" si="286"/>
        <v>894.41441441441441</v>
      </c>
      <c r="M130" s="119">
        <f t="shared" si="286"/>
        <v>757.88194444444446</v>
      </c>
      <c r="N130" s="119">
        <f t="shared" si="286"/>
        <v>424.55263157894734</v>
      </c>
      <c r="O130" s="119">
        <f t="shared" si="286"/>
        <v>587.08994708994715</v>
      </c>
      <c r="P130" s="119">
        <f t="shared" si="286"/>
        <v>419.56981664315941</v>
      </c>
      <c r="Q130" s="118" t="e">
        <f t="shared" si="206"/>
        <v>#DIV/0!</v>
      </c>
      <c r="R130" s="128"/>
      <c r="S130" s="119">
        <f t="shared" ref="S130:AB130" si="287">S129*365/S25</f>
        <v>419.56981664315936</v>
      </c>
      <c r="T130" s="119">
        <f t="shared" si="287"/>
        <v>419.56981664315941</v>
      </c>
      <c r="U130" s="119">
        <f t="shared" si="287"/>
        <v>419.5698166431593</v>
      </c>
      <c r="V130" s="119">
        <f t="shared" si="287"/>
        <v>419.56981664315936</v>
      </c>
      <c r="W130" s="119">
        <f t="shared" si="287"/>
        <v>419.5698166431593</v>
      </c>
      <c r="X130" s="119">
        <f t="shared" si="287"/>
        <v>419.56981664315924</v>
      </c>
      <c r="Y130" s="119">
        <f t="shared" si="287"/>
        <v>419.56981664315924</v>
      </c>
      <c r="Z130" s="119">
        <f t="shared" si="287"/>
        <v>419.56981664315924</v>
      </c>
      <c r="AA130" s="119">
        <f t="shared" si="287"/>
        <v>419.56981664315919</v>
      </c>
      <c r="AB130" s="119">
        <f t="shared" si="287"/>
        <v>419.56981664315919</v>
      </c>
      <c r="AC130" s="118">
        <f t="shared" si="277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>
        <f>G78/G29</f>
        <v>79.999999999999986</v>
      </c>
      <c r="H131" s="133">
        <f t="shared" ref="H131:P131" si="288">H78/H29</f>
        <v>79.999999999999986</v>
      </c>
      <c r="I131" s="133">
        <f t="shared" si="288"/>
        <v>-1.3517665130568357</v>
      </c>
      <c r="J131" s="133">
        <f t="shared" si="288"/>
        <v>0.80178484278045037</v>
      </c>
      <c r="K131" s="133">
        <f t="shared" si="288"/>
        <v>8.4600846008460073E-2</v>
      </c>
      <c r="L131" s="133" t="e">
        <f t="shared" si="288"/>
        <v>#DIV/0!</v>
      </c>
      <c r="M131" s="133" t="e">
        <f t="shared" si="288"/>
        <v>#DIV/0!</v>
      </c>
      <c r="N131" s="133" t="e">
        <f t="shared" si="288"/>
        <v>#DIV/0!</v>
      </c>
      <c r="O131" s="133" t="e">
        <f t="shared" si="288"/>
        <v>#DIV/0!</v>
      </c>
      <c r="P131" s="133" t="e">
        <f t="shared" si="288"/>
        <v>#DIV/0!</v>
      </c>
      <c r="Q131" s="118" t="e">
        <f t="shared" si="206"/>
        <v>#DIV/0!</v>
      </c>
      <c r="R131" s="128"/>
      <c r="S131" s="133" t="e">
        <f t="shared" ref="S131:AB131" si="289">S78/S29</f>
        <v>#DIV/0!</v>
      </c>
      <c r="T131" s="133" t="e">
        <f t="shared" si="289"/>
        <v>#DIV/0!</v>
      </c>
      <c r="U131" s="133" t="e">
        <f t="shared" si="289"/>
        <v>#DIV/0!</v>
      </c>
      <c r="V131" s="133" t="e">
        <f t="shared" si="289"/>
        <v>#DIV/0!</v>
      </c>
      <c r="W131" s="133" t="e">
        <f t="shared" si="289"/>
        <v>#DIV/0!</v>
      </c>
      <c r="X131" s="133" t="e">
        <f t="shared" si="289"/>
        <v>#DIV/0!</v>
      </c>
      <c r="Y131" s="133" t="e">
        <f t="shared" si="289"/>
        <v>#DIV/0!</v>
      </c>
      <c r="Z131" s="133" t="e">
        <f t="shared" si="289"/>
        <v>#DIV/0!</v>
      </c>
      <c r="AA131" s="133" t="e">
        <f t="shared" si="289"/>
        <v>#DIV/0!</v>
      </c>
      <c r="AB131" s="133" t="e">
        <f t="shared" si="289"/>
        <v>#DIV/0!</v>
      </c>
      <c r="AC131" s="118" t="e">
        <f t="shared" si="277"/>
        <v>#DIV/0!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>
        <f>G25/G14</f>
        <v>0</v>
      </c>
      <c r="H133" s="180">
        <f t="shared" ref="H133:P133" si="290">H25/H14</f>
        <v>0.8666666666666667</v>
      </c>
      <c r="I133" s="180" t="e">
        <f t="shared" si="290"/>
        <v>#DIV/0!</v>
      </c>
      <c r="J133" s="180" t="e">
        <f t="shared" si="290"/>
        <v>#DIV/0!</v>
      </c>
      <c r="K133" s="180" t="e">
        <f t="shared" si="290"/>
        <v>#DIV/0!</v>
      </c>
      <c r="L133" s="180" t="e">
        <f t="shared" si="290"/>
        <v>#DIV/0!</v>
      </c>
      <c r="M133" s="180" t="e">
        <f t="shared" si="290"/>
        <v>#DIV/0!</v>
      </c>
      <c r="N133" s="180" t="e">
        <f t="shared" si="290"/>
        <v>#DIV/0!</v>
      </c>
      <c r="O133" s="180" t="e">
        <f t="shared" si="290"/>
        <v>#DIV/0!</v>
      </c>
      <c r="P133" s="180" t="e">
        <f t="shared" si="290"/>
        <v>#DIV/0!</v>
      </c>
      <c r="Q133" s="118" t="e">
        <f t="shared" si="206"/>
        <v>#DIV/0!</v>
      </c>
      <c r="R133" s="128"/>
      <c r="S133" s="20" t="e">
        <f t="shared" ref="S133" si="291">S25/S14</f>
        <v>#DIV/0!</v>
      </c>
      <c r="T133" s="20" t="e">
        <f t="shared" ref="T133:AB133" si="292">T25/T14</f>
        <v>#DIV/0!</v>
      </c>
      <c r="U133" s="20" t="e">
        <f t="shared" si="292"/>
        <v>#DIV/0!</v>
      </c>
      <c r="V133" s="20" t="e">
        <f t="shared" si="292"/>
        <v>#DIV/0!</v>
      </c>
      <c r="W133" s="20" t="e">
        <f t="shared" si="292"/>
        <v>#DIV/0!</v>
      </c>
      <c r="X133" s="20" t="e">
        <f t="shared" si="292"/>
        <v>#DIV/0!</v>
      </c>
      <c r="Y133" s="20" t="e">
        <f t="shared" si="292"/>
        <v>#DIV/0!</v>
      </c>
      <c r="Z133" s="20" t="e">
        <f t="shared" si="292"/>
        <v>#DIV/0!</v>
      </c>
      <c r="AA133" s="20" t="e">
        <f t="shared" si="292"/>
        <v>#DIV/0!</v>
      </c>
      <c r="AB133" s="20" t="e">
        <f t="shared" si="292"/>
        <v>#DIV/0!</v>
      </c>
      <c r="AC133" s="118" t="e">
        <f t="shared" si="277"/>
        <v>#DIV/0!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>
        <f>G27/G14</f>
        <v>1.724137931034483E-3</v>
      </c>
      <c r="H134" s="180">
        <f t="shared" ref="H134:P134" si="293">H27/H14</f>
        <v>0.16666666666666669</v>
      </c>
      <c r="I134" s="180" t="e">
        <f t="shared" si="293"/>
        <v>#DIV/0!</v>
      </c>
      <c r="J134" s="180" t="e">
        <f t="shared" si="293"/>
        <v>#DIV/0!</v>
      </c>
      <c r="K134" s="180" t="e">
        <f t="shared" si="293"/>
        <v>#DIV/0!</v>
      </c>
      <c r="L134" s="180" t="e">
        <f t="shared" si="293"/>
        <v>#DIV/0!</v>
      </c>
      <c r="M134" s="180" t="e">
        <f t="shared" si="293"/>
        <v>#DIV/0!</v>
      </c>
      <c r="N134" s="180" t="e">
        <f t="shared" si="293"/>
        <v>#DIV/0!</v>
      </c>
      <c r="O134" s="180" t="e">
        <f t="shared" si="293"/>
        <v>#DIV/0!</v>
      </c>
      <c r="P134" s="180" t="e">
        <f t="shared" si="293"/>
        <v>#DIV/0!</v>
      </c>
      <c r="Q134" s="118" t="e">
        <f t="shared" si="206"/>
        <v>#DIV/0!</v>
      </c>
      <c r="R134" s="128"/>
      <c r="S134" s="20" t="e">
        <f t="shared" ref="S134:AB134" si="294">S27/S14</f>
        <v>#DIV/0!</v>
      </c>
      <c r="T134" s="20" t="e">
        <f t="shared" si="294"/>
        <v>#DIV/0!</v>
      </c>
      <c r="U134" s="20" t="e">
        <f t="shared" si="294"/>
        <v>#DIV/0!</v>
      </c>
      <c r="V134" s="20" t="e">
        <f t="shared" si="294"/>
        <v>#DIV/0!</v>
      </c>
      <c r="W134" s="20" t="e">
        <f t="shared" si="294"/>
        <v>#DIV/0!</v>
      </c>
      <c r="X134" s="20" t="e">
        <f t="shared" si="294"/>
        <v>#DIV/0!</v>
      </c>
      <c r="Y134" s="20" t="e">
        <f t="shared" si="294"/>
        <v>#DIV/0!</v>
      </c>
      <c r="Z134" s="20" t="e">
        <f t="shared" si="294"/>
        <v>#DIV/0!</v>
      </c>
      <c r="AA134" s="20" t="e">
        <f t="shared" si="294"/>
        <v>#DIV/0!</v>
      </c>
      <c r="AB134" s="20" t="e">
        <f t="shared" si="294"/>
        <v>#DIV/0!</v>
      </c>
      <c r="AC134" s="118" t="e">
        <f t="shared" si="277"/>
        <v>#DIV/0!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3.9458896712472593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2.0108772739900607</v>
      </c>
      <c r="S138" s="133">
        <f>PV($C$1, ($AB$3-$S$3), 0, -AB52)</f>
        <v>0.28020421031009035</v>
      </c>
      <c r="T138" s="133">
        <f>PV($C$1, ($AB$3-$S$3), 0, -AE52)</f>
        <v>1.7306730636799701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295">S139+T139</f>
        <v>30.510406362816219</v>
      </c>
      <c r="S139" s="133">
        <f>PV($C$1, ($AB$3-$S$3), 0, -AB54)</f>
        <v>4.2514500669497997</v>
      </c>
      <c r="T139" s="133">
        <f>PV($C$1, ($AB$3-$S$3), 0, -AE54)</f>
        <v>26.258956295866419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295"/>
        <v>29.622952871999168</v>
      </c>
      <c r="S140" s="133">
        <f>PV($C$1, ($AB$3-$S$3), 0, -AB55)</f>
        <v>4.1277885149507032</v>
      </c>
      <c r="T140" s="133">
        <f>PV($C$1, ($AB$3-$S$3), 0, -AE55)</f>
        <v>25.495164357048466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295"/>
        <v>0</v>
      </c>
      <c r="S141" s="133">
        <f>PV($C$1, ($AB$3-$S$3), 0, -AB56)</f>
        <v>0</v>
      </c>
      <c r="T141" s="133">
        <f>PV($C$1, ($AB$3-$S$3), 0, -AE56)</f>
        <v>0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295"/>
        <v>1.8151560950459724</v>
      </c>
      <c r="S142" s="133">
        <f>PV($C$1, ($AB$3-$S$3), 0, -AB62)</f>
        <v>0.25293158701460267</v>
      </c>
      <c r="T142" s="133">
        <f>PV($C$1, ($AB$3-$S$3), 0, -AE62)</f>
        <v>1.5622245080313697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295"/>
        <v>30.510406362816219</v>
      </c>
      <c r="S144" s="133">
        <f>PV($C$1, ($AB$3-$S$3), 0, -AB58)</f>
        <v>4.2514500669497997</v>
      </c>
      <c r="T144" s="133">
        <f>PV($C$1, ($AB$3-$S$3), 0, -$AE$58)</f>
        <v>26.258956295866419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95"/>
        <v>18.848028452145844</v>
      </c>
      <c r="S145" s="133">
        <f>PV($C$1, ($AB$3-$S$3), 0, -AB59)</f>
        <v>2.6263646203809778</v>
      </c>
      <c r="T145" s="133">
        <f>PV($C$1, ($AB$3-$S$3), 0, -$AE$59)</f>
        <v>16.221663831764864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295"/>
        <v>38.14392694078672</v>
      </c>
      <c r="S146" s="133">
        <f>PV($C$1, ($AB$3-$S$3), 0, -AB60)</f>
        <v>5.3151373606014269</v>
      </c>
      <c r="T146" s="133">
        <f>PV($C$1, ($AB$3-$S$3), 0, -$AE$60)</f>
        <v>32.828789580185294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95"/>
        <v>19.29589848864088</v>
      </c>
      <c r="S148" s="133">
        <f>PV($C$1, ($AB$3-$S$3), 0, -AB65)</f>
        <v>2.68877274022045</v>
      </c>
      <c r="T148" s="133">
        <f>PV($C$1, ($AB$3-$S$3), 0, -AE65)</f>
        <v>16.60712574842043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95"/>
        <v>14.910467013949768</v>
      </c>
      <c r="S149" s="133">
        <f>PV($C$1, ($AB$3-$S$3), 0, -AB66)</f>
        <v>2.68877274022045</v>
      </c>
      <c r="T149" s="133">
        <f>PV($C$1, ($AB$3-$S$3), 0, -AE66)</f>
        <v>12.221694273729318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296">S151+T151</f>
        <v>171.2420789095321</v>
      </c>
      <c r="S151" s="133">
        <f>PV($C$1, ($AB$3-$S$3), 0, -AB12)</f>
        <v>23.861601159524959</v>
      </c>
      <c r="T151" s="133">
        <f>PV($C$1, ($AB$3-$S$3), 0, -AE12)</f>
        <v>147.38047775000715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7.5503562129423329</v>
      </c>
      <c r="S152" s="140">
        <f>S151/P42</f>
        <v>1.0520988165575378</v>
      </c>
      <c r="T152" s="140">
        <f>T151/P42</f>
        <v>6.4982573963847949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297">S155+T155</f>
        <v>2.3691712341257731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1.9490884331818763</v>
      </c>
      <c r="T155" s="133">
        <f>PV($C$1, ($AB$3-$S$3), 0, -AE68)</f>
        <v>0.42008280094389688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295"/>
        <v>0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7" s="133">
        <f>PV($C$1, ($AB$3-$S$3), 0, -AE70)</f>
        <v>0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298">S159+T159</f>
        <v>0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0</v>
      </c>
      <c r="T159" s="133">
        <f>PV($C$1, ($AB$3-$S$3), 0, -AE72)</f>
        <v>0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298"/>
        <v>0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0</v>
      </c>
      <c r="T160" s="133">
        <f>PV($C$1, ($AB$3-$S$3), 0, -AE73)</f>
        <v>0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298"/>
        <v>0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0</v>
      </c>
      <c r="T161" s="133">
        <f>PV($C$1, ($AB$3-$S$3), 0, -AE74)</f>
        <v>0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298"/>
        <v>0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0</v>
      </c>
      <c r="T162" s="133">
        <f>PV($C$1, ($AB$3-$S$3), 0, -AE75)</f>
        <v>0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0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0</v>
      </c>
      <c r="T164" s="133">
        <f>PV($C$1, ($AB$3-$S$3), 0, -AE76)</f>
        <v>0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 t="s">
        <v>392</v>
      </c>
      <c r="Q166" s="20" t="s">
        <v>392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60</v>
      </c>
      <c r="Q167" s="118" t="e">
        <f t="shared" ref="Q167:Q172" si="299">((P167/G167)^(1/($H$2-$H$1) ))-1</f>
        <v>#DIV/0!</v>
      </c>
      <c r="R167" s="31">
        <f>L2-3%</f>
        <v>0.09</v>
      </c>
      <c r="S167" s="119">
        <f t="shared" ref="S167" si="300">P167*(1+$R167)</f>
        <v>65.400000000000006</v>
      </c>
      <c r="T167" s="119">
        <f t="shared" ref="T167:AB167" si="301">S167*(1+$R167)</f>
        <v>71.286000000000016</v>
      </c>
      <c r="U167" s="119">
        <f t="shared" si="301"/>
        <v>77.701740000000029</v>
      </c>
      <c r="V167" s="119">
        <f t="shared" si="301"/>
        <v>84.694896600000035</v>
      </c>
      <c r="W167" s="119">
        <f t="shared" si="301"/>
        <v>92.317437294000044</v>
      </c>
      <c r="X167" s="119">
        <f t="shared" si="301"/>
        <v>100.62600665046006</v>
      </c>
      <c r="Y167" s="119">
        <f t="shared" si="301"/>
        <v>109.68234724900147</v>
      </c>
      <c r="Z167" s="119">
        <f t="shared" si="301"/>
        <v>119.55375850141161</v>
      </c>
      <c r="AA167" s="119">
        <f t="shared" si="301"/>
        <v>130.31359676653867</v>
      </c>
      <c r="AB167" s="119">
        <f t="shared" si="301"/>
        <v>142.04182047552715</v>
      </c>
      <c r="AC167" s="138" t="e">
        <f t="shared" ref="AC167:AC172" si="302">((AB167/G167)^(1/($AB$3-$H$1) ))-1</f>
        <v>#DIV/0!</v>
      </c>
      <c r="AD167" s="31">
        <v>0.08</v>
      </c>
      <c r="AE167" s="127" t="e">
        <f t="shared" ref="AE167:AE175" si="303">(AB167*(1+AC167))/($C$1-AD167)</f>
        <v>#DIV/0!</v>
      </c>
    </row>
    <row r="168" spans="2:31" x14ac:dyDescent="0.2">
      <c r="B168" s="20" t="s">
        <v>361</v>
      </c>
      <c r="C168" s="25" t="e">
        <f t="shared" ref="C168:P168" si="304">C167/C49</f>
        <v>#DIV/0!</v>
      </c>
      <c r="D168" s="25" t="e">
        <f t="shared" si="304"/>
        <v>#DIV/0!</v>
      </c>
      <c r="E168" s="25" t="e">
        <f t="shared" si="304"/>
        <v>#DIV/0!</v>
      </c>
      <c r="F168" s="25" t="e">
        <f t="shared" si="304"/>
        <v>#DIV/0!</v>
      </c>
      <c r="G168" s="25" t="e">
        <f t="shared" si="304"/>
        <v>#DIV/0!</v>
      </c>
      <c r="H168" s="25">
        <f t="shared" si="304"/>
        <v>0</v>
      </c>
      <c r="I168" s="25">
        <f t="shared" si="304"/>
        <v>0</v>
      </c>
      <c r="J168" s="25">
        <f t="shared" si="304"/>
        <v>0</v>
      </c>
      <c r="K168" s="25">
        <f t="shared" si="304"/>
        <v>0</v>
      </c>
      <c r="L168" s="25">
        <f t="shared" si="304"/>
        <v>0</v>
      </c>
      <c r="M168" s="25">
        <f t="shared" si="304"/>
        <v>0</v>
      </c>
      <c r="N168" s="25">
        <f t="shared" si="304"/>
        <v>0</v>
      </c>
      <c r="O168" s="25">
        <f t="shared" si="304"/>
        <v>0</v>
      </c>
      <c r="P168" s="25">
        <f t="shared" si="304"/>
        <v>3.1988716502115655</v>
      </c>
      <c r="Q168" s="118" t="e">
        <f t="shared" ref="Q168" si="305">((P168/G168)^(1/($H$2-$H$1) ))-1</f>
        <v>#DIV/0!</v>
      </c>
      <c r="R168" s="128"/>
      <c r="S168" s="25">
        <f t="shared" ref="S168:AB168" si="306">S167/S49</f>
        <v>4.6697813822284902</v>
      </c>
      <c r="T168" s="25">
        <f t="shared" si="306"/>
        <v>5.0900617066290543</v>
      </c>
      <c r="U168" s="25">
        <f t="shared" si="306"/>
        <v>5.5481672602256698</v>
      </c>
      <c r="V168" s="25">
        <f t="shared" si="306"/>
        <v>6.0475023136459791</v>
      </c>
      <c r="W168" s="25">
        <f t="shared" si="306"/>
        <v>6.5917775218741177</v>
      </c>
      <c r="X168" s="25">
        <f t="shared" si="306"/>
        <v>7.1850374988427896</v>
      </c>
      <c r="Y168" s="25">
        <f t="shared" si="306"/>
        <v>7.8316908737386406</v>
      </c>
      <c r="Z168" s="25">
        <f t="shared" si="306"/>
        <v>8.5365430523751193</v>
      </c>
      <c r="AA168" s="25">
        <f t="shared" si="306"/>
        <v>9.3048319270888804</v>
      </c>
      <c r="AB168" s="25">
        <f t="shared" si="306"/>
        <v>10.142266800526878</v>
      </c>
      <c r="AC168" s="138" t="e">
        <f t="shared" ref="AC168" si="307">((AB168/G168)^(1/($AB$3-$H$1) ))-1</f>
        <v>#DIV/0!</v>
      </c>
      <c r="AD168" s="31">
        <v>0.08</v>
      </c>
      <c r="AE168" s="127" t="e">
        <f t="shared" ref="AE168" si="308">(AB168*(1+AC168))/($C$1-AD168)</f>
        <v>#DIV/0!</v>
      </c>
    </row>
    <row r="169" spans="2:31" x14ac:dyDescent="0.2">
      <c r="B169" s="20" t="s">
        <v>389</v>
      </c>
      <c r="C169" s="25" t="e">
        <f t="shared" ref="C169:P169" si="309">C167/C52</f>
        <v>#DIV/0!</v>
      </c>
      <c r="D169" s="25" t="e">
        <f t="shared" si="309"/>
        <v>#DIV/0!</v>
      </c>
      <c r="E169" s="25" t="e">
        <f t="shared" si="309"/>
        <v>#DIV/0!</v>
      </c>
      <c r="F169" s="25" t="e">
        <f t="shared" si="309"/>
        <v>#DIV/0!</v>
      </c>
      <c r="G169" s="25">
        <f t="shared" si="309"/>
        <v>0</v>
      </c>
      <c r="H169" s="25">
        <f t="shared" si="309"/>
        <v>0</v>
      </c>
      <c r="I169" s="25">
        <f t="shared" si="309"/>
        <v>0</v>
      </c>
      <c r="J169" s="25">
        <f t="shared" si="309"/>
        <v>0</v>
      </c>
      <c r="K169" s="25">
        <f t="shared" si="309"/>
        <v>0</v>
      </c>
      <c r="L169" s="25">
        <f t="shared" si="309"/>
        <v>0</v>
      </c>
      <c r="M169" s="25">
        <f t="shared" si="309"/>
        <v>0</v>
      </c>
      <c r="N169" s="25">
        <f t="shared" si="309"/>
        <v>0</v>
      </c>
      <c r="O169" s="25">
        <f t="shared" si="309"/>
        <v>0</v>
      </c>
      <c r="P169" s="25">
        <f t="shared" si="309"/>
        <v>26.703296703296701</v>
      </c>
      <c r="Q169" s="118" t="e">
        <f t="shared" si="299"/>
        <v>#DIV/0!</v>
      </c>
      <c r="R169" s="128"/>
      <c r="S169" s="119">
        <f t="shared" ref="S169:AB169" si="310">S167/S52</f>
        <v>38.982044740973308</v>
      </c>
      <c r="T169" s="119">
        <f t="shared" si="310"/>
        <v>42.490428767660902</v>
      </c>
      <c r="U169" s="119">
        <f t="shared" si="310"/>
        <v>46.314567356750388</v>
      </c>
      <c r="V169" s="119">
        <f t="shared" si="310"/>
        <v>50.482878418857922</v>
      </c>
      <c r="W169" s="119">
        <f t="shared" si="310"/>
        <v>55.026337476555135</v>
      </c>
      <c r="X169" s="119">
        <f t="shared" si="310"/>
        <v>59.978707849445101</v>
      </c>
      <c r="Y169" s="119">
        <f t="shared" si="310"/>
        <v>65.376791555895167</v>
      </c>
      <c r="Z169" s="119">
        <f t="shared" si="310"/>
        <v>71.260702795925738</v>
      </c>
      <c r="AA169" s="119">
        <f t="shared" si="310"/>
        <v>77.674166047559055</v>
      </c>
      <c r="AB169" s="119">
        <f t="shared" si="310"/>
        <v>84.66484099183937</v>
      </c>
      <c r="AC169" s="138" t="e">
        <f t="shared" si="302"/>
        <v>#DIV/0!</v>
      </c>
      <c r="AD169" s="31">
        <v>0.08</v>
      </c>
      <c r="AE169" s="127" t="e">
        <f t="shared" si="303"/>
        <v>#DIV/0!</v>
      </c>
    </row>
    <row r="170" spans="2:31" x14ac:dyDescent="0.2">
      <c r="B170" s="20" t="s">
        <v>258</v>
      </c>
      <c r="C170" s="25" t="e">
        <f t="shared" ref="C170:P170" si="311">C167/C55</f>
        <v>#DIV/0!</v>
      </c>
      <c r="D170" s="25" t="e">
        <f t="shared" si="311"/>
        <v>#DIV/0!</v>
      </c>
      <c r="E170" s="25" t="e">
        <f t="shared" si="311"/>
        <v>#DIV/0!</v>
      </c>
      <c r="F170" s="25" t="e">
        <f t="shared" si="311"/>
        <v>#DIV/0!</v>
      </c>
      <c r="G170" s="25">
        <f t="shared" si="311"/>
        <v>0</v>
      </c>
      <c r="H170" s="25">
        <f t="shared" si="311"/>
        <v>0</v>
      </c>
      <c r="I170" s="25">
        <f t="shared" si="311"/>
        <v>0</v>
      </c>
      <c r="J170" s="25">
        <f t="shared" si="311"/>
        <v>0</v>
      </c>
      <c r="K170" s="25">
        <f t="shared" si="311"/>
        <v>0</v>
      </c>
      <c r="L170" s="25">
        <f t="shared" si="311"/>
        <v>0</v>
      </c>
      <c r="M170" s="25">
        <f t="shared" si="311"/>
        <v>0</v>
      </c>
      <c r="N170" s="25">
        <f t="shared" si="311"/>
        <v>0</v>
      </c>
      <c r="O170" s="25">
        <f t="shared" si="311"/>
        <v>0</v>
      </c>
      <c r="P170" s="25">
        <f t="shared" si="311"/>
        <v>1.8126839924871121</v>
      </c>
      <c r="Q170" s="118" t="e">
        <f t="shared" si="299"/>
        <v>#DIV/0!</v>
      </c>
      <c r="R170" s="128"/>
      <c r="S170" s="119">
        <f t="shared" ref="S170:AB170" si="312">S167/S55</f>
        <v>2.6461949354610965</v>
      </c>
      <c r="T170" s="119">
        <f t="shared" si="312"/>
        <v>2.8843524796525948</v>
      </c>
      <c r="U170" s="119">
        <f t="shared" si="312"/>
        <v>3.1439442028213289</v>
      </c>
      <c r="V170" s="119">
        <f t="shared" si="312"/>
        <v>3.4268991810752487</v>
      </c>
      <c r="W170" s="119">
        <f t="shared" si="312"/>
        <v>3.7353201073720217</v>
      </c>
      <c r="X170" s="119">
        <f t="shared" si="312"/>
        <v>4.0714989170355036</v>
      </c>
      <c r="Y170" s="119">
        <f t="shared" si="312"/>
        <v>4.4379338195687001</v>
      </c>
      <c r="Z170" s="119">
        <f t="shared" si="312"/>
        <v>4.8373478633298834</v>
      </c>
      <c r="AA170" s="119">
        <f t="shared" si="312"/>
        <v>5.2727091710295735</v>
      </c>
      <c r="AB170" s="119">
        <f t="shared" si="312"/>
        <v>5.747252996422235</v>
      </c>
      <c r="AC170" s="138" t="e">
        <f t="shared" si="302"/>
        <v>#DIV/0!</v>
      </c>
      <c r="AD170" s="31">
        <v>0.08</v>
      </c>
      <c r="AE170" s="127" t="e">
        <f t="shared" si="303"/>
        <v>#DIV/0!</v>
      </c>
    </row>
    <row r="171" spans="2:31" x14ac:dyDescent="0.2">
      <c r="B171" s="20" t="s">
        <v>259</v>
      </c>
      <c r="C171" s="25" t="e">
        <f t="shared" ref="C171:P171" si="313">C167/C64</f>
        <v>#DIV/0!</v>
      </c>
      <c r="D171" s="25" t="e">
        <f t="shared" si="313"/>
        <v>#DIV/0!</v>
      </c>
      <c r="E171" s="25" t="e">
        <f t="shared" si="313"/>
        <v>#DIV/0!</v>
      </c>
      <c r="F171" s="25" t="e">
        <f t="shared" si="313"/>
        <v>#DIV/0!</v>
      </c>
      <c r="G171" s="25">
        <f t="shared" si="313"/>
        <v>0</v>
      </c>
      <c r="H171" s="25">
        <f t="shared" si="313"/>
        <v>0</v>
      </c>
      <c r="I171" s="25">
        <f t="shared" si="313"/>
        <v>0</v>
      </c>
      <c r="J171" s="25">
        <f t="shared" si="313"/>
        <v>0</v>
      </c>
      <c r="K171" s="25">
        <f t="shared" si="313"/>
        <v>0</v>
      </c>
      <c r="L171" s="25">
        <f t="shared" si="313"/>
        <v>0</v>
      </c>
      <c r="M171" s="25">
        <f t="shared" si="313"/>
        <v>0</v>
      </c>
      <c r="N171" s="25">
        <f t="shared" si="313"/>
        <v>0</v>
      </c>
      <c r="O171" s="25">
        <f t="shared" si="313"/>
        <v>0</v>
      </c>
      <c r="P171" s="25">
        <f t="shared" si="313"/>
        <v>8.4996876951905058</v>
      </c>
      <c r="Q171" s="118" t="e">
        <f t="shared" si="299"/>
        <v>#DIV/0!</v>
      </c>
      <c r="R171" s="128"/>
      <c r="S171" s="119">
        <f t="shared" ref="S171:AB171" si="314">S167/S64</f>
        <v>12.408026233603996</v>
      </c>
      <c r="T171" s="119">
        <f t="shared" si="314"/>
        <v>13.524748594628358</v>
      </c>
      <c r="U171" s="119">
        <f t="shared" si="314"/>
        <v>14.74197596814491</v>
      </c>
      <c r="V171" s="119">
        <f t="shared" si="314"/>
        <v>16.06875380527795</v>
      </c>
      <c r="W171" s="119">
        <f t="shared" si="314"/>
        <v>17.51494164775297</v>
      </c>
      <c r="X171" s="119">
        <f t="shared" si="314"/>
        <v>19.091286396050737</v>
      </c>
      <c r="Y171" s="119">
        <f t="shared" si="314"/>
        <v>20.809502171695303</v>
      </c>
      <c r="Z171" s="119">
        <f t="shared" si="314"/>
        <v>22.682357367147883</v>
      </c>
      <c r="AA171" s="119">
        <f t="shared" si="314"/>
        <v>24.723769530191195</v>
      </c>
      <c r="AB171" s="119">
        <f t="shared" si="314"/>
        <v>26.948908787908397</v>
      </c>
      <c r="AC171" s="138" t="e">
        <f t="shared" si="302"/>
        <v>#DIV/0!</v>
      </c>
      <c r="AD171" s="31">
        <v>0.08</v>
      </c>
      <c r="AE171" s="127" t="e">
        <f t="shared" si="303"/>
        <v>#DIV/0!</v>
      </c>
    </row>
    <row r="172" spans="2:31" x14ac:dyDescent="0.2">
      <c r="B172" s="20" t="s">
        <v>260</v>
      </c>
      <c r="C172" s="25" t="e">
        <f t="shared" ref="C172:P172" si="315">C167/C66</f>
        <v>#DIV/0!</v>
      </c>
      <c r="D172" s="25" t="e">
        <f t="shared" si="315"/>
        <v>#DIV/0!</v>
      </c>
      <c r="E172" s="25" t="e">
        <f t="shared" si="315"/>
        <v>#DIV/0!</v>
      </c>
      <c r="F172" s="25" t="e">
        <f t="shared" si="315"/>
        <v>#DIV/0!</v>
      </c>
      <c r="G172" s="25">
        <f t="shared" si="315"/>
        <v>0</v>
      </c>
      <c r="H172" s="25">
        <f t="shared" si="315"/>
        <v>0</v>
      </c>
      <c r="I172" s="25">
        <f t="shared" si="315"/>
        <v>0</v>
      </c>
      <c r="J172" s="25">
        <f t="shared" si="315"/>
        <v>0</v>
      </c>
      <c r="K172" s="25">
        <f t="shared" si="315"/>
        <v>0</v>
      </c>
      <c r="L172" s="25">
        <f t="shared" si="315"/>
        <v>0</v>
      </c>
      <c r="M172" s="25">
        <f t="shared" si="315"/>
        <v>0</v>
      </c>
      <c r="N172" s="25">
        <f t="shared" si="315"/>
        <v>0</v>
      </c>
      <c r="O172" s="25">
        <f t="shared" si="315"/>
        <v>0</v>
      </c>
      <c r="P172" s="25">
        <f t="shared" si="315"/>
        <v>2.7828220858895705</v>
      </c>
      <c r="Q172" s="118" t="e">
        <f t="shared" si="299"/>
        <v>#DIV/0!</v>
      </c>
      <c r="R172" s="128"/>
      <c r="S172" s="119">
        <f t="shared" ref="S172:AB172" si="316">S167/S66</f>
        <v>4.0624233128834346</v>
      </c>
      <c r="T172" s="119">
        <f t="shared" si="316"/>
        <v>4.4280414110429449</v>
      </c>
      <c r="U172" s="119">
        <f t="shared" si="316"/>
        <v>4.8265651380368109</v>
      </c>
      <c r="V172" s="119">
        <f t="shared" si="316"/>
        <v>5.2609560004601237</v>
      </c>
      <c r="W172" s="119">
        <f t="shared" si="316"/>
        <v>5.7344420405015351</v>
      </c>
      <c r="X172" s="119">
        <f t="shared" si="316"/>
        <v>6.2505418241466737</v>
      </c>
      <c r="Y172" s="119">
        <f t="shared" si="316"/>
        <v>6.8130905883198762</v>
      </c>
      <c r="Z172" s="119">
        <f t="shared" si="316"/>
        <v>7.4262687412686637</v>
      </c>
      <c r="AA172" s="119">
        <f t="shared" si="316"/>
        <v>8.0946329279828468</v>
      </c>
      <c r="AB172" s="119">
        <f t="shared" si="316"/>
        <v>8.8231498915013002</v>
      </c>
      <c r="AC172" s="138" t="e">
        <f t="shared" si="302"/>
        <v>#DIV/0!</v>
      </c>
      <c r="AD172" s="31">
        <v>0.08</v>
      </c>
      <c r="AE172" s="127" t="e">
        <f t="shared" si="303"/>
        <v>#DIV/0!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17">G167/G60</f>
        <v>0</v>
      </c>
      <c r="H173" s="182">
        <f t="shared" si="317"/>
        <v>0</v>
      </c>
      <c r="I173" s="182">
        <f t="shared" si="317"/>
        <v>0</v>
      </c>
      <c r="J173" s="182">
        <f t="shared" si="317"/>
        <v>0</v>
      </c>
      <c r="K173" s="182">
        <f t="shared" si="317"/>
        <v>0</v>
      </c>
      <c r="L173" s="182">
        <f t="shared" si="317"/>
        <v>0</v>
      </c>
      <c r="M173" s="182">
        <f t="shared" si="317"/>
        <v>0</v>
      </c>
      <c r="N173" s="182">
        <f t="shared" si="317"/>
        <v>0</v>
      </c>
      <c r="O173" s="182">
        <f t="shared" si="317"/>
        <v>0</v>
      </c>
      <c r="P173" s="182">
        <f t="shared" si="317"/>
        <v>1.4077484094553352</v>
      </c>
      <c r="Q173" s="118" t="e">
        <f t="shared" ref="Q173:Q175" si="318">((P173/G173)^(1/($H$2-$H$1) ))-1</f>
        <v>#DIV/0!</v>
      </c>
      <c r="R173" s="128"/>
      <c r="S173" s="135">
        <f t="shared" ref="S173:AB173" si="319">S167/S60</f>
        <v>2.055061294160244</v>
      </c>
      <c r="T173" s="135">
        <f t="shared" si="319"/>
        <v>2.2400168106346654</v>
      </c>
      <c r="U173" s="135">
        <f t="shared" si="319"/>
        <v>2.4416183235917859</v>
      </c>
      <c r="V173" s="135">
        <f t="shared" si="319"/>
        <v>2.6613639727150469</v>
      </c>
      <c r="W173" s="135">
        <f t="shared" si="319"/>
        <v>2.9008867302594012</v>
      </c>
      <c r="X173" s="135">
        <f t="shared" si="319"/>
        <v>3.1619665359827476</v>
      </c>
      <c r="Y173" s="135">
        <f t="shared" si="319"/>
        <v>3.446543524221195</v>
      </c>
      <c r="Z173" s="135">
        <f t="shared" si="319"/>
        <v>3.7567324414011027</v>
      </c>
      <c r="AA173" s="135">
        <f t="shared" si="319"/>
        <v>4.094838361127203</v>
      </c>
      <c r="AB173" s="135">
        <f t="shared" si="319"/>
        <v>4.4633738136286514</v>
      </c>
      <c r="AC173" s="138" t="e">
        <f t="shared" ref="AC173" si="320">((AB173/G173)^(1/($AB$3-$H$1) ))-1</f>
        <v>#DIV/0!</v>
      </c>
      <c r="AD173" s="31">
        <v>0.08</v>
      </c>
      <c r="AE173" s="127" t="e">
        <f t="shared" si="303"/>
        <v>#DIV/0!</v>
      </c>
    </row>
    <row r="174" spans="2:31" x14ac:dyDescent="0.2">
      <c r="B174" s="20" t="s">
        <v>371</v>
      </c>
      <c r="C174" s="161" t="e">
        <f t="shared" ref="C174:P174" si="321">C52/C167</f>
        <v>#DIV/0!</v>
      </c>
      <c r="D174" s="161" t="e">
        <f t="shared" si="321"/>
        <v>#DIV/0!</v>
      </c>
      <c r="E174" s="161" t="e">
        <f t="shared" si="321"/>
        <v>#DIV/0!</v>
      </c>
      <c r="F174" s="161" t="e">
        <f t="shared" si="321"/>
        <v>#DIV/0!</v>
      </c>
      <c r="G174" s="161" t="e">
        <f t="shared" si="321"/>
        <v>#DIV/0!</v>
      </c>
      <c r="H174" s="161" t="e">
        <f t="shared" si="321"/>
        <v>#DIV/0!</v>
      </c>
      <c r="I174" s="161" t="e">
        <f t="shared" si="321"/>
        <v>#DIV/0!</v>
      </c>
      <c r="J174" s="161" t="e">
        <f t="shared" si="321"/>
        <v>#DIV/0!</v>
      </c>
      <c r="K174" s="161" t="e">
        <f t="shared" si="321"/>
        <v>#DIV/0!</v>
      </c>
      <c r="L174" s="161" t="e">
        <f t="shared" si="321"/>
        <v>#DIV/0!</v>
      </c>
      <c r="M174" s="161" t="e">
        <f t="shared" si="321"/>
        <v>#DIV/0!</v>
      </c>
      <c r="N174" s="161" t="e">
        <f t="shared" si="321"/>
        <v>#DIV/0!</v>
      </c>
      <c r="O174" s="161" t="e">
        <f t="shared" si="321"/>
        <v>#DIV/0!</v>
      </c>
      <c r="P174" s="161">
        <f t="shared" si="321"/>
        <v>3.7448559670781895E-2</v>
      </c>
      <c r="Q174" s="118" t="e">
        <f t="shared" si="318"/>
        <v>#DIV/0!</v>
      </c>
      <c r="R174" s="128"/>
      <c r="S174" s="161">
        <f t="shared" ref="S174:AB174" si="322">S52/S167</f>
        <v>2.5652835982431638E-2</v>
      </c>
      <c r="T174" s="161">
        <f t="shared" si="322"/>
        <v>2.3534711910487741E-2</v>
      </c>
      <c r="U174" s="161">
        <f t="shared" si="322"/>
        <v>2.1591478816961229E-2</v>
      </c>
      <c r="V174" s="161">
        <f t="shared" si="322"/>
        <v>1.9808696162349749E-2</v>
      </c>
      <c r="W174" s="161">
        <f t="shared" si="322"/>
        <v>1.8173115745275002E-2</v>
      </c>
      <c r="X174" s="161">
        <f t="shared" si="322"/>
        <v>1.6672583252545871E-2</v>
      </c>
      <c r="Y174" s="161">
        <f t="shared" si="322"/>
        <v>1.5295947938115477E-2</v>
      </c>
      <c r="Z174" s="161">
        <f t="shared" si="322"/>
        <v>1.4032979759738969E-2</v>
      </c>
      <c r="AA174" s="161">
        <f t="shared" si="322"/>
        <v>1.2874293357558686E-2</v>
      </c>
      <c r="AB174" s="161">
        <f t="shared" si="322"/>
        <v>1.1811278309686868E-2</v>
      </c>
      <c r="AC174" s="138" t="e">
        <f t="shared" ref="AC174:AC175" si="323">((AB174/G174)^(1/($AB$3-$H$1) ))-1</f>
        <v>#DIV/0!</v>
      </c>
      <c r="AD174" s="31">
        <v>0.08</v>
      </c>
      <c r="AE174" s="127" t="e">
        <f t="shared" si="303"/>
        <v>#DIV/0!</v>
      </c>
    </row>
    <row r="175" spans="2:31" x14ac:dyDescent="0.2">
      <c r="B175" s="20" t="s">
        <v>320</v>
      </c>
      <c r="C175" s="152" t="e">
        <f t="shared" ref="C175:P175" si="324">C43/C167</f>
        <v>#DIV/0!</v>
      </c>
      <c r="D175" s="152" t="e">
        <f t="shared" si="324"/>
        <v>#DIV/0!</v>
      </c>
      <c r="E175" s="152" t="e">
        <f t="shared" si="324"/>
        <v>#DIV/0!</v>
      </c>
      <c r="F175" s="152" t="e">
        <f t="shared" si="324"/>
        <v>#DIV/0!</v>
      </c>
      <c r="G175" s="152" t="e">
        <f t="shared" si="324"/>
        <v>#DIV/0!</v>
      </c>
      <c r="H175" s="152" t="e">
        <f t="shared" si="324"/>
        <v>#DIV/0!</v>
      </c>
      <c r="I175" s="152" t="e">
        <f t="shared" si="324"/>
        <v>#DIV/0!</v>
      </c>
      <c r="J175" s="152" t="e">
        <f t="shared" si="324"/>
        <v>#DIV/0!</v>
      </c>
      <c r="K175" s="152" t="e">
        <f t="shared" si="324"/>
        <v>#DIV/0!</v>
      </c>
      <c r="L175" s="152" t="e">
        <f t="shared" si="324"/>
        <v>#DIV/0!</v>
      </c>
      <c r="M175" s="152" t="e">
        <f t="shared" si="324"/>
        <v>#DIV/0!</v>
      </c>
      <c r="N175" s="152" t="e">
        <f t="shared" si="324"/>
        <v>#DIV/0!</v>
      </c>
      <c r="O175" s="152" t="e">
        <f t="shared" si="324"/>
        <v>#DIV/0!</v>
      </c>
      <c r="P175" s="152">
        <f t="shared" si="324"/>
        <v>4.1666666666666666E-3</v>
      </c>
      <c r="Q175" s="118" t="e">
        <f t="shared" si="318"/>
        <v>#DIV/0!</v>
      </c>
      <c r="R175" s="128"/>
      <c r="S175" s="152">
        <f t="shared" ref="S175:AB175" si="325">S43/S167</f>
        <v>4.0137614678899085E-3</v>
      </c>
      <c r="T175" s="152">
        <f t="shared" si="325"/>
        <v>3.8664674690682597E-3</v>
      </c>
      <c r="U175" s="152">
        <f t="shared" si="325"/>
        <v>3.7245787546070388E-3</v>
      </c>
      <c r="V175" s="152">
        <f t="shared" si="325"/>
        <v>3.5878969654471477E-3</v>
      </c>
      <c r="W175" s="152">
        <f t="shared" si="325"/>
        <v>3.4562310217610137E-3</v>
      </c>
      <c r="X175" s="152">
        <f t="shared" si="325"/>
        <v>3.3293968558248295E-3</v>
      </c>
      <c r="Y175" s="152">
        <f t="shared" si="325"/>
        <v>3.2072171546936429E-3</v>
      </c>
      <c r="Z175" s="152">
        <f t="shared" si="325"/>
        <v>3.0895211123195643E-3</v>
      </c>
      <c r="AA175" s="152">
        <f t="shared" si="325"/>
        <v>2.9761441907665527E-3</v>
      </c>
      <c r="AB175" s="152">
        <f t="shared" si="325"/>
        <v>2.8669278901879633E-3</v>
      </c>
      <c r="AC175" s="138" t="e">
        <f t="shared" si="323"/>
        <v>#DIV/0!</v>
      </c>
      <c r="AD175" s="31">
        <v>0.08</v>
      </c>
      <c r="AE175" s="127" t="e">
        <f t="shared" si="303"/>
        <v>#DIV/0!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9" t="s">
        <v>351</v>
      </c>
      <c r="L178" s="20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>
        <f>(P167-R155)/P167</f>
        <v>0.96051381276457048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0.36426788432022134</v>
      </c>
      <c r="N180" s="20"/>
      <c r="O180" s="20"/>
      <c r="P180" s="128">
        <f>(P167-R146)/P167</f>
        <v>0.36426788432022134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0.49149322728639633</v>
      </c>
      <c r="N181" s="20"/>
      <c r="O181" s="20"/>
      <c r="P181" s="128">
        <f>(P167-R139)/P167</f>
        <v>0.49149322728639633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0.87416072978429449</v>
      </c>
      <c r="N182" s="20"/>
      <c r="O182" s="20"/>
      <c r="P182" s="128">
        <f>(P167-R152)/P167</f>
        <v>0.87416072978429449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400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1</v>
      </c>
      <c r="N183" s="20"/>
      <c r="O183" s="20"/>
      <c r="P183" s="128">
        <f>(P167-R164)/P167</f>
        <v>1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29.83772345337897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408</v>
      </c>
      <c r="AD184" s="115" t="s">
        <v>409</v>
      </c>
      <c r="AE184" s="115" t="s">
        <v>410</v>
      </c>
      <c r="AF184" s="115" t="s">
        <v>411</v>
      </c>
      <c r="AG184" s="115" t="s">
        <v>412</v>
      </c>
      <c r="AH184" s="115" t="s">
        <v>413</v>
      </c>
      <c r="AI184" s="115" t="s">
        <v>414</v>
      </c>
      <c r="AJ184" s="115" t="s">
        <v>415</v>
      </c>
      <c r="AK184" s="115" t="s">
        <v>416</v>
      </c>
      <c r="AL184" s="115" t="s">
        <v>417</v>
      </c>
      <c r="AM184" s="115" t="s">
        <v>418</v>
      </c>
      <c r="AN184" s="115" t="s">
        <v>419</v>
      </c>
      <c r="AO184" s="115" t="s">
        <v>420</v>
      </c>
      <c r="AP184" s="115" t="s">
        <v>421</v>
      </c>
      <c r="AQ184" s="115" t="s">
        <v>422</v>
      </c>
      <c r="AR184" s="115" t="s">
        <v>423</v>
      </c>
      <c r="AS184" s="115" t="s">
        <v>424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3.3514621233167674E-2</v>
      </c>
      <c r="Q185" s="20"/>
      <c r="R185" s="20"/>
      <c r="S185" s="185">
        <f>P167-S186</f>
        <v>55.856815845190376</v>
      </c>
      <c r="T185" s="185">
        <f>S185-T186</f>
        <v>51.50647248264027</v>
      </c>
      <c r="U185" s="185">
        <f t="shared" ref="U185:W185" si="326">T185-U186</f>
        <v>46.938611951962656</v>
      </c>
      <c r="V185" s="185">
        <f t="shared" si="326"/>
        <v>42.142358394751163</v>
      </c>
      <c r="W185" s="185">
        <f t="shared" si="326"/>
        <v>37.1062921596791</v>
      </c>
      <c r="X185" s="185">
        <f>W185-X186</f>
        <v>31.818422612853432</v>
      </c>
      <c r="Y185" s="185">
        <f t="shared" ref="Y185:AB185" si="327">X185-Y186</f>
        <v>26.266159588686481</v>
      </c>
      <c r="Z185" s="185">
        <f t="shared" si="327"/>
        <v>20.43628341331118</v>
      </c>
      <c r="AA185" s="185">
        <f t="shared" si="327"/>
        <v>14.314913429167117</v>
      </c>
      <c r="AB185" s="185">
        <f t="shared" si="327"/>
        <v>7.8874749458158488</v>
      </c>
      <c r="AC185" s="185">
        <f t="shared" ref="AC185" si="328">AB185-AC186</f>
        <v>1.1386645382970171</v>
      </c>
      <c r="AD185" s="185">
        <f t="shared" ref="AD185" si="329">AC185-AD186</f>
        <v>-5.947586389597757</v>
      </c>
      <c r="AE185" s="185">
        <f t="shared" ref="AE185" si="330">AD185-AE186</f>
        <v>-13.388149863887271</v>
      </c>
      <c r="AF185" s="185">
        <f t="shared" ref="AF185" si="331">AE185-AF186</f>
        <v>-21.200741511891259</v>
      </c>
      <c r="AG185" s="185">
        <f t="shared" ref="AG185" si="332">AF185-AG186</f>
        <v>-29.403962742295448</v>
      </c>
      <c r="AH185" s="185">
        <f t="shared" ref="AH185" si="333">AG185-AH186</f>
        <v>-38.017345034219844</v>
      </c>
      <c r="AI185" s="185">
        <f t="shared" ref="AI185" si="334">AH185-AI186</f>
        <v>-47.061396440740467</v>
      </c>
      <c r="AJ185" s="185">
        <f t="shared" ref="AJ185" si="335">AI185-AJ186</f>
        <v>-56.557650417587119</v>
      </c>
      <c r="AK185" s="185">
        <f t="shared" ref="AK185" si="336">AJ185-AK186</f>
        <v>-66.5287170932761</v>
      </c>
      <c r="AL185" s="185">
        <f t="shared" ref="AL185" si="337">AK185-AL186</f>
        <v>-76.998337102749531</v>
      </c>
      <c r="AM185" s="185">
        <f t="shared" ref="AM185" si="338">AL185-AM186</f>
        <v>-87.991438112696642</v>
      </c>
      <c r="AN185" s="185">
        <f t="shared" ref="AN185" si="339">AM185-AN186</f>
        <v>-99.534194173141103</v>
      </c>
      <c r="AO185" s="185">
        <f t="shared" ref="AO185" si="340">AN185-AO186</f>
        <v>-111.65408803660779</v>
      </c>
      <c r="AP185" s="185">
        <f t="shared" ref="AP185" si="341">AO185-AP186</f>
        <v>-124.3799765932478</v>
      </c>
      <c r="AQ185" s="185">
        <f t="shared" ref="AQ185" si="342">AP185-AQ186</f>
        <v>-137.74215957771983</v>
      </c>
      <c r="AR185" s="185">
        <f t="shared" ref="AR185" si="343">AQ185-AR186</f>
        <v>-151.77245171141544</v>
      </c>
      <c r="AS185" s="185">
        <f t="shared" ref="AS185" si="344">AR185-AS186</f>
        <v>-166.50425845179586</v>
      </c>
    </row>
    <row r="186" spans="2:45" x14ac:dyDescent="0.2">
      <c r="B186" s="20" t="s">
        <v>397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1">
        <f>P167/(Q137*(1+K186)^L186)</f>
        <v>15.205696306514964</v>
      </c>
      <c r="N186" s="20"/>
      <c r="O186" s="20"/>
      <c r="P186" s="181">
        <f>P167/Q137</f>
        <v>15.205696306514964</v>
      </c>
      <c r="Q186" s="20"/>
      <c r="R186" s="20"/>
      <c r="S186" s="186">
        <f>Q137*(1+$K$186)</f>
        <v>4.1431841548096227</v>
      </c>
      <c r="T186" s="186">
        <f>S186*(1+$K$186)</f>
        <v>4.3503433625501042</v>
      </c>
      <c r="U186" s="186">
        <f t="shared" ref="U186:AB186" si="345">T186*(1+$K$186)</f>
        <v>4.5678605306776099</v>
      </c>
      <c r="V186" s="186">
        <f t="shared" si="345"/>
        <v>4.7962535572114904</v>
      </c>
      <c r="W186" s="186">
        <f t="shared" si="345"/>
        <v>5.0360662350720649</v>
      </c>
      <c r="X186" s="186">
        <f t="shared" si="345"/>
        <v>5.287869546825668</v>
      </c>
      <c r="Y186" s="186">
        <f t="shared" si="345"/>
        <v>5.5522630241669519</v>
      </c>
      <c r="Z186" s="186">
        <f t="shared" si="345"/>
        <v>5.8298761753752997</v>
      </c>
      <c r="AA186" s="186">
        <f t="shared" si="345"/>
        <v>6.1213699841440645</v>
      </c>
      <c r="AB186" s="186">
        <f t="shared" si="345"/>
        <v>6.4274384833512679</v>
      </c>
      <c r="AC186" s="186">
        <f t="shared" ref="AC186" si="346">AB186*(1+$K$186)</f>
        <v>6.7488104075188318</v>
      </c>
      <c r="AD186" s="186">
        <f t="shared" ref="AD186" si="347">AC186*(1+$K$186)</f>
        <v>7.0862509278947741</v>
      </c>
      <c r="AE186" s="186">
        <f t="shared" ref="AE186" si="348">AD186*(1+$K$186)</f>
        <v>7.4405634742895135</v>
      </c>
      <c r="AF186" s="186">
        <f t="shared" ref="AF186" si="349">AE186*(1+$K$186)</f>
        <v>7.8125916480039894</v>
      </c>
      <c r="AG186" s="186">
        <f t="shared" ref="AG186" si="350">AF186*(1+$K$186)</f>
        <v>8.2032212304041892</v>
      </c>
      <c r="AH186" s="186">
        <f t="shared" ref="AH186" si="351">AG186*(1+$K$186)</f>
        <v>8.613382291924399</v>
      </c>
      <c r="AI186" s="186">
        <f t="shared" ref="AI186" si="352">AH186*(1+$K$186)</f>
        <v>9.0440514065206195</v>
      </c>
      <c r="AJ186" s="186">
        <f t="shared" ref="AJ186" si="353">AI186*(1+$K$186)</f>
        <v>9.496253976846651</v>
      </c>
      <c r="AK186" s="186">
        <f t="shared" ref="AK186" si="354">AJ186*(1+$K$186)</f>
        <v>9.9710666756889843</v>
      </c>
      <c r="AL186" s="186">
        <f t="shared" ref="AL186" si="355">AK186*(1+$K$186)</f>
        <v>10.469620009473434</v>
      </c>
      <c r="AM186" s="186">
        <f t="shared" ref="AM186" si="356">AL186*(1+$K$186)</f>
        <v>10.993101009947107</v>
      </c>
      <c r="AN186" s="186">
        <f t="shared" ref="AN186" si="357">AM186*(1+$K$186)</f>
        <v>11.542756060444463</v>
      </c>
      <c r="AO186" s="186">
        <f t="shared" ref="AO186" si="358">AN186*(1+$K$186)</f>
        <v>12.119893863466686</v>
      </c>
      <c r="AP186" s="186">
        <f t="shared" ref="AP186" si="359">AO186*(1+$K$186)</f>
        <v>12.725888556640021</v>
      </c>
      <c r="AQ186" s="186">
        <f t="shared" ref="AQ186" si="360">AP186*(1+$K$186)</f>
        <v>13.362182984472023</v>
      </c>
      <c r="AR186" s="186">
        <f t="shared" ref="AR186" si="361">AQ186*(1+$K$186)</f>
        <v>14.030292133695625</v>
      </c>
      <c r="AS186" s="186">
        <f t="shared" ref="AS186" si="362">AR186*(1+$K$186)</f>
        <v>14.731806740380406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1">
        <f>P167/(P52*(1+K187)^L187)</f>
        <v>26.703296703296701</v>
      </c>
      <c r="N187" s="20"/>
      <c r="O187" s="20"/>
      <c r="P187" s="181">
        <f>P167/P52</f>
        <v>26.703296703296701</v>
      </c>
      <c r="Q187" s="20"/>
      <c r="R187" s="20"/>
      <c r="S187" s="186">
        <f>P52*(1+$K$187)</f>
        <v>2.3592592592592596</v>
      </c>
      <c r="T187" s="186">
        <f>S187*(1+$K$187)</f>
        <v>2.4772222222222227</v>
      </c>
      <c r="U187" s="186">
        <f t="shared" ref="U187:AB187" si="363">T187*(1+$K$187)</f>
        <v>2.6010833333333339</v>
      </c>
      <c r="V187" s="186">
        <f t="shared" si="363"/>
        <v>2.7311375000000009</v>
      </c>
      <c r="W187" s="186">
        <f t="shared" si="363"/>
        <v>2.867694375000001</v>
      </c>
      <c r="X187" s="186">
        <f t="shared" si="363"/>
        <v>3.0110790937500012</v>
      </c>
      <c r="Y187" s="186">
        <f t="shared" si="363"/>
        <v>3.1616330484375013</v>
      </c>
      <c r="Z187" s="186">
        <f t="shared" si="363"/>
        <v>3.3197147008593766</v>
      </c>
      <c r="AA187" s="186">
        <f t="shared" si="363"/>
        <v>3.4857004359023454</v>
      </c>
      <c r="AB187" s="186">
        <f t="shared" si="363"/>
        <v>3.6599854576974629</v>
      </c>
      <c r="AC187" s="186">
        <f t="shared" ref="AC187" si="364">AB187*(1+$K$187)</f>
        <v>3.8429847305823364</v>
      </c>
      <c r="AD187" s="186">
        <f t="shared" ref="AD187" si="365">AC187*(1+$K$187)</f>
        <v>4.0351339671114532</v>
      </c>
      <c r="AE187" s="186">
        <f t="shared" ref="AE187" si="366">AD187*(1+$K$187)</f>
        <v>4.2368906654670262</v>
      </c>
      <c r="AF187" s="186">
        <f t="shared" ref="AF187" si="367">AE187*(1+$K$187)</f>
        <v>4.448735198740378</v>
      </c>
      <c r="AG187" s="186">
        <f t="shared" ref="AG187" si="368">AF187*(1+$K$187)</f>
        <v>4.6711719586773972</v>
      </c>
      <c r="AH187" s="186">
        <f t="shared" ref="AH187" si="369">AG187*(1+$K$187)</f>
        <v>4.9047305566112671</v>
      </c>
      <c r="AI187" s="186">
        <f t="shared" ref="AI187" si="370">AH187*(1+$K$187)</f>
        <v>5.1499670844418306</v>
      </c>
      <c r="AJ187" s="186">
        <f t="shared" ref="AJ187" si="371">AI187*(1+$K$187)</f>
        <v>5.4074654386639223</v>
      </c>
      <c r="AK187" s="186">
        <f t="shared" ref="AK187" si="372">AJ187*(1+$K$187)</f>
        <v>5.6778387105971184</v>
      </c>
      <c r="AL187" s="186">
        <f t="shared" ref="AL187" si="373">AK187*(1+$K$187)</f>
        <v>5.9617306461269743</v>
      </c>
      <c r="AM187" s="186">
        <f t="shared" ref="AM187" si="374">AL187*(1+$K$187)</f>
        <v>6.2598171784333232</v>
      </c>
      <c r="AN187" s="186">
        <f t="shared" ref="AN187" si="375">AM187*(1+$K$187)</f>
        <v>6.5728080373549895</v>
      </c>
      <c r="AO187" s="186">
        <f t="shared" ref="AO187" si="376">AN187*(1+$K$187)</f>
        <v>6.9014484392227393</v>
      </c>
      <c r="AP187" s="186">
        <f t="shared" ref="AP187" si="377">AO187*(1+$K$187)</f>
        <v>7.2465208611838765</v>
      </c>
      <c r="AQ187" s="186">
        <f t="shared" ref="AQ187" si="378">AP187*(1+$K$187)</f>
        <v>7.6088469042430704</v>
      </c>
      <c r="AR187" s="186">
        <f t="shared" ref="AR187" si="379">AQ187*(1+$K$187)</f>
        <v>7.9892892494552239</v>
      </c>
      <c r="AS187" s="186">
        <f t="shared" ref="AS187" si="380">AR187*(1+$K$187)</f>
        <v>8.3887537119279862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57.640740740740739</v>
      </c>
      <c r="T188" s="185">
        <f>S188-T187</f>
        <v>55.163518518518515</v>
      </c>
      <c r="U188" s="185">
        <f t="shared" ref="U188:Z188" si="381">T188-U187</f>
        <v>52.56243518518518</v>
      </c>
      <c r="V188" s="185">
        <f t="shared" si="381"/>
        <v>49.831297685185177</v>
      </c>
      <c r="W188" s="185">
        <f t="shared" si="381"/>
        <v>46.963603310185178</v>
      </c>
      <c r="X188" s="185">
        <f t="shared" si="381"/>
        <v>43.952524216435179</v>
      </c>
      <c r="Y188" s="185">
        <f t="shared" si="381"/>
        <v>40.790891167997678</v>
      </c>
      <c r="Z188" s="185">
        <f t="shared" si="381"/>
        <v>37.471176467138299</v>
      </c>
      <c r="AA188" s="185">
        <f>Z188-AA187</f>
        <v>33.985476031235955</v>
      </c>
      <c r="AB188" s="185">
        <f t="shared" ref="AB188" si="382">AA188-AB187</f>
        <v>30.325490573538492</v>
      </c>
      <c r="AC188" s="185">
        <f t="shared" ref="AC188" si="383">AB188-AC187</f>
        <v>26.482505842956154</v>
      </c>
      <c r="AD188" s="185">
        <f t="shared" ref="AD188" si="384">AC188-AD187</f>
        <v>22.447371875844702</v>
      </c>
      <c r="AE188" s="185">
        <f t="shared" ref="AE188" si="385">AD188-AE187</f>
        <v>18.210481210377676</v>
      </c>
      <c r="AF188" s="185">
        <f t="shared" ref="AF188" si="386">AE188-AF187</f>
        <v>13.761746011637298</v>
      </c>
      <c r="AG188" s="185">
        <f t="shared" ref="AG188" si="387">AF188-AG187</f>
        <v>9.0905740529599015</v>
      </c>
      <c r="AH188" s="185">
        <f t="shared" ref="AH188" si="388">AG188-AH187</f>
        <v>4.1858434963486344</v>
      </c>
      <c r="AI188" s="185">
        <f t="shared" ref="AI188" si="389">AH188-AI187</f>
        <v>-0.9641235880931962</v>
      </c>
      <c r="AJ188" s="185">
        <f t="shared" ref="AJ188" si="390">AI188-AJ187</f>
        <v>-6.3715890267571185</v>
      </c>
      <c r="AK188" s="185">
        <f t="shared" ref="AK188" si="391">AJ188-AK187</f>
        <v>-12.049427737354236</v>
      </c>
      <c r="AL188" s="185">
        <f t="shared" ref="AL188" si="392">AK188-AL187</f>
        <v>-18.011158383481209</v>
      </c>
      <c r="AM188" s="185">
        <f t="shared" ref="AM188" si="393">AL188-AM187</f>
        <v>-24.270975561914533</v>
      </c>
      <c r="AN188" s="185">
        <f t="shared" ref="AN188" si="394">AM188-AN187</f>
        <v>-30.843783599269521</v>
      </c>
      <c r="AO188" s="185">
        <f t="shared" ref="AO188" si="395">AN188-AO187</f>
        <v>-37.745232038492261</v>
      </c>
      <c r="AP188" s="185">
        <f t="shared" ref="AP188" si="396">AO188-AP187</f>
        <v>-44.991752899676136</v>
      </c>
      <c r="AQ188" s="185">
        <f t="shared" ref="AQ188" si="397">AP188-AQ187</f>
        <v>-52.600599803919209</v>
      </c>
      <c r="AR188" s="185">
        <f t="shared" ref="AR188" si="398">AQ188-AR187</f>
        <v>-60.589889053374435</v>
      </c>
      <c r="AS188" s="185">
        <f t="shared" ref="AS188" si="399">AR188-AS187</f>
        <v>-68.978642765302425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400">C10/C7</f>
        <v>#DIV/0!</v>
      </c>
      <c r="D190" s="25" t="e">
        <f t="shared" si="400"/>
        <v>#DIV/0!</v>
      </c>
      <c r="E190" s="25" t="e">
        <f t="shared" si="400"/>
        <v>#DIV/0!</v>
      </c>
      <c r="F190" s="25" t="e">
        <f t="shared" si="400"/>
        <v>#DIV/0!</v>
      </c>
      <c r="G190" s="25">
        <f t="shared" si="400"/>
        <v>0.05</v>
      </c>
      <c r="H190" s="25">
        <f t="shared" si="400"/>
        <v>2.7777777777777777</v>
      </c>
      <c r="I190" s="25">
        <f t="shared" si="400"/>
        <v>1.7716535433070866</v>
      </c>
      <c r="J190" s="25">
        <f t="shared" si="400"/>
        <v>1.8488372093023255</v>
      </c>
      <c r="K190" s="25">
        <f t="shared" si="400"/>
        <v>1.4342105263157894</v>
      </c>
      <c r="L190" s="25">
        <f t="shared" si="400"/>
        <v>1</v>
      </c>
      <c r="M190" s="25">
        <f t="shared" si="400"/>
        <v>1</v>
      </c>
      <c r="N190" s="25">
        <f t="shared" si="400"/>
        <v>1</v>
      </c>
      <c r="O190" s="25">
        <f t="shared" si="400"/>
        <v>1.0023310023310024</v>
      </c>
      <c r="P190" s="25">
        <f t="shared" si="400"/>
        <v>0</v>
      </c>
      <c r="Q190" s="118">
        <f t="shared" ref="Q190:Q192" si="401">((P190/G190)^(1/($H$2-$H$1) ))-1</f>
        <v>-1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45</v>
      </c>
      <c r="H191" s="112" t="e">
        <f t="shared" ref="H191:P191" si="402">H10/H12</f>
        <v>#DIV/0!</v>
      </c>
      <c r="I191" s="112">
        <f t="shared" si="402"/>
        <v>25.531914893617024</v>
      </c>
      <c r="J191" s="112">
        <f t="shared" si="402"/>
        <v>26.5</v>
      </c>
      <c r="K191" s="112">
        <f t="shared" si="402"/>
        <v>3.7586206896551726</v>
      </c>
      <c r="L191" s="112">
        <f t="shared" si="402"/>
        <v>20.3125</v>
      </c>
      <c r="M191" s="112">
        <f t="shared" si="402"/>
        <v>5.8695652173913047</v>
      </c>
      <c r="N191" s="112">
        <f t="shared" si="402"/>
        <v>3.15625</v>
      </c>
      <c r="O191" s="112">
        <f t="shared" si="402"/>
        <v>3.1617647058823528</v>
      </c>
      <c r="P191" s="112">
        <f t="shared" si="402"/>
        <v>0</v>
      </c>
      <c r="Q191" s="118">
        <f t="shared" si="401"/>
        <v>-1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0.11221945137157108</v>
      </c>
      <c r="H192" s="25">
        <f t="shared" ref="H192:P192" si="403">H10/(H12+H13)</f>
        <v>6.25</v>
      </c>
      <c r="I192" s="25">
        <f t="shared" si="403"/>
        <v>22.222222222222225</v>
      </c>
      <c r="J192" s="25">
        <f t="shared" si="403"/>
        <v>0.87362637362637363</v>
      </c>
      <c r="K192" s="25">
        <f t="shared" si="403"/>
        <v>0.92897727272727271</v>
      </c>
      <c r="L192" s="25">
        <f t="shared" si="403"/>
        <v>1.3541666666666667</v>
      </c>
      <c r="M192" s="25">
        <f t="shared" si="403"/>
        <v>1.238532110091743</v>
      </c>
      <c r="N192" s="25">
        <f t="shared" si="403"/>
        <v>0.89380530973451322</v>
      </c>
      <c r="O192" s="25">
        <f t="shared" si="403"/>
        <v>1.5925925925925926</v>
      </c>
      <c r="P192" s="25">
        <f t="shared" si="403"/>
        <v>0</v>
      </c>
      <c r="Q192" s="118">
        <f t="shared" si="401"/>
        <v>-1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6" t="s">
        <v>337</v>
      </c>
      <c r="M195" s="197"/>
      <c r="N195" s="198"/>
      <c r="O195" s="23" t="s">
        <v>340</v>
      </c>
      <c r="P195" s="20"/>
      <c r="Q195" s="196" t="s">
        <v>338</v>
      </c>
      <c r="R195" s="197"/>
      <c r="S195" s="198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1</v>
      </c>
      <c r="E197" s="176" t="s">
        <v>384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341</v>
      </c>
      <c r="M197" s="167"/>
      <c r="N197" s="21">
        <v>1</v>
      </c>
      <c r="O197" s="173">
        <f>N197</f>
        <v>1</v>
      </c>
      <c r="P197" s="20"/>
      <c r="Q197" s="167" t="s">
        <v>341</v>
      </c>
      <c r="R197" s="167"/>
      <c r="S197" s="21">
        <v>1</v>
      </c>
      <c r="T197" s="173">
        <f>S197</f>
        <v>1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1</v>
      </c>
      <c r="E198" s="176" t="s">
        <v>385</v>
      </c>
      <c r="F198" s="22">
        <v>1</v>
      </c>
      <c r="G198" s="22">
        <v>1</v>
      </c>
      <c r="H198" s="167">
        <f>F198/G198</f>
        <v>1</v>
      </c>
      <c r="I198" s="167">
        <f>H198*J197</f>
        <v>2</v>
      </c>
      <c r="J198" s="167">
        <f>I198+J197</f>
        <v>4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1</v>
      </c>
      <c r="E199" s="176" t="s">
        <v>398</v>
      </c>
      <c r="F199" s="22">
        <v>0</v>
      </c>
      <c r="G199" s="22">
        <v>2</v>
      </c>
      <c r="H199" s="167">
        <f>F199/G199</f>
        <v>0</v>
      </c>
      <c r="I199" s="167">
        <f>H199*J198</f>
        <v>0</v>
      </c>
      <c r="J199" s="167">
        <f>I199+J198</f>
        <v>4</v>
      </c>
      <c r="K199" s="20"/>
      <c r="L199" s="167" t="s">
        <v>343</v>
      </c>
      <c r="M199" s="167"/>
      <c r="N199" s="168">
        <f>N197*N198</f>
        <v>1</v>
      </c>
      <c r="O199" s="173">
        <f>N199</f>
        <v>1</v>
      </c>
      <c r="P199" s="20"/>
      <c r="Q199" s="167" t="s">
        <v>344</v>
      </c>
      <c r="R199" s="167"/>
      <c r="S199" s="168">
        <f>S197*S198</f>
        <v>1</v>
      </c>
      <c r="T199" s="173">
        <f>S199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10</v>
      </c>
      <c r="G200" s="22">
        <v>2</v>
      </c>
      <c r="H200" s="167">
        <f>F200/G200</f>
        <v>5</v>
      </c>
      <c r="I200" s="167">
        <f>H200*J199</f>
        <v>20</v>
      </c>
      <c r="J200" s="167">
        <f>I200</f>
        <v>20</v>
      </c>
      <c r="K200" s="20"/>
      <c r="L200" s="167" t="s">
        <v>345</v>
      </c>
      <c r="M200" s="167"/>
      <c r="N200" s="21">
        <v>1</v>
      </c>
      <c r="O200" s="21">
        <v>1565</v>
      </c>
      <c r="P200" s="20"/>
      <c r="Q200" s="167" t="s">
        <v>345</v>
      </c>
      <c r="R200" s="167"/>
      <c r="S200" s="21">
        <v>1</v>
      </c>
      <c r="T200" s="21"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1</v>
      </c>
      <c r="E201" s="176"/>
      <c r="F201" s="167"/>
      <c r="G201" s="167"/>
      <c r="H201" s="169" t="s">
        <v>387</v>
      </c>
      <c r="I201" s="167"/>
      <c r="J201" s="167">
        <f>J200</f>
        <v>20</v>
      </c>
      <c r="K201" s="20"/>
      <c r="L201" s="167" t="s">
        <v>346</v>
      </c>
      <c r="M201" s="167"/>
      <c r="N201" s="168">
        <f>N200*N198</f>
        <v>1</v>
      </c>
      <c r="O201" s="168">
        <f>O200*O198</f>
        <v>1565</v>
      </c>
      <c r="P201" s="20"/>
      <c r="Q201" s="167" t="s">
        <v>342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1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1</v>
      </c>
      <c r="T202" s="168">
        <f>T201*T200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1</v>
      </c>
      <c r="E203" s="167"/>
      <c r="F203" s="167"/>
      <c r="G203" s="167"/>
      <c r="H203" s="169" t="s">
        <v>387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347</v>
      </c>
      <c r="M204" s="169"/>
      <c r="N204" s="170">
        <f>N201/N199</f>
        <v>1</v>
      </c>
      <c r="O204" s="170">
        <f>O201/O199</f>
        <v>1565</v>
      </c>
      <c r="P204" s="20"/>
      <c r="Q204" s="169" t="s">
        <v>347</v>
      </c>
      <c r="R204" s="169"/>
      <c r="S204" s="170">
        <f>S202/S199</f>
        <v>1</v>
      </c>
      <c r="T204" s="170">
        <f>T202/T199</f>
        <v>1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1</v>
      </c>
      <c r="E205" s="176"/>
      <c r="F205" s="167"/>
      <c r="G205" s="167"/>
      <c r="H205" s="169" t="s">
        <v>387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>
        <v>8</v>
      </c>
      <c r="N207" s="20">
        <v>12</v>
      </c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9" t="s">
        <v>27</v>
      </c>
      <c r="E208" s="190"/>
      <c r="F208" s="190"/>
      <c r="G208" s="191"/>
      <c r="H208" s="20"/>
      <c r="I208" s="189" t="s">
        <v>393</v>
      </c>
      <c r="J208" s="190"/>
      <c r="K208" s="191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v>1</v>
      </c>
      <c r="H209" s="20"/>
      <c r="I209" s="20" t="s">
        <v>28</v>
      </c>
      <c r="J209" s="127"/>
      <c r="K209" s="21">
        <f>G209</f>
        <v>1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v>1</v>
      </c>
      <c r="H210" s="20"/>
      <c r="I210" s="20" t="s">
        <v>29</v>
      </c>
      <c r="J210" s="20"/>
      <c r="K210" s="21">
        <f>G210</f>
        <v>1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0</v>
      </c>
      <c r="H212" s="20"/>
      <c r="I212" s="23" t="s">
        <v>394</v>
      </c>
      <c r="J212" s="23"/>
      <c r="K212" s="23">
        <f>(K210-K209)/K209</f>
        <v>0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</v>
      </c>
      <c r="H213" s="20"/>
      <c r="I213" s="23" t="s">
        <v>395</v>
      </c>
      <c r="J213" s="23"/>
      <c r="K213" s="23">
        <f>K210/K209</f>
        <v>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0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1" t="s">
        <v>27</v>
      </c>
      <c r="K5" s="201"/>
      <c r="M5" s="201" t="s">
        <v>65</v>
      </c>
      <c r="N5" s="201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1" t="s">
        <v>36</v>
      </c>
      <c r="K14" s="201"/>
      <c r="L14" s="201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1" t="s">
        <v>27</v>
      </c>
      <c r="S5" s="201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1" t="s">
        <v>36</v>
      </c>
      <c r="S14" s="201"/>
      <c r="T14" s="201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1" t="s">
        <v>27</v>
      </c>
      <c r="C2" s="201"/>
      <c r="E2" s="201" t="s">
        <v>65</v>
      </c>
      <c r="F2" s="201"/>
      <c r="H2" s="205" t="s">
        <v>36</v>
      </c>
      <c r="I2" s="206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2" t="s">
        <v>68</v>
      </c>
      <c r="E10" s="203"/>
      <c r="F10" s="203"/>
      <c r="G10" s="203"/>
      <c r="H10" s="204"/>
      <c r="I10" s="202" t="s">
        <v>72</v>
      </c>
      <c r="J10" s="203"/>
      <c r="K10" s="203"/>
      <c r="L10" s="204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2014-07-19T12:45:21Z</dcterms:modified>
</cp:coreProperties>
</file>
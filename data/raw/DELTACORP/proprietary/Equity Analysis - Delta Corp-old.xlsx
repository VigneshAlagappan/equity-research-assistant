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I35" i="18" l="1"/>
  <c r="O12" i="18" l="1"/>
  <c r="N12" i="18"/>
  <c r="M12" i="18"/>
  <c r="L12" i="18"/>
  <c r="K12" i="18"/>
  <c r="P15" i="18"/>
  <c r="C119" i="18" l="1"/>
  <c r="D119" i="18"/>
  <c r="E119" i="18"/>
  <c r="F119" i="18"/>
  <c r="G119" i="18"/>
  <c r="H119" i="18"/>
  <c r="I119" i="18"/>
  <c r="J119" i="18"/>
  <c r="K119" i="18"/>
  <c r="L119" i="18"/>
  <c r="M119" i="18"/>
  <c r="N119" i="18"/>
  <c r="O119" i="18"/>
  <c r="P119" i="18"/>
  <c r="C118" i="18"/>
  <c r="D118" i="18"/>
  <c r="E118" i="18"/>
  <c r="F118" i="18"/>
  <c r="C9" i="15"/>
  <c r="D59" i="18"/>
  <c r="E59" i="18"/>
  <c r="F59" i="18"/>
  <c r="G59" i="18"/>
  <c r="H59" i="18"/>
  <c r="I59" i="18"/>
  <c r="J59" i="18"/>
  <c r="K59" i="18"/>
  <c r="L59" i="18"/>
  <c r="M59" i="18"/>
  <c r="N59" i="18"/>
  <c r="O59" i="18"/>
  <c r="P59" i="18"/>
  <c r="C59" i="18"/>
  <c r="S38" i="18"/>
  <c r="S59" i="18" s="1"/>
  <c r="Q38" i="18"/>
  <c r="T38" i="18" l="1"/>
  <c r="U38" i="18" s="1"/>
  <c r="V38" i="18" s="1"/>
  <c r="W38" i="18" s="1"/>
  <c r="U59" i="18" l="1"/>
  <c r="X38" i="18"/>
  <c r="W59" i="18"/>
  <c r="V59" i="18"/>
  <c r="T59" i="18"/>
  <c r="U28" i="18"/>
  <c r="X28" i="18" s="1"/>
  <c r="AA28" i="18" s="1"/>
  <c r="S28" i="18"/>
  <c r="V28" i="18" s="1"/>
  <c r="Y28" i="18" s="1"/>
  <c r="AB28" i="18" s="1"/>
  <c r="AC28" i="18" s="1"/>
  <c r="C69" i="18"/>
  <c r="D69" i="18"/>
  <c r="E69" i="18"/>
  <c r="F69" i="18"/>
  <c r="G69" i="18"/>
  <c r="H69" i="18"/>
  <c r="I69" i="18"/>
  <c r="J69" i="18"/>
  <c r="K69" i="18"/>
  <c r="L69" i="18"/>
  <c r="M69" i="18"/>
  <c r="N69" i="18"/>
  <c r="O69" i="18"/>
  <c r="C70" i="18"/>
  <c r="D70" i="18"/>
  <c r="E70" i="18"/>
  <c r="F70" i="18"/>
  <c r="G70" i="18"/>
  <c r="H70" i="18"/>
  <c r="I70" i="18"/>
  <c r="J70" i="18"/>
  <c r="K70" i="18"/>
  <c r="L70" i="18"/>
  <c r="M70" i="18"/>
  <c r="N70" i="18"/>
  <c r="O70" i="18"/>
  <c r="C71" i="18"/>
  <c r="D71" i="18"/>
  <c r="E71" i="18"/>
  <c r="F71" i="18"/>
  <c r="G71" i="18"/>
  <c r="H71" i="18"/>
  <c r="I71" i="18"/>
  <c r="J71" i="18"/>
  <c r="K71" i="18"/>
  <c r="L71" i="18"/>
  <c r="M71" i="18"/>
  <c r="N71" i="18"/>
  <c r="O71" i="18"/>
  <c r="P71" i="18"/>
  <c r="P70" i="18"/>
  <c r="P69" i="18"/>
  <c r="C77" i="18"/>
  <c r="D77" i="18"/>
  <c r="E77" i="18"/>
  <c r="F77" i="18"/>
  <c r="G77" i="18"/>
  <c r="H77" i="18"/>
  <c r="I77" i="18"/>
  <c r="J77" i="18"/>
  <c r="K77" i="18"/>
  <c r="L77" i="18"/>
  <c r="M77" i="18"/>
  <c r="N77" i="18"/>
  <c r="O77" i="18"/>
  <c r="P77" i="18"/>
  <c r="C75" i="18"/>
  <c r="D75" i="18"/>
  <c r="E75" i="18"/>
  <c r="C76" i="18"/>
  <c r="D76" i="18"/>
  <c r="E76" i="18"/>
  <c r="F76" i="18"/>
  <c r="G76" i="18"/>
  <c r="H76" i="18"/>
  <c r="I76" i="18"/>
  <c r="J76" i="18"/>
  <c r="K76" i="18"/>
  <c r="L76" i="18"/>
  <c r="M76" i="18"/>
  <c r="N76" i="18"/>
  <c r="O76" i="18"/>
  <c r="F75" i="18"/>
  <c r="G75" i="18"/>
  <c r="H75" i="18"/>
  <c r="I75" i="18"/>
  <c r="J75" i="18"/>
  <c r="K75" i="18"/>
  <c r="L75" i="18"/>
  <c r="M75" i="18"/>
  <c r="N75" i="18"/>
  <c r="O75" i="18"/>
  <c r="P76" i="18"/>
  <c r="G35" i="18"/>
  <c r="G33" i="18"/>
  <c r="G27" i="18"/>
  <c r="G11" i="18"/>
  <c r="G8" i="18"/>
  <c r="G25" i="18"/>
  <c r="Q71" i="18" l="1"/>
  <c r="Y38" i="18"/>
  <c r="X59" i="18"/>
  <c r="Q69" i="18"/>
  <c r="Q70" i="18"/>
  <c r="Q76" i="18"/>
  <c r="Q77" i="18"/>
  <c r="AE28" i="18"/>
  <c r="P75" i="18"/>
  <c r="Q75" i="18" s="1"/>
  <c r="C128" i="18"/>
  <c r="D128" i="18"/>
  <c r="E128" i="18"/>
  <c r="F128" i="18"/>
  <c r="C129" i="18"/>
  <c r="D129" i="18"/>
  <c r="E129" i="18"/>
  <c r="F129" i="18"/>
  <c r="C130" i="18"/>
  <c r="D130" i="18"/>
  <c r="E130" i="18"/>
  <c r="F130" i="18"/>
  <c r="H130" i="18"/>
  <c r="I130" i="18"/>
  <c r="J130" i="18"/>
  <c r="K130" i="18"/>
  <c r="L130" i="18"/>
  <c r="M130" i="18"/>
  <c r="N130" i="18"/>
  <c r="O130" i="18"/>
  <c r="P130" i="18"/>
  <c r="G130" i="18"/>
  <c r="H129" i="18"/>
  <c r="I129" i="18"/>
  <c r="J129" i="18"/>
  <c r="K129" i="18"/>
  <c r="L129" i="18"/>
  <c r="M129" i="18"/>
  <c r="N129" i="18"/>
  <c r="O129" i="18"/>
  <c r="P129" i="18"/>
  <c r="G129" i="18"/>
  <c r="H128" i="18"/>
  <c r="I128" i="18"/>
  <c r="J128" i="18"/>
  <c r="K128" i="18"/>
  <c r="L128" i="18"/>
  <c r="M128" i="18"/>
  <c r="N128" i="18"/>
  <c r="O128" i="18"/>
  <c r="P128" i="18"/>
  <c r="G128" i="18"/>
  <c r="H42" i="18"/>
  <c r="I42" i="18"/>
  <c r="J42" i="18"/>
  <c r="K42" i="18"/>
  <c r="L42" i="18"/>
  <c r="M42" i="18"/>
  <c r="N42" i="18"/>
  <c r="O42" i="18"/>
  <c r="P42" i="18"/>
  <c r="C42" i="18"/>
  <c r="D42" i="18"/>
  <c r="E42" i="18"/>
  <c r="F42" i="18"/>
  <c r="G42" i="18"/>
  <c r="G44" i="18"/>
  <c r="G118" i="18" s="1"/>
  <c r="H41" i="18"/>
  <c r="I41" i="18"/>
  <c r="J41" i="18"/>
  <c r="K41" i="18"/>
  <c r="L41" i="18"/>
  <c r="M41" i="18"/>
  <c r="N41" i="18"/>
  <c r="O41" i="18"/>
  <c r="P41" i="18"/>
  <c r="C41" i="18"/>
  <c r="D41" i="18"/>
  <c r="E41" i="18"/>
  <c r="F41" i="18"/>
  <c r="G41" i="18"/>
  <c r="P35" i="18"/>
  <c r="O35" i="18"/>
  <c r="N35" i="18"/>
  <c r="M35" i="18"/>
  <c r="L35" i="18"/>
  <c r="K35" i="18"/>
  <c r="J35" i="18"/>
  <c r="H35" i="18"/>
  <c r="P33" i="18"/>
  <c r="O33" i="18"/>
  <c r="N33" i="18"/>
  <c r="M33" i="18"/>
  <c r="L33" i="18"/>
  <c r="K33" i="18"/>
  <c r="J33" i="18"/>
  <c r="I33" i="18"/>
  <c r="H33" i="18"/>
  <c r="P27" i="18"/>
  <c r="O27" i="18"/>
  <c r="N27" i="18"/>
  <c r="M27" i="18"/>
  <c r="L27" i="18"/>
  <c r="K27" i="18"/>
  <c r="J27" i="18"/>
  <c r="I27" i="18"/>
  <c r="H27" i="18"/>
  <c r="P25" i="18"/>
  <c r="O25" i="18"/>
  <c r="N25" i="18"/>
  <c r="M25" i="18"/>
  <c r="L25" i="18"/>
  <c r="K25" i="18"/>
  <c r="J25" i="18"/>
  <c r="I25" i="18"/>
  <c r="H25" i="18"/>
  <c r="P11" i="18"/>
  <c r="O11" i="18"/>
  <c r="N11" i="18"/>
  <c r="M11" i="18"/>
  <c r="L11" i="18"/>
  <c r="K11" i="18"/>
  <c r="J11" i="18"/>
  <c r="I11" i="18"/>
  <c r="H11" i="18"/>
  <c r="I8" i="18"/>
  <c r="J8" i="18"/>
  <c r="K8" i="18"/>
  <c r="L8" i="18"/>
  <c r="M8" i="18"/>
  <c r="N8" i="18"/>
  <c r="O8" i="18"/>
  <c r="P8" i="18"/>
  <c r="H8" i="18"/>
  <c r="Q36" i="18"/>
  <c r="S32" i="18"/>
  <c r="Q32" i="18"/>
  <c r="Z38" i="18" l="1"/>
  <c r="Y59" i="18"/>
  <c r="T32" i="18"/>
  <c r="Q130" i="18"/>
  <c r="Q42" i="18"/>
  <c r="Q41" i="18"/>
  <c r="Q129" i="18"/>
  <c r="Q128" i="18"/>
  <c r="Q28" i="18"/>
  <c r="T28" i="18" s="1"/>
  <c r="W28" i="18" s="1"/>
  <c r="Z28" i="18" s="1"/>
  <c r="Q30" i="18"/>
  <c r="AA38" i="18" l="1"/>
  <c r="Z59" i="18"/>
  <c r="U32" i="18"/>
  <c r="I66" i="18"/>
  <c r="J66" i="18"/>
  <c r="K66" i="18"/>
  <c r="L66" i="18"/>
  <c r="M66" i="18"/>
  <c r="N66" i="18"/>
  <c r="O66" i="18"/>
  <c r="P66" i="18"/>
  <c r="I67" i="18"/>
  <c r="J67" i="18"/>
  <c r="K67" i="18"/>
  <c r="L67" i="18"/>
  <c r="M67" i="18"/>
  <c r="N67" i="18"/>
  <c r="O67" i="18"/>
  <c r="P67" i="18"/>
  <c r="I61" i="18"/>
  <c r="I63" i="18" s="1"/>
  <c r="J61" i="18"/>
  <c r="J63" i="18" s="1"/>
  <c r="K61" i="18"/>
  <c r="K63" i="18" s="1"/>
  <c r="L61" i="18"/>
  <c r="L63" i="18" s="1"/>
  <c r="M61" i="18"/>
  <c r="M63" i="18" s="1"/>
  <c r="N61" i="18"/>
  <c r="N63" i="18" s="1"/>
  <c r="O61" i="18"/>
  <c r="O63" i="18" s="1"/>
  <c r="P61" i="18"/>
  <c r="P63" i="18" s="1"/>
  <c r="I64" i="18"/>
  <c r="J64" i="18"/>
  <c r="K64" i="18"/>
  <c r="L64" i="18"/>
  <c r="M64" i="18"/>
  <c r="N64" i="18"/>
  <c r="O64" i="18"/>
  <c r="P64" i="18"/>
  <c r="I65" i="18"/>
  <c r="J65" i="18"/>
  <c r="K65" i="18"/>
  <c r="L65" i="18"/>
  <c r="M65" i="18"/>
  <c r="N65" i="18"/>
  <c r="O65" i="18"/>
  <c r="P65" i="18"/>
  <c r="C64" i="18"/>
  <c r="D64" i="18"/>
  <c r="E64" i="18"/>
  <c r="F64" i="18"/>
  <c r="G64" i="18"/>
  <c r="C65" i="18"/>
  <c r="D65" i="18"/>
  <c r="E65" i="18"/>
  <c r="F65" i="18"/>
  <c r="G65" i="18"/>
  <c r="C66" i="18"/>
  <c r="D66" i="18"/>
  <c r="E66" i="18"/>
  <c r="F66" i="18"/>
  <c r="G66" i="18"/>
  <c r="C67" i="18"/>
  <c r="D67" i="18"/>
  <c r="E67" i="18"/>
  <c r="F67" i="18"/>
  <c r="G67" i="18"/>
  <c r="H67" i="18"/>
  <c r="H66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Q22" i="18"/>
  <c r="S21" i="18"/>
  <c r="T21" i="18" s="1"/>
  <c r="U21" i="18" s="1"/>
  <c r="V21" i="18" s="1"/>
  <c r="W21" i="18" s="1"/>
  <c r="X21" i="18" s="1"/>
  <c r="Y21" i="18" s="1"/>
  <c r="Z21" i="18" s="1"/>
  <c r="AA21" i="18" s="1"/>
  <c r="AB21" i="18" s="1"/>
  <c r="AC21" i="18" s="1"/>
  <c r="S20" i="18"/>
  <c r="Q19" i="18"/>
  <c r="C61" i="18"/>
  <c r="C63" i="18" s="1"/>
  <c r="D61" i="18"/>
  <c r="D63" i="18" s="1"/>
  <c r="E61" i="18"/>
  <c r="E63" i="18" s="1"/>
  <c r="F61" i="18"/>
  <c r="F63" i="18" s="1"/>
  <c r="G61" i="18"/>
  <c r="G63" i="18" s="1"/>
  <c r="H61" i="18"/>
  <c r="H63" i="18" s="1"/>
  <c r="H65" i="18"/>
  <c r="H64" i="18"/>
  <c r="AB38" i="18" l="1"/>
  <c r="AA59" i="18"/>
  <c r="V32" i="18"/>
  <c r="Q66" i="18"/>
  <c r="Q67" i="18"/>
  <c r="Q65" i="18"/>
  <c r="Q63" i="18"/>
  <c r="Q64" i="18"/>
  <c r="AC22" i="18"/>
  <c r="AE22" i="18" s="1"/>
  <c r="Q21" i="18"/>
  <c r="Q20" i="18"/>
  <c r="Q61" i="18"/>
  <c r="S19" i="18"/>
  <c r="T20" i="18"/>
  <c r="AE21" i="18"/>
  <c r="Q59" i="18"/>
  <c r="Q112" i="18"/>
  <c r="T19" i="18" l="1"/>
  <c r="T61" i="18" s="1"/>
  <c r="S61" i="18"/>
  <c r="AB59" i="18"/>
  <c r="S100" i="18" s="1"/>
  <c r="AC38" i="18"/>
  <c r="AE38" i="18" s="1"/>
  <c r="U20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Q34" i="18"/>
  <c r="Q29" i="18"/>
  <c r="Q26" i="18"/>
  <c r="Q24" i="18"/>
  <c r="Q17" i="18"/>
  <c r="Q15" i="18"/>
  <c r="Q14" i="18"/>
  <c r="Q13" i="18"/>
  <c r="Q12" i="18"/>
  <c r="Q10" i="18"/>
  <c r="Q9" i="18"/>
  <c r="Q7" i="18"/>
  <c r="Q6" i="18"/>
  <c r="S17" i="18"/>
  <c r="T17" i="18" s="1"/>
  <c r="U17" i="18" s="1"/>
  <c r="V17" i="18" s="1"/>
  <c r="W17" i="18" s="1"/>
  <c r="X17" i="18" s="1"/>
  <c r="Y17" i="18" s="1"/>
  <c r="Z17" i="18" s="1"/>
  <c r="AA17" i="18" s="1"/>
  <c r="AB17" i="18" s="1"/>
  <c r="S24" i="18"/>
  <c r="S26" i="18"/>
  <c r="S29" i="18"/>
  <c r="T29" i="18" s="1"/>
  <c r="U29" i="18" s="1"/>
  <c r="V29" i="18" s="1"/>
  <c r="W29" i="18" s="1"/>
  <c r="X29" i="18" s="1"/>
  <c r="Y29" i="18" s="1"/>
  <c r="Z29" i="18" s="1"/>
  <c r="AA29" i="18" s="1"/>
  <c r="AB29" i="18" s="1"/>
  <c r="S30" i="18"/>
  <c r="T30" i="18" s="1"/>
  <c r="U30" i="18" s="1"/>
  <c r="V30" i="18" s="1"/>
  <c r="W30" i="18" s="1"/>
  <c r="X30" i="18" s="1"/>
  <c r="Y30" i="18" s="1"/>
  <c r="Z30" i="18" s="1"/>
  <c r="AA30" i="18" s="1"/>
  <c r="AB30" i="18" s="1"/>
  <c r="W32" i="18"/>
  <c r="O57" i="18"/>
  <c r="O116" i="18" s="1"/>
  <c r="O56" i="18"/>
  <c r="O54" i="18"/>
  <c r="O53" i="18"/>
  <c r="O51" i="18"/>
  <c r="O117" i="18" s="1"/>
  <c r="O50" i="18"/>
  <c r="O49" i="18"/>
  <c r="O47" i="18"/>
  <c r="O46" i="18"/>
  <c r="O114" i="18" s="1"/>
  <c r="O45" i="18"/>
  <c r="O44" i="18"/>
  <c r="O113" i="18" l="1"/>
  <c r="O118" i="18"/>
  <c r="U19" i="18"/>
  <c r="AC59" i="18"/>
  <c r="AE59" i="18" s="1"/>
  <c r="T100" i="18" s="1"/>
  <c r="R100" i="18" s="1"/>
  <c r="P123" i="18" s="1"/>
  <c r="T26" i="18"/>
  <c r="X32" i="18"/>
  <c r="T24" i="18"/>
  <c r="S75" i="18"/>
  <c r="V20" i="18"/>
  <c r="AC29" i="18"/>
  <c r="AE29" i="18" s="1"/>
  <c r="AC30" i="18"/>
  <c r="AE30" i="18" s="1"/>
  <c r="AC17" i="18"/>
  <c r="AE17" i="18" s="1"/>
  <c r="AC9" i="18"/>
  <c r="AE9" i="18" s="1"/>
  <c r="O55" i="18"/>
  <c r="O115" i="18" s="1"/>
  <c r="D51" i="18"/>
  <c r="E51" i="18"/>
  <c r="F51" i="18"/>
  <c r="G51" i="18"/>
  <c r="G117" i="18" s="1"/>
  <c r="H51" i="18"/>
  <c r="H117" i="18" s="1"/>
  <c r="I51" i="18"/>
  <c r="I117" i="18" s="1"/>
  <c r="J51" i="18"/>
  <c r="J117" i="18" s="1"/>
  <c r="K51" i="18"/>
  <c r="K117" i="18" s="1"/>
  <c r="L51" i="18"/>
  <c r="L117" i="18" s="1"/>
  <c r="M51" i="18"/>
  <c r="M117" i="18" s="1"/>
  <c r="N51" i="18"/>
  <c r="N117" i="18" s="1"/>
  <c r="P51" i="18"/>
  <c r="C51" i="18"/>
  <c r="C50" i="18"/>
  <c r="V19" i="18" l="1"/>
  <c r="U61" i="18"/>
  <c r="U26" i="18"/>
  <c r="U24" i="18"/>
  <c r="T75" i="18"/>
  <c r="Y32" i="18"/>
  <c r="W20" i="18"/>
  <c r="P117" i="18"/>
  <c r="Q117" i="18" s="1"/>
  <c r="Q51" i="18"/>
  <c r="D50" i="18"/>
  <c r="E50" i="18"/>
  <c r="F50" i="18"/>
  <c r="G50" i="18"/>
  <c r="H50" i="18"/>
  <c r="I50" i="18"/>
  <c r="J50" i="18"/>
  <c r="K50" i="18"/>
  <c r="L50" i="18"/>
  <c r="M50" i="18"/>
  <c r="N50" i="18"/>
  <c r="P50" i="18"/>
  <c r="D49" i="18"/>
  <c r="E49" i="18"/>
  <c r="F49" i="18"/>
  <c r="G49" i="18"/>
  <c r="H49" i="18"/>
  <c r="I49" i="18"/>
  <c r="J49" i="18"/>
  <c r="K49" i="18"/>
  <c r="L49" i="18"/>
  <c r="M49" i="18"/>
  <c r="N49" i="18"/>
  <c r="P49" i="18"/>
  <c r="C49" i="18"/>
  <c r="W19" i="18" l="1"/>
  <c r="V61" i="18"/>
  <c r="V26" i="18"/>
  <c r="V24" i="18"/>
  <c r="U75" i="18"/>
  <c r="Z32" i="18"/>
  <c r="X20" i="18"/>
  <c r="Q49" i="18"/>
  <c r="Q50" i="18"/>
  <c r="C46" i="15"/>
  <c r="X19" i="18" l="1"/>
  <c r="W61" i="18"/>
  <c r="W26" i="18"/>
  <c r="W24" i="18"/>
  <c r="V75" i="18"/>
  <c r="AA32" i="18"/>
  <c r="Y20" i="18"/>
  <c r="S112" i="18"/>
  <c r="C44" i="18"/>
  <c r="C113" i="18" s="1"/>
  <c r="C117" i="18" s="1"/>
  <c r="D44" i="18"/>
  <c r="D113" i="18" s="1"/>
  <c r="D117" i="18" s="1"/>
  <c r="E44" i="18"/>
  <c r="E113" i="18" s="1"/>
  <c r="E117" i="18" s="1"/>
  <c r="F44" i="18"/>
  <c r="F113" i="18" s="1"/>
  <c r="F117" i="18" s="1"/>
  <c r="H44" i="18"/>
  <c r="H118" i="18" s="1"/>
  <c r="I44" i="18"/>
  <c r="J44" i="18"/>
  <c r="K44" i="18"/>
  <c r="L44" i="18"/>
  <c r="L118" i="18" s="1"/>
  <c r="M44" i="18"/>
  <c r="N44" i="18"/>
  <c r="N118" i="18" s="1"/>
  <c r="P44" i="18"/>
  <c r="D57" i="18"/>
  <c r="D116" i="18" s="1"/>
  <c r="E57" i="18"/>
  <c r="E116" i="18" s="1"/>
  <c r="F57" i="18"/>
  <c r="F116" i="18" s="1"/>
  <c r="G57" i="18"/>
  <c r="H57" i="18"/>
  <c r="H116" i="18" s="1"/>
  <c r="I57" i="18"/>
  <c r="I116" i="18" s="1"/>
  <c r="J57" i="18"/>
  <c r="J116" i="18" s="1"/>
  <c r="K57" i="18"/>
  <c r="K116" i="18" s="1"/>
  <c r="L57" i="18"/>
  <c r="L116" i="18" s="1"/>
  <c r="M57" i="18"/>
  <c r="M116" i="18" s="1"/>
  <c r="N57" i="18"/>
  <c r="P57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4" i="18"/>
  <c r="E54" i="18"/>
  <c r="F54" i="18"/>
  <c r="G54" i="18"/>
  <c r="H54" i="18"/>
  <c r="I54" i="18"/>
  <c r="J54" i="18"/>
  <c r="K54" i="18"/>
  <c r="L54" i="18"/>
  <c r="M54" i="18"/>
  <c r="N54" i="18"/>
  <c r="P54" i="18"/>
  <c r="D53" i="18"/>
  <c r="D55" i="18" s="1"/>
  <c r="D115" i="18" s="1"/>
  <c r="E53" i="18"/>
  <c r="E55" i="18" s="1"/>
  <c r="E115" i="18" s="1"/>
  <c r="F53" i="18"/>
  <c r="G53" i="18"/>
  <c r="H53" i="18"/>
  <c r="I53" i="18"/>
  <c r="J53" i="18"/>
  <c r="K53" i="18"/>
  <c r="L53" i="18"/>
  <c r="M53" i="18"/>
  <c r="N53" i="18"/>
  <c r="P53" i="18"/>
  <c r="D47" i="18"/>
  <c r="E47" i="18"/>
  <c r="F47" i="18"/>
  <c r="G47" i="18"/>
  <c r="H47" i="18"/>
  <c r="I47" i="18"/>
  <c r="J47" i="18"/>
  <c r="K47" i="18"/>
  <c r="L47" i="18"/>
  <c r="M47" i="18"/>
  <c r="N47" i="18"/>
  <c r="P47" i="18"/>
  <c r="D46" i="18"/>
  <c r="D114" i="18" s="1"/>
  <c r="E46" i="18"/>
  <c r="E114" i="18" s="1"/>
  <c r="F46" i="18"/>
  <c r="F114" i="18" s="1"/>
  <c r="G46" i="18"/>
  <c r="H46" i="18"/>
  <c r="H114" i="18" s="1"/>
  <c r="I46" i="18"/>
  <c r="I114" i="18" s="1"/>
  <c r="J46" i="18"/>
  <c r="J114" i="18" s="1"/>
  <c r="K46" i="18"/>
  <c r="K114" i="18" s="1"/>
  <c r="L46" i="18"/>
  <c r="L114" i="18" s="1"/>
  <c r="M46" i="18"/>
  <c r="M114" i="18" s="1"/>
  <c r="N46" i="18"/>
  <c r="P46" i="18"/>
  <c r="C57" i="18"/>
  <c r="C116" i="18" s="1"/>
  <c r="C56" i="18"/>
  <c r="C54" i="18"/>
  <c r="C53" i="18"/>
  <c r="C47" i="18"/>
  <c r="C46" i="18"/>
  <c r="C114" i="18" s="1"/>
  <c r="D45" i="18"/>
  <c r="E45" i="18"/>
  <c r="F45" i="18"/>
  <c r="G45" i="18"/>
  <c r="H45" i="18"/>
  <c r="I45" i="18"/>
  <c r="J45" i="18"/>
  <c r="K45" i="18"/>
  <c r="L45" i="18"/>
  <c r="M45" i="18"/>
  <c r="N45" i="18"/>
  <c r="P45" i="18"/>
  <c r="C45" i="18"/>
  <c r="S14" i="18"/>
  <c r="S15" i="18"/>
  <c r="S34" i="18"/>
  <c r="S10" i="18"/>
  <c r="S12" i="18"/>
  <c r="S13" i="18"/>
  <c r="S7" i="18"/>
  <c r="S6" i="18"/>
  <c r="P113" i="18" l="1"/>
  <c r="P118" i="18"/>
  <c r="K113" i="18"/>
  <c r="K118" i="18"/>
  <c r="J113" i="18"/>
  <c r="J118" i="18"/>
  <c r="M113" i="18"/>
  <c r="M118" i="18"/>
  <c r="I113" i="18"/>
  <c r="I118" i="18"/>
  <c r="H113" i="18"/>
  <c r="Q82" i="18"/>
  <c r="Y19" i="18"/>
  <c r="X61" i="18"/>
  <c r="H55" i="18"/>
  <c r="H115" i="18" s="1"/>
  <c r="X26" i="18"/>
  <c r="T12" i="18"/>
  <c r="T14" i="18"/>
  <c r="T13" i="18"/>
  <c r="T10" i="18"/>
  <c r="T15" i="18"/>
  <c r="T6" i="18"/>
  <c r="T7" i="18"/>
  <c r="X24" i="18"/>
  <c r="W75" i="18"/>
  <c r="T34" i="18"/>
  <c r="S77" i="18"/>
  <c r="S76" i="18"/>
  <c r="AB32" i="18"/>
  <c r="F55" i="18"/>
  <c r="F115" i="18" s="1"/>
  <c r="L55" i="18"/>
  <c r="L115" i="18" s="1"/>
  <c r="K55" i="18"/>
  <c r="K115" i="18" s="1"/>
  <c r="J55" i="18"/>
  <c r="J115" i="18" s="1"/>
  <c r="Z20" i="18"/>
  <c r="C55" i="18"/>
  <c r="C115" i="18" s="1"/>
  <c r="T112" i="18"/>
  <c r="I55" i="18"/>
  <c r="I115" i="18" s="1"/>
  <c r="Q45" i="18"/>
  <c r="G114" i="18"/>
  <c r="Q46" i="18"/>
  <c r="Q47" i="18"/>
  <c r="Q54" i="18"/>
  <c r="Q56" i="18"/>
  <c r="G113" i="18"/>
  <c r="Q44" i="18"/>
  <c r="G116" i="18"/>
  <c r="Q57" i="18"/>
  <c r="G55" i="18"/>
  <c r="Q53" i="18"/>
  <c r="N114" i="18"/>
  <c r="N113" i="18"/>
  <c r="N116" i="18"/>
  <c r="P114" i="18"/>
  <c r="L113" i="18"/>
  <c r="N55" i="18"/>
  <c r="M55" i="18"/>
  <c r="M115" i="18" s="1"/>
  <c r="P116" i="18"/>
  <c r="P55" i="18"/>
  <c r="S36" i="18"/>
  <c r="S54" i="18" s="1"/>
  <c r="C6" i="12"/>
  <c r="C26" i="15"/>
  <c r="C58" i="15"/>
  <c r="C57" i="15"/>
  <c r="C54" i="15"/>
  <c r="C53" i="15"/>
  <c r="C50" i="15"/>
  <c r="C49" i="15"/>
  <c r="C45" i="15"/>
  <c r="Z19" i="18" l="1"/>
  <c r="Y61" i="18"/>
  <c r="S53" i="18"/>
  <c r="S70" i="18"/>
  <c r="S49" i="18"/>
  <c r="S51" i="18"/>
  <c r="S117" i="18" s="1"/>
  <c r="S57" i="18"/>
  <c r="S116" i="18" s="1"/>
  <c r="S67" i="18"/>
  <c r="S69" i="18"/>
  <c r="S42" i="18"/>
  <c r="S41" i="18"/>
  <c r="S50" i="18"/>
  <c r="S46" i="18"/>
  <c r="S47" i="18"/>
  <c r="S56" i="18"/>
  <c r="S45" i="18"/>
  <c r="S71" i="18"/>
  <c r="S44" i="18"/>
  <c r="Y26" i="18"/>
  <c r="U14" i="18"/>
  <c r="U13" i="18"/>
  <c r="U12" i="18"/>
  <c r="S55" i="18"/>
  <c r="U15" i="18"/>
  <c r="U10" i="18"/>
  <c r="U7" i="18"/>
  <c r="U6" i="18"/>
  <c r="AC32" i="18"/>
  <c r="AE32" i="18" s="1"/>
  <c r="Y24" i="18"/>
  <c r="X75" i="18"/>
  <c r="U34" i="18"/>
  <c r="T77" i="18"/>
  <c r="T76" i="18"/>
  <c r="T36" i="18"/>
  <c r="T53" i="18" s="1"/>
  <c r="S64" i="18"/>
  <c r="S65" i="18"/>
  <c r="S66" i="18"/>
  <c r="S63" i="18"/>
  <c r="AA20" i="18"/>
  <c r="U112" i="18"/>
  <c r="Q114" i="18"/>
  <c r="Q113" i="18"/>
  <c r="Q116" i="18"/>
  <c r="G115" i="18"/>
  <c r="Q55" i="18"/>
  <c r="N115" i="18"/>
  <c r="P115" i="18"/>
  <c r="C16" i="15"/>
  <c r="C21" i="15"/>
  <c r="C10" i="15"/>
  <c r="AA19" i="18" l="1"/>
  <c r="Z61" i="18"/>
  <c r="T51" i="18"/>
  <c r="T117" i="18" s="1"/>
  <c r="T57" i="18"/>
  <c r="T116" i="18" s="1"/>
  <c r="T67" i="18"/>
  <c r="T69" i="18"/>
  <c r="T41" i="18"/>
  <c r="T42" i="18"/>
  <c r="T46" i="18"/>
  <c r="T45" i="18"/>
  <c r="T56" i="18"/>
  <c r="T71" i="18"/>
  <c r="T50" i="18"/>
  <c r="T47" i="18"/>
  <c r="T44" i="18"/>
  <c r="T49" i="18"/>
  <c r="T54" i="18"/>
  <c r="T55" i="18" s="1"/>
  <c r="T70" i="18"/>
  <c r="Z26" i="18"/>
  <c r="V13" i="18"/>
  <c r="V12" i="18"/>
  <c r="V14" i="18"/>
  <c r="V10" i="18"/>
  <c r="V15" i="18"/>
  <c r="V6" i="18"/>
  <c r="V7" i="18"/>
  <c r="V34" i="18"/>
  <c r="U77" i="18"/>
  <c r="U76" i="18"/>
  <c r="Z24" i="18"/>
  <c r="Y75" i="18"/>
  <c r="U36" i="18"/>
  <c r="U53" i="18" s="1"/>
  <c r="T66" i="18"/>
  <c r="T65" i="18"/>
  <c r="T64" i="18"/>
  <c r="T63" i="18"/>
  <c r="AB20" i="18"/>
  <c r="S115" i="18"/>
  <c r="V112" i="18"/>
  <c r="S113" i="18"/>
  <c r="S114" i="18"/>
  <c r="Q115" i="18"/>
  <c r="D31" i="8"/>
  <c r="D29" i="8"/>
  <c r="D28" i="8"/>
  <c r="D13" i="8"/>
  <c r="D30" i="8" s="1"/>
  <c r="E14" i="8"/>
  <c r="F14" i="8" s="1"/>
  <c r="G14" i="8" s="1"/>
  <c r="H14" i="8" s="1"/>
  <c r="I14" i="8" s="1"/>
  <c r="AB19" i="18" l="1"/>
  <c r="AA61" i="18"/>
  <c r="U71" i="18"/>
  <c r="U70" i="18"/>
  <c r="U49" i="18"/>
  <c r="U57" i="18"/>
  <c r="U116" i="18" s="1"/>
  <c r="U56" i="18"/>
  <c r="U51" i="18"/>
  <c r="U117" i="18" s="1"/>
  <c r="U54" i="18"/>
  <c r="U55" i="18" s="1"/>
  <c r="U45" i="18"/>
  <c r="U67" i="18"/>
  <c r="U69" i="18"/>
  <c r="U42" i="18"/>
  <c r="U41" i="18"/>
  <c r="U50" i="18"/>
  <c r="U46" i="18"/>
  <c r="U47" i="18"/>
  <c r="U44" i="18"/>
  <c r="AA26" i="18"/>
  <c r="W12" i="18"/>
  <c r="W14" i="18"/>
  <c r="W13" i="18"/>
  <c r="W15" i="18"/>
  <c r="W10" i="18"/>
  <c r="V47" i="18"/>
  <c r="W7" i="18"/>
  <c r="W6" i="18"/>
  <c r="V71" i="18"/>
  <c r="AA24" i="18"/>
  <c r="Z75" i="18"/>
  <c r="W34" i="18"/>
  <c r="V76" i="18"/>
  <c r="V77" i="18"/>
  <c r="V36" i="18"/>
  <c r="V56" i="18" s="1"/>
  <c r="U66" i="18"/>
  <c r="U64" i="18"/>
  <c r="U65" i="18"/>
  <c r="U63" i="18"/>
  <c r="AC20" i="18"/>
  <c r="AE20" i="18" s="1"/>
  <c r="T115" i="18"/>
  <c r="W112" i="18"/>
  <c r="T113" i="18"/>
  <c r="T114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54" i="18" l="1"/>
  <c r="AC19" i="18"/>
  <c r="AE19" i="18" s="1"/>
  <c r="AB61" i="18"/>
  <c r="S102" i="18" s="1"/>
  <c r="V45" i="18"/>
  <c r="V53" i="18"/>
  <c r="V50" i="18"/>
  <c r="V70" i="18"/>
  <c r="V46" i="18"/>
  <c r="V51" i="18"/>
  <c r="V117" i="18" s="1"/>
  <c r="V67" i="18"/>
  <c r="V69" i="18"/>
  <c r="V41" i="18"/>
  <c r="V42" i="18"/>
  <c r="V49" i="18"/>
  <c r="V57" i="18"/>
  <c r="V116" i="18" s="1"/>
  <c r="V44" i="18"/>
  <c r="AB26" i="18"/>
  <c r="X14" i="18"/>
  <c r="X13" i="18"/>
  <c r="X12" i="18"/>
  <c r="X10" i="18"/>
  <c r="X15" i="18"/>
  <c r="X6" i="18"/>
  <c r="X7" i="18"/>
  <c r="X34" i="18"/>
  <c r="W77" i="18"/>
  <c r="W76" i="18"/>
  <c r="AB24" i="18"/>
  <c r="AA75" i="18"/>
  <c r="W36" i="18"/>
  <c r="W54" i="18" s="1"/>
  <c r="V66" i="18"/>
  <c r="V64" i="18"/>
  <c r="V65" i="18"/>
  <c r="V63" i="18"/>
  <c r="U115" i="18"/>
  <c r="X112" i="18"/>
  <c r="U113" i="18"/>
  <c r="U114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N31" i="9"/>
  <c r="P31" i="9" s="1"/>
  <c r="M45" i="9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V55" i="18" l="1"/>
  <c r="AC61" i="18"/>
  <c r="AE61" i="18" s="1"/>
  <c r="T102" i="18" s="1"/>
  <c r="R102" i="18" s="1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57" i="18"/>
  <c r="W116" i="18" s="1"/>
  <c r="W56" i="18"/>
  <c r="W51" i="18"/>
  <c r="W117" i="18" s="1"/>
  <c r="W53" i="18"/>
  <c r="W55" i="18" s="1"/>
  <c r="W50" i="18"/>
  <c r="W70" i="18"/>
  <c r="W49" i="18"/>
  <c r="W71" i="18"/>
  <c r="W67" i="18"/>
  <c r="W69" i="18"/>
  <c r="W42" i="18"/>
  <c r="W41" i="18"/>
  <c r="W45" i="18"/>
  <c r="W46" i="18"/>
  <c r="W47" i="18"/>
  <c r="W44" i="18"/>
  <c r="AC26" i="18"/>
  <c r="AE26" i="18" s="1"/>
  <c r="Y12" i="18"/>
  <c r="Y14" i="18"/>
  <c r="Y13" i="18"/>
  <c r="Y10" i="18"/>
  <c r="Y15" i="18"/>
  <c r="Y7" i="18"/>
  <c r="Y6" i="18"/>
  <c r="AC24" i="18"/>
  <c r="AE24" i="18" s="1"/>
  <c r="AB75" i="18"/>
  <c r="AC75" i="18" s="1"/>
  <c r="Y34" i="18"/>
  <c r="X77" i="18"/>
  <c r="X76" i="18"/>
  <c r="O31" i="9"/>
  <c r="O32" i="9" s="1"/>
  <c r="X36" i="18"/>
  <c r="X47" i="18" s="1"/>
  <c r="W66" i="18"/>
  <c r="W64" i="18"/>
  <c r="W65" i="18"/>
  <c r="W63" i="18"/>
  <c r="V115" i="18"/>
  <c r="Y112" i="18"/>
  <c r="V113" i="18"/>
  <c r="V114" i="18"/>
  <c r="P31" i="11"/>
  <c r="N32" i="11"/>
  <c r="T19" i="9"/>
  <c r="D22" i="9"/>
  <c r="X49" i="18" l="1"/>
  <c r="X56" i="18"/>
  <c r="X44" i="18"/>
  <c r="X51" i="18"/>
  <c r="X117" i="18" s="1"/>
  <c r="X46" i="18"/>
  <c r="X45" i="18"/>
  <c r="X67" i="18"/>
  <c r="X69" i="18"/>
  <c r="X42" i="18"/>
  <c r="X41" i="18"/>
  <c r="X71" i="18"/>
  <c r="X50" i="18"/>
  <c r="X57" i="18"/>
  <c r="X116" i="18" s="1"/>
  <c r="X54" i="18"/>
  <c r="X53" i="18"/>
  <c r="X70" i="18"/>
  <c r="Z13" i="18"/>
  <c r="Z12" i="18"/>
  <c r="Z14" i="18"/>
  <c r="Z10" i="18"/>
  <c r="Z15" i="18"/>
  <c r="Z6" i="18"/>
  <c r="Z7" i="18"/>
  <c r="Z34" i="18"/>
  <c r="Y77" i="18"/>
  <c r="Y76" i="18"/>
  <c r="Y36" i="18"/>
  <c r="X66" i="18"/>
  <c r="X64" i="18"/>
  <c r="X65" i="18"/>
  <c r="X63" i="18"/>
  <c r="W115" i="18"/>
  <c r="Z112" i="18"/>
  <c r="W113" i="18"/>
  <c r="W114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X55" i="18" l="1"/>
  <c r="X115" i="18" s="1"/>
  <c r="Y67" i="18"/>
  <c r="Y69" i="18"/>
  <c r="Y41" i="18"/>
  <c r="Y42" i="18"/>
  <c r="Y51" i="18"/>
  <c r="Y117" i="18" s="1"/>
  <c r="Y57" i="18"/>
  <c r="Y116" i="18" s="1"/>
  <c r="Y56" i="18"/>
  <c r="Y54" i="18"/>
  <c r="Y45" i="18"/>
  <c r="Y44" i="18"/>
  <c r="Y50" i="18"/>
  <c r="Y46" i="18"/>
  <c r="Y47" i="18"/>
  <c r="Y53" i="18"/>
  <c r="Y70" i="18"/>
  <c r="Y49" i="18"/>
  <c r="Y71" i="18"/>
  <c r="AA12" i="18"/>
  <c r="AA14" i="18"/>
  <c r="AA13" i="18"/>
  <c r="AA10" i="18"/>
  <c r="AA15" i="18"/>
  <c r="AA7" i="18"/>
  <c r="AA6" i="18"/>
  <c r="AA34" i="18"/>
  <c r="Z76" i="18"/>
  <c r="Z77" i="18"/>
  <c r="Z36" i="18"/>
  <c r="Y66" i="18"/>
  <c r="Y64" i="18"/>
  <c r="Y65" i="18"/>
  <c r="Y63" i="18"/>
  <c r="AA112" i="18"/>
  <c r="X113" i="18"/>
  <c r="X114" i="18"/>
  <c r="N34" i="11"/>
  <c r="O33" i="11"/>
  <c r="D25" i="8"/>
  <c r="D23" i="8"/>
  <c r="Y55" i="18" l="1"/>
  <c r="Y115" i="18" s="1"/>
  <c r="Z67" i="18"/>
  <c r="Z69" i="18"/>
  <c r="Z42" i="18"/>
  <c r="Z41" i="18"/>
  <c r="Z45" i="18"/>
  <c r="Z56" i="18"/>
  <c r="Z46" i="18"/>
  <c r="Z51" i="18"/>
  <c r="Z117" i="18" s="1"/>
  <c r="Z54" i="18"/>
  <c r="Z53" i="18"/>
  <c r="Z71" i="18"/>
  <c r="Z57" i="18"/>
  <c r="Z116" i="18" s="1"/>
  <c r="Z44" i="18"/>
  <c r="Z50" i="18"/>
  <c r="Z70" i="18"/>
  <c r="Z49" i="18"/>
  <c r="Z47" i="18"/>
  <c r="AB14" i="18"/>
  <c r="AB13" i="18"/>
  <c r="AB12" i="18"/>
  <c r="AB10" i="18"/>
  <c r="AB15" i="18"/>
  <c r="AB6" i="18"/>
  <c r="AB7" i="18"/>
  <c r="AB34" i="18"/>
  <c r="AA77" i="18"/>
  <c r="AA76" i="18"/>
  <c r="AA36" i="18"/>
  <c r="Z66" i="18"/>
  <c r="Z64" i="18"/>
  <c r="Z65" i="18"/>
  <c r="Z63" i="18"/>
  <c r="AB112" i="18"/>
  <c r="Y113" i="18"/>
  <c r="Y114" i="18"/>
  <c r="N35" i="11"/>
  <c r="O34" i="11"/>
  <c r="D35" i="8"/>
  <c r="E5" i="8"/>
  <c r="E18" i="8" s="1"/>
  <c r="D18" i="8"/>
  <c r="D19" i="8"/>
  <c r="D21" i="8"/>
  <c r="D20" i="8"/>
  <c r="Z55" i="18" l="1"/>
  <c r="Z115" i="18" s="1"/>
  <c r="AA67" i="18"/>
  <c r="AA69" i="18"/>
  <c r="AA41" i="18"/>
  <c r="AA42" i="18"/>
  <c r="AA49" i="18"/>
  <c r="AA57" i="18"/>
  <c r="AA116" i="18" s="1"/>
  <c r="AA44" i="18"/>
  <c r="AA51" i="18"/>
  <c r="AA117" i="18" s="1"/>
  <c r="AA54" i="18"/>
  <c r="AA70" i="18"/>
  <c r="AA45" i="18"/>
  <c r="AA46" i="18"/>
  <c r="AA47" i="18"/>
  <c r="AA50" i="18"/>
  <c r="AA71" i="18"/>
  <c r="AA53" i="18"/>
  <c r="AA56" i="18"/>
  <c r="AC14" i="18"/>
  <c r="AE14" i="18" s="1"/>
  <c r="AC13" i="18"/>
  <c r="AE13" i="18" s="1"/>
  <c r="S96" i="18"/>
  <c r="AC12" i="18"/>
  <c r="AE12" i="18" s="1"/>
  <c r="T96" i="18" s="1"/>
  <c r="T97" i="18" s="1"/>
  <c r="AC10" i="18"/>
  <c r="AE10" i="18" s="1"/>
  <c r="AC15" i="18"/>
  <c r="AE15" i="18" s="1"/>
  <c r="AC7" i="18"/>
  <c r="AE7" i="18" s="1"/>
  <c r="AC6" i="18"/>
  <c r="AE6" i="18" s="1"/>
  <c r="AB77" i="18"/>
  <c r="AC77" i="18" s="1"/>
  <c r="AB76" i="18"/>
  <c r="AC76" i="18" s="1"/>
  <c r="AC34" i="18"/>
  <c r="AE34" i="18" s="1"/>
  <c r="AB36" i="18"/>
  <c r="AA66" i="18"/>
  <c r="AA64" i="18"/>
  <c r="AA65" i="18"/>
  <c r="AA63" i="18"/>
  <c r="AC112" i="18"/>
  <c r="AE112" i="18" s="1"/>
  <c r="Z113" i="18"/>
  <c r="Z114" i="18"/>
  <c r="N36" i="11"/>
  <c r="O35" i="11"/>
  <c r="F5" i="8"/>
  <c r="G5" i="8" s="1"/>
  <c r="H5" i="8" s="1"/>
  <c r="I5" i="8" s="1"/>
  <c r="AA55" i="18" l="1"/>
  <c r="AA115" i="18" s="1"/>
  <c r="AB67" i="18"/>
  <c r="S109" i="18" s="1"/>
  <c r="AB69" i="18"/>
  <c r="AB41" i="18"/>
  <c r="AC41" i="18" s="1"/>
  <c r="AE41" i="18" s="1"/>
  <c r="AB42" i="18"/>
  <c r="AC42" i="18" s="1"/>
  <c r="AE42" i="18" s="1"/>
  <c r="AB49" i="18"/>
  <c r="S89" i="18" s="1"/>
  <c r="AB54" i="18"/>
  <c r="AC54" i="18" s="1"/>
  <c r="AE54" i="18" s="1"/>
  <c r="AB44" i="18"/>
  <c r="AB51" i="18"/>
  <c r="AB117" i="18" s="1"/>
  <c r="AC117" i="18" s="1"/>
  <c r="AE117" i="18" s="1"/>
  <c r="AB47" i="18"/>
  <c r="S86" i="18" s="1"/>
  <c r="AB70" i="18"/>
  <c r="AC70" i="18" s="1"/>
  <c r="AE70" i="18" s="1"/>
  <c r="AB46" i="18"/>
  <c r="AB45" i="18"/>
  <c r="S84" i="18" s="1"/>
  <c r="AB56" i="18"/>
  <c r="S93" i="18" s="1"/>
  <c r="AB71" i="18"/>
  <c r="AC71" i="18" s="1"/>
  <c r="AE71" i="18" s="1"/>
  <c r="AB50" i="18"/>
  <c r="AC50" i="18" s="1"/>
  <c r="AE50" i="18" s="1"/>
  <c r="T90" i="18" s="1"/>
  <c r="AB57" i="18"/>
  <c r="AB116" i="18" s="1"/>
  <c r="AC116" i="18" s="1"/>
  <c r="AE116" i="18" s="1"/>
  <c r="AB53" i="18"/>
  <c r="S87" i="18" s="1"/>
  <c r="S97" i="18"/>
  <c r="R97" i="18" s="1"/>
  <c r="R96" i="18"/>
  <c r="AB66" i="18"/>
  <c r="S107" i="18" s="1"/>
  <c r="AB64" i="18"/>
  <c r="S105" i="18" s="1"/>
  <c r="AC36" i="18"/>
  <c r="AE36" i="18" s="1"/>
  <c r="AB65" i="18"/>
  <c r="S106" i="18" s="1"/>
  <c r="AB63" i="18"/>
  <c r="S104" i="18" s="1"/>
  <c r="AA113" i="18"/>
  <c r="AA114" i="18"/>
  <c r="N37" i="11"/>
  <c r="O36" i="11"/>
  <c r="F18" i="8"/>
  <c r="G18" i="8"/>
  <c r="S90" i="18" l="1"/>
  <c r="R90" i="18" s="1"/>
  <c r="AC56" i="18"/>
  <c r="AE56" i="18" s="1"/>
  <c r="T93" i="18" s="1"/>
  <c r="AC45" i="18"/>
  <c r="AE45" i="18" s="1"/>
  <c r="T84" i="18" s="1"/>
  <c r="R84" i="18" s="1"/>
  <c r="AC47" i="18"/>
  <c r="AE47" i="18" s="1"/>
  <c r="T86" i="18" s="1"/>
  <c r="R86" i="18" s="1"/>
  <c r="AC49" i="18"/>
  <c r="AE49" i="18" s="1"/>
  <c r="T89" i="18" s="1"/>
  <c r="R89" i="18" s="1"/>
  <c r="S91" i="18"/>
  <c r="AC67" i="18"/>
  <c r="AE67" i="18" s="1"/>
  <c r="T109" i="18" s="1"/>
  <c r="R109" i="18" s="1"/>
  <c r="AC53" i="18"/>
  <c r="AE53" i="18" s="1"/>
  <c r="T87" i="18" s="1"/>
  <c r="R87" i="18" s="1"/>
  <c r="S94" i="18"/>
  <c r="AB55" i="18"/>
  <c r="AC55" i="18" s="1"/>
  <c r="AE55" i="18" s="1"/>
  <c r="AC51" i="18"/>
  <c r="AE51" i="18" s="1"/>
  <c r="T91" i="18" s="1"/>
  <c r="AC57" i="18"/>
  <c r="AE57" i="18" s="1"/>
  <c r="T94" i="18" s="1"/>
  <c r="AC69" i="18"/>
  <c r="AE69" i="18" s="1"/>
  <c r="R93" i="18"/>
  <c r="AC65" i="18"/>
  <c r="AE65" i="18" s="1"/>
  <c r="T106" i="18" s="1"/>
  <c r="AC64" i="18"/>
  <c r="AE64" i="18" s="1"/>
  <c r="AC63" i="18"/>
  <c r="AE63" i="18" s="1"/>
  <c r="T104" i="18" s="1"/>
  <c r="AC66" i="18"/>
  <c r="AE66" i="18" s="1"/>
  <c r="S83" i="18"/>
  <c r="AC44" i="18"/>
  <c r="AE44" i="18" s="1"/>
  <c r="T83" i="18" s="1"/>
  <c r="AB113" i="18"/>
  <c r="AC46" i="18"/>
  <c r="AE46" i="18" s="1"/>
  <c r="T85" i="18" s="1"/>
  <c r="AB114" i="18"/>
  <c r="S85" i="18"/>
  <c r="N38" i="11"/>
  <c r="O37" i="11"/>
  <c r="H18" i="8"/>
  <c r="R94" i="18" l="1"/>
  <c r="AB115" i="18"/>
  <c r="R91" i="18"/>
  <c r="P124" i="18" s="1"/>
  <c r="T107" i="18"/>
  <c r="R107" i="18" s="1"/>
  <c r="T105" i="18"/>
  <c r="R105" i="18" s="1"/>
  <c r="R106" i="18"/>
  <c r="R104" i="18"/>
  <c r="R83" i="18"/>
  <c r="P125" i="18" s="1"/>
  <c r="AC114" i="18"/>
  <c r="AE114" i="18" s="1"/>
  <c r="AC115" i="18"/>
  <c r="AE115" i="18" s="1"/>
  <c r="AC113" i="18"/>
  <c r="AE113" i="18" s="1"/>
  <c r="R85" i="18"/>
  <c r="N39" i="11"/>
  <c r="O38" i="11"/>
  <c r="I18" i="8"/>
  <c r="N40" i="11" l="1"/>
  <c r="O39" i="11"/>
  <c r="N41" i="11" l="1"/>
  <c r="O40" i="11"/>
  <c r="N42" i="11" l="1"/>
  <c r="O41" i="11"/>
</calcChain>
</file>

<file path=xl/sharedStrings.xml><?xml version="1.0" encoding="utf-8"?>
<sst xmlns="http://schemas.openxmlformats.org/spreadsheetml/2006/main" count="469" uniqueCount="327">
  <si>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</si>
  <si>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</si>
  <si>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</si>
  <si>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</si>
  <si>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</si>
  <si>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</si>
  <si>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</si>
  <si>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</si>
  <si>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</si>
  <si>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</si>
  <si>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</si>
  <si>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</si>
  <si>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</si>
  <si>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</si>
  <si>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</si>
  <si>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</si>
  <si>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</si>
  <si>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</si>
  <si>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</si>
  <si>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</si>
  <si>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</si>
  <si>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</si>
  <si>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</si>
  <si>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</si>
  <si>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</si>
  <si>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</si>
  <si>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</si>
  <si>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</si>
  <si>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</si>
  <si>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</si>
  <si>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</si>
  <si>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</si>
  <si>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</si>
  <si>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</si>
  <si>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</si>
  <si>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</si>
  <si>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</si>
  <si>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</si>
  <si>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</si>
  <si>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</si>
  <si>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</si>
  <si>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</si>
  <si>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</si>
  <si>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</si>
  <si>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</si>
  <si>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</si>
  <si>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</si>
  <si>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</si>
  <si>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</si>
  <si>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</si>
  <si>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</si>
  <si>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</si>
  <si>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</si>
  <si>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</si>
  <si>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</si>
  <si>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</si>
  <si>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</si>
  <si>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</si>
  <si>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</si>
  <si>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</si>
  <si>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</si>
  <si>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</si>
  <si>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</si>
  <si>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</si>
  <si>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</si>
  <si>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</si>
  <si>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</si>
  <si>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</si>
  <si>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</si>
  <si>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</si>
  <si>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</si>
  <si>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</si>
  <si>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</si>
  <si>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</si>
  <si>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</si>
  <si>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</si>
  <si>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</si>
  <si>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</si>
  <si>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</si>
  <si>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</si>
  <si>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</si>
  <si>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</si>
  <si>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</si>
  <si>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</si>
  <si>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</si>
  <si>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</si>
  <si>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</si>
  <si>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</si>
  <si>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</si>
  <si>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</si>
  <si>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</si>
  <si>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</si>
  <si>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</si>
  <si>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</si>
  <si>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</si>
  <si>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</si>
  <si>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</si>
  <si>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</si>
  <si>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</si>
  <si>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</si>
  <si>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</si>
  <si>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</si>
  <si>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</si>
  <si>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</si>
  <si>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</si>
  <si>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</si>
  <si>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</si>
  <si>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</si>
  <si>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</si>
  <si>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</si>
  <si>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</si>
  <si>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</si>
  <si>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</si>
  <si>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</si>
  <si>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</si>
  <si>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</si>
  <si>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</si>
  <si>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</si>
  <si>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</si>
  <si>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</si>
  <si>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</si>
  <si>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</si>
  <si>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</si>
  <si>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</si>
  <si>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</si>
  <si>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</si>
  <si>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</si>
  <si>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</si>
  <si>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</si>
  <si>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</si>
  <si>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</si>
  <si>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</si>
  <si>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</si>
  <si>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</si>
  <si>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</si>
  <si>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</si>
  <si>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</si>
  <si>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</si>
  <si>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</si>
  <si>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</si>
  <si>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</si>
  <si>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</si>
  <si>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</si>
  <si>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</si>
  <si>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</si>
  <si>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</si>
  <si>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</si>
  <si>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</si>
  <si>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</si>
  <si>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</si>
  <si>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</si>
  <si>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</si>
  <si>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</si>
  <si>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</si>
  <si>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</si>
  <si>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</si>
  <si>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</si>
  <si>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</si>
  <si>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</si>
  <si>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</si>
  <si>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</si>
  <si>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</si>
  <si>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</si>
  <si>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</si>
  <si>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</si>
  <si>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</si>
  <si>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</si>
  <si>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</si>
  <si>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</si>
  <si>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</si>
  <si>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</si>
  <si>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</si>
  <si>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</si>
  <si>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</si>
  <si>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</si>
  <si>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</si>
  <si>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</si>
  <si>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</si>
  <si>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</si>
  <si>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</si>
  <si>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</si>
  <si>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</si>
  <si>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</si>
  <si>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</si>
  <si>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</si>
  <si>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</si>
  <si>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</si>
  <si>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</si>
  <si>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</si>
  <si>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</si>
  <si>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</si>
  <si>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</si>
  <si>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</si>
  <si>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</si>
  <si>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</si>
  <si>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</si>
  <si>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</si>
  <si>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</si>
  <si>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</si>
  <si>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</si>
  <si>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</si>
  <si>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</si>
  <si>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</si>
  <si>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</si>
  <si>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</si>
  <si>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</si>
  <si>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</si>
  <si>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</si>
  <si>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</si>
  <si>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</si>
  <si>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</si>
  <si>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</si>
  <si>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</si>
  <si>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</si>
  <si>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</si>
  <si>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</si>
  <si>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</si>
  <si>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</si>
  <si>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</si>
  <si>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</si>
  <si>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</si>
  <si>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</si>
  <si>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</si>
  <si>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</si>
  <si>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</si>
  <si>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</si>
  <si>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</si>
  <si>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</si>
  <si>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</si>
  <si>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</si>
  <si>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</si>
  <si>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</si>
  <si>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</si>
  <si>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</si>
  <si>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</si>
  <si>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</si>
  <si>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</si>
  <si>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</si>
  <si>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</si>
  <si>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</si>
  <si>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</si>
  <si>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</si>
  <si>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</si>
  <si>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</si>
  <si>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</si>
  <si>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</si>
  <si>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</si>
  <si>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</si>
  <si>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</si>
  <si>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</si>
  <si>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</si>
  <si>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</si>
  <si>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</si>
  <si>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</si>
  <si>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</si>
  <si>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</si>
  <si>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</si>
  <si>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</si>
  <si>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</si>
  <si>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</si>
  <si>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</si>
  <si>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</si>
  <si>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</si>
  <si>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</si>
  <si>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</si>
  <si>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</si>
  <si>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</si>
  <si>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</si>
  <si>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</si>
  <si>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</si>
  <si>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</si>
  <si>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</si>
  <si>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</si>
  <si>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</si>
  <si>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</si>
  <si>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</si>
  <si>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</si>
  <si>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</si>
  <si>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</si>
  <si>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</si>
  <si>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</si>
  <si>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</si>
  <si>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</si>
  <si>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</si>
  <si>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</si>
  <si>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</si>
  <si>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</si>
  <si>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</si>
  <si>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</si>
  <si>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</si>
  <si>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</si>
  <si>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</si>
  <si>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</si>
  <si>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</si>
  <si>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</si>
  <si>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</si>
  <si>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</si>
  <si>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</si>
  <si>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</si>
  <si>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</si>
  <si>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R&amp;D Expenses</t>
  </si>
  <si>
    <t>% Discount (Price/Dividend)</t>
  </si>
  <si>
    <t>% Discount (Price / B.V)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</si>
  <si>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</si>
  <si>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</si>
  <si>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</si>
  <si>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</si>
  <si>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</si>
  <si>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</si>
  <si>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</si>
  <si>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</si>
  <si>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</si>
  <si>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</si>
  <si>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RONW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</si>
  <si>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</si>
  <si>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</si>
  <si>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</si>
  <si>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</si>
  <si>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</si>
  <si>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</si>
  <si>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</si>
  <si>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</si>
  <si>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</si>
  <si>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</si>
  <si>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Earning ratio / earnings yield</t>
  </si>
  <si>
    <t>Earnings yield/ratio</t>
  </si>
  <si>
    <t>Dividend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</si>
</sst>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4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9" fontId="10" fillId="5" borderId="1" xfId="1" applyFont="1" applyFill="1" applyBorder="1"/>
    <xf numFmtId="0" fontId="11" fillId="5" borderId="1" xfId="0" applyFont="1" applyFill="1" applyBorder="1"/>
    <xf numFmtId="175" fontId="11" fillId="5" borderId="1" xfId="2" applyNumberFormat="1" applyFont="1" applyFill="1" applyBorder="1"/>
    <xf numFmtId="9" fontId="10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2" fillId="5" borderId="1" xfId="2" applyNumberFormat="1" applyFont="1" applyFill="1" applyBorder="1"/>
    <xf numFmtId="164" fontId="12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757056"/>
        <c:axId val="73758592"/>
      </c:lineChart>
      <c:catAx>
        <c:axId val="73757056"/>
        <c:scaling>
          <c:orientation val="minMax"/>
        </c:scaling>
        <c:delete val="0"/>
        <c:axPos val="b"/>
        <c:majorTickMark val="out"/>
        <c:minorTickMark val="none"/>
        <c:tickLblPos val="nextTo"/>
        <c:crossAx val="73758592"/>
        <c:crosses val="autoZero"/>
        <c:auto val="1"/>
        <c:lblAlgn val="ctr"/>
        <c:lblOffset val="100"/>
        <c:noMultiLvlLbl val="0"/>
      </c:catAx>
      <c:valAx>
        <c:axId val="73758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3757056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280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323</v>
      </c>
      <c r="C9" s="153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268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267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35"/>
  <sheetViews>
    <sheetView tabSelected="1" zoomScale="80" zoomScaleNormal="80" workbookViewId="0">
      <pane xSplit="2" ySplit="3" topLeftCell="C43" activePane="bottomRight" state="frozen"/>
      <selection pane="topRight" activeCell="C1" sqref="C1"/>
      <selection pane="bottomLeft" activeCell="A5" sqref="A5"/>
      <selection pane="bottomRight" activeCell="L56" sqref="L56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7109375" style="104" bestFit="1" customWidth="1"/>
    <col min="8" max="9" width="9" style="104" bestFit="1" customWidth="1"/>
    <col min="10" max="10" width="9.28515625" style="104" bestFit="1" customWidth="1"/>
    <col min="11" max="11" width="8.85546875" style="104" bestFit="1" customWidth="1"/>
    <col min="12" max="15" width="8.7109375" style="104" bestFit="1" customWidth="1"/>
    <col min="16" max="16" width="10.570312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8" width="8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</row>
    <row r="2" spans="2:31" x14ac:dyDescent="0.2">
      <c r="B2" s="154" t="s">
        <v>319</v>
      </c>
      <c r="C2" s="120"/>
      <c r="F2" s="104" t="s">
        <v>253</v>
      </c>
      <c r="H2" s="126">
        <v>2013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64" t="s">
        <v>292</v>
      </c>
      <c r="AE2" s="165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66" t="s">
        <v>293</v>
      </c>
      <c r="AE3" s="167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37"/>
      <c r="AD5" s="20"/>
      <c r="AE5" s="155"/>
    </row>
    <row r="6" spans="2:31" x14ac:dyDescent="0.2">
      <c r="B6" s="20" t="s">
        <v>16</v>
      </c>
      <c r="C6" s="141"/>
      <c r="D6" s="141"/>
      <c r="E6" s="147"/>
      <c r="F6" s="147"/>
      <c r="G6" s="147">
        <v>5</v>
      </c>
      <c r="H6" s="147"/>
      <c r="I6" s="147">
        <v>16.989999999999998</v>
      </c>
      <c r="J6" s="147">
        <v>21</v>
      </c>
      <c r="K6" s="147">
        <v>196</v>
      </c>
      <c r="L6" s="147">
        <v>198</v>
      </c>
      <c r="M6" s="147">
        <v>265</v>
      </c>
      <c r="N6" s="147">
        <v>557</v>
      </c>
      <c r="O6" s="147">
        <v>717</v>
      </c>
      <c r="P6" s="147">
        <v>750.71</v>
      </c>
      <c r="Q6" s="118">
        <f>((P6/G6)^(1/($H$2-$H$1) ))-1</f>
        <v>0.74515327823781918</v>
      </c>
      <c r="R6" s="31">
        <v>0.1</v>
      </c>
      <c r="S6" s="155">
        <f>P6*(1+$R6)</f>
        <v>825.78100000000006</v>
      </c>
      <c r="T6" s="155">
        <f>S6*(1+$R6)</f>
        <v>908.35910000000013</v>
      </c>
      <c r="U6" s="155">
        <f t="shared" ref="U6:AB6" si="0">T6*(1+$R6)</f>
        <v>999.19501000000025</v>
      </c>
      <c r="V6" s="155">
        <f t="shared" si="0"/>
        <v>1099.1145110000004</v>
      </c>
      <c r="W6" s="155">
        <f t="shared" si="0"/>
        <v>1209.0259621000007</v>
      </c>
      <c r="X6" s="155">
        <f t="shared" si="0"/>
        <v>1329.9285583100009</v>
      </c>
      <c r="Y6" s="155">
        <f t="shared" si="0"/>
        <v>1462.9214141410012</v>
      </c>
      <c r="Z6" s="155">
        <f t="shared" si="0"/>
        <v>1609.2135555551015</v>
      </c>
      <c r="AA6" s="155">
        <f t="shared" si="0"/>
        <v>1770.1349111106117</v>
      </c>
      <c r="AB6" s="155">
        <f t="shared" si="0"/>
        <v>1947.148402221673</v>
      </c>
      <c r="AC6" s="138">
        <f>((AB6/G6)^(1/($AB$3-$H$1) ))-1</f>
        <v>0.36879487656804777</v>
      </c>
      <c r="AD6" s="31">
        <v>0.08</v>
      </c>
      <c r="AE6" s="146">
        <f>(AB6*(1+AC6))/($C$1-AD6)</f>
        <v>19037.476834847759</v>
      </c>
    </row>
    <row r="7" spans="2:31" x14ac:dyDescent="0.2">
      <c r="B7" s="20" t="s">
        <v>240</v>
      </c>
      <c r="C7" s="141"/>
      <c r="D7" s="141"/>
      <c r="E7" s="147"/>
      <c r="F7" s="147"/>
      <c r="G7" s="147">
        <v>8</v>
      </c>
      <c r="H7" s="147"/>
      <c r="I7" s="147">
        <v>40.64</v>
      </c>
      <c r="J7" s="147">
        <v>43</v>
      </c>
      <c r="K7" s="147">
        <v>228</v>
      </c>
      <c r="L7" s="147">
        <v>325</v>
      </c>
      <c r="M7" s="147">
        <v>270</v>
      </c>
      <c r="N7" s="147">
        <v>202</v>
      </c>
      <c r="O7" s="147">
        <v>429</v>
      </c>
      <c r="P7" s="147">
        <v>773.2</v>
      </c>
      <c r="Q7" s="118">
        <f>((P7/G7)^(1/($H$2-$H$1) ))-1</f>
        <v>0.66179705223080521</v>
      </c>
      <c r="R7" s="31">
        <v>0.1</v>
      </c>
      <c r="S7" s="155">
        <f t="shared" ref="S7:S15" si="1">P7*(1+$R7)</f>
        <v>850.5200000000001</v>
      </c>
      <c r="T7" s="155">
        <f t="shared" ref="T7:AB7" si="2">S7*(1+$R7)</f>
        <v>935.57200000000023</v>
      </c>
      <c r="U7" s="155">
        <f t="shared" si="2"/>
        <v>1029.1292000000003</v>
      </c>
      <c r="V7" s="155">
        <f t="shared" si="2"/>
        <v>1132.0421200000005</v>
      </c>
      <c r="W7" s="155">
        <f t="shared" si="2"/>
        <v>1245.2463320000006</v>
      </c>
      <c r="X7" s="155">
        <f t="shared" si="2"/>
        <v>1369.7709652000008</v>
      </c>
      <c r="Y7" s="155">
        <f t="shared" si="2"/>
        <v>1506.748061720001</v>
      </c>
      <c r="Z7" s="155">
        <f t="shared" si="2"/>
        <v>1657.4228678920012</v>
      </c>
      <c r="AA7" s="155">
        <f t="shared" si="2"/>
        <v>1823.1651546812016</v>
      </c>
      <c r="AB7" s="155">
        <f t="shared" si="2"/>
        <v>2005.4816701493219</v>
      </c>
      <c r="AC7" s="138">
        <f>((AB7/G7)^(1/($AB$3-$H$1) ))-1</f>
        <v>0.33742652453575062</v>
      </c>
      <c r="AD7" s="31">
        <v>0.08</v>
      </c>
      <c r="AE7" s="146">
        <f>(AB7*(1+AC7))/($C$1-AD7)</f>
        <v>19158.459858056856</v>
      </c>
    </row>
    <row r="8" spans="2:31" x14ac:dyDescent="0.2">
      <c r="B8" s="20"/>
      <c r="C8" s="141"/>
      <c r="D8" s="141"/>
      <c r="E8" s="147"/>
      <c r="F8" s="147"/>
      <c r="G8" s="149">
        <f>(G7-F7)/G7</f>
        <v>1</v>
      </c>
      <c r="H8" s="152" t="e">
        <f>(H7-G7)/H7</f>
        <v>#DIV/0!</v>
      </c>
      <c r="I8" s="152">
        <f t="shared" ref="I8:P8" si="3">(I7-H7)/I7</f>
        <v>1</v>
      </c>
      <c r="J8" s="152">
        <f t="shared" si="3"/>
        <v>5.4883720930232548E-2</v>
      </c>
      <c r="K8" s="152">
        <f t="shared" si="3"/>
        <v>0.81140350877192979</v>
      </c>
      <c r="L8" s="152">
        <f t="shared" si="3"/>
        <v>0.29846153846153844</v>
      </c>
      <c r="M8" s="152">
        <f t="shared" si="3"/>
        <v>-0.20370370370370369</v>
      </c>
      <c r="N8" s="152">
        <f t="shared" si="3"/>
        <v>-0.33663366336633666</v>
      </c>
      <c r="O8" s="152">
        <f t="shared" si="3"/>
        <v>0.52913752913752909</v>
      </c>
      <c r="P8" s="152">
        <f t="shared" si="3"/>
        <v>0.44516295913088466</v>
      </c>
      <c r="Q8" s="128"/>
      <c r="R8" s="128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37"/>
      <c r="AD8" s="20"/>
      <c r="AE8" s="146"/>
    </row>
    <row r="9" spans="2:31" x14ac:dyDescent="0.2">
      <c r="B9" s="20" t="s">
        <v>270</v>
      </c>
      <c r="C9" s="141"/>
      <c r="D9" s="141"/>
      <c r="E9" s="147"/>
      <c r="F9" s="147"/>
      <c r="G9" s="147"/>
      <c r="H9" s="147"/>
      <c r="I9" s="147">
        <v>4.32</v>
      </c>
      <c r="J9" s="147">
        <v>25</v>
      </c>
      <c r="K9" s="147">
        <v>76.260000000000005</v>
      </c>
      <c r="L9" s="147">
        <v>52</v>
      </c>
      <c r="M9" s="147">
        <v>65</v>
      </c>
      <c r="N9" s="147">
        <v>54</v>
      </c>
      <c r="O9" s="147">
        <v>92</v>
      </c>
      <c r="P9" s="147">
        <v>295.55</v>
      </c>
      <c r="Q9" s="118" t="e">
        <f t="shared" ref="Q9:Q15" si="4">((P9/G9)^(1/($H$2-$H$1) ))-1</f>
        <v>#DIV/0!</v>
      </c>
      <c r="R9" s="31">
        <v>0.1</v>
      </c>
      <c r="S9" s="155">
        <f t="shared" ref="S9" si="5">P9*(1+$R9)</f>
        <v>325.10500000000002</v>
      </c>
      <c r="T9" s="155">
        <f t="shared" ref="T9" si="6">S9*(1+$R9)</f>
        <v>357.61550000000005</v>
      </c>
      <c r="U9" s="155">
        <f t="shared" ref="U9" si="7">T9*(1+$R9)</f>
        <v>393.37705000000011</v>
      </c>
      <c r="V9" s="155">
        <f t="shared" ref="V9" si="8">U9*(1+$R9)</f>
        <v>432.71475500000014</v>
      </c>
      <c r="W9" s="155">
        <f t="shared" ref="W9" si="9">V9*(1+$R9)</f>
        <v>475.9862305000002</v>
      </c>
      <c r="X9" s="155">
        <f t="shared" ref="X9" si="10">W9*(1+$R9)</f>
        <v>523.58485355000028</v>
      </c>
      <c r="Y9" s="155">
        <f t="shared" ref="Y9" si="11">X9*(1+$R9)</f>
        <v>575.94333890500036</v>
      </c>
      <c r="Z9" s="155">
        <f t="shared" ref="Z9" si="12">Y9*(1+$R9)</f>
        <v>633.5376727955005</v>
      </c>
      <c r="AA9" s="155">
        <f t="shared" ref="AA9" si="13">Z9*(1+$R9)</f>
        <v>696.89144007505058</v>
      </c>
      <c r="AB9" s="155">
        <f t="shared" ref="AB9" si="14">AA9*(1+$R9)</f>
        <v>766.58058408255567</v>
      </c>
      <c r="AC9" s="138" t="e">
        <f>((AB9/G9)^(1/($AB$3-$H$1) ))-1</f>
        <v>#DIV/0!</v>
      </c>
      <c r="AD9" s="31">
        <v>0.08</v>
      </c>
      <c r="AE9" s="146" t="e">
        <f t="shared" ref="AE9:AE15" si="15">(AB9*(1+AC9))/($C$1-AD9)</f>
        <v>#DIV/0!</v>
      </c>
    </row>
    <row r="10" spans="2:31" x14ac:dyDescent="0.2">
      <c r="B10" s="20" t="s">
        <v>4</v>
      </c>
      <c r="C10" s="141"/>
      <c r="D10" s="141"/>
      <c r="E10" s="147"/>
      <c r="F10" s="147"/>
      <c r="G10" s="147"/>
      <c r="H10" s="147"/>
      <c r="I10" s="147">
        <v>72</v>
      </c>
      <c r="J10" s="147">
        <v>79.5</v>
      </c>
      <c r="K10" s="147">
        <v>327</v>
      </c>
      <c r="L10" s="147">
        <v>325</v>
      </c>
      <c r="M10" s="147">
        <v>270</v>
      </c>
      <c r="N10" s="147">
        <v>202</v>
      </c>
      <c r="O10" s="147">
        <v>430</v>
      </c>
      <c r="P10" s="147">
        <v>0</v>
      </c>
      <c r="Q10" s="118" t="e">
        <f t="shared" si="4"/>
        <v>#DIV/0!</v>
      </c>
      <c r="R10" s="31">
        <v>0.1</v>
      </c>
      <c r="S10" s="155">
        <f t="shared" si="1"/>
        <v>0</v>
      </c>
      <c r="T10" s="155">
        <f t="shared" ref="T10:AB10" si="16">S10*(1+$R10)</f>
        <v>0</v>
      </c>
      <c r="U10" s="155">
        <f t="shared" si="16"/>
        <v>0</v>
      </c>
      <c r="V10" s="155">
        <f t="shared" si="16"/>
        <v>0</v>
      </c>
      <c r="W10" s="155">
        <f t="shared" si="16"/>
        <v>0</v>
      </c>
      <c r="X10" s="155">
        <f t="shared" si="16"/>
        <v>0</v>
      </c>
      <c r="Y10" s="155">
        <f t="shared" si="16"/>
        <v>0</v>
      </c>
      <c r="Z10" s="155">
        <f t="shared" si="16"/>
        <v>0</v>
      </c>
      <c r="AA10" s="155">
        <f t="shared" si="16"/>
        <v>0</v>
      </c>
      <c r="AB10" s="155">
        <f t="shared" si="16"/>
        <v>0</v>
      </c>
      <c r="AC10" s="138" t="e">
        <f t="shared" ref="AC10:AC36" si="17">((AB10/G10)^(1/($AB$3-$H$1) ))-1</f>
        <v>#DIV/0!</v>
      </c>
      <c r="AD10" s="31">
        <v>0.08</v>
      </c>
      <c r="AE10" s="146" t="e">
        <f t="shared" si="15"/>
        <v>#DIV/0!</v>
      </c>
    </row>
    <row r="11" spans="2:31" x14ac:dyDescent="0.2">
      <c r="B11" s="20"/>
      <c r="C11" s="141"/>
      <c r="D11" s="141"/>
      <c r="E11" s="147"/>
      <c r="F11" s="147"/>
      <c r="G11" s="149" t="e">
        <f>(G10-F10)/G10</f>
        <v>#DIV/0!</v>
      </c>
      <c r="H11" s="148" t="e">
        <f>(H10-G10)/H10</f>
        <v>#DIV/0!</v>
      </c>
      <c r="I11" s="148">
        <f t="shared" ref="I11" si="18">(I10-H10)/I10</f>
        <v>1</v>
      </c>
      <c r="J11" s="148">
        <f t="shared" ref="J11" si="19">(J10-I10)/J10</f>
        <v>9.4339622641509441E-2</v>
      </c>
      <c r="K11" s="148">
        <f t="shared" ref="K11" si="20">(K10-J10)/K10</f>
        <v>0.75688073394495414</v>
      </c>
      <c r="L11" s="148">
        <f t="shared" ref="L11" si="21">(L10-K10)/L10</f>
        <v>-6.1538461538461538E-3</v>
      </c>
      <c r="M11" s="148">
        <f t="shared" ref="M11" si="22">(M10-L10)/M10</f>
        <v>-0.20370370370370369</v>
      </c>
      <c r="N11" s="148">
        <f t="shared" ref="N11" si="23">(N10-M10)/N10</f>
        <v>-0.33663366336633666</v>
      </c>
      <c r="O11" s="148">
        <f t="shared" ref="O11" si="24">(O10-N10)/O10</f>
        <v>0.53023255813953485</v>
      </c>
      <c r="P11" s="148" t="e">
        <f t="shared" ref="P11" si="25">(P10-O10)/P10</f>
        <v>#DIV/0!</v>
      </c>
      <c r="Q11" s="128"/>
      <c r="R11" s="128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19"/>
      <c r="AD11" s="119"/>
      <c r="AE11" s="155"/>
    </row>
    <row r="12" spans="2:31" x14ac:dyDescent="0.2">
      <c r="B12" s="20" t="s">
        <v>2</v>
      </c>
      <c r="C12" s="141"/>
      <c r="D12" s="141"/>
      <c r="E12" s="147"/>
      <c r="F12" s="147"/>
      <c r="G12" s="147"/>
      <c r="H12" s="147"/>
      <c r="I12" s="147">
        <v>2.82</v>
      </c>
      <c r="J12" s="147">
        <v>3</v>
      </c>
      <c r="K12" s="147">
        <f>6+81</f>
        <v>87</v>
      </c>
      <c r="L12" s="147">
        <f>11+5</f>
        <v>16</v>
      </c>
      <c r="M12" s="147">
        <f>23+23</f>
        <v>46</v>
      </c>
      <c r="N12" s="147">
        <f>64</f>
        <v>64</v>
      </c>
      <c r="O12" s="147">
        <f>132+4</f>
        <v>136</v>
      </c>
      <c r="P12" s="147">
        <v>46</v>
      </c>
      <c r="Q12" s="118" t="e">
        <f t="shared" si="4"/>
        <v>#DIV/0!</v>
      </c>
      <c r="R12" s="31">
        <v>0.1</v>
      </c>
      <c r="S12" s="155">
        <f t="shared" si="1"/>
        <v>50.6</v>
      </c>
      <c r="T12" s="155">
        <f t="shared" ref="T12:AB12" si="26">S12*(1+$R12)</f>
        <v>55.660000000000004</v>
      </c>
      <c r="U12" s="155">
        <f t="shared" si="26"/>
        <v>61.226000000000006</v>
      </c>
      <c r="V12" s="155">
        <f t="shared" si="26"/>
        <v>67.348600000000019</v>
      </c>
      <c r="W12" s="155">
        <f t="shared" si="26"/>
        <v>74.083460000000031</v>
      </c>
      <c r="X12" s="155">
        <f t="shared" si="26"/>
        <v>81.491806000000039</v>
      </c>
      <c r="Y12" s="155">
        <f t="shared" si="26"/>
        <v>89.640986600000048</v>
      </c>
      <c r="Z12" s="155">
        <f t="shared" si="26"/>
        <v>98.605085260000067</v>
      </c>
      <c r="AA12" s="155">
        <f t="shared" si="26"/>
        <v>108.46559378600008</v>
      </c>
      <c r="AB12" s="155">
        <f t="shared" si="26"/>
        <v>119.3121531646001</v>
      </c>
      <c r="AC12" s="138" t="e">
        <f t="shared" si="17"/>
        <v>#DIV/0!</v>
      </c>
      <c r="AD12" s="31">
        <v>0.08</v>
      </c>
      <c r="AE12" s="146" t="e">
        <f t="shared" si="15"/>
        <v>#DIV/0!</v>
      </c>
    </row>
    <row r="13" spans="2:31" x14ac:dyDescent="0.2">
      <c r="B13" s="20" t="s">
        <v>218</v>
      </c>
      <c r="C13" s="141"/>
      <c r="D13" s="141"/>
      <c r="E13" s="147"/>
      <c r="F13" s="147"/>
      <c r="G13" s="147"/>
      <c r="H13" s="147"/>
      <c r="I13" s="147">
        <v>0.42</v>
      </c>
      <c r="J13" s="147">
        <v>88</v>
      </c>
      <c r="K13" s="147">
        <v>265</v>
      </c>
      <c r="L13" s="147">
        <v>224</v>
      </c>
      <c r="M13" s="147">
        <v>172</v>
      </c>
      <c r="N13" s="147">
        <v>162</v>
      </c>
      <c r="O13" s="147">
        <v>134</v>
      </c>
      <c r="P13" s="147">
        <v>114.1</v>
      </c>
      <c r="Q13" s="118" t="e">
        <f t="shared" si="4"/>
        <v>#DIV/0!</v>
      </c>
      <c r="R13" s="31">
        <v>0.1</v>
      </c>
      <c r="S13" s="155">
        <f t="shared" si="1"/>
        <v>125.51</v>
      </c>
      <c r="T13" s="155">
        <f t="shared" ref="T13:AB13" si="27">S13*(1+$R13)</f>
        <v>138.06100000000001</v>
      </c>
      <c r="U13" s="155">
        <f t="shared" si="27"/>
        <v>151.86710000000002</v>
      </c>
      <c r="V13" s="155">
        <f t="shared" si="27"/>
        <v>167.05381000000003</v>
      </c>
      <c r="W13" s="155">
        <f t="shared" si="27"/>
        <v>183.75919100000004</v>
      </c>
      <c r="X13" s="155">
        <f t="shared" si="27"/>
        <v>202.13511010000008</v>
      </c>
      <c r="Y13" s="155">
        <f t="shared" si="27"/>
        <v>222.3486211100001</v>
      </c>
      <c r="Z13" s="155">
        <f t="shared" si="27"/>
        <v>244.58348322100014</v>
      </c>
      <c r="AA13" s="155">
        <f t="shared" si="27"/>
        <v>269.04183154310016</v>
      </c>
      <c r="AB13" s="155">
        <f t="shared" si="27"/>
        <v>295.94601469741019</v>
      </c>
      <c r="AC13" s="138" t="e">
        <f t="shared" si="17"/>
        <v>#DIV/0!</v>
      </c>
      <c r="AD13" s="31">
        <v>0.08</v>
      </c>
      <c r="AE13" s="146" t="e">
        <f t="shared" si="15"/>
        <v>#DIV/0!</v>
      </c>
    </row>
    <row r="14" spans="2:31" x14ac:dyDescent="0.2">
      <c r="B14" s="20" t="s">
        <v>19</v>
      </c>
      <c r="C14" s="141"/>
      <c r="D14" s="141"/>
      <c r="E14" s="147"/>
      <c r="F14" s="147"/>
      <c r="G14" s="147"/>
      <c r="H14" s="147"/>
      <c r="I14" s="147">
        <v>107</v>
      </c>
      <c r="J14" s="147">
        <v>46</v>
      </c>
      <c r="K14" s="147">
        <v>359</v>
      </c>
      <c r="L14" s="147">
        <v>328</v>
      </c>
      <c r="M14" s="147">
        <v>374</v>
      </c>
      <c r="N14" s="147">
        <v>509</v>
      </c>
      <c r="O14" s="147">
        <v>742</v>
      </c>
      <c r="P14" s="147">
        <v>489</v>
      </c>
      <c r="Q14" s="118" t="e">
        <f t="shared" si="4"/>
        <v>#DIV/0!</v>
      </c>
      <c r="R14" s="31">
        <v>0.1</v>
      </c>
      <c r="S14" s="155">
        <f t="shared" si="1"/>
        <v>537.90000000000009</v>
      </c>
      <c r="T14" s="155">
        <f t="shared" ref="T14:AB14" si="28">S14*(1+$R14)</f>
        <v>591.69000000000017</v>
      </c>
      <c r="U14" s="155">
        <f t="shared" si="28"/>
        <v>650.85900000000026</v>
      </c>
      <c r="V14" s="155">
        <f t="shared" si="28"/>
        <v>715.9449000000003</v>
      </c>
      <c r="W14" s="155">
        <f t="shared" si="28"/>
        <v>787.53939000000037</v>
      </c>
      <c r="X14" s="155">
        <f t="shared" si="28"/>
        <v>866.29332900000043</v>
      </c>
      <c r="Y14" s="155">
        <f t="shared" si="28"/>
        <v>952.92266190000055</v>
      </c>
      <c r="Z14" s="155">
        <f t="shared" si="28"/>
        <v>1048.2149280900007</v>
      </c>
      <c r="AA14" s="155">
        <f t="shared" si="28"/>
        <v>1153.0364208990009</v>
      </c>
      <c r="AB14" s="155">
        <f t="shared" si="28"/>
        <v>1268.3400629889011</v>
      </c>
      <c r="AC14" s="138" t="e">
        <f t="shared" si="17"/>
        <v>#DIV/0!</v>
      </c>
      <c r="AD14" s="31">
        <v>0.08</v>
      </c>
      <c r="AE14" s="146" t="e">
        <f t="shared" si="15"/>
        <v>#DIV/0!</v>
      </c>
    </row>
    <row r="15" spans="2:31" x14ac:dyDescent="0.2">
      <c r="B15" s="20" t="s">
        <v>23</v>
      </c>
      <c r="C15" s="141"/>
      <c r="D15" s="141"/>
      <c r="E15" s="147"/>
      <c r="F15" s="147"/>
      <c r="G15" s="147"/>
      <c r="H15" s="147"/>
      <c r="I15" s="147">
        <v>100</v>
      </c>
      <c r="J15" s="147">
        <v>8.36</v>
      </c>
      <c r="K15" s="147">
        <v>259</v>
      </c>
      <c r="L15" s="147">
        <v>272</v>
      </c>
      <c r="M15" s="147">
        <v>299</v>
      </c>
      <c r="N15" s="147">
        <v>442</v>
      </c>
      <c r="O15" s="147">
        <v>608</v>
      </c>
      <c r="P15" s="147">
        <f>P14-P9</f>
        <v>193.45</v>
      </c>
      <c r="Q15" s="118" t="e">
        <f t="shared" si="4"/>
        <v>#DIV/0!</v>
      </c>
      <c r="R15" s="31">
        <v>0.1</v>
      </c>
      <c r="S15" s="155">
        <f t="shared" si="1"/>
        <v>212.79500000000002</v>
      </c>
      <c r="T15" s="155">
        <f t="shared" ref="T15:AB15" si="29">S15*(1+$R15)</f>
        <v>234.07450000000003</v>
      </c>
      <c r="U15" s="155">
        <f t="shared" si="29"/>
        <v>257.48195000000004</v>
      </c>
      <c r="V15" s="155">
        <f t="shared" si="29"/>
        <v>283.23014500000005</v>
      </c>
      <c r="W15" s="155">
        <f t="shared" si="29"/>
        <v>311.55315950000011</v>
      </c>
      <c r="X15" s="155">
        <f t="shared" si="29"/>
        <v>342.70847545000015</v>
      </c>
      <c r="Y15" s="155">
        <f t="shared" si="29"/>
        <v>376.97932299500019</v>
      </c>
      <c r="Z15" s="155">
        <f t="shared" si="29"/>
        <v>414.67725529450024</v>
      </c>
      <c r="AA15" s="155">
        <f t="shared" si="29"/>
        <v>456.14498082395028</v>
      </c>
      <c r="AB15" s="155">
        <f t="shared" si="29"/>
        <v>501.75947890634535</v>
      </c>
      <c r="AC15" s="138" t="e">
        <f t="shared" si="17"/>
        <v>#DIV/0!</v>
      </c>
      <c r="AD15" s="31">
        <v>0.08</v>
      </c>
      <c r="AE15" s="146" t="e">
        <f t="shared" si="15"/>
        <v>#DIV/0!</v>
      </c>
    </row>
    <row r="16" spans="2:31" x14ac:dyDescent="0.2">
      <c r="B16" s="20"/>
      <c r="C16" s="141"/>
      <c r="D16" s="141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28"/>
      <c r="R16" s="128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39"/>
      <c r="AD16" s="20"/>
      <c r="AE16" s="155"/>
    </row>
    <row r="17" spans="2:31" x14ac:dyDescent="0.2">
      <c r="B17" s="20" t="s">
        <v>278</v>
      </c>
      <c r="C17" s="141"/>
      <c r="D17" s="141"/>
      <c r="E17" s="147"/>
      <c r="F17" s="147"/>
      <c r="G17" s="147"/>
      <c r="H17" s="147"/>
      <c r="I17" s="147">
        <v>9.4700000000000006</v>
      </c>
      <c r="J17" s="147">
        <v>25</v>
      </c>
      <c r="K17" s="147">
        <v>65</v>
      </c>
      <c r="L17" s="147">
        <v>115</v>
      </c>
      <c r="M17" s="147">
        <v>135</v>
      </c>
      <c r="N17" s="147">
        <v>192</v>
      </c>
      <c r="O17" s="147">
        <v>136</v>
      </c>
      <c r="P17" s="147">
        <v>261.85000000000002</v>
      </c>
      <c r="Q17" s="118" t="e">
        <f>((P17/G17)^(1/($H$2-$H$1) ))-1</f>
        <v>#DIV/0!</v>
      </c>
      <c r="R17" s="31">
        <v>0.1</v>
      </c>
      <c r="S17" s="155">
        <f t="shared" ref="S17:S30" si="30">P17*(1+$R17)</f>
        <v>288.03500000000003</v>
      </c>
      <c r="T17" s="155">
        <f t="shared" ref="T17:T30" si="31">S17*(1+$R17)</f>
        <v>316.83850000000007</v>
      </c>
      <c r="U17" s="155">
        <f t="shared" ref="U17:U30" si="32">T17*(1+$R17)</f>
        <v>348.52235000000007</v>
      </c>
      <c r="V17" s="155">
        <f t="shared" ref="V17:V30" si="33">U17*(1+$R17)</f>
        <v>383.37458500000014</v>
      </c>
      <c r="W17" s="155">
        <f t="shared" ref="W17:W32" si="34">V17*(1+$R17)</f>
        <v>421.71204350000016</v>
      </c>
      <c r="X17" s="155">
        <f t="shared" ref="X17:X32" si="35">W17*(1+$R17)</f>
        <v>463.8832478500002</v>
      </c>
      <c r="Y17" s="155">
        <f t="shared" ref="Y17:Y32" si="36">X17*(1+$R17)</f>
        <v>510.27157263500027</v>
      </c>
      <c r="Z17" s="155">
        <f t="shared" ref="Z17:Z32" si="37">Y17*(1+$R17)</f>
        <v>561.29872989850037</v>
      </c>
      <c r="AA17" s="155">
        <f t="shared" ref="AA17:AA32" si="38">Z17*(1+$R17)</f>
        <v>617.4286028883505</v>
      </c>
      <c r="AB17" s="155">
        <f t="shared" ref="AB17:AB32" si="39">AA17*(1+$R17)</f>
        <v>679.17146317718561</v>
      </c>
      <c r="AC17" s="138" t="e">
        <f t="shared" si="17"/>
        <v>#DIV/0!</v>
      </c>
      <c r="AD17" s="31">
        <v>0.08</v>
      </c>
      <c r="AE17" s="146" t="e">
        <f>(AB17*(1+AC17))/($C$1-AD17)</f>
        <v>#DIV/0!</v>
      </c>
    </row>
    <row r="18" spans="2:31" x14ac:dyDescent="0.2">
      <c r="B18" s="20"/>
      <c r="C18" s="141"/>
      <c r="D18" s="141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28"/>
      <c r="R18" s="128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19"/>
      <c r="AD18" s="119"/>
      <c r="AE18" s="155"/>
    </row>
    <row r="19" spans="2:31" x14ac:dyDescent="0.2">
      <c r="B19" s="20" t="s">
        <v>284</v>
      </c>
      <c r="C19" s="141"/>
      <c r="D19" s="141"/>
      <c r="E19" s="147"/>
      <c r="F19" s="147">
        <v>0.81</v>
      </c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18" t="e">
        <f>((P19/G19)^(1/($H$2-$H$1) ))-1</f>
        <v>#DIV/0!</v>
      </c>
      <c r="R19" s="31">
        <v>0.1</v>
      </c>
      <c r="S19" s="155">
        <f t="shared" ref="S19:S21" si="40">P19*(1+$R19)</f>
        <v>0</v>
      </c>
      <c r="T19" s="155">
        <f t="shared" ref="T19:T21" si="41">S19*(1+$R19)</f>
        <v>0</v>
      </c>
      <c r="U19" s="155">
        <f t="shared" ref="U19:U21" si="42">T19*(1+$R19)</f>
        <v>0</v>
      </c>
      <c r="V19" s="155">
        <f t="shared" ref="V19:V21" si="43">U19*(1+$R19)</f>
        <v>0</v>
      </c>
      <c r="W19" s="155">
        <f t="shared" ref="W19:W21" si="44">V19*(1+$R19)</f>
        <v>0</v>
      </c>
      <c r="X19" s="155">
        <f t="shared" ref="X19:X21" si="45">W19*(1+$R19)</f>
        <v>0</v>
      </c>
      <c r="Y19" s="155">
        <f t="shared" ref="Y19:Y21" si="46">X19*(1+$R19)</f>
        <v>0</v>
      </c>
      <c r="Z19" s="155">
        <f t="shared" ref="Z19:Z21" si="47">Y19*(1+$R19)</f>
        <v>0</v>
      </c>
      <c r="AA19" s="155">
        <f t="shared" ref="AA19:AA21" si="48">Z19*(1+$R19)</f>
        <v>0</v>
      </c>
      <c r="AB19" s="155">
        <f t="shared" ref="AB19:AB21" si="49">AA19*(1+$R19)</f>
        <v>0</v>
      </c>
      <c r="AC19" s="138" t="e">
        <f t="shared" ref="AC19:AC21" si="50">((AB19/G19)^(1/($AB$3-$H$1) ))-1</f>
        <v>#DIV/0!</v>
      </c>
      <c r="AD19" s="31">
        <v>0.05</v>
      </c>
      <c r="AE19" s="146" t="e">
        <f>(AB19*(1+AC19))/($C$1-AD19)</f>
        <v>#DIV/0!</v>
      </c>
    </row>
    <row r="20" spans="2:31" x14ac:dyDescent="0.2">
      <c r="B20" s="20" t="s">
        <v>285</v>
      </c>
      <c r="C20" s="141"/>
      <c r="D20" s="141"/>
      <c r="E20" s="147"/>
      <c r="F20" s="147">
        <v>-4.75</v>
      </c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v>0.1</v>
      </c>
      <c r="S20" s="155">
        <f t="shared" si="40"/>
        <v>0</v>
      </c>
      <c r="T20" s="155">
        <f t="shared" si="41"/>
        <v>0</v>
      </c>
      <c r="U20" s="155">
        <f t="shared" si="42"/>
        <v>0</v>
      </c>
      <c r="V20" s="155">
        <f t="shared" si="43"/>
        <v>0</v>
      </c>
      <c r="W20" s="155">
        <f t="shared" si="44"/>
        <v>0</v>
      </c>
      <c r="X20" s="155">
        <f t="shared" si="45"/>
        <v>0</v>
      </c>
      <c r="Y20" s="155">
        <f t="shared" si="46"/>
        <v>0</v>
      </c>
      <c r="Z20" s="155">
        <f t="shared" si="47"/>
        <v>0</v>
      </c>
      <c r="AA20" s="155">
        <f t="shared" si="48"/>
        <v>0</v>
      </c>
      <c r="AB20" s="155">
        <f t="shared" si="49"/>
        <v>0</v>
      </c>
      <c r="AC20" s="138" t="e">
        <f t="shared" si="50"/>
        <v>#DIV/0!</v>
      </c>
      <c r="AD20" s="31">
        <v>0.05</v>
      </c>
      <c r="AE20" s="146" t="e">
        <f>(AB20*(1+AC20))/($C$1-AD20)</f>
        <v>#DIV/0!</v>
      </c>
    </row>
    <row r="21" spans="2:31" x14ac:dyDescent="0.2">
      <c r="B21" s="20" t="s">
        <v>286</v>
      </c>
      <c r="C21" s="141"/>
      <c r="D21" s="141"/>
      <c r="E21" s="147"/>
      <c r="F21" s="147">
        <v>8.83</v>
      </c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v>0.1</v>
      </c>
      <c r="S21" s="155">
        <f t="shared" si="40"/>
        <v>0</v>
      </c>
      <c r="T21" s="155">
        <f t="shared" si="41"/>
        <v>0</v>
      </c>
      <c r="U21" s="155">
        <f t="shared" si="42"/>
        <v>0</v>
      </c>
      <c r="V21" s="155">
        <f t="shared" si="43"/>
        <v>0</v>
      </c>
      <c r="W21" s="155">
        <f t="shared" si="44"/>
        <v>0</v>
      </c>
      <c r="X21" s="155">
        <f t="shared" si="45"/>
        <v>0</v>
      </c>
      <c r="Y21" s="155">
        <f t="shared" si="46"/>
        <v>0</v>
      </c>
      <c r="Z21" s="155">
        <f t="shared" si="47"/>
        <v>0</v>
      </c>
      <c r="AA21" s="155">
        <f t="shared" si="48"/>
        <v>0</v>
      </c>
      <c r="AB21" s="155">
        <f t="shared" si="49"/>
        <v>0</v>
      </c>
      <c r="AC21" s="138" t="e">
        <f t="shared" si="50"/>
        <v>#DIV/0!</v>
      </c>
      <c r="AD21" s="31">
        <v>0.05</v>
      </c>
      <c r="AE21" s="146" t="e">
        <f>(AB21*(1+AC21))/($C$1-AD21)</f>
        <v>#DIV/0!</v>
      </c>
    </row>
    <row r="22" spans="2:31" x14ac:dyDescent="0.2">
      <c r="B22" s="20" t="s">
        <v>296</v>
      </c>
      <c r="C22" s="141"/>
      <c r="D22" s="141"/>
      <c r="E22" s="147"/>
      <c r="F22" s="147">
        <v>5.27</v>
      </c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v>0.1</v>
      </c>
      <c r="S22" s="155">
        <f t="shared" ref="S22" si="51">P22*(1+$R22)</f>
        <v>0</v>
      </c>
      <c r="T22" s="155">
        <f t="shared" ref="T22" si="52">S22*(1+$R22)</f>
        <v>0</v>
      </c>
      <c r="U22" s="155">
        <f t="shared" ref="U22" si="53">T22*(1+$R22)</f>
        <v>0</v>
      </c>
      <c r="V22" s="155">
        <f t="shared" ref="V22" si="54">U22*(1+$R22)</f>
        <v>0</v>
      </c>
      <c r="W22" s="155">
        <f t="shared" ref="W22" si="55">V22*(1+$R22)</f>
        <v>0</v>
      </c>
      <c r="X22" s="155">
        <f t="shared" ref="X22" si="56">W22*(1+$R22)</f>
        <v>0</v>
      </c>
      <c r="Y22" s="155">
        <f t="shared" ref="Y22" si="57">X22*(1+$R22)</f>
        <v>0</v>
      </c>
      <c r="Z22" s="155">
        <f t="shared" ref="Z22" si="58">Y22*(1+$R22)</f>
        <v>0</v>
      </c>
      <c r="AA22" s="155">
        <f t="shared" ref="AA22" si="59">Z22*(1+$R22)</f>
        <v>0</v>
      </c>
      <c r="AB22" s="155">
        <f t="shared" ref="AB22" si="60">AA22*(1+$R22)</f>
        <v>0</v>
      </c>
      <c r="AC22" s="138" t="e">
        <f t="shared" ref="AC22" si="61">((AB22/G22)^(1/($AB$3-$H$1) ))-1</f>
        <v>#DIV/0!</v>
      </c>
      <c r="AD22" s="31">
        <v>0.05</v>
      </c>
      <c r="AE22" s="146" t="e">
        <f>(AB22*(1+AC22))/($C$1-AD22)</f>
        <v>#DIV/0!</v>
      </c>
    </row>
    <row r="23" spans="2:31" x14ac:dyDescent="0.2">
      <c r="B23" s="20"/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28"/>
      <c r="R23" s="128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19"/>
      <c r="AD23" s="119"/>
      <c r="AE23" s="155"/>
    </row>
    <row r="24" spans="2:31" x14ac:dyDescent="0.2">
      <c r="B24" s="20" t="s">
        <v>89</v>
      </c>
      <c r="C24" s="141"/>
      <c r="D24" s="141"/>
      <c r="E24" s="147"/>
      <c r="F24" s="147">
        <v>68</v>
      </c>
      <c r="G24" s="147">
        <v>0.26</v>
      </c>
      <c r="H24" s="147">
        <v>52</v>
      </c>
      <c r="I24" s="147">
        <v>54</v>
      </c>
      <c r="J24" s="147">
        <v>41</v>
      </c>
      <c r="K24" s="147">
        <v>108</v>
      </c>
      <c r="L24" s="147">
        <v>111</v>
      </c>
      <c r="M24" s="147">
        <v>144</v>
      </c>
      <c r="N24" s="147">
        <v>380</v>
      </c>
      <c r="O24" s="147">
        <v>378</v>
      </c>
      <c r="P24" s="147">
        <v>425.4</v>
      </c>
      <c r="Q24" s="118">
        <f>((P24/G24)^(1/($H$2-$H$1) ))-1</f>
        <v>1.27557718486876</v>
      </c>
      <c r="R24" s="31">
        <v>0.1</v>
      </c>
      <c r="S24" s="155">
        <f t="shared" si="30"/>
        <v>467.94</v>
      </c>
      <c r="T24" s="155">
        <f t="shared" si="31"/>
        <v>514.73400000000004</v>
      </c>
      <c r="U24" s="155">
        <f t="shared" si="32"/>
        <v>566.20740000000012</v>
      </c>
      <c r="V24" s="155">
        <f t="shared" si="33"/>
        <v>622.82814000000019</v>
      </c>
      <c r="W24" s="155">
        <f t="shared" si="34"/>
        <v>685.11095400000022</v>
      </c>
      <c r="X24" s="155">
        <f t="shared" si="35"/>
        <v>753.62204940000026</v>
      </c>
      <c r="Y24" s="155">
        <f t="shared" si="36"/>
        <v>828.98425434000035</v>
      </c>
      <c r="Z24" s="155">
        <f t="shared" si="37"/>
        <v>911.88267977400051</v>
      </c>
      <c r="AA24" s="155">
        <f t="shared" si="38"/>
        <v>1003.0709477514007</v>
      </c>
      <c r="AB24" s="155">
        <f t="shared" si="39"/>
        <v>1103.3780425265409</v>
      </c>
      <c r="AC24" s="138">
        <f t="shared" si="17"/>
        <v>0.55215204915347882</v>
      </c>
      <c r="AD24" s="31">
        <v>0.08</v>
      </c>
      <c r="AE24" s="146">
        <f>(AB24*(1+AC24))/($C$1-AD24)</f>
        <v>12232.932069275175</v>
      </c>
    </row>
    <row r="25" spans="2:31" s="123" customFormat="1" x14ac:dyDescent="0.2">
      <c r="B25" s="23"/>
      <c r="C25" s="150"/>
      <c r="D25" s="150"/>
      <c r="E25" s="151"/>
      <c r="F25" s="151"/>
      <c r="G25" s="149">
        <f>(G24-F24)/G24</f>
        <v>-260.53846153846149</v>
      </c>
      <c r="H25" s="149">
        <f>(H24-G24)/H24</f>
        <v>0.995</v>
      </c>
      <c r="I25" s="149">
        <f t="shared" ref="I25" si="62">(I24-H24)/I24</f>
        <v>3.7037037037037035E-2</v>
      </c>
      <c r="J25" s="149">
        <f t="shared" ref="J25" si="63">(J24-I24)/J24</f>
        <v>-0.31707317073170732</v>
      </c>
      <c r="K25" s="149">
        <f t="shared" ref="K25" si="64">(K24-J24)/K24</f>
        <v>0.62037037037037035</v>
      </c>
      <c r="L25" s="149">
        <f t="shared" ref="L25" si="65">(L24-K24)/L24</f>
        <v>2.7027027027027029E-2</v>
      </c>
      <c r="M25" s="149">
        <f t="shared" ref="M25" si="66">(M24-L24)/M24</f>
        <v>0.22916666666666666</v>
      </c>
      <c r="N25" s="149">
        <f t="shared" ref="N25" si="67">(N24-M24)/N24</f>
        <v>0.62105263157894741</v>
      </c>
      <c r="O25" s="149">
        <f t="shared" ref="O25" si="68">(O24-N24)/O24</f>
        <v>-5.2910052910052907E-3</v>
      </c>
      <c r="P25" s="149">
        <f t="shared" ref="P25" si="69">(P24-O24)/P24</f>
        <v>0.1114245416078984</v>
      </c>
      <c r="Q25" s="3"/>
      <c r="R25" s="3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19"/>
      <c r="AD25" s="119"/>
      <c r="AE25" s="155"/>
    </row>
    <row r="26" spans="2:31" x14ac:dyDescent="0.2">
      <c r="B26" s="20" t="s">
        <v>262</v>
      </c>
      <c r="C26" s="141"/>
      <c r="D26" s="141"/>
      <c r="E26" s="147"/>
      <c r="F26" s="147"/>
      <c r="G26" s="147">
        <v>0.05</v>
      </c>
      <c r="H26" s="147">
        <v>44</v>
      </c>
      <c r="I26" s="147">
        <v>47</v>
      </c>
      <c r="J26" s="147">
        <v>16</v>
      </c>
      <c r="K26" s="147">
        <v>57</v>
      </c>
      <c r="L26" s="147">
        <v>58</v>
      </c>
      <c r="M26" s="147">
        <v>85</v>
      </c>
      <c r="N26" s="147">
        <v>188</v>
      </c>
      <c r="O26" s="147">
        <v>264</v>
      </c>
      <c r="P26" s="147">
        <v>348.69</v>
      </c>
      <c r="Q26" s="118">
        <f>((P26/G26)^(1/($H$2-$H$1) ))-1</f>
        <v>1.673327496557441</v>
      </c>
      <c r="R26" s="31">
        <v>0.1</v>
      </c>
      <c r="S26" s="155">
        <f t="shared" si="30"/>
        <v>383.55900000000003</v>
      </c>
      <c r="T26" s="155">
        <f t="shared" si="31"/>
        <v>421.91490000000005</v>
      </c>
      <c r="U26" s="155">
        <f t="shared" si="32"/>
        <v>464.10639000000009</v>
      </c>
      <c r="V26" s="155">
        <f t="shared" si="33"/>
        <v>510.51702900000015</v>
      </c>
      <c r="W26" s="155">
        <f t="shared" si="34"/>
        <v>561.56873190000022</v>
      </c>
      <c r="X26" s="155">
        <f t="shared" si="35"/>
        <v>617.72560509000027</v>
      </c>
      <c r="Y26" s="155">
        <f t="shared" si="36"/>
        <v>679.49816559900034</v>
      </c>
      <c r="Z26" s="155">
        <f t="shared" si="37"/>
        <v>747.44798215890046</v>
      </c>
      <c r="AA26" s="155">
        <f t="shared" si="38"/>
        <v>822.19278037479057</v>
      </c>
      <c r="AB26" s="155">
        <f t="shared" si="39"/>
        <v>904.41205841226974</v>
      </c>
      <c r="AC26" s="138">
        <f t="shared" si="17"/>
        <v>0.67522633482467054</v>
      </c>
      <c r="AD26" s="31">
        <v>0.08</v>
      </c>
      <c r="AE26" s="146">
        <f>(AB26*(1+AC26))/($C$1-AD26)</f>
        <v>10822.106412751587</v>
      </c>
    </row>
    <row r="27" spans="2:31" s="123" customFormat="1" x14ac:dyDescent="0.2">
      <c r="B27" s="23"/>
      <c r="C27" s="150"/>
      <c r="D27" s="150"/>
      <c r="E27" s="151"/>
      <c r="F27" s="151"/>
      <c r="G27" s="149">
        <f>(G26-F26)/G26</f>
        <v>1</v>
      </c>
      <c r="H27" s="149">
        <f>(H26-G26)/H26</f>
        <v>0.9988636363636364</v>
      </c>
      <c r="I27" s="149">
        <f t="shared" ref="I27" si="70">(I26-H26)/I26</f>
        <v>6.3829787234042548E-2</v>
      </c>
      <c r="J27" s="149">
        <f t="shared" ref="J27" si="71">(J26-I26)/J26</f>
        <v>-1.9375</v>
      </c>
      <c r="K27" s="149">
        <f t="shared" ref="K27" si="72">(K26-J26)/K26</f>
        <v>0.7192982456140351</v>
      </c>
      <c r="L27" s="149">
        <f t="shared" ref="L27" si="73">(L26-K26)/L26</f>
        <v>1.7241379310344827E-2</v>
      </c>
      <c r="M27" s="149">
        <f t="shared" ref="M27" si="74">(M26-L26)/M26</f>
        <v>0.31764705882352939</v>
      </c>
      <c r="N27" s="149">
        <f t="shared" ref="N27" si="75">(N26-M26)/N26</f>
        <v>0.5478723404255319</v>
      </c>
      <c r="O27" s="149">
        <f t="shared" ref="O27" si="76">(O26-N26)/O26</f>
        <v>0.2878787878787879</v>
      </c>
      <c r="P27" s="149">
        <f t="shared" ref="P27" si="77">(P26-O26)/P26</f>
        <v>0.24288049556913016</v>
      </c>
      <c r="Q27" s="3"/>
      <c r="R27" s="3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19"/>
      <c r="AD27" s="119"/>
      <c r="AE27" s="155"/>
    </row>
    <row r="28" spans="2:31" x14ac:dyDescent="0.2">
      <c r="B28" s="20" t="s">
        <v>300</v>
      </c>
      <c r="C28" s="141"/>
      <c r="D28" s="141"/>
      <c r="E28" s="147"/>
      <c r="F28" s="147">
        <v>0</v>
      </c>
      <c r="G28" s="147">
        <v>0</v>
      </c>
      <c r="H28" s="147">
        <v>0</v>
      </c>
      <c r="I28" s="147">
        <v>0</v>
      </c>
      <c r="J28" s="147">
        <v>0</v>
      </c>
      <c r="K28" s="147">
        <v>0</v>
      </c>
      <c r="L28" s="147">
        <v>0</v>
      </c>
      <c r="M28" s="147">
        <v>0</v>
      </c>
      <c r="N28" s="147">
        <v>0</v>
      </c>
      <c r="O28" s="147">
        <v>0</v>
      </c>
      <c r="P28" s="147">
        <v>0</v>
      </c>
      <c r="Q28" s="118" t="e">
        <f>((P28/G28)^(1/($H$2-$H$1) ))-1</f>
        <v>#DIV/0!</v>
      </c>
      <c r="R28" s="31">
        <v>0.1</v>
      </c>
      <c r="S28" s="155">
        <f t="shared" si="30"/>
        <v>0</v>
      </c>
      <c r="T28" s="155" t="e">
        <f t="shared" ref="T28" si="78">Q28*(1+$R28)</f>
        <v>#DIV/0!</v>
      </c>
      <c r="U28" s="155">
        <f t="shared" ref="U28" si="79">R28*(1+$R28)</f>
        <v>0.11000000000000001</v>
      </c>
      <c r="V28" s="155">
        <f t="shared" ref="V28" si="80">S28*(1+$R28)</f>
        <v>0</v>
      </c>
      <c r="W28" s="155" t="e">
        <f t="shared" ref="W28" si="81">T28*(1+$R28)</f>
        <v>#DIV/0!</v>
      </c>
      <c r="X28" s="155">
        <f t="shared" ref="X28" si="82">U28*(1+$R28)</f>
        <v>0.12100000000000002</v>
      </c>
      <c r="Y28" s="155">
        <f t="shared" ref="Y28" si="83">V28*(1+$R28)</f>
        <v>0</v>
      </c>
      <c r="Z28" s="155" t="e">
        <f t="shared" ref="Z28" si="84">W28*(1+$R28)</f>
        <v>#DIV/0!</v>
      </c>
      <c r="AA28" s="155">
        <f t="shared" ref="AA28" si="85">X28*(1+$R28)</f>
        <v>0.13310000000000002</v>
      </c>
      <c r="AB28" s="155">
        <f t="shared" ref="AB28" si="86">Y28*(1+$R28)</f>
        <v>0</v>
      </c>
      <c r="AC28" s="138" t="e">
        <f t="shared" ref="AC28" si="87">((AB28/G28)^(1/($AB$3-$H$1) ))-1</f>
        <v>#DIV/0!</v>
      </c>
      <c r="AD28" s="31">
        <v>0.08</v>
      </c>
      <c r="AE28" s="146" t="e">
        <f>(AB28*(1+AC28))/($C$1-AD28)</f>
        <v>#DIV/0!</v>
      </c>
    </row>
    <row r="29" spans="2:31" x14ac:dyDescent="0.2">
      <c r="B29" s="20" t="s">
        <v>320</v>
      </c>
      <c r="C29" s="141"/>
      <c r="D29" s="141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>
        <v>116.95</v>
      </c>
      <c r="Q29" s="118" t="e">
        <f>((P29/G29)^(1/($H$2-$H$1) ))-1</f>
        <v>#DIV/0!</v>
      </c>
      <c r="R29" s="31">
        <v>0.1</v>
      </c>
      <c r="S29" s="155">
        <f t="shared" si="30"/>
        <v>128.64500000000001</v>
      </c>
      <c r="T29" s="155">
        <f t="shared" si="31"/>
        <v>141.50950000000003</v>
      </c>
      <c r="U29" s="155">
        <f t="shared" si="32"/>
        <v>155.66045000000005</v>
      </c>
      <c r="V29" s="155">
        <f t="shared" si="33"/>
        <v>171.22649500000009</v>
      </c>
      <c r="W29" s="155">
        <f t="shared" si="34"/>
        <v>188.34914450000011</v>
      </c>
      <c r="X29" s="155">
        <f t="shared" si="35"/>
        <v>207.18405895000012</v>
      </c>
      <c r="Y29" s="155">
        <f t="shared" si="36"/>
        <v>227.90246484500014</v>
      </c>
      <c r="Z29" s="155">
        <f t="shared" si="37"/>
        <v>250.69271132950018</v>
      </c>
      <c r="AA29" s="155">
        <f t="shared" si="38"/>
        <v>275.76198246245025</v>
      </c>
      <c r="AB29" s="155">
        <f t="shared" si="39"/>
        <v>303.33818070869529</v>
      </c>
      <c r="AC29" s="138" t="e">
        <f t="shared" si="17"/>
        <v>#DIV/0!</v>
      </c>
      <c r="AD29" s="31">
        <v>0.08</v>
      </c>
      <c r="AE29" s="146" t="e">
        <f>(AB29*(1+AC29))/($C$1-AD29)</f>
        <v>#DIV/0!</v>
      </c>
    </row>
    <row r="30" spans="2:31" x14ac:dyDescent="0.2">
      <c r="B30" s="20" t="s">
        <v>311</v>
      </c>
      <c r="C30" s="141"/>
      <c r="D30" s="141"/>
      <c r="E30" s="147"/>
      <c r="F30" s="147"/>
      <c r="G30" s="147"/>
      <c r="H30" s="147"/>
      <c r="I30" s="147">
        <v>2.44</v>
      </c>
      <c r="J30" s="147">
        <v>2.93</v>
      </c>
      <c r="K30" s="147">
        <v>4</v>
      </c>
      <c r="L30" s="147">
        <v>8</v>
      </c>
      <c r="M30" s="147">
        <v>20</v>
      </c>
      <c r="N30" s="147">
        <v>24</v>
      </c>
      <c r="O30" s="147">
        <v>32</v>
      </c>
      <c r="P30" s="147">
        <v>35.47</v>
      </c>
      <c r="Q30" s="118" t="e">
        <f>((P30/G30)^(1/($H$2-$H$1) ))-1</f>
        <v>#DIV/0!</v>
      </c>
      <c r="R30" s="31">
        <v>0.1</v>
      </c>
      <c r="S30" s="155">
        <f t="shared" si="30"/>
        <v>39.017000000000003</v>
      </c>
      <c r="T30" s="155">
        <f t="shared" si="31"/>
        <v>42.918700000000008</v>
      </c>
      <c r="U30" s="155">
        <f t="shared" si="32"/>
        <v>47.210570000000011</v>
      </c>
      <c r="V30" s="155">
        <f t="shared" si="33"/>
        <v>51.931627000000013</v>
      </c>
      <c r="W30" s="155">
        <f t="shared" si="34"/>
        <v>57.124789700000022</v>
      </c>
      <c r="X30" s="155">
        <f t="shared" si="35"/>
        <v>62.837268670000029</v>
      </c>
      <c r="Y30" s="155">
        <f t="shared" si="36"/>
        <v>69.120995537000042</v>
      </c>
      <c r="Z30" s="155">
        <f t="shared" si="37"/>
        <v>76.033095090700058</v>
      </c>
      <c r="AA30" s="155">
        <f t="shared" si="38"/>
        <v>83.636404599770074</v>
      </c>
      <c r="AB30" s="155">
        <f t="shared" si="39"/>
        <v>92.000045059747094</v>
      </c>
      <c r="AC30" s="138" t="e">
        <f t="shared" si="17"/>
        <v>#DIV/0!</v>
      </c>
      <c r="AD30" s="31">
        <v>0.08</v>
      </c>
      <c r="AE30" s="146" t="e">
        <f>(AB30*(1+AC30))/($C$1-AD30)</f>
        <v>#DIV/0!</v>
      </c>
    </row>
    <row r="31" spans="2:31" x14ac:dyDescent="0.2">
      <c r="B31" s="20"/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28"/>
      <c r="R31" s="128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39"/>
      <c r="AD31" s="20"/>
      <c r="AE31" s="155"/>
    </row>
    <row r="32" spans="2:31" x14ac:dyDescent="0.2">
      <c r="B32" s="20" t="s">
        <v>279</v>
      </c>
      <c r="C32" s="141"/>
      <c r="D32" s="141"/>
      <c r="E32" s="147"/>
      <c r="F32" s="147"/>
      <c r="G32" s="147"/>
      <c r="H32" s="147"/>
      <c r="I32" s="147">
        <v>-11</v>
      </c>
      <c r="J32" s="147">
        <v>23</v>
      </c>
      <c r="K32" s="147">
        <v>47</v>
      </c>
      <c r="L32" s="147">
        <v>43</v>
      </c>
      <c r="M32" s="147">
        <v>48</v>
      </c>
      <c r="N32" s="147">
        <v>187</v>
      </c>
      <c r="O32" s="147">
        <v>100</v>
      </c>
      <c r="P32" s="147">
        <v>95.23</v>
      </c>
      <c r="Q32" s="118" t="e">
        <f>((P32/G32)^(1/($H$2-$H$1) ))-1</f>
        <v>#DIV/0!</v>
      </c>
      <c r="R32" s="31">
        <v>0.1</v>
      </c>
      <c r="S32" s="155">
        <f t="shared" ref="S32" si="88">P32*(1+$R32)</f>
        <v>104.75300000000001</v>
      </c>
      <c r="T32" s="155">
        <f t="shared" ref="T32" si="89">S32*(1+$R32)</f>
        <v>115.22830000000002</v>
      </c>
      <c r="U32" s="155">
        <f t="shared" ref="U32" si="90">T32*(1+$R32)</f>
        <v>126.75113000000003</v>
      </c>
      <c r="V32" s="155">
        <f t="shared" ref="V32" si="91">U32*(1+$R32)</f>
        <v>139.42624300000006</v>
      </c>
      <c r="W32" s="155">
        <f t="shared" si="34"/>
        <v>153.36886730000006</v>
      </c>
      <c r="X32" s="155">
        <f t="shared" si="35"/>
        <v>168.70575403000009</v>
      </c>
      <c r="Y32" s="155">
        <f t="shared" si="36"/>
        <v>185.57632943300013</v>
      </c>
      <c r="Z32" s="155">
        <f t="shared" si="37"/>
        <v>204.13396237630016</v>
      </c>
      <c r="AA32" s="155">
        <f t="shared" si="38"/>
        <v>224.54735861393019</v>
      </c>
      <c r="AB32" s="155">
        <f t="shared" si="39"/>
        <v>247.00209447532322</v>
      </c>
      <c r="AC32" s="138" t="e">
        <f t="shared" si="17"/>
        <v>#DIV/0!</v>
      </c>
      <c r="AD32" s="31">
        <v>0.08</v>
      </c>
      <c r="AE32" s="146" t="e">
        <f>(AB32*(1+AC32))/($C$1-AD32)</f>
        <v>#DIV/0!</v>
      </c>
    </row>
    <row r="33" spans="2:31" s="123" customFormat="1" x14ac:dyDescent="0.2">
      <c r="B33" s="23"/>
      <c r="C33" s="150"/>
      <c r="D33" s="150"/>
      <c r="E33" s="151"/>
      <c r="F33" s="151"/>
      <c r="G33" s="149" t="e">
        <f>(G32-F32)/G32</f>
        <v>#DIV/0!</v>
      </c>
      <c r="H33" s="149" t="e">
        <f>(H32-G32)/H32</f>
        <v>#DIV/0!</v>
      </c>
      <c r="I33" s="149">
        <f t="shared" ref="I33" si="92">(I32-H32)/I32</f>
        <v>1</v>
      </c>
      <c r="J33" s="149">
        <f t="shared" ref="J33" si="93">(J32-I32)/J32</f>
        <v>1.4782608695652173</v>
      </c>
      <c r="K33" s="149">
        <f t="shared" ref="K33" si="94">(K32-J32)/K32</f>
        <v>0.51063829787234039</v>
      </c>
      <c r="L33" s="149">
        <f t="shared" ref="L33" si="95">(L32-K32)/L32</f>
        <v>-9.3023255813953487E-2</v>
      </c>
      <c r="M33" s="149">
        <f t="shared" ref="M33" si="96">(M32-L32)/M32</f>
        <v>0.10416666666666667</v>
      </c>
      <c r="N33" s="149">
        <f t="shared" ref="N33" si="97">(N32-M32)/N32</f>
        <v>0.74331550802139035</v>
      </c>
      <c r="O33" s="149">
        <f t="shared" ref="O33" si="98">(O32-N32)/O32</f>
        <v>-0.87</v>
      </c>
      <c r="P33" s="149">
        <f t="shared" ref="P33" si="99">(P32-O32)/P32</f>
        <v>-5.0089257586894843E-2</v>
      </c>
      <c r="Q33" s="3"/>
      <c r="R33" s="3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39"/>
      <c r="AD33" s="20"/>
      <c r="AE33" s="157"/>
    </row>
    <row r="34" spans="2:31" x14ac:dyDescent="0.2">
      <c r="B34" s="20" t="s">
        <v>257</v>
      </c>
      <c r="C34" s="141"/>
      <c r="D34" s="141"/>
      <c r="E34" s="147"/>
      <c r="F34" s="147"/>
      <c r="G34" s="147"/>
      <c r="H34" s="147"/>
      <c r="I34" s="147">
        <v>3</v>
      </c>
      <c r="J34" s="147">
        <v>20</v>
      </c>
      <c r="K34" s="147">
        <v>23</v>
      </c>
      <c r="L34" s="147">
        <v>10</v>
      </c>
      <c r="M34" s="147">
        <v>13</v>
      </c>
      <c r="N34" s="147">
        <v>165</v>
      </c>
      <c r="O34" s="147">
        <v>67</v>
      </c>
      <c r="P34" s="147">
        <v>50.96</v>
      </c>
      <c r="Q34" s="118" t="e">
        <f>((P34/G34)^(1/($H$2-$H$1) ))-1</f>
        <v>#DIV/0!</v>
      </c>
      <c r="R34" s="31">
        <v>0.1</v>
      </c>
      <c r="S34" s="155">
        <f>P34*(1+$R34)</f>
        <v>56.056000000000004</v>
      </c>
      <c r="T34" s="155">
        <f t="shared" ref="T34:AB34" si="100">S34*(1+$R34)</f>
        <v>61.661600000000007</v>
      </c>
      <c r="U34" s="155">
        <f t="shared" si="100"/>
        <v>67.827760000000012</v>
      </c>
      <c r="V34" s="155">
        <f t="shared" si="100"/>
        <v>74.610536000000025</v>
      </c>
      <c r="W34" s="155">
        <f t="shared" si="100"/>
        <v>82.071589600000038</v>
      </c>
      <c r="X34" s="155">
        <f t="shared" si="100"/>
        <v>90.278748560000054</v>
      </c>
      <c r="Y34" s="155">
        <f t="shared" si="100"/>
        <v>99.306623416000065</v>
      </c>
      <c r="Z34" s="155">
        <f t="shared" si="100"/>
        <v>109.23728575760008</v>
      </c>
      <c r="AA34" s="155">
        <f t="shared" si="100"/>
        <v>120.1610143333601</v>
      </c>
      <c r="AB34" s="155">
        <f t="shared" si="100"/>
        <v>132.17711576669612</v>
      </c>
      <c r="AC34" s="138" t="e">
        <f t="shared" si="17"/>
        <v>#DIV/0!</v>
      </c>
      <c r="AD34" s="31">
        <v>0.08</v>
      </c>
      <c r="AE34" s="146" t="e">
        <f>(AB34*(1+AC34))/($C$1-AD34)</f>
        <v>#DIV/0!</v>
      </c>
    </row>
    <row r="35" spans="2:31" s="123" customFormat="1" x14ac:dyDescent="0.2">
      <c r="B35" s="23"/>
      <c r="C35" s="150"/>
      <c r="D35" s="150"/>
      <c r="E35" s="151"/>
      <c r="F35" s="151"/>
      <c r="G35" s="149" t="e">
        <f>(G34-F34)/G34</f>
        <v>#DIV/0!</v>
      </c>
      <c r="H35" s="149" t="e">
        <f>(H34-G34)/H34</f>
        <v>#DIV/0!</v>
      </c>
      <c r="I35" s="149">
        <f t="shared" ref="I35" si="101">(I34-H34)/I34</f>
        <v>1</v>
      </c>
      <c r="J35" s="149">
        <f t="shared" ref="J35" si="102">(J34-I34)/J34</f>
        <v>0.85</v>
      </c>
      <c r="K35" s="149">
        <f t="shared" ref="K35" si="103">(K34-J34)/K34</f>
        <v>0.13043478260869565</v>
      </c>
      <c r="L35" s="149">
        <f t="shared" ref="L35" si="104">(L34-K34)/L34</f>
        <v>-1.3</v>
      </c>
      <c r="M35" s="149">
        <f t="shared" ref="M35" si="105">(M34-L34)/M34</f>
        <v>0.23076923076923078</v>
      </c>
      <c r="N35" s="149">
        <f t="shared" ref="N35" si="106">(N34-M34)/N34</f>
        <v>0.92121212121212126</v>
      </c>
      <c r="O35" s="149">
        <f t="shared" ref="O35" si="107">(O34-N34)/O34</f>
        <v>-1.4626865671641791</v>
      </c>
      <c r="P35" s="149">
        <f t="shared" ref="P35" si="108">(P34-O34)/P34</f>
        <v>-0.31475667189952899</v>
      </c>
      <c r="Q35" s="3"/>
      <c r="R35" s="3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39"/>
      <c r="AD35" s="20"/>
      <c r="AE35" s="157"/>
    </row>
    <row r="36" spans="2:31" x14ac:dyDescent="0.2">
      <c r="B36" s="20" t="s">
        <v>239</v>
      </c>
      <c r="C36" s="142">
        <v>1</v>
      </c>
      <c r="D36" s="142">
        <v>1</v>
      </c>
      <c r="E36" s="143">
        <v>1</v>
      </c>
      <c r="F36" s="147">
        <v>1.3740000000000001</v>
      </c>
      <c r="G36" s="147"/>
      <c r="H36" s="147"/>
      <c r="I36" s="147">
        <v>2.73</v>
      </c>
      <c r="J36" s="147">
        <v>18</v>
      </c>
      <c r="K36" s="147">
        <v>1.66</v>
      </c>
      <c r="L36" s="147">
        <v>0.64</v>
      </c>
      <c r="M36" s="147">
        <v>0.7</v>
      </c>
      <c r="N36" s="147">
        <v>8.14</v>
      </c>
      <c r="O36" s="147">
        <v>2.93</v>
      </c>
      <c r="P36" s="147">
        <v>22.68</v>
      </c>
      <c r="Q36" s="118" t="e">
        <f>((P36/G36)^(1/($H$2-$H$1) ))-1</f>
        <v>#DIV/0!</v>
      </c>
      <c r="R36" s="31">
        <v>0.2</v>
      </c>
      <c r="S36" s="155">
        <f t="shared" ref="S36" si="109">P36*(1+$R36)</f>
        <v>27.215999999999998</v>
      </c>
      <c r="T36" s="155">
        <f t="shared" ref="T36:AB36" si="110">S36*(1+$R36)</f>
        <v>32.659199999999998</v>
      </c>
      <c r="U36" s="155">
        <f t="shared" si="110"/>
        <v>39.191039999999994</v>
      </c>
      <c r="V36" s="155">
        <f t="shared" si="110"/>
        <v>47.029247999999988</v>
      </c>
      <c r="W36" s="155">
        <f t="shared" si="110"/>
        <v>56.435097599999985</v>
      </c>
      <c r="X36" s="155">
        <f t="shared" si="110"/>
        <v>67.722117119999979</v>
      </c>
      <c r="Y36" s="155">
        <f t="shared" si="110"/>
        <v>81.266540543999966</v>
      </c>
      <c r="Z36" s="155">
        <f t="shared" si="110"/>
        <v>97.519848652799951</v>
      </c>
      <c r="AA36" s="155">
        <f t="shared" si="110"/>
        <v>117.02381838335994</v>
      </c>
      <c r="AB36" s="155">
        <f t="shared" si="110"/>
        <v>140.42858206003191</v>
      </c>
      <c r="AC36" s="138" t="e">
        <f t="shared" si="17"/>
        <v>#DIV/0!</v>
      </c>
      <c r="AD36" s="31">
        <v>0.08</v>
      </c>
      <c r="AE36" s="146" t="e">
        <f>(AB36*(1+AC36))/($C$1-AD36)</f>
        <v>#DIV/0!</v>
      </c>
    </row>
    <row r="37" spans="2:31" x14ac:dyDescent="0.2">
      <c r="B37" s="20"/>
      <c r="C37" s="20"/>
      <c r="D37" s="20"/>
      <c r="E37" s="127"/>
      <c r="F37" s="12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28"/>
      <c r="R37" s="128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20"/>
      <c r="AE37" s="155"/>
    </row>
    <row r="38" spans="2:31" x14ac:dyDescent="0.2">
      <c r="B38" s="20" t="s">
        <v>283</v>
      </c>
      <c r="C38" s="145">
        <v>1</v>
      </c>
      <c r="D38" s="145">
        <v>1</v>
      </c>
      <c r="E38" s="145">
        <v>1</v>
      </c>
      <c r="F38" s="147">
        <v>0</v>
      </c>
      <c r="G38" s="147">
        <v>0.01</v>
      </c>
      <c r="H38" s="147">
        <v>0</v>
      </c>
      <c r="I38" s="147">
        <v>0</v>
      </c>
      <c r="J38" s="147">
        <v>5</v>
      </c>
      <c r="K38" s="147">
        <v>0.4</v>
      </c>
      <c r="L38" s="147">
        <v>0.2</v>
      </c>
      <c r="M38" s="147">
        <v>0.25</v>
      </c>
      <c r="N38" s="147">
        <v>0.3</v>
      </c>
      <c r="O38" s="147">
        <v>0.35</v>
      </c>
      <c r="P38" s="147">
        <v>1</v>
      </c>
      <c r="Q38" s="118">
        <f>((P38/G38)^(1/($H$2-$H$1) ))-1</f>
        <v>0.6681005372000588</v>
      </c>
      <c r="R38" s="31">
        <v>0.02</v>
      </c>
      <c r="S38" s="155">
        <f t="shared" ref="S38" si="111">P38*(1+$R38)</f>
        <v>1.02</v>
      </c>
      <c r="T38" s="155">
        <f t="shared" ref="T38" si="112">S38*(1+$R38)</f>
        <v>1.0404</v>
      </c>
      <c r="U38" s="155">
        <f t="shared" ref="U38" si="113">T38*(1+$R38)</f>
        <v>1.0612079999999999</v>
      </c>
      <c r="V38" s="155">
        <f t="shared" ref="V38" si="114">U38*(1+$R38)</f>
        <v>1.08243216</v>
      </c>
      <c r="W38" s="155">
        <f t="shared" ref="W38" si="115">V38*(1+$R38)</f>
        <v>1.1040808032</v>
      </c>
      <c r="X38" s="155">
        <f t="shared" ref="X38" si="116">W38*(1+$R38)</f>
        <v>1.1261624192640001</v>
      </c>
      <c r="Y38" s="155">
        <f t="shared" ref="Y38" si="117">X38*(1+$R38)</f>
        <v>1.14868566764928</v>
      </c>
      <c r="Z38" s="155">
        <f t="shared" ref="Z38" si="118">Y38*(1+$R38)</f>
        <v>1.1716593810022657</v>
      </c>
      <c r="AA38" s="155">
        <f t="shared" ref="AA38" si="119">Z38*(1+$R38)</f>
        <v>1.1950925686223111</v>
      </c>
      <c r="AB38" s="155">
        <f t="shared" ref="AB38" si="120">AA38*(1+$R38)</f>
        <v>1.2189944199947573</v>
      </c>
      <c r="AC38" s="138">
        <f t="shared" ref="AC38" si="121">((AB38/G38)^(1/($AB$3-$H$1) ))-1</f>
        <v>0.28762548595906479</v>
      </c>
      <c r="AD38" s="31">
        <v>0.08</v>
      </c>
      <c r="AE38" s="146">
        <f>(AB38*(1+AC38))/($C$1-AD38)</f>
        <v>11.211487731622412</v>
      </c>
    </row>
    <row r="39" spans="2:31" x14ac:dyDescent="0.2">
      <c r="B39" s="20"/>
      <c r="C39" s="20"/>
      <c r="D39" s="20"/>
      <c r="E39" s="127"/>
      <c r="F39" s="12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28"/>
      <c r="R39" s="128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20"/>
      <c r="AE39" s="155"/>
    </row>
    <row r="40" spans="2:31" x14ac:dyDescent="0.2">
      <c r="B40" s="108" t="s">
        <v>243</v>
      </c>
      <c r="C40" s="20"/>
      <c r="D40" s="20"/>
      <c r="E40" s="127"/>
      <c r="F40" s="127"/>
      <c r="G40" s="127"/>
      <c r="H40" s="20"/>
      <c r="I40" s="20"/>
      <c r="J40" s="20"/>
      <c r="K40" s="20"/>
      <c r="L40" s="20"/>
      <c r="M40" s="20"/>
      <c r="N40" s="20"/>
      <c r="O40" s="20"/>
      <c r="P40" s="20"/>
      <c r="Q40" s="128"/>
      <c r="R40" s="128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39"/>
      <c r="AD40" s="20"/>
      <c r="AE40" s="155"/>
    </row>
    <row r="41" spans="2:31" x14ac:dyDescent="0.2">
      <c r="B41" s="20" t="s">
        <v>306</v>
      </c>
      <c r="C41" s="133">
        <f t="shared" ref="C41:F41" si="122">C24/C36</f>
        <v>0</v>
      </c>
      <c r="D41" s="133">
        <f t="shared" si="122"/>
        <v>0</v>
      </c>
      <c r="E41" s="133">
        <f t="shared" si="122"/>
        <v>0</v>
      </c>
      <c r="F41" s="133">
        <f t="shared" si="122"/>
        <v>49.490538573508005</v>
      </c>
      <c r="G41" s="133" t="e">
        <f>G24/G36</f>
        <v>#DIV/0!</v>
      </c>
      <c r="H41" s="133" t="e">
        <f t="shared" ref="H41:P41" si="123">H24/H36</f>
        <v>#DIV/0!</v>
      </c>
      <c r="I41" s="133">
        <f t="shared" si="123"/>
        <v>19.780219780219781</v>
      </c>
      <c r="J41" s="133">
        <f t="shared" si="123"/>
        <v>2.2777777777777777</v>
      </c>
      <c r="K41" s="133">
        <f t="shared" si="123"/>
        <v>65.060240963855421</v>
      </c>
      <c r="L41" s="133">
        <f t="shared" si="123"/>
        <v>173.4375</v>
      </c>
      <c r="M41" s="133">
        <f t="shared" si="123"/>
        <v>205.71428571428572</v>
      </c>
      <c r="N41" s="133">
        <f t="shared" si="123"/>
        <v>46.683046683046683</v>
      </c>
      <c r="O41" s="133">
        <f t="shared" si="123"/>
        <v>129.01023890784981</v>
      </c>
      <c r="P41" s="133">
        <f t="shared" si="123"/>
        <v>18.756613756613756</v>
      </c>
      <c r="Q41" s="118" t="e">
        <f>((P41/G41)^(1/($H$2-$H$1) ))-1</f>
        <v>#DIV/0!</v>
      </c>
      <c r="R41" s="128"/>
      <c r="S41" s="159">
        <f t="shared" ref="S41:AB41" si="124">S24/S36</f>
        <v>17.193562610229279</v>
      </c>
      <c r="T41" s="159">
        <f t="shared" si="124"/>
        <v>15.760765726043505</v>
      </c>
      <c r="U41" s="159">
        <f t="shared" si="124"/>
        <v>14.447368582206551</v>
      </c>
      <c r="V41" s="159">
        <f t="shared" si="124"/>
        <v>13.243421200356007</v>
      </c>
      <c r="W41" s="159">
        <f t="shared" si="124"/>
        <v>12.139802766993007</v>
      </c>
      <c r="X41" s="159">
        <f t="shared" si="124"/>
        <v>11.128152536410257</v>
      </c>
      <c r="Y41" s="159">
        <f t="shared" si="124"/>
        <v>10.200806491709404</v>
      </c>
      <c r="Z41" s="159">
        <f t="shared" si="124"/>
        <v>9.3507392840669556</v>
      </c>
      <c r="AA41" s="159">
        <f t="shared" si="124"/>
        <v>8.5715110103947119</v>
      </c>
      <c r="AB41" s="159">
        <f t="shared" si="124"/>
        <v>7.8572184261951534</v>
      </c>
      <c r="AC41" s="138" t="e">
        <f t="shared" ref="AC41" si="125">((AB41/G41)^(1/($AB$3-$H$1) ))-1</f>
        <v>#DIV/0!</v>
      </c>
      <c r="AD41" s="31">
        <v>0.08</v>
      </c>
      <c r="AE41" s="146" t="e">
        <f>(AB41*(1+AC41))/($C$1-AD41)</f>
        <v>#DIV/0!</v>
      </c>
    </row>
    <row r="42" spans="2:31" x14ac:dyDescent="0.2">
      <c r="B42" s="20" t="s">
        <v>307</v>
      </c>
      <c r="C42" s="133">
        <f t="shared" ref="C42:F42" si="126">C26/C36</f>
        <v>0</v>
      </c>
      <c r="D42" s="133">
        <f t="shared" si="126"/>
        <v>0</v>
      </c>
      <c r="E42" s="133">
        <f t="shared" si="126"/>
        <v>0</v>
      </c>
      <c r="F42" s="133">
        <f t="shared" si="126"/>
        <v>0</v>
      </c>
      <c r="G42" s="133" t="e">
        <f>G26/G36</f>
        <v>#DIV/0!</v>
      </c>
      <c r="H42" s="133" t="e">
        <f t="shared" ref="H42:P42" si="127">H26/H36</f>
        <v>#DIV/0!</v>
      </c>
      <c r="I42" s="133">
        <f t="shared" si="127"/>
        <v>17.216117216117215</v>
      </c>
      <c r="J42" s="133">
        <f t="shared" si="127"/>
        <v>0.88888888888888884</v>
      </c>
      <c r="K42" s="133">
        <f t="shared" si="127"/>
        <v>34.337349397590366</v>
      </c>
      <c r="L42" s="133">
        <f t="shared" si="127"/>
        <v>90.625</v>
      </c>
      <c r="M42" s="133">
        <f t="shared" si="127"/>
        <v>121.42857142857143</v>
      </c>
      <c r="N42" s="133">
        <f t="shared" si="127"/>
        <v>23.095823095823093</v>
      </c>
      <c r="O42" s="133">
        <f t="shared" si="127"/>
        <v>90.102389078498291</v>
      </c>
      <c r="P42" s="133">
        <f t="shared" si="127"/>
        <v>15.374338624338625</v>
      </c>
      <c r="Q42" s="118" t="e">
        <f>((P42/G42)^(1/($H$2-$H$1) ))-1</f>
        <v>#DIV/0!</v>
      </c>
      <c r="R42" s="128"/>
      <c r="S42" s="159">
        <f t="shared" ref="S42:AB42" si="128">S26/S36</f>
        <v>14.093143738977075</v>
      </c>
      <c r="T42" s="159">
        <f t="shared" si="128"/>
        <v>12.918715094062318</v>
      </c>
      <c r="U42" s="159">
        <f t="shared" si="128"/>
        <v>11.84215550289046</v>
      </c>
      <c r="V42" s="159">
        <f t="shared" si="128"/>
        <v>10.855309210982924</v>
      </c>
      <c r="W42" s="159">
        <f t="shared" si="128"/>
        <v>9.9507001100676824</v>
      </c>
      <c r="X42" s="159">
        <f t="shared" si="128"/>
        <v>9.1214751008953758</v>
      </c>
      <c r="Y42" s="159">
        <f t="shared" si="128"/>
        <v>8.3613521758207625</v>
      </c>
      <c r="Z42" s="159">
        <f t="shared" si="128"/>
        <v>7.664572827835701</v>
      </c>
      <c r="AA42" s="159">
        <f t="shared" si="128"/>
        <v>7.0258584255160601</v>
      </c>
      <c r="AB42" s="159">
        <f t="shared" si="128"/>
        <v>6.4403702233897224</v>
      </c>
      <c r="AC42" s="138" t="e">
        <f t="shared" ref="AC42" si="129">((AB42/G42)^(1/($AB$3-$H$1) ))-1</f>
        <v>#DIV/0!</v>
      </c>
      <c r="AD42" s="31">
        <v>0.08</v>
      </c>
      <c r="AE42" s="146" t="e">
        <f>(AB42*(1+AC42))/($C$1-AD42)</f>
        <v>#DIV/0!</v>
      </c>
    </row>
    <row r="43" spans="2:31" x14ac:dyDescent="0.2">
      <c r="B43" s="20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28"/>
      <c r="R43" s="128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19"/>
      <c r="AD43" s="119"/>
      <c r="AE43" s="146"/>
    </row>
    <row r="44" spans="2:31" x14ac:dyDescent="0.2">
      <c r="B44" s="20" t="s">
        <v>258</v>
      </c>
      <c r="C44" s="25">
        <f t="shared" ref="C44:P44" si="130">C34/C36</f>
        <v>0</v>
      </c>
      <c r="D44" s="25">
        <f t="shared" si="130"/>
        <v>0</v>
      </c>
      <c r="E44" s="25">
        <f t="shared" si="130"/>
        <v>0</v>
      </c>
      <c r="F44" s="133">
        <f t="shared" si="130"/>
        <v>0</v>
      </c>
      <c r="G44" s="133" t="e">
        <f t="shared" si="130"/>
        <v>#DIV/0!</v>
      </c>
      <c r="H44" s="133" t="e">
        <f t="shared" si="130"/>
        <v>#DIV/0!</v>
      </c>
      <c r="I44" s="133">
        <f t="shared" si="130"/>
        <v>1.098901098901099</v>
      </c>
      <c r="J44" s="133">
        <f t="shared" si="130"/>
        <v>1.1111111111111112</v>
      </c>
      <c r="K44" s="133">
        <f t="shared" si="130"/>
        <v>13.855421686746988</v>
      </c>
      <c r="L44" s="133">
        <f t="shared" si="130"/>
        <v>15.625</v>
      </c>
      <c r="M44" s="133">
        <f t="shared" si="130"/>
        <v>18.571428571428573</v>
      </c>
      <c r="N44" s="133">
        <f t="shared" si="130"/>
        <v>20.27027027027027</v>
      </c>
      <c r="O44" s="133">
        <f t="shared" si="130"/>
        <v>22.866894197952217</v>
      </c>
      <c r="P44" s="133">
        <f t="shared" si="130"/>
        <v>2.2469135802469138</v>
      </c>
      <c r="Q44" s="118" t="e">
        <f>((P44/G44)^(1/($H$2-$H$1) ))-1</f>
        <v>#DIV/0!</v>
      </c>
      <c r="R44" s="128"/>
      <c r="S44" s="159">
        <f t="shared" ref="S44:AB44" si="131">S34/S36</f>
        <v>2.0596707818930047</v>
      </c>
      <c r="T44" s="159">
        <f t="shared" si="131"/>
        <v>1.8880315500685874</v>
      </c>
      <c r="U44" s="159">
        <f t="shared" si="131"/>
        <v>1.730695587562872</v>
      </c>
      <c r="V44" s="159">
        <f t="shared" si="131"/>
        <v>1.5864709552659664</v>
      </c>
      <c r="W44" s="159">
        <f t="shared" si="131"/>
        <v>1.4542650423271362</v>
      </c>
      <c r="X44" s="159">
        <f t="shared" si="131"/>
        <v>1.3330762887998751</v>
      </c>
      <c r="Y44" s="159">
        <f t="shared" si="131"/>
        <v>1.2219865980665523</v>
      </c>
      <c r="Z44" s="159">
        <f t="shared" si="131"/>
        <v>1.1201543815610064</v>
      </c>
      <c r="AA44" s="159">
        <f t="shared" si="131"/>
        <v>1.0268081830975895</v>
      </c>
      <c r="AB44" s="159">
        <f t="shared" si="131"/>
        <v>0.94124083450612372</v>
      </c>
      <c r="AC44" s="138" t="e">
        <f t="shared" ref="AC44:AC57" si="132">((AB44/G44)^(1/($AB$3-$H$1) ))-1</f>
        <v>#DIV/0!</v>
      </c>
      <c r="AD44" s="31">
        <v>0.08</v>
      </c>
      <c r="AE44" s="146" t="e">
        <f>(AB44*(1+AC44))/($C$1-AD44)</f>
        <v>#DIV/0!</v>
      </c>
    </row>
    <row r="45" spans="2:31" x14ac:dyDescent="0.2">
      <c r="B45" s="20" t="s">
        <v>245</v>
      </c>
      <c r="C45" s="25">
        <f t="shared" ref="C45:P45" si="133">C7/C36</f>
        <v>0</v>
      </c>
      <c r="D45" s="25">
        <f t="shared" si="133"/>
        <v>0</v>
      </c>
      <c r="E45" s="25">
        <f t="shared" si="133"/>
        <v>0</v>
      </c>
      <c r="F45" s="133">
        <f t="shared" si="133"/>
        <v>0</v>
      </c>
      <c r="G45" s="133" t="e">
        <f t="shared" si="133"/>
        <v>#DIV/0!</v>
      </c>
      <c r="H45" s="133" t="e">
        <f t="shared" si="133"/>
        <v>#DIV/0!</v>
      </c>
      <c r="I45" s="133">
        <f t="shared" si="133"/>
        <v>14.886446886446887</v>
      </c>
      <c r="J45" s="133">
        <f t="shared" si="133"/>
        <v>2.3888888888888888</v>
      </c>
      <c r="K45" s="133">
        <f t="shared" si="133"/>
        <v>137.34939759036146</v>
      </c>
      <c r="L45" s="133">
        <f t="shared" si="133"/>
        <v>507.8125</v>
      </c>
      <c r="M45" s="133">
        <f t="shared" si="133"/>
        <v>385.71428571428572</v>
      </c>
      <c r="N45" s="133">
        <f t="shared" si="133"/>
        <v>24.815724815724813</v>
      </c>
      <c r="O45" s="133">
        <f t="shared" si="133"/>
        <v>146.41638225255971</v>
      </c>
      <c r="P45" s="133">
        <f t="shared" si="133"/>
        <v>34.091710758377424</v>
      </c>
      <c r="Q45" s="118" t="e">
        <f>((P45/G45)^(1/($H$2-$H$1) ))-1</f>
        <v>#DIV/0!</v>
      </c>
      <c r="R45" s="128"/>
      <c r="S45" s="159">
        <f t="shared" ref="S45:AB45" si="134">S7/S36</f>
        <v>31.250734861845981</v>
      </c>
      <c r="T45" s="159">
        <f t="shared" si="134"/>
        <v>28.64650695669215</v>
      </c>
      <c r="U45" s="159">
        <f t="shared" si="134"/>
        <v>26.259298043634477</v>
      </c>
      <c r="V45" s="159">
        <f t="shared" si="134"/>
        <v>24.071023206664943</v>
      </c>
      <c r="W45" s="159">
        <f t="shared" si="134"/>
        <v>22.065104606109532</v>
      </c>
      <c r="X45" s="159">
        <f t="shared" si="134"/>
        <v>20.226345888933739</v>
      </c>
      <c r="Y45" s="159">
        <f t="shared" si="134"/>
        <v>18.540817064855933</v>
      </c>
      <c r="Z45" s="159">
        <f t="shared" si="134"/>
        <v>16.995748976117941</v>
      </c>
      <c r="AA45" s="159">
        <f t="shared" si="134"/>
        <v>15.579436561441447</v>
      </c>
      <c r="AB45" s="159">
        <f t="shared" si="134"/>
        <v>14.281150181321328</v>
      </c>
      <c r="AC45" s="138" t="e">
        <f t="shared" si="132"/>
        <v>#DIV/0!</v>
      </c>
      <c r="AD45" s="31">
        <v>0.08</v>
      </c>
      <c r="AE45" s="146" t="e">
        <f>(AB45*(1+AC45))/($C$1-AD45)</f>
        <v>#DIV/0!</v>
      </c>
    </row>
    <row r="46" spans="2:31" x14ac:dyDescent="0.2">
      <c r="B46" s="20" t="s">
        <v>246</v>
      </c>
      <c r="C46" s="127">
        <f t="shared" ref="C46:P46" si="135">C6/C36</f>
        <v>0</v>
      </c>
      <c r="D46" s="127">
        <f t="shared" si="135"/>
        <v>0</v>
      </c>
      <c r="E46" s="127">
        <f t="shared" si="135"/>
        <v>0</v>
      </c>
      <c r="F46" s="144">
        <f t="shared" si="135"/>
        <v>0</v>
      </c>
      <c r="G46" s="144" t="e">
        <f t="shared" si="135"/>
        <v>#DIV/0!</v>
      </c>
      <c r="H46" s="144" t="e">
        <f t="shared" si="135"/>
        <v>#DIV/0!</v>
      </c>
      <c r="I46" s="144">
        <f t="shared" si="135"/>
        <v>6.2234432234432226</v>
      </c>
      <c r="J46" s="144">
        <f t="shared" si="135"/>
        <v>1.1666666666666667</v>
      </c>
      <c r="K46" s="144">
        <f t="shared" si="135"/>
        <v>118.07228915662651</v>
      </c>
      <c r="L46" s="144">
        <f t="shared" si="135"/>
        <v>309.375</v>
      </c>
      <c r="M46" s="144">
        <f t="shared" si="135"/>
        <v>378.57142857142861</v>
      </c>
      <c r="N46" s="144">
        <f t="shared" si="135"/>
        <v>68.427518427518422</v>
      </c>
      <c r="O46" s="144">
        <f t="shared" si="135"/>
        <v>244.7098976109215</v>
      </c>
      <c r="P46" s="144">
        <f t="shared" si="135"/>
        <v>33.100088183421519</v>
      </c>
      <c r="Q46" s="118" t="e">
        <f>((P46/G46)^(1/($H$2-$H$1) ))-1</f>
        <v>#DIV/0!</v>
      </c>
      <c r="R46" s="128"/>
      <c r="S46" s="158">
        <f t="shared" ref="S46:AB46" si="136">S6/S36</f>
        <v>30.34174750146973</v>
      </c>
      <c r="T46" s="158">
        <f t="shared" si="136"/>
        <v>27.813268543013919</v>
      </c>
      <c r="U46" s="158">
        <f t="shared" si="136"/>
        <v>25.495496164429429</v>
      </c>
      <c r="V46" s="158">
        <f t="shared" si="136"/>
        <v>23.370871484060316</v>
      </c>
      <c r="W46" s="158">
        <f t="shared" si="136"/>
        <v>21.423298860388627</v>
      </c>
      <c r="X46" s="158">
        <f t="shared" si="136"/>
        <v>19.638023955356246</v>
      </c>
      <c r="Y46" s="158">
        <f t="shared" si="136"/>
        <v>18.001521959076562</v>
      </c>
      <c r="Z46" s="158">
        <f t="shared" si="136"/>
        <v>16.501395129153519</v>
      </c>
      <c r="AA46" s="158">
        <f t="shared" si="136"/>
        <v>15.126278868390727</v>
      </c>
      <c r="AB46" s="158">
        <f t="shared" si="136"/>
        <v>13.865755629358167</v>
      </c>
      <c r="AC46" s="138" t="e">
        <f t="shared" si="132"/>
        <v>#DIV/0!</v>
      </c>
      <c r="AD46" s="31">
        <v>0.08</v>
      </c>
      <c r="AE46" s="146" t="e">
        <f>(AB46*(1+AC46))/($C$1-AD46)</f>
        <v>#DIV/0!</v>
      </c>
    </row>
    <row r="47" spans="2:31" x14ac:dyDescent="0.2">
      <c r="B47" s="20" t="s">
        <v>247</v>
      </c>
      <c r="C47" s="127">
        <f t="shared" ref="C47:P47" si="137">C10/C36</f>
        <v>0</v>
      </c>
      <c r="D47" s="127">
        <f t="shared" si="137"/>
        <v>0</v>
      </c>
      <c r="E47" s="127">
        <f t="shared" si="137"/>
        <v>0</v>
      </c>
      <c r="F47" s="144">
        <f t="shared" si="137"/>
        <v>0</v>
      </c>
      <c r="G47" s="144" t="e">
        <f t="shared" si="137"/>
        <v>#DIV/0!</v>
      </c>
      <c r="H47" s="144" t="e">
        <f t="shared" si="137"/>
        <v>#DIV/0!</v>
      </c>
      <c r="I47" s="144">
        <f t="shared" si="137"/>
        <v>26.373626373626372</v>
      </c>
      <c r="J47" s="144">
        <f t="shared" si="137"/>
        <v>4.416666666666667</v>
      </c>
      <c r="K47" s="144">
        <f t="shared" si="137"/>
        <v>196.98795180722894</v>
      </c>
      <c r="L47" s="144">
        <f t="shared" si="137"/>
        <v>507.8125</v>
      </c>
      <c r="M47" s="144">
        <f t="shared" si="137"/>
        <v>385.71428571428572</v>
      </c>
      <c r="N47" s="144">
        <f t="shared" si="137"/>
        <v>24.815724815724813</v>
      </c>
      <c r="O47" s="144">
        <f t="shared" si="137"/>
        <v>146.75767918088735</v>
      </c>
      <c r="P47" s="144">
        <f t="shared" si="137"/>
        <v>0</v>
      </c>
      <c r="Q47" s="118" t="e">
        <f>((P47/G47)^(1/($H$2-$H$1) ))-1</f>
        <v>#DIV/0!</v>
      </c>
      <c r="R47" s="128"/>
      <c r="S47" s="158">
        <f t="shared" ref="S47:AB47" si="138">S10/S36</f>
        <v>0</v>
      </c>
      <c r="T47" s="158">
        <f t="shared" si="138"/>
        <v>0</v>
      </c>
      <c r="U47" s="158">
        <f t="shared" si="138"/>
        <v>0</v>
      </c>
      <c r="V47" s="158">
        <f t="shared" si="138"/>
        <v>0</v>
      </c>
      <c r="W47" s="158">
        <f t="shared" si="138"/>
        <v>0</v>
      </c>
      <c r="X47" s="158">
        <f t="shared" si="138"/>
        <v>0</v>
      </c>
      <c r="Y47" s="158">
        <f t="shared" si="138"/>
        <v>0</v>
      </c>
      <c r="Z47" s="158">
        <f t="shared" si="138"/>
        <v>0</v>
      </c>
      <c r="AA47" s="158">
        <f t="shared" si="138"/>
        <v>0</v>
      </c>
      <c r="AB47" s="158">
        <f t="shared" si="138"/>
        <v>0</v>
      </c>
      <c r="AC47" s="138" t="e">
        <f t="shared" si="132"/>
        <v>#DIV/0!</v>
      </c>
      <c r="AD47" s="31">
        <v>0.08</v>
      </c>
      <c r="AE47" s="146" t="e">
        <f>(AB47*(1+AC47))/($C$1-AD47)</f>
        <v>#DIV/0!</v>
      </c>
    </row>
    <row r="48" spans="2:31" x14ac:dyDescent="0.2">
      <c r="B48" s="20"/>
      <c r="C48" s="127"/>
      <c r="D48" s="127"/>
      <c r="E48" s="127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28"/>
      <c r="R48" s="12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39"/>
      <c r="AD48" s="20"/>
      <c r="AE48" s="155"/>
    </row>
    <row r="49" spans="2:31" x14ac:dyDescent="0.2">
      <c r="B49" s="20" t="s">
        <v>271</v>
      </c>
      <c r="C49" s="127">
        <f t="shared" ref="C49:P49" si="139">(C7-C10)/C36</f>
        <v>0</v>
      </c>
      <c r="D49" s="127">
        <f t="shared" si="139"/>
        <v>0</v>
      </c>
      <c r="E49" s="127">
        <f t="shared" si="139"/>
        <v>0</v>
      </c>
      <c r="F49" s="144">
        <f t="shared" si="139"/>
        <v>0</v>
      </c>
      <c r="G49" s="144" t="e">
        <f t="shared" si="139"/>
        <v>#DIV/0!</v>
      </c>
      <c r="H49" s="144" t="e">
        <f t="shared" si="139"/>
        <v>#DIV/0!</v>
      </c>
      <c r="I49" s="144">
        <f t="shared" si="139"/>
        <v>-11.487179487179487</v>
      </c>
      <c r="J49" s="144">
        <f t="shared" si="139"/>
        <v>-2.0277777777777777</v>
      </c>
      <c r="K49" s="144">
        <f t="shared" si="139"/>
        <v>-59.638554216867476</v>
      </c>
      <c r="L49" s="144">
        <f t="shared" si="139"/>
        <v>0</v>
      </c>
      <c r="M49" s="144">
        <f t="shared" si="139"/>
        <v>0</v>
      </c>
      <c r="N49" s="144">
        <f t="shared" si="139"/>
        <v>0</v>
      </c>
      <c r="O49" s="144">
        <f t="shared" si="139"/>
        <v>-0.34129692832764502</v>
      </c>
      <c r="P49" s="144">
        <f t="shared" si="139"/>
        <v>34.091710758377424</v>
      </c>
      <c r="Q49" s="118" t="e">
        <f>((P49/G49)^(1/($H$2-$H$1) ))-1</f>
        <v>#DIV/0!</v>
      </c>
      <c r="R49" s="128"/>
      <c r="S49" s="158">
        <f t="shared" ref="S49:AB49" si="140">(S7-S10)/S36</f>
        <v>31.250734861845981</v>
      </c>
      <c r="T49" s="158">
        <f t="shared" si="140"/>
        <v>28.64650695669215</v>
      </c>
      <c r="U49" s="158">
        <f t="shared" si="140"/>
        <v>26.259298043634477</v>
      </c>
      <c r="V49" s="158">
        <f t="shared" si="140"/>
        <v>24.071023206664943</v>
      </c>
      <c r="W49" s="158">
        <f t="shared" si="140"/>
        <v>22.065104606109532</v>
      </c>
      <c r="X49" s="158">
        <f t="shared" si="140"/>
        <v>20.226345888933739</v>
      </c>
      <c r="Y49" s="158">
        <f t="shared" si="140"/>
        <v>18.540817064855933</v>
      </c>
      <c r="Z49" s="158">
        <f t="shared" si="140"/>
        <v>16.995748976117941</v>
      </c>
      <c r="AA49" s="158">
        <f t="shared" si="140"/>
        <v>15.579436561441447</v>
      </c>
      <c r="AB49" s="158">
        <f t="shared" si="140"/>
        <v>14.281150181321328</v>
      </c>
      <c r="AC49" s="138" t="e">
        <f t="shared" si="132"/>
        <v>#DIV/0!</v>
      </c>
      <c r="AD49" s="31">
        <v>0.08</v>
      </c>
      <c r="AE49" s="146" t="e">
        <f>(AB49*(1+AC49))/($C$1-AD49)</f>
        <v>#DIV/0!</v>
      </c>
    </row>
    <row r="50" spans="2:31" x14ac:dyDescent="0.2">
      <c r="B50" s="20" t="s">
        <v>272</v>
      </c>
      <c r="C50" s="127">
        <f t="shared" ref="C50:P50" si="141">(C7-C10-C9)/C36</f>
        <v>0</v>
      </c>
      <c r="D50" s="127">
        <f t="shared" si="141"/>
        <v>0</v>
      </c>
      <c r="E50" s="127">
        <f t="shared" si="141"/>
        <v>0</v>
      </c>
      <c r="F50" s="144">
        <f t="shared" si="141"/>
        <v>0</v>
      </c>
      <c r="G50" s="144" t="e">
        <f t="shared" si="141"/>
        <v>#DIV/0!</v>
      </c>
      <c r="H50" s="144" t="e">
        <f t="shared" si="141"/>
        <v>#DIV/0!</v>
      </c>
      <c r="I50" s="144">
        <f t="shared" si="141"/>
        <v>-13.069597069597069</v>
      </c>
      <c r="J50" s="144">
        <f t="shared" si="141"/>
        <v>-3.4166666666666665</v>
      </c>
      <c r="K50" s="144">
        <f t="shared" si="141"/>
        <v>-105.57831325301204</v>
      </c>
      <c r="L50" s="144">
        <f t="shared" si="141"/>
        <v>-81.25</v>
      </c>
      <c r="M50" s="144">
        <f t="shared" si="141"/>
        <v>-92.857142857142861</v>
      </c>
      <c r="N50" s="144">
        <f t="shared" si="141"/>
        <v>-6.6339066339066335</v>
      </c>
      <c r="O50" s="144">
        <f t="shared" si="141"/>
        <v>-31.740614334470987</v>
      </c>
      <c r="P50" s="144">
        <f t="shared" si="141"/>
        <v>21.060405643738978</v>
      </c>
      <c r="Q50" s="118" t="e">
        <f>((P50/G50)^(1/($H$2-$H$1) ))-1</f>
        <v>#DIV/0!</v>
      </c>
      <c r="R50" s="128"/>
      <c r="S50" s="158">
        <f t="shared" ref="S50:AB50" si="142">(S7-S10-S9)/S36</f>
        <v>19.305371840094068</v>
      </c>
      <c r="T50" s="158">
        <f t="shared" si="142"/>
        <v>17.696590853419565</v>
      </c>
      <c r="U50" s="158">
        <f t="shared" si="142"/>
        <v>16.221874948967937</v>
      </c>
      <c r="V50" s="158">
        <f t="shared" si="142"/>
        <v>14.870052036553943</v>
      </c>
      <c r="W50" s="158">
        <f t="shared" si="142"/>
        <v>13.630881033507784</v>
      </c>
      <c r="X50" s="158">
        <f t="shared" si="142"/>
        <v>12.49497428071547</v>
      </c>
      <c r="Y50" s="158">
        <f t="shared" si="142"/>
        <v>11.453726423989183</v>
      </c>
      <c r="Z50" s="158">
        <f t="shared" si="142"/>
        <v>10.499249221990086</v>
      </c>
      <c r="AA50" s="158">
        <f t="shared" si="142"/>
        <v>9.6243117868242454</v>
      </c>
      <c r="AB50" s="158">
        <f t="shared" si="142"/>
        <v>8.8222858045888941</v>
      </c>
      <c r="AC50" s="138" t="e">
        <f t="shared" si="132"/>
        <v>#DIV/0!</v>
      </c>
      <c r="AD50" s="31">
        <v>0.08</v>
      </c>
      <c r="AE50" s="146" t="e">
        <f>(AB50*(1+AC50))/($C$1-AD50)</f>
        <v>#DIV/0!</v>
      </c>
    </row>
    <row r="51" spans="2:31" x14ac:dyDescent="0.2">
      <c r="B51" s="20" t="s">
        <v>277</v>
      </c>
      <c r="C51" s="127">
        <f t="shared" ref="C51:P51" si="143">(C7+C14-C10-C9)/C36</f>
        <v>0</v>
      </c>
      <c r="D51" s="127">
        <f t="shared" si="143"/>
        <v>0</v>
      </c>
      <c r="E51" s="127">
        <f t="shared" si="143"/>
        <v>0</v>
      </c>
      <c r="F51" s="144">
        <f t="shared" si="143"/>
        <v>0</v>
      </c>
      <c r="G51" s="144" t="e">
        <f t="shared" si="143"/>
        <v>#DIV/0!</v>
      </c>
      <c r="H51" s="144" t="e">
        <f t="shared" si="143"/>
        <v>#DIV/0!</v>
      </c>
      <c r="I51" s="144">
        <f t="shared" si="143"/>
        <v>26.124542124542121</v>
      </c>
      <c r="J51" s="144">
        <f t="shared" si="143"/>
        <v>-0.86111111111111116</v>
      </c>
      <c r="K51" s="144">
        <f t="shared" si="143"/>
        <v>110.68674698795182</v>
      </c>
      <c r="L51" s="144">
        <f t="shared" si="143"/>
        <v>431.25</v>
      </c>
      <c r="M51" s="144">
        <f t="shared" si="143"/>
        <v>441.42857142857144</v>
      </c>
      <c r="N51" s="144">
        <f t="shared" si="143"/>
        <v>55.896805896805894</v>
      </c>
      <c r="O51" s="144">
        <f t="shared" si="143"/>
        <v>221.50170648464163</v>
      </c>
      <c r="P51" s="144">
        <f t="shared" si="143"/>
        <v>42.621252204585545</v>
      </c>
      <c r="Q51" s="118" t="e">
        <f>((P51/G51)^(1/($H$2-$H$1) ))-1</f>
        <v>#DIV/0!</v>
      </c>
      <c r="R51" s="128"/>
      <c r="S51" s="158">
        <f t="shared" ref="S51:AB51" si="144">(S7+S14-S10-S9)/S36</f>
        <v>39.069481187536752</v>
      </c>
      <c r="T51" s="158">
        <f t="shared" si="144"/>
        <v>35.813691088575361</v>
      </c>
      <c r="U51" s="158">
        <f t="shared" si="144"/>
        <v>32.829216831194088</v>
      </c>
      <c r="V51" s="158">
        <f t="shared" si="144"/>
        <v>30.09344876192792</v>
      </c>
      <c r="W51" s="158">
        <f t="shared" si="144"/>
        <v>27.585661365100595</v>
      </c>
      <c r="X51" s="158">
        <f t="shared" si="144"/>
        <v>25.286856251342211</v>
      </c>
      <c r="Y51" s="158">
        <f t="shared" si="144"/>
        <v>23.179618230397033</v>
      </c>
      <c r="Z51" s="158">
        <f t="shared" si="144"/>
        <v>21.247983377863953</v>
      </c>
      <c r="AA51" s="158">
        <f t="shared" si="144"/>
        <v>19.477318096375289</v>
      </c>
      <c r="AB51" s="158">
        <f t="shared" si="144"/>
        <v>17.854208255010686</v>
      </c>
      <c r="AC51" s="138" t="e">
        <f t="shared" si="132"/>
        <v>#DIV/0!</v>
      </c>
      <c r="AD51" s="31">
        <v>0.08</v>
      </c>
      <c r="AE51" s="146" t="e">
        <f>(AB51*(1+AC51))/($C$1-AD51)</f>
        <v>#DIV/0!</v>
      </c>
    </row>
    <row r="52" spans="2:31" x14ac:dyDescent="0.2">
      <c r="B52" s="20"/>
      <c r="C52" s="127"/>
      <c r="D52" s="127"/>
      <c r="E52" s="127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28"/>
      <c r="R52" s="128"/>
      <c r="S52" s="155"/>
      <c r="T52" s="155"/>
      <c r="U52" s="155"/>
      <c r="V52" s="155"/>
      <c r="W52" s="155"/>
      <c r="X52" s="155"/>
      <c r="Y52" s="155"/>
      <c r="Z52" s="155"/>
      <c r="AA52" s="155"/>
      <c r="AB52" s="155"/>
      <c r="AC52" s="139"/>
      <c r="AD52" s="20"/>
      <c r="AE52" s="155"/>
    </row>
    <row r="53" spans="2:31" x14ac:dyDescent="0.2">
      <c r="B53" s="20" t="s">
        <v>248</v>
      </c>
      <c r="C53" s="127">
        <f t="shared" ref="C53:P53" si="145">C12/C36</f>
        <v>0</v>
      </c>
      <c r="D53" s="127">
        <f t="shared" si="145"/>
        <v>0</v>
      </c>
      <c r="E53" s="127">
        <f t="shared" si="145"/>
        <v>0</v>
      </c>
      <c r="F53" s="144">
        <f t="shared" si="145"/>
        <v>0</v>
      </c>
      <c r="G53" s="144" t="e">
        <f t="shared" si="145"/>
        <v>#DIV/0!</v>
      </c>
      <c r="H53" s="144" t="e">
        <f t="shared" si="145"/>
        <v>#DIV/0!</v>
      </c>
      <c r="I53" s="144">
        <f t="shared" si="145"/>
        <v>1.0329670329670328</v>
      </c>
      <c r="J53" s="144">
        <f t="shared" si="145"/>
        <v>0.16666666666666666</v>
      </c>
      <c r="K53" s="144">
        <f t="shared" si="145"/>
        <v>52.409638554216869</v>
      </c>
      <c r="L53" s="144">
        <f t="shared" si="145"/>
        <v>25</v>
      </c>
      <c r="M53" s="144">
        <f t="shared" si="145"/>
        <v>65.714285714285722</v>
      </c>
      <c r="N53" s="144">
        <f t="shared" si="145"/>
        <v>7.8624078624078617</v>
      </c>
      <c r="O53" s="144">
        <f t="shared" si="145"/>
        <v>46.416382252559721</v>
      </c>
      <c r="P53" s="144">
        <f t="shared" si="145"/>
        <v>2.0282186948853616</v>
      </c>
      <c r="Q53" s="118" t="e">
        <f>((P53/G53)^(1/($H$2-$H$1) ))-1</f>
        <v>#DIV/0!</v>
      </c>
      <c r="R53" s="128"/>
      <c r="S53" s="158">
        <f t="shared" ref="S53:AB53" si="146">S12/S36</f>
        <v>1.8592004703115816</v>
      </c>
      <c r="T53" s="158">
        <f t="shared" si="146"/>
        <v>1.7042670977856165</v>
      </c>
      <c r="U53" s="158">
        <f t="shared" si="146"/>
        <v>1.5622448396368154</v>
      </c>
      <c r="V53" s="158">
        <f t="shared" si="146"/>
        <v>1.4320577696670811</v>
      </c>
      <c r="W53" s="158">
        <f t="shared" si="146"/>
        <v>1.3127196221948245</v>
      </c>
      <c r="X53" s="158">
        <f t="shared" si="146"/>
        <v>1.203326320345256</v>
      </c>
      <c r="Y53" s="158">
        <f t="shared" si="146"/>
        <v>1.1030491269831515</v>
      </c>
      <c r="Z53" s="158">
        <f t="shared" si="146"/>
        <v>1.0111283664012225</v>
      </c>
      <c r="AA53" s="158">
        <f t="shared" si="146"/>
        <v>0.92686766920112074</v>
      </c>
      <c r="AB53" s="158">
        <f t="shared" si="146"/>
        <v>0.84962869676769415</v>
      </c>
      <c r="AC53" s="138" t="e">
        <f t="shared" si="132"/>
        <v>#DIV/0!</v>
      </c>
      <c r="AD53" s="31">
        <v>0.08</v>
      </c>
      <c r="AE53" s="146" t="e">
        <f>(AB53*(1+AC53))/($C$1-AD53)</f>
        <v>#DIV/0!</v>
      </c>
    </row>
    <row r="54" spans="2:31" x14ac:dyDescent="0.2">
      <c r="B54" s="20" t="s">
        <v>255</v>
      </c>
      <c r="C54" s="127">
        <f t="shared" ref="C54:P54" si="147">C13/C36</f>
        <v>0</v>
      </c>
      <c r="D54" s="127">
        <f t="shared" si="147"/>
        <v>0</v>
      </c>
      <c r="E54" s="127">
        <f t="shared" si="147"/>
        <v>0</v>
      </c>
      <c r="F54" s="144">
        <f t="shared" si="147"/>
        <v>0</v>
      </c>
      <c r="G54" s="144" t="e">
        <f t="shared" si="147"/>
        <v>#DIV/0!</v>
      </c>
      <c r="H54" s="144" t="e">
        <f t="shared" si="147"/>
        <v>#DIV/0!</v>
      </c>
      <c r="I54" s="144">
        <f t="shared" si="147"/>
        <v>0.15384615384615385</v>
      </c>
      <c r="J54" s="144">
        <f t="shared" si="147"/>
        <v>4.8888888888888893</v>
      </c>
      <c r="K54" s="144">
        <f t="shared" si="147"/>
        <v>159.63855421686748</v>
      </c>
      <c r="L54" s="144">
        <f t="shared" si="147"/>
        <v>350</v>
      </c>
      <c r="M54" s="144">
        <f t="shared" si="147"/>
        <v>245.71428571428572</v>
      </c>
      <c r="N54" s="144">
        <f t="shared" si="147"/>
        <v>19.9017199017199</v>
      </c>
      <c r="O54" s="144">
        <f t="shared" si="147"/>
        <v>45.733788395904433</v>
      </c>
      <c r="P54" s="144">
        <f t="shared" si="147"/>
        <v>5.0308641975308639</v>
      </c>
      <c r="Q54" s="118" t="e">
        <f>((P54/G54)^(1/($H$2-$H$1) ))-1</f>
        <v>#DIV/0!</v>
      </c>
      <c r="R54" s="128"/>
      <c r="S54" s="158">
        <f t="shared" ref="S54:AB54" si="148">S13/S36</f>
        <v>4.6116255144032925</v>
      </c>
      <c r="T54" s="158">
        <f t="shared" si="148"/>
        <v>4.2273233882030183</v>
      </c>
      <c r="U54" s="158">
        <f t="shared" si="148"/>
        <v>3.875046439186101</v>
      </c>
      <c r="V54" s="158">
        <f t="shared" si="148"/>
        <v>3.5521259025872594</v>
      </c>
      <c r="W54" s="158">
        <f t="shared" si="148"/>
        <v>3.2561154107049881</v>
      </c>
      <c r="X54" s="158">
        <f t="shared" si="148"/>
        <v>2.9847724598129064</v>
      </c>
      <c r="Y54" s="158">
        <f t="shared" si="148"/>
        <v>2.7360414214951647</v>
      </c>
      <c r="Z54" s="158">
        <f t="shared" si="148"/>
        <v>2.5080379697039015</v>
      </c>
      <c r="AA54" s="158">
        <f t="shared" si="148"/>
        <v>2.2990348055619099</v>
      </c>
      <c r="AB54" s="158">
        <f t="shared" si="148"/>
        <v>2.1074485717650844</v>
      </c>
      <c r="AC54" s="138" t="e">
        <f t="shared" si="132"/>
        <v>#DIV/0!</v>
      </c>
      <c r="AD54" s="31">
        <v>0.08</v>
      </c>
      <c r="AE54" s="146" t="e">
        <f>(AB54*(1+AC54))/($C$1-AD54)</f>
        <v>#DIV/0!</v>
      </c>
    </row>
    <row r="55" spans="2:31" x14ac:dyDescent="0.2">
      <c r="B55" s="20" t="s">
        <v>256</v>
      </c>
      <c r="C55" s="127">
        <f>(C53+C54)</f>
        <v>0</v>
      </c>
      <c r="D55" s="127">
        <f t="shared" ref="D55:P55" si="149">(D53+D54)</f>
        <v>0</v>
      </c>
      <c r="E55" s="127">
        <f t="shared" si="149"/>
        <v>0</v>
      </c>
      <c r="F55" s="144">
        <f t="shared" si="149"/>
        <v>0</v>
      </c>
      <c r="G55" s="144" t="e">
        <f t="shared" si="149"/>
        <v>#DIV/0!</v>
      </c>
      <c r="H55" s="144" t="e">
        <f t="shared" si="149"/>
        <v>#DIV/0!</v>
      </c>
      <c r="I55" s="144">
        <f t="shared" si="149"/>
        <v>1.1868131868131866</v>
      </c>
      <c r="J55" s="144">
        <f t="shared" si="149"/>
        <v>5.0555555555555562</v>
      </c>
      <c r="K55" s="144">
        <f t="shared" si="149"/>
        <v>212.04819277108436</v>
      </c>
      <c r="L55" s="144">
        <f t="shared" si="149"/>
        <v>375</v>
      </c>
      <c r="M55" s="144">
        <f t="shared" si="149"/>
        <v>311.42857142857144</v>
      </c>
      <c r="N55" s="144">
        <f t="shared" si="149"/>
        <v>27.764127764127764</v>
      </c>
      <c r="O55" s="144">
        <f t="shared" ref="O55" si="150">(O53+O54)</f>
        <v>92.150170648464155</v>
      </c>
      <c r="P55" s="144">
        <f t="shared" si="149"/>
        <v>7.0590828924162254</v>
      </c>
      <c r="Q55" s="118" t="e">
        <f>((P55/G55)^(1/($H$2-$H$1) ))-1</f>
        <v>#DIV/0!</v>
      </c>
      <c r="R55" s="128"/>
      <c r="S55" s="158">
        <f t="shared" ref="S55:AB55" si="151">(S53+S54)</f>
        <v>6.4708259847148746</v>
      </c>
      <c r="T55" s="158">
        <f t="shared" si="151"/>
        <v>5.931590485988635</v>
      </c>
      <c r="U55" s="158">
        <f t="shared" si="151"/>
        <v>5.4372912788229169</v>
      </c>
      <c r="V55" s="158">
        <f t="shared" si="151"/>
        <v>4.9841836722543409</v>
      </c>
      <c r="W55" s="158">
        <f t="shared" si="151"/>
        <v>4.5688350328998126</v>
      </c>
      <c r="X55" s="158">
        <f t="shared" si="151"/>
        <v>4.1880987801581622</v>
      </c>
      <c r="Y55" s="158">
        <f t="shared" si="151"/>
        <v>3.8390905484783162</v>
      </c>
      <c r="Z55" s="158">
        <f t="shared" si="151"/>
        <v>3.519166336105124</v>
      </c>
      <c r="AA55" s="158">
        <f t="shared" si="151"/>
        <v>3.2259024747630307</v>
      </c>
      <c r="AB55" s="158">
        <f t="shared" si="151"/>
        <v>2.9570772685327786</v>
      </c>
      <c r="AC55" s="138" t="e">
        <f t="shared" si="132"/>
        <v>#DIV/0!</v>
      </c>
      <c r="AD55" s="31">
        <v>0.08</v>
      </c>
      <c r="AE55" s="146" t="e">
        <f>(AB55*(1+AC55))/($C$1-AD55)</f>
        <v>#DIV/0!</v>
      </c>
    </row>
    <row r="56" spans="2:31" x14ac:dyDescent="0.2">
      <c r="B56" s="20" t="s">
        <v>249</v>
      </c>
      <c r="C56" s="127">
        <f t="shared" ref="C56:P56" si="152">C14/C36</f>
        <v>0</v>
      </c>
      <c r="D56" s="127">
        <f t="shared" si="152"/>
        <v>0</v>
      </c>
      <c r="E56" s="127">
        <f t="shared" si="152"/>
        <v>0</v>
      </c>
      <c r="F56" s="144">
        <f t="shared" si="152"/>
        <v>0</v>
      </c>
      <c r="G56" s="144" t="e">
        <f t="shared" si="152"/>
        <v>#DIV/0!</v>
      </c>
      <c r="H56" s="144" t="e">
        <f t="shared" si="152"/>
        <v>#DIV/0!</v>
      </c>
      <c r="I56" s="144">
        <f t="shared" si="152"/>
        <v>39.194139194139197</v>
      </c>
      <c r="J56" s="144">
        <f t="shared" si="152"/>
        <v>2.5555555555555554</v>
      </c>
      <c r="K56" s="144">
        <f t="shared" si="152"/>
        <v>216.26506024096386</v>
      </c>
      <c r="L56" s="144">
        <f t="shared" si="152"/>
        <v>512.5</v>
      </c>
      <c r="M56" s="144">
        <f t="shared" si="152"/>
        <v>534.28571428571433</v>
      </c>
      <c r="N56" s="144">
        <f t="shared" si="152"/>
        <v>62.530712530712528</v>
      </c>
      <c r="O56" s="144">
        <f t="shared" si="152"/>
        <v>253.24232081911262</v>
      </c>
      <c r="P56" s="144">
        <f t="shared" si="152"/>
        <v>21.56084656084656</v>
      </c>
      <c r="Q56" s="118" t="e">
        <f>((P56/G56)^(1/($H$2-$H$1) ))-1</f>
        <v>#DIV/0!</v>
      </c>
      <c r="R56" s="128"/>
      <c r="S56" s="158">
        <f t="shared" ref="S56:AB56" si="153">S14/S36</f>
        <v>19.764109347442687</v>
      </c>
      <c r="T56" s="158">
        <f t="shared" si="153"/>
        <v>18.117100235155796</v>
      </c>
      <c r="U56" s="158">
        <f t="shared" si="153"/>
        <v>16.607341882226152</v>
      </c>
      <c r="V56" s="158">
        <f t="shared" si="153"/>
        <v>15.223396725373973</v>
      </c>
      <c r="W56" s="158">
        <f t="shared" si="153"/>
        <v>13.95478033159281</v>
      </c>
      <c r="X56" s="158">
        <f t="shared" si="153"/>
        <v>12.791881970626743</v>
      </c>
      <c r="Y56" s="158">
        <f t="shared" si="153"/>
        <v>11.72589180640785</v>
      </c>
      <c r="Z56" s="158">
        <f t="shared" si="153"/>
        <v>10.748734155873866</v>
      </c>
      <c r="AA56" s="158">
        <f t="shared" si="153"/>
        <v>9.8530063095510432</v>
      </c>
      <c r="AB56" s="158">
        <f t="shared" si="153"/>
        <v>9.0319224504217921</v>
      </c>
      <c r="AC56" s="138" t="e">
        <f t="shared" si="132"/>
        <v>#DIV/0!</v>
      </c>
      <c r="AD56" s="31">
        <v>0.08</v>
      </c>
      <c r="AE56" s="146" t="e">
        <f>(AB56*(1+AC56))/($C$1-AD56)</f>
        <v>#DIV/0!</v>
      </c>
    </row>
    <row r="57" spans="2:31" x14ac:dyDescent="0.2">
      <c r="B57" s="20" t="s">
        <v>250</v>
      </c>
      <c r="C57" s="127">
        <f t="shared" ref="C57:P57" si="154">C15/C36</f>
        <v>0</v>
      </c>
      <c r="D57" s="127">
        <f t="shared" si="154"/>
        <v>0</v>
      </c>
      <c r="E57" s="127">
        <f t="shared" si="154"/>
        <v>0</v>
      </c>
      <c r="F57" s="144">
        <f t="shared" si="154"/>
        <v>0</v>
      </c>
      <c r="G57" s="144" t="e">
        <f t="shared" si="154"/>
        <v>#DIV/0!</v>
      </c>
      <c r="H57" s="144" t="e">
        <f t="shared" si="154"/>
        <v>#DIV/0!</v>
      </c>
      <c r="I57" s="144">
        <f t="shared" si="154"/>
        <v>36.630036630036628</v>
      </c>
      <c r="J57" s="144">
        <f t="shared" si="154"/>
        <v>0.46444444444444444</v>
      </c>
      <c r="K57" s="144">
        <f t="shared" si="154"/>
        <v>156.02409638554218</v>
      </c>
      <c r="L57" s="144">
        <f t="shared" si="154"/>
        <v>425</v>
      </c>
      <c r="M57" s="144">
        <f t="shared" si="154"/>
        <v>427.14285714285717</v>
      </c>
      <c r="N57" s="144">
        <f t="shared" si="154"/>
        <v>54.299754299754298</v>
      </c>
      <c r="O57" s="144">
        <f t="shared" si="154"/>
        <v>207.50853242320818</v>
      </c>
      <c r="P57" s="144">
        <f t="shared" si="154"/>
        <v>8.5295414462081123</v>
      </c>
      <c r="Q57" s="118" t="e">
        <f>((P57/G57)^(1/($H$2-$H$1) ))-1</f>
        <v>#DIV/0!</v>
      </c>
      <c r="R57" s="128"/>
      <c r="S57" s="158">
        <f t="shared" ref="S57:AB57" si="155">S15/S36</f>
        <v>7.8187463256907712</v>
      </c>
      <c r="T57" s="158">
        <f t="shared" si="155"/>
        <v>7.1671841318832072</v>
      </c>
      <c r="U57" s="158">
        <f t="shared" si="155"/>
        <v>6.5699187875596072</v>
      </c>
      <c r="V57" s="158">
        <f t="shared" si="155"/>
        <v>6.0224255552629744</v>
      </c>
      <c r="W57" s="158">
        <f t="shared" si="155"/>
        <v>5.5205567589910611</v>
      </c>
      <c r="X57" s="158">
        <f t="shared" si="155"/>
        <v>5.0605103624084729</v>
      </c>
      <c r="Y57" s="158">
        <f t="shared" si="155"/>
        <v>4.6388011655411008</v>
      </c>
      <c r="Z57" s="158">
        <f t="shared" si="155"/>
        <v>4.2522344017460103</v>
      </c>
      <c r="AA57" s="158">
        <f t="shared" si="155"/>
        <v>3.8978815349338429</v>
      </c>
      <c r="AB57" s="158">
        <f t="shared" si="155"/>
        <v>3.5730580736893565</v>
      </c>
      <c r="AC57" s="138" t="e">
        <f t="shared" si="132"/>
        <v>#DIV/0!</v>
      </c>
      <c r="AD57" s="31">
        <v>0.08</v>
      </c>
      <c r="AE57" s="146" t="e">
        <f>(AB57*(1+AC57))/($C$1-AD57)</f>
        <v>#DIV/0!</v>
      </c>
    </row>
    <row r="58" spans="2:31" x14ac:dyDescent="0.2">
      <c r="B58" s="20"/>
      <c r="C58" s="127"/>
      <c r="D58" s="127"/>
      <c r="E58" s="127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28"/>
      <c r="R58" s="128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  <c r="AC58" s="139"/>
      <c r="AD58" s="20"/>
      <c r="AE58" s="155"/>
    </row>
    <row r="59" spans="2:31" x14ac:dyDescent="0.2">
      <c r="B59" s="20" t="s">
        <v>283</v>
      </c>
      <c r="C59" s="160">
        <f>C38</f>
        <v>1</v>
      </c>
      <c r="D59" s="160">
        <f t="shared" ref="D59:P59" si="156">D38</f>
        <v>1</v>
      </c>
      <c r="E59" s="160">
        <f t="shared" si="156"/>
        <v>1</v>
      </c>
      <c r="F59" s="160">
        <f t="shared" si="156"/>
        <v>0</v>
      </c>
      <c r="G59" s="160">
        <f t="shared" si="156"/>
        <v>0.01</v>
      </c>
      <c r="H59" s="160">
        <f t="shared" si="156"/>
        <v>0</v>
      </c>
      <c r="I59" s="160">
        <f t="shared" si="156"/>
        <v>0</v>
      </c>
      <c r="J59" s="160">
        <f t="shared" si="156"/>
        <v>5</v>
      </c>
      <c r="K59" s="160">
        <f t="shared" si="156"/>
        <v>0.4</v>
      </c>
      <c r="L59" s="160">
        <f t="shared" si="156"/>
        <v>0.2</v>
      </c>
      <c r="M59" s="160">
        <f t="shared" si="156"/>
        <v>0.25</v>
      </c>
      <c r="N59" s="160">
        <f t="shared" si="156"/>
        <v>0.3</v>
      </c>
      <c r="O59" s="160">
        <f t="shared" si="156"/>
        <v>0.35</v>
      </c>
      <c r="P59" s="160">
        <f t="shared" si="156"/>
        <v>1</v>
      </c>
      <c r="Q59" s="118">
        <f>((P59/G59)^(1/($H$2-$H$1) ))-1</f>
        <v>0.6681005372000588</v>
      </c>
      <c r="R59" s="128"/>
      <c r="S59" s="161">
        <f t="shared" ref="S59:AB59" si="157">S38</f>
        <v>1.02</v>
      </c>
      <c r="T59" s="161">
        <f t="shared" si="157"/>
        <v>1.0404</v>
      </c>
      <c r="U59" s="161">
        <f t="shared" si="157"/>
        <v>1.0612079999999999</v>
      </c>
      <c r="V59" s="161">
        <f t="shared" si="157"/>
        <v>1.08243216</v>
      </c>
      <c r="W59" s="161">
        <f t="shared" si="157"/>
        <v>1.1040808032</v>
      </c>
      <c r="X59" s="161">
        <f t="shared" si="157"/>
        <v>1.1261624192640001</v>
      </c>
      <c r="Y59" s="161">
        <f t="shared" si="157"/>
        <v>1.14868566764928</v>
      </c>
      <c r="Z59" s="161">
        <f t="shared" si="157"/>
        <v>1.1716593810022657</v>
      </c>
      <c r="AA59" s="161">
        <f t="shared" si="157"/>
        <v>1.1950925686223111</v>
      </c>
      <c r="AB59" s="161">
        <f t="shared" si="157"/>
        <v>1.2189944199947573</v>
      </c>
      <c r="AC59" s="138">
        <f t="shared" ref="AC59" si="158">((AB59/G59)^(1/($AB$3-$H$1) ))-1</f>
        <v>0.28762548595906479</v>
      </c>
      <c r="AD59" s="31">
        <v>0.08</v>
      </c>
      <c r="AE59" s="146">
        <f>(AB59*(1+AC59))/($C$1-AD59)</f>
        <v>11.211487731622412</v>
      </c>
    </row>
    <row r="60" spans="2:31" x14ac:dyDescent="0.2">
      <c r="B60" s="20"/>
      <c r="C60" s="127"/>
      <c r="D60" s="127"/>
      <c r="E60" s="127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28"/>
      <c r="R60" s="128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39"/>
      <c r="AD60" s="20"/>
      <c r="AE60" s="155"/>
    </row>
    <row r="61" spans="2:31" x14ac:dyDescent="0.2">
      <c r="B61" s="20" t="s">
        <v>321</v>
      </c>
      <c r="C61" s="127">
        <f t="shared" ref="C61:G61" si="159">C19+C20</f>
        <v>0</v>
      </c>
      <c r="D61" s="127">
        <f t="shared" si="159"/>
        <v>0</v>
      </c>
      <c r="E61" s="127">
        <f t="shared" si="159"/>
        <v>0</v>
      </c>
      <c r="F61" s="144">
        <f t="shared" si="159"/>
        <v>-3.94</v>
      </c>
      <c r="G61" s="144">
        <f t="shared" si="159"/>
        <v>0</v>
      </c>
      <c r="H61" s="144">
        <f>H19+H20</f>
        <v>0</v>
      </c>
      <c r="I61" s="144">
        <f t="shared" ref="I61:P61" si="160">I19+I20</f>
        <v>0</v>
      </c>
      <c r="J61" s="144">
        <f t="shared" si="160"/>
        <v>0</v>
      </c>
      <c r="K61" s="144">
        <f t="shared" si="160"/>
        <v>0</v>
      </c>
      <c r="L61" s="144">
        <f t="shared" si="160"/>
        <v>0</v>
      </c>
      <c r="M61" s="144">
        <f t="shared" si="160"/>
        <v>0</v>
      </c>
      <c r="N61" s="144">
        <f t="shared" si="160"/>
        <v>0</v>
      </c>
      <c r="O61" s="144">
        <f t="shared" si="160"/>
        <v>0</v>
      </c>
      <c r="P61" s="144">
        <f t="shared" si="160"/>
        <v>0</v>
      </c>
      <c r="Q61" s="118" t="e">
        <f>((P61/G61)^(1/($H$2-$H$1) ))-1</f>
        <v>#DIV/0!</v>
      </c>
      <c r="R61" s="128"/>
      <c r="S61" s="144">
        <f t="shared" ref="S61:AB61" si="161">S19+S20</f>
        <v>0</v>
      </c>
      <c r="T61" s="144">
        <f t="shared" si="161"/>
        <v>0</v>
      </c>
      <c r="U61" s="144">
        <f t="shared" si="161"/>
        <v>0</v>
      </c>
      <c r="V61" s="144">
        <f t="shared" si="161"/>
        <v>0</v>
      </c>
      <c r="W61" s="144">
        <f t="shared" si="161"/>
        <v>0</v>
      </c>
      <c r="X61" s="144">
        <f t="shared" si="161"/>
        <v>0</v>
      </c>
      <c r="Y61" s="144">
        <f t="shared" si="161"/>
        <v>0</v>
      </c>
      <c r="Z61" s="144">
        <f t="shared" si="161"/>
        <v>0</v>
      </c>
      <c r="AA61" s="144">
        <f t="shared" si="161"/>
        <v>0</v>
      </c>
      <c r="AB61" s="144">
        <f t="shared" si="161"/>
        <v>0</v>
      </c>
      <c r="AC61" s="138" t="e">
        <f t="shared" ref="AC61:AC66" si="162">((AB61/G61)^(1/($AB$3-$H$1) ))-1</f>
        <v>#DIV/0!</v>
      </c>
      <c r="AD61" s="31">
        <v>0.08</v>
      </c>
      <c r="AE61" s="146" t="e">
        <f>(AB61*(1+AC61))/($C$1-AD61)</f>
        <v>#DIV/0!</v>
      </c>
    </row>
    <row r="62" spans="2:31" x14ac:dyDescent="0.2">
      <c r="B62" s="20"/>
      <c r="C62" s="127"/>
      <c r="D62" s="127"/>
      <c r="E62" s="127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28"/>
      <c r="R62" s="128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38"/>
      <c r="AD62" s="31"/>
      <c r="AE62" s="146"/>
    </row>
    <row r="63" spans="2:31" x14ac:dyDescent="0.2">
      <c r="B63" s="20" t="s">
        <v>322</v>
      </c>
      <c r="C63" s="127">
        <f t="shared" ref="C63:G63" si="163">C61/C36</f>
        <v>0</v>
      </c>
      <c r="D63" s="127">
        <f t="shared" si="163"/>
        <v>0</v>
      </c>
      <c r="E63" s="127">
        <f t="shared" si="163"/>
        <v>0</v>
      </c>
      <c r="F63" s="144">
        <f t="shared" si="163"/>
        <v>-2.8675400291120812</v>
      </c>
      <c r="G63" s="144" t="e">
        <f t="shared" si="163"/>
        <v>#DIV/0!</v>
      </c>
      <c r="H63" s="144" t="e">
        <f t="shared" ref="H63" si="164">H61/H36</f>
        <v>#DIV/0!</v>
      </c>
      <c r="I63" s="144">
        <f t="shared" ref="I63:P63" si="165">I61/I36</f>
        <v>0</v>
      </c>
      <c r="J63" s="144">
        <f t="shared" si="165"/>
        <v>0</v>
      </c>
      <c r="K63" s="144">
        <f t="shared" si="165"/>
        <v>0</v>
      </c>
      <c r="L63" s="144">
        <f t="shared" si="165"/>
        <v>0</v>
      </c>
      <c r="M63" s="144">
        <f t="shared" si="165"/>
        <v>0</v>
      </c>
      <c r="N63" s="144">
        <f t="shared" si="165"/>
        <v>0</v>
      </c>
      <c r="O63" s="144">
        <f t="shared" si="165"/>
        <v>0</v>
      </c>
      <c r="P63" s="144">
        <f t="shared" si="165"/>
        <v>0</v>
      </c>
      <c r="Q63" s="118" t="e">
        <f>((P63/G63)^(1/($H$2-$H$1) ))-1</f>
        <v>#DIV/0!</v>
      </c>
      <c r="R63" s="128"/>
      <c r="S63" s="146">
        <f t="shared" ref="S63:AB63" si="166">S61/S36</f>
        <v>0</v>
      </c>
      <c r="T63" s="146">
        <f t="shared" si="166"/>
        <v>0</v>
      </c>
      <c r="U63" s="146">
        <f t="shared" si="166"/>
        <v>0</v>
      </c>
      <c r="V63" s="146">
        <f t="shared" si="166"/>
        <v>0</v>
      </c>
      <c r="W63" s="146">
        <f t="shared" si="166"/>
        <v>0</v>
      </c>
      <c r="X63" s="146">
        <f t="shared" si="166"/>
        <v>0</v>
      </c>
      <c r="Y63" s="146">
        <f t="shared" si="166"/>
        <v>0</v>
      </c>
      <c r="Z63" s="146">
        <f t="shared" si="166"/>
        <v>0</v>
      </c>
      <c r="AA63" s="146">
        <f t="shared" si="166"/>
        <v>0</v>
      </c>
      <c r="AB63" s="146">
        <f t="shared" si="166"/>
        <v>0</v>
      </c>
      <c r="AC63" s="138" t="e">
        <f t="shared" si="162"/>
        <v>#DIV/0!</v>
      </c>
      <c r="AD63" s="31">
        <v>0.08</v>
      </c>
      <c r="AE63" s="146" t="e">
        <f>(AB63*(1+AC63))/($C$1-AD63)</f>
        <v>#DIV/0!</v>
      </c>
    </row>
    <row r="64" spans="2:31" x14ac:dyDescent="0.2">
      <c r="B64" s="20" t="s">
        <v>288</v>
      </c>
      <c r="C64" s="127">
        <f t="shared" ref="C64:P64" si="167">C19/C36</f>
        <v>0</v>
      </c>
      <c r="D64" s="127">
        <f t="shared" si="167"/>
        <v>0</v>
      </c>
      <c r="E64" s="127">
        <f t="shared" si="167"/>
        <v>0</v>
      </c>
      <c r="F64" s="144">
        <f t="shared" si="167"/>
        <v>0.58951965065502188</v>
      </c>
      <c r="G64" s="144" t="e">
        <f t="shared" si="167"/>
        <v>#DIV/0!</v>
      </c>
      <c r="H64" s="144" t="e">
        <f t="shared" si="167"/>
        <v>#DIV/0!</v>
      </c>
      <c r="I64" s="144">
        <f t="shared" si="167"/>
        <v>0</v>
      </c>
      <c r="J64" s="144">
        <f t="shared" si="167"/>
        <v>0</v>
      </c>
      <c r="K64" s="144">
        <f t="shared" si="167"/>
        <v>0</v>
      </c>
      <c r="L64" s="144">
        <f t="shared" si="167"/>
        <v>0</v>
      </c>
      <c r="M64" s="144">
        <f t="shared" si="167"/>
        <v>0</v>
      </c>
      <c r="N64" s="144">
        <f t="shared" si="167"/>
        <v>0</v>
      </c>
      <c r="O64" s="144">
        <f t="shared" si="167"/>
        <v>0</v>
      </c>
      <c r="P64" s="144">
        <f t="shared" si="167"/>
        <v>0</v>
      </c>
      <c r="Q64" s="118" t="e">
        <f>((P64/G64)^(1/($H$2-$H$1) ))-1</f>
        <v>#DIV/0!</v>
      </c>
      <c r="R64" s="128"/>
      <c r="S64" s="146">
        <f t="shared" ref="S64:AB64" si="168">S19/S36</f>
        <v>0</v>
      </c>
      <c r="T64" s="146">
        <f t="shared" si="168"/>
        <v>0</v>
      </c>
      <c r="U64" s="146">
        <f t="shared" si="168"/>
        <v>0</v>
      </c>
      <c r="V64" s="146">
        <f t="shared" si="168"/>
        <v>0</v>
      </c>
      <c r="W64" s="146">
        <f t="shared" si="168"/>
        <v>0</v>
      </c>
      <c r="X64" s="146">
        <f t="shared" si="168"/>
        <v>0</v>
      </c>
      <c r="Y64" s="146">
        <f t="shared" si="168"/>
        <v>0</v>
      </c>
      <c r="Z64" s="146">
        <f t="shared" si="168"/>
        <v>0</v>
      </c>
      <c r="AA64" s="146">
        <f t="shared" si="168"/>
        <v>0</v>
      </c>
      <c r="AB64" s="146">
        <f t="shared" si="168"/>
        <v>0</v>
      </c>
      <c r="AC64" s="138" t="e">
        <f t="shared" si="162"/>
        <v>#DIV/0!</v>
      </c>
      <c r="AD64" s="31">
        <v>0.08</v>
      </c>
      <c r="AE64" s="146" t="e">
        <f>(AB64*(1+AC64))/($C$1-AD64)</f>
        <v>#DIV/0!</v>
      </c>
    </row>
    <row r="65" spans="2:31" x14ac:dyDescent="0.2">
      <c r="B65" s="20" t="s">
        <v>289</v>
      </c>
      <c r="C65" s="127">
        <f t="shared" ref="C65:P65" si="169">C20/C36</f>
        <v>0</v>
      </c>
      <c r="D65" s="127">
        <f t="shared" si="169"/>
        <v>0</v>
      </c>
      <c r="E65" s="127">
        <f t="shared" si="169"/>
        <v>0</v>
      </c>
      <c r="F65" s="144">
        <f t="shared" si="169"/>
        <v>-3.4570596797671032</v>
      </c>
      <c r="G65" s="144" t="e">
        <f t="shared" si="169"/>
        <v>#DIV/0!</v>
      </c>
      <c r="H65" s="144" t="e">
        <f t="shared" si="169"/>
        <v>#DIV/0!</v>
      </c>
      <c r="I65" s="144">
        <f t="shared" si="169"/>
        <v>0</v>
      </c>
      <c r="J65" s="144">
        <f t="shared" si="169"/>
        <v>0</v>
      </c>
      <c r="K65" s="144">
        <f t="shared" si="169"/>
        <v>0</v>
      </c>
      <c r="L65" s="144">
        <f t="shared" si="169"/>
        <v>0</v>
      </c>
      <c r="M65" s="144">
        <f t="shared" si="169"/>
        <v>0</v>
      </c>
      <c r="N65" s="144">
        <f t="shared" si="169"/>
        <v>0</v>
      </c>
      <c r="O65" s="144">
        <f t="shared" si="169"/>
        <v>0</v>
      </c>
      <c r="P65" s="144">
        <f t="shared" si="169"/>
        <v>0</v>
      </c>
      <c r="Q65" s="118" t="e">
        <f>((P65/G65)^(1/($H$2-$H$1) ))-1</f>
        <v>#DIV/0!</v>
      </c>
      <c r="R65" s="128"/>
      <c r="S65" s="146">
        <f t="shared" ref="S65:AB65" si="170">S20/S36</f>
        <v>0</v>
      </c>
      <c r="T65" s="146">
        <f t="shared" si="170"/>
        <v>0</v>
      </c>
      <c r="U65" s="146">
        <f t="shared" si="170"/>
        <v>0</v>
      </c>
      <c r="V65" s="146">
        <f t="shared" si="170"/>
        <v>0</v>
      </c>
      <c r="W65" s="146">
        <f t="shared" si="170"/>
        <v>0</v>
      </c>
      <c r="X65" s="146">
        <f t="shared" si="170"/>
        <v>0</v>
      </c>
      <c r="Y65" s="146">
        <f t="shared" si="170"/>
        <v>0</v>
      </c>
      <c r="Z65" s="146">
        <f t="shared" si="170"/>
        <v>0</v>
      </c>
      <c r="AA65" s="146">
        <f t="shared" si="170"/>
        <v>0</v>
      </c>
      <c r="AB65" s="146">
        <f t="shared" si="170"/>
        <v>0</v>
      </c>
      <c r="AC65" s="138" t="e">
        <f t="shared" si="162"/>
        <v>#DIV/0!</v>
      </c>
      <c r="AD65" s="31">
        <v>0.08</v>
      </c>
      <c r="AE65" s="146" t="e">
        <f>(AB65*(1+AC65))/($C$1-AD65)</f>
        <v>#DIV/0!</v>
      </c>
    </row>
    <row r="66" spans="2:31" x14ac:dyDescent="0.2">
      <c r="B66" s="20" t="s">
        <v>290</v>
      </c>
      <c r="C66" s="127">
        <f t="shared" ref="C66:P66" si="171">C21/C36</f>
        <v>0</v>
      </c>
      <c r="D66" s="127">
        <f t="shared" si="171"/>
        <v>0</v>
      </c>
      <c r="E66" s="127">
        <f t="shared" si="171"/>
        <v>0</v>
      </c>
      <c r="F66" s="144">
        <f t="shared" si="171"/>
        <v>6.4264919941775833</v>
      </c>
      <c r="G66" s="144" t="e">
        <f t="shared" si="171"/>
        <v>#DIV/0!</v>
      </c>
      <c r="H66" s="144" t="e">
        <f t="shared" si="171"/>
        <v>#DIV/0!</v>
      </c>
      <c r="I66" s="144">
        <f t="shared" si="171"/>
        <v>0</v>
      </c>
      <c r="J66" s="144">
        <f t="shared" si="171"/>
        <v>0</v>
      </c>
      <c r="K66" s="144">
        <f t="shared" si="171"/>
        <v>0</v>
      </c>
      <c r="L66" s="144">
        <f t="shared" si="171"/>
        <v>0</v>
      </c>
      <c r="M66" s="144">
        <f t="shared" si="171"/>
        <v>0</v>
      </c>
      <c r="N66" s="144">
        <f t="shared" si="171"/>
        <v>0</v>
      </c>
      <c r="O66" s="144">
        <f t="shared" si="171"/>
        <v>0</v>
      </c>
      <c r="P66" s="144">
        <f t="shared" si="171"/>
        <v>0</v>
      </c>
      <c r="Q66" s="118" t="e">
        <f>((P66/G66)^(1/($H$2-$H$1) ))-1</f>
        <v>#DIV/0!</v>
      </c>
      <c r="R66" s="128"/>
      <c r="S66" s="146">
        <f t="shared" ref="S66:AB66" si="172">S21/S36</f>
        <v>0</v>
      </c>
      <c r="T66" s="146">
        <f t="shared" si="172"/>
        <v>0</v>
      </c>
      <c r="U66" s="146">
        <f t="shared" si="172"/>
        <v>0</v>
      </c>
      <c r="V66" s="146">
        <f t="shared" si="172"/>
        <v>0</v>
      </c>
      <c r="W66" s="146">
        <f t="shared" si="172"/>
        <v>0</v>
      </c>
      <c r="X66" s="146">
        <f t="shared" si="172"/>
        <v>0</v>
      </c>
      <c r="Y66" s="146">
        <f t="shared" si="172"/>
        <v>0</v>
      </c>
      <c r="Z66" s="146">
        <f t="shared" si="172"/>
        <v>0</v>
      </c>
      <c r="AA66" s="146">
        <f t="shared" si="172"/>
        <v>0</v>
      </c>
      <c r="AB66" s="146">
        <f t="shared" si="172"/>
        <v>0</v>
      </c>
      <c r="AC66" s="138" t="e">
        <f t="shared" si="162"/>
        <v>#DIV/0!</v>
      </c>
      <c r="AD66" s="31">
        <v>0.08</v>
      </c>
      <c r="AE66" s="146" t="e">
        <f>(AB66*(1+AC66))/($C$1-AD66)</f>
        <v>#DIV/0!</v>
      </c>
    </row>
    <row r="67" spans="2:31" x14ac:dyDescent="0.2">
      <c r="B67" s="20" t="s">
        <v>297</v>
      </c>
      <c r="C67" s="127">
        <f t="shared" ref="C67:P67" si="173">C22/C36</f>
        <v>0</v>
      </c>
      <c r="D67" s="127">
        <f t="shared" si="173"/>
        <v>0</v>
      </c>
      <c r="E67" s="127">
        <f t="shared" si="173"/>
        <v>0</v>
      </c>
      <c r="F67" s="144">
        <f t="shared" si="173"/>
        <v>3.8355167394468697</v>
      </c>
      <c r="G67" s="144" t="e">
        <f t="shared" si="173"/>
        <v>#DIV/0!</v>
      </c>
      <c r="H67" s="144" t="e">
        <f t="shared" si="173"/>
        <v>#DIV/0!</v>
      </c>
      <c r="I67" s="144">
        <f t="shared" si="173"/>
        <v>0</v>
      </c>
      <c r="J67" s="144">
        <f t="shared" si="173"/>
        <v>0</v>
      </c>
      <c r="K67" s="144">
        <f t="shared" si="173"/>
        <v>0</v>
      </c>
      <c r="L67" s="144">
        <f t="shared" si="173"/>
        <v>0</v>
      </c>
      <c r="M67" s="144">
        <f t="shared" si="173"/>
        <v>0</v>
      </c>
      <c r="N67" s="144">
        <f t="shared" si="173"/>
        <v>0</v>
      </c>
      <c r="O67" s="144">
        <f t="shared" si="173"/>
        <v>0</v>
      </c>
      <c r="P67" s="144">
        <f t="shared" si="173"/>
        <v>0</v>
      </c>
      <c r="Q67" s="118" t="e">
        <f>((P67/G67)^(1/($H$2-$H$1) ))-1</f>
        <v>#DIV/0!</v>
      </c>
      <c r="R67" s="128"/>
      <c r="S67" s="146">
        <f t="shared" ref="S67:AB67" si="174">S22/S36</f>
        <v>0</v>
      </c>
      <c r="T67" s="146">
        <f t="shared" si="174"/>
        <v>0</v>
      </c>
      <c r="U67" s="146">
        <f t="shared" si="174"/>
        <v>0</v>
      </c>
      <c r="V67" s="146">
        <f t="shared" si="174"/>
        <v>0</v>
      </c>
      <c r="W67" s="146">
        <f t="shared" si="174"/>
        <v>0</v>
      </c>
      <c r="X67" s="146">
        <f t="shared" si="174"/>
        <v>0</v>
      </c>
      <c r="Y67" s="146">
        <f t="shared" si="174"/>
        <v>0</v>
      </c>
      <c r="Z67" s="146">
        <f t="shared" si="174"/>
        <v>0</v>
      </c>
      <c r="AA67" s="146">
        <f t="shared" si="174"/>
        <v>0</v>
      </c>
      <c r="AB67" s="146">
        <f t="shared" si="174"/>
        <v>0</v>
      </c>
      <c r="AC67" s="138" t="e">
        <f t="shared" ref="AC67" si="175">((AB67/G67)^(1/($AB$3-$H$1) ))-1</f>
        <v>#DIV/0!</v>
      </c>
      <c r="AD67" s="31">
        <v>0.08</v>
      </c>
      <c r="AE67" s="146" t="e">
        <f>(AB67*(1+AC67))/($C$1-AD67)</f>
        <v>#DIV/0!</v>
      </c>
    </row>
    <row r="68" spans="2:31" x14ac:dyDescent="0.2">
      <c r="B68" s="20"/>
      <c r="C68" s="127"/>
      <c r="D68" s="127"/>
      <c r="E68" s="127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28"/>
      <c r="R68" s="128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39"/>
      <c r="AD68" s="20"/>
      <c r="AE68" s="155"/>
    </row>
    <row r="69" spans="2:31" x14ac:dyDescent="0.2">
      <c r="B69" s="20" t="s">
        <v>315</v>
      </c>
      <c r="C69" s="144">
        <f t="shared" ref="C69:O69" si="176">C32/C36</f>
        <v>0</v>
      </c>
      <c r="D69" s="144">
        <f t="shared" si="176"/>
        <v>0</v>
      </c>
      <c r="E69" s="144">
        <f t="shared" si="176"/>
        <v>0</v>
      </c>
      <c r="F69" s="144">
        <f t="shared" si="176"/>
        <v>0</v>
      </c>
      <c r="G69" s="144" t="e">
        <f t="shared" si="176"/>
        <v>#DIV/0!</v>
      </c>
      <c r="H69" s="144" t="e">
        <f t="shared" si="176"/>
        <v>#DIV/0!</v>
      </c>
      <c r="I69" s="144">
        <f t="shared" si="176"/>
        <v>-4.0293040293040292</v>
      </c>
      <c r="J69" s="144">
        <f t="shared" si="176"/>
        <v>1.2777777777777777</v>
      </c>
      <c r="K69" s="144">
        <f t="shared" si="176"/>
        <v>28.313253012048193</v>
      </c>
      <c r="L69" s="144">
        <f t="shared" si="176"/>
        <v>67.1875</v>
      </c>
      <c r="M69" s="144">
        <f t="shared" si="176"/>
        <v>68.571428571428569</v>
      </c>
      <c r="N69" s="144">
        <f t="shared" si="176"/>
        <v>22.972972972972972</v>
      </c>
      <c r="O69" s="144">
        <f t="shared" si="176"/>
        <v>34.129692832764505</v>
      </c>
      <c r="P69" s="144">
        <f>P32/P36</f>
        <v>4.1988536155202825</v>
      </c>
      <c r="Q69" s="118" t="e">
        <f>((P69/G69)^(1/($H$2-$H$1) ))-1</f>
        <v>#DIV/0!</v>
      </c>
      <c r="R69" s="128"/>
      <c r="S69" s="144">
        <f>S32/S36</f>
        <v>3.8489491475602597</v>
      </c>
      <c r="T69" s="144">
        <f t="shared" ref="T69:AB69" si="177">T32/T36</f>
        <v>3.5282033852635712</v>
      </c>
      <c r="U69" s="144">
        <f t="shared" si="177"/>
        <v>3.2341864364916075</v>
      </c>
      <c r="V69" s="144">
        <f t="shared" si="177"/>
        <v>2.9646709001173077</v>
      </c>
      <c r="W69" s="144">
        <f t="shared" si="177"/>
        <v>2.717614991774199</v>
      </c>
      <c r="X69" s="144">
        <f t="shared" si="177"/>
        <v>2.4911470757930161</v>
      </c>
      <c r="Y69" s="144">
        <f t="shared" si="177"/>
        <v>2.2835514861435984</v>
      </c>
      <c r="Z69" s="144">
        <f t="shared" si="177"/>
        <v>2.0932555289649657</v>
      </c>
      <c r="AA69" s="144">
        <f t="shared" si="177"/>
        <v>1.9188175682178854</v>
      </c>
      <c r="AB69" s="144">
        <f t="shared" si="177"/>
        <v>1.7589161041997285</v>
      </c>
      <c r="AC69" s="138" t="e">
        <f t="shared" ref="AC69:AC71" si="178">((AB69/G69)^(1/($AB$3-$H$1) ))-1</f>
        <v>#DIV/0!</v>
      </c>
      <c r="AD69" s="31">
        <v>0.08</v>
      </c>
      <c r="AE69" s="146" t="e">
        <f>(AB69*(1+AC69))/($C$1-AD69)</f>
        <v>#DIV/0!</v>
      </c>
    </row>
    <row r="70" spans="2:31" x14ac:dyDescent="0.2">
      <c r="B70" s="20" t="s">
        <v>316</v>
      </c>
      <c r="C70" s="144">
        <f t="shared" ref="C70:O70" si="179">C34/C36</f>
        <v>0</v>
      </c>
      <c r="D70" s="144">
        <f t="shared" si="179"/>
        <v>0</v>
      </c>
      <c r="E70" s="144">
        <f t="shared" si="179"/>
        <v>0</v>
      </c>
      <c r="F70" s="144">
        <f t="shared" si="179"/>
        <v>0</v>
      </c>
      <c r="G70" s="144" t="e">
        <f t="shared" si="179"/>
        <v>#DIV/0!</v>
      </c>
      <c r="H70" s="144" t="e">
        <f t="shared" si="179"/>
        <v>#DIV/0!</v>
      </c>
      <c r="I70" s="144">
        <f t="shared" si="179"/>
        <v>1.098901098901099</v>
      </c>
      <c r="J70" s="144">
        <f t="shared" si="179"/>
        <v>1.1111111111111112</v>
      </c>
      <c r="K70" s="144">
        <f t="shared" si="179"/>
        <v>13.855421686746988</v>
      </c>
      <c r="L70" s="144">
        <f t="shared" si="179"/>
        <v>15.625</v>
      </c>
      <c r="M70" s="144">
        <f t="shared" si="179"/>
        <v>18.571428571428573</v>
      </c>
      <c r="N70" s="144">
        <f t="shared" si="179"/>
        <v>20.27027027027027</v>
      </c>
      <c r="O70" s="144">
        <f t="shared" si="179"/>
        <v>22.866894197952217</v>
      </c>
      <c r="P70" s="144">
        <f>P34/P36</f>
        <v>2.2469135802469138</v>
      </c>
      <c r="Q70" s="118" t="e">
        <f>((P70/G70)^(1/($H$2-$H$1) ))-1</f>
        <v>#DIV/0!</v>
      </c>
      <c r="R70" s="128"/>
      <c r="S70" s="144">
        <f>S34/S36</f>
        <v>2.0596707818930047</v>
      </c>
      <c r="T70" s="144">
        <f t="shared" ref="T70:AB70" si="180">T34/T36</f>
        <v>1.8880315500685874</v>
      </c>
      <c r="U70" s="144">
        <f t="shared" si="180"/>
        <v>1.730695587562872</v>
      </c>
      <c r="V70" s="144">
        <f t="shared" si="180"/>
        <v>1.5864709552659664</v>
      </c>
      <c r="W70" s="144">
        <f t="shared" si="180"/>
        <v>1.4542650423271362</v>
      </c>
      <c r="X70" s="144">
        <f t="shared" si="180"/>
        <v>1.3330762887998751</v>
      </c>
      <c r="Y70" s="144">
        <f t="shared" si="180"/>
        <v>1.2219865980665523</v>
      </c>
      <c r="Z70" s="144">
        <f t="shared" si="180"/>
        <v>1.1201543815610064</v>
      </c>
      <c r="AA70" s="144">
        <f t="shared" si="180"/>
        <v>1.0268081830975895</v>
      </c>
      <c r="AB70" s="144">
        <f t="shared" si="180"/>
        <v>0.94124083450612372</v>
      </c>
      <c r="AC70" s="138" t="e">
        <f t="shared" si="178"/>
        <v>#DIV/0!</v>
      </c>
      <c r="AD70" s="31">
        <v>0.08</v>
      </c>
      <c r="AE70" s="146" t="e">
        <f>(AB70*(1+AC70))/($C$1-AD70)</f>
        <v>#DIV/0!</v>
      </c>
    </row>
    <row r="71" spans="2:31" x14ac:dyDescent="0.2">
      <c r="B71" s="20" t="s">
        <v>317</v>
      </c>
      <c r="C71" s="144">
        <f t="shared" ref="C71:O71" si="181">C6/C36</f>
        <v>0</v>
      </c>
      <c r="D71" s="144">
        <f t="shared" si="181"/>
        <v>0</v>
      </c>
      <c r="E71" s="144">
        <f t="shared" si="181"/>
        <v>0</v>
      </c>
      <c r="F71" s="144">
        <f t="shared" si="181"/>
        <v>0</v>
      </c>
      <c r="G71" s="144" t="e">
        <f t="shared" si="181"/>
        <v>#DIV/0!</v>
      </c>
      <c r="H71" s="144" t="e">
        <f t="shared" si="181"/>
        <v>#DIV/0!</v>
      </c>
      <c r="I71" s="144">
        <f t="shared" si="181"/>
        <v>6.2234432234432226</v>
      </c>
      <c r="J71" s="144">
        <f t="shared" si="181"/>
        <v>1.1666666666666667</v>
      </c>
      <c r="K71" s="144">
        <f t="shared" si="181"/>
        <v>118.07228915662651</v>
      </c>
      <c r="L71" s="144">
        <f t="shared" si="181"/>
        <v>309.375</v>
      </c>
      <c r="M71" s="144">
        <f t="shared" si="181"/>
        <v>378.57142857142861</v>
      </c>
      <c r="N71" s="144">
        <f t="shared" si="181"/>
        <v>68.427518427518422</v>
      </c>
      <c r="O71" s="144">
        <f t="shared" si="181"/>
        <v>244.7098976109215</v>
      </c>
      <c r="P71" s="144">
        <f>P6/P36</f>
        <v>33.100088183421519</v>
      </c>
      <c r="Q71" s="118" t="e">
        <f>((P71/G71)^(1/($H$2-$H$1) ))-1</f>
        <v>#DIV/0!</v>
      </c>
      <c r="R71" s="128"/>
      <c r="S71" s="144">
        <f>S6/S36</f>
        <v>30.34174750146973</v>
      </c>
      <c r="T71" s="144">
        <f t="shared" ref="T71:AB71" si="182">T6/T36</f>
        <v>27.813268543013919</v>
      </c>
      <c r="U71" s="144">
        <f t="shared" si="182"/>
        <v>25.495496164429429</v>
      </c>
      <c r="V71" s="144">
        <f t="shared" si="182"/>
        <v>23.370871484060316</v>
      </c>
      <c r="W71" s="144">
        <f t="shared" si="182"/>
        <v>21.423298860388627</v>
      </c>
      <c r="X71" s="144">
        <f t="shared" si="182"/>
        <v>19.638023955356246</v>
      </c>
      <c r="Y71" s="144">
        <f t="shared" si="182"/>
        <v>18.001521959076562</v>
      </c>
      <c r="Z71" s="144">
        <f t="shared" si="182"/>
        <v>16.501395129153519</v>
      </c>
      <c r="AA71" s="144">
        <f t="shared" si="182"/>
        <v>15.126278868390727</v>
      </c>
      <c r="AB71" s="144">
        <f t="shared" si="182"/>
        <v>13.865755629358167</v>
      </c>
      <c r="AC71" s="138" t="e">
        <f t="shared" si="178"/>
        <v>#DIV/0!</v>
      </c>
      <c r="AD71" s="31">
        <v>0.08</v>
      </c>
      <c r="AE71" s="146" t="e">
        <f>(AB71*(1+AC71))/($C$1-AD71)</f>
        <v>#DIV/0!</v>
      </c>
    </row>
    <row r="72" spans="2:31" x14ac:dyDescent="0.2">
      <c r="B72" s="20"/>
      <c r="C72" s="127"/>
      <c r="D72" s="127"/>
      <c r="E72" s="127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28"/>
      <c r="R72" s="128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39"/>
      <c r="AD72" s="20"/>
      <c r="AE72" s="155"/>
    </row>
    <row r="73" spans="2:31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28"/>
      <c r="R73" s="128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39"/>
      <c r="AD73" s="20"/>
      <c r="AE73" s="155"/>
    </row>
    <row r="74" spans="2:31" x14ac:dyDescent="0.2">
      <c r="B74" s="108" t="s">
        <v>314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</row>
    <row r="75" spans="2:31" x14ac:dyDescent="0.2">
      <c r="B75" s="20" t="s">
        <v>312</v>
      </c>
      <c r="C75" s="153" t="e">
        <f t="shared" ref="C75:O75" si="183">C32/C24</f>
        <v>#DIV/0!</v>
      </c>
      <c r="D75" s="153" t="e">
        <f t="shared" si="183"/>
        <v>#DIV/0!</v>
      </c>
      <c r="E75" s="153" t="e">
        <f t="shared" si="183"/>
        <v>#DIV/0!</v>
      </c>
      <c r="F75" s="153">
        <f t="shared" si="183"/>
        <v>0</v>
      </c>
      <c r="G75" s="153">
        <f t="shared" si="183"/>
        <v>0</v>
      </c>
      <c r="H75" s="153">
        <f t="shared" si="183"/>
        <v>0</v>
      </c>
      <c r="I75" s="153">
        <f t="shared" si="183"/>
        <v>-0.20370370370370369</v>
      </c>
      <c r="J75" s="153">
        <f t="shared" si="183"/>
        <v>0.56097560975609762</v>
      </c>
      <c r="K75" s="153">
        <f t="shared" si="183"/>
        <v>0.43518518518518517</v>
      </c>
      <c r="L75" s="153">
        <f t="shared" si="183"/>
        <v>0.38738738738738737</v>
      </c>
      <c r="M75" s="153">
        <f t="shared" si="183"/>
        <v>0.33333333333333331</v>
      </c>
      <c r="N75" s="153">
        <f t="shared" si="183"/>
        <v>0.49210526315789471</v>
      </c>
      <c r="O75" s="153">
        <f t="shared" si="183"/>
        <v>0.26455026455026454</v>
      </c>
      <c r="P75" s="153">
        <f>P32/P24</f>
        <v>0.22385989656793609</v>
      </c>
      <c r="Q75" s="118" t="e">
        <f>((P75/G75)^(1/($H$2-$H$1) ))-1</f>
        <v>#DIV/0!</v>
      </c>
      <c r="R75" s="153"/>
      <c r="S75" s="153">
        <f>S32/S24</f>
        <v>0.22385989656793609</v>
      </c>
      <c r="T75" s="153">
        <f t="shared" ref="T75:AB75" si="184">T32/T24</f>
        <v>0.22385989656793609</v>
      </c>
      <c r="U75" s="153">
        <f t="shared" si="184"/>
        <v>0.22385989656793606</v>
      </c>
      <c r="V75" s="153">
        <f t="shared" si="184"/>
        <v>0.22385989656793609</v>
      </c>
      <c r="W75" s="153">
        <f t="shared" si="184"/>
        <v>0.22385989656793609</v>
      </c>
      <c r="X75" s="153">
        <f t="shared" si="184"/>
        <v>0.22385989656793612</v>
      </c>
      <c r="Y75" s="153">
        <f t="shared" si="184"/>
        <v>0.22385989656793612</v>
      </c>
      <c r="Z75" s="153">
        <f t="shared" si="184"/>
        <v>0.22385989656793612</v>
      </c>
      <c r="AA75" s="153">
        <f t="shared" si="184"/>
        <v>0.22385989656793609</v>
      </c>
      <c r="AB75" s="153">
        <f t="shared" si="184"/>
        <v>0.22385989656793609</v>
      </c>
      <c r="AC75" s="138" t="e">
        <f t="shared" ref="AC75:AC77" si="185">((AB75/G75)^(1/($AB$3-$H$1) ))-1</f>
        <v>#DIV/0!</v>
      </c>
      <c r="AD75" s="146"/>
      <c r="AE75" s="146"/>
    </row>
    <row r="76" spans="2:31" x14ac:dyDescent="0.2">
      <c r="B76" s="20" t="s">
        <v>267</v>
      </c>
      <c r="C76" s="153" t="e">
        <f t="shared" ref="C76:O76" si="186">C34/C24</f>
        <v>#DIV/0!</v>
      </c>
      <c r="D76" s="153" t="e">
        <f t="shared" si="186"/>
        <v>#DIV/0!</v>
      </c>
      <c r="E76" s="153" t="e">
        <f t="shared" si="186"/>
        <v>#DIV/0!</v>
      </c>
      <c r="F76" s="153">
        <f t="shared" si="186"/>
        <v>0</v>
      </c>
      <c r="G76" s="153">
        <f t="shared" si="186"/>
        <v>0</v>
      </c>
      <c r="H76" s="153">
        <f t="shared" si="186"/>
        <v>0</v>
      </c>
      <c r="I76" s="153">
        <f t="shared" si="186"/>
        <v>5.5555555555555552E-2</v>
      </c>
      <c r="J76" s="153">
        <f t="shared" si="186"/>
        <v>0.48780487804878048</v>
      </c>
      <c r="K76" s="153">
        <f t="shared" si="186"/>
        <v>0.21296296296296297</v>
      </c>
      <c r="L76" s="153">
        <f t="shared" si="186"/>
        <v>9.0090090090090086E-2</v>
      </c>
      <c r="M76" s="153">
        <f t="shared" si="186"/>
        <v>9.0277777777777776E-2</v>
      </c>
      <c r="N76" s="153">
        <f t="shared" si="186"/>
        <v>0.43421052631578949</v>
      </c>
      <c r="O76" s="153">
        <f t="shared" si="186"/>
        <v>0.17724867724867724</v>
      </c>
      <c r="P76" s="153">
        <f>P34/P24</f>
        <v>0.11979313587212037</v>
      </c>
      <c r="Q76" s="118" t="e">
        <f>((P76/G76)^(1/($H$2-$H$1) ))-1</f>
        <v>#DIV/0!</v>
      </c>
      <c r="R76" s="153"/>
      <c r="S76" s="153">
        <f>S34/S24</f>
        <v>0.11979313587212037</v>
      </c>
      <c r="T76" s="153">
        <f t="shared" ref="T76:AB76" si="187">T34/T24</f>
        <v>0.11979313587212036</v>
      </c>
      <c r="U76" s="153">
        <f t="shared" si="187"/>
        <v>0.11979313587212036</v>
      </c>
      <c r="V76" s="153">
        <f t="shared" si="187"/>
        <v>0.11979313587212036</v>
      </c>
      <c r="W76" s="153">
        <f t="shared" si="187"/>
        <v>0.11979313587212037</v>
      </c>
      <c r="X76" s="153">
        <f t="shared" si="187"/>
        <v>0.11979313587212038</v>
      </c>
      <c r="Y76" s="153">
        <f t="shared" si="187"/>
        <v>0.11979313587212038</v>
      </c>
      <c r="Z76" s="153">
        <f t="shared" si="187"/>
        <v>0.11979313587212037</v>
      </c>
      <c r="AA76" s="153">
        <f t="shared" si="187"/>
        <v>0.11979313587212037</v>
      </c>
      <c r="AB76" s="153">
        <f t="shared" si="187"/>
        <v>0.11979313587212037</v>
      </c>
      <c r="AC76" s="138" t="e">
        <f t="shared" si="185"/>
        <v>#DIV/0!</v>
      </c>
      <c r="AD76" s="146"/>
      <c r="AE76" s="146"/>
    </row>
    <row r="77" spans="2:31" x14ac:dyDescent="0.2">
      <c r="B77" s="20" t="s">
        <v>313</v>
      </c>
      <c r="C77" s="153" t="e">
        <f t="shared" ref="C77:O77" si="188">C34/C7</f>
        <v>#DIV/0!</v>
      </c>
      <c r="D77" s="153" t="e">
        <f t="shared" si="188"/>
        <v>#DIV/0!</v>
      </c>
      <c r="E77" s="153" t="e">
        <f t="shared" si="188"/>
        <v>#DIV/0!</v>
      </c>
      <c r="F77" s="153" t="e">
        <f t="shared" si="188"/>
        <v>#DIV/0!</v>
      </c>
      <c r="G77" s="153">
        <f t="shared" si="188"/>
        <v>0</v>
      </c>
      <c r="H77" s="153" t="e">
        <f t="shared" si="188"/>
        <v>#DIV/0!</v>
      </c>
      <c r="I77" s="153">
        <f t="shared" si="188"/>
        <v>7.3818897637795269E-2</v>
      </c>
      <c r="J77" s="153">
        <f t="shared" si="188"/>
        <v>0.46511627906976744</v>
      </c>
      <c r="K77" s="153">
        <f t="shared" si="188"/>
        <v>0.10087719298245613</v>
      </c>
      <c r="L77" s="153">
        <f t="shared" si="188"/>
        <v>3.0769230769230771E-2</v>
      </c>
      <c r="M77" s="153">
        <f t="shared" si="188"/>
        <v>4.8148148148148148E-2</v>
      </c>
      <c r="N77" s="153">
        <f t="shared" si="188"/>
        <v>0.81683168316831678</v>
      </c>
      <c r="O77" s="153">
        <f t="shared" si="188"/>
        <v>0.15617715617715619</v>
      </c>
      <c r="P77" s="153">
        <f>P34/P7</f>
        <v>6.5907915157785824E-2</v>
      </c>
      <c r="Q77" s="118" t="e">
        <f>((P77/G77)^(1/($H$2-$H$1) ))-1</f>
        <v>#DIV/0!</v>
      </c>
      <c r="R77" s="20"/>
      <c r="S77" s="153">
        <f>S34/S7</f>
        <v>6.5907915157785824E-2</v>
      </c>
      <c r="T77" s="153">
        <f t="shared" ref="T77:AB77" si="189">T34/T7</f>
        <v>6.590791515778581E-2</v>
      </c>
      <c r="U77" s="153">
        <f t="shared" si="189"/>
        <v>6.5907915157785824E-2</v>
      </c>
      <c r="V77" s="153">
        <f t="shared" si="189"/>
        <v>6.590791515778581E-2</v>
      </c>
      <c r="W77" s="153">
        <f t="shared" si="189"/>
        <v>6.5907915157785824E-2</v>
      </c>
      <c r="X77" s="153">
        <f t="shared" si="189"/>
        <v>6.5907915157785824E-2</v>
      </c>
      <c r="Y77" s="153">
        <f t="shared" si="189"/>
        <v>6.5907915157785824E-2</v>
      </c>
      <c r="Z77" s="153">
        <f t="shared" si="189"/>
        <v>6.5907915157785824E-2</v>
      </c>
      <c r="AA77" s="153">
        <f t="shared" si="189"/>
        <v>6.5907915157785824E-2</v>
      </c>
      <c r="AB77" s="153">
        <f t="shared" si="189"/>
        <v>6.5907915157785824E-2</v>
      </c>
      <c r="AC77" s="138" t="e">
        <f t="shared" si="185"/>
        <v>#DIV/0!</v>
      </c>
      <c r="AD77" s="146"/>
      <c r="AE77" s="146"/>
    </row>
    <row r="78" spans="2:31" x14ac:dyDescent="0.2">
      <c r="B78" s="20" t="s">
        <v>324</v>
      </c>
      <c r="C78" s="153"/>
      <c r="D78" s="153"/>
      <c r="E78" s="153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153"/>
      <c r="Q78" s="118"/>
      <c r="R78" s="20"/>
      <c r="S78" s="153"/>
      <c r="T78" s="153"/>
      <c r="U78" s="153"/>
      <c r="V78" s="153"/>
      <c r="W78" s="153"/>
      <c r="X78" s="153"/>
      <c r="Y78" s="153"/>
      <c r="Z78" s="153"/>
      <c r="AA78" s="153"/>
      <c r="AB78" s="153"/>
      <c r="AC78" s="138"/>
      <c r="AD78" s="146"/>
      <c r="AE78" s="146"/>
    </row>
    <row r="79" spans="2:31" x14ac:dyDescent="0.2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</row>
    <row r="80" spans="2:31" x14ac:dyDescent="0.2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128"/>
      <c r="R80" s="128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39"/>
      <c r="AD80" s="20"/>
      <c r="AE80" s="20"/>
    </row>
    <row r="81" spans="2:31" x14ac:dyDescent="0.2">
      <c r="B81" s="108" t="s">
        <v>244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3"/>
      <c r="R81" s="23"/>
      <c r="S81" s="122" t="s">
        <v>66</v>
      </c>
      <c r="T81" s="20"/>
      <c r="U81" s="20"/>
      <c r="V81" s="20"/>
      <c r="W81" s="20"/>
      <c r="X81" s="20"/>
      <c r="Y81" s="20"/>
      <c r="Z81" s="20"/>
      <c r="AA81" s="20"/>
      <c r="AB81" s="20"/>
      <c r="AC81" s="137"/>
      <c r="AD81" s="20"/>
      <c r="AE81" s="20"/>
    </row>
    <row r="82" spans="2:31" x14ac:dyDescent="0.2">
      <c r="B82" s="23" t="s">
        <v>281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5"/>
      <c r="Q82" s="162" t="e">
        <f>AVERAGE(G44:P44)</f>
        <v>#DIV/0!</v>
      </c>
      <c r="R82" s="23"/>
      <c r="S82" s="134"/>
      <c r="T82" s="20"/>
      <c r="U82" s="20"/>
      <c r="V82" s="20"/>
      <c r="W82" s="20"/>
      <c r="X82" s="20"/>
      <c r="Y82" s="20"/>
      <c r="Z82" s="20"/>
      <c r="AA82" s="20"/>
      <c r="AB82" s="20"/>
      <c r="AC82" s="137"/>
      <c r="AD82" s="20"/>
      <c r="AE82" s="20"/>
    </row>
    <row r="83" spans="2:31" x14ac:dyDescent="0.2">
      <c r="B83" s="20" t="s">
        <v>25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140" t="e">
        <f>S83+T83</f>
        <v>#DIV/0!</v>
      </c>
      <c r="S83" s="133">
        <f>PV($C$1, ($AB$3-$S$3), 0, -AB44)</f>
        <v>0.15720352647392286</v>
      </c>
      <c r="T83" s="133" t="e">
        <f>PV($C$1, ($AB$3-$S$3), 0, -AE44)</f>
        <v>#DIV/0!</v>
      </c>
      <c r="U83" s="20"/>
      <c r="V83" s="20"/>
      <c r="W83" s="20"/>
      <c r="X83" s="20"/>
      <c r="Y83" s="20"/>
      <c r="Z83" s="20"/>
      <c r="AA83" s="20"/>
      <c r="AB83" s="20"/>
      <c r="AC83" s="137"/>
      <c r="AD83" s="20"/>
      <c r="AE83" s="20"/>
    </row>
    <row r="84" spans="2:31" x14ac:dyDescent="0.2">
      <c r="B84" s="20" t="s">
        <v>273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140" t="e">
        <f t="shared" ref="R84:R102" si="190">S84+T84</f>
        <v>#DIV/0!</v>
      </c>
      <c r="S84" s="133">
        <f>PV($C$1, ($AB$3-$S$3), 0, -AB45)</f>
        <v>2.3851995029363651</v>
      </c>
      <c r="T84" s="133" t="e">
        <f>PV($C$1, ($AB$3-$S$3), 0, -AE45)</f>
        <v>#DIV/0!</v>
      </c>
      <c r="U84" s="20"/>
      <c r="V84" s="20"/>
      <c r="W84" s="20"/>
      <c r="X84" s="20"/>
      <c r="Y84" s="20"/>
      <c r="Z84" s="20"/>
      <c r="AA84" s="20"/>
      <c r="AB84" s="20"/>
      <c r="AC84" s="137"/>
      <c r="AD84" s="20"/>
      <c r="AE84" s="20"/>
    </row>
    <row r="85" spans="2:31" x14ac:dyDescent="0.2">
      <c r="B85" s="20" t="s">
        <v>274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140" t="e">
        <f t="shared" si="190"/>
        <v>#DIV/0!</v>
      </c>
      <c r="S85" s="133">
        <f>PV($C$1, ($AB$3-$S$3), 0, -AB46)</f>
        <v>2.3158214159976187</v>
      </c>
      <c r="T85" s="133" t="e">
        <f>PV($C$1, ($AB$3-$S$3), 0, -AE46)</f>
        <v>#DIV/0!</v>
      </c>
      <c r="U85" s="20"/>
      <c r="V85" s="20"/>
      <c r="W85" s="20"/>
      <c r="X85" s="20"/>
      <c r="Y85" s="20"/>
      <c r="Z85" s="20"/>
      <c r="AA85" s="20"/>
      <c r="AB85" s="20"/>
      <c r="AC85" s="137"/>
      <c r="AD85" s="20"/>
      <c r="AE85" s="20"/>
    </row>
    <row r="86" spans="2:31" x14ac:dyDescent="0.2">
      <c r="B86" s="20" t="s">
        <v>275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140" t="e">
        <f t="shared" si="190"/>
        <v>#DIV/0!</v>
      </c>
      <c r="S86" s="133">
        <f>PV($C$1, ($AB$3-$S$3), 0, -AB47)</f>
        <v>0</v>
      </c>
      <c r="T86" s="133" t="e">
        <f>PV($C$1, ($AB$3-$S$3), 0, -AE47)</f>
        <v>#DIV/0!</v>
      </c>
      <c r="U86" s="20"/>
      <c r="V86" s="20"/>
      <c r="W86" s="20"/>
      <c r="X86" s="20"/>
      <c r="Y86" s="20"/>
      <c r="Z86" s="20"/>
      <c r="AA86" s="20"/>
      <c r="AB86" s="20"/>
      <c r="AC86" s="137"/>
      <c r="AD86" s="20"/>
      <c r="AE86" s="20"/>
    </row>
    <row r="87" spans="2:31" x14ac:dyDescent="0.2">
      <c r="B87" s="20" t="s">
        <v>276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140" t="e">
        <f t="shared" si="190"/>
        <v>#DIV/0!</v>
      </c>
      <c r="S87" s="133">
        <f>PV($C$1, ($AB$3-$S$3), 0, -AB53)</f>
        <v>0.14190271228022866</v>
      </c>
      <c r="T87" s="133" t="e">
        <f>PV($C$1, ($AB$3-$S$3), 0, -AE53)</f>
        <v>#DIV/0!</v>
      </c>
      <c r="U87" s="20"/>
      <c r="V87" s="20"/>
      <c r="W87" s="20"/>
      <c r="X87" s="20"/>
      <c r="Y87" s="20"/>
      <c r="Z87" s="20"/>
      <c r="AA87" s="20"/>
      <c r="AB87" s="20"/>
      <c r="AC87" s="137"/>
      <c r="AD87" s="20"/>
      <c r="AE87" s="20"/>
    </row>
    <row r="88" spans="2:31" x14ac:dyDescent="0.2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140"/>
      <c r="S88" s="133"/>
      <c r="T88" s="20"/>
      <c r="U88" s="20"/>
      <c r="V88" s="20"/>
      <c r="W88" s="20"/>
      <c r="X88" s="20"/>
      <c r="Y88" s="20"/>
      <c r="Z88" s="20"/>
      <c r="AA88" s="20"/>
      <c r="AB88" s="20"/>
      <c r="AC88" s="137"/>
      <c r="AD88" s="20"/>
      <c r="AE88" s="20"/>
    </row>
    <row r="89" spans="2:31" x14ac:dyDescent="0.2">
      <c r="B89" s="20" t="s">
        <v>271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140" t="e">
        <f t="shared" si="190"/>
        <v>#DIV/0!</v>
      </c>
      <c r="S89" s="133">
        <f>PV($C$1, ($AB$3-$S$3), 0, -AB49)</f>
        <v>2.3851995029363651</v>
      </c>
      <c r="T89" s="133" t="e">
        <f>PV($C$1, ($AB$3-$S$3), 0, -$AE$49)</f>
        <v>#DIV/0!</v>
      </c>
      <c r="U89" s="20"/>
      <c r="V89" s="20"/>
      <c r="W89" s="20"/>
      <c r="X89" s="20"/>
      <c r="Y89" s="20"/>
      <c r="Z89" s="20"/>
      <c r="AA89" s="20"/>
      <c r="AB89" s="20"/>
      <c r="AC89" s="137"/>
      <c r="AD89" s="20"/>
      <c r="AE89" s="20"/>
    </row>
    <row r="90" spans="2:31" x14ac:dyDescent="0.2">
      <c r="B90" s="20" t="s">
        <v>272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140" t="e">
        <f t="shared" si="190"/>
        <v>#DIV/0!</v>
      </c>
      <c r="S90" s="133">
        <f>PV($C$1, ($AB$3-$S$3), 0, -AB50)</f>
        <v>1.4734745765358961</v>
      </c>
      <c r="T90" s="133" t="e">
        <f>PV($C$1, ($AB$3-$S$3), 0, -$AE$50)</f>
        <v>#DIV/0!</v>
      </c>
      <c r="U90" s="20"/>
      <c r="V90" s="20"/>
      <c r="W90" s="20"/>
      <c r="X90" s="20"/>
      <c r="Y90" s="20"/>
      <c r="Z90" s="20"/>
      <c r="AA90" s="20"/>
      <c r="AB90" s="20"/>
      <c r="AC90" s="137"/>
      <c r="AD90" s="20"/>
      <c r="AE90" s="20"/>
    </row>
    <row r="91" spans="2:31" x14ac:dyDescent="0.2">
      <c r="B91" s="20" t="s">
        <v>277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140" t="e">
        <f t="shared" si="190"/>
        <v>#DIV/0!</v>
      </c>
      <c r="S91" s="133">
        <f>PV($C$1, ($AB$3-$S$3), 0, -AB51)</f>
        <v>2.9819621049061529</v>
      </c>
      <c r="T91" s="133" t="e">
        <f>PV($C$1, ($AB$3-$S$3), 0, -$AE$51)</f>
        <v>#DIV/0!</v>
      </c>
      <c r="U91" s="20"/>
      <c r="V91" s="20"/>
      <c r="W91" s="20"/>
      <c r="X91" s="20"/>
      <c r="Y91" s="20"/>
      <c r="Z91" s="20"/>
      <c r="AA91" s="20"/>
      <c r="AB91" s="20"/>
      <c r="AC91" s="137"/>
      <c r="AD91" s="20"/>
      <c r="AE91" s="20"/>
    </row>
    <row r="92" spans="2:31" x14ac:dyDescent="0.2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140"/>
      <c r="S92" s="133"/>
      <c r="T92" s="20"/>
      <c r="U92" s="20"/>
      <c r="V92" s="20"/>
      <c r="W92" s="20"/>
      <c r="X92" s="20"/>
      <c r="Y92" s="20"/>
      <c r="Z92" s="20"/>
      <c r="AA92" s="20"/>
      <c r="AB92" s="20"/>
      <c r="AC92" s="137"/>
      <c r="AD92" s="20"/>
      <c r="AE92" s="20"/>
    </row>
    <row r="93" spans="2:31" x14ac:dyDescent="0.2">
      <c r="B93" s="20" t="s">
        <v>249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40" t="e">
        <f t="shared" si="190"/>
        <v>#DIV/0!</v>
      </c>
      <c r="S93" s="133">
        <f>PV($C$1, ($AB$3-$S$3), 0, -AB56)</f>
        <v>1.5084875283702568</v>
      </c>
      <c r="T93" s="133" t="e">
        <f>PV($C$1, ($AB$3-$S$3), 0, -AE56)</f>
        <v>#DIV/0!</v>
      </c>
      <c r="U93" s="20"/>
      <c r="V93" s="20"/>
      <c r="W93" s="20"/>
      <c r="X93" s="20"/>
      <c r="Y93" s="20"/>
      <c r="Z93" s="20"/>
      <c r="AA93" s="20"/>
      <c r="AB93" s="20"/>
      <c r="AC93" s="137"/>
      <c r="AD93" s="20"/>
      <c r="AE93" s="20"/>
    </row>
    <row r="94" spans="2:31" x14ac:dyDescent="0.2">
      <c r="B94" s="20" t="s">
        <v>250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140" t="e">
        <f t="shared" si="190"/>
        <v>#DIV/0!</v>
      </c>
      <c r="S94" s="133">
        <f>PV($C$1, ($AB$3-$S$3), 0, -AB57)</f>
        <v>0.59676260196978759</v>
      </c>
      <c r="T94" s="133" t="e">
        <f>PV($C$1, ($AB$3-$S$3), 0, -AE57)</f>
        <v>#DIV/0!</v>
      </c>
      <c r="U94" s="20"/>
      <c r="V94" s="20"/>
      <c r="W94" s="20"/>
      <c r="X94" s="20"/>
      <c r="Y94" s="20"/>
      <c r="Z94" s="20"/>
      <c r="AA94" s="20"/>
      <c r="AB94" s="20"/>
      <c r="AC94" s="137"/>
      <c r="AD94" s="20"/>
      <c r="AE94" s="20"/>
    </row>
    <row r="95" spans="2:31" x14ac:dyDescent="0.2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40"/>
      <c r="S95" s="133"/>
      <c r="T95" s="133"/>
      <c r="U95" s="20"/>
      <c r="V95" s="20"/>
      <c r="W95" s="20"/>
      <c r="X95" s="20"/>
      <c r="Y95" s="20"/>
      <c r="Z95" s="20"/>
      <c r="AA95" s="20"/>
      <c r="AB95" s="20"/>
      <c r="AC95" s="137"/>
      <c r="AD95" s="20"/>
      <c r="AE95" s="20"/>
    </row>
    <row r="96" spans="2:31" x14ac:dyDescent="0.2">
      <c r="B96" s="20" t="s">
        <v>294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140" t="e">
        <f t="shared" ref="R96" si="191">S96+T96</f>
        <v>#DIV/0!</v>
      </c>
      <c r="S96" s="133">
        <f>PV($C$1, ($AB$3-$S$3), 0, -AB12)</f>
        <v>19.927196675985186</v>
      </c>
      <c r="T96" s="133" t="e">
        <f>PV($C$1, ($AB$3-$S$3), 0, -AE12)</f>
        <v>#DIV/0!</v>
      </c>
      <c r="U96" s="20"/>
      <c r="V96" s="20"/>
      <c r="W96" s="20"/>
      <c r="X96" s="20"/>
      <c r="Y96" s="20"/>
      <c r="Z96" s="20"/>
      <c r="AA96" s="20"/>
      <c r="AB96" s="20"/>
      <c r="AC96" s="137"/>
      <c r="AD96" s="20"/>
      <c r="AE96" s="20"/>
    </row>
    <row r="97" spans="2:31" x14ac:dyDescent="0.2">
      <c r="B97" s="20" t="s">
        <v>295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140" t="e">
        <f>S97+T97</f>
        <v>#DIV/0!</v>
      </c>
      <c r="S97" s="140">
        <f>S96/P36</f>
        <v>0.87862419206283893</v>
      </c>
      <c r="T97" s="140" t="e">
        <f>T96/P36</f>
        <v>#DIV/0!</v>
      </c>
      <c r="U97" s="20"/>
      <c r="V97" s="20"/>
      <c r="W97" s="20"/>
      <c r="X97" s="20"/>
      <c r="Y97" s="20"/>
      <c r="Z97" s="20"/>
      <c r="AA97" s="20"/>
      <c r="AB97" s="20"/>
      <c r="AC97" s="137"/>
      <c r="AD97" s="20"/>
      <c r="AE97" s="20"/>
    </row>
    <row r="98" spans="2:31" x14ac:dyDescent="0.2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140"/>
      <c r="S98" s="140"/>
      <c r="T98" s="140"/>
      <c r="U98" s="20"/>
      <c r="V98" s="20"/>
      <c r="W98" s="20"/>
      <c r="X98" s="20"/>
      <c r="Y98" s="20"/>
      <c r="Z98" s="20"/>
      <c r="AA98" s="20"/>
      <c r="AB98" s="20"/>
      <c r="AC98" s="137"/>
      <c r="AD98" s="20"/>
      <c r="AE98" s="20"/>
    </row>
    <row r="99" spans="2:31" x14ac:dyDescent="0.2">
      <c r="B99" s="108" t="s">
        <v>298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140"/>
      <c r="S99" s="133"/>
      <c r="T99" s="133"/>
      <c r="U99" s="20"/>
      <c r="V99" s="20"/>
      <c r="W99" s="20"/>
      <c r="X99" s="20"/>
      <c r="Y99" s="20"/>
      <c r="Z99" s="20"/>
      <c r="AA99" s="20"/>
      <c r="AB99" s="20"/>
      <c r="AC99" s="137"/>
      <c r="AD99" s="20"/>
      <c r="AE99" s="20"/>
    </row>
    <row r="100" spans="2:31" x14ac:dyDescent="0.2">
      <c r="B100" s="20" t="s">
        <v>283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40">
        <f t="shared" ref="R100" si="192">S100+T100</f>
        <v>7.7069672598748662</v>
      </c>
      <c r="S100" s="133">
        <f>PV($C$1, ($AB$3-$S$3), 0, -AB59)+PV($C$1, ($AA$3-$S$3), 0, -AB59)+PV($C$1, ($Z$3-$S$3), 0, -AB59)+PV($C$1, ($Y$3-$S$3), 0, -AB59)+PV($C$1, ($X$3-$S$3), 0, -AB59)+PV($C$1, ($W$3-$S$3), 0, -AB59)+PV($C$1, ($V$3-$S$3), 0, -AB59)+PV($C$1, ($U$3-$S$3), 0, -AB59)+PV($C$1, ($T$3-$S$3), 0, -AB59)+PV($C$1, ($S$3-$S$3), 0, -AB59)</f>
        <v>5.8344545683117603</v>
      </c>
      <c r="T100" s="133">
        <f>PV($C$1, ($AB$3-$S$3), 0, -AE59)</f>
        <v>1.8725126915631056</v>
      </c>
      <c r="U100" s="20"/>
      <c r="V100" s="20"/>
      <c r="W100" s="20"/>
      <c r="X100" s="20"/>
      <c r="Y100" s="20"/>
      <c r="Z100" s="20"/>
      <c r="AA100" s="20"/>
      <c r="AB100" s="20"/>
      <c r="AC100" s="137"/>
      <c r="AD100" s="20"/>
      <c r="AE100" s="20"/>
    </row>
    <row r="101" spans="2:31" x14ac:dyDescent="0.2">
      <c r="B101" s="23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40"/>
      <c r="S101" s="133"/>
      <c r="T101" s="133"/>
      <c r="U101" s="20"/>
      <c r="V101" s="20"/>
      <c r="W101" s="20"/>
      <c r="X101" s="20"/>
      <c r="Y101" s="20"/>
      <c r="Z101" s="20"/>
      <c r="AA101" s="20"/>
      <c r="AB101" s="20"/>
      <c r="AC101" s="137"/>
      <c r="AD101" s="20"/>
      <c r="AE101" s="20"/>
    </row>
    <row r="102" spans="2:31" x14ac:dyDescent="0.2">
      <c r="B102" s="20" t="s">
        <v>291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140" t="e">
        <f t="shared" si="190"/>
        <v>#DIV/0!</v>
      </c>
      <c r="S102" s="133">
        <f>PV($C$1, ($AB$3-$S$3), 0, -AB61)+PV($C$1, ($AA$3-$S$3), 0, -AB61)+PV($C$1, ($Z$3-$S$3), 0, -AB61)+PV($C$1, ($Y$3-$S$3), 0, -AB61)+PV($C$1, ($X$3-$S$3), 0, -AB61)+PV($C$1, ($W$3-$S$3), 0, -AB61)+PV($C$1, ($V$3-$S$3), 0, -AB61)+PV($C$1, ($U$3-$S$3), 0, -AB61)+PV($C$1, ($T$3-$S$3), 0, -AB61)+PV($C$1, ($S$3-$S$3), 0, -AB61)</f>
        <v>0</v>
      </c>
      <c r="T102" s="133" t="e">
        <f>PV($C$1, ($AB$3-$S$3), 0, -AE61)</f>
        <v>#DIV/0!</v>
      </c>
      <c r="U102" s="20"/>
      <c r="V102" s="20"/>
      <c r="W102" s="20"/>
      <c r="X102" s="20"/>
      <c r="Y102" s="20"/>
      <c r="Z102" s="20"/>
      <c r="AA102" s="20"/>
      <c r="AB102" s="20"/>
      <c r="AC102" s="137"/>
      <c r="AD102" s="20"/>
      <c r="AE102" s="20"/>
    </row>
    <row r="103" spans="2:31" x14ac:dyDescent="0.2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140"/>
      <c r="S103" s="133"/>
      <c r="T103" s="133"/>
      <c r="U103" s="20"/>
      <c r="V103" s="20"/>
      <c r="W103" s="20"/>
      <c r="X103" s="20"/>
      <c r="Y103" s="20"/>
      <c r="Z103" s="20"/>
      <c r="AA103" s="20"/>
      <c r="AB103" s="20"/>
      <c r="AC103" s="137"/>
      <c r="AD103" s="20"/>
      <c r="AE103" s="20"/>
    </row>
    <row r="104" spans="2:31" x14ac:dyDescent="0.2">
      <c r="B104" s="20" t="s">
        <v>287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140" t="e">
        <f t="shared" ref="R104:R107" si="193">S104+T104</f>
        <v>#DIV/0!</v>
      </c>
      <c r="S104" s="133">
        <f>PV($C$1, ($AB$3-$S$3), 0, -AB63)+PV($C$1, ($AA$3-$S$3), 0, -AB63)+PV($C$1, ($Z$3-$S$3), 0, -AB63)+PV($C$1, ($Y$3-$S$3), 0, -AB63)+PV($C$1, ($X$3-$S$3), 0, -AB63)+PV($C$1, ($W$3-$S$3), 0, -AB63)+PV($C$1, ($V$3-$S$3), 0, -AB63)+PV($C$1, ($U$3-$S$3), 0, -AB63)+PV($C$1, ($T$3-$S$3), 0, -AB63)+PV($C$1, ($S$3-$S$3), 0, -AB63)</f>
        <v>0</v>
      </c>
      <c r="T104" s="133" t="e">
        <f>PV($C$1, ($AB$3-$S$3), 0, -AE63)</f>
        <v>#DIV/0!</v>
      </c>
      <c r="U104" s="20"/>
      <c r="V104" s="20"/>
      <c r="W104" s="20"/>
      <c r="X104" s="20"/>
      <c r="Y104" s="20"/>
      <c r="Z104" s="20"/>
      <c r="AA104" s="20"/>
      <c r="AB104" s="20"/>
      <c r="AC104" s="137"/>
      <c r="AD104" s="20"/>
      <c r="AE104" s="20"/>
    </row>
    <row r="105" spans="2:31" x14ac:dyDescent="0.2">
      <c r="B105" s="20" t="s">
        <v>288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140" t="e">
        <f t="shared" si="193"/>
        <v>#DIV/0!</v>
      </c>
      <c r="S105" s="133">
        <f>PV($C$1, ($AB$3-$S$3), 0, -AB64)+PV($C$1, ($AA$3-$S$3), 0, -AB64)+PV($C$1, ($Z$3-$S$3), 0, -AB64)+PV($C$1, ($Y$3-$S$3), 0, -AB64)+PV($C$1, ($X$3-$S$3), 0, -AB64)+PV($C$1, ($W$3-$S$3), 0, -AB64)+PV($C$1, ($V$3-$S$3), 0, -AB64)+PV($C$1, ($U$3-$S$3), 0, -AB64)+PV($C$1, ($T$3-$S$3), 0, -AB64)+PV($C$1, ($S$3-$S$3), 0, -AB64)</f>
        <v>0</v>
      </c>
      <c r="T105" s="133" t="e">
        <f>PV($C$1, ($AB$3-$S$3), 0, -AE64)</f>
        <v>#DIV/0!</v>
      </c>
      <c r="U105" s="20"/>
      <c r="V105" s="20"/>
      <c r="W105" s="20"/>
      <c r="X105" s="20"/>
      <c r="Y105" s="20"/>
      <c r="Z105" s="20"/>
      <c r="AA105" s="20"/>
      <c r="AB105" s="20"/>
      <c r="AC105" s="137"/>
      <c r="AD105" s="20"/>
      <c r="AE105" s="20"/>
    </row>
    <row r="106" spans="2:31" x14ac:dyDescent="0.2">
      <c r="B106" s="20" t="s">
        <v>289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140" t="e">
        <f t="shared" si="193"/>
        <v>#DIV/0!</v>
      </c>
      <c r="S106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0</v>
      </c>
      <c r="T106" s="133" t="e">
        <f>PV($C$1, ($AB$3-$S$3), 0, -AE65)</f>
        <v>#DIV/0!</v>
      </c>
      <c r="U106" s="20"/>
      <c r="V106" s="20"/>
      <c r="W106" s="20"/>
      <c r="X106" s="20"/>
      <c r="Y106" s="20"/>
      <c r="Z106" s="20"/>
      <c r="AA106" s="20"/>
      <c r="AB106" s="20"/>
      <c r="AC106" s="137"/>
      <c r="AD106" s="20"/>
      <c r="AE106" s="20"/>
    </row>
    <row r="107" spans="2:31" x14ac:dyDescent="0.2">
      <c r="B107" s="20" t="s">
        <v>290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140" t="e">
        <f t="shared" si="193"/>
        <v>#DIV/0!</v>
      </c>
      <c r="S107" s="133">
        <f>PV($C$1, ($AB$3-$S$3), 0, -AB66)+PV($C$1, ($AA$3-$S$3), 0, -AB66)+PV($C$1, ($Z$3-$S$3), 0, -AB66)+PV($C$1, ($Y$3-$S$3), 0, -AB66)+PV($C$1, ($X$3-$S$3), 0, -AB66)+PV($C$1, ($W$3-$S$3), 0, -AB66)+PV($C$1, ($V$3-$S$3), 0, -AB66)+PV($C$1, ($U$3-$S$3), 0, -AB66)+PV($C$1, ($T$3-$S$3), 0, -AB66)+PV($C$1, ($S$3-$S$3), 0, -AB66)</f>
        <v>0</v>
      </c>
      <c r="T107" s="133" t="e">
        <f>PV($C$1, ($AB$3-$S$3), 0, -AE66)</f>
        <v>#DIV/0!</v>
      </c>
      <c r="U107" s="20"/>
      <c r="V107" s="20"/>
      <c r="W107" s="20"/>
      <c r="X107" s="20"/>
      <c r="Y107" s="20"/>
      <c r="Z107" s="20"/>
      <c r="AA107" s="20"/>
      <c r="AB107" s="20"/>
      <c r="AC107" s="137"/>
      <c r="AD107" s="20"/>
      <c r="AE107" s="20"/>
    </row>
    <row r="108" spans="2:31" x14ac:dyDescent="0.2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40"/>
      <c r="S108" s="133"/>
      <c r="T108" s="133"/>
      <c r="U108" s="20"/>
      <c r="V108" s="20"/>
      <c r="W108" s="20"/>
      <c r="X108" s="20"/>
      <c r="Y108" s="20"/>
      <c r="Z108" s="20"/>
      <c r="AA108" s="20"/>
      <c r="AB108" s="20"/>
      <c r="AC108" s="137"/>
      <c r="AD108" s="20"/>
      <c r="AE108" s="20"/>
    </row>
    <row r="109" spans="2:31" x14ac:dyDescent="0.2">
      <c r="B109" s="20" t="s">
        <v>299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40" t="e">
        <f>S109+T109</f>
        <v>#DIV/0!</v>
      </c>
      <c r="S109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0</v>
      </c>
      <c r="T109" s="133" t="e">
        <f>PV($C$1, ($AB$3-$S$3), 0, -AE67)</f>
        <v>#DIV/0!</v>
      </c>
      <c r="U109" s="20"/>
      <c r="V109" s="20"/>
      <c r="W109" s="20"/>
      <c r="X109" s="20"/>
      <c r="Y109" s="20"/>
      <c r="Z109" s="20"/>
      <c r="AA109" s="20"/>
      <c r="AB109" s="20"/>
      <c r="AC109" s="137"/>
      <c r="AD109" s="20"/>
      <c r="AE109" s="20"/>
    </row>
    <row r="110" spans="2:31" x14ac:dyDescent="0.2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121"/>
      <c r="T110" s="20"/>
      <c r="U110" s="20"/>
      <c r="V110" s="20"/>
      <c r="W110" s="20"/>
      <c r="X110" s="20"/>
      <c r="Y110" s="20"/>
      <c r="Z110" s="20"/>
      <c r="AA110" s="20"/>
      <c r="AB110" s="20"/>
      <c r="AC110" s="137"/>
      <c r="AD110" s="20"/>
      <c r="AE110" s="20"/>
    </row>
    <row r="111" spans="2:31" x14ac:dyDescent="0.2">
      <c r="B111" s="108" t="s">
        <v>251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137"/>
      <c r="AD111" s="20"/>
      <c r="AE111" s="20"/>
    </row>
    <row r="112" spans="2:31" x14ac:dyDescent="0.2">
      <c r="B112" s="20" t="s">
        <v>204</v>
      </c>
      <c r="C112" s="22">
        <v>14</v>
      </c>
      <c r="D112" s="22">
        <v>14</v>
      </c>
      <c r="E112" s="22">
        <v>14</v>
      </c>
      <c r="F112" s="22">
        <v>14</v>
      </c>
      <c r="G112" s="22">
        <v>14</v>
      </c>
      <c r="H112" s="22">
        <v>14250</v>
      </c>
      <c r="I112" s="22">
        <v>14</v>
      </c>
      <c r="J112" s="22">
        <v>14</v>
      </c>
      <c r="K112" s="22">
        <v>14</v>
      </c>
      <c r="L112" s="22">
        <v>14</v>
      </c>
      <c r="M112" s="22">
        <v>70</v>
      </c>
      <c r="N112" s="22">
        <v>60</v>
      </c>
      <c r="O112" s="22">
        <v>50</v>
      </c>
      <c r="P112" s="22">
        <v>49</v>
      </c>
      <c r="Q112" s="118">
        <f t="shared" ref="Q112:Q116" si="194">((P112/G112)^(1/($H$2-$H$1) ))-1</f>
        <v>0.14934921867223361</v>
      </c>
      <c r="R112" s="31">
        <v>0.1</v>
      </c>
      <c r="S112" s="119">
        <f t="shared" ref="S112" si="195">P112*(1+$R112)</f>
        <v>53.900000000000006</v>
      </c>
      <c r="T112" s="119">
        <f t="shared" ref="T112:AB112" si="196">S112*(1+$R112)</f>
        <v>59.290000000000013</v>
      </c>
      <c r="U112" s="119">
        <f t="shared" si="196"/>
        <v>65.219000000000023</v>
      </c>
      <c r="V112" s="119">
        <f t="shared" si="196"/>
        <v>71.740900000000025</v>
      </c>
      <c r="W112" s="119">
        <f t="shared" si="196"/>
        <v>78.914990000000032</v>
      </c>
      <c r="X112" s="119">
        <f t="shared" si="196"/>
        <v>86.806489000000042</v>
      </c>
      <c r="Y112" s="119">
        <f t="shared" si="196"/>
        <v>95.48713790000005</v>
      </c>
      <c r="Z112" s="119">
        <f t="shared" si="196"/>
        <v>105.03585169000006</v>
      </c>
      <c r="AA112" s="119">
        <f t="shared" si="196"/>
        <v>115.53943685900008</v>
      </c>
      <c r="AB112" s="119">
        <f t="shared" si="196"/>
        <v>127.0933805449001</v>
      </c>
      <c r="AC112" s="138">
        <f t="shared" ref="AC112:AC116" si="197">((AB112/G112)^(1/($AB$3-$H$1) ))-1</f>
        <v>0.1231060946539555</v>
      </c>
      <c r="AD112" s="31">
        <v>0.08</v>
      </c>
      <c r="AE112" s="127">
        <f t="shared" ref="AE112:AE117" si="198">(AB112*(1+AC112))/($C$1-AD112)</f>
        <v>1019.5667877153696</v>
      </c>
    </row>
    <row r="113" spans="2:31" x14ac:dyDescent="0.2">
      <c r="B113" s="20" t="s">
        <v>42</v>
      </c>
      <c r="C113" s="25" t="e">
        <f t="shared" ref="C113:P113" si="199">C112/C44</f>
        <v>#DIV/0!</v>
      </c>
      <c r="D113" s="25" t="e">
        <f t="shared" si="199"/>
        <v>#DIV/0!</v>
      </c>
      <c r="E113" s="25" t="e">
        <f t="shared" si="199"/>
        <v>#DIV/0!</v>
      </c>
      <c r="F113" s="25" t="e">
        <f t="shared" si="199"/>
        <v>#DIV/0!</v>
      </c>
      <c r="G113" s="25" t="e">
        <f t="shared" si="199"/>
        <v>#DIV/0!</v>
      </c>
      <c r="H113" s="25" t="e">
        <f t="shared" si="199"/>
        <v>#DIV/0!</v>
      </c>
      <c r="I113" s="25">
        <f t="shared" si="199"/>
        <v>12.739999999999998</v>
      </c>
      <c r="J113" s="25">
        <f t="shared" si="199"/>
        <v>12.6</v>
      </c>
      <c r="K113" s="25">
        <f t="shared" si="199"/>
        <v>1.0104347826086957</v>
      </c>
      <c r="L113" s="25">
        <f t="shared" si="199"/>
        <v>0.89600000000000002</v>
      </c>
      <c r="M113" s="25">
        <f t="shared" si="199"/>
        <v>3.7692307692307687</v>
      </c>
      <c r="N113" s="25">
        <f t="shared" si="199"/>
        <v>2.96</v>
      </c>
      <c r="O113" s="25">
        <f t="shared" si="199"/>
        <v>2.1865671641791047</v>
      </c>
      <c r="P113" s="25">
        <f t="shared" si="199"/>
        <v>21.807692307692307</v>
      </c>
      <c r="Q113" s="118" t="e">
        <f t="shared" si="194"/>
        <v>#DIV/0!</v>
      </c>
      <c r="R113" s="128"/>
      <c r="S113" s="119">
        <f t="shared" ref="S113:AB113" si="200">S112/S44</f>
        <v>26.169230769230765</v>
      </c>
      <c r="T113" s="119">
        <f t="shared" si="200"/>
        <v>31.403076923076927</v>
      </c>
      <c r="U113" s="119">
        <f t="shared" si="200"/>
        <v>37.683692307692311</v>
      </c>
      <c r="V113" s="119">
        <f t="shared" si="200"/>
        <v>45.220430769230759</v>
      </c>
      <c r="W113" s="119">
        <f t="shared" si="200"/>
        <v>54.264516923076904</v>
      </c>
      <c r="X113" s="119">
        <f t="shared" si="200"/>
        <v>65.117420307692285</v>
      </c>
      <c r="Y113" s="119">
        <f t="shared" si="200"/>
        <v>78.140904369230725</v>
      </c>
      <c r="Z113" s="119">
        <f t="shared" si="200"/>
        <v>93.769085243076859</v>
      </c>
      <c r="AA113" s="119">
        <f t="shared" si="200"/>
        <v>112.52290229169222</v>
      </c>
      <c r="AB113" s="119">
        <f t="shared" si="200"/>
        <v>135.02748275003069</v>
      </c>
      <c r="AC113" s="138" t="e">
        <f t="shared" si="197"/>
        <v>#DIV/0!</v>
      </c>
      <c r="AD113" s="31">
        <v>0.08</v>
      </c>
      <c r="AE113" s="127" t="e">
        <f t="shared" si="198"/>
        <v>#DIV/0!</v>
      </c>
    </row>
    <row r="114" spans="2:31" x14ac:dyDescent="0.2">
      <c r="B114" s="20" t="s">
        <v>259</v>
      </c>
      <c r="C114" s="25" t="e">
        <f t="shared" ref="C114:P114" si="201">C112/C46</f>
        <v>#DIV/0!</v>
      </c>
      <c r="D114" s="25" t="e">
        <f t="shared" si="201"/>
        <v>#DIV/0!</v>
      </c>
      <c r="E114" s="25" t="e">
        <f t="shared" si="201"/>
        <v>#DIV/0!</v>
      </c>
      <c r="F114" s="25" t="e">
        <f t="shared" si="201"/>
        <v>#DIV/0!</v>
      </c>
      <c r="G114" s="25" t="e">
        <f t="shared" si="201"/>
        <v>#DIV/0!</v>
      </c>
      <c r="H114" s="25" t="e">
        <f t="shared" si="201"/>
        <v>#DIV/0!</v>
      </c>
      <c r="I114" s="25">
        <f t="shared" si="201"/>
        <v>2.2495585638610951</v>
      </c>
      <c r="J114" s="25">
        <f t="shared" si="201"/>
        <v>12</v>
      </c>
      <c r="K114" s="25">
        <f t="shared" si="201"/>
        <v>0.11857142857142856</v>
      </c>
      <c r="L114" s="25">
        <f t="shared" si="201"/>
        <v>4.5252525252525252E-2</v>
      </c>
      <c r="M114" s="25">
        <f t="shared" si="201"/>
        <v>0.18490566037735848</v>
      </c>
      <c r="N114" s="25">
        <f t="shared" si="201"/>
        <v>0.87684021543985646</v>
      </c>
      <c r="O114" s="25">
        <f t="shared" si="201"/>
        <v>0.20432357043235705</v>
      </c>
      <c r="P114" s="25">
        <f t="shared" si="201"/>
        <v>1.4803585938644748</v>
      </c>
      <c r="Q114" s="118" t="e">
        <f t="shared" si="194"/>
        <v>#DIV/0!</v>
      </c>
      <c r="R114" s="128"/>
      <c r="S114" s="119">
        <f t="shared" ref="S114:AB114" si="202">S112/S46</f>
        <v>1.7764303126373697</v>
      </c>
      <c r="T114" s="119">
        <f t="shared" si="202"/>
        <v>2.131716375164844</v>
      </c>
      <c r="U114" s="119">
        <f t="shared" si="202"/>
        <v>2.5580596501978126</v>
      </c>
      <c r="V114" s="119">
        <f t="shared" si="202"/>
        <v>3.0696715802373746</v>
      </c>
      <c r="W114" s="119">
        <f t="shared" si="202"/>
        <v>3.683605896284849</v>
      </c>
      <c r="X114" s="119">
        <f t="shared" si="202"/>
        <v>4.4203270755418185</v>
      </c>
      <c r="Y114" s="119">
        <f t="shared" si="202"/>
        <v>5.3043924906501809</v>
      </c>
      <c r="Z114" s="119">
        <f t="shared" si="202"/>
        <v>6.3652709887802157</v>
      </c>
      <c r="AA114" s="119">
        <f t="shared" si="202"/>
        <v>7.6383251865362594</v>
      </c>
      <c r="AB114" s="119">
        <f t="shared" si="202"/>
        <v>9.1659902238435116</v>
      </c>
      <c r="AC114" s="138" t="e">
        <f t="shared" si="197"/>
        <v>#DIV/0!</v>
      </c>
      <c r="AD114" s="31">
        <v>0.08</v>
      </c>
      <c r="AE114" s="127" t="e">
        <f t="shared" si="198"/>
        <v>#DIV/0!</v>
      </c>
    </row>
    <row r="115" spans="2:31" x14ac:dyDescent="0.2">
      <c r="B115" s="20" t="s">
        <v>260</v>
      </c>
      <c r="C115" s="25" t="e">
        <f t="shared" ref="C115:P115" si="203">C112/C55</f>
        <v>#DIV/0!</v>
      </c>
      <c r="D115" s="25" t="e">
        <f t="shared" si="203"/>
        <v>#DIV/0!</v>
      </c>
      <c r="E115" s="25" t="e">
        <f t="shared" si="203"/>
        <v>#DIV/0!</v>
      </c>
      <c r="F115" s="25" t="e">
        <f t="shared" si="203"/>
        <v>#DIV/0!</v>
      </c>
      <c r="G115" s="25" t="e">
        <f t="shared" si="203"/>
        <v>#DIV/0!</v>
      </c>
      <c r="H115" s="25" t="e">
        <f t="shared" si="203"/>
        <v>#DIV/0!</v>
      </c>
      <c r="I115" s="25">
        <f t="shared" si="203"/>
        <v>11.796296296296298</v>
      </c>
      <c r="J115" s="25">
        <f t="shared" si="203"/>
        <v>2.7692307692307687</v>
      </c>
      <c r="K115" s="25">
        <f t="shared" si="203"/>
        <v>6.6022727272727261E-2</v>
      </c>
      <c r="L115" s="25">
        <f t="shared" si="203"/>
        <v>3.7333333333333336E-2</v>
      </c>
      <c r="M115" s="25">
        <f t="shared" si="203"/>
        <v>0.22477064220183485</v>
      </c>
      <c r="N115" s="25">
        <f t="shared" si="203"/>
        <v>2.1610619469026551</v>
      </c>
      <c r="O115" s="25">
        <f t="shared" si="203"/>
        <v>0.54259259259259263</v>
      </c>
      <c r="P115" s="25">
        <f t="shared" si="203"/>
        <v>6.9414116177389138</v>
      </c>
      <c r="Q115" s="118" t="e">
        <f t="shared" si="194"/>
        <v>#DIV/0!</v>
      </c>
      <c r="R115" s="128"/>
      <c r="S115" s="119">
        <f t="shared" ref="S115:AB115" si="204">S112/S55</f>
        <v>8.3296939412866955</v>
      </c>
      <c r="T115" s="119">
        <f t="shared" si="204"/>
        <v>9.9956327295440364</v>
      </c>
      <c r="U115" s="119">
        <f t="shared" si="204"/>
        <v>11.994759275452841</v>
      </c>
      <c r="V115" s="119">
        <f t="shared" si="204"/>
        <v>14.393711130543409</v>
      </c>
      <c r="W115" s="119">
        <f t="shared" si="204"/>
        <v>17.27245335665209</v>
      </c>
      <c r="X115" s="119">
        <f t="shared" si="204"/>
        <v>20.726944027982508</v>
      </c>
      <c r="Y115" s="119">
        <f t="shared" si="204"/>
        <v>24.872332833579005</v>
      </c>
      <c r="Z115" s="119">
        <f t="shared" si="204"/>
        <v>29.846799400294799</v>
      </c>
      <c r="AA115" s="119">
        <f t="shared" si="204"/>
        <v>35.816159280353759</v>
      </c>
      <c r="AB115" s="119">
        <f t="shared" si="204"/>
        <v>42.97939113642451</v>
      </c>
      <c r="AC115" s="138" t="e">
        <f t="shared" si="197"/>
        <v>#DIV/0!</v>
      </c>
      <c r="AD115" s="31">
        <v>0.08</v>
      </c>
      <c r="AE115" s="127" t="e">
        <f t="shared" si="198"/>
        <v>#DIV/0!</v>
      </c>
    </row>
    <row r="116" spans="2:31" x14ac:dyDescent="0.2">
      <c r="B116" s="20" t="s">
        <v>261</v>
      </c>
      <c r="C116" s="25" t="e">
        <f t="shared" ref="C116:P116" si="205">C112/C57</f>
        <v>#DIV/0!</v>
      </c>
      <c r="D116" s="25" t="e">
        <f t="shared" si="205"/>
        <v>#DIV/0!</v>
      </c>
      <c r="E116" s="25" t="e">
        <f t="shared" si="205"/>
        <v>#DIV/0!</v>
      </c>
      <c r="F116" s="25" t="e">
        <f t="shared" si="205"/>
        <v>#DIV/0!</v>
      </c>
      <c r="G116" s="25" t="e">
        <f t="shared" si="205"/>
        <v>#DIV/0!</v>
      </c>
      <c r="H116" s="25" t="e">
        <f t="shared" si="205"/>
        <v>#DIV/0!</v>
      </c>
      <c r="I116" s="25">
        <f t="shared" si="205"/>
        <v>0.38220000000000004</v>
      </c>
      <c r="J116" s="25">
        <f t="shared" si="205"/>
        <v>30.14354066985646</v>
      </c>
      <c r="K116" s="25">
        <f t="shared" si="205"/>
        <v>8.9729729729729729E-2</v>
      </c>
      <c r="L116" s="25">
        <f t="shared" si="205"/>
        <v>3.2941176470588238E-2</v>
      </c>
      <c r="M116" s="25">
        <f t="shared" si="205"/>
        <v>0.16387959866220736</v>
      </c>
      <c r="N116" s="25">
        <f t="shared" si="205"/>
        <v>1.1049773755656109</v>
      </c>
      <c r="O116" s="25">
        <f t="shared" si="205"/>
        <v>0.24095394736842107</v>
      </c>
      <c r="P116" s="25">
        <f t="shared" si="205"/>
        <v>5.7447402429568371</v>
      </c>
      <c r="Q116" s="118" t="e">
        <f t="shared" si="194"/>
        <v>#DIV/0!</v>
      </c>
      <c r="R116" s="128"/>
      <c r="S116" s="119">
        <f t="shared" ref="S116:AB116" si="206">S112/S57</f>
        <v>6.8936882915482034</v>
      </c>
      <c r="T116" s="119">
        <f t="shared" si="206"/>
        <v>8.2724259498578441</v>
      </c>
      <c r="U116" s="119">
        <f t="shared" si="206"/>
        <v>9.9269111398294143</v>
      </c>
      <c r="V116" s="119">
        <f t="shared" si="206"/>
        <v>11.912293367795295</v>
      </c>
      <c r="W116" s="119">
        <f t="shared" si="206"/>
        <v>14.294752041354352</v>
      </c>
      <c r="X116" s="119">
        <f t="shared" si="206"/>
        <v>17.153702449625222</v>
      </c>
      <c r="Y116" s="119">
        <f t="shared" si="206"/>
        <v>20.584442939550264</v>
      </c>
      <c r="Z116" s="119">
        <f t="shared" si="206"/>
        <v>24.701331527460312</v>
      </c>
      <c r="AA116" s="119">
        <f t="shared" si="206"/>
        <v>29.641597832952375</v>
      </c>
      <c r="AB116" s="119">
        <f t="shared" si="206"/>
        <v>35.569917399542852</v>
      </c>
      <c r="AC116" s="138" t="e">
        <f t="shared" si="197"/>
        <v>#DIV/0!</v>
      </c>
      <c r="AD116" s="31">
        <v>0.08</v>
      </c>
      <c r="AE116" s="127" t="e">
        <f t="shared" si="198"/>
        <v>#DIV/0!</v>
      </c>
    </row>
    <row r="117" spans="2:31" x14ac:dyDescent="0.2">
      <c r="B117" s="20" t="s">
        <v>282</v>
      </c>
      <c r="C117" s="25" t="e">
        <f>C113/C80</f>
        <v>#DIV/0!</v>
      </c>
      <c r="D117" s="25" t="e">
        <f>D113/D80</f>
        <v>#DIV/0!</v>
      </c>
      <c r="E117" s="25" t="e">
        <f>E113/E80</f>
        <v>#DIV/0!</v>
      </c>
      <c r="F117" s="25" t="e">
        <f>F113/F80</f>
        <v>#DIV/0!</v>
      </c>
      <c r="G117" s="25" t="e">
        <f t="shared" ref="G117:P117" si="207">G112/G51</f>
        <v>#DIV/0!</v>
      </c>
      <c r="H117" s="25" t="e">
        <f t="shared" si="207"/>
        <v>#DIV/0!</v>
      </c>
      <c r="I117" s="25">
        <f t="shared" si="207"/>
        <v>0.53589455973079092</v>
      </c>
      <c r="J117" s="25">
        <f t="shared" si="207"/>
        <v>-16.258064516129032</v>
      </c>
      <c r="K117" s="25">
        <f t="shared" si="207"/>
        <v>0.12648307390878413</v>
      </c>
      <c r="L117" s="25">
        <f t="shared" si="207"/>
        <v>3.2463768115942031E-2</v>
      </c>
      <c r="M117" s="25">
        <f t="shared" si="207"/>
        <v>0.15857605177993528</v>
      </c>
      <c r="N117" s="25">
        <f t="shared" si="207"/>
        <v>1.0734065934065935</v>
      </c>
      <c r="O117" s="25">
        <f t="shared" si="207"/>
        <v>0.22573189522342066</v>
      </c>
      <c r="P117" s="25">
        <f t="shared" si="207"/>
        <v>1.1496612010551903</v>
      </c>
      <c r="Q117" s="118" t="e">
        <f t="shared" ref="Q117" si="208">((P117/G117)^(1/($H$2-$H$1) ))-1</f>
        <v>#DIV/0!</v>
      </c>
      <c r="R117" s="128"/>
      <c r="S117" s="135">
        <f t="shared" ref="S117:AB117" si="209">S112/S51</f>
        <v>1.3795934412662285</v>
      </c>
      <c r="T117" s="135">
        <f t="shared" si="209"/>
        <v>1.6555121295194744</v>
      </c>
      <c r="U117" s="135">
        <f t="shared" si="209"/>
        <v>1.986614555423369</v>
      </c>
      <c r="V117" s="135">
        <f t="shared" si="209"/>
        <v>2.3839374665080424</v>
      </c>
      <c r="W117" s="135">
        <f t="shared" si="209"/>
        <v>2.8607249598096507</v>
      </c>
      <c r="X117" s="135">
        <f t="shared" si="209"/>
        <v>3.4328699517715813</v>
      </c>
      <c r="Y117" s="135">
        <f t="shared" si="209"/>
        <v>4.1194439421258968</v>
      </c>
      <c r="Z117" s="135">
        <f t="shared" si="209"/>
        <v>4.9433327305510746</v>
      </c>
      <c r="AA117" s="135">
        <f t="shared" si="209"/>
        <v>5.9319992766612906</v>
      </c>
      <c r="AB117" s="135">
        <f t="shared" si="209"/>
        <v>7.1183991319935478</v>
      </c>
      <c r="AC117" s="138" t="e">
        <f t="shared" ref="AC117" si="210">((AB117/G117)^(1/($AB$3-$H$1) ))-1</f>
        <v>#DIV/0!</v>
      </c>
      <c r="AD117" s="31">
        <v>0.08</v>
      </c>
      <c r="AE117" s="127" t="e">
        <f t="shared" si="198"/>
        <v>#DIV/0!</v>
      </c>
    </row>
    <row r="118" spans="2:31" x14ac:dyDescent="0.2">
      <c r="B118" s="20" t="s">
        <v>325</v>
      </c>
      <c r="C118" s="163">
        <f t="shared" ref="C118:O118" si="211">C44/C112</f>
        <v>0</v>
      </c>
      <c r="D118" s="163">
        <f t="shared" si="211"/>
        <v>0</v>
      </c>
      <c r="E118" s="163">
        <f t="shared" si="211"/>
        <v>0</v>
      </c>
      <c r="F118" s="163">
        <f t="shared" si="211"/>
        <v>0</v>
      </c>
      <c r="G118" s="163" t="e">
        <f t="shared" si="211"/>
        <v>#DIV/0!</v>
      </c>
      <c r="H118" s="163" t="e">
        <f t="shared" si="211"/>
        <v>#DIV/0!</v>
      </c>
      <c r="I118" s="163">
        <f t="shared" si="211"/>
        <v>7.8492935635792779E-2</v>
      </c>
      <c r="J118" s="163">
        <f t="shared" si="211"/>
        <v>7.9365079365079375E-2</v>
      </c>
      <c r="K118" s="163">
        <f t="shared" si="211"/>
        <v>0.9896729776247849</v>
      </c>
      <c r="L118" s="163">
        <f t="shared" si="211"/>
        <v>1.1160714285714286</v>
      </c>
      <c r="M118" s="163">
        <f t="shared" si="211"/>
        <v>0.26530612244897961</v>
      </c>
      <c r="N118" s="163">
        <f t="shared" si="211"/>
        <v>0.33783783783783783</v>
      </c>
      <c r="O118" s="163">
        <f t="shared" si="211"/>
        <v>0.45733788395904434</v>
      </c>
      <c r="P118" s="163">
        <f>P44/P112</f>
        <v>4.5855379188712526E-2</v>
      </c>
      <c r="Q118" s="128"/>
      <c r="R118" s="128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8"/>
      <c r="AD118" s="31"/>
      <c r="AE118" s="127"/>
    </row>
    <row r="119" spans="2:31" x14ac:dyDescent="0.2">
      <c r="B119" s="20" t="s">
        <v>326</v>
      </c>
      <c r="C119" s="153">
        <f t="shared" ref="C119:O119" si="212">C38/C112</f>
        <v>7.1428571428571425E-2</v>
      </c>
      <c r="D119" s="153">
        <f t="shared" si="212"/>
        <v>7.1428571428571425E-2</v>
      </c>
      <c r="E119" s="153">
        <f t="shared" si="212"/>
        <v>7.1428571428571425E-2</v>
      </c>
      <c r="F119" s="153">
        <f t="shared" si="212"/>
        <v>0</v>
      </c>
      <c r="G119" s="153">
        <f t="shared" si="212"/>
        <v>7.1428571428571429E-4</v>
      </c>
      <c r="H119" s="153">
        <f t="shared" si="212"/>
        <v>0</v>
      </c>
      <c r="I119" s="153">
        <f t="shared" si="212"/>
        <v>0</v>
      </c>
      <c r="J119" s="153">
        <f t="shared" si="212"/>
        <v>0.35714285714285715</v>
      </c>
      <c r="K119" s="153">
        <f t="shared" si="212"/>
        <v>2.8571428571428574E-2</v>
      </c>
      <c r="L119" s="153">
        <f t="shared" si="212"/>
        <v>1.4285714285714287E-2</v>
      </c>
      <c r="M119" s="153">
        <f t="shared" si="212"/>
        <v>3.5714285714285713E-3</v>
      </c>
      <c r="N119" s="153">
        <f t="shared" si="212"/>
        <v>5.0000000000000001E-3</v>
      </c>
      <c r="O119" s="153">
        <f t="shared" si="212"/>
        <v>6.9999999999999993E-3</v>
      </c>
      <c r="P119" s="153">
        <f>P38/P112</f>
        <v>2.0408163265306121E-2</v>
      </c>
      <c r="Q119" s="128"/>
      <c r="R119" s="128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  <c r="AC119" s="138"/>
      <c r="AD119" s="31"/>
      <c r="AE119" s="127"/>
    </row>
    <row r="120" spans="2:31" x14ac:dyDescent="0.2">
      <c r="B120" s="20"/>
      <c r="C120" s="153"/>
      <c r="D120" s="153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  <c r="O120" s="153"/>
      <c r="P120" s="153"/>
      <c r="Q120" s="128"/>
      <c r="R120" s="128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8"/>
      <c r="AD120" s="31"/>
      <c r="AE120" s="127"/>
    </row>
    <row r="121" spans="2:31" x14ac:dyDescent="0.2">
      <c r="B121" s="20"/>
      <c r="C121" s="129"/>
      <c r="D121" s="129"/>
      <c r="E121" s="129"/>
      <c r="F121" s="129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28"/>
      <c r="R121" s="128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7"/>
      <c r="AD121" s="20"/>
      <c r="AE121" s="127"/>
    </row>
    <row r="122" spans="2:31" x14ac:dyDescent="0.2">
      <c r="B122" s="108" t="s">
        <v>304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137"/>
      <c r="AD122" s="20"/>
      <c r="AE122" s="20"/>
    </row>
    <row r="123" spans="2:31" x14ac:dyDescent="0.2">
      <c r="B123" s="20" t="s">
        <v>301</v>
      </c>
      <c r="C123" s="20" t="s">
        <v>318</v>
      </c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128">
        <f>(P112-R100)/P112</f>
        <v>0.84271495388010476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137"/>
      <c r="AD123" s="20"/>
      <c r="AE123" s="20"/>
    </row>
    <row r="124" spans="2:31" x14ac:dyDescent="0.2">
      <c r="B124" s="20" t="s">
        <v>302</v>
      </c>
      <c r="C124" s="20" t="s">
        <v>318</v>
      </c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128" t="e">
        <f>(P112-R91)/P112</f>
        <v>#DIV/0!</v>
      </c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137"/>
      <c r="AD124" s="20"/>
      <c r="AE124" s="20"/>
    </row>
    <row r="125" spans="2:31" x14ac:dyDescent="0.2">
      <c r="B125" s="20" t="s">
        <v>303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5" t="e">
        <f>P112/R83</f>
        <v>#DIV/0!</v>
      </c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137"/>
      <c r="AD125" s="20"/>
      <c r="AE125" s="20"/>
    </row>
    <row r="126" spans="2:31" x14ac:dyDescent="0.2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</row>
    <row r="127" spans="2:31" x14ac:dyDescent="0.2">
      <c r="B127" s="108" t="s">
        <v>305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</row>
    <row r="128" spans="2:31" x14ac:dyDescent="0.2">
      <c r="B128" s="20" t="s">
        <v>308</v>
      </c>
      <c r="C128" s="25" t="e">
        <f>C10/C7</f>
        <v>#DIV/0!</v>
      </c>
      <c r="D128" s="25" t="e">
        <f>D10/D7</f>
        <v>#DIV/0!</v>
      </c>
      <c r="E128" s="25" t="e">
        <f>E10/E7</f>
        <v>#DIV/0!</v>
      </c>
      <c r="F128" s="25" t="e">
        <f>F10/F7</f>
        <v>#DIV/0!</v>
      </c>
      <c r="G128" s="25">
        <f>G10/G7</f>
        <v>0</v>
      </c>
      <c r="H128" s="25" t="e">
        <f t="shared" ref="H128:P128" si="213">H10/H7</f>
        <v>#DIV/0!</v>
      </c>
      <c r="I128" s="25">
        <f t="shared" si="213"/>
        <v>1.7716535433070866</v>
      </c>
      <c r="J128" s="25">
        <f t="shared" si="213"/>
        <v>1.8488372093023255</v>
      </c>
      <c r="K128" s="25">
        <f t="shared" si="213"/>
        <v>1.4342105263157894</v>
      </c>
      <c r="L128" s="25">
        <f t="shared" si="213"/>
        <v>1</v>
      </c>
      <c r="M128" s="25">
        <f t="shared" si="213"/>
        <v>1</v>
      </c>
      <c r="N128" s="25">
        <f t="shared" si="213"/>
        <v>1</v>
      </c>
      <c r="O128" s="25">
        <f t="shared" si="213"/>
        <v>1.0023310023310024</v>
      </c>
      <c r="P128" s="25">
        <f t="shared" si="213"/>
        <v>0</v>
      </c>
      <c r="Q128" s="118" t="e">
        <f t="shared" ref="Q128:Q130" si="214">((P128/G128)^(1/($H$2-$H$1) ))-1</f>
        <v>#DIV/0!</v>
      </c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</row>
    <row r="129" spans="2:31" x14ac:dyDescent="0.2">
      <c r="B129" s="20" t="s">
        <v>309</v>
      </c>
      <c r="C129" s="112" t="e">
        <f>C10/C12</f>
        <v>#DIV/0!</v>
      </c>
      <c r="D129" s="112" t="e">
        <f>D10/D12</f>
        <v>#DIV/0!</v>
      </c>
      <c r="E129" s="112" t="e">
        <f>E10/E12</f>
        <v>#DIV/0!</v>
      </c>
      <c r="F129" s="112" t="e">
        <f>F10/F12</f>
        <v>#DIV/0!</v>
      </c>
      <c r="G129" s="112" t="e">
        <f>G10/G12</f>
        <v>#DIV/0!</v>
      </c>
      <c r="H129" s="112" t="e">
        <f t="shared" ref="H129:P129" si="215">H10/H12</f>
        <v>#DIV/0!</v>
      </c>
      <c r="I129" s="112">
        <f t="shared" si="215"/>
        <v>25.531914893617024</v>
      </c>
      <c r="J129" s="112">
        <f t="shared" si="215"/>
        <v>26.5</v>
      </c>
      <c r="K129" s="112">
        <f t="shared" si="215"/>
        <v>3.7586206896551726</v>
      </c>
      <c r="L129" s="112">
        <f t="shared" si="215"/>
        <v>20.3125</v>
      </c>
      <c r="M129" s="112">
        <f t="shared" si="215"/>
        <v>5.8695652173913047</v>
      </c>
      <c r="N129" s="112">
        <f t="shared" si="215"/>
        <v>3.15625</v>
      </c>
      <c r="O129" s="112">
        <f t="shared" si="215"/>
        <v>3.1617647058823528</v>
      </c>
      <c r="P129" s="112">
        <f t="shared" si="215"/>
        <v>0</v>
      </c>
      <c r="Q129" s="118" t="e">
        <f t="shared" si="214"/>
        <v>#DIV/0!</v>
      </c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</row>
    <row r="130" spans="2:31" x14ac:dyDescent="0.2">
      <c r="B130" s="20" t="s">
        <v>310</v>
      </c>
      <c r="C130" s="25" t="e">
        <f>C10/(C12+C13)</f>
        <v>#DIV/0!</v>
      </c>
      <c r="D130" s="25" t="e">
        <f>D10/(D12+D13)</f>
        <v>#DIV/0!</v>
      </c>
      <c r="E130" s="25" t="e">
        <f>E10/(E12+E13)</f>
        <v>#DIV/0!</v>
      </c>
      <c r="F130" s="25" t="e">
        <f>F10/(F12+F13)</f>
        <v>#DIV/0!</v>
      </c>
      <c r="G130" s="25" t="e">
        <f>G10/(G12+G13)</f>
        <v>#DIV/0!</v>
      </c>
      <c r="H130" s="25" t="e">
        <f t="shared" ref="H130:P130" si="216">H10/(H12+H13)</f>
        <v>#DIV/0!</v>
      </c>
      <c r="I130" s="25">
        <f t="shared" si="216"/>
        <v>22.222222222222225</v>
      </c>
      <c r="J130" s="25">
        <f t="shared" si="216"/>
        <v>0.87362637362637363</v>
      </c>
      <c r="K130" s="25">
        <f t="shared" si="216"/>
        <v>0.92897727272727271</v>
      </c>
      <c r="L130" s="25">
        <f t="shared" si="216"/>
        <v>1.3541666666666667</v>
      </c>
      <c r="M130" s="25">
        <f t="shared" si="216"/>
        <v>1.238532110091743</v>
      </c>
      <c r="N130" s="25">
        <f t="shared" si="216"/>
        <v>0.89380530973451322</v>
      </c>
      <c r="O130" s="25">
        <f t="shared" si="216"/>
        <v>1.5925925925925926</v>
      </c>
      <c r="P130" s="25">
        <f t="shared" si="216"/>
        <v>0</v>
      </c>
      <c r="Q130" s="118" t="e">
        <f t="shared" si="214"/>
        <v>#DIV/0!</v>
      </c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</row>
    <row r="131" spans="2:31" x14ac:dyDescent="0.2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</row>
    <row r="133" spans="2:31" x14ac:dyDescent="0.2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</row>
    <row r="134" spans="2:31" x14ac:dyDescent="0.2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</row>
  </sheetData>
  <mergeCells count="2">
    <mergeCell ref="AD2:AE2"/>
    <mergeCell ref="AD3:AE3"/>
  </mergeCells>
  <pageMargins left="0.7" right="0.7" top="0.75" bottom="0.75" header="0.3" footer="0.3"/>
  <pageSetup orientation="portrait" r:id="rId1"/>
  <ignoredErrors>
    <ignoredError sqref="C113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D1" zoomScale="80" zoomScaleNormal="80" workbookViewId="0">
      <selection activeCell="F33" sqref="F3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68" t="s">
        <v>27</v>
      </c>
      <c r="K5" s="168"/>
      <c r="M5" s="168" t="s">
        <v>65</v>
      </c>
      <c r="N5" s="168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68" t="s">
        <v>36</v>
      </c>
      <c r="K14" s="168"/>
      <c r="L14" s="168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68" t="s">
        <v>27</v>
      </c>
      <c r="S5" s="168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68" t="s">
        <v>36</v>
      </c>
      <c r="S14" s="168"/>
      <c r="T14" s="168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68" t="s">
        <v>27</v>
      </c>
      <c r="C2" s="168"/>
      <c r="E2" s="168" t="s">
        <v>65</v>
      </c>
      <c r="F2" s="168"/>
      <c r="H2" s="172" t="s">
        <v>36</v>
      </c>
      <c r="I2" s="173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69" t="s">
        <v>68</v>
      </c>
      <c r="E10" s="170"/>
      <c r="F10" s="170"/>
      <c r="G10" s="170"/>
      <c r="H10" s="171"/>
      <c r="I10" s="169" t="s">
        <v>72</v>
      </c>
      <c r="J10" s="170"/>
      <c r="K10" s="170"/>
      <c r="L10" s="171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2013-08-03T16:39:25Z</dcterms:modified>
</cp:coreProperties>
</file>
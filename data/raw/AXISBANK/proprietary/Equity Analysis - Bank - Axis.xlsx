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R69" i="18"/>
  <c r="S69" s="1"/>
  <c r="T69" s="1"/>
  <c r="U69" s="1"/>
  <c r="V69" s="1"/>
  <c r="W69" s="1"/>
  <c r="X69" s="1"/>
  <c r="Y69" s="1"/>
  <c r="Z69" s="1"/>
  <c r="AA69" s="1"/>
  <c r="AB69" s="1"/>
  <c r="AE69" s="1"/>
  <c r="R62"/>
  <c r="S62" s="1"/>
  <c r="T62" s="1"/>
  <c r="U62" s="1"/>
  <c r="V62" s="1"/>
  <c r="W62" s="1"/>
  <c r="X62" s="1"/>
  <c r="Y62" s="1"/>
  <c r="Z62" s="1"/>
  <c r="AA62" s="1"/>
  <c r="AB62" s="1"/>
  <c r="R61"/>
  <c r="S61" s="1"/>
  <c r="T61" s="1"/>
  <c r="U61" s="1"/>
  <c r="V61" s="1"/>
  <c r="W61" s="1"/>
  <c r="X61" s="1"/>
  <c r="Y61" s="1"/>
  <c r="Z61" s="1"/>
  <c r="AA61" s="1"/>
  <c r="AB61" s="1"/>
  <c r="R60"/>
  <c r="S60" s="1"/>
  <c r="T60" s="1"/>
  <c r="U60" s="1"/>
  <c r="V60" s="1"/>
  <c r="W60" s="1"/>
  <c r="X60" s="1"/>
  <c r="Y60" s="1"/>
  <c r="Z60" s="1"/>
  <c r="AA60" s="1"/>
  <c r="AB60" s="1"/>
  <c r="R59"/>
  <c r="S59" s="1"/>
  <c r="T59" s="1"/>
  <c r="U59" s="1"/>
  <c r="V59" s="1"/>
  <c r="W59" s="1"/>
  <c r="X59" s="1"/>
  <c r="Y59" s="1"/>
  <c r="Z59" s="1"/>
  <c r="AA59" s="1"/>
  <c r="AB59" s="1"/>
  <c r="R55"/>
  <c r="R54"/>
  <c r="R52"/>
  <c r="R50"/>
  <c r="S50" s="1"/>
  <c r="T50" s="1"/>
  <c r="U50" s="1"/>
  <c r="V50" s="1"/>
  <c r="W50" s="1"/>
  <c r="X50" s="1"/>
  <c r="Y50" s="1"/>
  <c r="Z50" s="1"/>
  <c r="AA50" s="1"/>
  <c r="AB50" s="1"/>
  <c r="AE50" s="1"/>
  <c r="R48"/>
  <c r="S48" s="1"/>
  <c r="T48" s="1"/>
  <c r="U48" s="1"/>
  <c r="V48" s="1"/>
  <c r="W48" s="1"/>
  <c r="X48" s="1"/>
  <c r="Y48" s="1"/>
  <c r="Z48" s="1"/>
  <c r="AA48" s="1"/>
  <c r="AB48" s="1"/>
  <c r="R46"/>
  <c r="R44"/>
  <c r="R41"/>
  <c r="S41" s="1"/>
  <c r="T41" s="1"/>
  <c r="U41" s="1"/>
  <c r="V41" s="1"/>
  <c r="W41" s="1"/>
  <c r="X41" s="1"/>
  <c r="Y41" s="1"/>
  <c r="Z41" s="1"/>
  <c r="AA41" s="1"/>
  <c r="AB41" s="1"/>
  <c r="AE41" s="1"/>
  <c r="R39"/>
  <c r="R37"/>
  <c r="S37" s="1"/>
  <c r="T37" s="1"/>
  <c r="U37" s="1"/>
  <c r="V37" s="1"/>
  <c r="W37" s="1"/>
  <c r="X37" s="1"/>
  <c r="Y37" s="1"/>
  <c r="Z37" s="1"/>
  <c r="AA37" s="1"/>
  <c r="AB37" s="1"/>
  <c r="AE37" s="1"/>
  <c r="R35"/>
  <c r="S35" s="1"/>
  <c r="T35" s="1"/>
  <c r="U35" s="1"/>
  <c r="V35" s="1"/>
  <c r="W35" s="1"/>
  <c r="X35" s="1"/>
  <c r="Y35" s="1"/>
  <c r="Z35" s="1"/>
  <c r="AA35" s="1"/>
  <c r="AB35" s="1"/>
  <c r="AE35" s="1"/>
  <c r="R32"/>
  <c r="S32" s="1"/>
  <c r="T32" s="1"/>
  <c r="U32" s="1"/>
  <c r="V32" s="1"/>
  <c r="W32" s="1"/>
  <c r="X32" s="1"/>
  <c r="Y32" s="1"/>
  <c r="Z32" s="1"/>
  <c r="AA32" s="1"/>
  <c r="AB32" s="1"/>
  <c r="R31"/>
  <c r="S31" s="1"/>
  <c r="T31" s="1"/>
  <c r="U31" s="1"/>
  <c r="V31" s="1"/>
  <c r="W31" s="1"/>
  <c r="X31" s="1"/>
  <c r="Y31" s="1"/>
  <c r="Z31" s="1"/>
  <c r="AA31" s="1"/>
  <c r="AB31" s="1"/>
  <c r="R30"/>
  <c r="S30" s="1"/>
  <c r="T30" s="1"/>
  <c r="U30" s="1"/>
  <c r="V30" s="1"/>
  <c r="W30" s="1"/>
  <c r="X30" s="1"/>
  <c r="Y30" s="1"/>
  <c r="Z30" s="1"/>
  <c r="AA30" s="1"/>
  <c r="AB30" s="1"/>
  <c r="R29"/>
  <c r="S29" s="1"/>
  <c r="T29" s="1"/>
  <c r="U29" s="1"/>
  <c r="V29" s="1"/>
  <c r="W29" s="1"/>
  <c r="X29" s="1"/>
  <c r="Y29" s="1"/>
  <c r="Z29" s="1"/>
  <c r="AA29" s="1"/>
  <c r="AB29" s="1"/>
  <c r="R20"/>
  <c r="S20" s="1"/>
  <c r="T20" s="1"/>
  <c r="U20" s="1"/>
  <c r="V20" s="1"/>
  <c r="W20" s="1"/>
  <c r="X20" s="1"/>
  <c r="Y20" s="1"/>
  <c r="Z20" s="1"/>
  <c r="AA20" s="1"/>
  <c r="AB20" s="1"/>
  <c r="AE20" s="1"/>
  <c r="R19"/>
  <c r="S19" s="1"/>
  <c r="T19" s="1"/>
  <c r="U19" s="1"/>
  <c r="V19" s="1"/>
  <c r="W19" s="1"/>
  <c r="X19" s="1"/>
  <c r="Y19" s="1"/>
  <c r="Z19" s="1"/>
  <c r="AA19" s="1"/>
  <c r="AB19" s="1"/>
  <c r="AE19" s="1"/>
  <c r="R14"/>
  <c r="R13"/>
  <c r="S13" s="1"/>
  <c r="T13" s="1"/>
  <c r="U13" s="1"/>
  <c r="V13" s="1"/>
  <c r="W13" s="1"/>
  <c r="X13" s="1"/>
  <c r="Y13" s="1"/>
  <c r="Z13" s="1"/>
  <c r="AA13" s="1"/>
  <c r="AB13" s="1"/>
  <c r="AE13" s="1"/>
  <c r="R12"/>
  <c r="R10"/>
  <c r="R9"/>
  <c r="R7"/>
  <c r="H12"/>
  <c r="I12"/>
  <c r="J12"/>
  <c r="K12"/>
  <c r="L12"/>
  <c r="M12"/>
  <c r="N12"/>
  <c r="O12"/>
  <c r="P12"/>
  <c r="G12"/>
  <c r="P49"/>
  <c r="O49"/>
  <c r="N49"/>
  <c r="M49"/>
  <c r="L49"/>
  <c r="K49"/>
  <c r="J49"/>
  <c r="I49"/>
  <c r="H49"/>
  <c r="G49"/>
  <c r="Q48"/>
  <c r="AD32"/>
  <c r="AD31"/>
  <c r="AD30"/>
  <c r="AD29"/>
  <c r="AD89"/>
  <c r="AD62"/>
  <c r="AD61"/>
  <c r="AD60"/>
  <c r="AD59"/>
  <c r="Q19"/>
  <c r="Q69"/>
  <c r="Q62"/>
  <c r="Q61"/>
  <c r="Q60"/>
  <c r="Q59"/>
  <c r="P33"/>
  <c r="O33"/>
  <c r="N33"/>
  <c r="M33"/>
  <c r="L33"/>
  <c r="K33"/>
  <c r="J33"/>
  <c r="I33"/>
  <c r="H33"/>
  <c r="G33"/>
  <c r="Q32"/>
  <c r="Q31"/>
  <c r="Q30"/>
  <c r="Q29"/>
  <c r="P51"/>
  <c r="O51"/>
  <c r="N51"/>
  <c r="M51"/>
  <c r="L51"/>
  <c r="K51"/>
  <c r="J51"/>
  <c r="I51"/>
  <c r="H51"/>
  <c r="G51"/>
  <c r="Q50"/>
  <c r="P42"/>
  <c r="O42"/>
  <c r="N42"/>
  <c r="M42"/>
  <c r="L42"/>
  <c r="K42"/>
  <c r="J42"/>
  <c r="I42"/>
  <c r="H42"/>
  <c r="G42"/>
  <c r="Q41"/>
  <c r="P40"/>
  <c r="O40"/>
  <c r="N40"/>
  <c r="M40"/>
  <c r="L40"/>
  <c r="K40"/>
  <c r="J40"/>
  <c r="I40"/>
  <c r="H40"/>
  <c r="G40"/>
  <c r="S39"/>
  <c r="T39" s="1"/>
  <c r="U39" s="1"/>
  <c r="V39" s="1"/>
  <c r="W39" s="1"/>
  <c r="X39" s="1"/>
  <c r="Y39" s="1"/>
  <c r="Z39" s="1"/>
  <c r="AA39" s="1"/>
  <c r="AB39" s="1"/>
  <c r="AE39" s="1"/>
  <c r="Q39"/>
  <c r="P38"/>
  <c r="O38"/>
  <c r="N38"/>
  <c r="M38"/>
  <c r="L38"/>
  <c r="K38"/>
  <c r="J38"/>
  <c r="I38"/>
  <c r="H38"/>
  <c r="G38"/>
  <c r="Q37"/>
  <c r="P36"/>
  <c r="O36"/>
  <c r="N36"/>
  <c r="M36"/>
  <c r="L36"/>
  <c r="K36"/>
  <c r="J36"/>
  <c r="I36"/>
  <c r="H36"/>
  <c r="G36"/>
  <c r="Q35"/>
  <c r="Q20"/>
  <c r="S14"/>
  <c r="T14" s="1"/>
  <c r="U14" s="1"/>
  <c r="V14" s="1"/>
  <c r="W14" s="1"/>
  <c r="X14" s="1"/>
  <c r="Y14" s="1"/>
  <c r="Z14" s="1"/>
  <c r="AA14" s="1"/>
  <c r="AB14" s="1"/>
  <c r="AE14" s="1"/>
  <c r="Q14"/>
  <c r="Q13"/>
  <c r="AC48" l="1"/>
  <c r="AE48"/>
  <c r="AC32"/>
  <c r="AE32"/>
  <c r="AC31"/>
  <c r="AE31"/>
  <c r="AE30"/>
  <c r="AC30"/>
  <c r="AE29"/>
  <c r="AC29"/>
  <c r="AC62"/>
  <c r="AE62"/>
  <c r="AC61"/>
  <c r="AE61"/>
  <c r="AE60"/>
  <c r="AC60"/>
  <c r="AC59"/>
  <c r="AE59"/>
  <c r="AC19"/>
  <c r="AC69"/>
  <c r="AC50"/>
  <c r="AC35"/>
  <c r="AC41"/>
  <c r="AC37"/>
  <c r="AC39"/>
  <c r="AC20"/>
  <c r="AC14"/>
  <c r="AC13"/>
  <c r="P110" l="1"/>
  <c r="P109"/>
  <c r="C110"/>
  <c r="D110"/>
  <c r="E110"/>
  <c r="F110"/>
  <c r="H110"/>
  <c r="I110"/>
  <c r="J110"/>
  <c r="K110"/>
  <c r="L110"/>
  <c r="M110"/>
  <c r="N110"/>
  <c r="O110"/>
  <c r="G110"/>
  <c r="G109"/>
  <c r="H137"/>
  <c r="I137"/>
  <c r="J137"/>
  <c r="K137"/>
  <c r="L137"/>
  <c r="M137"/>
  <c r="N137"/>
  <c r="O137"/>
  <c r="P137"/>
  <c r="G137"/>
  <c r="H136"/>
  <c r="I136"/>
  <c r="J136"/>
  <c r="K136"/>
  <c r="L136"/>
  <c r="M136"/>
  <c r="N136"/>
  <c r="O136"/>
  <c r="P136"/>
  <c r="G136"/>
  <c r="H133"/>
  <c r="I133"/>
  <c r="J133"/>
  <c r="K133"/>
  <c r="L133"/>
  <c r="M133"/>
  <c r="N133"/>
  <c r="O133"/>
  <c r="P133"/>
  <c r="G133"/>
  <c r="H134"/>
  <c r="I134"/>
  <c r="J134"/>
  <c r="K134"/>
  <c r="L134"/>
  <c r="M134"/>
  <c r="N134"/>
  <c r="O134"/>
  <c r="P134"/>
  <c r="G134"/>
  <c r="H132"/>
  <c r="I132"/>
  <c r="J132"/>
  <c r="K132"/>
  <c r="L132"/>
  <c r="M132"/>
  <c r="N132"/>
  <c r="O132"/>
  <c r="P132"/>
  <c r="G132"/>
  <c r="H131"/>
  <c r="I131"/>
  <c r="J131"/>
  <c r="K131"/>
  <c r="L131"/>
  <c r="M131"/>
  <c r="N131"/>
  <c r="O131"/>
  <c r="P131"/>
  <c r="G131"/>
  <c r="R172"/>
  <c r="H129"/>
  <c r="I129"/>
  <c r="J129"/>
  <c r="K129"/>
  <c r="L129"/>
  <c r="M129"/>
  <c r="N129"/>
  <c r="O129"/>
  <c r="P129"/>
  <c r="G129"/>
  <c r="H128"/>
  <c r="I128"/>
  <c r="J128"/>
  <c r="K128"/>
  <c r="L128"/>
  <c r="M128"/>
  <c r="N128"/>
  <c r="O128"/>
  <c r="P128"/>
  <c r="G128"/>
  <c r="H127"/>
  <c r="I127"/>
  <c r="J127"/>
  <c r="K127"/>
  <c r="L127"/>
  <c r="M127"/>
  <c r="N127"/>
  <c r="O127"/>
  <c r="P127"/>
  <c r="G127"/>
  <c r="B129"/>
  <c r="B128"/>
  <c r="K187"/>
  <c r="K186"/>
  <c r="K185"/>
  <c r="S68"/>
  <c r="AD55"/>
  <c r="S55"/>
  <c r="T55" s="1"/>
  <c r="U55" s="1"/>
  <c r="V55" s="1"/>
  <c r="W55" s="1"/>
  <c r="X55" s="1"/>
  <c r="Y55" s="1"/>
  <c r="Z55" s="1"/>
  <c r="AA55" s="1"/>
  <c r="AB55" s="1"/>
  <c r="Q55"/>
  <c r="G117"/>
  <c r="H117"/>
  <c r="I117"/>
  <c r="J117"/>
  <c r="K117"/>
  <c r="L117"/>
  <c r="M117"/>
  <c r="N117"/>
  <c r="O117"/>
  <c r="P117"/>
  <c r="Q203"/>
  <c r="K202"/>
  <c r="Q200"/>
  <c r="K200"/>
  <c r="F125"/>
  <c r="H125"/>
  <c r="I125"/>
  <c r="J125"/>
  <c r="K125"/>
  <c r="L125"/>
  <c r="M125"/>
  <c r="N125"/>
  <c r="O125"/>
  <c r="P125"/>
  <c r="G125"/>
  <c r="F124"/>
  <c r="H124"/>
  <c r="I124"/>
  <c r="J124"/>
  <c r="K124"/>
  <c r="L124"/>
  <c r="M124"/>
  <c r="N124"/>
  <c r="O124"/>
  <c r="P124"/>
  <c r="G124"/>
  <c r="Q110" l="1"/>
  <c r="Q131"/>
  <c r="Q136"/>
  <c r="Q132"/>
  <c r="Q133"/>
  <c r="Q137"/>
  <c r="Q134"/>
  <c r="Q127"/>
  <c r="Q128"/>
  <c r="Q129"/>
  <c r="Q117"/>
  <c r="AC55"/>
  <c r="AE55"/>
  <c r="K205"/>
  <c r="Q205"/>
  <c r="Q125"/>
  <c r="Q124"/>
  <c r="R15"/>
  <c r="R16"/>
  <c r="R17"/>
  <c r="R22"/>
  <c r="R24"/>
  <c r="R25"/>
  <c r="R26"/>
  <c r="R27"/>
  <c r="S54"/>
  <c r="T54" s="1"/>
  <c r="U54" s="1"/>
  <c r="V54" s="1"/>
  <c r="W54" s="1"/>
  <c r="X54" s="1"/>
  <c r="Y54" s="1"/>
  <c r="Z54" s="1"/>
  <c r="AA54" s="1"/>
  <c r="AB54" s="1"/>
  <c r="R56"/>
  <c r="R57"/>
  <c r="R64"/>
  <c r="R66"/>
  <c r="R6"/>
  <c r="AD9"/>
  <c r="AD10"/>
  <c r="AD11"/>
  <c r="AD12"/>
  <c r="AD15"/>
  <c r="AD16"/>
  <c r="AD17"/>
  <c r="AD22"/>
  <c r="AD24"/>
  <c r="AD25"/>
  <c r="AD26"/>
  <c r="AD27"/>
  <c r="AD44"/>
  <c r="AD46"/>
  <c r="AD52"/>
  <c r="AD54"/>
  <c r="AD56"/>
  <c r="AD57"/>
  <c r="AD64"/>
  <c r="AD66"/>
  <c r="AD68"/>
  <c r="AD70"/>
  <c r="AD73"/>
  <c r="AD74"/>
  <c r="AD76"/>
  <c r="AD77"/>
  <c r="AD78"/>
  <c r="AD79"/>
  <c r="AD81"/>
  <c r="AD82"/>
  <c r="AD83"/>
  <c r="AD85"/>
  <c r="AD86"/>
  <c r="AD87"/>
  <c r="AD88"/>
  <c r="AD91"/>
  <c r="AD93"/>
  <c r="AD95"/>
  <c r="AD96"/>
  <c r="AD97"/>
  <c r="AD98"/>
  <c r="AD99"/>
  <c r="AD101"/>
  <c r="AD102"/>
  <c r="AD103"/>
  <c r="AD7"/>
  <c r="AD6"/>
  <c r="G114" l="1"/>
  <c r="F114"/>
  <c r="H114"/>
  <c r="I114"/>
  <c r="J114"/>
  <c r="K114"/>
  <c r="L114"/>
  <c r="M114"/>
  <c r="N114"/>
  <c r="O114"/>
  <c r="P114"/>
  <c r="Q114" l="1"/>
  <c r="H112"/>
  <c r="I112"/>
  <c r="J112"/>
  <c r="K112"/>
  <c r="L112"/>
  <c r="M112"/>
  <c r="N112"/>
  <c r="O112"/>
  <c r="P112"/>
  <c r="H113"/>
  <c r="I113"/>
  <c r="J113"/>
  <c r="K113"/>
  <c r="L113"/>
  <c r="M113"/>
  <c r="N113"/>
  <c r="O113"/>
  <c r="P113"/>
  <c r="G113"/>
  <c r="G112"/>
  <c r="S52"/>
  <c r="T52" s="1"/>
  <c r="U52" s="1"/>
  <c r="V52" s="1"/>
  <c r="W52" s="1"/>
  <c r="X52" s="1"/>
  <c r="Y52" s="1"/>
  <c r="Z52" s="1"/>
  <c r="AA52" s="1"/>
  <c r="AB52" s="1"/>
  <c r="Q52"/>
  <c r="P53"/>
  <c r="O53"/>
  <c r="N53"/>
  <c r="M53"/>
  <c r="L53"/>
  <c r="K53"/>
  <c r="J53"/>
  <c r="I53"/>
  <c r="H53"/>
  <c r="G53"/>
  <c r="Q111"/>
  <c r="Q113" l="1"/>
  <c r="Q112"/>
  <c r="AE52"/>
  <c r="AC52"/>
  <c r="H116"/>
  <c r="I116"/>
  <c r="J116"/>
  <c r="K116"/>
  <c r="L116"/>
  <c r="M116"/>
  <c r="N116"/>
  <c r="O116"/>
  <c r="P116"/>
  <c r="G116"/>
  <c r="H115"/>
  <c r="I115"/>
  <c r="J115"/>
  <c r="K115"/>
  <c r="L115"/>
  <c r="M115"/>
  <c r="N115"/>
  <c r="O115"/>
  <c r="P115"/>
  <c r="G115"/>
  <c r="Q115" l="1"/>
  <c r="Q116"/>
  <c r="AE90"/>
  <c r="C180" l="1"/>
  <c r="D180"/>
  <c r="E180"/>
  <c r="F180"/>
  <c r="G180"/>
  <c r="H180"/>
  <c r="I180"/>
  <c r="J180"/>
  <c r="K180"/>
  <c r="L180"/>
  <c r="M180"/>
  <c r="N180"/>
  <c r="O180"/>
  <c r="P180"/>
  <c r="Q180" s="1"/>
  <c r="C9" i="15"/>
  <c r="D91" i="18"/>
  <c r="E91"/>
  <c r="E119" s="1"/>
  <c r="E120" s="1"/>
  <c r="F91"/>
  <c r="F119" s="1"/>
  <c r="F120" s="1"/>
  <c r="G91"/>
  <c r="G119" s="1"/>
  <c r="G120" s="1"/>
  <c r="H91"/>
  <c r="H119" s="1"/>
  <c r="H120" s="1"/>
  <c r="I91"/>
  <c r="I119" s="1"/>
  <c r="I120" s="1"/>
  <c r="J91"/>
  <c r="J119" s="1"/>
  <c r="J120" s="1"/>
  <c r="K91"/>
  <c r="K119" s="1"/>
  <c r="K120" s="1"/>
  <c r="L91"/>
  <c r="L119" s="1"/>
  <c r="L120" s="1"/>
  <c r="M91"/>
  <c r="M119" s="1"/>
  <c r="M120" s="1"/>
  <c r="N91"/>
  <c r="N119" s="1"/>
  <c r="N120" s="1"/>
  <c r="O91"/>
  <c r="O119" s="1"/>
  <c r="O120" s="1"/>
  <c r="P91"/>
  <c r="P119" s="1"/>
  <c r="C91"/>
  <c r="S70"/>
  <c r="S91" s="1"/>
  <c r="S119" s="1"/>
  <c r="S120" s="1"/>
  <c r="Q70"/>
  <c r="N121" l="1"/>
  <c r="N122" s="1"/>
  <c r="J121"/>
  <c r="J122" s="1"/>
  <c r="L121"/>
  <c r="L122" s="1"/>
  <c r="H121"/>
  <c r="H122" s="1"/>
  <c r="M121"/>
  <c r="M122" s="1"/>
  <c r="I121"/>
  <c r="I122" s="1"/>
  <c r="F121"/>
  <c r="F122" s="1"/>
  <c r="O121"/>
  <c r="O122" s="1"/>
  <c r="K121"/>
  <c r="K122" s="1"/>
  <c r="G121"/>
  <c r="G122" s="1"/>
  <c r="P120"/>
  <c r="Q119"/>
  <c r="T70"/>
  <c r="U70" s="1"/>
  <c r="V70" s="1"/>
  <c r="W70" s="1"/>
  <c r="P121" l="1"/>
  <c r="Q120"/>
  <c r="U91"/>
  <c r="X70"/>
  <c r="W91"/>
  <c r="V91"/>
  <c r="T91"/>
  <c r="C101"/>
  <c r="D101"/>
  <c r="E101"/>
  <c r="F101"/>
  <c r="G101"/>
  <c r="H101"/>
  <c r="I101"/>
  <c r="J101"/>
  <c r="K101"/>
  <c r="L101"/>
  <c r="M101"/>
  <c r="N101"/>
  <c r="O101"/>
  <c r="C102"/>
  <c r="D102"/>
  <c r="E102"/>
  <c r="F102"/>
  <c r="G102"/>
  <c r="H102"/>
  <c r="I102"/>
  <c r="J102"/>
  <c r="K102"/>
  <c r="L102"/>
  <c r="M102"/>
  <c r="N102"/>
  <c r="O102"/>
  <c r="C103"/>
  <c r="D103"/>
  <c r="E103"/>
  <c r="F103"/>
  <c r="G103"/>
  <c r="H103"/>
  <c r="I103"/>
  <c r="J103"/>
  <c r="K103"/>
  <c r="L103"/>
  <c r="M103"/>
  <c r="N103"/>
  <c r="O103"/>
  <c r="P103"/>
  <c r="P102"/>
  <c r="P101"/>
  <c r="C109"/>
  <c r="D109"/>
  <c r="E109"/>
  <c r="F109"/>
  <c r="H109"/>
  <c r="I109"/>
  <c r="J109"/>
  <c r="K109"/>
  <c r="L109"/>
  <c r="M109"/>
  <c r="N109"/>
  <c r="O109"/>
  <c r="C107"/>
  <c r="D107"/>
  <c r="E107"/>
  <c r="C108"/>
  <c r="D108"/>
  <c r="E108"/>
  <c r="F108"/>
  <c r="G108"/>
  <c r="H108"/>
  <c r="I108"/>
  <c r="J108"/>
  <c r="K108"/>
  <c r="L108"/>
  <c r="M108"/>
  <c r="N108"/>
  <c r="O108"/>
  <c r="F107"/>
  <c r="G107"/>
  <c r="H107"/>
  <c r="I107"/>
  <c r="J107"/>
  <c r="K107"/>
  <c r="L107"/>
  <c r="M107"/>
  <c r="N107"/>
  <c r="O107"/>
  <c r="P108"/>
  <c r="G67"/>
  <c r="G65"/>
  <c r="G47"/>
  <c r="G11"/>
  <c r="G8"/>
  <c r="G45"/>
  <c r="Q103" l="1"/>
  <c r="Y70"/>
  <c r="X91"/>
  <c r="Q101"/>
  <c r="Q102"/>
  <c r="Q108"/>
  <c r="Q109"/>
  <c r="P107"/>
  <c r="Q107" s="1"/>
  <c r="C191"/>
  <c r="D191"/>
  <c r="E191"/>
  <c r="F191"/>
  <c r="C192"/>
  <c r="D192"/>
  <c r="E192"/>
  <c r="F192"/>
  <c r="C193"/>
  <c r="D193"/>
  <c r="E193"/>
  <c r="F193"/>
  <c r="H193"/>
  <c r="I193"/>
  <c r="J193"/>
  <c r="K193"/>
  <c r="L193"/>
  <c r="M193"/>
  <c r="N193"/>
  <c r="O193"/>
  <c r="P193"/>
  <c r="G193"/>
  <c r="H192"/>
  <c r="I192"/>
  <c r="J192"/>
  <c r="K192"/>
  <c r="L192"/>
  <c r="M192"/>
  <c r="N192"/>
  <c r="O192"/>
  <c r="P192"/>
  <c r="G192"/>
  <c r="H191"/>
  <c r="I191"/>
  <c r="J191"/>
  <c r="K191"/>
  <c r="L191"/>
  <c r="M191"/>
  <c r="N191"/>
  <c r="O191"/>
  <c r="P191"/>
  <c r="G191"/>
  <c r="H74"/>
  <c r="I74"/>
  <c r="J74"/>
  <c r="K74"/>
  <c r="L74"/>
  <c r="M74"/>
  <c r="N74"/>
  <c r="O74"/>
  <c r="P74"/>
  <c r="C74"/>
  <c r="D74"/>
  <c r="E74"/>
  <c r="F74"/>
  <c r="G74"/>
  <c r="G76"/>
  <c r="G179" s="1"/>
  <c r="H73"/>
  <c r="H173" s="1"/>
  <c r="I73"/>
  <c r="I173" s="1"/>
  <c r="J73"/>
  <c r="J173" s="1"/>
  <c r="K73"/>
  <c r="K173" s="1"/>
  <c r="L73"/>
  <c r="L173" s="1"/>
  <c r="M73"/>
  <c r="M173" s="1"/>
  <c r="N73"/>
  <c r="N173" s="1"/>
  <c r="O73"/>
  <c r="O173" s="1"/>
  <c r="P73"/>
  <c r="P173" s="1"/>
  <c r="C73"/>
  <c r="C173" s="1"/>
  <c r="D73"/>
  <c r="D173" s="1"/>
  <c r="E73"/>
  <c r="E173" s="1"/>
  <c r="F73"/>
  <c r="F173" s="1"/>
  <c r="G73"/>
  <c r="G173" s="1"/>
  <c r="P67"/>
  <c r="O67"/>
  <c r="N67"/>
  <c r="M67"/>
  <c r="L67"/>
  <c r="K67"/>
  <c r="J67"/>
  <c r="I67"/>
  <c r="H67"/>
  <c r="P65"/>
  <c r="O65"/>
  <c r="N65"/>
  <c r="M65"/>
  <c r="L65"/>
  <c r="K65"/>
  <c r="J65"/>
  <c r="I65"/>
  <c r="H65"/>
  <c r="P47"/>
  <c r="O47"/>
  <c r="N47"/>
  <c r="M47"/>
  <c r="L47"/>
  <c r="K47"/>
  <c r="J47"/>
  <c r="I47"/>
  <c r="H47"/>
  <c r="P45"/>
  <c r="O45"/>
  <c r="N45"/>
  <c r="M45"/>
  <c r="L45"/>
  <c r="K45"/>
  <c r="J45"/>
  <c r="I45"/>
  <c r="H45"/>
  <c r="P11"/>
  <c r="O11"/>
  <c r="N11"/>
  <c r="M11"/>
  <c r="L11"/>
  <c r="K11"/>
  <c r="J11"/>
  <c r="I11"/>
  <c r="H11"/>
  <c r="I8"/>
  <c r="J8"/>
  <c r="K8"/>
  <c r="L8"/>
  <c r="M8"/>
  <c r="N8"/>
  <c r="O8"/>
  <c r="P8"/>
  <c r="H8"/>
  <c r="Q68"/>
  <c r="S64"/>
  <c r="Q64"/>
  <c r="Q173" l="1"/>
  <c r="Z70"/>
  <c r="Y91"/>
  <c r="T64"/>
  <c r="Q193"/>
  <c r="Q74"/>
  <c r="Q73"/>
  <c r="Q192"/>
  <c r="Q191"/>
  <c r="Q54"/>
  <c r="Q57"/>
  <c r="AA70" l="1"/>
  <c r="Z91"/>
  <c r="U64"/>
  <c r="I98"/>
  <c r="J98"/>
  <c r="K98"/>
  <c r="L98"/>
  <c r="M98"/>
  <c r="N98"/>
  <c r="O98"/>
  <c r="P98"/>
  <c r="I99"/>
  <c r="J99"/>
  <c r="K99"/>
  <c r="L99"/>
  <c r="M99"/>
  <c r="N99"/>
  <c r="O99"/>
  <c r="P99"/>
  <c r="I93"/>
  <c r="I95" s="1"/>
  <c r="J93"/>
  <c r="J95" s="1"/>
  <c r="K93"/>
  <c r="K95" s="1"/>
  <c r="L93"/>
  <c r="L95" s="1"/>
  <c r="M93"/>
  <c r="M95" s="1"/>
  <c r="N93"/>
  <c r="N95" s="1"/>
  <c r="O93"/>
  <c r="O95" s="1"/>
  <c r="P93"/>
  <c r="P95" s="1"/>
  <c r="I96"/>
  <c r="J96"/>
  <c r="K96"/>
  <c r="L96"/>
  <c r="M96"/>
  <c r="N96"/>
  <c r="O96"/>
  <c r="P96"/>
  <c r="I97"/>
  <c r="J97"/>
  <c r="K97"/>
  <c r="L97"/>
  <c r="M97"/>
  <c r="N97"/>
  <c r="O97"/>
  <c r="P97"/>
  <c r="C96"/>
  <c r="D96"/>
  <c r="E96"/>
  <c r="F96"/>
  <c r="G96"/>
  <c r="C97"/>
  <c r="D97"/>
  <c r="E97"/>
  <c r="F97"/>
  <c r="G97"/>
  <c r="C98"/>
  <c r="D98"/>
  <c r="E98"/>
  <c r="F98"/>
  <c r="G98"/>
  <c r="C99"/>
  <c r="D99"/>
  <c r="E99"/>
  <c r="F99"/>
  <c r="G99"/>
  <c r="H99"/>
  <c r="H98"/>
  <c r="S27"/>
  <c r="T27" s="1"/>
  <c r="U27" s="1"/>
  <c r="V27" s="1"/>
  <c r="W27" s="1"/>
  <c r="X27" s="1"/>
  <c r="Y27" s="1"/>
  <c r="Z27" s="1"/>
  <c r="AA27" s="1"/>
  <c r="AB27" s="1"/>
  <c r="AE27" s="1"/>
  <c r="Q27"/>
  <c r="S26"/>
  <c r="T26" s="1"/>
  <c r="U26" s="1"/>
  <c r="V26" s="1"/>
  <c r="W26" s="1"/>
  <c r="X26" s="1"/>
  <c r="Y26" s="1"/>
  <c r="Z26" s="1"/>
  <c r="AA26" s="1"/>
  <c r="AB26" s="1"/>
  <c r="S25"/>
  <c r="Q24"/>
  <c r="C93"/>
  <c r="C95" s="1"/>
  <c r="D93"/>
  <c r="D95" s="1"/>
  <c r="E93"/>
  <c r="E95" s="1"/>
  <c r="F93"/>
  <c r="F95" s="1"/>
  <c r="G93"/>
  <c r="G95" s="1"/>
  <c r="H93"/>
  <c r="H95" s="1"/>
  <c r="H97"/>
  <c r="H96"/>
  <c r="AE54" l="1"/>
  <c r="AC54"/>
  <c r="AC26"/>
  <c r="AE26"/>
  <c r="AB70"/>
  <c r="AE70" s="1"/>
  <c r="AA91"/>
  <c r="V64"/>
  <c r="Q98"/>
  <c r="Q99"/>
  <c r="Q97"/>
  <c r="Q95"/>
  <c r="Q96"/>
  <c r="AC27"/>
  <c r="Q26"/>
  <c r="Q25"/>
  <c r="Q93"/>
  <c r="S24"/>
  <c r="T25"/>
  <c r="Q91"/>
  <c r="Q172"/>
  <c r="T24" l="1"/>
  <c r="T93" s="1"/>
  <c r="S93"/>
  <c r="AB91"/>
  <c r="AC70"/>
  <c r="U25"/>
  <c r="C19" i="15"/>
  <c r="S9" i="18"/>
  <c r="T9" s="1"/>
  <c r="U9" s="1"/>
  <c r="V9" s="1"/>
  <c r="W9" s="1"/>
  <c r="X9" s="1"/>
  <c r="Y9" s="1"/>
  <c r="Z9" s="1"/>
  <c r="AA9" s="1"/>
  <c r="AB9" s="1"/>
  <c r="AE9" s="1"/>
  <c r="Q66"/>
  <c r="Q56"/>
  <c r="Q46"/>
  <c r="Q44"/>
  <c r="Q22"/>
  <c r="Q17"/>
  <c r="Q16"/>
  <c r="Q15"/>
  <c r="Q12"/>
  <c r="Q10"/>
  <c r="Q9"/>
  <c r="Q7"/>
  <c r="Q6"/>
  <c r="S22"/>
  <c r="S44"/>
  <c r="S133" s="1"/>
  <c r="S46"/>
  <c r="S134" s="1"/>
  <c r="S56"/>
  <c r="T56" s="1"/>
  <c r="U56" s="1"/>
  <c r="V56" s="1"/>
  <c r="W56" s="1"/>
  <c r="X56" s="1"/>
  <c r="Y56" s="1"/>
  <c r="Z56" s="1"/>
  <c r="AA56" s="1"/>
  <c r="AB56" s="1"/>
  <c r="AE56" s="1"/>
  <c r="S57"/>
  <c r="T57" s="1"/>
  <c r="U57" s="1"/>
  <c r="V57" s="1"/>
  <c r="W57" s="1"/>
  <c r="X57" s="1"/>
  <c r="Y57" s="1"/>
  <c r="Z57" s="1"/>
  <c r="AA57" s="1"/>
  <c r="AB57" s="1"/>
  <c r="AE57" s="1"/>
  <c r="W64"/>
  <c r="O89"/>
  <c r="O177" s="1"/>
  <c r="O88"/>
  <c r="O86"/>
  <c r="O85"/>
  <c r="O83"/>
  <c r="O178" s="1"/>
  <c r="O82"/>
  <c r="O81"/>
  <c r="O79"/>
  <c r="O78"/>
  <c r="O175" s="1"/>
  <c r="O77"/>
  <c r="O76"/>
  <c r="S128" l="1"/>
  <c r="S129"/>
  <c r="S127"/>
  <c r="S117"/>
  <c r="P122"/>
  <c r="Q122" s="1"/>
  <c r="Q121"/>
  <c r="S112"/>
  <c r="S125"/>
  <c r="S124"/>
  <c r="T22"/>
  <c r="S160"/>
  <c r="AE91"/>
  <c r="O174"/>
  <c r="O179"/>
  <c r="U24"/>
  <c r="AC91"/>
  <c r="T160" s="1"/>
  <c r="T46"/>
  <c r="T134" s="1"/>
  <c r="X64"/>
  <c r="T44"/>
  <c r="T133" s="1"/>
  <c r="S107"/>
  <c r="V25"/>
  <c r="AC56"/>
  <c r="AC57"/>
  <c r="AC9"/>
  <c r="O87"/>
  <c r="O176" s="1"/>
  <c r="D83"/>
  <c r="E83"/>
  <c r="F83"/>
  <c r="G83"/>
  <c r="G178" s="1"/>
  <c r="H83"/>
  <c r="H178" s="1"/>
  <c r="I83"/>
  <c r="I178" s="1"/>
  <c r="J83"/>
  <c r="J178" s="1"/>
  <c r="K83"/>
  <c r="K178" s="1"/>
  <c r="L83"/>
  <c r="L178" s="1"/>
  <c r="M83"/>
  <c r="M178" s="1"/>
  <c r="N83"/>
  <c r="N178" s="1"/>
  <c r="P83"/>
  <c r="C83"/>
  <c r="C82"/>
  <c r="T127" l="1"/>
  <c r="T129"/>
  <c r="T128"/>
  <c r="T117"/>
  <c r="T112"/>
  <c r="T125"/>
  <c r="T124"/>
  <c r="U22"/>
  <c r="R160"/>
  <c r="P184" s="1"/>
  <c r="V24"/>
  <c r="U93"/>
  <c r="U46"/>
  <c r="U134" s="1"/>
  <c r="U44"/>
  <c r="U133" s="1"/>
  <c r="T107"/>
  <c r="Y64"/>
  <c r="W25"/>
  <c r="P178"/>
  <c r="Q178" s="1"/>
  <c r="Q83"/>
  <c r="D82"/>
  <c r="E82"/>
  <c r="F82"/>
  <c r="G82"/>
  <c r="H82"/>
  <c r="I82"/>
  <c r="J82"/>
  <c r="K82"/>
  <c r="L82"/>
  <c r="M82"/>
  <c r="N82"/>
  <c r="P82"/>
  <c r="D81"/>
  <c r="E81"/>
  <c r="F81"/>
  <c r="G81"/>
  <c r="H81"/>
  <c r="I81"/>
  <c r="J81"/>
  <c r="K81"/>
  <c r="L81"/>
  <c r="M81"/>
  <c r="N81"/>
  <c r="P81"/>
  <c r="C81"/>
  <c r="U129" l="1"/>
  <c r="U128"/>
  <c r="U127"/>
  <c r="U117"/>
  <c r="U112"/>
  <c r="U125"/>
  <c r="U124"/>
  <c r="V22"/>
  <c r="W24"/>
  <c r="V93"/>
  <c r="V46"/>
  <c r="V134" s="1"/>
  <c r="V44"/>
  <c r="V133" s="1"/>
  <c r="U107"/>
  <c r="Z64"/>
  <c r="X25"/>
  <c r="Q81"/>
  <c r="Q82"/>
  <c r="C46" i="15"/>
  <c r="V117" i="18" l="1"/>
  <c r="V129"/>
  <c r="V128"/>
  <c r="V127"/>
  <c r="V112"/>
  <c r="V125"/>
  <c r="V124"/>
  <c r="W22"/>
  <c r="X24"/>
  <c r="W93"/>
  <c r="W46"/>
  <c r="W134" s="1"/>
  <c r="W44"/>
  <c r="W133" s="1"/>
  <c r="V107"/>
  <c r="AA64"/>
  <c r="Y25"/>
  <c r="S172"/>
  <c r="S180" s="1"/>
  <c r="C76"/>
  <c r="D76"/>
  <c r="E76"/>
  <c r="F76"/>
  <c r="H76"/>
  <c r="I76"/>
  <c r="J76"/>
  <c r="K76"/>
  <c r="L76"/>
  <c r="L179" s="1"/>
  <c r="M76"/>
  <c r="N76"/>
  <c r="N179" s="1"/>
  <c r="P76"/>
  <c r="D89"/>
  <c r="D177" s="1"/>
  <c r="E89"/>
  <c r="E177" s="1"/>
  <c r="F89"/>
  <c r="F177" s="1"/>
  <c r="G89"/>
  <c r="H89"/>
  <c r="H177" s="1"/>
  <c r="I89"/>
  <c r="I177" s="1"/>
  <c r="J89"/>
  <c r="J177" s="1"/>
  <c r="K89"/>
  <c r="K177" s="1"/>
  <c r="L89"/>
  <c r="L177" s="1"/>
  <c r="M89"/>
  <c r="M177" s="1"/>
  <c r="N89"/>
  <c r="P89"/>
  <c r="D88"/>
  <c r="E88"/>
  <c r="F88"/>
  <c r="G88"/>
  <c r="H88"/>
  <c r="I88"/>
  <c r="J88"/>
  <c r="K88"/>
  <c r="L88"/>
  <c r="M88"/>
  <c r="N88"/>
  <c r="P88"/>
  <c r="D86"/>
  <c r="E86"/>
  <c r="F86"/>
  <c r="G86"/>
  <c r="H86"/>
  <c r="I86"/>
  <c r="J86"/>
  <c r="K86"/>
  <c r="L86"/>
  <c r="M86"/>
  <c r="N86"/>
  <c r="P86"/>
  <c r="D85"/>
  <c r="D87" s="1"/>
  <c r="D176" s="1"/>
  <c r="E85"/>
  <c r="E87" s="1"/>
  <c r="E176" s="1"/>
  <c r="F85"/>
  <c r="G85"/>
  <c r="H85"/>
  <c r="I85"/>
  <c r="J85"/>
  <c r="K85"/>
  <c r="L85"/>
  <c r="M85"/>
  <c r="N85"/>
  <c r="P85"/>
  <c r="D79"/>
  <c r="E79"/>
  <c r="F79"/>
  <c r="G79"/>
  <c r="H79"/>
  <c r="I79"/>
  <c r="J79"/>
  <c r="K79"/>
  <c r="L79"/>
  <c r="M79"/>
  <c r="N79"/>
  <c r="P79"/>
  <c r="D78"/>
  <c r="D175" s="1"/>
  <c r="E78"/>
  <c r="E175" s="1"/>
  <c r="F78"/>
  <c r="F175" s="1"/>
  <c r="G78"/>
  <c r="H78"/>
  <c r="H175" s="1"/>
  <c r="I78"/>
  <c r="I175" s="1"/>
  <c r="J78"/>
  <c r="J175" s="1"/>
  <c r="K78"/>
  <c r="K175" s="1"/>
  <c r="L78"/>
  <c r="L175" s="1"/>
  <c r="M78"/>
  <c r="M175" s="1"/>
  <c r="N78"/>
  <c r="P78"/>
  <c r="C89"/>
  <c r="C177" s="1"/>
  <c r="C88"/>
  <c r="C86"/>
  <c r="C85"/>
  <c r="C79"/>
  <c r="C78"/>
  <c r="C175" s="1"/>
  <c r="D77"/>
  <c r="E77"/>
  <c r="F77"/>
  <c r="G77"/>
  <c r="H77"/>
  <c r="I77"/>
  <c r="J77"/>
  <c r="K77"/>
  <c r="L77"/>
  <c r="M77"/>
  <c r="N77"/>
  <c r="P77"/>
  <c r="C77"/>
  <c r="S16"/>
  <c r="S131" s="1"/>
  <c r="S17"/>
  <c r="S66"/>
  <c r="S10"/>
  <c r="S12"/>
  <c r="S15"/>
  <c r="S7"/>
  <c r="S6"/>
  <c r="S109" l="1"/>
  <c r="S110"/>
  <c r="S137"/>
  <c r="S136"/>
  <c r="S113"/>
  <c r="S132"/>
  <c r="H179"/>
  <c r="H174"/>
  <c r="W117"/>
  <c r="W128"/>
  <c r="W127"/>
  <c r="W129"/>
  <c r="S116"/>
  <c r="S121"/>
  <c r="S122" s="1"/>
  <c r="W112"/>
  <c r="W125"/>
  <c r="W124"/>
  <c r="S114"/>
  <c r="S115"/>
  <c r="X22"/>
  <c r="D174"/>
  <c r="D178" s="1"/>
  <c r="D179"/>
  <c r="E174"/>
  <c r="E178" s="1"/>
  <c r="E179"/>
  <c r="C174"/>
  <c r="C178" s="1"/>
  <c r="C179"/>
  <c r="P174"/>
  <c r="P179"/>
  <c r="Q179" s="1"/>
  <c r="K174"/>
  <c r="K179"/>
  <c r="F174"/>
  <c r="F178" s="1"/>
  <c r="F179"/>
  <c r="J174"/>
  <c r="J179"/>
  <c r="M174"/>
  <c r="M179"/>
  <c r="I174"/>
  <c r="I179"/>
  <c r="Q142"/>
  <c r="Y24"/>
  <c r="X93"/>
  <c r="H87"/>
  <c r="H176" s="1"/>
  <c r="X46"/>
  <c r="X134" s="1"/>
  <c r="T12"/>
  <c r="T16"/>
  <c r="T131" s="1"/>
  <c r="T15"/>
  <c r="T10"/>
  <c r="T17"/>
  <c r="T6"/>
  <c r="T7"/>
  <c r="X44"/>
  <c r="X133" s="1"/>
  <c r="W107"/>
  <c r="T66"/>
  <c r="S108"/>
  <c r="AB64"/>
  <c r="AE64" s="1"/>
  <c r="F87"/>
  <c r="F176" s="1"/>
  <c r="L87"/>
  <c r="L176" s="1"/>
  <c r="K87"/>
  <c r="K176" s="1"/>
  <c r="J87"/>
  <c r="J176" s="1"/>
  <c r="Z25"/>
  <c r="C87"/>
  <c r="C176" s="1"/>
  <c r="T172"/>
  <c r="T180" s="1"/>
  <c r="I87"/>
  <c r="I176" s="1"/>
  <c r="Q77"/>
  <c r="G175"/>
  <c r="Q78"/>
  <c r="Q79"/>
  <c r="Q86"/>
  <c r="Q88"/>
  <c r="G174"/>
  <c r="Q76"/>
  <c r="G177"/>
  <c r="Q89"/>
  <c r="G87"/>
  <c r="Q85"/>
  <c r="N175"/>
  <c r="N174"/>
  <c r="N177"/>
  <c r="P175"/>
  <c r="L174"/>
  <c r="N87"/>
  <c r="M87"/>
  <c r="M176" s="1"/>
  <c r="P177"/>
  <c r="P87"/>
  <c r="S86"/>
  <c r="C6" i="12"/>
  <c r="C26" i="15"/>
  <c r="C58"/>
  <c r="C57"/>
  <c r="C54"/>
  <c r="C53"/>
  <c r="C50"/>
  <c r="C49"/>
  <c r="C45"/>
  <c r="T137" i="18" l="1"/>
  <c r="T136"/>
  <c r="T113"/>
  <c r="T132"/>
  <c r="T110"/>
  <c r="X127"/>
  <c r="X128"/>
  <c r="X129"/>
  <c r="X117"/>
  <c r="X112"/>
  <c r="X125"/>
  <c r="X124"/>
  <c r="T114"/>
  <c r="T115"/>
  <c r="T116"/>
  <c r="Y22"/>
  <c r="Z24"/>
  <c r="Y93"/>
  <c r="S85"/>
  <c r="S102"/>
  <c r="S81"/>
  <c r="S83"/>
  <c r="S178" s="1"/>
  <c r="S89"/>
  <c r="S177" s="1"/>
  <c r="S99"/>
  <c r="S101"/>
  <c r="S74"/>
  <c r="S73"/>
  <c r="S173" s="1"/>
  <c r="S82"/>
  <c r="S78"/>
  <c r="S79"/>
  <c r="S88"/>
  <c r="S77"/>
  <c r="S103"/>
  <c r="S76"/>
  <c r="S179" s="1"/>
  <c r="Y46"/>
  <c r="Y134" s="1"/>
  <c r="U16"/>
  <c r="U131" s="1"/>
  <c r="U15"/>
  <c r="U12"/>
  <c r="S87"/>
  <c r="U17"/>
  <c r="U10"/>
  <c r="U7"/>
  <c r="U6"/>
  <c r="AC64"/>
  <c r="Y44"/>
  <c r="Y133" s="1"/>
  <c r="X107"/>
  <c r="U66"/>
  <c r="T109"/>
  <c r="T108"/>
  <c r="T68"/>
  <c r="T119" s="1"/>
  <c r="T120" s="1"/>
  <c r="T121" s="1"/>
  <c r="T122" s="1"/>
  <c r="S96"/>
  <c r="S97"/>
  <c r="S98"/>
  <c r="S95"/>
  <c r="AA25"/>
  <c r="U172"/>
  <c r="U180" s="1"/>
  <c r="Q175"/>
  <c r="Q174"/>
  <c r="Q177"/>
  <c r="G176"/>
  <c r="Q87"/>
  <c r="N176"/>
  <c r="P176"/>
  <c r="C16" i="15"/>
  <c r="C21"/>
  <c r="C10"/>
  <c r="U113" i="18" l="1"/>
  <c r="U132"/>
  <c r="U137"/>
  <c r="U136"/>
  <c r="U110"/>
  <c r="Y129"/>
  <c r="Y128"/>
  <c r="Y127"/>
  <c r="Y117"/>
  <c r="T85"/>
  <c r="Y112"/>
  <c r="Y125"/>
  <c r="Y124"/>
  <c r="U114"/>
  <c r="U115"/>
  <c r="U116"/>
  <c r="T81"/>
  <c r="Z22"/>
  <c r="AA24"/>
  <c r="Z93"/>
  <c r="T83"/>
  <c r="T178" s="1"/>
  <c r="T89"/>
  <c r="T177" s="1"/>
  <c r="T99"/>
  <c r="T101"/>
  <c r="T73"/>
  <c r="T173" s="1"/>
  <c r="T74"/>
  <c r="T78"/>
  <c r="T77"/>
  <c r="T88"/>
  <c r="T103"/>
  <c r="T82"/>
  <c r="T79"/>
  <c r="T76"/>
  <c r="T179" s="1"/>
  <c r="T86"/>
  <c r="T102"/>
  <c r="Z46"/>
  <c r="Z134" s="1"/>
  <c r="V15"/>
  <c r="V12"/>
  <c r="V16"/>
  <c r="V131" s="1"/>
  <c r="V10"/>
  <c r="V17"/>
  <c r="V6"/>
  <c r="V7"/>
  <c r="V66"/>
  <c r="U109"/>
  <c r="U108"/>
  <c r="Z44"/>
  <c r="Z133" s="1"/>
  <c r="Y107"/>
  <c r="U68"/>
  <c r="U119" s="1"/>
  <c r="U120" s="1"/>
  <c r="U121" s="1"/>
  <c r="U122" s="1"/>
  <c r="T98"/>
  <c r="T97"/>
  <c r="T96"/>
  <c r="T95"/>
  <c r="AB25"/>
  <c r="AE25" s="1"/>
  <c r="S176"/>
  <c r="V172"/>
  <c r="V180" s="1"/>
  <c r="S174"/>
  <c r="S175"/>
  <c r="Q176"/>
  <c r="D31" i="8"/>
  <c r="D29"/>
  <c r="D28"/>
  <c r="D13"/>
  <c r="D30" s="1"/>
  <c r="E14"/>
  <c r="F14" s="1"/>
  <c r="G14" s="1"/>
  <c r="H14" s="1"/>
  <c r="I14" s="1"/>
  <c r="V110" i="18" l="1"/>
  <c r="V136"/>
  <c r="V137"/>
  <c r="V113"/>
  <c r="V132"/>
  <c r="Z129"/>
  <c r="Z128"/>
  <c r="Z127"/>
  <c r="Z117"/>
  <c r="U85"/>
  <c r="T87"/>
  <c r="T176" s="1"/>
  <c r="Z112"/>
  <c r="Z125"/>
  <c r="Z124"/>
  <c r="V114"/>
  <c r="V116"/>
  <c r="V115"/>
  <c r="AA22"/>
  <c r="AB24"/>
  <c r="AE24" s="1"/>
  <c r="AA93"/>
  <c r="U103"/>
  <c r="U102"/>
  <c r="U81"/>
  <c r="U89"/>
  <c r="U177" s="1"/>
  <c r="U88"/>
  <c r="U83"/>
  <c r="U178" s="1"/>
  <c r="U86"/>
  <c r="U77"/>
  <c r="U99"/>
  <c r="U101"/>
  <c r="U74"/>
  <c r="U73"/>
  <c r="U173" s="1"/>
  <c r="U82"/>
  <c r="U78"/>
  <c r="U79"/>
  <c r="U76"/>
  <c r="U179" s="1"/>
  <c r="AA46"/>
  <c r="AA134" s="1"/>
  <c r="W12"/>
  <c r="W16"/>
  <c r="W131" s="1"/>
  <c r="W15"/>
  <c r="W17"/>
  <c r="W10"/>
  <c r="W7"/>
  <c r="W6"/>
  <c r="AA44"/>
  <c r="AA133" s="1"/>
  <c r="Z107"/>
  <c r="W66"/>
  <c r="V108"/>
  <c r="V109"/>
  <c r="V68"/>
  <c r="V119" s="1"/>
  <c r="V120" s="1"/>
  <c r="V121" s="1"/>
  <c r="V122" s="1"/>
  <c r="U98"/>
  <c r="U96"/>
  <c r="U97"/>
  <c r="U95"/>
  <c r="AC25"/>
  <c r="W172"/>
  <c r="W180" s="1"/>
  <c r="T174"/>
  <c r="T17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W137" i="18" l="1"/>
  <c r="W136"/>
  <c r="W113"/>
  <c r="W132"/>
  <c r="W110"/>
  <c r="AA128"/>
  <c r="AA127"/>
  <c r="AA129"/>
  <c r="AA117"/>
  <c r="U87"/>
  <c r="U176" s="1"/>
  <c r="AA112"/>
  <c r="AA125"/>
  <c r="AA124"/>
  <c r="V88"/>
  <c r="W114"/>
  <c r="W116"/>
  <c r="W115"/>
  <c r="AB22"/>
  <c r="V103"/>
  <c r="V79"/>
  <c r="V86"/>
  <c r="AC24"/>
  <c r="AB93"/>
  <c r="V77"/>
  <c r="V85"/>
  <c r="V82"/>
  <c r="V102"/>
  <c r="V78"/>
  <c r="V83"/>
  <c r="V178" s="1"/>
  <c r="V99"/>
  <c r="V101"/>
  <c r="V73"/>
  <c r="V173" s="1"/>
  <c r="V74"/>
  <c r="V81"/>
  <c r="V89"/>
  <c r="V177" s="1"/>
  <c r="V76"/>
  <c r="V179" s="1"/>
  <c r="AB46"/>
  <c r="X16"/>
  <c r="X131" s="1"/>
  <c r="X15"/>
  <c r="X12"/>
  <c r="X10"/>
  <c r="X17"/>
  <c r="X6"/>
  <c r="X7"/>
  <c r="X66"/>
  <c r="W109"/>
  <c r="W108"/>
  <c r="AB44"/>
  <c r="AB133" s="1"/>
  <c r="AC133" s="1"/>
  <c r="AA107"/>
  <c r="W68"/>
  <c r="W119" s="1"/>
  <c r="W120" s="1"/>
  <c r="W121" s="1"/>
  <c r="W122" s="1"/>
  <c r="V98"/>
  <c r="V96"/>
  <c r="V97"/>
  <c r="V95"/>
  <c r="X172"/>
  <c r="X180" s="1"/>
  <c r="U174"/>
  <c r="U17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113" i="18" l="1"/>
  <c r="X132"/>
  <c r="X137"/>
  <c r="X136"/>
  <c r="AE46"/>
  <c r="AB134"/>
  <c r="AC134" s="1"/>
  <c r="X110"/>
  <c r="AB127"/>
  <c r="AC127" s="1"/>
  <c r="AB129"/>
  <c r="AC129" s="1"/>
  <c r="AB128"/>
  <c r="AC128" s="1"/>
  <c r="N32" i="9"/>
  <c r="N33" s="1"/>
  <c r="N34" s="1"/>
  <c r="N35" s="1"/>
  <c r="N36" s="1"/>
  <c r="N37" s="1"/>
  <c r="N38" s="1"/>
  <c r="N39" s="1"/>
  <c r="N40" s="1"/>
  <c r="N41" s="1"/>
  <c r="N42" s="1"/>
  <c r="M45"/>
  <c r="AB117" i="18"/>
  <c r="AC117" s="1"/>
  <c r="V87"/>
  <c r="V176" s="1"/>
  <c r="W86"/>
  <c r="AB112"/>
  <c r="AC112" s="1"/>
  <c r="AB125"/>
  <c r="AC125" s="1"/>
  <c r="AB124"/>
  <c r="AC124" s="1"/>
  <c r="X114"/>
  <c r="X116"/>
  <c r="X115"/>
  <c r="AE44"/>
  <c r="AE22"/>
  <c r="AC22"/>
  <c r="S162"/>
  <c r="AE93"/>
  <c r="AC93"/>
  <c r="M32" i="9"/>
  <c r="M33" s="1"/>
  <c r="M34" s="1"/>
  <c r="M35" s="1"/>
  <c r="M36" s="1"/>
  <c r="M37" s="1"/>
  <c r="M38" s="1"/>
  <c r="M39" s="1"/>
  <c r="M40" s="1"/>
  <c r="M41" s="1"/>
  <c r="P32"/>
  <c r="W89" i="18"/>
  <c r="W177" s="1"/>
  <c r="W88"/>
  <c r="W83"/>
  <c r="W178" s="1"/>
  <c r="W85"/>
  <c r="W82"/>
  <c r="W102"/>
  <c r="W81"/>
  <c r="W103"/>
  <c r="W99"/>
  <c r="W101"/>
  <c r="W74"/>
  <c r="W73"/>
  <c r="W173" s="1"/>
  <c r="W77"/>
  <c r="W78"/>
  <c r="W79"/>
  <c r="W76"/>
  <c r="W179" s="1"/>
  <c r="AC46"/>
  <c r="Y12"/>
  <c r="Y16"/>
  <c r="Y131" s="1"/>
  <c r="Y15"/>
  <c r="Y10"/>
  <c r="Y17"/>
  <c r="Y7"/>
  <c r="Y6"/>
  <c r="AC44"/>
  <c r="AB107"/>
  <c r="AC107" s="1"/>
  <c r="Y66"/>
  <c r="X109"/>
  <c r="X108"/>
  <c r="O31" i="9"/>
  <c r="O32" s="1"/>
  <c r="X68" i="18"/>
  <c r="X119" s="1"/>
  <c r="X120" s="1"/>
  <c r="X121" s="1"/>
  <c r="X122" s="1"/>
  <c r="W98"/>
  <c r="W96"/>
  <c r="W97"/>
  <c r="W95"/>
  <c r="Y172"/>
  <c r="Y180" s="1"/>
  <c r="V174"/>
  <c r="V175"/>
  <c r="P31" i="11"/>
  <c r="N32"/>
  <c r="T19" i="9"/>
  <c r="D22"/>
  <c r="Y137" i="18" l="1"/>
  <c r="Y136"/>
  <c r="Y113"/>
  <c r="Y132"/>
  <c r="Y110"/>
  <c r="W87"/>
  <c r="W176" s="1"/>
  <c r="X79"/>
  <c r="Y114"/>
  <c r="Y115"/>
  <c r="Y116"/>
  <c r="T162"/>
  <c r="R162" s="1"/>
  <c r="X81"/>
  <c r="X88"/>
  <c r="X76"/>
  <c r="X179" s="1"/>
  <c r="X83"/>
  <c r="X178" s="1"/>
  <c r="X78"/>
  <c r="X77"/>
  <c r="X99"/>
  <c r="X101"/>
  <c r="X74"/>
  <c r="X73"/>
  <c r="X173" s="1"/>
  <c r="X103"/>
  <c r="X82"/>
  <c r="X89"/>
  <c r="X177" s="1"/>
  <c r="X86"/>
  <c r="X85"/>
  <c r="X102"/>
  <c r="Z15"/>
  <c r="Z12"/>
  <c r="Z16"/>
  <c r="Z131" s="1"/>
  <c r="Z10"/>
  <c r="Z17"/>
  <c r="Z6"/>
  <c r="Z7"/>
  <c r="Z66"/>
  <c r="Y109"/>
  <c r="Y108"/>
  <c r="Y68"/>
  <c r="Y119" s="1"/>
  <c r="Y120" s="1"/>
  <c r="Y121" s="1"/>
  <c r="Y122" s="1"/>
  <c r="X98"/>
  <c r="X96"/>
  <c r="X97"/>
  <c r="X95"/>
  <c r="Z172"/>
  <c r="Z180" s="1"/>
  <c r="W174"/>
  <c r="W17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113" i="18" l="1"/>
  <c r="Z132"/>
  <c r="Z136"/>
  <c r="Z137"/>
  <c r="Z110"/>
  <c r="Z114"/>
  <c r="Z115"/>
  <c r="Z116"/>
  <c r="X87"/>
  <c r="X176" s="1"/>
  <c r="Y99"/>
  <c r="Y101"/>
  <c r="Y73"/>
  <c r="Y173" s="1"/>
  <c r="Y74"/>
  <c r="Y83"/>
  <c r="Y178" s="1"/>
  <c r="Y89"/>
  <c r="Y177" s="1"/>
  <c r="Y88"/>
  <c r="Y86"/>
  <c r="Y77"/>
  <c r="Y76"/>
  <c r="Y179" s="1"/>
  <c r="Y82"/>
  <c r="Y78"/>
  <c r="Y79"/>
  <c r="Y85"/>
  <c r="Y102"/>
  <c r="Y81"/>
  <c r="Y103"/>
  <c r="AA12"/>
  <c r="AA16"/>
  <c r="AA131" s="1"/>
  <c r="AA15"/>
  <c r="AA10"/>
  <c r="AA17"/>
  <c r="AA7"/>
  <c r="AA6"/>
  <c r="AA66"/>
  <c r="Z108"/>
  <c r="Z109"/>
  <c r="Z68"/>
  <c r="Z119" s="1"/>
  <c r="Z120" s="1"/>
  <c r="Z121" s="1"/>
  <c r="Z122" s="1"/>
  <c r="Y98"/>
  <c r="Y96"/>
  <c r="Y97"/>
  <c r="Y95"/>
  <c r="AA172"/>
  <c r="AA180" s="1"/>
  <c r="X174"/>
  <c r="X175"/>
  <c r="N34" i="11"/>
  <c r="O33"/>
  <c r="D25" i="8"/>
  <c r="D23"/>
  <c r="AA110" i="18" l="1"/>
  <c r="AA136"/>
  <c r="AA137"/>
  <c r="AA113"/>
  <c r="AA132"/>
  <c r="AA114"/>
  <c r="AA115"/>
  <c r="AA116"/>
  <c r="Y87"/>
  <c r="Y176" s="1"/>
  <c r="Z99"/>
  <c r="Z101"/>
  <c r="Z74"/>
  <c r="Z73"/>
  <c r="Z173" s="1"/>
  <c r="Z77"/>
  <c r="Z88"/>
  <c r="Z78"/>
  <c r="Z83"/>
  <c r="Z178" s="1"/>
  <c r="Z86"/>
  <c r="Z85"/>
  <c r="Z103"/>
  <c r="Z89"/>
  <c r="Z177" s="1"/>
  <c r="Z76"/>
  <c r="Z179" s="1"/>
  <c r="Z82"/>
  <c r="Z102"/>
  <c r="Z81"/>
  <c r="Z79"/>
  <c r="AB16"/>
  <c r="AE16" s="1"/>
  <c r="AB15"/>
  <c r="AE15" s="1"/>
  <c r="AB12"/>
  <c r="AB132" s="1"/>
  <c r="AC132" s="1"/>
  <c r="AB10"/>
  <c r="AB17"/>
  <c r="AE17" s="1"/>
  <c r="AB6"/>
  <c r="AE6" s="1"/>
  <c r="AB7"/>
  <c r="AE7" s="1"/>
  <c r="AB66"/>
  <c r="AA109"/>
  <c r="AA108"/>
  <c r="AA68"/>
  <c r="AA119" s="1"/>
  <c r="AA120" s="1"/>
  <c r="AA121" s="1"/>
  <c r="AA122" s="1"/>
  <c r="Z98"/>
  <c r="Z96"/>
  <c r="Z97"/>
  <c r="Z95"/>
  <c r="AB172"/>
  <c r="AB180" s="1"/>
  <c r="AC180" s="1"/>
  <c r="AE180" s="1"/>
  <c r="Y174"/>
  <c r="Y175"/>
  <c r="N35" i="11"/>
  <c r="O34"/>
  <c r="D35" i="8"/>
  <c r="E5"/>
  <c r="E18" s="1"/>
  <c r="D18"/>
  <c r="D19"/>
  <c r="D21"/>
  <c r="D20"/>
  <c r="AB137" i="18" l="1"/>
  <c r="AC137" s="1"/>
  <c r="AB136"/>
  <c r="AC136" s="1"/>
  <c r="AB131"/>
  <c r="AC131" s="1"/>
  <c r="AB110"/>
  <c r="AC110" s="1"/>
  <c r="AE10"/>
  <c r="AB114"/>
  <c r="AC114" s="1"/>
  <c r="AE12"/>
  <c r="AB113"/>
  <c r="AC113" s="1"/>
  <c r="AE66"/>
  <c r="AB115"/>
  <c r="AC115" s="1"/>
  <c r="AB116"/>
  <c r="AC116" s="1"/>
  <c r="Z87"/>
  <c r="Z176" s="1"/>
  <c r="AA99"/>
  <c r="AA101"/>
  <c r="AA73"/>
  <c r="AA173" s="1"/>
  <c r="AA74"/>
  <c r="AA81"/>
  <c r="AA89"/>
  <c r="AA177" s="1"/>
  <c r="AA76"/>
  <c r="AA179" s="1"/>
  <c r="AA83"/>
  <c r="AA178" s="1"/>
  <c r="AA86"/>
  <c r="AA102"/>
  <c r="AA77"/>
  <c r="AA78"/>
  <c r="AA79"/>
  <c r="AA82"/>
  <c r="AA103"/>
  <c r="AA85"/>
  <c r="AA88"/>
  <c r="AC16"/>
  <c r="AC15"/>
  <c r="S156"/>
  <c r="AC12"/>
  <c r="AC10"/>
  <c r="AC17"/>
  <c r="AC7"/>
  <c r="AC6"/>
  <c r="AB109"/>
  <c r="AC109" s="1"/>
  <c r="AB108"/>
  <c r="AC108" s="1"/>
  <c r="AC66"/>
  <c r="AB68"/>
  <c r="AB119" s="1"/>
  <c r="AB120" s="1"/>
  <c r="AB121" s="1"/>
  <c r="AB122" s="1"/>
  <c r="AA98"/>
  <c r="AA96"/>
  <c r="AA97"/>
  <c r="AA95"/>
  <c r="AC172"/>
  <c r="AE172" s="1"/>
  <c r="Z174"/>
  <c r="Z175"/>
  <c r="N36" i="11"/>
  <c r="O35"/>
  <c r="F5" i="8"/>
  <c r="G5" s="1"/>
  <c r="H5" s="1"/>
  <c r="I5" s="1"/>
  <c r="AE68" i="18" l="1"/>
  <c r="T156"/>
  <c r="T157" s="1"/>
  <c r="AA87"/>
  <c r="AA176" s="1"/>
  <c r="AB99"/>
  <c r="AB101"/>
  <c r="AE101" s="1"/>
  <c r="AB73"/>
  <c r="AB74"/>
  <c r="AB81"/>
  <c r="AB86"/>
  <c r="AB76"/>
  <c r="AB83"/>
  <c r="AB79"/>
  <c r="AB102"/>
  <c r="AB78"/>
  <c r="AE78" s="1"/>
  <c r="AB77"/>
  <c r="AB88"/>
  <c r="AB103"/>
  <c r="AB82"/>
  <c r="AB89"/>
  <c r="AB85"/>
  <c r="S157"/>
  <c r="AB98"/>
  <c r="AB96"/>
  <c r="AC68"/>
  <c r="AB97"/>
  <c r="AB95"/>
  <c r="AA174"/>
  <c r="AA175"/>
  <c r="N37" i="11"/>
  <c r="O36"/>
  <c r="F18" i="8"/>
  <c r="G18"/>
  <c r="AE76" i="18" l="1"/>
  <c r="AB179"/>
  <c r="AC179" s="1"/>
  <c r="AE179" s="1"/>
  <c r="AB173"/>
  <c r="AC173" s="1"/>
  <c r="AE173" s="1"/>
  <c r="AE73"/>
  <c r="AC119"/>
  <c r="R156"/>
  <c r="R157"/>
  <c r="AC102"/>
  <c r="AE102"/>
  <c r="AC74"/>
  <c r="AE74"/>
  <c r="S153"/>
  <c r="AE88"/>
  <c r="AB177"/>
  <c r="AC177" s="1"/>
  <c r="AE177" s="1"/>
  <c r="AE89"/>
  <c r="AC73"/>
  <c r="AC86"/>
  <c r="AE86"/>
  <c r="S147"/>
  <c r="AE85"/>
  <c r="S146"/>
  <c r="AE79"/>
  <c r="AB178"/>
  <c r="AC178" s="1"/>
  <c r="AE178" s="1"/>
  <c r="AE83"/>
  <c r="AC82"/>
  <c r="AE82"/>
  <c r="S144"/>
  <c r="AE77"/>
  <c r="S149"/>
  <c r="AE81"/>
  <c r="AC103"/>
  <c r="AE103"/>
  <c r="S169"/>
  <c r="AE99"/>
  <c r="S167"/>
  <c r="AE98"/>
  <c r="S166"/>
  <c r="AE97"/>
  <c r="S164"/>
  <c r="AE95"/>
  <c r="S165"/>
  <c r="AE96"/>
  <c r="AC88"/>
  <c r="S150"/>
  <c r="AC77"/>
  <c r="AC79"/>
  <c r="T146" s="1"/>
  <c r="AC81"/>
  <c r="S151"/>
  <c r="AC99"/>
  <c r="AC85"/>
  <c r="S154"/>
  <c r="AB87"/>
  <c r="AC83"/>
  <c r="AC89"/>
  <c r="AC101"/>
  <c r="AC97"/>
  <c r="AC96"/>
  <c r="AC95"/>
  <c r="AC98"/>
  <c r="S143"/>
  <c r="AC76"/>
  <c r="T143" s="1"/>
  <c r="AB174"/>
  <c r="AC78"/>
  <c r="T145" s="1"/>
  <c r="AB175"/>
  <c r="S145"/>
  <c r="N38" i="11"/>
  <c r="O37"/>
  <c r="H18" i="8"/>
  <c r="P187" i="18" l="1"/>
  <c r="M187"/>
  <c r="AC120"/>
  <c r="T154"/>
  <c r="R154" s="1"/>
  <c r="T144"/>
  <c r="R144" s="1"/>
  <c r="T153"/>
  <c r="R153" s="1"/>
  <c r="T149"/>
  <c r="R149" s="1"/>
  <c r="T151"/>
  <c r="R151" s="1"/>
  <c r="T169"/>
  <c r="R169" s="1"/>
  <c r="T166"/>
  <c r="R166" s="1"/>
  <c r="AC87"/>
  <c r="AE87"/>
  <c r="T147"/>
  <c r="R147" s="1"/>
  <c r="R146"/>
  <c r="T150"/>
  <c r="R150" s="1"/>
  <c r="T164"/>
  <c r="R164" s="1"/>
  <c r="AB176"/>
  <c r="AC176" s="1"/>
  <c r="AE176" s="1"/>
  <c r="T167"/>
  <c r="R167" s="1"/>
  <c r="T165"/>
  <c r="R165" s="1"/>
  <c r="R143"/>
  <c r="P188" s="1"/>
  <c r="AC175"/>
  <c r="AE175" s="1"/>
  <c r="AC174"/>
  <c r="AE174" s="1"/>
  <c r="R145"/>
  <c r="N39" i="11"/>
  <c r="O38"/>
  <c r="I18" i="8"/>
  <c r="P186" i="18" l="1"/>
  <c r="M186"/>
  <c r="P185"/>
  <c r="M185"/>
  <c r="AC122"/>
  <c r="AC121"/>
  <c r="N40" i="11"/>
  <c r="O39"/>
  <c r="N41" l="1"/>
  <c r="O40"/>
  <c r="N42" l="1"/>
  <c r="O41"/>
</calcChain>
</file>

<file path=xl/sharedStrings.xml><?xml version="1.0" encoding="utf-8"?>
<sst xmlns="http://schemas.openxmlformats.org/spreadsheetml/2006/main" count="539" uniqueCount="386">
  <si>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</si>
  <si>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</si>
  <si>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</si>
  <si>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</si>
  <si>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</si>
  <si>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</si>
  <si>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</si>
  <si>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</si>
  <si>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</si>
  <si>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</si>
  <si>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</si>
  <si>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</si>
  <si>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</si>
  <si>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</si>
  <si>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</si>
  <si>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</si>
  <si>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</si>
  <si>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</si>
  <si>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</si>
  <si>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</si>
  <si>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</si>
  <si>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</si>
  <si>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</si>
  <si>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</si>
  <si>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</si>
  <si>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</si>
  <si>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</si>
  <si>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</si>
  <si>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</si>
  <si>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</si>
  <si>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</si>
  <si>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</si>
  <si>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</si>
  <si>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</si>
  <si>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</si>
  <si>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</si>
  <si>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</si>
  <si>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</si>
  <si>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</si>
  <si>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</si>
  <si>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</si>
  <si>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</si>
  <si>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</si>
  <si>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</si>
  <si>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</si>
  <si>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</si>
  <si>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</si>
  <si>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</si>
  <si>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</si>
  <si>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</si>
  <si>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</si>
  <si>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</si>
  <si>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</si>
  <si>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</si>
  <si>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</si>
  <si>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</si>
  <si>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</si>
  <si>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</si>
  <si>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</si>
  <si>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</si>
  <si>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</si>
  <si>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</si>
  <si>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</si>
  <si>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</si>
  <si>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</si>
  <si>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</si>
  <si>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</si>
  <si>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</si>
  <si>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</si>
  <si>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</si>
  <si>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</si>
  <si>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</si>
  <si>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</si>
  <si>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</si>
  <si>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</si>
  <si>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</si>
  <si>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</si>
  <si>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</si>
  <si>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</si>
  <si>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</si>
  <si>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</si>
  <si>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</si>
  <si>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</si>
  <si>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</si>
  <si>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</si>
  <si>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</si>
  <si>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</si>
  <si>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</si>
  <si>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</si>
  <si>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</si>
  <si>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</si>
  <si>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</si>
  <si>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</si>
  <si>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</si>
  <si>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</si>
  <si>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</si>
  <si>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</si>
  <si>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</si>
  <si>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</si>
  <si>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</si>
  <si>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</si>
  <si>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</si>
  <si>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</si>
  <si>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</si>
  <si>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</si>
  <si>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</si>
  <si>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</si>
  <si>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</si>
  <si>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</si>
  <si>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</si>
  <si>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</si>
  <si>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</si>
  <si>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</si>
  <si>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</si>
  <si>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</si>
  <si>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</si>
  <si>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</si>
  <si>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</si>
  <si>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</si>
  <si>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</si>
  <si>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</si>
  <si>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</si>
  <si>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</si>
  <si>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</si>
  <si>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</si>
  <si>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</si>
  <si>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</si>
  <si>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</si>
  <si>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</si>
  <si>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</si>
  <si>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</si>
  <si>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</si>
  <si>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</si>
  <si>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</si>
  <si>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</si>
  <si>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</si>
  <si>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</si>
  <si>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</si>
  <si>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</si>
  <si>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</si>
  <si>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</si>
  <si>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</si>
  <si>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</si>
  <si>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</si>
  <si>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</si>
  <si>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</si>
  <si>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</si>
  <si>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</si>
  <si>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</si>
  <si>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</si>
  <si>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</si>
  <si>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</si>
  <si>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</si>
  <si>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</si>
  <si>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</si>
  <si>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</si>
  <si>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</si>
  <si>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</si>
  <si>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</si>
  <si>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</si>
  <si>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</si>
  <si>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</si>
  <si>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</si>
  <si>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</si>
  <si>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</si>
  <si>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</si>
  <si>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</si>
  <si>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</si>
  <si>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</si>
  <si>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</si>
  <si>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</si>
  <si>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</si>
  <si>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</si>
  <si>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</si>
  <si>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</si>
  <si>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</si>
  <si>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</si>
  <si>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</si>
  <si>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</si>
  <si>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</si>
  <si>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</si>
  <si>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</si>
  <si>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</si>
  <si>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</si>
  <si>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</si>
  <si>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</si>
  <si>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</si>
  <si>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</si>
  <si>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</si>
  <si>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</si>
  <si>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</si>
  <si>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</si>
  <si>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</si>
  <si>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</si>
  <si>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</si>
  <si>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</si>
  <si>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</si>
  <si>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</si>
  <si>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</si>
  <si>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</si>
  <si>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</si>
  <si>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</si>
  <si>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</si>
  <si>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</si>
  <si>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</si>
  <si>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</si>
  <si>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</si>
  <si>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</si>
  <si>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</si>
  <si>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</si>
  <si>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</si>
  <si>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</si>
  <si>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</si>
  <si>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</si>
  <si>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</si>
  <si>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</si>
  <si>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</si>
  <si>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</si>
  <si>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</si>
  <si>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</si>
  <si>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</si>
  <si>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</si>
  <si>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</si>
  <si>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</si>
  <si>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</si>
  <si>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</si>
  <si>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</si>
  <si>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</si>
  <si>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</si>
  <si>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</si>
  <si>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</si>
  <si>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</si>
  <si>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</si>
  <si>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</si>
  <si>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</si>
  <si>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</si>
  <si>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</si>
  <si>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</si>
  <si>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</si>
  <si>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</si>
  <si>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</si>
  <si>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</si>
  <si>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</si>
  <si>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</si>
  <si>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</si>
  <si>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</si>
  <si>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</si>
  <si>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</si>
  <si>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</si>
  <si>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</si>
  <si>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</si>
  <si>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</si>
  <si>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</si>
  <si>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</si>
  <si>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</si>
  <si>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</si>
  <si>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</si>
  <si>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</si>
  <si>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</si>
  <si>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</si>
  <si>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</si>
  <si>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</si>
  <si>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</si>
  <si>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</si>
  <si>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</si>
  <si>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</si>
  <si>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</si>
  <si>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</si>
  <si>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</si>
  <si>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</si>
  <si>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</si>
  <si>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</si>
  <si>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</si>
  <si>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</si>
  <si>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</si>
  <si>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</si>
  <si>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</si>
  <si>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</si>
  <si>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</si>
  <si>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</si>
  <si>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</si>
  <si>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</si>
  <si>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</si>
  <si>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</si>
  <si>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</si>
  <si>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</si>
  <si>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</si>
  <si>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</si>
  <si>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</si>
  <si>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</si>
  <si>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</si>
  <si>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</si>
  <si>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</si>
  <si>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</si>
  <si>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</si>
  <si>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</si>
  <si>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</si>
  <si>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</si>
  <si>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</si>
  <si>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</si>
  <si>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</si>
  <si>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</si>
  <si>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</si>
  <si>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</si>
  <si>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</si>
  <si>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</si>
  <si>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</si>
  <si>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</si>
  <si>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</si>
  <si>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</si>
  <si>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</si>
  <si>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</si>
  <si>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</si>
  <si>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</si>
  <si>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</si>
  <si>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</si>
  <si>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</si>
  <si>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</si>
  <si>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</si>
  <si>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</si>
  <si>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</si>
  <si>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</si>
  <si>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</si>
  <si>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</si>
  <si>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</si>
  <si>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</si>
  <si>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</si>
  <si>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</si>
  <si>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</si>
  <si>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</si>
  <si>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</si>
  <si>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</si>
  <si>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</si>
  <si>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</si>
  <si>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</si>
  <si>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</si>
  <si>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</si>
  <si>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</si>
  <si>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</si>
  <si>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</si>
  <si>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</si>
  <si>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</si>
  <si>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</si>
  <si>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</si>
  <si>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</si>
  <si>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</si>
  <si>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</si>
  <si>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</si>
  <si>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</si>
  <si>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</si>
  <si>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</si>
  <si>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</si>
  <si>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</si>
  <si>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</si>
  <si>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</si>
  <si>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</si>
  <si>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Cuurent Ratio (CA/CL) - preferred 2</t>
  </si>
  <si>
    <t>Quick ratio (CA/CL) - preferred is 1</t>
  </si>
  <si>
    <t>COGS per day in Cr</t>
  </si>
  <si>
    <t>Avg per day sales in Cr</t>
  </si>
  <si>
    <t>Debt to Equity Ratio</t>
  </si>
  <si>
    <t>Debt to capitalization ratio (l.T.L + SHE)</t>
  </si>
  <si>
    <t>RONW or ROE</t>
  </si>
  <si>
    <t>ROI i.e ROCE</t>
  </si>
  <si>
    <t>Cash &amp; Balance with RBI</t>
  </si>
  <si>
    <t>Balance with Banks. Money at call</t>
  </si>
  <si>
    <t>Contingent Liabilities</t>
  </si>
  <si>
    <t>Bills for Collection</t>
  </si>
  <si>
    <t>Gross Deposits</t>
  </si>
  <si>
    <t>Borrowings</t>
  </si>
  <si>
    <t>Other Liabilities &amp; Provisions</t>
  </si>
  <si>
    <t>Gross Advances</t>
  </si>
  <si>
    <t>Other Income</t>
  </si>
  <si>
    <t>Time deposists/FD or any other form</t>
  </si>
  <si>
    <t>Demand Deposits / Current Accounts</t>
  </si>
  <si>
    <t>Savings Deposits / Saving Accounts</t>
  </si>
  <si>
    <t>CASA Deposits</t>
  </si>
  <si>
    <t>Retail %</t>
  </si>
  <si>
    <t>Commercial %</t>
  </si>
  <si>
    <t>Corporate %</t>
  </si>
  <si>
    <t>Agri %</t>
  </si>
  <si>
    <t>Employee Base</t>
  </si>
  <si>
    <t>Price/Sales per share</t>
  </si>
  <si>
    <t>Interest Earned</t>
  </si>
  <si>
    <t>Interest Out-go/Expenses</t>
  </si>
  <si>
    <t xml:space="preserve">Operating Profit Margin (here - 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</si>
</sst>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6" fontId="8" fillId="5" borderId="1" xfId="2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4" fontId="8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80328960"/>
        <c:axId val="80343040"/>
      </c:lineChart>
      <c:catAx>
        <c:axId val="80328960"/>
        <c:scaling>
          <c:orientation val="minMax"/>
        </c:scaling>
        <c:axPos val="b"/>
        <c:tickLblPos val="nextTo"/>
        <c:crossAx val="80343040"/>
        <c:crosses val="autoZero"/>
        <c:auto val="1"/>
        <c:lblAlgn val="ctr"/>
        <c:lblOffset val="100"/>
      </c:catAx>
      <c:valAx>
        <c:axId val="80343040"/>
        <c:scaling>
          <c:orientation val="minMax"/>
        </c:scaling>
        <c:axPos val="l"/>
        <c:majorGridlines/>
        <c:numFmt formatCode="General" sourceLinked="1"/>
        <c:tickLblPos val="nextTo"/>
        <c:crossAx val="8032896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319</v>
      </c>
      <c r="C9" s="153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206"/>
  <sheetViews>
    <sheetView tabSelected="1" zoomScale="80" zoomScaleNormal="80" workbookViewId="0">
      <pane xSplit="2" ySplit="3" topLeftCell="C166" activePane="bottomRight" state="frozen"/>
      <selection pane="topRight" activeCell="C1" sqref="C1"/>
      <selection pane="bottomLeft" activeCell="A5" sqref="A5"/>
      <selection pane="bottomRight" activeCell="P173" sqref="P173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1" style="104" bestFit="1" customWidth="1"/>
    <col min="19" max="19" width="9.85546875" style="104" bestFit="1" customWidth="1"/>
    <col min="20" max="20" width="10.14062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5">
        <v>0.08</v>
      </c>
    </row>
    <row r="2" spans="2:31">
      <c r="B2" s="154" t="s">
        <v>315</v>
      </c>
      <c r="C2" s="120"/>
      <c r="F2" s="104" t="s">
        <v>253</v>
      </c>
      <c r="H2" s="126">
        <v>2013</v>
      </c>
      <c r="J2" s="104" t="s">
        <v>329</v>
      </c>
      <c r="L2" s="165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8" t="s">
        <v>292</v>
      </c>
      <c r="AE2" s="179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0" t="s">
        <v>293</v>
      </c>
      <c r="AE3" s="181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/>
      <c r="G6" s="175">
        <v>905</v>
      </c>
      <c r="H6" s="175">
        <v>2134</v>
      </c>
      <c r="I6" s="175">
        <v>2593</v>
      </c>
      <c r="J6" s="175">
        <v>3106</v>
      </c>
      <c r="K6" s="175">
        <v>8394</v>
      </c>
      <c r="L6" s="175">
        <v>9835</v>
      </c>
      <c r="M6" s="175">
        <v>15583</v>
      </c>
      <c r="N6" s="175">
        <v>18484</v>
      </c>
      <c r="O6" s="175">
        <v>22268</v>
      </c>
      <c r="P6" s="175">
        <v>32690</v>
      </c>
      <c r="Q6" s="118">
        <f>((P6/G6)^(1/($H$2-$H$1) ))-1</f>
        <v>0.48965311481179574</v>
      </c>
      <c r="R6" s="31">
        <f>$L$2</f>
        <v>0.12</v>
      </c>
      <c r="S6" s="155">
        <f>P6*(1+$R6)</f>
        <v>36612.800000000003</v>
      </c>
      <c r="T6" s="155">
        <f>S6*(1+$R6)</f>
        <v>41006.33600000001</v>
      </c>
      <c r="U6" s="155">
        <f t="shared" ref="U6:AB6" si="0">T6*(1+$R6)</f>
        <v>45927.096320000019</v>
      </c>
      <c r="V6" s="155">
        <f t="shared" si="0"/>
        <v>51438.347878400025</v>
      </c>
      <c r="W6" s="155">
        <f t="shared" si="0"/>
        <v>57610.949623808032</v>
      </c>
      <c r="X6" s="155">
        <f t="shared" si="0"/>
        <v>64524.263578664999</v>
      </c>
      <c r="Y6" s="155">
        <f t="shared" si="0"/>
        <v>72267.175208104803</v>
      </c>
      <c r="Z6" s="155">
        <f t="shared" si="0"/>
        <v>80939.23623307739</v>
      </c>
      <c r="AA6" s="155">
        <f t="shared" si="0"/>
        <v>90651.944581046686</v>
      </c>
      <c r="AB6" s="155">
        <f t="shared" si="0"/>
        <v>101530.1779307723</v>
      </c>
      <c r="AC6" s="138">
        <f>((AB6/G6)^(1/($AB$3-$H$1) ))-1</f>
        <v>0.28201151090143206</v>
      </c>
      <c r="AD6" s="31">
        <f>$L$1</f>
        <v>0.08</v>
      </c>
      <c r="AE6" s="146">
        <f t="shared" ref="AE6:AE70" si="1">(AB6*(1+AD6))/($C$1-AD6)</f>
        <v>783232.80118024349</v>
      </c>
    </row>
    <row r="7" spans="2:31">
      <c r="B7" s="20" t="s">
        <v>240</v>
      </c>
      <c r="C7" s="141"/>
      <c r="D7" s="141"/>
      <c r="E7" s="147"/>
      <c r="F7" s="147"/>
      <c r="G7" s="175">
        <v>1138</v>
      </c>
      <c r="H7" s="175">
        <v>2421</v>
      </c>
      <c r="I7" s="175">
        <v>2885</v>
      </c>
      <c r="J7" s="175">
        <v>3397</v>
      </c>
      <c r="K7" s="175">
        <v>8754</v>
      </c>
      <c r="L7" s="175">
        <v>10195</v>
      </c>
      <c r="M7" s="175">
        <v>15989</v>
      </c>
      <c r="N7" s="175">
        <v>18894</v>
      </c>
      <c r="O7" s="175">
        <v>22681</v>
      </c>
      <c r="P7" s="175">
        <v>33158</v>
      </c>
      <c r="Q7" s="118">
        <f>((P7/G7)^(1/($H$2-$H$1) ))-1</f>
        <v>0.45450838578797881</v>
      </c>
      <c r="R7" s="31">
        <f>$L$2</f>
        <v>0.12</v>
      </c>
      <c r="S7" s="155">
        <f t="shared" ref="S7:S17" si="2">P7*(1+$R7)</f>
        <v>37136.960000000006</v>
      </c>
      <c r="T7" s="155">
        <f t="shared" ref="T7:AB7" si="3">S7*(1+$R7)</f>
        <v>41593.395200000014</v>
      </c>
      <c r="U7" s="155">
        <f t="shared" si="3"/>
        <v>46584.602624000021</v>
      </c>
      <c r="V7" s="155">
        <f t="shared" si="3"/>
        <v>52174.754938880025</v>
      </c>
      <c r="W7" s="155">
        <f t="shared" si="3"/>
        <v>58435.725531545635</v>
      </c>
      <c r="X7" s="155">
        <f t="shared" si="3"/>
        <v>65448.012595331114</v>
      </c>
      <c r="Y7" s="155">
        <f t="shared" si="3"/>
        <v>73301.774106770856</v>
      </c>
      <c r="Z7" s="155">
        <f t="shared" si="3"/>
        <v>82097.986999583372</v>
      </c>
      <c r="AA7" s="155">
        <f t="shared" si="3"/>
        <v>91949.745439533392</v>
      </c>
      <c r="AB7" s="155">
        <f t="shared" si="3"/>
        <v>102983.71489227741</v>
      </c>
      <c r="AC7" s="138">
        <f>((AB7/G7)^(1/($AB$3-$H$1) ))-1</f>
        <v>0.26759445621857814</v>
      </c>
      <c r="AD7" s="31">
        <f>$L$1</f>
        <v>0.08</v>
      </c>
      <c r="AE7" s="146">
        <f t="shared" si="1"/>
        <v>794445.80059756862</v>
      </c>
    </row>
    <row r="8" spans="2:31">
      <c r="B8" s="20"/>
      <c r="C8" s="141"/>
      <c r="D8" s="141"/>
      <c r="E8" s="147"/>
      <c r="F8" s="147"/>
      <c r="G8" s="149">
        <f>(G7-F7)/G7</f>
        <v>1</v>
      </c>
      <c r="H8" s="152">
        <f>(H7-G7)/H7</f>
        <v>0.52994630318050395</v>
      </c>
      <c r="I8" s="152">
        <f t="shared" ref="I8:P8" si="4">(I7-H7)/I7</f>
        <v>0.16083188908145579</v>
      </c>
      <c r="J8" s="152">
        <f t="shared" si="4"/>
        <v>0.15072122460994997</v>
      </c>
      <c r="K8" s="152">
        <f t="shared" si="4"/>
        <v>0.61194882339501944</v>
      </c>
      <c r="L8" s="152">
        <f t="shared" si="4"/>
        <v>0.14134379597842078</v>
      </c>
      <c r="M8" s="152">
        <f t="shared" si="4"/>
        <v>0.36237413221589843</v>
      </c>
      <c r="N8" s="152">
        <f t="shared" si="4"/>
        <v>0.1537525140256166</v>
      </c>
      <c r="O8" s="152">
        <f t="shared" si="4"/>
        <v>0.16696794673956175</v>
      </c>
      <c r="P8" s="152">
        <f t="shared" si="4"/>
        <v>0.315972012787261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75">
        <v>0</v>
      </c>
      <c r="H9" s="175"/>
      <c r="I9" s="175"/>
      <c r="J9" s="175">
        <v>0</v>
      </c>
      <c r="K9" s="175">
        <v>0</v>
      </c>
      <c r="L9" s="175">
        <v>0</v>
      </c>
      <c r="M9" s="175"/>
      <c r="N9" s="175"/>
      <c r="O9" s="175"/>
      <c r="P9" s="175"/>
      <c r="Q9" s="118" t="e">
        <f t="shared" ref="Q9:Q17" si="5">((P9/G9)^(1/($H$2-$H$1) ))-1</f>
        <v>#DIV/0!</v>
      </c>
      <c r="R9" s="31">
        <f>$L$2</f>
        <v>0.12</v>
      </c>
      <c r="S9" s="155">
        <f t="shared" ref="S9" si="6">P9*(1+$R9)</f>
        <v>0</v>
      </c>
      <c r="T9" s="155">
        <f t="shared" ref="T9" si="7">S9*(1+$R9)</f>
        <v>0</v>
      </c>
      <c r="U9" s="155">
        <f t="shared" ref="U9" si="8">T9*(1+$R9)</f>
        <v>0</v>
      </c>
      <c r="V9" s="155">
        <f t="shared" ref="V9" si="9">U9*(1+$R9)</f>
        <v>0</v>
      </c>
      <c r="W9" s="155">
        <f t="shared" ref="W9" si="10">V9*(1+$R9)</f>
        <v>0</v>
      </c>
      <c r="X9" s="155">
        <f t="shared" ref="X9" si="11">W9*(1+$R9)</f>
        <v>0</v>
      </c>
      <c r="Y9" s="155">
        <f t="shared" ref="Y9" si="12">X9*(1+$R9)</f>
        <v>0</v>
      </c>
      <c r="Z9" s="155">
        <f t="shared" ref="Z9" si="13">Y9*(1+$R9)</f>
        <v>0</v>
      </c>
      <c r="AA9" s="155">
        <f t="shared" ref="AA9" si="14">Z9*(1+$R9)</f>
        <v>0</v>
      </c>
      <c r="AB9" s="155">
        <f t="shared" ref="AB9" si="15">AA9*(1+$R9)</f>
        <v>0</v>
      </c>
      <c r="AC9" s="138" t="e">
        <f>((AB9/G9)^(1/($AB$3-$H$1) ))-1</f>
        <v>#DIV/0!</v>
      </c>
      <c r="AD9" s="31">
        <f t="shared" ref="AD9:AD102" si="16">$L$1</f>
        <v>0.08</v>
      </c>
      <c r="AE9" s="146">
        <f t="shared" si="1"/>
        <v>0</v>
      </c>
    </row>
    <row r="10" spans="2:31">
      <c r="B10" s="20" t="s">
        <v>4</v>
      </c>
      <c r="C10" s="141"/>
      <c r="D10" s="141"/>
      <c r="E10" s="147"/>
      <c r="F10" s="147"/>
      <c r="G10" s="175">
        <v>21481</v>
      </c>
      <c r="H10" s="175">
        <v>33493</v>
      </c>
      <c r="I10" s="175">
        <v>42794</v>
      </c>
      <c r="J10" s="175">
        <v>63980</v>
      </c>
      <c r="K10" s="175">
        <v>93243</v>
      </c>
      <c r="L10" s="175">
        <v>127543</v>
      </c>
      <c r="M10" s="175">
        <v>158448</v>
      </c>
      <c r="N10" s="175">
        <v>215434</v>
      </c>
      <c r="O10" s="175">
        <v>254059</v>
      </c>
      <c r="P10" s="175">
        <v>296254</v>
      </c>
      <c r="Q10" s="118">
        <f t="shared" si="5"/>
        <v>0.33851518688140225</v>
      </c>
      <c r="R10" s="31">
        <f>$L$2</f>
        <v>0.12</v>
      </c>
      <c r="S10" s="155">
        <f t="shared" si="2"/>
        <v>331804.48000000004</v>
      </c>
      <c r="T10" s="155">
        <f t="shared" ref="T10:AB10" si="17">S10*(1+$R10)</f>
        <v>371621.01760000008</v>
      </c>
      <c r="U10" s="155">
        <f t="shared" si="17"/>
        <v>416215.53971200011</v>
      </c>
      <c r="V10" s="155">
        <f t="shared" si="17"/>
        <v>466161.40447744017</v>
      </c>
      <c r="W10" s="155">
        <f t="shared" si="17"/>
        <v>522100.77301473304</v>
      </c>
      <c r="X10" s="155">
        <f t="shared" si="17"/>
        <v>584752.86577650101</v>
      </c>
      <c r="Y10" s="155">
        <f t="shared" si="17"/>
        <v>654923.20966968115</v>
      </c>
      <c r="Z10" s="155">
        <f t="shared" si="17"/>
        <v>733513.99483004294</v>
      </c>
      <c r="AA10" s="155">
        <f t="shared" si="17"/>
        <v>821535.67420964816</v>
      </c>
      <c r="AB10" s="155">
        <f t="shared" si="17"/>
        <v>920119.95511480607</v>
      </c>
      <c r="AC10" s="138">
        <f t="shared" ref="AC10:AC69" si="18">((AB10/G10)^(1/($AB$3-$H$1) ))-1</f>
        <v>0.2186631575848077</v>
      </c>
      <c r="AD10" s="31">
        <f t="shared" si="16"/>
        <v>0.08</v>
      </c>
      <c r="AE10" s="146">
        <f t="shared" si="1"/>
        <v>7098068.2251713602</v>
      </c>
    </row>
    <row r="11" spans="2:31">
      <c r="B11" s="20"/>
      <c r="C11" s="141"/>
      <c r="D11" s="141"/>
      <c r="E11" s="147"/>
      <c r="F11" s="147"/>
      <c r="G11" s="149">
        <f>(G10-F10)/G10</f>
        <v>1</v>
      </c>
      <c r="H11" s="148">
        <f>(H10-G10)/H10</f>
        <v>0.35864210432030574</v>
      </c>
      <c r="I11" s="148">
        <f t="shared" ref="I11" si="19">(I10-H10)/I10</f>
        <v>0.21734355283450951</v>
      </c>
      <c r="J11" s="148">
        <f t="shared" ref="J11" si="20">(J10-I10)/J10</f>
        <v>0.33113472960300094</v>
      </c>
      <c r="K11" s="148">
        <f t="shared" ref="K11" si="21">(K10-J10)/K10</f>
        <v>0.3138358911660929</v>
      </c>
      <c r="L11" s="148">
        <f t="shared" ref="L11" si="22">(L10-K10)/L10</f>
        <v>0.26892891024987653</v>
      </c>
      <c r="M11" s="148">
        <f t="shared" ref="M11" si="23">(M10-L10)/M10</f>
        <v>0.1950482177118045</v>
      </c>
      <c r="N11" s="148">
        <f t="shared" ref="N11" si="24">(N10-M10)/N10</f>
        <v>0.2645172071260804</v>
      </c>
      <c r="O11" s="148">
        <f t="shared" ref="O11" si="25">(O10-N10)/O10</f>
        <v>0.15203161470367119</v>
      </c>
      <c r="P11" s="148">
        <f t="shared" ref="P11" si="26">(P10-O10)/P10</f>
        <v>0.14242845666218854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6"/>
        <v>0.08</v>
      </c>
      <c r="AE11" s="155"/>
    </row>
    <row r="12" spans="2:31">
      <c r="B12" s="20" t="s">
        <v>2</v>
      </c>
      <c r="C12" s="141"/>
      <c r="D12" s="141"/>
      <c r="E12" s="147"/>
      <c r="F12" s="147"/>
      <c r="G12" s="147">
        <f>G13+G14+G15</f>
        <v>13454</v>
      </c>
      <c r="H12" s="147">
        <f t="shared" ref="H12:P12" si="27">H13+H14+H15</f>
        <v>19549</v>
      </c>
      <c r="I12" s="147">
        <f t="shared" si="27"/>
        <v>25168</v>
      </c>
      <c r="J12" s="147">
        <f t="shared" si="27"/>
        <v>33805</v>
      </c>
      <c r="K12" s="147">
        <f t="shared" si="27"/>
        <v>46369</v>
      </c>
      <c r="L12" s="147">
        <f t="shared" si="27"/>
        <v>61290</v>
      </c>
      <c r="M12" s="147">
        <f t="shared" si="27"/>
        <v>71083</v>
      </c>
      <c r="N12" s="147">
        <f t="shared" si="27"/>
        <v>93195</v>
      </c>
      <c r="O12" s="147">
        <f t="shared" si="27"/>
        <v>106855</v>
      </c>
      <c r="P12" s="147">
        <f t="shared" si="27"/>
        <v>133877</v>
      </c>
      <c r="Q12" s="118">
        <f t="shared" si="5"/>
        <v>0.29084093013861478</v>
      </c>
      <c r="R12" s="31">
        <f>$L$2</f>
        <v>0.12</v>
      </c>
      <c r="S12" s="155">
        <f t="shared" si="2"/>
        <v>149942.24000000002</v>
      </c>
      <c r="T12" s="155">
        <f t="shared" ref="T12:AB14" si="28">S12*(1+$R12)</f>
        <v>167935.30880000003</v>
      </c>
      <c r="U12" s="155">
        <f t="shared" si="28"/>
        <v>188087.54585600004</v>
      </c>
      <c r="V12" s="155">
        <f t="shared" si="28"/>
        <v>210658.05135872005</v>
      </c>
      <c r="W12" s="155">
        <f t="shared" si="28"/>
        <v>235937.01752176648</v>
      </c>
      <c r="X12" s="155">
        <f t="shared" si="28"/>
        <v>264249.45962437848</v>
      </c>
      <c r="Y12" s="155">
        <f t="shared" si="28"/>
        <v>295959.39477930393</v>
      </c>
      <c r="Z12" s="155">
        <f t="shared" si="28"/>
        <v>331474.52215282043</v>
      </c>
      <c r="AA12" s="155">
        <f t="shared" si="28"/>
        <v>371251.46481115889</v>
      </c>
      <c r="AB12" s="155">
        <f t="shared" si="28"/>
        <v>415801.64058849798</v>
      </c>
      <c r="AC12" s="138">
        <f t="shared" si="18"/>
        <v>0.19790639365600149</v>
      </c>
      <c r="AD12" s="31">
        <f t="shared" si="16"/>
        <v>0.08</v>
      </c>
      <c r="AE12" s="146">
        <f t="shared" si="1"/>
        <v>3207612.6559684128</v>
      </c>
    </row>
    <row r="13" spans="2:31">
      <c r="B13" s="20" t="s">
        <v>364</v>
      </c>
      <c r="C13" s="141"/>
      <c r="D13" s="141"/>
      <c r="E13" s="147"/>
      <c r="F13" s="147"/>
      <c r="G13" s="147">
        <v>3776</v>
      </c>
      <c r="H13" s="147">
        <v>3448</v>
      </c>
      <c r="I13" s="147">
        <v>2429</v>
      </c>
      <c r="J13" s="147">
        <v>4661</v>
      </c>
      <c r="K13" s="147">
        <v>7305</v>
      </c>
      <c r="L13" s="147">
        <v>9419</v>
      </c>
      <c r="M13" s="147">
        <v>9473</v>
      </c>
      <c r="N13" s="147">
        <v>13886</v>
      </c>
      <c r="O13" s="147">
        <v>10703</v>
      </c>
      <c r="P13" s="147">
        <v>14792</v>
      </c>
      <c r="Q13" s="118">
        <f t="shared" si="5"/>
        <v>0.16382671942682125</v>
      </c>
      <c r="R13" s="31">
        <f>$L$2</f>
        <v>0.12</v>
      </c>
      <c r="S13" s="155">
        <f t="shared" si="2"/>
        <v>16567.04</v>
      </c>
      <c r="T13" s="155">
        <f t="shared" si="28"/>
        <v>18555.084800000004</v>
      </c>
      <c r="U13" s="155">
        <f t="shared" si="28"/>
        <v>20781.694976000006</v>
      </c>
      <c r="V13" s="155">
        <f t="shared" si="28"/>
        <v>23275.498373120008</v>
      </c>
      <c r="W13" s="155">
        <f t="shared" si="28"/>
        <v>26068.558177894411</v>
      </c>
      <c r="X13" s="155">
        <f t="shared" si="28"/>
        <v>29196.785159241743</v>
      </c>
      <c r="Y13" s="155">
        <f t="shared" si="28"/>
        <v>32700.399378350754</v>
      </c>
      <c r="Z13" s="155">
        <f t="shared" si="28"/>
        <v>36624.447303752851</v>
      </c>
      <c r="AA13" s="155">
        <f t="shared" si="28"/>
        <v>41019.380980203197</v>
      </c>
      <c r="AB13" s="155">
        <f t="shared" si="28"/>
        <v>45941.706697827583</v>
      </c>
      <c r="AC13" s="138">
        <f>((AB13/G13)^(1/($AB$3-$H$1) ))-1</f>
        <v>0.14055039961454963</v>
      </c>
      <c r="AD13" s="31">
        <v>0.08</v>
      </c>
      <c r="AE13" s="146">
        <f t="shared" si="1"/>
        <v>354407.45166895562</v>
      </c>
    </row>
    <row r="14" spans="2:31">
      <c r="B14" s="20" t="s">
        <v>365</v>
      </c>
      <c r="C14" s="141"/>
      <c r="D14" s="141"/>
      <c r="E14" s="147"/>
      <c r="F14" s="147"/>
      <c r="G14" s="147">
        <v>1886</v>
      </c>
      <c r="H14" s="147">
        <v>1827</v>
      </c>
      <c r="I14" s="147">
        <v>1212</v>
      </c>
      <c r="J14" s="147">
        <v>2257</v>
      </c>
      <c r="K14" s="147">
        <v>5199</v>
      </c>
      <c r="L14" s="147">
        <v>5600</v>
      </c>
      <c r="M14" s="147">
        <v>5734</v>
      </c>
      <c r="N14" s="147">
        <v>7522</v>
      </c>
      <c r="O14" s="147">
        <v>3231</v>
      </c>
      <c r="P14" s="147">
        <v>5707</v>
      </c>
      <c r="Q14" s="118">
        <f t="shared" si="5"/>
        <v>0.13091398860164549</v>
      </c>
      <c r="R14" s="31">
        <f>$L$2</f>
        <v>0.12</v>
      </c>
      <c r="S14" s="155">
        <f t="shared" si="2"/>
        <v>6391.8400000000011</v>
      </c>
      <c r="T14" s="155">
        <f t="shared" si="28"/>
        <v>7158.8608000000022</v>
      </c>
      <c r="U14" s="155">
        <f t="shared" si="28"/>
        <v>8017.9240960000034</v>
      </c>
      <c r="V14" s="155">
        <f t="shared" si="28"/>
        <v>8980.0749875200054</v>
      </c>
      <c r="W14" s="155">
        <f t="shared" si="28"/>
        <v>10057.683986022406</v>
      </c>
      <c r="X14" s="155">
        <f t="shared" si="28"/>
        <v>11264.606064345096</v>
      </c>
      <c r="Y14" s="155">
        <f t="shared" si="28"/>
        <v>12616.358792066509</v>
      </c>
      <c r="Z14" s="155">
        <f t="shared" si="28"/>
        <v>14130.32184711449</v>
      </c>
      <c r="AA14" s="155">
        <f t="shared" si="28"/>
        <v>15825.960468768231</v>
      </c>
      <c r="AB14" s="155">
        <f t="shared" si="28"/>
        <v>17725.075725020422</v>
      </c>
      <c r="AC14" s="138">
        <f t="shared" ref="AC14" si="29">((AB14/G14)^(1/($AB$3-$H$1) ))-1</f>
        <v>0.12515659212408448</v>
      </c>
      <c r="AD14" s="31">
        <v>0.08</v>
      </c>
      <c r="AE14" s="146">
        <f t="shared" si="1"/>
        <v>136736.29845015754</v>
      </c>
    </row>
    <row r="15" spans="2:31">
      <c r="B15" s="20" t="s">
        <v>218</v>
      </c>
      <c r="C15" s="141"/>
      <c r="D15" s="141"/>
      <c r="E15" s="147"/>
      <c r="F15" s="147"/>
      <c r="G15" s="175">
        <v>7792</v>
      </c>
      <c r="H15" s="175">
        <v>14274</v>
      </c>
      <c r="I15" s="175">
        <v>21527</v>
      </c>
      <c r="J15" s="175">
        <v>26887</v>
      </c>
      <c r="K15" s="175">
        <v>33865</v>
      </c>
      <c r="L15" s="175">
        <v>46271</v>
      </c>
      <c r="M15" s="175">
        <v>55876</v>
      </c>
      <c r="N15" s="175">
        <v>71787</v>
      </c>
      <c r="O15" s="175">
        <v>92921</v>
      </c>
      <c r="P15" s="175">
        <v>113378</v>
      </c>
      <c r="Q15" s="118">
        <f t="shared" si="5"/>
        <v>0.34650779523711384</v>
      </c>
      <c r="R15" s="31">
        <f t="shared" ref="R15:R66" si="30">$L$2</f>
        <v>0.12</v>
      </c>
      <c r="S15" s="155">
        <f t="shared" si="2"/>
        <v>126983.36000000002</v>
      </c>
      <c r="T15" s="155">
        <f t="shared" ref="T15:AB15" si="31">S15*(1+$R15)</f>
        <v>142221.36320000002</v>
      </c>
      <c r="U15" s="155">
        <f t="shared" si="31"/>
        <v>159287.92678400004</v>
      </c>
      <c r="V15" s="155">
        <f t="shared" si="31"/>
        <v>178402.47799808005</v>
      </c>
      <c r="W15" s="155">
        <f t="shared" si="31"/>
        <v>199810.77535784966</v>
      </c>
      <c r="X15" s="155">
        <f t="shared" si="31"/>
        <v>223788.06840079164</v>
      </c>
      <c r="Y15" s="155">
        <f t="shared" si="31"/>
        <v>250642.63660888665</v>
      </c>
      <c r="Z15" s="155">
        <f t="shared" si="31"/>
        <v>280719.75300195307</v>
      </c>
      <c r="AA15" s="155">
        <f t="shared" si="31"/>
        <v>314406.12336218747</v>
      </c>
      <c r="AB15" s="155">
        <f t="shared" si="31"/>
        <v>352134.85816564999</v>
      </c>
      <c r="AC15" s="138">
        <f t="shared" si="18"/>
        <v>0.22210472997999808</v>
      </c>
      <c r="AD15" s="31">
        <f t="shared" si="16"/>
        <v>0.08</v>
      </c>
      <c r="AE15" s="146">
        <f t="shared" si="1"/>
        <v>2716468.9058492999</v>
      </c>
    </row>
    <row r="16" spans="2:31">
      <c r="B16" s="20" t="s">
        <v>19</v>
      </c>
      <c r="C16" s="141"/>
      <c r="D16" s="141"/>
      <c r="E16" s="147"/>
      <c r="F16" s="147"/>
      <c r="G16" s="175">
        <v>0</v>
      </c>
      <c r="H16" s="175"/>
      <c r="I16" s="175"/>
      <c r="J16" s="175">
        <v>0</v>
      </c>
      <c r="K16" s="175"/>
      <c r="L16" s="175">
        <v>0</v>
      </c>
      <c r="M16" s="175"/>
      <c r="N16" s="175"/>
      <c r="O16" s="175"/>
      <c r="P16" s="175"/>
      <c r="Q16" s="118" t="e">
        <f t="shared" si="5"/>
        <v>#DIV/0!</v>
      </c>
      <c r="R16" s="31">
        <f t="shared" si="30"/>
        <v>0.12</v>
      </c>
      <c r="S16" s="155">
        <f t="shared" si="2"/>
        <v>0</v>
      </c>
      <c r="T16" s="155">
        <f t="shared" ref="T16:AB16" si="32">S16*(1+$R16)</f>
        <v>0</v>
      </c>
      <c r="U16" s="155">
        <f t="shared" si="32"/>
        <v>0</v>
      </c>
      <c r="V16" s="155">
        <f t="shared" si="32"/>
        <v>0</v>
      </c>
      <c r="W16" s="155">
        <f t="shared" si="32"/>
        <v>0</v>
      </c>
      <c r="X16" s="155">
        <f t="shared" si="32"/>
        <v>0</v>
      </c>
      <c r="Y16" s="155">
        <f t="shared" si="32"/>
        <v>0</v>
      </c>
      <c r="Z16" s="155">
        <f t="shared" si="32"/>
        <v>0</v>
      </c>
      <c r="AA16" s="155">
        <f t="shared" si="32"/>
        <v>0</v>
      </c>
      <c r="AB16" s="155">
        <f t="shared" si="32"/>
        <v>0</v>
      </c>
      <c r="AC16" s="138" t="e">
        <f t="shared" si="18"/>
        <v>#DIV/0!</v>
      </c>
      <c r="AD16" s="31">
        <f t="shared" si="16"/>
        <v>0.08</v>
      </c>
      <c r="AE16" s="146">
        <f t="shared" si="1"/>
        <v>0</v>
      </c>
    </row>
    <row r="17" spans="2:31">
      <c r="B17" s="20" t="s">
        <v>23</v>
      </c>
      <c r="C17" s="141"/>
      <c r="D17" s="141"/>
      <c r="E17" s="147"/>
      <c r="F17" s="147"/>
      <c r="G17" s="175">
        <v>0</v>
      </c>
      <c r="H17" s="175"/>
      <c r="I17" s="175"/>
      <c r="J17" s="175">
        <v>0</v>
      </c>
      <c r="K17" s="175"/>
      <c r="L17" s="175">
        <v>0</v>
      </c>
      <c r="M17" s="175"/>
      <c r="N17" s="175"/>
      <c r="O17" s="175"/>
      <c r="P17" s="175"/>
      <c r="Q17" s="118" t="e">
        <f t="shared" si="5"/>
        <v>#DIV/0!</v>
      </c>
      <c r="R17" s="31">
        <f t="shared" si="30"/>
        <v>0.12</v>
      </c>
      <c r="S17" s="155">
        <f t="shared" si="2"/>
        <v>0</v>
      </c>
      <c r="T17" s="155">
        <f t="shared" ref="T17:AB17" si="33">S17*(1+$R17)</f>
        <v>0</v>
      </c>
      <c r="U17" s="155">
        <f t="shared" si="33"/>
        <v>0</v>
      </c>
      <c r="V17" s="155">
        <f t="shared" si="33"/>
        <v>0</v>
      </c>
      <c r="W17" s="155">
        <f t="shared" si="33"/>
        <v>0</v>
      </c>
      <c r="X17" s="155">
        <f t="shared" si="33"/>
        <v>0</v>
      </c>
      <c r="Y17" s="155">
        <f t="shared" si="33"/>
        <v>0</v>
      </c>
      <c r="Z17" s="155">
        <f t="shared" si="33"/>
        <v>0</v>
      </c>
      <c r="AA17" s="155">
        <f t="shared" si="33"/>
        <v>0</v>
      </c>
      <c r="AB17" s="155">
        <f t="shared" si="33"/>
        <v>0</v>
      </c>
      <c r="AC17" s="138" t="e">
        <f t="shared" si="18"/>
        <v>#DIV/0!</v>
      </c>
      <c r="AD17" s="31">
        <f t="shared" si="16"/>
        <v>0.08</v>
      </c>
      <c r="AE17" s="146">
        <f t="shared" si="1"/>
        <v>0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>
      <c r="B19" s="20" t="s">
        <v>366</v>
      </c>
      <c r="C19" s="141"/>
      <c r="D19" s="141"/>
      <c r="E19" s="147"/>
      <c r="F19" s="147"/>
      <c r="G19" s="147">
        <v>13352</v>
      </c>
      <c r="H19" s="147">
        <v>16762</v>
      </c>
      <c r="I19" s="147">
        <v>36524</v>
      </c>
      <c r="J19" s="147">
        <v>178688</v>
      </c>
      <c r="K19" s="147">
        <v>250649</v>
      </c>
      <c r="L19" s="147">
        <v>193311</v>
      </c>
      <c r="M19" s="147">
        <v>301742</v>
      </c>
      <c r="N19" s="147">
        <v>429072</v>
      </c>
      <c r="O19" s="147">
        <v>449977</v>
      </c>
      <c r="P19" s="147">
        <v>525321</v>
      </c>
      <c r="Q19" s="118">
        <f>((P19/G19)^(1/($H$2-$H$1) ))-1</f>
        <v>0.50386452715344077</v>
      </c>
      <c r="R19" s="31">
        <f>$L$2</f>
        <v>0.12</v>
      </c>
      <c r="S19" s="155">
        <f t="shared" ref="S19" si="34">P19*(1+$R19)</f>
        <v>588359.52</v>
      </c>
      <c r="T19" s="155">
        <f t="shared" ref="T19" si="35">S19*(1+$R19)</f>
        <v>658962.66240000003</v>
      </c>
      <c r="U19" s="155">
        <f t="shared" ref="U19" si="36">T19*(1+$R19)</f>
        <v>738038.18188800011</v>
      </c>
      <c r="V19" s="155">
        <f t="shared" ref="V19" si="37">U19*(1+$R19)</f>
        <v>826602.76371456019</v>
      </c>
      <c r="W19" s="155">
        <f t="shared" ref="W19" si="38">V19*(1+$R19)</f>
        <v>925795.09536030749</v>
      </c>
      <c r="X19" s="155">
        <f t="shared" ref="X19" si="39">W19*(1+$R19)</f>
        <v>1036890.5068035445</v>
      </c>
      <c r="Y19" s="155">
        <f t="shared" ref="Y19" si="40">X19*(1+$R19)</f>
        <v>1161317.3676199699</v>
      </c>
      <c r="Z19" s="155">
        <f t="shared" ref="Z19" si="41">Y19*(1+$R19)</f>
        <v>1300675.4517343664</v>
      </c>
      <c r="AA19" s="155">
        <f t="shared" ref="AA19" si="42">Z19*(1+$R19)</f>
        <v>1456756.5059424904</v>
      </c>
      <c r="AB19" s="155">
        <f t="shared" ref="AB19" si="43">AA19*(1+$R19)</f>
        <v>1631567.2866555895</v>
      </c>
      <c r="AC19" s="138">
        <f t="shared" ref="AC19" si="44">((AB19/G19)^(1/($AB$3-$H$1) ))-1</f>
        <v>0.28779042861187998</v>
      </c>
      <c r="AD19" s="31">
        <v>0.08</v>
      </c>
      <c r="AE19" s="146">
        <f t="shared" si="1"/>
        <v>12586376.211343119</v>
      </c>
    </row>
    <row r="20" spans="2:31">
      <c r="B20" s="20" t="s">
        <v>367</v>
      </c>
      <c r="C20" s="141"/>
      <c r="D20" s="141"/>
      <c r="E20" s="147"/>
      <c r="F20" s="147"/>
      <c r="G20" s="147">
        <v>3450</v>
      </c>
      <c r="H20" s="147">
        <v>6679</v>
      </c>
      <c r="I20" s="147">
        <v>8518</v>
      </c>
      <c r="J20" s="147">
        <v>11751</v>
      </c>
      <c r="K20" s="147">
        <v>16569</v>
      </c>
      <c r="L20" s="147">
        <v>15948</v>
      </c>
      <c r="M20" s="147">
        <v>35756</v>
      </c>
      <c r="N20" s="147">
        <v>57400</v>
      </c>
      <c r="O20" s="147">
        <v>64895</v>
      </c>
      <c r="P20" s="147">
        <v>50696</v>
      </c>
      <c r="Q20" s="118">
        <f>((P20/G20)^(1/($H$2-$H$1) ))-1</f>
        <v>0.34798122826717126</v>
      </c>
      <c r="R20" s="31">
        <f>$L$2</f>
        <v>0.12</v>
      </c>
      <c r="S20" s="155">
        <f t="shared" ref="S20" si="45">P20*(1+$R20)</f>
        <v>56779.520000000004</v>
      </c>
      <c r="T20" s="155">
        <f t="shared" ref="T20:AB20" si="46">S20*(1+$R20)</f>
        <v>63593.06240000001</v>
      </c>
      <c r="U20" s="155">
        <f t="shared" si="46"/>
        <v>71224.229888000016</v>
      </c>
      <c r="V20" s="155">
        <f t="shared" si="46"/>
        <v>79771.137474560019</v>
      </c>
      <c r="W20" s="155">
        <f t="shared" si="46"/>
        <v>89343.673971507233</v>
      </c>
      <c r="X20" s="155">
        <f t="shared" si="46"/>
        <v>100064.91484808811</v>
      </c>
      <c r="Y20" s="155">
        <f t="shared" si="46"/>
        <v>112072.70462985869</v>
      </c>
      <c r="Z20" s="155">
        <f t="shared" si="46"/>
        <v>125521.42918544175</v>
      </c>
      <c r="AA20" s="155">
        <f t="shared" si="46"/>
        <v>140584.00068769479</v>
      </c>
      <c r="AB20" s="155">
        <f t="shared" si="46"/>
        <v>157454.08077021819</v>
      </c>
      <c r="AC20" s="138">
        <f t="shared" ref="AC20" si="47">((AB20/G20)^(1/($AB$3-$H$1) ))-1</f>
        <v>0.22273800718128833</v>
      </c>
      <c r="AD20" s="31">
        <v>0.08</v>
      </c>
      <c r="AE20" s="146">
        <f t="shared" si="1"/>
        <v>1214645.7659416832</v>
      </c>
    </row>
    <row r="21" spans="2:31">
      <c r="B21" s="20"/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28"/>
      <c r="R21" s="20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39"/>
      <c r="AD21" s="137"/>
      <c r="AE21" s="155"/>
    </row>
    <row r="22" spans="2:31">
      <c r="B22" s="20" t="s">
        <v>278</v>
      </c>
      <c r="C22" s="141"/>
      <c r="D22" s="141"/>
      <c r="E22" s="147"/>
      <c r="F22" s="147"/>
      <c r="G22" s="175">
        <v>409</v>
      </c>
      <c r="H22" s="175">
        <v>503</v>
      </c>
      <c r="I22" s="175">
        <v>553</v>
      </c>
      <c r="J22" s="175">
        <v>652</v>
      </c>
      <c r="K22" s="175">
        <v>804</v>
      </c>
      <c r="L22" s="175">
        <v>1024</v>
      </c>
      <c r="M22" s="175">
        <v>1178</v>
      </c>
      <c r="N22" s="175">
        <v>2269</v>
      </c>
      <c r="O22" s="175">
        <v>2204</v>
      </c>
      <c r="P22" s="175">
        <v>2387</v>
      </c>
      <c r="Q22" s="118">
        <f>((P22/G22)^(1/($H$2-$H$1) ))-1</f>
        <v>0.21653737701266107</v>
      </c>
      <c r="R22" s="31">
        <f t="shared" si="30"/>
        <v>0.12</v>
      </c>
      <c r="S22" s="155">
        <f t="shared" ref="S22:S57" si="48">P22*(1+$R22)</f>
        <v>2673.44</v>
      </c>
      <c r="T22" s="155">
        <f t="shared" ref="T22:T57" si="49">S22*(1+$R22)</f>
        <v>2994.2528000000002</v>
      </c>
      <c r="U22" s="155">
        <f t="shared" ref="U22:U57" si="50">T22*(1+$R22)</f>
        <v>3353.5631360000007</v>
      </c>
      <c r="V22" s="155">
        <f t="shared" ref="V22:V57" si="51">U22*(1+$R22)</f>
        <v>3755.990712320001</v>
      </c>
      <c r="W22" s="155">
        <f t="shared" ref="W22:W64" si="52">V22*(1+$R22)</f>
        <v>4206.7095977984018</v>
      </c>
      <c r="X22" s="155">
        <f t="shared" ref="X22:X64" si="53">W22*(1+$R22)</f>
        <v>4711.5147495342108</v>
      </c>
      <c r="Y22" s="155">
        <f t="shared" ref="Y22:Y64" si="54">X22*(1+$R22)</f>
        <v>5276.8965194783168</v>
      </c>
      <c r="Z22" s="155">
        <f t="shared" ref="Z22:Z64" si="55">Y22*(1+$R22)</f>
        <v>5910.1241018157152</v>
      </c>
      <c r="AA22" s="155">
        <f t="shared" ref="AA22:AA64" si="56">Z22*(1+$R22)</f>
        <v>6619.3389940336019</v>
      </c>
      <c r="AB22" s="155">
        <f t="shared" ref="AB22:AB64" si="57">AA22*(1+$R22)</f>
        <v>7413.6596733176348</v>
      </c>
      <c r="AC22" s="138">
        <f t="shared" si="18"/>
        <v>0.16473414484343363</v>
      </c>
      <c r="AD22" s="31">
        <f t="shared" si="16"/>
        <v>0.08</v>
      </c>
      <c r="AE22" s="146">
        <f t="shared" si="1"/>
        <v>57191.088908450321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39"/>
      <c r="AD23" s="137"/>
      <c r="AE23" s="155"/>
    </row>
    <row r="24" spans="2:31">
      <c r="B24" s="20" t="s">
        <v>284</v>
      </c>
      <c r="C24" s="141"/>
      <c r="D24" s="141"/>
      <c r="E24" s="147"/>
      <c r="F24" s="147"/>
      <c r="G24" s="147">
        <v>0</v>
      </c>
      <c r="H24" s="147"/>
      <c r="I24" s="147"/>
      <c r="J24" s="147">
        <v>0</v>
      </c>
      <c r="K24" s="147"/>
      <c r="L24" s="147">
        <v>0</v>
      </c>
      <c r="M24" s="147"/>
      <c r="N24" s="147"/>
      <c r="O24" s="147"/>
      <c r="P24" s="147"/>
      <c r="Q24" s="118" t="e">
        <f>((P24/G24)^(1/($H$2-$H$1) ))-1</f>
        <v>#DIV/0!</v>
      </c>
      <c r="R24" s="31">
        <f t="shared" si="30"/>
        <v>0.12</v>
      </c>
      <c r="S24" s="155">
        <f t="shared" ref="S24:S26" si="58">P24*(1+$R24)</f>
        <v>0</v>
      </c>
      <c r="T24" s="155">
        <f t="shared" ref="T24:T26" si="59">S24*(1+$R24)</f>
        <v>0</v>
      </c>
      <c r="U24" s="155">
        <f t="shared" ref="U24:U26" si="60">T24*(1+$R24)</f>
        <v>0</v>
      </c>
      <c r="V24" s="155">
        <f t="shared" ref="V24:V26" si="61">U24*(1+$R24)</f>
        <v>0</v>
      </c>
      <c r="W24" s="155">
        <f t="shared" ref="W24:W26" si="62">V24*(1+$R24)</f>
        <v>0</v>
      </c>
      <c r="X24" s="155">
        <f t="shared" ref="X24:X26" si="63">W24*(1+$R24)</f>
        <v>0</v>
      </c>
      <c r="Y24" s="155">
        <f t="shared" ref="Y24:Y26" si="64">X24*(1+$R24)</f>
        <v>0</v>
      </c>
      <c r="Z24" s="155">
        <f t="shared" ref="Z24:Z26" si="65">Y24*(1+$R24)</f>
        <v>0</v>
      </c>
      <c r="AA24" s="155">
        <f t="shared" ref="AA24:AA26" si="66">Z24*(1+$R24)</f>
        <v>0</v>
      </c>
      <c r="AB24" s="155">
        <f t="shared" ref="AB24:AB26" si="67">AA24*(1+$R24)</f>
        <v>0</v>
      </c>
      <c r="AC24" s="138" t="e">
        <f t="shared" ref="AC24:AC26" si="68">((AB24/G24)^(1/($AB$3-$H$1) ))-1</f>
        <v>#DIV/0!</v>
      </c>
      <c r="AD24" s="31">
        <f t="shared" si="16"/>
        <v>0.08</v>
      </c>
      <c r="AE24" s="146">
        <f t="shared" si="1"/>
        <v>0</v>
      </c>
    </row>
    <row r="25" spans="2:31">
      <c r="B25" s="20" t="s">
        <v>285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18" t="e">
        <f>((P25/G25)^(1/($H$2-$H$1) ))-1</f>
        <v>#DIV/0!</v>
      </c>
      <c r="R25" s="31">
        <f t="shared" si="30"/>
        <v>0.12</v>
      </c>
      <c r="S25" s="155">
        <f t="shared" si="58"/>
        <v>0</v>
      </c>
      <c r="T25" s="155">
        <f t="shared" si="59"/>
        <v>0</v>
      </c>
      <c r="U25" s="155">
        <f t="shared" si="60"/>
        <v>0</v>
      </c>
      <c r="V25" s="155">
        <f t="shared" si="61"/>
        <v>0</v>
      </c>
      <c r="W25" s="155">
        <f t="shared" si="62"/>
        <v>0</v>
      </c>
      <c r="X25" s="155">
        <f t="shared" si="63"/>
        <v>0</v>
      </c>
      <c r="Y25" s="155">
        <f t="shared" si="64"/>
        <v>0</v>
      </c>
      <c r="Z25" s="155">
        <f t="shared" si="65"/>
        <v>0</v>
      </c>
      <c r="AA25" s="155">
        <f t="shared" si="66"/>
        <v>0</v>
      </c>
      <c r="AB25" s="155">
        <f t="shared" si="67"/>
        <v>0</v>
      </c>
      <c r="AC25" s="138" t="e">
        <f t="shared" si="68"/>
        <v>#DIV/0!</v>
      </c>
      <c r="AD25" s="31">
        <f t="shared" si="16"/>
        <v>0.08</v>
      </c>
      <c r="AE25" s="146">
        <f t="shared" si="1"/>
        <v>0</v>
      </c>
    </row>
    <row r="26" spans="2:31">
      <c r="B26" s="20" t="s">
        <v>286</v>
      </c>
      <c r="C26" s="141"/>
      <c r="D26" s="141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18" t="e">
        <f>((P26/G26)^(1/($H$2-$H$1) ))-1</f>
        <v>#DIV/0!</v>
      </c>
      <c r="R26" s="31">
        <f t="shared" si="30"/>
        <v>0.12</v>
      </c>
      <c r="S26" s="155">
        <f t="shared" si="58"/>
        <v>0</v>
      </c>
      <c r="T26" s="155">
        <f t="shared" si="59"/>
        <v>0</v>
      </c>
      <c r="U26" s="155">
        <f t="shared" si="60"/>
        <v>0</v>
      </c>
      <c r="V26" s="155">
        <f t="shared" si="61"/>
        <v>0</v>
      </c>
      <c r="W26" s="155">
        <f t="shared" si="62"/>
        <v>0</v>
      </c>
      <c r="X26" s="155">
        <f t="shared" si="63"/>
        <v>0</v>
      </c>
      <c r="Y26" s="155">
        <f t="shared" si="64"/>
        <v>0</v>
      </c>
      <c r="Z26" s="155">
        <f t="shared" si="65"/>
        <v>0</v>
      </c>
      <c r="AA26" s="155">
        <f t="shared" si="66"/>
        <v>0</v>
      </c>
      <c r="AB26" s="155">
        <f t="shared" si="67"/>
        <v>0</v>
      </c>
      <c r="AC26" s="138" t="e">
        <f t="shared" si="68"/>
        <v>#DIV/0!</v>
      </c>
      <c r="AD26" s="31">
        <f t="shared" si="16"/>
        <v>0.08</v>
      </c>
      <c r="AE26" s="146">
        <f t="shared" si="1"/>
        <v>0</v>
      </c>
    </row>
    <row r="27" spans="2:31">
      <c r="B27" s="20" t="s">
        <v>296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18" t="e">
        <f>((P27/G27)^(1/($H$2-$H$1) ))-1</f>
        <v>#DIV/0!</v>
      </c>
      <c r="R27" s="31">
        <f t="shared" si="30"/>
        <v>0.12</v>
      </c>
      <c r="S27" s="155">
        <f t="shared" ref="S27" si="69">P27*(1+$R27)</f>
        <v>0</v>
      </c>
      <c r="T27" s="155">
        <f t="shared" ref="T27" si="70">S27*(1+$R27)</f>
        <v>0</v>
      </c>
      <c r="U27" s="155">
        <f t="shared" ref="U27" si="71">T27*(1+$R27)</f>
        <v>0</v>
      </c>
      <c r="V27" s="155">
        <f t="shared" ref="V27" si="72">U27*(1+$R27)</f>
        <v>0</v>
      </c>
      <c r="W27" s="155">
        <f t="shared" ref="W27" si="73">V27*(1+$R27)</f>
        <v>0</v>
      </c>
      <c r="X27" s="155">
        <f t="shared" ref="X27" si="74">W27*(1+$R27)</f>
        <v>0</v>
      </c>
      <c r="Y27" s="155">
        <f t="shared" ref="Y27" si="75">X27*(1+$R27)</f>
        <v>0</v>
      </c>
      <c r="Z27" s="155">
        <f t="shared" ref="Z27" si="76">Y27*(1+$R27)</f>
        <v>0</v>
      </c>
      <c r="AA27" s="155">
        <f t="shared" ref="AA27" si="77">Z27*(1+$R27)</f>
        <v>0</v>
      </c>
      <c r="AB27" s="155">
        <f t="shared" ref="AB27" si="78">AA27*(1+$R27)</f>
        <v>0</v>
      </c>
      <c r="AC27" s="138" t="e">
        <f t="shared" ref="AC27" si="79">((AB27/G27)^(1/($AB$3-$H$1) ))-1</f>
        <v>#DIV/0!</v>
      </c>
      <c r="AD27" s="31">
        <f t="shared" si="16"/>
        <v>0.08</v>
      </c>
      <c r="AE27" s="146">
        <f t="shared" si="1"/>
        <v>0</v>
      </c>
    </row>
    <row r="28" spans="2:31">
      <c r="B28" s="20"/>
      <c r="C28" s="141"/>
      <c r="D28" s="141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63"/>
      <c r="AD28" s="119"/>
      <c r="AE28" s="155"/>
    </row>
    <row r="29" spans="2:31" s="123" customFormat="1">
      <c r="B29" s="20" t="s">
        <v>373</v>
      </c>
      <c r="C29" s="150"/>
      <c r="D29" s="150"/>
      <c r="E29" s="151"/>
      <c r="F29" s="147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18" t="e">
        <f>((P29/G29)^(1/($H$2-$H$1) ))-1</f>
        <v>#DIV/0!</v>
      </c>
      <c r="R29" s="31">
        <f>$L$2</f>
        <v>0.12</v>
      </c>
      <c r="S29" s="155">
        <f t="shared" ref="S29:S32" si="80">P29*(1+$R29)</f>
        <v>0</v>
      </c>
      <c r="T29" s="155">
        <f t="shared" ref="T29:T32" si="81">S29*(1+$R29)</f>
        <v>0</v>
      </c>
      <c r="U29" s="155">
        <f t="shared" ref="U29:U32" si="82">T29*(1+$R29)</f>
        <v>0</v>
      </c>
      <c r="V29" s="155">
        <f t="shared" ref="V29:V32" si="83">U29*(1+$R29)</f>
        <v>0</v>
      </c>
      <c r="W29" s="155">
        <f t="shared" ref="W29:W32" si="84">V29*(1+$R29)</f>
        <v>0</v>
      </c>
      <c r="X29" s="155">
        <f t="shared" ref="X29:X32" si="85">W29*(1+$R29)</f>
        <v>0</v>
      </c>
      <c r="Y29" s="155">
        <f t="shared" ref="Y29:Y32" si="86">X29*(1+$R29)</f>
        <v>0</v>
      </c>
      <c r="Z29" s="155">
        <f t="shared" ref="Z29:Z32" si="87">Y29*(1+$R29)</f>
        <v>0</v>
      </c>
      <c r="AA29" s="155">
        <f t="shared" ref="AA29:AA32" si="88">Z29*(1+$R29)</f>
        <v>0</v>
      </c>
      <c r="AB29" s="155">
        <f t="shared" ref="AB29:AB32" si="89">AA29*(1+$R29)</f>
        <v>0</v>
      </c>
      <c r="AC29" s="138" t="e">
        <f t="shared" ref="AC29:AC32" si="90">((AB29/G29)^(1/($AB$3-$H$1) ))-1</f>
        <v>#DIV/0!</v>
      </c>
      <c r="AD29" s="31">
        <f t="shared" si="16"/>
        <v>0.08</v>
      </c>
      <c r="AE29" s="146">
        <f t="shared" ref="AE29:AE32" si="91">(AB29*(1+AD29))/($C$1-AD29)</f>
        <v>0</v>
      </c>
    </row>
    <row r="30" spans="2:31" s="123" customFormat="1">
      <c r="B30" s="20" t="s">
        <v>374</v>
      </c>
      <c r="C30" s="150"/>
      <c r="D30" s="150"/>
      <c r="E30" s="151"/>
      <c r="F30" s="147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18" t="e">
        <f>((P30/G30)^(1/($H$2-$H$1) ))-1</f>
        <v>#DIV/0!</v>
      </c>
      <c r="R30" s="31">
        <f>$L$2</f>
        <v>0.12</v>
      </c>
      <c r="S30" s="155">
        <f t="shared" si="80"/>
        <v>0</v>
      </c>
      <c r="T30" s="155">
        <f t="shared" si="81"/>
        <v>0</v>
      </c>
      <c r="U30" s="155">
        <f t="shared" si="82"/>
        <v>0</v>
      </c>
      <c r="V30" s="155">
        <f t="shared" si="83"/>
        <v>0</v>
      </c>
      <c r="W30" s="155">
        <f t="shared" si="84"/>
        <v>0</v>
      </c>
      <c r="X30" s="155">
        <f t="shared" si="85"/>
        <v>0</v>
      </c>
      <c r="Y30" s="155">
        <f t="shared" si="86"/>
        <v>0</v>
      </c>
      <c r="Z30" s="155">
        <f t="shared" si="87"/>
        <v>0</v>
      </c>
      <c r="AA30" s="155">
        <f t="shared" si="88"/>
        <v>0</v>
      </c>
      <c r="AB30" s="155">
        <f t="shared" si="89"/>
        <v>0</v>
      </c>
      <c r="AC30" s="138" t="e">
        <f t="shared" si="90"/>
        <v>#DIV/0!</v>
      </c>
      <c r="AD30" s="31">
        <f t="shared" si="16"/>
        <v>0.08</v>
      </c>
      <c r="AE30" s="146">
        <f t="shared" si="91"/>
        <v>0</v>
      </c>
    </row>
    <row r="31" spans="2:31" s="123" customFormat="1">
      <c r="B31" s="20" t="s">
        <v>375</v>
      </c>
      <c r="C31" s="150"/>
      <c r="D31" s="150"/>
      <c r="E31" s="151"/>
      <c r="F31" s="147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18" t="e">
        <f>((P31/G31)^(1/($H$2-$H$1) ))-1</f>
        <v>#DIV/0!</v>
      </c>
      <c r="R31" s="31">
        <f>$L$2</f>
        <v>0.12</v>
      </c>
      <c r="S31" s="155">
        <f t="shared" si="80"/>
        <v>0</v>
      </c>
      <c r="T31" s="155">
        <f t="shared" si="81"/>
        <v>0</v>
      </c>
      <c r="U31" s="155">
        <f t="shared" si="82"/>
        <v>0</v>
      </c>
      <c r="V31" s="155">
        <f t="shared" si="83"/>
        <v>0</v>
      </c>
      <c r="W31" s="155">
        <f t="shared" si="84"/>
        <v>0</v>
      </c>
      <c r="X31" s="155">
        <f t="shared" si="85"/>
        <v>0</v>
      </c>
      <c r="Y31" s="155">
        <f t="shared" si="86"/>
        <v>0</v>
      </c>
      <c r="Z31" s="155">
        <f t="shared" si="87"/>
        <v>0</v>
      </c>
      <c r="AA31" s="155">
        <f t="shared" si="88"/>
        <v>0</v>
      </c>
      <c r="AB31" s="155">
        <f t="shared" si="89"/>
        <v>0</v>
      </c>
      <c r="AC31" s="138" t="e">
        <f t="shared" si="90"/>
        <v>#DIV/0!</v>
      </c>
      <c r="AD31" s="31">
        <f t="shared" si="16"/>
        <v>0.08</v>
      </c>
      <c r="AE31" s="146">
        <f t="shared" si="91"/>
        <v>0</v>
      </c>
    </row>
    <row r="32" spans="2:31">
      <c r="B32" s="20" t="s">
        <v>376</v>
      </c>
      <c r="C32" s="141"/>
      <c r="D32" s="141"/>
      <c r="E32" s="147"/>
      <c r="F32" s="147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18" t="e">
        <f>((P32/G32)^(1/($H$2-$H$1) ))-1</f>
        <v>#DIV/0!</v>
      </c>
      <c r="R32" s="31">
        <f>$L$2</f>
        <v>0.12</v>
      </c>
      <c r="S32" s="155">
        <f t="shared" si="80"/>
        <v>0</v>
      </c>
      <c r="T32" s="155">
        <f t="shared" si="81"/>
        <v>0</v>
      </c>
      <c r="U32" s="155">
        <f t="shared" si="82"/>
        <v>0</v>
      </c>
      <c r="V32" s="155">
        <f t="shared" si="83"/>
        <v>0</v>
      </c>
      <c r="W32" s="155">
        <f t="shared" si="84"/>
        <v>0</v>
      </c>
      <c r="X32" s="155">
        <f t="shared" si="85"/>
        <v>0</v>
      </c>
      <c r="Y32" s="155">
        <f t="shared" si="86"/>
        <v>0</v>
      </c>
      <c r="Z32" s="155">
        <f t="shared" si="87"/>
        <v>0</v>
      </c>
      <c r="AA32" s="155">
        <f t="shared" si="88"/>
        <v>0</v>
      </c>
      <c r="AB32" s="155">
        <f t="shared" si="89"/>
        <v>0</v>
      </c>
      <c r="AC32" s="138" t="e">
        <f t="shared" si="90"/>
        <v>#DIV/0!</v>
      </c>
      <c r="AD32" s="31">
        <f t="shared" si="16"/>
        <v>0.08</v>
      </c>
      <c r="AE32" s="146">
        <f t="shared" si="91"/>
        <v>0</v>
      </c>
    </row>
    <row r="33" spans="2:31">
      <c r="B33" s="20"/>
      <c r="C33" s="141"/>
      <c r="D33" s="141"/>
      <c r="E33" s="147"/>
      <c r="F33" s="147"/>
      <c r="G33" s="149" t="e">
        <f>(G32-F32)/G32</f>
        <v>#DIV/0!</v>
      </c>
      <c r="H33" s="149" t="e">
        <f>(H32-G32)/H32</f>
        <v>#DIV/0!</v>
      </c>
      <c r="I33" s="149" t="e">
        <f t="shared" ref="I33:P33" si="92">(I32-H32)/I32</f>
        <v>#DIV/0!</v>
      </c>
      <c r="J33" s="149" t="e">
        <f t="shared" si="92"/>
        <v>#DIV/0!</v>
      </c>
      <c r="K33" s="149" t="e">
        <f t="shared" si="92"/>
        <v>#DIV/0!</v>
      </c>
      <c r="L33" s="149" t="e">
        <f t="shared" si="92"/>
        <v>#DIV/0!</v>
      </c>
      <c r="M33" s="149" t="e">
        <f t="shared" si="92"/>
        <v>#DIV/0!</v>
      </c>
      <c r="N33" s="149" t="e">
        <f t="shared" si="92"/>
        <v>#DIV/0!</v>
      </c>
      <c r="O33" s="149" t="e">
        <f t="shared" si="92"/>
        <v>#DIV/0!</v>
      </c>
      <c r="P33" s="149" t="e">
        <f t="shared" si="92"/>
        <v>#DIV/0!</v>
      </c>
      <c r="Q33" s="3"/>
      <c r="R33" s="3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46"/>
    </row>
    <row r="34" spans="2:31">
      <c r="B34" s="20"/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28"/>
      <c r="R34" s="20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19"/>
      <c r="AD34" s="137"/>
      <c r="AE34" s="155"/>
    </row>
    <row r="35" spans="2:31">
      <c r="B35" s="20" t="s">
        <v>368</v>
      </c>
      <c r="C35" s="141"/>
      <c r="D35" s="141"/>
      <c r="E35" s="147"/>
      <c r="F35" s="147"/>
      <c r="G35" s="147">
        <v>20953</v>
      </c>
      <c r="H35" s="147">
        <v>31712</v>
      </c>
      <c r="I35" s="147">
        <v>40113</v>
      </c>
      <c r="J35" s="147">
        <v>58785</v>
      </c>
      <c r="K35" s="147">
        <v>87619</v>
      </c>
      <c r="L35" s="147">
        <v>117357</v>
      </c>
      <c r="M35" s="147">
        <v>141278</v>
      </c>
      <c r="N35" s="147">
        <v>189166</v>
      </c>
      <c r="O35" s="147">
        <v>219897</v>
      </c>
      <c r="P35" s="147">
        <v>252149</v>
      </c>
      <c r="Q35" s="118">
        <f>((P35/G35)^(1/($H$2-$H$1) ))-1</f>
        <v>0.3183953748934687</v>
      </c>
      <c r="R35" s="31">
        <f>$L$2</f>
        <v>0.12</v>
      </c>
      <c r="S35" s="155">
        <f t="shared" ref="S35:S41" si="93">P35*(1+$R35)</f>
        <v>282406.88</v>
      </c>
      <c r="T35" s="155">
        <f t="shared" ref="T35:AB41" si="94">S35*(1+$R35)</f>
        <v>316295.70560000004</v>
      </c>
      <c r="U35" s="155">
        <f t="shared" si="94"/>
        <v>354251.19027200009</v>
      </c>
      <c r="V35" s="155">
        <f t="shared" si="94"/>
        <v>396761.33310464013</v>
      </c>
      <c r="W35" s="155">
        <f t="shared" si="94"/>
        <v>444372.69307719701</v>
      </c>
      <c r="X35" s="155">
        <f t="shared" si="94"/>
        <v>497697.41624646069</v>
      </c>
      <c r="Y35" s="155">
        <f t="shared" si="94"/>
        <v>557421.10619603598</v>
      </c>
      <c r="Z35" s="155">
        <f t="shared" si="94"/>
        <v>624311.63893956039</v>
      </c>
      <c r="AA35" s="155">
        <f t="shared" si="94"/>
        <v>699229.03561230772</v>
      </c>
      <c r="AB35" s="155">
        <f t="shared" si="94"/>
        <v>783136.51988578471</v>
      </c>
      <c r="AC35" s="138">
        <f t="shared" ref="AC35:AC41" si="95">((AB35/G35)^(1/($AB$3-$H$1) ))-1</f>
        <v>0.20995149709812155</v>
      </c>
      <c r="AD35" s="31">
        <v>0.05</v>
      </c>
      <c r="AE35" s="146">
        <f t="shared" si="1"/>
        <v>4837019.6816474944</v>
      </c>
    </row>
    <row r="36" spans="2:31">
      <c r="B36" s="20"/>
      <c r="C36" s="141"/>
      <c r="D36" s="141"/>
      <c r="E36" s="147"/>
      <c r="F36" s="147"/>
      <c r="G36" s="149">
        <f>(G35-F35)/G35</f>
        <v>1</v>
      </c>
      <c r="H36" s="149">
        <f>(H35-G35)/H35</f>
        <v>0.33927219979818363</v>
      </c>
      <c r="I36" s="149">
        <f t="shared" ref="I36:P36" si="96">(I35-H35)/I35</f>
        <v>0.2094333507840351</v>
      </c>
      <c r="J36" s="149">
        <f t="shared" si="96"/>
        <v>0.3176320489920898</v>
      </c>
      <c r="K36" s="149">
        <f t="shared" si="96"/>
        <v>0.32908387450210569</v>
      </c>
      <c r="L36" s="149">
        <f t="shared" si="96"/>
        <v>0.25339775215794541</v>
      </c>
      <c r="M36" s="149">
        <f t="shared" si="96"/>
        <v>0.16931864833873639</v>
      </c>
      <c r="N36" s="149">
        <f t="shared" si="96"/>
        <v>0.2531533150777624</v>
      </c>
      <c r="O36" s="149">
        <f t="shared" si="96"/>
        <v>0.13975179288485062</v>
      </c>
      <c r="P36" s="149">
        <f t="shared" si="96"/>
        <v>0.12790849854649433</v>
      </c>
      <c r="Q36" s="3"/>
      <c r="R36" s="3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39"/>
      <c r="AD36" s="128"/>
      <c r="AE36" s="146"/>
    </row>
    <row r="37" spans="2:31">
      <c r="B37" s="20" t="s">
        <v>369</v>
      </c>
      <c r="C37" s="141"/>
      <c r="D37" s="141"/>
      <c r="E37" s="147"/>
      <c r="F37" s="147"/>
      <c r="G37" s="147">
        <v>527</v>
      </c>
      <c r="H37" s="147">
        <v>1781</v>
      </c>
      <c r="I37" s="147">
        <v>2680</v>
      </c>
      <c r="J37" s="147">
        <v>5195</v>
      </c>
      <c r="K37" s="147">
        <v>5624</v>
      </c>
      <c r="L37" s="147">
        <v>10185</v>
      </c>
      <c r="M37" s="147">
        <v>17169</v>
      </c>
      <c r="N37" s="147">
        <v>26267</v>
      </c>
      <c r="O37" s="147">
        <v>34071</v>
      </c>
      <c r="P37" s="147">
        <v>44105</v>
      </c>
      <c r="Q37" s="118">
        <f>((P37/G37)^(1/($H$2-$H$1) ))-1</f>
        <v>0.63542563608441038</v>
      </c>
      <c r="R37" s="31">
        <f>$L$2</f>
        <v>0.12</v>
      </c>
      <c r="S37" s="155">
        <f t="shared" ref="S37" si="97">P37*(1+$R37)</f>
        <v>49397.600000000006</v>
      </c>
      <c r="T37" s="155">
        <f t="shared" ref="T37:AB37" si="98">S37*(1+$R37)</f>
        <v>55325.312000000013</v>
      </c>
      <c r="U37" s="155">
        <f t="shared" si="98"/>
        <v>61964.34944000002</v>
      </c>
      <c r="V37" s="155">
        <f t="shared" si="98"/>
        <v>69400.071372800026</v>
      </c>
      <c r="W37" s="155">
        <f t="shared" si="98"/>
        <v>77728.079937536037</v>
      </c>
      <c r="X37" s="155">
        <f t="shared" si="98"/>
        <v>87055.449530040365</v>
      </c>
      <c r="Y37" s="155">
        <f t="shared" si="98"/>
        <v>97502.103473645213</v>
      </c>
      <c r="Z37" s="155">
        <f t="shared" si="98"/>
        <v>109202.35589048265</v>
      </c>
      <c r="AA37" s="155">
        <f t="shared" si="98"/>
        <v>122306.63859734058</v>
      </c>
      <c r="AB37" s="155">
        <f t="shared" si="98"/>
        <v>136983.43522902147</v>
      </c>
      <c r="AC37" s="138">
        <f t="shared" ref="AC37" si="99">((AB37/G37)^(1/($AB$3-$H$1) ))-1</f>
        <v>0.3399782832140561</v>
      </c>
      <c r="AD37" s="31">
        <v>0.05</v>
      </c>
      <c r="AE37" s="146">
        <f t="shared" si="1"/>
        <v>846074.15876748576</v>
      </c>
    </row>
    <row r="38" spans="2:31">
      <c r="B38" s="20"/>
      <c r="C38" s="141"/>
      <c r="D38" s="141"/>
      <c r="E38" s="147"/>
      <c r="F38" s="147"/>
      <c r="G38" s="149">
        <f>(G37-F37)/G37</f>
        <v>1</v>
      </c>
      <c r="H38" s="149">
        <f>(H37-G37)/H37</f>
        <v>0.70409882088714204</v>
      </c>
      <c r="I38" s="149">
        <f t="shared" ref="I38:P38" si="100">(I37-H37)/I37</f>
        <v>0.33544776119402986</v>
      </c>
      <c r="J38" s="149">
        <f t="shared" si="100"/>
        <v>0.48411934552454283</v>
      </c>
      <c r="K38" s="149">
        <f t="shared" si="100"/>
        <v>7.6280227596017075E-2</v>
      </c>
      <c r="L38" s="149">
        <f t="shared" si="100"/>
        <v>0.44781541482572412</v>
      </c>
      <c r="M38" s="149">
        <f t="shared" si="100"/>
        <v>0.40677966101694918</v>
      </c>
      <c r="N38" s="149">
        <f t="shared" si="100"/>
        <v>0.34636616286595345</v>
      </c>
      <c r="O38" s="149">
        <f t="shared" si="100"/>
        <v>0.22905109917525168</v>
      </c>
      <c r="P38" s="149">
        <f t="shared" si="100"/>
        <v>0.22750255073120962</v>
      </c>
      <c r="Q38" s="3"/>
      <c r="R38" s="3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39"/>
      <c r="AD38" s="128"/>
      <c r="AE38" s="146"/>
    </row>
    <row r="39" spans="2:31">
      <c r="B39" s="20" t="s">
        <v>370</v>
      </c>
      <c r="C39" s="141"/>
      <c r="D39" s="141"/>
      <c r="E39" s="147"/>
      <c r="F39" s="147"/>
      <c r="G39" s="147">
        <v>1530</v>
      </c>
      <c r="H39" s="147">
        <v>1828</v>
      </c>
      <c r="I39" s="147">
        <v>4051</v>
      </c>
      <c r="J39" s="147">
        <v>5877</v>
      </c>
      <c r="K39" s="147">
        <v>7568</v>
      </c>
      <c r="L39" s="147">
        <v>9958</v>
      </c>
      <c r="M39" s="147">
        <v>6149</v>
      </c>
      <c r="N39" s="147">
        <v>8237</v>
      </c>
      <c r="O39" s="147">
        <v>8675</v>
      </c>
      <c r="P39" s="147">
        <v>11132</v>
      </c>
      <c r="Q39" s="118">
        <f>((P39/G39)^(1/($H$2-$H$1) ))-1</f>
        <v>0.24670769700275019</v>
      </c>
      <c r="R39" s="31">
        <f>$L$2</f>
        <v>0.12</v>
      </c>
      <c r="S39" s="155">
        <f t="shared" ref="S39" si="101">P39*(1+$R39)</f>
        <v>12467.840000000002</v>
      </c>
      <c r="T39" s="155">
        <f t="shared" ref="T39:AB39" si="102">S39*(1+$R39)</f>
        <v>13963.980800000003</v>
      </c>
      <c r="U39" s="155">
        <f t="shared" si="102"/>
        <v>15639.658496000005</v>
      </c>
      <c r="V39" s="155">
        <f t="shared" si="102"/>
        <v>17516.417515520006</v>
      </c>
      <c r="W39" s="155">
        <f t="shared" si="102"/>
        <v>19618.38761738241</v>
      </c>
      <c r="X39" s="155">
        <f t="shared" si="102"/>
        <v>21972.5941314683</v>
      </c>
      <c r="Y39" s="155">
        <f t="shared" si="102"/>
        <v>24609.305427244501</v>
      </c>
      <c r="Z39" s="155">
        <f t="shared" si="102"/>
        <v>27562.422078513842</v>
      </c>
      <c r="AA39" s="155">
        <f t="shared" si="102"/>
        <v>30869.912727935505</v>
      </c>
      <c r="AB39" s="155">
        <f t="shared" si="102"/>
        <v>34574.302255287766</v>
      </c>
      <c r="AC39" s="138">
        <f t="shared" ref="AC39" si="103">((AB39/G39)^(1/($AB$3-$H$1) ))-1</f>
        <v>0.17832860502612435</v>
      </c>
      <c r="AD39" s="31">
        <v>0.05</v>
      </c>
      <c r="AE39" s="146">
        <f t="shared" si="1"/>
        <v>213547.16098854211</v>
      </c>
    </row>
    <row r="40" spans="2:31">
      <c r="B40" s="20"/>
      <c r="C40" s="141"/>
      <c r="D40" s="141"/>
      <c r="E40" s="147"/>
      <c r="F40" s="147"/>
      <c r="G40" s="149">
        <f>(G39-F39)/G39</f>
        <v>1</v>
      </c>
      <c r="H40" s="149">
        <f>(H39-G39)/H39</f>
        <v>0.16301969365426697</v>
      </c>
      <c r="I40" s="149">
        <f t="shared" ref="I40:P40" si="104">(I39-H39)/I39</f>
        <v>0.54875339422364844</v>
      </c>
      <c r="J40" s="149">
        <f t="shared" si="104"/>
        <v>0.31070273949293858</v>
      </c>
      <c r="K40" s="149">
        <f t="shared" si="104"/>
        <v>0.22344080338266384</v>
      </c>
      <c r="L40" s="149">
        <f t="shared" si="104"/>
        <v>0.2400080337417152</v>
      </c>
      <c r="M40" s="149">
        <f t="shared" si="104"/>
        <v>-0.61945031712473575</v>
      </c>
      <c r="N40" s="149">
        <f t="shared" si="104"/>
        <v>0.25349034842782564</v>
      </c>
      <c r="O40" s="149">
        <f t="shared" si="104"/>
        <v>5.0489913544668585E-2</v>
      </c>
      <c r="P40" s="149">
        <f t="shared" si="104"/>
        <v>0.22071505569529284</v>
      </c>
      <c r="Q40" s="3"/>
      <c r="R40" s="3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128"/>
      <c r="AE40" s="146"/>
    </row>
    <row r="41" spans="2:31">
      <c r="B41" s="20" t="s">
        <v>371</v>
      </c>
      <c r="C41" s="141"/>
      <c r="D41" s="141"/>
      <c r="E41" s="147"/>
      <c r="F41" s="147"/>
      <c r="G41" s="147">
        <v>9362</v>
      </c>
      <c r="H41" s="147">
        <v>15602</v>
      </c>
      <c r="I41" s="147">
        <v>22314</v>
      </c>
      <c r="J41" s="147">
        <v>36876</v>
      </c>
      <c r="K41" s="147">
        <v>59745</v>
      </c>
      <c r="L41" s="147">
        <v>81566</v>
      </c>
      <c r="M41" s="147">
        <v>104343</v>
      </c>
      <c r="N41" s="147">
        <v>142407</v>
      </c>
      <c r="O41" s="147">
        <v>169769</v>
      </c>
      <c r="P41" s="147">
        <v>196690</v>
      </c>
      <c r="Q41" s="118">
        <f>((P41/G41)^(1/($H$2-$H$1) ))-1</f>
        <v>0.40260327714722699</v>
      </c>
      <c r="R41" s="31">
        <f>$L$2</f>
        <v>0.12</v>
      </c>
      <c r="S41" s="155">
        <f t="shared" si="93"/>
        <v>220292.80000000002</v>
      </c>
      <c r="T41" s="155">
        <f t="shared" si="94"/>
        <v>246727.93600000005</v>
      </c>
      <c r="U41" s="155">
        <f t="shared" si="94"/>
        <v>276335.28832000005</v>
      </c>
      <c r="V41" s="155">
        <f t="shared" si="94"/>
        <v>309495.52291840006</v>
      </c>
      <c r="W41" s="155">
        <f t="shared" si="94"/>
        <v>346634.9856686081</v>
      </c>
      <c r="X41" s="155">
        <f t="shared" si="94"/>
        <v>388231.18394884112</v>
      </c>
      <c r="Y41" s="155">
        <f t="shared" si="94"/>
        <v>434818.92602270207</v>
      </c>
      <c r="Z41" s="155">
        <f t="shared" si="94"/>
        <v>486997.19714542635</v>
      </c>
      <c r="AA41" s="155">
        <f t="shared" si="94"/>
        <v>545436.86080287758</v>
      </c>
      <c r="AB41" s="155">
        <f t="shared" si="94"/>
        <v>610889.28409922298</v>
      </c>
      <c r="AC41" s="138">
        <f t="shared" si="95"/>
        <v>0.24596241127269747</v>
      </c>
      <c r="AD41" s="31">
        <v>0.05</v>
      </c>
      <c r="AE41" s="146">
        <f t="shared" si="1"/>
        <v>3773139.695906966</v>
      </c>
    </row>
    <row r="42" spans="2:31">
      <c r="B42" s="20"/>
      <c r="C42" s="141"/>
      <c r="D42" s="141"/>
      <c r="E42" s="147"/>
      <c r="F42" s="147"/>
      <c r="G42" s="149">
        <f>(G41-F41)/G41</f>
        <v>1</v>
      </c>
      <c r="H42" s="149">
        <f>(H41-G41)/H41</f>
        <v>0.39994872452249713</v>
      </c>
      <c r="I42" s="149">
        <f t="shared" ref="I42:P42" si="105">(I41-H41)/I41</f>
        <v>0.30079770547638252</v>
      </c>
      <c r="J42" s="149">
        <f t="shared" si="105"/>
        <v>0.39489098600715911</v>
      </c>
      <c r="K42" s="149">
        <f t="shared" si="105"/>
        <v>0.38277680140597542</v>
      </c>
      <c r="L42" s="149">
        <f t="shared" si="105"/>
        <v>0.26752568472157517</v>
      </c>
      <c r="M42" s="149">
        <f t="shared" si="105"/>
        <v>0.21828967923099776</v>
      </c>
      <c r="N42" s="149">
        <f t="shared" si="105"/>
        <v>0.26729023151951803</v>
      </c>
      <c r="O42" s="149">
        <f t="shared" si="105"/>
        <v>0.16117194540817228</v>
      </c>
      <c r="P42" s="149">
        <f t="shared" si="105"/>
        <v>0.13687020184045962</v>
      </c>
      <c r="Q42" s="3"/>
      <c r="R42" s="3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38"/>
      <c r="AD42" s="31"/>
      <c r="AE42" s="146"/>
    </row>
    <row r="43" spans="2:31">
      <c r="B43" s="20"/>
      <c r="C43" s="141"/>
      <c r="D43" s="141"/>
      <c r="E43" s="147"/>
      <c r="F43" s="147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3"/>
      <c r="R43" s="3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38"/>
      <c r="AD43" s="31"/>
      <c r="AE43" s="146"/>
    </row>
    <row r="44" spans="2:31">
      <c r="B44" s="20" t="s">
        <v>89</v>
      </c>
      <c r="C44" s="141"/>
      <c r="D44" s="141"/>
      <c r="E44" s="147"/>
      <c r="F44" s="147"/>
      <c r="G44" s="176">
        <v>2119</v>
      </c>
      <c r="H44" s="176">
        <v>2327</v>
      </c>
      <c r="I44" s="176">
        <v>3602</v>
      </c>
      <c r="J44" s="143">
        <v>5447</v>
      </c>
      <c r="K44" s="143">
        <v>8756</v>
      </c>
      <c r="L44" s="177">
        <v>13745</v>
      </c>
      <c r="M44" s="177">
        <v>15603</v>
      </c>
      <c r="N44" s="177">
        <v>19826</v>
      </c>
      <c r="O44" s="177">
        <v>27482</v>
      </c>
      <c r="P44" s="177">
        <v>34034</v>
      </c>
      <c r="Q44" s="118">
        <f>((P44/G44)^(1/($H$2-$H$1) ))-1</f>
        <v>0.36136876490765135</v>
      </c>
      <c r="R44" s="31">
        <f>$L$2</f>
        <v>0.12</v>
      </c>
      <c r="S44" s="155">
        <f t="shared" si="48"/>
        <v>38118.080000000002</v>
      </c>
      <c r="T44" s="155">
        <f t="shared" si="49"/>
        <v>42692.249600000003</v>
      </c>
      <c r="U44" s="155">
        <f t="shared" si="50"/>
        <v>47815.319552000008</v>
      </c>
      <c r="V44" s="155">
        <f t="shared" si="51"/>
        <v>53553.157898240017</v>
      </c>
      <c r="W44" s="155">
        <f t="shared" si="52"/>
        <v>59979.536846028823</v>
      </c>
      <c r="X44" s="155">
        <f t="shared" si="53"/>
        <v>67177.08126755229</v>
      </c>
      <c r="Y44" s="155">
        <f t="shared" si="54"/>
        <v>75238.331019658566</v>
      </c>
      <c r="Z44" s="155">
        <f t="shared" si="55"/>
        <v>84266.930742017605</v>
      </c>
      <c r="AA44" s="155">
        <f t="shared" si="56"/>
        <v>94378.962431059728</v>
      </c>
      <c r="AB44" s="155">
        <f t="shared" si="57"/>
        <v>105704.43792278691</v>
      </c>
      <c r="AC44" s="138">
        <f t="shared" si="18"/>
        <v>0.22847531723438719</v>
      </c>
      <c r="AD44" s="31">
        <f t="shared" si="16"/>
        <v>0.08</v>
      </c>
      <c r="AE44" s="146">
        <f t="shared" si="1"/>
        <v>815434.23540435603</v>
      </c>
    </row>
    <row r="45" spans="2:31" s="123" customFormat="1">
      <c r="B45" s="23"/>
      <c r="C45" s="150"/>
      <c r="D45" s="150"/>
      <c r="E45" s="151"/>
      <c r="F45" s="151"/>
      <c r="G45" s="149">
        <f>(G44-F44)/G44</f>
        <v>1</v>
      </c>
      <c r="H45" s="149">
        <f>(H44-G44)/H44</f>
        <v>8.9385474860335198E-2</v>
      </c>
      <c r="I45" s="149">
        <f t="shared" ref="I45" si="106">(I44-H44)/I44</f>
        <v>0.35397001665741257</v>
      </c>
      <c r="J45" s="149">
        <f t="shared" ref="J45" si="107">(J44-I44)/J44</f>
        <v>0.33871856067560124</v>
      </c>
      <c r="K45" s="149">
        <f t="shared" ref="K45" si="108">(K44-J44)/K44</f>
        <v>0.37791228871630883</v>
      </c>
      <c r="L45" s="149">
        <f t="shared" ref="L45" si="109">(L44-K44)/L44</f>
        <v>0.36296835212804657</v>
      </c>
      <c r="M45" s="149">
        <f t="shared" ref="M45" si="110">(M44-L44)/M44</f>
        <v>0.11907966416714734</v>
      </c>
      <c r="N45" s="149">
        <f t="shared" ref="N45" si="111">(N44-M44)/N44</f>
        <v>0.21300312720669828</v>
      </c>
      <c r="O45" s="149">
        <f t="shared" ref="O45" si="112">(O44-N44)/O44</f>
        <v>0.27858234480751037</v>
      </c>
      <c r="P45" s="149">
        <f t="shared" ref="P45" si="113">(P44-O44)/P44</f>
        <v>0.19251336898395721</v>
      </c>
      <c r="Q45" s="128"/>
      <c r="R45" s="20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19"/>
      <c r="AD45" s="137"/>
      <c r="AE45" s="155"/>
    </row>
    <row r="46" spans="2:31">
      <c r="B46" s="20" t="s">
        <v>262</v>
      </c>
      <c r="C46" s="141"/>
      <c r="D46" s="141"/>
      <c r="E46" s="147"/>
      <c r="F46" s="147"/>
      <c r="G46" s="176">
        <v>1848</v>
      </c>
      <c r="H46" s="176">
        <v>2003</v>
      </c>
      <c r="I46" s="176">
        <v>3117</v>
      </c>
      <c r="J46" s="143">
        <v>4793</v>
      </c>
      <c r="K46" s="143">
        <v>7696</v>
      </c>
      <c r="L46" s="177">
        <v>11932</v>
      </c>
      <c r="M46" s="177">
        <v>13125</v>
      </c>
      <c r="N46" s="177">
        <v>16481</v>
      </c>
      <c r="O46" s="177">
        <v>23263</v>
      </c>
      <c r="P46" s="177">
        <v>28801</v>
      </c>
      <c r="Q46" s="118">
        <f>((P46/G46)^(1/($H$2-$H$1) ))-1</f>
        <v>0.35682189908586093</v>
      </c>
      <c r="R46" s="31">
        <f>$L$2</f>
        <v>0.12</v>
      </c>
      <c r="S46" s="155">
        <f t="shared" si="48"/>
        <v>32257.120000000003</v>
      </c>
      <c r="T46" s="155">
        <f t="shared" si="49"/>
        <v>36127.974400000006</v>
      </c>
      <c r="U46" s="155">
        <f t="shared" si="50"/>
        <v>40463.331328000007</v>
      </c>
      <c r="V46" s="155">
        <f t="shared" si="51"/>
        <v>45318.931087360012</v>
      </c>
      <c r="W46" s="155">
        <f t="shared" si="52"/>
        <v>50757.202817843216</v>
      </c>
      <c r="X46" s="155">
        <f t="shared" si="53"/>
        <v>56848.067155984405</v>
      </c>
      <c r="Y46" s="155">
        <f t="shared" si="54"/>
        <v>63669.835214702536</v>
      </c>
      <c r="Z46" s="155">
        <f t="shared" si="55"/>
        <v>71310.215440466854</v>
      </c>
      <c r="AA46" s="155">
        <f t="shared" si="56"/>
        <v>79867.441293322889</v>
      </c>
      <c r="AB46" s="155">
        <f t="shared" si="57"/>
        <v>89451.534248521639</v>
      </c>
      <c r="AC46" s="138">
        <f t="shared" si="18"/>
        <v>0.22653007408416159</v>
      </c>
      <c r="AD46" s="31">
        <f t="shared" si="16"/>
        <v>0.08</v>
      </c>
      <c r="AE46" s="146">
        <f t="shared" si="1"/>
        <v>690054.69277430978</v>
      </c>
    </row>
    <row r="47" spans="2:31" s="123" customFormat="1">
      <c r="B47" s="23"/>
      <c r="C47" s="150"/>
      <c r="D47" s="150"/>
      <c r="E47" s="151"/>
      <c r="F47" s="151"/>
      <c r="G47" s="149">
        <f t="shared" ref="G47:P47" si="114">(G46-F46)/G46</f>
        <v>1</v>
      </c>
      <c r="H47" s="149">
        <f t="shared" si="114"/>
        <v>7.7383924113829258E-2</v>
      </c>
      <c r="I47" s="149">
        <f t="shared" si="114"/>
        <v>0.35739493102341996</v>
      </c>
      <c r="J47" s="149">
        <f t="shared" si="114"/>
        <v>0.34967661172543291</v>
      </c>
      <c r="K47" s="149">
        <f t="shared" si="114"/>
        <v>0.37720893970893971</v>
      </c>
      <c r="L47" s="149">
        <f t="shared" si="114"/>
        <v>0.35501173315454243</v>
      </c>
      <c r="M47" s="149">
        <f t="shared" si="114"/>
        <v>9.0895238095238098E-2</v>
      </c>
      <c r="N47" s="149">
        <f t="shared" si="114"/>
        <v>0.20362842060554578</v>
      </c>
      <c r="O47" s="149">
        <f t="shared" si="114"/>
        <v>0.29153591540214074</v>
      </c>
      <c r="P47" s="149">
        <f t="shared" si="114"/>
        <v>0.19228499010451025</v>
      </c>
      <c r="Q47" s="128"/>
      <c r="R47" s="20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19"/>
      <c r="AD47" s="137"/>
      <c r="AE47" s="155"/>
    </row>
    <row r="48" spans="2:31">
      <c r="B48" s="20" t="s">
        <v>383</v>
      </c>
      <c r="C48" s="141"/>
      <c r="D48" s="141"/>
      <c r="E48" s="147"/>
      <c r="F48" s="147"/>
      <c r="G48" s="147">
        <v>1586</v>
      </c>
      <c r="H48" s="147">
        <v>1924</v>
      </c>
      <c r="I48" s="147">
        <v>2888</v>
      </c>
      <c r="J48" s="147">
        <v>4461</v>
      </c>
      <c r="K48" s="147">
        <v>7005</v>
      </c>
      <c r="L48" s="147">
        <v>10829</v>
      </c>
      <c r="M48" s="147">
        <v>11639</v>
      </c>
      <c r="N48" s="147">
        <v>15154</v>
      </c>
      <c r="O48" s="147">
        <v>21994</v>
      </c>
      <c r="P48" s="147">
        <v>27201</v>
      </c>
      <c r="Q48" s="118">
        <f>((P48/G48)^(1/($H$2-$H$1) ))-1</f>
        <v>0.37133136639408493</v>
      </c>
      <c r="R48" s="31">
        <f>$L$2</f>
        <v>0.12</v>
      </c>
      <c r="S48" s="155">
        <f t="shared" ref="S48" si="115">P48*(1+$R48)</f>
        <v>30465.120000000003</v>
      </c>
      <c r="T48" s="155">
        <f t="shared" ref="T48" si="116">S48*(1+$R48)</f>
        <v>34120.934400000006</v>
      </c>
      <c r="U48" s="155">
        <f t="shared" ref="U48" si="117">T48*(1+$R48)</f>
        <v>38215.446528000008</v>
      </c>
      <c r="V48" s="155">
        <f t="shared" ref="V48" si="118">U48*(1+$R48)</f>
        <v>42801.300111360011</v>
      </c>
      <c r="W48" s="155">
        <f t="shared" ref="W48" si="119">V48*(1+$R48)</f>
        <v>47937.45612472322</v>
      </c>
      <c r="X48" s="155">
        <f t="shared" ref="X48" si="120">W48*(1+$R48)</f>
        <v>53689.950859690012</v>
      </c>
      <c r="Y48" s="155">
        <f t="shared" ref="Y48" si="121">X48*(1+$R48)</f>
        <v>60132.744962852819</v>
      </c>
      <c r="Z48" s="155">
        <f t="shared" ref="Z48" si="122">Y48*(1+$R48)</f>
        <v>67348.674358395161</v>
      </c>
      <c r="AA48" s="155">
        <f t="shared" ref="AA48" si="123">Z48*(1+$R48)</f>
        <v>75430.515281402593</v>
      </c>
      <c r="AB48" s="155">
        <f t="shared" ref="AB48" si="124">AA48*(1+$R48)</f>
        <v>84482.177115170911</v>
      </c>
      <c r="AC48" s="138">
        <f t="shared" ref="AC48" si="125">((AB48/G48)^(1/($AB$3-$H$1) ))-1</f>
        <v>0.23272560417531363</v>
      </c>
      <c r="AD48" s="31">
        <v>0.05</v>
      </c>
      <c r="AE48" s="146">
        <f t="shared" ref="AE48" si="126">(AB48*(1+AD48))/($C$1-AD48)</f>
        <v>521801.68218193803</v>
      </c>
    </row>
    <row r="49" spans="2:31">
      <c r="B49" s="20"/>
      <c r="C49" s="141"/>
      <c r="D49" s="141"/>
      <c r="E49" s="147"/>
      <c r="F49" s="147"/>
      <c r="G49" s="149">
        <f>(G48-F48)/G48</f>
        <v>1</v>
      </c>
      <c r="H49" s="149">
        <f>(H48-G48)/H48</f>
        <v>0.17567567567567569</v>
      </c>
      <c r="I49" s="149">
        <f t="shared" ref="I49" si="127">(I48-H48)/I48</f>
        <v>0.33379501385041549</v>
      </c>
      <c r="J49" s="149">
        <f t="shared" ref="J49" si="128">(J48-I48)/J48</f>
        <v>0.35261152208025104</v>
      </c>
      <c r="K49" s="149">
        <f t="shared" ref="K49" si="129">(K48-J48)/K48</f>
        <v>0.363169164882227</v>
      </c>
      <c r="L49" s="149">
        <f t="shared" ref="L49" si="130">(L48-K48)/L48</f>
        <v>0.35312586573090776</v>
      </c>
      <c r="M49" s="149">
        <f t="shared" ref="M49" si="131">(M48-L48)/M48</f>
        <v>6.9593607698255858E-2</v>
      </c>
      <c r="N49" s="149">
        <f t="shared" ref="N49" si="132">(N48-M48)/N48</f>
        <v>0.23195195987857992</v>
      </c>
      <c r="O49" s="149">
        <f t="shared" ref="O49" si="133">(O48-N48)/O48</f>
        <v>0.31099390742929889</v>
      </c>
      <c r="P49" s="149">
        <f t="shared" ref="P49" si="134">(P48-O48)/P48</f>
        <v>0.19142678577993455</v>
      </c>
      <c r="Q49" s="3"/>
      <c r="R49" s="3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38"/>
      <c r="AD49" s="31"/>
      <c r="AE49" s="146"/>
    </row>
    <row r="50" spans="2:31">
      <c r="B50" s="20" t="s">
        <v>372</v>
      </c>
      <c r="C50" s="141"/>
      <c r="D50" s="141"/>
      <c r="E50" s="147"/>
      <c r="F50" s="147"/>
      <c r="G50" s="147">
        <v>533</v>
      </c>
      <c r="H50" s="147">
        <v>403</v>
      </c>
      <c r="I50" s="147">
        <v>713</v>
      </c>
      <c r="J50" s="147">
        <v>986</v>
      </c>
      <c r="K50" s="147">
        <v>1751</v>
      </c>
      <c r="L50" s="147">
        <v>2915</v>
      </c>
      <c r="M50" s="147">
        <v>3964</v>
      </c>
      <c r="N50" s="147">
        <v>4671</v>
      </c>
      <c r="O50" s="147">
        <v>5487</v>
      </c>
      <c r="P50" s="147">
        <v>6832</v>
      </c>
      <c r="Q50" s="118">
        <f>((P50/G50)^(1/($H$2-$H$1) ))-1</f>
        <v>0.32767318279984581</v>
      </c>
      <c r="R50" s="31">
        <f>$L$2</f>
        <v>0.12</v>
      </c>
      <c r="S50" s="155">
        <f t="shared" ref="S50" si="135">P50*(1+$R50)</f>
        <v>7651.8400000000011</v>
      </c>
      <c r="T50" s="155">
        <f t="shared" ref="T50:AB50" si="136">S50*(1+$R50)</f>
        <v>8570.0608000000011</v>
      </c>
      <c r="U50" s="155">
        <f t="shared" si="136"/>
        <v>9598.4680960000023</v>
      </c>
      <c r="V50" s="155">
        <f t="shared" si="136"/>
        <v>10750.284267520005</v>
      </c>
      <c r="W50" s="155">
        <f t="shared" si="136"/>
        <v>12040.318379622406</v>
      </c>
      <c r="X50" s="155">
        <f t="shared" si="136"/>
        <v>13485.156585177096</v>
      </c>
      <c r="Y50" s="155">
        <f t="shared" si="136"/>
        <v>15103.375375398349</v>
      </c>
      <c r="Z50" s="155">
        <f t="shared" si="136"/>
        <v>16915.780420446154</v>
      </c>
      <c r="AA50" s="155">
        <f t="shared" si="136"/>
        <v>18945.674070899695</v>
      </c>
      <c r="AB50" s="155">
        <f t="shared" si="136"/>
        <v>21219.15495940766</v>
      </c>
      <c r="AC50" s="138">
        <f t="shared" ref="AC50" si="137">((AB50/G50)^(1/($AB$3-$H$1) ))-1</f>
        <v>0.21397731785275065</v>
      </c>
      <c r="AD50" s="31">
        <v>0.05</v>
      </c>
      <c r="AE50" s="146">
        <f t="shared" si="1"/>
        <v>131059.48651398851</v>
      </c>
    </row>
    <row r="51" spans="2:31">
      <c r="B51" s="20"/>
      <c r="C51" s="141"/>
      <c r="D51" s="141"/>
      <c r="E51" s="147"/>
      <c r="F51" s="147"/>
      <c r="G51" s="149">
        <f>(G50-F50)/G50</f>
        <v>1</v>
      </c>
      <c r="H51" s="149">
        <f>(H50-G50)/H50</f>
        <v>-0.32258064516129031</v>
      </c>
      <c r="I51" s="149">
        <f t="shared" ref="I51:P51" si="138">(I50-H50)/I50</f>
        <v>0.43478260869565216</v>
      </c>
      <c r="J51" s="149">
        <f t="shared" si="138"/>
        <v>0.27687626774847868</v>
      </c>
      <c r="K51" s="149">
        <f t="shared" si="138"/>
        <v>0.43689320388349512</v>
      </c>
      <c r="L51" s="149">
        <f t="shared" si="138"/>
        <v>0.39931389365351627</v>
      </c>
      <c r="M51" s="149">
        <f t="shared" si="138"/>
        <v>0.26463168516649849</v>
      </c>
      <c r="N51" s="149">
        <f t="shared" si="138"/>
        <v>0.15135945193748662</v>
      </c>
      <c r="O51" s="149">
        <f t="shared" si="138"/>
        <v>0.1487151448879169</v>
      </c>
      <c r="P51" s="149">
        <f t="shared" si="138"/>
        <v>0.19686768149882905</v>
      </c>
      <c r="Q51" s="3"/>
      <c r="R51" s="3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38"/>
      <c r="AD51" s="31"/>
      <c r="AE51" s="146"/>
    </row>
    <row r="52" spans="2:31" s="123" customFormat="1">
      <c r="B52" s="20" t="s">
        <v>384</v>
      </c>
      <c r="C52" s="150"/>
      <c r="D52" s="150"/>
      <c r="E52" s="151"/>
      <c r="F52" s="147"/>
      <c r="G52" s="147">
        <v>1021</v>
      </c>
      <c r="H52" s="147">
        <v>1192</v>
      </c>
      <c r="I52" s="147">
        <v>1810</v>
      </c>
      <c r="J52" s="147">
        <v>2993</v>
      </c>
      <c r="K52" s="147">
        <v>4419</v>
      </c>
      <c r="L52" s="147">
        <v>7148</v>
      </c>
      <c r="M52" s="147">
        <v>6632</v>
      </c>
      <c r="N52" s="147">
        <v>8588</v>
      </c>
      <c r="O52" s="147">
        <v>13969</v>
      </c>
      <c r="P52" s="147">
        <v>17513</v>
      </c>
      <c r="Q52" s="118">
        <f>((P52/G52)^(1/($H$2-$H$1) ))-1</f>
        <v>0.37135000275988372</v>
      </c>
      <c r="R52" s="31">
        <f>$L$2</f>
        <v>0.12</v>
      </c>
      <c r="S52" s="155">
        <f t="shared" ref="S52" si="139">P52*(1+$R52)</f>
        <v>19614.560000000001</v>
      </c>
      <c r="T52" s="155">
        <f t="shared" ref="T52" si="140">S52*(1+$R52)</f>
        <v>21968.307200000003</v>
      </c>
      <c r="U52" s="155">
        <f t="shared" ref="U52" si="141">T52*(1+$R52)</f>
        <v>24604.504064000004</v>
      </c>
      <c r="V52" s="155">
        <f t="shared" ref="V52" si="142">U52*(1+$R52)</f>
        <v>27557.044551680006</v>
      </c>
      <c r="W52" s="155">
        <f t="shared" ref="W52" si="143">V52*(1+$R52)</f>
        <v>30863.889897881611</v>
      </c>
      <c r="X52" s="155">
        <f t="shared" ref="X52" si="144">W52*(1+$R52)</f>
        <v>34567.556685627409</v>
      </c>
      <c r="Y52" s="155">
        <f t="shared" ref="Y52" si="145">X52*(1+$R52)</f>
        <v>38715.663487902704</v>
      </c>
      <c r="Z52" s="155">
        <f t="shared" ref="Z52" si="146">Y52*(1+$R52)</f>
        <v>43361.543106451034</v>
      </c>
      <c r="AA52" s="155">
        <f t="shared" ref="AA52" si="147">Z52*(1+$R52)</f>
        <v>48564.928279225162</v>
      </c>
      <c r="AB52" s="155">
        <f t="shared" ref="AB52" si="148">AA52*(1+$R52)</f>
        <v>54392.719672732186</v>
      </c>
      <c r="AC52" s="138">
        <f t="shared" ref="AC52" si="149">((AB52/G52)^(1/($AB$3-$H$1) ))-1</f>
        <v>0.23273353964411325</v>
      </c>
      <c r="AD52" s="31">
        <f t="shared" si="16"/>
        <v>0.08</v>
      </c>
      <c r="AE52" s="146">
        <f t="shared" ref="AE52" si="150">(AB52*(1+AD52))/($C$1-AD52)</f>
        <v>419600.98033250542</v>
      </c>
    </row>
    <row r="53" spans="2:31" s="123" customFormat="1">
      <c r="B53" s="23"/>
      <c r="C53" s="150"/>
      <c r="D53" s="150"/>
      <c r="E53" s="151"/>
      <c r="F53" s="151"/>
      <c r="G53" s="149">
        <f t="shared" ref="G53:P53" si="151">(G52-F52)/G52</f>
        <v>1</v>
      </c>
      <c r="H53" s="149">
        <f t="shared" si="151"/>
        <v>0.14345637583892618</v>
      </c>
      <c r="I53" s="149">
        <f t="shared" si="151"/>
        <v>0.34143646408839778</v>
      </c>
      <c r="J53" s="149">
        <f t="shared" si="151"/>
        <v>0.39525559639158037</v>
      </c>
      <c r="K53" s="149">
        <f t="shared" si="151"/>
        <v>0.32269744286037566</v>
      </c>
      <c r="L53" s="149">
        <f t="shared" si="151"/>
        <v>0.38178511471740345</v>
      </c>
      <c r="M53" s="149">
        <f t="shared" si="151"/>
        <v>-7.7804583835946919E-2</v>
      </c>
      <c r="N53" s="149">
        <f t="shared" si="151"/>
        <v>0.22775966464834654</v>
      </c>
      <c r="O53" s="149">
        <f t="shared" si="151"/>
        <v>0.38521010809649942</v>
      </c>
      <c r="P53" s="149">
        <f t="shared" si="151"/>
        <v>0.20236395820247816</v>
      </c>
      <c r="Q53" s="128"/>
      <c r="R53" s="20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63"/>
      <c r="AD53" s="137"/>
      <c r="AE53" s="155"/>
    </row>
    <row r="54" spans="2:31">
      <c r="B54" s="20" t="s">
        <v>333</v>
      </c>
      <c r="C54" s="141"/>
      <c r="D54" s="141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18" t="e">
        <f>((P54/G54)^(1/($H$2-$H$1) ))-1</f>
        <v>#DIV/0!</v>
      </c>
      <c r="R54" s="31">
        <f>$L$2</f>
        <v>0.12</v>
      </c>
      <c r="S54" s="155">
        <f>P54*(1+$R54)</f>
        <v>0</v>
      </c>
      <c r="T54" s="155">
        <f>S54*(1+$R54)</f>
        <v>0</v>
      </c>
      <c r="U54" s="155">
        <f t="shared" ref="U54:AB55" si="152">T54*(1+$R54)</f>
        <v>0</v>
      </c>
      <c r="V54" s="155">
        <f t="shared" si="152"/>
        <v>0</v>
      </c>
      <c r="W54" s="155">
        <f t="shared" si="152"/>
        <v>0</v>
      </c>
      <c r="X54" s="155">
        <f t="shared" si="152"/>
        <v>0</v>
      </c>
      <c r="Y54" s="155">
        <f t="shared" si="152"/>
        <v>0</v>
      </c>
      <c r="Z54" s="155">
        <f t="shared" si="152"/>
        <v>0</v>
      </c>
      <c r="AA54" s="155">
        <f t="shared" si="152"/>
        <v>0</v>
      </c>
      <c r="AB54" s="155">
        <f t="shared" si="152"/>
        <v>0</v>
      </c>
      <c r="AC54" s="138" t="e">
        <f t="shared" ref="AC54" si="153">((AB54/G54)^(1/($AB$3-$H$1) ))-1</f>
        <v>#DIV/0!</v>
      </c>
      <c r="AD54" s="31">
        <f t="shared" si="16"/>
        <v>0.08</v>
      </c>
      <c r="AE54" s="146">
        <f t="shared" si="1"/>
        <v>0</v>
      </c>
    </row>
    <row r="55" spans="2:31">
      <c r="B55" s="20" t="s">
        <v>332</v>
      </c>
      <c r="C55" s="141"/>
      <c r="D55" s="141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18" t="e">
        <f>((P55/G55)^(1/($H$2-$H$1) ))-1</f>
        <v>#DIV/0!</v>
      </c>
      <c r="R55" s="31">
        <f>$L$2</f>
        <v>0.12</v>
      </c>
      <c r="S55" s="155">
        <f>P55*(1+$R55)</f>
        <v>0</v>
      </c>
      <c r="T55" s="155">
        <f>S55*(1+$R55)</f>
        <v>0</v>
      </c>
      <c r="U55" s="155">
        <f t="shared" si="152"/>
        <v>0</v>
      </c>
      <c r="V55" s="155">
        <f t="shared" si="152"/>
        <v>0</v>
      </c>
      <c r="W55" s="155">
        <f t="shared" si="152"/>
        <v>0</v>
      </c>
      <c r="X55" s="155">
        <f t="shared" si="152"/>
        <v>0</v>
      </c>
      <c r="Y55" s="155">
        <f t="shared" si="152"/>
        <v>0</v>
      </c>
      <c r="Z55" s="155">
        <f t="shared" si="152"/>
        <v>0</v>
      </c>
      <c r="AA55" s="155">
        <f t="shared" si="152"/>
        <v>0</v>
      </c>
      <c r="AB55" s="155">
        <f t="shared" si="152"/>
        <v>0</v>
      </c>
      <c r="AC55" s="138" t="e">
        <f t="shared" ref="AC55" si="154">((AB55/G55)^(1/($AB$3-$H$1) ))-1</f>
        <v>#DIV/0!</v>
      </c>
      <c r="AD55" s="31">
        <f t="shared" si="16"/>
        <v>0.08</v>
      </c>
      <c r="AE55" s="146">
        <f t="shared" si="1"/>
        <v>0</v>
      </c>
    </row>
    <row r="56" spans="2:31">
      <c r="B56" s="20" t="s">
        <v>316</v>
      </c>
      <c r="C56" s="141"/>
      <c r="D56" s="141"/>
      <c r="E56" s="147"/>
      <c r="F56" s="147"/>
      <c r="G56" s="176"/>
      <c r="H56" s="176"/>
      <c r="I56" s="176"/>
      <c r="J56" s="143"/>
      <c r="K56" s="143"/>
      <c r="L56" s="177"/>
      <c r="M56" s="177"/>
      <c r="N56" s="177"/>
      <c r="O56" s="177"/>
      <c r="P56" s="177"/>
      <c r="Q56" s="118" t="e">
        <f>((P56/G56)^(1/($H$2-$H$1) ))-1</f>
        <v>#DIV/0!</v>
      </c>
      <c r="R56" s="31">
        <f t="shared" si="30"/>
        <v>0.12</v>
      </c>
      <c r="S56" s="155">
        <f t="shared" si="48"/>
        <v>0</v>
      </c>
      <c r="T56" s="155">
        <f t="shared" si="49"/>
        <v>0</v>
      </c>
      <c r="U56" s="155">
        <f t="shared" si="50"/>
        <v>0</v>
      </c>
      <c r="V56" s="155">
        <f t="shared" si="51"/>
        <v>0</v>
      </c>
      <c r="W56" s="155">
        <f t="shared" si="52"/>
        <v>0</v>
      </c>
      <c r="X56" s="155">
        <f t="shared" si="53"/>
        <v>0</v>
      </c>
      <c r="Y56" s="155">
        <f t="shared" si="54"/>
        <v>0</v>
      </c>
      <c r="Z56" s="155">
        <f t="shared" si="55"/>
        <v>0</v>
      </c>
      <c r="AA56" s="155">
        <f t="shared" si="56"/>
        <v>0</v>
      </c>
      <c r="AB56" s="155">
        <f t="shared" si="57"/>
        <v>0</v>
      </c>
      <c r="AC56" s="138" t="e">
        <f t="shared" si="18"/>
        <v>#DIV/0!</v>
      </c>
      <c r="AD56" s="31">
        <f t="shared" si="16"/>
        <v>0.08</v>
      </c>
      <c r="AE56" s="146">
        <f t="shared" si="1"/>
        <v>0</v>
      </c>
    </row>
    <row r="57" spans="2:31">
      <c r="B57" s="20" t="s">
        <v>309</v>
      </c>
      <c r="C57" s="141"/>
      <c r="D57" s="141"/>
      <c r="E57" s="147"/>
      <c r="F57" s="147"/>
      <c r="G57" s="176">
        <v>121</v>
      </c>
      <c r="H57" s="176">
        <v>177</v>
      </c>
      <c r="I57" s="176">
        <v>240</v>
      </c>
      <c r="J57" s="143">
        <v>381</v>
      </c>
      <c r="K57" s="143">
        <v>670</v>
      </c>
      <c r="L57" s="177"/>
      <c r="M57" s="177"/>
      <c r="N57" s="177"/>
      <c r="O57" s="177"/>
      <c r="P57" s="177"/>
      <c r="Q57" s="118">
        <f>((P57/G57)^(1/($H$2-$H$1) ))-1</f>
        <v>-1</v>
      </c>
      <c r="R57" s="31">
        <f t="shared" si="30"/>
        <v>0.12</v>
      </c>
      <c r="S57" s="155">
        <f t="shared" si="48"/>
        <v>0</v>
      </c>
      <c r="T57" s="155">
        <f t="shared" si="49"/>
        <v>0</v>
      </c>
      <c r="U57" s="155">
        <f t="shared" si="50"/>
        <v>0</v>
      </c>
      <c r="V57" s="155">
        <f t="shared" si="51"/>
        <v>0</v>
      </c>
      <c r="W57" s="155">
        <f t="shared" si="52"/>
        <v>0</v>
      </c>
      <c r="X57" s="155">
        <f t="shared" si="53"/>
        <v>0</v>
      </c>
      <c r="Y57" s="155">
        <f t="shared" si="54"/>
        <v>0</v>
      </c>
      <c r="Z57" s="155">
        <f t="shared" si="55"/>
        <v>0</v>
      </c>
      <c r="AA57" s="155">
        <f t="shared" si="56"/>
        <v>0</v>
      </c>
      <c r="AB57" s="155">
        <f t="shared" si="57"/>
        <v>0</v>
      </c>
      <c r="AC57" s="138">
        <f t="shared" si="18"/>
        <v>-1</v>
      </c>
      <c r="AD57" s="31">
        <f t="shared" si="16"/>
        <v>0.08</v>
      </c>
      <c r="AE57" s="146">
        <f t="shared" si="1"/>
        <v>0</v>
      </c>
    </row>
    <row r="58" spans="2:31">
      <c r="B58" s="20"/>
      <c r="C58" s="141"/>
      <c r="D58" s="141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28"/>
      <c r="R58" s="20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39"/>
      <c r="AD58" s="137"/>
      <c r="AE58" s="155"/>
    </row>
    <row r="59" spans="2:31">
      <c r="B59" s="20" t="s">
        <v>377</v>
      </c>
      <c r="C59" s="141"/>
      <c r="D59" s="141"/>
      <c r="E59" s="147"/>
      <c r="F59" s="147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18" t="e">
        <f>((P59/G59)^(1/($H$2-$H$1) ))-1</f>
        <v>#DIV/0!</v>
      </c>
      <c r="R59" s="31">
        <f>$L$2</f>
        <v>0.12</v>
      </c>
      <c r="S59" s="155">
        <f t="shared" ref="S59:S62" si="155">P59*(1+$R59)</f>
        <v>0</v>
      </c>
      <c r="T59" s="155">
        <f t="shared" ref="T59:T62" si="156">S59*(1+$R59)</f>
        <v>0</v>
      </c>
      <c r="U59" s="155">
        <f t="shared" ref="U59:U62" si="157">T59*(1+$R59)</f>
        <v>0</v>
      </c>
      <c r="V59" s="155">
        <f t="shared" ref="V59:V62" si="158">U59*(1+$R59)</f>
        <v>0</v>
      </c>
      <c r="W59" s="155">
        <f t="shared" ref="W59:W62" si="159">V59*(1+$R59)</f>
        <v>0</v>
      </c>
      <c r="X59" s="155">
        <f t="shared" ref="X59:X62" si="160">W59*(1+$R59)</f>
        <v>0</v>
      </c>
      <c r="Y59" s="155">
        <f t="shared" ref="Y59:Y62" si="161">X59*(1+$R59)</f>
        <v>0</v>
      </c>
      <c r="Z59" s="155">
        <f t="shared" ref="Z59:Z62" si="162">Y59*(1+$R59)</f>
        <v>0</v>
      </c>
      <c r="AA59" s="155">
        <f t="shared" ref="AA59:AA62" si="163">Z59*(1+$R59)</f>
        <v>0</v>
      </c>
      <c r="AB59" s="155">
        <f t="shared" ref="AB59:AB62" si="164">AA59*(1+$R59)</f>
        <v>0</v>
      </c>
      <c r="AC59" s="138" t="e">
        <f t="shared" ref="AC59:AC62" si="165">((AB59/G59)^(1/($AB$3-$H$1) ))-1</f>
        <v>#DIV/0!</v>
      </c>
      <c r="AD59" s="31">
        <f t="shared" si="16"/>
        <v>0.08</v>
      </c>
      <c r="AE59" s="146">
        <f t="shared" ref="AE59:AE62" si="166">(AB59*(1+AD59))/($C$1-AD59)</f>
        <v>0</v>
      </c>
    </row>
    <row r="60" spans="2:31">
      <c r="B60" s="20" t="s">
        <v>378</v>
      </c>
      <c r="C60" s="141"/>
      <c r="D60" s="141"/>
      <c r="E60" s="147"/>
      <c r="F60" s="147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18" t="e">
        <f>((P60/G60)^(1/($H$2-$H$1) ))-1</f>
        <v>#DIV/0!</v>
      </c>
      <c r="R60" s="31">
        <f>$L$2</f>
        <v>0.12</v>
      </c>
      <c r="S60" s="155">
        <f t="shared" si="155"/>
        <v>0</v>
      </c>
      <c r="T60" s="155">
        <f t="shared" si="156"/>
        <v>0</v>
      </c>
      <c r="U60" s="155">
        <f t="shared" si="157"/>
        <v>0</v>
      </c>
      <c r="V60" s="155">
        <f t="shared" si="158"/>
        <v>0</v>
      </c>
      <c r="W60" s="155">
        <f t="shared" si="159"/>
        <v>0</v>
      </c>
      <c r="X60" s="155">
        <f t="shared" si="160"/>
        <v>0</v>
      </c>
      <c r="Y60" s="155">
        <f t="shared" si="161"/>
        <v>0</v>
      </c>
      <c r="Z60" s="155">
        <f t="shared" si="162"/>
        <v>0</v>
      </c>
      <c r="AA60" s="155">
        <f t="shared" si="163"/>
        <v>0</v>
      </c>
      <c r="AB60" s="155">
        <f t="shared" si="164"/>
        <v>0</v>
      </c>
      <c r="AC60" s="138" t="e">
        <f t="shared" si="165"/>
        <v>#DIV/0!</v>
      </c>
      <c r="AD60" s="31">
        <f t="shared" si="16"/>
        <v>0.08</v>
      </c>
      <c r="AE60" s="146">
        <f t="shared" si="166"/>
        <v>0</v>
      </c>
    </row>
    <row r="61" spans="2:31">
      <c r="B61" s="20" t="s">
        <v>379</v>
      </c>
      <c r="C61" s="141"/>
      <c r="D61" s="141"/>
      <c r="E61" s="147"/>
      <c r="F61" s="147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18" t="e">
        <f>((P61/G61)^(1/($H$2-$H$1) ))-1</f>
        <v>#DIV/0!</v>
      </c>
      <c r="R61" s="31">
        <f>$L$2</f>
        <v>0.12</v>
      </c>
      <c r="S61" s="155">
        <f t="shared" si="155"/>
        <v>0</v>
      </c>
      <c r="T61" s="155">
        <f t="shared" si="156"/>
        <v>0</v>
      </c>
      <c r="U61" s="155">
        <f t="shared" si="157"/>
        <v>0</v>
      </c>
      <c r="V61" s="155">
        <f t="shared" si="158"/>
        <v>0</v>
      </c>
      <c r="W61" s="155">
        <f t="shared" si="159"/>
        <v>0</v>
      </c>
      <c r="X61" s="155">
        <f t="shared" si="160"/>
        <v>0</v>
      </c>
      <c r="Y61" s="155">
        <f t="shared" si="161"/>
        <v>0</v>
      </c>
      <c r="Z61" s="155">
        <f t="shared" si="162"/>
        <v>0</v>
      </c>
      <c r="AA61" s="155">
        <f t="shared" si="163"/>
        <v>0</v>
      </c>
      <c r="AB61" s="155">
        <f t="shared" si="164"/>
        <v>0</v>
      </c>
      <c r="AC61" s="138" t="e">
        <f t="shared" si="165"/>
        <v>#DIV/0!</v>
      </c>
      <c r="AD61" s="31">
        <f t="shared" si="16"/>
        <v>0.08</v>
      </c>
      <c r="AE61" s="146">
        <f t="shared" si="166"/>
        <v>0</v>
      </c>
    </row>
    <row r="62" spans="2:31">
      <c r="B62" s="20" t="s">
        <v>380</v>
      </c>
      <c r="C62" s="141"/>
      <c r="D62" s="141"/>
      <c r="E62" s="147"/>
      <c r="F62" s="147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18" t="e">
        <f>((P62/G62)^(1/($H$2-$H$1) ))-1</f>
        <v>#DIV/0!</v>
      </c>
      <c r="R62" s="31">
        <f>$L$2</f>
        <v>0.12</v>
      </c>
      <c r="S62" s="155">
        <f t="shared" si="155"/>
        <v>0</v>
      </c>
      <c r="T62" s="155">
        <f t="shared" si="156"/>
        <v>0</v>
      </c>
      <c r="U62" s="155">
        <f t="shared" si="157"/>
        <v>0</v>
      </c>
      <c r="V62" s="155">
        <f t="shared" si="158"/>
        <v>0</v>
      </c>
      <c r="W62" s="155">
        <f t="shared" si="159"/>
        <v>0</v>
      </c>
      <c r="X62" s="155">
        <f t="shared" si="160"/>
        <v>0</v>
      </c>
      <c r="Y62" s="155">
        <f t="shared" si="161"/>
        <v>0</v>
      </c>
      <c r="Z62" s="155">
        <f t="shared" si="162"/>
        <v>0</v>
      </c>
      <c r="AA62" s="155">
        <f t="shared" si="163"/>
        <v>0</v>
      </c>
      <c r="AB62" s="155">
        <f t="shared" si="164"/>
        <v>0</v>
      </c>
      <c r="AC62" s="138" t="e">
        <f t="shared" si="165"/>
        <v>#DIV/0!</v>
      </c>
      <c r="AD62" s="31">
        <f t="shared" si="16"/>
        <v>0.08</v>
      </c>
      <c r="AE62" s="146">
        <f t="shared" si="166"/>
        <v>0</v>
      </c>
    </row>
    <row r="63" spans="2:31">
      <c r="B63" s="20"/>
      <c r="C63" s="141"/>
      <c r="D63" s="141"/>
      <c r="E63" s="147"/>
      <c r="F63" s="147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3"/>
      <c r="R63" s="3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3"/>
      <c r="AD63" s="3"/>
      <c r="AE63" s="146"/>
    </row>
    <row r="64" spans="2:31">
      <c r="B64" s="20" t="s">
        <v>279</v>
      </c>
      <c r="C64" s="141"/>
      <c r="D64" s="141"/>
      <c r="E64" s="147"/>
      <c r="F64" s="147"/>
      <c r="G64" s="176"/>
      <c r="H64" s="176"/>
      <c r="I64" s="176"/>
      <c r="J64" s="143"/>
      <c r="K64" s="143"/>
      <c r="L64" s="177"/>
      <c r="M64" s="177"/>
      <c r="N64" s="177"/>
      <c r="O64" s="177"/>
      <c r="P64" s="177"/>
      <c r="Q64" s="118" t="e">
        <f>((P64/G64)^(1/($H$2-$H$1) ))-1</f>
        <v>#DIV/0!</v>
      </c>
      <c r="R64" s="31">
        <f t="shared" si="30"/>
        <v>0.12</v>
      </c>
      <c r="S64" s="155">
        <f t="shared" ref="S64" si="167">P64*(1+$R64)</f>
        <v>0</v>
      </c>
      <c r="T64" s="155">
        <f t="shared" ref="T64" si="168">S64*(1+$R64)</f>
        <v>0</v>
      </c>
      <c r="U64" s="155">
        <f t="shared" ref="U64" si="169">T64*(1+$R64)</f>
        <v>0</v>
      </c>
      <c r="V64" s="155">
        <f t="shared" ref="V64" si="170">U64*(1+$R64)</f>
        <v>0</v>
      </c>
      <c r="W64" s="155">
        <f t="shared" si="52"/>
        <v>0</v>
      </c>
      <c r="X64" s="155">
        <f t="shared" si="53"/>
        <v>0</v>
      </c>
      <c r="Y64" s="155">
        <f t="shared" si="54"/>
        <v>0</v>
      </c>
      <c r="Z64" s="155">
        <f t="shared" si="55"/>
        <v>0</v>
      </c>
      <c r="AA64" s="155">
        <f t="shared" si="56"/>
        <v>0</v>
      </c>
      <c r="AB64" s="155">
        <f t="shared" si="57"/>
        <v>0</v>
      </c>
      <c r="AC64" s="138" t="e">
        <f t="shared" si="18"/>
        <v>#DIV/0!</v>
      </c>
      <c r="AD64" s="31">
        <f t="shared" si="16"/>
        <v>0.08</v>
      </c>
      <c r="AE64" s="146">
        <f t="shared" si="1"/>
        <v>0</v>
      </c>
    </row>
    <row r="65" spans="2:31" s="123" customFormat="1">
      <c r="B65" s="23"/>
      <c r="C65" s="150"/>
      <c r="D65" s="150"/>
      <c r="E65" s="151"/>
      <c r="F65" s="151"/>
      <c r="G65" s="149" t="e">
        <f>(G64-F64)/G64</f>
        <v>#DIV/0!</v>
      </c>
      <c r="H65" s="149" t="e">
        <f>(H64-G64)/H64</f>
        <v>#DIV/0!</v>
      </c>
      <c r="I65" s="149" t="e">
        <f t="shared" ref="I65" si="171">(I64-H64)/I64</f>
        <v>#DIV/0!</v>
      </c>
      <c r="J65" s="149" t="e">
        <f t="shared" ref="J65" si="172">(J64-I64)/J64</f>
        <v>#DIV/0!</v>
      </c>
      <c r="K65" s="149" t="e">
        <f t="shared" ref="K65" si="173">(K64-J64)/K64</f>
        <v>#DIV/0!</v>
      </c>
      <c r="L65" s="149" t="e">
        <f t="shared" ref="L65" si="174">(L64-K64)/L64</f>
        <v>#DIV/0!</v>
      </c>
      <c r="M65" s="149" t="e">
        <f t="shared" ref="M65" si="175">(M64-L64)/M64</f>
        <v>#DIV/0!</v>
      </c>
      <c r="N65" s="149" t="e">
        <f t="shared" ref="N65" si="176">(N64-M64)/N64</f>
        <v>#DIV/0!</v>
      </c>
      <c r="O65" s="149" t="e">
        <f t="shared" ref="O65" si="177">(O64-N64)/O64</f>
        <v>#DIV/0!</v>
      </c>
      <c r="P65" s="149" t="e">
        <f t="shared" ref="P65" si="178">(P64-O64)/P64</f>
        <v>#DIV/0!</v>
      </c>
      <c r="Q65" s="128"/>
      <c r="R65" s="20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39"/>
      <c r="AD65" s="137"/>
      <c r="AE65" s="157"/>
    </row>
    <row r="66" spans="2:31">
      <c r="B66" s="20" t="s">
        <v>257</v>
      </c>
      <c r="C66" s="141"/>
      <c r="D66" s="141"/>
      <c r="E66" s="147"/>
      <c r="F66" s="147"/>
      <c r="G66" s="176">
        <v>271</v>
      </c>
      <c r="H66" s="176">
        <v>324</v>
      </c>
      <c r="I66" s="176">
        <v>485</v>
      </c>
      <c r="J66" s="143">
        <v>659</v>
      </c>
      <c r="K66" s="143">
        <v>1071</v>
      </c>
      <c r="L66" s="177">
        <v>1812</v>
      </c>
      <c r="M66" s="177">
        <v>2478</v>
      </c>
      <c r="N66" s="177">
        <v>3344</v>
      </c>
      <c r="O66" s="177">
        <v>4218</v>
      </c>
      <c r="P66" s="177">
        <v>5233</v>
      </c>
      <c r="Q66" s="118">
        <f>((P66/G66)^(1/($H$2-$H$1) ))-1</f>
        <v>0.38951936879060112</v>
      </c>
      <c r="R66" s="31">
        <f t="shared" si="30"/>
        <v>0.12</v>
      </c>
      <c r="S66" s="155">
        <f>P66*(1+$R66)</f>
        <v>5860.9600000000009</v>
      </c>
      <c r="T66" s="155">
        <f t="shared" ref="T66:AB66" si="179">S66*(1+$R66)</f>
        <v>6564.2752000000019</v>
      </c>
      <c r="U66" s="155">
        <f t="shared" si="179"/>
        <v>7351.9882240000024</v>
      </c>
      <c r="V66" s="155">
        <f t="shared" si="179"/>
        <v>8234.2268108800035</v>
      </c>
      <c r="W66" s="155">
        <f t="shared" si="179"/>
        <v>9222.3340281856053</v>
      </c>
      <c r="X66" s="155">
        <f t="shared" si="179"/>
        <v>10329.01411156788</v>
      </c>
      <c r="Y66" s="155">
        <f t="shared" si="179"/>
        <v>11568.495804956026</v>
      </c>
      <c r="Z66" s="155">
        <f t="shared" si="179"/>
        <v>12956.71530155075</v>
      </c>
      <c r="AA66" s="155">
        <f t="shared" si="179"/>
        <v>14511.521137736841</v>
      </c>
      <c r="AB66" s="155">
        <f t="shared" si="179"/>
        <v>16252.903674265264</v>
      </c>
      <c r="AC66" s="138">
        <f t="shared" si="18"/>
        <v>0.2404433352358144</v>
      </c>
      <c r="AD66" s="31">
        <f t="shared" si="16"/>
        <v>0.08</v>
      </c>
      <c r="AE66" s="146">
        <f t="shared" si="1"/>
        <v>125379.54263004632</v>
      </c>
    </row>
    <row r="67" spans="2:31" s="123" customFormat="1">
      <c r="B67" s="23"/>
      <c r="C67" s="150"/>
      <c r="D67" s="150"/>
      <c r="E67" s="151"/>
      <c r="F67" s="151"/>
      <c r="G67" s="149">
        <f>(G66-F66)/G66</f>
        <v>1</v>
      </c>
      <c r="H67" s="149">
        <f>(H66-G66)/H66</f>
        <v>0.16358024691358025</v>
      </c>
      <c r="I67" s="149">
        <f t="shared" ref="I67" si="180">(I66-H66)/I66</f>
        <v>0.33195876288659792</v>
      </c>
      <c r="J67" s="149">
        <f t="shared" ref="J67" si="181">(J66-I66)/J66</f>
        <v>0.26403641881638845</v>
      </c>
      <c r="K67" s="149">
        <f t="shared" ref="K67" si="182">(K66-J66)/K66</f>
        <v>0.38468720821662</v>
      </c>
      <c r="L67" s="149">
        <f t="shared" ref="L67" si="183">(L66-K66)/L66</f>
        <v>0.40894039735099336</v>
      </c>
      <c r="M67" s="149">
        <f t="shared" ref="M67" si="184">(M66-L66)/M66</f>
        <v>0.26876513317191281</v>
      </c>
      <c r="N67" s="149">
        <f t="shared" ref="N67" si="185">(N66-M66)/N66</f>
        <v>0.25897129186602869</v>
      </c>
      <c r="O67" s="149">
        <f t="shared" ref="O67" si="186">(O66-N66)/O66</f>
        <v>0.2072072072072072</v>
      </c>
      <c r="P67" s="149">
        <f t="shared" ref="P67" si="187">(P66-O66)/P66</f>
        <v>0.19396139881521116</v>
      </c>
      <c r="Q67" s="128"/>
      <c r="R67" s="20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39"/>
      <c r="AD67" s="137"/>
      <c r="AE67" s="157"/>
    </row>
    <row r="68" spans="2:31">
      <c r="B68" s="20" t="s">
        <v>239</v>
      </c>
      <c r="C68" s="142">
        <v>1</v>
      </c>
      <c r="D68" s="142">
        <v>1</v>
      </c>
      <c r="E68" s="143">
        <v>1</v>
      </c>
      <c r="F68" s="174">
        <v>23.1</v>
      </c>
      <c r="G68" s="176">
        <v>23.15</v>
      </c>
      <c r="H68" s="176">
        <v>27.37</v>
      </c>
      <c r="I68" s="176">
        <v>27.86</v>
      </c>
      <c r="J68" s="143">
        <v>28.16</v>
      </c>
      <c r="K68" s="143">
        <v>35.770000000000003</v>
      </c>
      <c r="L68" s="177">
        <v>35.99</v>
      </c>
      <c r="M68" s="177">
        <v>40.51</v>
      </c>
      <c r="N68" s="177">
        <v>41.05</v>
      </c>
      <c r="O68" s="177">
        <v>41.32</v>
      </c>
      <c r="P68" s="177">
        <v>46.79</v>
      </c>
      <c r="Q68" s="118">
        <f>((P68/G68)^(1/($H$2-$H$1) ))-1</f>
        <v>8.1323853215064856E-2</v>
      </c>
      <c r="R68" s="31">
        <v>0.15</v>
      </c>
      <c r="S68" s="155">
        <f>P68*(1+$R68)</f>
        <v>53.808499999999995</v>
      </c>
      <c r="T68" s="155">
        <f t="shared" ref="T68:AB69" si="188">S68*(1+$R68)</f>
        <v>61.879774999999988</v>
      </c>
      <c r="U68" s="155">
        <f t="shared" si="188"/>
        <v>71.161741249999977</v>
      </c>
      <c r="V68" s="155">
        <f t="shared" si="188"/>
        <v>81.836002437499971</v>
      </c>
      <c r="W68" s="155">
        <f t="shared" si="188"/>
        <v>94.11140280312496</v>
      </c>
      <c r="X68" s="155">
        <f t="shared" si="188"/>
        <v>108.2281132235937</v>
      </c>
      <c r="Y68" s="155">
        <f t="shared" si="188"/>
        <v>124.46233020713274</v>
      </c>
      <c r="Z68" s="155">
        <f t="shared" si="188"/>
        <v>143.13167973820265</v>
      </c>
      <c r="AA68" s="155">
        <f t="shared" si="188"/>
        <v>164.60143169893303</v>
      </c>
      <c r="AB68" s="155">
        <f t="shared" si="188"/>
        <v>189.29164645377296</v>
      </c>
      <c r="AC68" s="138">
        <f t="shared" si="18"/>
        <v>0.11694181560057348</v>
      </c>
      <c r="AD68" s="31">
        <f t="shared" si="16"/>
        <v>0.08</v>
      </c>
      <c r="AE68" s="146">
        <f t="shared" si="1"/>
        <v>1460.2498440719628</v>
      </c>
    </row>
    <row r="69" spans="2:31">
      <c r="B69" s="20" t="s">
        <v>381</v>
      </c>
      <c r="C69" s="147">
        <v>1</v>
      </c>
      <c r="D69" s="147">
        <v>1</v>
      </c>
      <c r="E69" s="147">
        <v>1</v>
      </c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18" t="e">
        <f>((P69/G69)^(1/($H$2-$H$1) ))-1</f>
        <v>#DIV/0!</v>
      </c>
      <c r="R69" s="31">
        <f>$L$2</f>
        <v>0.12</v>
      </c>
      <c r="S69" s="155">
        <f t="shared" ref="S69" si="189">P69*(1+$R69)</f>
        <v>0</v>
      </c>
      <c r="T69" s="155">
        <f t="shared" si="188"/>
        <v>0</v>
      </c>
      <c r="U69" s="155">
        <f t="shared" si="188"/>
        <v>0</v>
      </c>
      <c r="V69" s="155">
        <f t="shared" si="188"/>
        <v>0</v>
      </c>
      <c r="W69" s="155">
        <f t="shared" si="188"/>
        <v>0</v>
      </c>
      <c r="X69" s="155">
        <f t="shared" si="188"/>
        <v>0</v>
      </c>
      <c r="Y69" s="155">
        <f t="shared" si="188"/>
        <v>0</v>
      </c>
      <c r="Z69" s="155">
        <f t="shared" si="188"/>
        <v>0</v>
      </c>
      <c r="AA69" s="155">
        <f t="shared" si="188"/>
        <v>0</v>
      </c>
      <c r="AB69" s="155">
        <f t="shared" si="188"/>
        <v>0</v>
      </c>
      <c r="AC69" s="138" t="e">
        <f t="shared" si="18"/>
        <v>#DIV/0!</v>
      </c>
      <c r="AD69" s="31">
        <v>0.08</v>
      </c>
      <c r="AE69" s="146">
        <f t="shared" si="1"/>
        <v>0</v>
      </c>
    </row>
    <row r="70" spans="2:31">
      <c r="B70" s="20" t="s">
        <v>283</v>
      </c>
      <c r="C70" s="145">
        <v>1.2</v>
      </c>
      <c r="D70" s="145">
        <v>1.5</v>
      </c>
      <c r="E70" s="145">
        <v>2</v>
      </c>
      <c r="F70" s="147">
        <v>2.2000000000000002</v>
      </c>
      <c r="G70" s="147">
        <v>2.5</v>
      </c>
      <c r="H70" s="147">
        <v>2.8</v>
      </c>
      <c r="I70" s="147">
        <v>3.5</v>
      </c>
      <c r="J70" s="147">
        <v>4.5</v>
      </c>
      <c r="K70" s="147">
        <v>6</v>
      </c>
      <c r="L70" s="147">
        <v>10</v>
      </c>
      <c r="M70" s="147">
        <v>12</v>
      </c>
      <c r="N70" s="147">
        <v>14</v>
      </c>
      <c r="O70" s="147">
        <v>16</v>
      </c>
      <c r="P70" s="147">
        <v>18</v>
      </c>
      <c r="Q70" s="118">
        <f>((P70/G70)^(1/($H$2-$H$1) ))-1</f>
        <v>0.24525750047889994</v>
      </c>
      <c r="R70" s="31">
        <v>0.05</v>
      </c>
      <c r="S70" s="155">
        <f t="shared" ref="S70" si="190">P70*(1+$R70)</f>
        <v>18.900000000000002</v>
      </c>
      <c r="T70" s="155">
        <f t="shared" ref="T70" si="191">S70*(1+$R70)</f>
        <v>19.845000000000002</v>
      </c>
      <c r="U70" s="155">
        <f t="shared" ref="U70" si="192">T70*(1+$R70)</f>
        <v>20.837250000000004</v>
      </c>
      <c r="V70" s="155">
        <f t="shared" ref="V70" si="193">U70*(1+$R70)</f>
        <v>21.879112500000005</v>
      </c>
      <c r="W70" s="155">
        <f t="shared" ref="W70" si="194">V70*(1+$R70)</f>
        <v>22.973068125000005</v>
      </c>
      <c r="X70" s="155">
        <f t="shared" ref="X70" si="195">W70*(1+$R70)</f>
        <v>24.121721531250007</v>
      </c>
      <c r="Y70" s="155">
        <f t="shared" ref="Y70" si="196">X70*(1+$R70)</f>
        <v>25.32780760781251</v>
      </c>
      <c r="Z70" s="155">
        <f t="shared" ref="Z70" si="197">Y70*(1+$R70)</f>
        <v>26.594197988203135</v>
      </c>
      <c r="AA70" s="155">
        <f t="shared" ref="AA70" si="198">Z70*(1+$R70)</f>
        <v>27.923907887613293</v>
      </c>
      <c r="AB70" s="155">
        <f t="shared" ref="AB70" si="199">AA70*(1+$R70)</f>
        <v>29.320103281993958</v>
      </c>
      <c r="AC70" s="138">
        <f t="shared" ref="AC70" si="200">((AB70/G70)^(1/($AB$3-$H$1) ))-1</f>
        <v>0.13834793914107402</v>
      </c>
      <c r="AD70" s="31">
        <f t="shared" si="16"/>
        <v>0.08</v>
      </c>
      <c r="AE70" s="146">
        <f t="shared" si="1"/>
        <v>226.18365388966768</v>
      </c>
    </row>
    <row r="71" spans="2:31">
      <c r="B71" s="20"/>
      <c r="C71" s="20"/>
      <c r="D71" s="20"/>
      <c r="E71" s="127"/>
      <c r="F71" s="127"/>
      <c r="G71" s="127"/>
      <c r="H71" s="20"/>
      <c r="I71" s="20"/>
      <c r="J71" s="20"/>
      <c r="K71" s="20"/>
      <c r="L71" s="20"/>
      <c r="M71" s="20"/>
      <c r="N71" s="20"/>
      <c r="O71" s="20"/>
      <c r="P71" s="20"/>
      <c r="Q71" s="128"/>
      <c r="R71" s="128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39"/>
      <c r="AD71" s="137"/>
      <c r="AE71" s="155"/>
    </row>
    <row r="72" spans="2:31">
      <c r="B72" s="108" t="s">
        <v>243</v>
      </c>
      <c r="C72" s="20"/>
      <c r="D72" s="20"/>
      <c r="E72" s="127"/>
      <c r="F72" s="127"/>
      <c r="G72" s="127"/>
      <c r="H72" s="20"/>
      <c r="I72" s="20"/>
      <c r="J72" s="20"/>
      <c r="K72" s="20"/>
      <c r="L72" s="20"/>
      <c r="M72" s="20"/>
      <c r="N72" s="20"/>
      <c r="O72" s="20"/>
      <c r="P72" s="20"/>
      <c r="Q72" s="128"/>
      <c r="R72" s="128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39"/>
      <c r="AD72" s="137"/>
      <c r="AE72" s="155"/>
    </row>
    <row r="73" spans="2:31">
      <c r="B73" s="20" t="s">
        <v>304</v>
      </c>
      <c r="C73" s="133">
        <f t="shared" ref="C73:P73" si="201">C44/C68</f>
        <v>0</v>
      </c>
      <c r="D73" s="133">
        <f t="shared" si="201"/>
        <v>0</v>
      </c>
      <c r="E73" s="133">
        <f t="shared" si="201"/>
        <v>0</v>
      </c>
      <c r="F73" s="133">
        <f t="shared" si="201"/>
        <v>0</v>
      </c>
      <c r="G73" s="133">
        <f t="shared" si="201"/>
        <v>91.53347732181426</v>
      </c>
      <c r="H73" s="133">
        <f t="shared" si="201"/>
        <v>85.020094994519539</v>
      </c>
      <c r="I73" s="133">
        <f t="shared" si="201"/>
        <v>129.28930366116296</v>
      </c>
      <c r="J73" s="133">
        <f t="shared" si="201"/>
        <v>193.43039772727272</v>
      </c>
      <c r="K73" s="133">
        <f t="shared" si="201"/>
        <v>244.7861336315348</v>
      </c>
      <c r="L73" s="133">
        <f t="shared" si="201"/>
        <v>381.91164212281188</v>
      </c>
      <c r="M73" s="133">
        <f t="shared" si="201"/>
        <v>385.16415699827206</v>
      </c>
      <c r="N73" s="133">
        <f t="shared" si="201"/>
        <v>482.97198538367849</v>
      </c>
      <c r="O73" s="133">
        <f t="shared" si="201"/>
        <v>665.10164569215874</v>
      </c>
      <c r="P73" s="133">
        <f t="shared" si="201"/>
        <v>727.37764479589657</v>
      </c>
      <c r="Q73" s="118">
        <f>((P73/G73)^(1/($H$2-$H$1) ))-1</f>
        <v>0.2589833849127976</v>
      </c>
      <c r="R73" s="128"/>
      <c r="S73" s="159">
        <f t="shared" ref="S73:AB73" si="202">S44/S68</f>
        <v>708.40257580122113</v>
      </c>
      <c r="T73" s="159">
        <f t="shared" si="202"/>
        <v>689.92250860640672</v>
      </c>
      <c r="U73" s="159">
        <f t="shared" si="202"/>
        <v>671.92453012102237</v>
      </c>
      <c r="V73" s="159">
        <f t="shared" si="202"/>
        <v>654.39606411786531</v>
      </c>
      <c r="W73" s="159">
        <f t="shared" si="202"/>
        <v>637.32486244522545</v>
      </c>
      <c r="X73" s="159">
        <f t="shared" si="202"/>
        <v>620.6989964683936</v>
      </c>
      <c r="Y73" s="159">
        <f t="shared" si="202"/>
        <v>604.50684873443561</v>
      </c>
      <c r="Z73" s="159">
        <f t="shared" si="202"/>
        <v>588.73710485440688</v>
      </c>
      <c r="AA73" s="159">
        <f t="shared" si="202"/>
        <v>573.37874559733552</v>
      </c>
      <c r="AB73" s="159">
        <f t="shared" si="202"/>
        <v>558.42103919044871</v>
      </c>
      <c r="AC73" s="138">
        <f t="shared" ref="AC73" si="203">((AB73/G73)^(1/($AB$3-$H$1) ))-1</f>
        <v>9.9856142975400131E-2</v>
      </c>
      <c r="AD73" s="31">
        <f t="shared" si="16"/>
        <v>0.08</v>
      </c>
      <c r="AE73" s="146">
        <f t="shared" ref="AE73" si="204">(AB73*(1+AD73))/($C$1-AD73)</f>
        <v>4307.8194451834615</v>
      </c>
    </row>
    <row r="74" spans="2:31">
      <c r="B74" s="20" t="s">
        <v>305</v>
      </c>
      <c r="C74" s="133">
        <f t="shared" ref="C74:P74" si="205">C46/C68</f>
        <v>0</v>
      </c>
      <c r="D74" s="133">
        <f t="shared" si="205"/>
        <v>0</v>
      </c>
      <c r="E74" s="133">
        <f t="shared" si="205"/>
        <v>0</v>
      </c>
      <c r="F74" s="133">
        <f t="shared" si="205"/>
        <v>0</v>
      </c>
      <c r="G74" s="133">
        <f t="shared" si="205"/>
        <v>79.82721382289418</v>
      </c>
      <c r="H74" s="133">
        <f t="shared" si="205"/>
        <v>73.182316404822799</v>
      </c>
      <c r="I74" s="133">
        <f t="shared" si="205"/>
        <v>111.88083273510409</v>
      </c>
      <c r="J74" s="133">
        <f t="shared" si="205"/>
        <v>170.20596590909091</v>
      </c>
      <c r="K74" s="133">
        <f t="shared" si="205"/>
        <v>215.15236231478892</v>
      </c>
      <c r="L74" s="133">
        <f t="shared" si="205"/>
        <v>331.536537927202</v>
      </c>
      <c r="M74" s="133">
        <f t="shared" si="205"/>
        <v>323.99407553690446</v>
      </c>
      <c r="N74" s="133">
        <f t="shared" si="205"/>
        <v>401.48599269183927</v>
      </c>
      <c r="O74" s="133">
        <f t="shared" si="205"/>
        <v>562.99612778315588</v>
      </c>
      <c r="P74" s="133">
        <f t="shared" si="205"/>
        <v>615.53750801453305</v>
      </c>
      <c r="Q74" s="118">
        <f>((P74/G74)^(1/($H$2-$H$1) ))-1</f>
        <v>0.25477847829923173</v>
      </c>
      <c r="R74" s="128"/>
      <c r="S74" s="159">
        <f t="shared" ref="S74:AB74" si="206">S46/S68</f>
        <v>599.4800078054584</v>
      </c>
      <c r="T74" s="159">
        <f t="shared" si="206"/>
        <v>583.84139890618565</v>
      </c>
      <c r="U74" s="159">
        <f t="shared" si="206"/>
        <v>568.61075371732875</v>
      </c>
      <c r="V74" s="159">
        <f t="shared" si="206"/>
        <v>553.77742970731151</v>
      </c>
      <c r="W74" s="159">
        <f t="shared" si="206"/>
        <v>539.33106197581651</v>
      </c>
      <c r="X74" s="159">
        <f t="shared" si="206"/>
        <v>525.26155601123003</v>
      </c>
      <c r="Y74" s="159">
        <f t="shared" si="206"/>
        <v>511.55908063702412</v>
      </c>
      <c r="Z74" s="159">
        <f t="shared" si="206"/>
        <v>498.21406114214528</v>
      </c>
      <c r="AA74" s="159">
        <f t="shared" si="206"/>
        <v>485.2171725906112</v>
      </c>
      <c r="AB74" s="159">
        <f t="shared" si="206"/>
        <v>472.5593333056388</v>
      </c>
      <c r="AC74" s="138">
        <f t="shared" ref="AC74" si="207">((AB74/G74)^(1/($AB$3-$H$1) ))-1</f>
        <v>9.8114563312918124E-2</v>
      </c>
      <c r="AD74" s="31">
        <f t="shared" si="16"/>
        <v>0.08</v>
      </c>
      <c r="AE74" s="146">
        <f t="shared" ref="AE74" si="208">(AB74*(1+AD74))/($C$1-AD74)</f>
        <v>3645.4577140720708</v>
      </c>
    </row>
    <row r="75" spans="2:31">
      <c r="B75" s="20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28"/>
      <c r="R75" s="128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19"/>
      <c r="AD75" s="137"/>
      <c r="AE75" s="146"/>
    </row>
    <row r="76" spans="2:31">
      <c r="B76" s="20" t="s">
        <v>258</v>
      </c>
      <c r="C76" s="25">
        <f t="shared" ref="C76:P76" si="209">C66/C68</f>
        <v>0</v>
      </c>
      <c r="D76" s="25">
        <f t="shared" si="209"/>
        <v>0</v>
      </c>
      <c r="E76" s="25">
        <f t="shared" si="209"/>
        <v>0</v>
      </c>
      <c r="F76" s="133">
        <f t="shared" si="209"/>
        <v>0</v>
      </c>
      <c r="G76" s="133">
        <f t="shared" si="209"/>
        <v>11.706263498920087</v>
      </c>
      <c r="H76" s="133">
        <f t="shared" si="209"/>
        <v>11.837778589696748</v>
      </c>
      <c r="I76" s="133">
        <f t="shared" si="209"/>
        <v>17.408470926058865</v>
      </c>
      <c r="J76" s="133">
        <f t="shared" si="209"/>
        <v>23.401988636363637</v>
      </c>
      <c r="K76" s="133">
        <f t="shared" si="209"/>
        <v>29.9412915851272</v>
      </c>
      <c r="L76" s="133">
        <f t="shared" si="209"/>
        <v>50.347318699638784</v>
      </c>
      <c r="M76" s="133">
        <f t="shared" si="209"/>
        <v>61.170081461367566</v>
      </c>
      <c r="N76" s="133">
        <f t="shared" si="209"/>
        <v>81.461632155907438</v>
      </c>
      <c r="O76" s="133">
        <f t="shared" si="209"/>
        <v>102.08131655372701</v>
      </c>
      <c r="P76" s="133">
        <f t="shared" si="209"/>
        <v>111.84013678136354</v>
      </c>
      <c r="Q76" s="118">
        <f>((P76/G76)^(1/($H$2-$H$1) ))-1</f>
        <v>0.28501684732024413</v>
      </c>
      <c r="R76" s="128"/>
      <c r="S76" s="159">
        <f t="shared" ref="S76:AB76" si="210">S66/S68</f>
        <v>108.92256799576278</v>
      </c>
      <c r="T76" s="159">
        <f t="shared" si="210"/>
        <v>106.08110970022116</v>
      </c>
      <c r="U76" s="159">
        <f t="shared" si="210"/>
        <v>103.31377640369368</v>
      </c>
      <c r="V76" s="159">
        <f t="shared" si="210"/>
        <v>100.61863441055385</v>
      </c>
      <c r="W76" s="159">
        <f t="shared" si="210"/>
        <v>97.993800469408995</v>
      </c>
      <c r="X76" s="159">
        <f t="shared" si="210"/>
        <v>95.437440457163561</v>
      </c>
      <c r="Y76" s="159">
        <f t="shared" si="210"/>
        <v>92.947768097411483</v>
      </c>
      <c r="Z76" s="159">
        <f t="shared" si="210"/>
        <v>90.523043712261625</v>
      </c>
      <c r="AA76" s="159">
        <f t="shared" si="210"/>
        <v>88.161573006724382</v>
      </c>
      <c r="AB76" s="159">
        <f t="shared" si="210"/>
        <v>85.861705884809851</v>
      </c>
      <c r="AC76" s="138">
        <f t="shared" ref="AC76:AC89" si="211">((AB76/G76)^(1/($AB$3-$H$1) ))-1</f>
        <v>0.11057113084161396</v>
      </c>
      <c r="AD76" s="31">
        <f t="shared" si="16"/>
        <v>0.08</v>
      </c>
      <c r="AE76" s="146">
        <f t="shared" ref="AE76:AE103" si="212">(AB76*(1+AD76))/($C$1-AD76)</f>
        <v>662.36173111139021</v>
      </c>
    </row>
    <row r="77" spans="2:31">
      <c r="B77" s="20" t="s">
        <v>245</v>
      </c>
      <c r="C77" s="25">
        <f t="shared" ref="C77:P77" si="213">C7/C68</f>
        <v>0</v>
      </c>
      <c r="D77" s="25">
        <f t="shared" si="213"/>
        <v>0</v>
      </c>
      <c r="E77" s="25">
        <f t="shared" si="213"/>
        <v>0</v>
      </c>
      <c r="F77" s="133">
        <f t="shared" si="213"/>
        <v>0</v>
      </c>
      <c r="G77" s="133">
        <f t="shared" si="213"/>
        <v>49.157667386609077</v>
      </c>
      <c r="H77" s="133">
        <f t="shared" si="213"/>
        <v>88.454512239678479</v>
      </c>
      <c r="I77" s="133">
        <f t="shared" si="213"/>
        <v>103.55348169418521</v>
      </c>
      <c r="J77" s="133">
        <f t="shared" si="213"/>
        <v>120.63210227272727</v>
      </c>
      <c r="K77" s="133">
        <f t="shared" si="213"/>
        <v>244.73022085546546</v>
      </c>
      <c r="L77" s="133">
        <f t="shared" si="213"/>
        <v>283.27313142539595</v>
      </c>
      <c r="M77" s="133">
        <f t="shared" si="213"/>
        <v>394.69266847691932</v>
      </c>
      <c r="N77" s="133">
        <f t="shared" si="213"/>
        <v>460.26796589524974</v>
      </c>
      <c r="O77" s="133">
        <f t="shared" si="213"/>
        <v>548.91093901258466</v>
      </c>
      <c r="P77" s="133">
        <f t="shared" si="213"/>
        <v>708.6556956614661</v>
      </c>
      <c r="Q77" s="118">
        <f>((P77/G77)^(1/($H$2-$H$1) ))-1</f>
        <v>0.34511819143112077</v>
      </c>
      <c r="R77" s="128"/>
      <c r="S77" s="159">
        <f t="shared" ref="S77:AB77" si="214">S7/S68</f>
        <v>690.16902533986286</v>
      </c>
      <c r="T77" s="159">
        <f t="shared" si="214"/>
        <v>672.16461598317096</v>
      </c>
      <c r="U77" s="159">
        <f t="shared" si="214"/>
        <v>654.62988687056668</v>
      </c>
      <c r="V77" s="159">
        <f t="shared" si="214"/>
        <v>637.55258547394317</v>
      </c>
      <c r="W77" s="159">
        <f t="shared" si="214"/>
        <v>620.92077889636221</v>
      </c>
      <c r="X77" s="159">
        <f t="shared" si="214"/>
        <v>604.7228455338485</v>
      </c>
      <c r="Y77" s="159">
        <f t="shared" si="214"/>
        <v>588.94746695470474</v>
      </c>
      <c r="Z77" s="159">
        <f t="shared" si="214"/>
        <v>573.58361999066904</v>
      </c>
      <c r="AA77" s="159">
        <f t="shared" si="214"/>
        <v>558.62056903439088</v>
      </c>
      <c r="AB77" s="159">
        <f t="shared" si="214"/>
        <v>544.04785853784165</v>
      </c>
      <c r="AC77" s="138">
        <f t="shared" si="211"/>
        <v>0.13487957789188831</v>
      </c>
      <c r="AD77" s="31">
        <f t="shared" si="16"/>
        <v>0.08</v>
      </c>
      <c r="AE77" s="146">
        <f t="shared" si="212"/>
        <v>4196.9406230062068</v>
      </c>
    </row>
    <row r="78" spans="2:31">
      <c r="B78" s="20" t="s">
        <v>246</v>
      </c>
      <c r="C78" s="127">
        <f t="shared" ref="C78:P78" si="215">C6/C68</f>
        <v>0</v>
      </c>
      <c r="D78" s="127">
        <f t="shared" si="215"/>
        <v>0</v>
      </c>
      <c r="E78" s="127">
        <f t="shared" si="215"/>
        <v>0</v>
      </c>
      <c r="F78" s="144">
        <f t="shared" si="215"/>
        <v>0</v>
      </c>
      <c r="G78" s="144">
        <f t="shared" si="215"/>
        <v>39.092872570194388</v>
      </c>
      <c r="H78" s="144">
        <f t="shared" si="215"/>
        <v>77.968578735842158</v>
      </c>
      <c r="I78" s="144">
        <f t="shared" si="215"/>
        <v>93.072505384063177</v>
      </c>
      <c r="J78" s="144">
        <f t="shared" si="215"/>
        <v>110.29829545454545</v>
      </c>
      <c r="K78" s="144">
        <f t="shared" si="215"/>
        <v>234.66592116298571</v>
      </c>
      <c r="L78" s="144">
        <f t="shared" si="215"/>
        <v>273.27035287579884</v>
      </c>
      <c r="M78" s="144">
        <f t="shared" si="215"/>
        <v>384.67045174031108</v>
      </c>
      <c r="N78" s="144">
        <f t="shared" si="215"/>
        <v>450.28014616321565</v>
      </c>
      <c r="O78" s="144">
        <f t="shared" si="215"/>
        <v>538.91577928363984</v>
      </c>
      <c r="P78" s="144">
        <f t="shared" si="215"/>
        <v>698.65355845266083</v>
      </c>
      <c r="Q78" s="118">
        <f>((P78/G78)^(1/($H$2-$H$1) ))-1</f>
        <v>0.37761976708703782</v>
      </c>
      <c r="R78" s="128"/>
      <c r="S78" s="158">
        <f t="shared" ref="S78:AB78" si="216">S6/S68</f>
        <v>680.42781344954801</v>
      </c>
      <c r="T78" s="158">
        <f t="shared" si="216"/>
        <v>662.67752266390789</v>
      </c>
      <c r="U78" s="158">
        <f t="shared" si="216"/>
        <v>645.3902829422409</v>
      </c>
      <c r="V78" s="158">
        <f t="shared" si="216"/>
        <v>628.5540146915738</v>
      </c>
      <c r="W78" s="158">
        <f t="shared" si="216"/>
        <v>612.15695343875018</v>
      </c>
      <c r="X78" s="158">
        <f t="shared" si="216"/>
        <v>596.18764160991327</v>
      </c>
      <c r="Y78" s="158">
        <f t="shared" si="216"/>
        <v>580.63492052443746</v>
      </c>
      <c r="Z78" s="158">
        <f t="shared" si="216"/>
        <v>565.48792259771301</v>
      </c>
      <c r="AA78" s="158">
        <f t="shared" si="216"/>
        <v>550.73606374733799</v>
      </c>
      <c r="AB78" s="158">
        <f t="shared" si="216"/>
        <v>536.36903599740765</v>
      </c>
      <c r="AC78" s="138">
        <f t="shared" si="211"/>
        <v>0.14778719266777718</v>
      </c>
      <c r="AD78" s="31">
        <f t="shared" si="16"/>
        <v>0.08</v>
      </c>
      <c r="AE78" s="146">
        <f t="shared" si="212"/>
        <v>4137.7039919800018</v>
      </c>
    </row>
    <row r="79" spans="2:31">
      <c r="B79" s="20" t="s">
        <v>247</v>
      </c>
      <c r="C79" s="127">
        <f t="shared" ref="C79:P79" si="217">C10/C68</f>
        <v>0</v>
      </c>
      <c r="D79" s="127">
        <f t="shared" si="217"/>
        <v>0</v>
      </c>
      <c r="E79" s="127">
        <f t="shared" si="217"/>
        <v>0</v>
      </c>
      <c r="F79" s="144">
        <f t="shared" si="217"/>
        <v>0</v>
      </c>
      <c r="G79" s="144">
        <f t="shared" si="217"/>
        <v>927.9049676025918</v>
      </c>
      <c r="H79" s="144">
        <f t="shared" si="217"/>
        <v>1223.7120935330654</v>
      </c>
      <c r="I79" s="144">
        <f t="shared" si="217"/>
        <v>1536.0373295046663</v>
      </c>
      <c r="J79" s="144">
        <f t="shared" si="217"/>
        <v>2272.0170454545455</v>
      </c>
      <c r="K79" s="144">
        <f t="shared" si="217"/>
        <v>2606.7374895163543</v>
      </c>
      <c r="L79" s="144">
        <f t="shared" si="217"/>
        <v>3543.8455126424005</v>
      </c>
      <c r="M79" s="144">
        <f t="shared" si="217"/>
        <v>3911.3305356702049</v>
      </c>
      <c r="N79" s="144">
        <f t="shared" si="217"/>
        <v>5248.0876979293544</v>
      </c>
      <c r="O79" s="144">
        <f t="shared" si="217"/>
        <v>6148.5721200387225</v>
      </c>
      <c r="P79" s="144">
        <f t="shared" si="217"/>
        <v>6331.5665740542854</v>
      </c>
      <c r="Q79" s="118">
        <f>((P79/G79)^(1/($H$2-$H$1) ))-1</f>
        <v>0.23784857136152016</v>
      </c>
      <c r="R79" s="128"/>
      <c r="S79" s="158">
        <f t="shared" ref="S79:AB79" si="218">S10/S68</f>
        <v>6166.3952721224359</v>
      </c>
      <c r="T79" s="158">
        <f t="shared" si="218"/>
        <v>6005.5327867627211</v>
      </c>
      <c r="U79" s="158">
        <f t="shared" si="218"/>
        <v>5848.8667140645639</v>
      </c>
      <c r="V79" s="158">
        <f t="shared" si="218"/>
        <v>5696.2875823933155</v>
      </c>
      <c r="W79" s="158">
        <f t="shared" si="218"/>
        <v>5547.6887758960993</v>
      </c>
      <c r="X79" s="158">
        <f t="shared" si="218"/>
        <v>5402.9664600031583</v>
      </c>
      <c r="Y79" s="158">
        <f t="shared" si="218"/>
        <v>5262.0195088726414</v>
      </c>
      <c r="Z79" s="158">
        <f t="shared" si="218"/>
        <v>5124.7494347281381</v>
      </c>
      <c r="AA79" s="158">
        <f t="shared" si="218"/>
        <v>4991.0603190395796</v>
      </c>
      <c r="AB79" s="158">
        <f t="shared" si="218"/>
        <v>4860.8587454994176</v>
      </c>
      <c r="AC79" s="138">
        <f t="shared" si="211"/>
        <v>9.1071298937392964E-2</v>
      </c>
      <c r="AD79" s="31">
        <f t="shared" si="16"/>
        <v>0.08</v>
      </c>
      <c r="AE79" s="146">
        <f t="shared" si="212"/>
        <v>37498.053179566938</v>
      </c>
    </row>
    <row r="80" spans="2:31">
      <c r="B80" s="20"/>
      <c r="C80" s="127"/>
      <c r="D80" s="127"/>
      <c r="E80" s="127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28"/>
      <c r="R80" s="12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39"/>
      <c r="AD80" s="137"/>
      <c r="AE80" s="146"/>
    </row>
    <row r="81" spans="2:31">
      <c r="B81" s="20" t="s">
        <v>271</v>
      </c>
      <c r="C81" s="127">
        <f t="shared" ref="C81:P81" si="219">(C7-C10)/C68</f>
        <v>0</v>
      </c>
      <c r="D81" s="127">
        <f t="shared" si="219"/>
        <v>0</v>
      </c>
      <c r="E81" s="127">
        <f t="shared" si="219"/>
        <v>0</v>
      </c>
      <c r="F81" s="144">
        <f t="shared" si="219"/>
        <v>0</v>
      </c>
      <c r="G81" s="144">
        <f t="shared" si="219"/>
        <v>-878.74730021598282</v>
      </c>
      <c r="H81" s="144">
        <f t="shared" si="219"/>
        <v>-1135.2575812933869</v>
      </c>
      <c r="I81" s="144">
        <f t="shared" si="219"/>
        <v>-1432.4838478104809</v>
      </c>
      <c r="J81" s="144">
        <f t="shared" si="219"/>
        <v>-2151.384943181818</v>
      </c>
      <c r="K81" s="144">
        <f t="shared" si="219"/>
        <v>-2362.0072686608887</v>
      </c>
      <c r="L81" s="144">
        <f t="shared" si="219"/>
        <v>-3260.5723812170045</v>
      </c>
      <c r="M81" s="144">
        <f t="shared" si="219"/>
        <v>-3516.6378671932857</v>
      </c>
      <c r="N81" s="144">
        <f t="shared" si="219"/>
        <v>-4787.8197320341051</v>
      </c>
      <c r="O81" s="144">
        <f t="shared" si="219"/>
        <v>-5599.6611810261375</v>
      </c>
      <c r="P81" s="144">
        <f t="shared" si="219"/>
        <v>-5622.9108783928186</v>
      </c>
      <c r="Q81" s="118">
        <f>((P81/G81)^(1/($H$2-$H$1) ))-1</f>
        <v>0.2290409554161692</v>
      </c>
      <c r="R81" s="128"/>
      <c r="S81" s="158">
        <f t="shared" ref="S81:AB81" si="220">(S7-S10)/S68</f>
        <v>-5476.2262467825722</v>
      </c>
      <c r="T81" s="158">
        <f t="shared" si="220"/>
        <v>-5333.3681707795495</v>
      </c>
      <c r="U81" s="158">
        <f t="shared" si="220"/>
        <v>-5194.2368271939977</v>
      </c>
      <c r="V81" s="158">
        <f t="shared" si="220"/>
        <v>-5058.734996919372</v>
      </c>
      <c r="W81" s="158">
        <f t="shared" si="220"/>
        <v>-4926.7679969997371</v>
      </c>
      <c r="X81" s="158">
        <f t="shared" si="220"/>
        <v>-4798.2436144693093</v>
      </c>
      <c r="Y81" s="158">
        <f t="shared" si="220"/>
        <v>-4673.072041917937</v>
      </c>
      <c r="Z81" s="158">
        <f t="shared" si="220"/>
        <v>-4551.1658147374692</v>
      </c>
      <c r="AA81" s="158">
        <f t="shared" si="220"/>
        <v>-4432.4397500051882</v>
      </c>
      <c r="AB81" s="158">
        <f t="shared" si="220"/>
        <v>-4316.8108869615762</v>
      </c>
      <c r="AC81" s="138">
        <f t="shared" si="211"/>
        <v>8.7387055914951661E-2</v>
      </c>
      <c r="AD81" s="31">
        <f t="shared" si="16"/>
        <v>0.08</v>
      </c>
      <c r="AE81" s="146">
        <f t="shared" si="212"/>
        <v>-33301.112556560729</v>
      </c>
    </row>
    <row r="82" spans="2:31">
      <c r="B82" s="20" t="s">
        <v>272</v>
      </c>
      <c r="C82" s="127">
        <f t="shared" ref="C82:P82" si="221">(C7-C10-C9)/C68</f>
        <v>0</v>
      </c>
      <c r="D82" s="127">
        <f t="shared" si="221"/>
        <v>0</v>
      </c>
      <c r="E82" s="127">
        <f t="shared" si="221"/>
        <v>0</v>
      </c>
      <c r="F82" s="144">
        <f t="shared" si="221"/>
        <v>0</v>
      </c>
      <c r="G82" s="144">
        <f t="shared" si="221"/>
        <v>-878.74730021598282</v>
      </c>
      <c r="H82" s="144">
        <f t="shared" si="221"/>
        <v>-1135.2575812933869</v>
      </c>
      <c r="I82" s="144">
        <f t="shared" si="221"/>
        <v>-1432.4838478104809</v>
      </c>
      <c r="J82" s="144">
        <f t="shared" si="221"/>
        <v>-2151.384943181818</v>
      </c>
      <c r="K82" s="144">
        <f t="shared" si="221"/>
        <v>-2362.0072686608887</v>
      </c>
      <c r="L82" s="144">
        <f t="shared" si="221"/>
        <v>-3260.5723812170045</v>
      </c>
      <c r="M82" s="144">
        <f t="shared" si="221"/>
        <v>-3516.6378671932857</v>
      </c>
      <c r="N82" s="144">
        <f t="shared" si="221"/>
        <v>-4787.8197320341051</v>
      </c>
      <c r="O82" s="144">
        <f t="shared" si="221"/>
        <v>-5599.6611810261375</v>
      </c>
      <c r="P82" s="144">
        <f t="shared" si="221"/>
        <v>-5622.9108783928186</v>
      </c>
      <c r="Q82" s="118">
        <f>((P82/G82)^(1/($H$2-$H$1) ))-1</f>
        <v>0.2290409554161692</v>
      </c>
      <c r="R82" s="128"/>
      <c r="S82" s="158">
        <f t="shared" ref="S82:AB82" si="222">(S7-S10-S9)/S68</f>
        <v>-5476.2262467825722</v>
      </c>
      <c r="T82" s="158">
        <f t="shared" si="222"/>
        <v>-5333.3681707795495</v>
      </c>
      <c r="U82" s="158">
        <f t="shared" si="222"/>
        <v>-5194.2368271939977</v>
      </c>
      <c r="V82" s="158">
        <f t="shared" si="222"/>
        <v>-5058.734996919372</v>
      </c>
      <c r="W82" s="158">
        <f t="shared" si="222"/>
        <v>-4926.7679969997371</v>
      </c>
      <c r="X82" s="158">
        <f t="shared" si="222"/>
        <v>-4798.2436144693093</v>
      </c>
      <c r="Y82" s="158">
        <f t="shared" si="222"/>
        <v>-4673.072041917937</v>
      </c>
      <c r="Z82" s="158">
        <f t="shared" si="222"/>
        <v>-4551.1658147374692</v>
      </c>
      <c r="AA82" s="158">
        <f t="shared" si="222"/>
        <v>-4432.4397500051882</v>
      </c>
      <c r="AB82" s="158">
        <f t="shared" si="222"/>
        <v>-4316.8108869615762</v>
      </c>
      <c r="AC82" s="138">
        <f t="shared" si="211"/>
        <v>8.7387055914951661E-2</v>
      </c>
      <c r="AD82" s="31">
        <f t="shared" si="16"/>
        <v>0.08</v>
      </c>
      <c r="AE82" s="146">
        <f t="shared" si="212"/>
        <v>-33301.112556560729</v>
      </c>
    </row>
    <row r="83" spans="2:31">
      <c r="B83" s="20" t="s">
        <v>277</v>
      </c>
      <c r="C83" s="127">
        <f t="shared" ref="C83:P83" si="223">(C7+C16-C10-C9)/C68</f>
        <v>0</v>
      </c>
      <c r="D83" s="127">
        <f t="shared" si="223"/>
        <v>0</v>
      </c>
      <c r="E83" s="127">
        <f t="shared" si="223"/>
        <v>0</v>
      </c>
      <c r="F83" s="144">
        <f t="shared" si="223"/>
        <v>0</v>
      </c>
      <c r="G83" s="144">
        <f t="shared" si="223"/>
        <v>-878.74730021598282</v>
      </c>
      <c r="H83" s="144">
        <f t="shared" si="223"/>
        <v>-1135.2575812933869</v>
      </c>
      <c r="I83" s="144">
        <f t="shared" si="223"/>
        <v>-1432.4838478104809</v>
      </c>
      <c r="J83" s="144">
        <f t="shared" si="223"/>
        <v>-2151.384943181818</v>
      </c>
      <c r="K83" s="144">
        <f t="shared" si="223"/>
        <v>-2362.0072686608887</v>
      </c>
      <c r="L83" s="144">
        <f t="shared" si="223"/>
        <v>-3260.5723812170045</v>
      </c>
      <c r="M83" s="144">
        <f t="shared" si="223"/>
        <v>-3516.6378671932857</v>
      </c>
      <c r="N83" s="144">
        <f t="shared" si="223"/>
        <v>-4787.8197320341051</v>
      </c>
      <c r="O83" s="144">
        <f t="shared" si="223"/>
        <v>-5599.6611810261375</v>
      </c>
      <c r="P83" s="144">
        <f t="shared" si="223"/>
        <v>-5622.9108783928186</v>
      </c>
      <c r="Q83" s="118">
        <f>((P83/G83)^(1/($H$2-$H$1) ))-1</f>
        <v>0.2290409554161692</v>
      </c>
      <c r="R83" s="128"/>
      <c r="S83" s="158">
        <f t="shared" ref="S83:AB83" si="224">(S7+S16-S10-S9)/S68</f>
        <v>-5476.2262467825722</v>
      </c>
      <c r="T83" s="158">
        <f t="shared" si="224"/>
        <v>-5333.3681707795495</v>
      </c>
      <c r="U83" s="158">
        <f t="shared" si="224"/>
        <v>-5194.2368271939977</v>
      </c>
      <c r="V83" s="158">
        <f t="shared" si="224"/>
        <v>-5058.734996919372</v>
      </c>
      <c r="W83" s="158">
        <f t="shared" si="224"/>
        <v>-4926.7679969997371</v>
      </c>
      <c r="X83" s="158">
        <f t="shared" si="224"/>
        <v>-4798.2436144693093</v>
      </c>
      <c r="Y83" s="158">
        <f t="shared" si="224"/>
        <v>-4673.072041917937</v>
      </c>
      <c r="Z83" s="158">
        <f t="shared" si="224"/>
        <v>-4551.1658147374692</v>
      </c>
      <c r="AA83" s="158">
        <f t="shared" si="224"/>
        <v>-4432.4397500051882</v>
      </c>
      <c r="AB83" s="158">
        <f t="shared" si="224"/>
        <v>-4316.8108869615762</v>
      </c>
      <c r="AC83" s="138">
        <f t="shared" si="211"/>
        <v>8.7387055914951661E-2</v>
      </c>
      <c r="AD83" s="31">
        <f t="shared" si="16"/>
        <v>0.08</v>
      </c>
      <c r="AE83" s="146">
        <f t="shared" si="212"/>
        <v>-33301.112556560729</v>
      </c>
    </row>
    <row r="84" spans="2:31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28"/>
      <c r="R84" s="128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39"/>
      <c r="AD84" s="137"/>
      <c r="AE84" s="155"/>
    </row>
    <row r="85" spans="2:31">
      <c r="B85" s="20" t="s">
        <v>248</v>
      </c>
      <c r="C85" s="127">
        <f t="shared" ref="C85:P85" si="225">C12/C68</f>
        <v>0</v>
      </c>
      <c r="D85" s="127">
        <f t="shared" si="225"/>
        <v>0</v>
      </c>
      <c r="E85" s="127">
        <f t="shared" si="225"/>
        <v>0</v>
      </c>
      <c r="F85" s="144">
        <f t="shared" si="225"/>
        <v>0</v>
      </c>
      <c r="G85" s="144">
        <f t="shared" si="225"/>
        <v>581.16630669546441</v>
      </c>
      <c r="H85" s="144">
        <f t="shared" si="225"/>
        <v>714.24917793204236</v>
      </c>
      <c r="I85" s="144">
        <f t="shared" si="225"/>
        <v>903.37401292175161</v>
      </c>
      <c r="J85" s="144">
        <f t="shared" si="225"/>
        <v>1200.4616477272727</v>
      </c>
      <c r="K85" s="144">
        <f t="shared" si="225"/>
        <v>1296.3097567794239</v>
      </c>
      <c r="L85" s="144">
        <f t="shared" si="225"/>
        <v>1702.9730480689079</v>
      </c>
      <c r="M85" s="144">
        <f t="shared" si="225"/>
        <v>1754.7025425820786</v>
      </c>
      <c r="N85" s="144">
        <f t="shared" si="225"/>
        <v>2270.2801461632157</v>
      </c>
      <c r="O85" s="144">
        <f t="shared" si="225"/>
        <v>2586.0358180058083</v>
      </c>
      <c r="P85" s="144">
        <f t="shared" si="225"/>
        <v>2861.2310322718531</v>
      </c>
      <c r="Q85" s="118">
        <f>((P85/G85)^(1/($H$2-$H$1) ))-1</f>
        <v>0.19375978463861632</v>
      </c>
      <c r="R85" s="128"/>
      <c r="S85" s="158">
        <f t="shared" ref="S85:AB85" si="226">S12/S68</f>
        <v>2786.5902227343272</v>
      </c>
      <c r="T85" s="158">
        <f t="shared" si="226"/>
        <v>2713.8965647499535</v>
      </c>
      <c r="U85" s="158">
        <f t="shared" si="226"/>
        <v>2643.0992630608248</v>
      </c>
      <c r="V85" s="158">
        <f t="shared" si="226"/>
        <v>2574.1488475027168</v>
      </c>
      <c r="W85" s="158">
        <f t="shared" si="226"/>
        <v>2506.9971384374285</v>
      </c>
      <c r="X85" s="158">
        <f t="shared" si="226"/>
        <v>2441.5972130868872</v>
      </c>
      <c r="Y85" s="158">
        <f t="shared" si="226"/>
        <v>2377.9033727454907</v>
      </c>
      <c r="Z85" s="158">
        <f t="shared" si="226"/>
        <v>2315.8711108477828</v>
      </c>
      <c r="AA85" s="158">
        <f t="shared" si="226"/>
        <v>2255.457081869145</v>
      </c>
      <c r="AB85" s="158">
        <f t="shared" si="226"/>
        <v>2196.6190710377764</v>
      </c>
      <c r="AC85" s="138">
        <f t="shared" si="211"/>
        <v>7.2487731164307734E-2</v>
      </c>
      <c r="AD85" s="31">
        <f t="shared" si="16"/>
        <v>0.08</v>
      </c>
      <c r="AE85" s="146">
        <f t="shared" si="212"/>
        <v>16945.347119434275</v>
      </c>
    </row>
    <row r="86" spans="2:31">
      <c r="B86" s="20" t="s">
        <v>255</v>
      </c>
      <c r="C86" s="127">
        <f t="shared" ref="C86:P86" si="227">C15/C68</f>
        <v>0</v>
      </c>
      <c r="D86" s="127">
        <f t="shared" si="227"/>
        <v>0</v>
      </c>
      <c r="E86" s="127">
        <f t="shared" si="227"/>
        <v>0</v>
      </c>
      <c r="F86" s="144">
        <f t="shared" si="227"/>
        <v>0</v>
      </c>
      <c r="G86" s="144">
        <f t="shared" si="227"/>
        <v>336.58747300215987</v>
      </c>
      <c r="H86" s="144">
        <f t="shared" si="227"/>
        <v>521.51991231275122</v>
      </c>
      <c r="I86" s="144">
        <f t="shared" si="227"/>
        <v>772.68485283560665</v>
      </c>
      <c r="J86" s="144">
        <f t="shared" si="227"/>
        <v>954.79403409090912</v>
      </c>
      <c r="K86" s="144">
        <f t="shared" si="227"/>
        <v>946.74308079396133</v>
      </c>
      <c r="L86" s="144">
        <f t="shared" si="227"/>
        <v>1285.6626840789108</v>
      </c>
      <c r="M86" s="144">
        <f t="shared" si="227"/>
        <v>1379.3137496914342</v>
      </c>
      <c r="N86" s="144">
        <f t="shared" si="227"/>
        <v>1748.7697929354447</v>
      </c>
      <c r="O86" s="144">
        <f t="shared" si="227"/>
        <v>2248.8141335914811</v>
      </c>
      <c r="P86" s="144">
        <f t="shared" si="227"/>
        <v>2423.1245992733488</v>
      </c>
      <c r="Q86" s="118">
        <f>((P86/G86)^(1/($H$2-$H$1) ))-1</f>
        <v>0.24524007422344929</v>
      </c>
      <c r="R86" s="128"/>
      <c r="S86" s="158">
        <f t="shared" ref="S86:AB86" si="228">S15/S68</f>
        <v>2359.9126532053492</v>
      </c>
      <c r="T86" s="158">
        <f t="shared" si="228"/>
        <v>2298.3497144260796</v>
      </c>
      <c r="U86" s="158">
        <f t="shared" si="228"/>
        <v>2238.3927653540954</v>
      </c>
      <c r="V86" s="158">
        <f t="shared" si="228"/>
        <v>2179.9999106057276</v>
      </c>
      <c r="W86" s="158">
        <f t="shared" si="228"/>
        <v>2123.130347720361</v>
      </c>
      <c r="X86" s="158">
        <f t="shared" si="228"/>
        <v>2067.7443386493956</v>
      </c>
      <c r="Y86" s="158">
        <f t="shared" si="228"/>
        <v>2013.8031819889768</v>
      </c>
      <c r="Z86" s="158">
        <f t="shared" si="228"/>
        <v>1961.2691859370905</v>
      </c>
      <c r="AA86" s="158">
        <f t="shared" si="228"/>
        <v>1910.1056419561235</v>
      </c>
      <c r="AB86" s="158">
        <f t="shared" si="228"/>
        <v>1860.2767991224857</v>
      </c>
      <c r="AC86" s="138">
        <f t="shared" si="211"/>
        <v>9.4152544842167174E-2</v>
      </c>
      <c r="AD86" s="31">
        <f t="shared" si="16"/>
        <v>0.08</v>
      </c>
      <c r="AE86" s="146">
        <f t="shared" si="212"/>
        <v>14350.706736087746</v>
      </c>
    </row>
    <row r="87" spans="2:31">
      <c r="B87" s="20" t="s">
        <v>256</v>
      </c>
      <c r="C87" s="127">
        <f>(C85+C86)</f>
        <v>0</v>
      </c>
      <c r="D87" s="127">
        <f t="shared" ref="D87:P87" si="229">(D85+D86)</f>
        <v>0</v>
      </c>
      <c r="E87" s="127">
        <f t="shared" si="229"/>
        <v>0</v>
      </c>
      <c r="F87" s="144">
        <f t="shared" si="229"/>
        <v>0</v>
      </c>
      <c r="G87" s="144">
        <f t="shared" si="229"/>
        <v>917.75377969762428</v>
      </c>
      <c r="H87" s="144">
        <f t="shared" si="229"/>
        <v>1235.7690902447935</v>
      </c>
      <c r="I87" s="144">
        <f t="shared" si="229"/>
        <v>1676.0588657573583</v>
      </c>
      <c r="J87" s="144">
        <f t="shared" si="229"/>
        <v>2155.255681818182</v>
      </c>
      <c r="K87" s="144">
        <f t="shared" si="229"/>
        <v>2243.0528375733852</v>
      </c>
      <c r="L87" s="144">
        <f t="shared" si="229"/>
        <v>2988.635732147819</v>
      </c>
      <c r="M87" s="144">
        <f t="shared" si="229"/>
        <v>3134.0162922735126</v>
      </c>
      <c r="N87" s="144">
        <f t="shared" si="229"/>
        <v>4019.0499390986606</v>
      </c>
      <c r="O87" s="144">
        <f t="shared" ref="O87" si="230">(O85+O86)</f>
        <v>4834.849951597289</v>
      </c>
      <c r="P87" s="144">
        <f t="shared" si="229"/>
        <v>5284.3556315452024</v>
      </c>
      <c r="Q87" s="118">
        <f>((P87/G87)^(1/($H$2-$H$1) ))-1</f>
        <v>0.21471385191377323</v>
      </c>
      <c r="R87" s="128"/>
      <c r="S87" s="158">
        <f t="shared" ref="S87:AB87" si="231">(S85+S86)</f>
        <v>5146.5028759396764</v>
      </c>
      <c r="T87" s="158">
        <f t="shared" si="231"/>
        <v>5012.2462791760336</v>
      </c>
      <c r="U87" s="158">
        <f t="shared" si="231"/>
        <v>4881.4920284149202</v>
      </c>
      <c r="V87" s="158">
        <f t="shared" si="231"/>
        <v>4754.1487581084439</v>
      </c>
      <c r="W87" s="158">
        <f t="shared" si="231"/>
        <v>4630.1274861577895</v>
      </c>
      <c r="X87" s="158">
        <f t="shared" si="231"/>
        <v>4509.3415517362828</v>
      </c>
      <c r="Y87" s="158">
        <f t="shared" si="231"/>
        <v>4391.7065547344673</v>
      </c>
      <c r="Z87" s="158">
        <f t="shared" si="231"/>
        <v>4277.1402967848735</v>
      </c>
      <c r="AA87" s="158">
        <f t="shared" si="231"/>
        <v>4165.5627238252682</v>
      </c>
      <c r="AB87" s="158">
        <f t="shared" si="231"/>
        <v>4056.8958701602623</v>
      </c>
      <c r="AC87" s="138">
        <f t="shared" si="211"/>
        <v>8.1364188837328433E-2</v>
      </c>
      <c r="AD87" s="31">
        <f t="shared" si="16"/>
        <v>0.08</v>
      </c>
      <c r="AE87" s="146">
        <f t="shared" si="212"/>
        <v>31296.053855522026</v>
      </c>
    </row>
    <row r="88" spans="2:31">
      <c r="B88" s="20" t="s">
        <v>249</v>
      </c>
      <c r="C88" s="127">
        <f t="shared" ref="C88:P88" si="232">C16/C68</f>
        <v>0</v>
      </c>
      <c r="D88" s="127">
        <f t="shared" si="232"/>
        <v>0</v>
      </c>
      <c r="E88" s="127">
        <f t="shared" si="232"/>
        <v>0</v>
      </c>
      <c r="F88" s="144">
        <f t="shared" si="232"/>
        <v>0</v>
      </c>
      <c r="G88" s="144">
        <f t="shared" si="232"/>
        <v>0</v>
      </c>
      <c r="H88" s="144">
        <f t="shared" si="232"/>
        <v>0</v>
      </c>
      <c r="I88" s="144">
        <f t="shared" si="232"/>
        <v>0</v>
      </c>
      <c r="J88" s="144">
        <f t="shared" si="232"/>
        <v>0</v>
      </c>
      <c r="K88" s="144">
        <f t="shared" si="232"/>
        <v>0</v>
      </c>
      <c r="L88" s="144">
        <f t="shared" si="232"/>
        <v>0</v>
      </c>
      <c r="M88" s="144">
        <f t="shared" si="232"/>
        <v>0</v>
      </c>
      <c r="N88" s="144">
        <f t="shared" si="232"/>
        <v>0</v>
      </c>
      <c r="O88" s="144">
        <f t="shared" si="232"/>
        <v>0</v>
      </c>
      <c r="P88" s="144">
        <f t="shared" si="232"/>
        <v>0</v>
      </c>
      <c r="Q88" s="118" t="e">
        <f>((P88/G88)^(1/($H$2-$H$1) ))-1</f>
        <v>#DIV/0!</v>
      </c>
      <c r="R88" s="128"/>
      <c r="S88" s="158">
        <f t="shared" ref="S88:AB88" si="233">S16/S68</f>
        <v>0</v>
      </c>
      <c r="T88" s="158">
        <f t="shared" si="233"/>
        <v>0</v>
      </c>
      <c r="U88" s="158">
        <f t="shared" si="233"/>
        <v>0</v>
      </c>
      <c r="V88" s="158">
        <f t="shared" si="233"/>
        <v>0</v>
      </c>
      <c r="W88" s="158">
        <f t="shared" si="233"/>
        <v>0</v>
      </c>
      <c r="X88" s="158">
        <f t="shared" si="233"/>
        <v>0</v>
      </c>
      <c r="Y88" s="158">
        <f t="shared" si="233"/>
        <v>0</v>
      </c>
      <c r="Z88" s="158">
        <f t="shared" si="233"/>
        <v>0</v>
      </c>
      <c r="AA88" s="158">
        <f t="shared" si="233"/>
        <v>0</v>
      </c>
      <c r="AB88" s="158">
        <f t="shared" si="233"/>
        <v>0</v>
      </c>
      <c r="AC88" s="138" t="e">
        <f t="shared" si="211"/>
        <v>#DIV/0!</v>
      </c>
      <c r="AD88" s="31">
        <f t="shared" si="16"/>
        <v>0.08</v>
      </c>
      <c r="AE88" s="146">
        <f t="shared" si="212"/>
        <v>0</v>
      </c>
    </row>
    <row r="89" spans="2:31">
      <c r="B89" s="20" t="s">
        <v>250</v>
      </c>
      <c r="C89" s="127">
        <f t="shared" ref="C89:P89" si="234">C17/C68</f>
        <v>0</v>
      </c>
      <c r="D89" s="127">
        <f t="shared" si="234"/>
        <v>0</v>
      </c>
      <c r="E89" s="127">
        <f t="shared" si="234"/>
        <v>0</v>
      </c>
      <c r="F89" s="144">
        <f t="shared" si="234"/>
        <v>0</v>
      </c>
      <c r="G89" s="144">
        <f t="shared" si="234"/>
        <v>0</v>
      </c>
      <c r="H89" s="144">
        <f t="shared" si="234"/>
        <v>0</v>
      </c>
      <c r="I89" s="144">
        <f t="shared" si="234"/>
        <v>0</v>
      </c>
      <c r="J89" s="144">
        <f t="shared" si="234"/>
        <v>0</v>
      </c>
      <c r="K89" s="144">
        <f t="shared" si="234"/>
        <v>0</v>
      </c>
      <c r="L89" s="144">
        <f t="shared" si="234"/>
        <v>0</v>
      </c>
      <c r="M89" s="144">
        <f t="shared" si="234"/>
        <v>0</v>
      </c>
      <c r="N89" s="144">
        <f t="shared" si="234"/>
        <v>0</v>
      </c>
      <c r="O89" s="144">
        <f t="shared" si="234"/>
        <v>0</v>
      </c>
      <c r="P89" s="144">
        <f t="shared" si="234"/>
        <v>0</v>
      </c>
      <c r="Q89" s="118" t="e">
        <f>((P89/G89)^(1/($H$2-$H$1) ))-1</f>
        <v>#DIV/0!</v>
      </c>
      <c r="R89" s="128"/>
      <c r="S89" s="158">
        <f t="shared" ref="S89:AB89" si="235">S17/S68</f>
        <v>0</v>
      </c>
      <c r="T89" s="158">
        <f t="shared" si="235"/>
        <v>0</v>
      </c>
      <c r="U89" s="158">
        <f t="shared" si="235"/>
        <v>0</v>
      </c>
      <c r="V89" s="158">
        <f t="shared" si="235"/>
        <v>0</v>
      </c>
      <c r="W89" s="158">
        <f t="shared" si="235"/>
        <v>0</v>
      </c>
      <c r="X89" s="158">
        <f t="shared" si="235"/>
        <v>0</v>
      </c>
      <c r="Y89" s="158">
        <f t="shared" si="235"/>
        <v>0</v>
      </c>
      <c r="Z89" s="158">
        <f t="shared" si="235"/>
        <v>0</v>
      </c>
      <c r="AA89" s="158">
        <f t="shared" si="235"/>
        <v>0</v>
      </c>
      <c r="AB89" s="158">
        <f t="shared" si="235"/>
        <v>0</v>
      </c>
      <c r="AC89" s="138" t="e">
        <f t="shared" si="211"/>
        <v>#DIV/0!</v>
      </c>
      <c r="AD89" s="31">
        <f t="shared" si="16"/>
        <v>0.08</v>
      </c>
      <c r="AE89" s="146">
        <f t="shared" si="212"/>
        <v>0</v>
      </c>
    </row>
    <row r="90" spans="2:31">
      <c r="B90" s="20"/>
      <c r="C90" s="127"/>
      <c r="D90" s="127"/>
      <c r="E90" s="127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28"/>
      <c r="R90" s="128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39"/>
      <c r="AD90" s="139"/>
      <c r="AE90" s="146">
        <f t="shared" si="212"/>
        <v>0</v>
      </c>
    </row>
    <row r="91" spans="2:31">
      <c r="B91" s="20" t="s">
        <v>283</v>
      </c>
      <c r="C91" s="160">
        <f>C70</f>
        <v>1.2</v>
      </c>
      <c r="D91" s="160">
        <f t="shared" ref="D91:P91" si="236">D70</f>
        <v>1.5</v>
      </c>
      <c r="E91" s="160">
        <f t="shared" si="236"/>
        <v>2</v>
      </c>
      <c r="F91" s="160">
        <f t="shared" si="236"/>
        <v>2.2000000000000002</v>
      </c>
      <c r="G91" s="160">
        <f t="shared" si="236"/>
        <v>2.5</v>
      </c>
      <c r="H91" s="160">
        <f t="shared" si="236"/>
        <v>2.8</v>
      </c>
      <c r="I91" s="160">
        <f t="shared" si="236"/>
        <v>3.5</v>
      </c>
      <c r="J91" s="160">
        <f t="shared" si="236"/>
        <v>4.5</v>
      </c>
      <c r="K91" s="160">
        <f t="shared" si="236"/>
        <v>6</v>
      </c>
      <c r="L91" s="160">
        <f t="shared" si="236"/>
        <v>10</v>
      </c>
      <c r="M91" s="160">
        <f t="shared" si="236"/>
        <v>12</v>
      </c>
      <c r="N91" s="160">
        <f t="shared" si="236"/>
        <v>14</v>
      </c>
      <c r="O91" s="160">
        <f t="shared" si="236"/>
        <v>16</v>
      </c>
      <c r="P91" s="160">
        <f t="shared" si="236"/>
        <v>18</v>
      </c>
      <c r="Q91" s="118">
        <f>((P91/G91)^(1/($H$2-$H$1) ))-1</f>
        <v>0.24525750047889994</v>
      </c>
      <c r="R91" s="128"/>
      <c r="S91" s="160">
        <f t="shared" ref="S91:AB91" si="237">S70</f>
        <v>18.900000000000002</v>
      </c>
      <c r="T91" s="160">
        <f t="shared" si="237"/>
        <v>19.845000000000002</v>
      </c>
      <c r="U91" s="160">
        <f t="shared" si="237"/>
        <v>20.837250000000004</v>
      </c>
      <c r="V91" s="160">
        <f t="shared" si="237"/>
        <v>21.879112500000005</v>
      </c>
      <c r="W91" s="160">
        <f t="shared" si="237"/>
        <v>22.973068125000005</v>
      </c>
      <c r="X91" s="160">
        <f t="shared" si="237"/>
        <v>24.121721531250007</v>
      </c>
      <c r="Y91" s="160">
        <f t="shared" si="237"/>
        <v>25.32780760781251</v>
      </c>
      <c r="Z91" s="160">
        <f t="shared" si="237"/>
        <v>26.594197988203135</v>
      </c>
      <c r="AA91" s="160">
        <f t="shared" si="237"/>
        <v>27.923907887613293</v>
      </c>
      <c r="AB91" s="160">
        <f t="shared" si="237"/>
        <v>29.320103281993958</v>
      </c>
      <c r="AC91" s="138">
        <f t="shared" ref="AC91" si="238">((AB91/G91)^(1/($AB$3-$H$1) ))-1</f>
        <v>0.13834793914107402</v>
      </c>
      <c r="AD91" s="31">
        <f t="shared" si="16"/>
        <v>0.08</v>
      </c>
      <c r="AE91" s="146">
        <f t="shared" si="212"/>
        <v>226.18365388966768</v>
      </c>
    </row>
    <row r="92" spans="2:31">
      <c r="B92" s="20"/>
      <c r="C92" s="127"/>
      <c r="D92" s="127"/>
      <c r="E92" s="127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28"/>
      <c r="R92" s="128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39"/>
      <c r="AD92" s="137"/>
      <c r="AE92" s="155"/>
    </row>
    <row r="93" spans="2:31">
      <c r="B93" s="20" t="s">
        <v>317</v>
      </c>
      <c r="C93" s="127">
        <f t="shared" ref="C93:P93" si="239">C24+C25</f>
        <v>0</v>
      </c>
      <c r="D93" s="127">
        <f t="shared" si="239"/>
        <v>0</v>
      </c>
      <c r="E93" s="127">
        <f t="shared" si="239"/>
        <v>0</v>
      </c>
      <c r="F93" s="144">
        <f t="shared" si="239"/>
        <v>0</v>
      </c>
      <c r="G93" s="144">
        <f t="shared" si="239"/>
        <v>0</v>
      </c>
      <c r="H93" s="144">
        <f t="shared" si="239"/>
        <v>0</v>
      </c>
      <c r="I93" s="144">
        <f t="shared" si="239"/>
        <v>0</v>
      </c>
      <c r="J93" s="144">
        <f t="shared" si="239"/>
        <v>0</v>
      </c>
      <c r="K93" s="144">
        <f t="shared" si="239"/>
        <v>0</v>
      </c>
      <c r="L93" s="144">
        <f t="shared" si="239"/>
        <v>0</v>
      </c>
      <c r="M93" s="144">
        <f t="shared" si="239"/>
        <v>0</v>
      </c>
      <c r="N93" s="144">
        <f t="shared" si="239"/>
        <v>0</v>
      </c>
      <c r="O93" s="144">
        <f t="shared" si="239"/>
        <v>0</v>
      </c>
      <c r="P93" s="144">
        <f t="shared" si="239"/>
        <v>0</v>
      </c>
      <c r="Q93" s="118" t="e">
        <f>((P93/G93)^(1/($H$2-$H$1) ))-1</f>
        <v>#DIV/0!</v>
      </c>
      <c r="R93" s="128"/>
      <c r="S93" s="144">
        <f t="shared" ref="S93:AB93" si="240">S24+S25</f>
        <v>0</v>
      </c>
      <c r="T93" s="144">
        <f t="shared" si="240"/>
        <v>0</v>
      </c>
      <c r="U93" s="144">
        <f t="shared" si="240"/>
        <v>0</v>
      </c>
      <c r="V93" s="144">
        <f t="shared" si="240"/>
        <v>0</v>
      </c>
      <c r="W93" s="144">
        <f t="shared" si="240"/>
        <v>0</v>
      </c>
      <c r="X93" s="144">
        <f t="shared" si="240"/>
        <v>0</v>
      </c>
      <c r="Y93" s="144">
        <f t="shared" si="240"/>
        <v>0</v>
      </c>
      <c r="Z93" s="144">
        <f t="shared" si="240"/>
        <v>0</v>
      </c>
      <c r="AA93" s="144">
        <f t="shared" si="240"/>
        <v>0</v>
      </c>
      <c r="AB93" s="144">
        <f t="shared" si="240"/>
        <v>0</v>
      </c>
      <c r="AC93" s="138" t="e">
        <f t="shared" ref="AC93:AC98" si="241">((AB93/G93)^(1/($AB$3-$H$1) ))-1</f>
        <v>#DIV/0!</v>
      </c>
      <c r="AD93" s="31">
        <f t="shared" si="16"/>
        <v>0.08</v>
      </c>
      <c r="AE93" s="146">
        <f t="shared" si="212"/>
        <v>0</v>
      </c>
    </row>
    <row r="94" spans="2:31">
      <c r="B94" s="20"/>
      <c r="C94" s="127"/>
      <c r="D94" s="127"/>
      <c r="E94" s="127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28"/>
      <c r="R94" s="128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39"/>
      <c r="AD94" s="137"/>
      <c r="AE94" s="146"/>
    </row>
    <row r="95" spans="2:31">
      <c r="B95" s="20" t="s">
        <v>318</v>
      </c>
      <c r="C95" s="127">
        <f t="shared" ref="C95:P95" si="242">C93/C68</f>
        <v>0</v>
      </c>
      <c r="D95" s="127">
        <f t="shared" si="242"/>
        <v>0</v>
      </c>
      <c r="E95" s="127">
        <f t="shared" si="242"/>
        <v>0</v>
      </c>
      <c r="F95" s="144">
        <f t="shared" si="242"/>
        <v>0</v>
      </c>
      <c r="G95" s="144">
        <f t="shared" si="242"/>
        <v>0</v>
      </c>
      <c r="H95" s="144">
        <f t="shared" si="242"/>
        <v>0</v>
      </c>
      <c r="I95" s="144">
        <f t="shared" si="242"/>
        <v>0</v>
      </c>
      <c r="J95" s="144">
        <f t="shared" si="242"/>
        <v>0</v>
      </c>
      <c r="K95" s="144">
        <f t="shared" si="242"/>
        <v>0</v>
      </c>
      <c r="L95" s="144">
        <f t="shared" si="242"/>
        <v>0</v>
      </c>
      <c r="M95" s="144">
        <f t="shared" si="242"/>
        <v>0</v>
      </c>
      <c r="N95" s="144">
        <f t="shared" si="242"/>
        <v>0</v>
      </c>
      <c r="O95" s="144">
        <f t="shared" si="242"/>
        <v>0</v>
      </c>
      <c r="P95" s="144">
        <f t="shared" si="242"/>
        <v>0</v>
      </c>
      <c r="Q95" s="118" t="e">
        <f>((P95/G95)^(1/($H$2-$H$1) ))-1</f>
        <v>#DIV/0!</v>
      </c>
      <c r="R95" s="128"/>
      <c r="S95" s="146">
        <f t="shared" ref="S95:AB95" si="243">S93/S68</f>
        <v>0</v>
      </c>
      <c r="T95" s="146">
        <f t="shared" si="243"/>
        <v>0</v>
      </c>
      <c r="U95" s="146">
        <f t="shared" si="243"/>
        <v>0</v>
      </c>
      <c r="V95" s="146">
        <f t="shared" si="243"/>
        <v>0</v>
      </c>
      <c r="W95" s="146">
        <f t="shared" si="243"/>
        <v>0</v>
      </c>
      <c r="X95" s="146">
        <f t="shared" si="243"/>
        <v>0</v>
      </c>
      <c r="Y95" s="146">
        <f t="shared" si="243"/>
        <v>0</v>
      </c>
      <c r="Z95" s="146">
        <f t="shared" si="243"/>
        <v>0</v>
      </c>
      <c r="AA95" s="146">
        <f t="shared" si="243"/>
        <v>0</v>
      </c>
      <c r="AB95" s="146">
        <f t="shared" si="243"/>
        <v>0</v>
      </c>
      <c r="AC95" s="138" t="e">
        <f t="shared" si="241"/>
        <v>#DIV/0!</v>
      </c>
      <c r="AD95" s="31">
        <f t="shared" si="16"/>
        <v>0.08</v>
      </c>
      <c r="AE95" s="146">
        <f t="shared" si="212"/>
        <v>0</v>
      </c>
    </row>
    <row r="96" spans="2:31">
      <c r="B96" s="20" t="s">
        <v>288</v>
      </c>
      <c r="C96" s="127">
        <f t="shared" ref="C96:P96" si="244">C24/C68</f>
        <v>0</v>
      </c>
      <c r="D96" s="127">
        <f t="shared" si="244"/>
        <v>0</v>
      </c>
      <c r="E96" s="127">
        <f t="shared" si="244"/>
        <v>0</v>
      </c>
      <c r="F96" s="144">
        <f t="shared" si="244"/>
        <v>0</v>
      </c>
      <c r="G96" s="144">
        <f t="shared" si="244"/>
        <v>0</v>
      </c>
      <c r="H96" s="144">
        <f t="shared" si="244"/>
        <v>0</v>
      </c>
      <c r="I96" s="144">
        <f t="shared" si="244"/>
        <v>0</v>
      </c>
      <c r="J96" s="144">
        <f t="shared" si="244"/>
        <v>0</v>
      </c>
      <c r="K96" s="144">
        <f t="shared" si="244"/>
        <v>0</v>
      </c>
      <c r="L96" s="144">
        <f t="shared" si="244"/>
        <v>0</v>
      </c>
      <c r="M96" s="144">
        <f t="shared" si="244"/>
        <v>0</v>
      </c>
      <c r="N96" s="144">
        <f t="shared" si="244"/>
        <v>0</v>
      </c>
      <c r="O96" s="144">
        <f t="shared" si="244"/>
        <v>0</v>
      </c>
      <c r="P96" s="144">
        <f t="shared" si="244"/>
        <v>0</v>
      </c>
      <c r="Q96" s="118" t="e">
        <f>((P96/G96)^(1/($H$2-$H$1) ))-1</f>
        <v>#DIV/0!</v>
      </c>
      <c r="R96" s="128"/>
      <c r="S96" s="146">
        <f t="shared" ref="S96:AB96" si="245">S24/S68</f>
        <v>0</v>
      </c>
      <c r="T96" s="146">
        <f t="shared" si="245"/>
        <v>0</v>
      </c>
      <c r="U96" s="146">
        <f t="shared" si="245"/>
        <v>0</v>
      </c>
      <c r="V96" s="146">
        <f t="shared" si="245"/>
        <v>0</v>
      </c>
      <c r="W96" s="146">
        <f t="shared" si="245"/>
        <v>0</v>
      </c>
      <c r="X96" s="146">
        <f t="shared" si="245"/>
        <v>0</v>
      </c>
      <c r="Y96" s="146">
        <f t="shared" si="245"/>
        <v>0</v>
      </c>
      <c r="Z96" s="146">
        <f t="shared" si="245"/>
        <v>0</v>
      </c>
      <c r="AA96" s="146">
        <f t="shared" si="245"/>
        <v>0</v>
      </c>
      <c r="AB96" s="146">
        <f t="shared" si="245"/>
        <v>0</v>
      </c>
      <c r="AC96" s="138" t="e">
        <f t="shared" si="241"/>
        <v>#DIV/0!</v>
      </c>
      <c r="AD96" s="31">
        <f t="shared" si="16"/>
        <v>0.08</v>
      </c>
      <c r="AE96" s="146">
        <f t="shared" si="212"/>
        <v>0</v>
      </c>
    </row>
    <row r="97" spans="2:31">
      <c r="B97" s="20" t="s">
        <v>289</v>
      </c>
      <c r="C97" s="127">
        <f t="shared" ref="C97:P97" si="246">C25/C68</f>
        <v>0</v>
      </c>
      <c r="D97" s="127">
        <f t="shared" si="246"/>
        <v>0</v>
      </c>
      <c r="E97" s="127">
        <f t="shared" si="246"/>
        <v>0</v>
      </c>
      <c r="F97" s="144">
        <f t="shared" si="246"/>
        <v>0</v>
      </c>
      <c r="G97" s="144">
        <f t="shared" si="246"/>
        <v>0</v>
      </c>
      <c r="H97" s="144">
        <f t="shared" si="246"/>
        <v>0</v>
      </c>
      <c r="I97" s="144">
        <f t="shared" si="246"/>
        <v>0</v>
      </c>
      <c r="J97" s="144">
        <f t="shared" si="246"/>
        <v>0</v>
      </c>
      <c r="K97" s="144">
        <f t="shared" si="246"/>
        <v>0</v>
      </c>
      <c r="L97" s="144">
        <f t="shared" si="246"/>
        <v>0</v>
      </c>
      <c r="M97" s="144">
        <f t="shared" si="246"/>
        <v>0</v>
      </c>
      <c r="N97" s="144">
        <f t="shared" si="246"/>
        <v>0</v>
      </c>
      <c r="O97" s="144">
        <f t="shared" si="246"/>
        <v>0</v>
      </c>
      <c r="P97" s="144">
        <f t="shared" si="246"/>
        <v>0</v>
      </c>
      <c r="Q97" s="118" t="e">
        <f>((P97/G97)^(1/($H$2-$H$1) ))-1</f>
        <v>#DIV/0!</v>
      </c>
      <c r="R97" s="128"/>
      <c r="S97" s="146">
        <f t="shared" ref="S97:AB97" si="247">S25/S68</f>
        <v>0</v>
      </c>
      <c r="T97" s="146">
        <f t="shared" si="247"/>
        <v>0</v>
      </c>
      <c r="U97" s="146">
        <f t="shared" si="247"/>
        <v>0</v>
      </c>
      <c r="V97" s="146">
        <f t="shared" si="247"/>
        <v>0</v>
      </c>
      <c r="W97" s="146">
        <f t="shared" si="247"/>
        <v>0</v>
      </c>
      <c r="X97" s="146">
        <f t="shared" si="247"/>
        <v>0</v>
      </c>
      <c r="Y97" s="146">
        <f t="shared" si="247"/>
        <v>0</v>
      </c>
      <c r="Z97" s="146">
        <f t="shared" si="247"/>
        <v>0</v>
      </c>
      <c r="AA97" s="146">
        <f t="shared" si="247"/>
        <v>0</v>
      </c>
      <c r="AB97" s="146">
        <f t="shared" si="247"/>
        <v>0</v>
      </c>
      <c r="AC97" s="138" t="e">
        <f t="shared" si="241"/>
        <v>#DIV/0!</v>
      </c>
      <c r="AD97" s="31">
        <f t="shared" si="16"/>
        <v>0.08</v>
      </c>
      <c r="AE97" s="146">
        <f t="shared" si="212"/>
        <v>0</v>
      </c>
    </row>
    <row r="98" spans="2:31">
      <c r="B98" s="20" t="s">
        <v>290</v>
      </c>
      <c r="C98" s="127">
        <f t="shared" ref="C98:P98" si="248">C26/C68</f>
        <v>0</v>
      </c>
      <c r="D98" s="127">
        <f t="shared" si="248"/>
        <v>0</v>
      </c>
      <c r="E98" s="127">
        <f t="shared" si="248"/>
        <v>0</v>
      </c>
      <c r="F98" s="144">
        <f t="shared" si="248"/>
        <v>0</v>
      </c>
      <c r="G98" s="144">
        <f t="shared" si="248"/>
        <v>0</v>
      </c>
      <c r="H98" s="144">
        <f t="shared" si="248"/>
        <v>0</v>
      </c>
      <c r="I98" s="144">
        <f t="shared" si="248"/>
        <v>0</v>
      </c>
      <c r="J98" s="144">
        <f t="shared" si="248"/>
        <v>0</v>
      </c>
      <c r="K98" s="144">
        <f t="shared" si="248"/>
        <v>0</v>
      </c>
      <c r="L98" s="144">
        <f t="shared" si="248"/>
        <v>0</v>
      </c>
      <c r="M98" s="144">
        <f t="shared" si="248"/>
        <v>0</v>
      </c>
      <c r="N98" s="144">
        <f t="shared" si="248"/>
        <v>0</v>
      </c>
      <c r="O98" s="144">
        <f t="shared" si="248"/>
        <v>0</v>
      </c>
      <c r="P98" s="144">
        <f t="shared" si="248"/>
        <v>0</v>
      </c>
      <c r="Q98" s="118" t="e">
        <f>((P98/G98)^(1/($H$2-$H$1) ))-1</f>
        <v>#DIV/0!</v>
      </c>
      <c r="R98" s="128"/>
      <c r="S98" s="146">
        <f t="shared" ref="S98:AB98" si="249">S26/S68</f>
        <v>0</v>
      </c>
      <c r="T98" s="146">
        <f t="shared" si="249"/>
        <v>0</v>
      </c>
      <c r="U98" s="146">
        <f t="shared" si="249"/>
        <v>0</v>
      </c>
      <c r="V98" s="146">
        <f t="shared" si="249"/>
        <v>0</v>
      </c>
      <c r="W98" s="146">
        <f t="shared" si="249"/>
        <v>0</v>
      </c>
      <c r="X98" s="146">
        <f t="shared" si="249"/>
        <v>0</v>
      </c>
      <c r="Y98" s="146">
        <f t="shared" si="249"/>
        <v>0</v>
      </c>
      <c r="Z98" s="146">
        <f t="shared" si="249"/>
        <v>0</v>
      </c>
      <c r="AA98" s="146">
        <f t="shared" si="249"/>
        <v>0</v>
      </c>
      <c r="AB98" s="146">
        <f t="shared" si="249"/>
        <v>0</v>
      </c>
      <c r="AC98" s="138" t="e">
        <f t="shared" si="241"/>
        <v>#DIV/0!</v>
      </c>
      <c r="AD98" s="31">
        <f t="shared" si="16"/>
        <v>0.08</v>
      </c>
      <c r="AE98" s="146">
        <f t="shared" si="212"/>
        <v>0</v>
      </c>
    </row>
    <row r="99" spans="2:31">
      <c r="B99" s="20" t="s">
        <v>297</v>
      </c>
      <c r="C99" s="127">
        <f t="shared" ref="C99:P99" si="250">C27/C68</f>
        <v>0</v>
      </c>
      <c r="D99" s="127">
        <f t="shared" si="250"/>
        <v>0</v>
      </c>
      <c r="E99" s="127">
        <f t="shared" si="250"/>
        <v>0</v>
      </c>
      <c r="F99" s="144">
        <f t="shared" si="250"/>
        <v>0</v>
      </c>
      <c r="G99" s="144">
        <f t="shared" si="250"/>
        <v>0</v>
      </c>
      <c r="H99" s="144">
        <f t="shared" si="250"/>
        <v>0</v>
      </c>
      <c r="I99" s="144">
        <f t="shared" si="250"/>
        <v>0</v>
      </c>
      <c r="J99" s="144">
        <f t="shared" si="250"/>
        <v>0</v>
      </c>
      <c r="K99" s="144">
        <f t="shared" si="250"/>
        <v>0</v>
      </c>
      <c r="L99" s="144">
        <f t="shared" si="250"/>
        <v>0</v>
      </c>
      <c r="M99" s="144">
        <f t="shared" si="250"/>
        <v>0</v>
      </c>
      <c r="N99" s="144">
        <f t="shared" si="250"/>
        <v>0</v>
      </c>
      <c r="O99" s="144">
        <f t="shared" si="250"/>
        <v>0</v>
      </c>
      <c r="P99" s="144">
        <f t="shared" si="250"/>
        <v>0</v>
      </c>
      <c r="Q99" s="118" t="e">
        <f>((P99/G99)^(1/($H$2-$H$1) ))-1</f>
        <v>#DIV/0!</v>
      </c>
      <c r="R99" s="128"/>
      <c r="S99" s="146">
        <f t="shared" ref="S99:AB99" si="251">S27/S68</f>
        <v>0</v>
      </c>
      <c r="T99" s="146">
        <f t="shared" si="251"/>
        <v>0</v>
      </c>
      <c r="U99" s="146">
        <f t="shared" si="251"/>
        <v>0</v>
      </c>
      <c r="V99" s="146">
        <f t="shared" si="251"/>
        <v>0</v>
      </c>
      <c r="W99" s="146">
        <f t="shared" si="251"/>
        <v>0</v>
      </c>
      <c r="X99" s="146">
        <f t="shared" si="251"/>
        <v>0</v>
      </c>
      <c r="Y99" s="146">
        <f t="shared" si="251"/>
        <v>0</v>
      </c>
      <c r="Z99" s="146">
        <f t="shared" si="251"/>
        <v>0</v>
      </c>
      <c r="AA99" s="146">
        <f t="shared" si="251"/>
        <v>0</v>
      </c>
      <c r="AB99" s="146">
        <f t="shared" si="251"/>
        <v>0</v>
      </c>
      <c r="AC99" s="138" t="e">
        <f t="shared" ref="AC99" si="252">((AB99/G99)^(1/($AB$3-$H$1) ))-1</f>
        <v>#DIV/0!</v>
      </c>
      <c r="AD99" s="31">
        <f t="shared" si="16"/>
        <v>0.08</v>
      </c>
      <c r="AE99" s="146">
        <f t="shared" si="212"/>
        <v>0</v>
      </c>
    </row>
    <row r="100" spans="2:31">
      <c r="B100" s="20"/>
      <c r="C100" s="127"/>
      <c r="D100" s="127"/>
      <c r="E100" s="127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28"/>
      <c r="R100" s="128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39"/>
      <c r="AD100" s="137"/>
      <c r="AE100" s="155"/>
    </row>
    <row r="101" spans="2:31">
      <c r="B101" s="20" t="s">
        <v>311</v>
      </c>
      <c r="C101" s="144">
        <f t="shared" ref="C101:P101" si="253">C64/C68</f>
        <v>0</v>
      </c>
      <c r="D101" s="144">
        <f t="shared" si="253"/>
        <v>0</v>
      </c>
      <c r="E101" s="144">
        <f t="shared" si="253"/>
        <v>0</v>
      </c>
      <c r="F101" s="144">
        <f t="shared" si="253"/>
        <v>0</v>
      </c>
      <c r="G101" s="144">
        <f t="shared" si="253"/>
        <v>0</v>
      </c>
      <c r="H101" s="144">
        <f t="shared" si="253"/>
        <v>0</v>
      </c>
      <c r="I101" s="144">
        <f t="shared" si="253"/>
        <v>0</v>
      </c>
      <c r="J101" s="144">
        <f t="shared" si="253"/>
        <v>0</v>
      </c>
      <c r="K101" s="144">
        <f t="shared" si="253"/>
        <v>0</v>
      </c>
      <c r="L101" s="144">
        <f t="shared" si="253"/>
        <v>0</v>
      </c>
      <c r="M101" s="144">
        <f t="shared" si="253"/>
        <v>0</v>
      </c>
      <c r="N101" s="144">
        <f t="shared" si="253"/>
        <v>0</v>
      </c>
      <c r="O101" s="144">
        <f t="shared" si="253"/>
        <v>0</v>
      </c>
      <c r="P101" s="144">
        <f t="shared" si="253"/>
        <v>0</v>
      </c>
      <c r="Q101" s="118" t="e">
        <f>((P101/G101)^(1/($H$2-$H$1) ))-1</f>
        <v>#DIV/0!</v>
      </c>
      <c r="R101" s="128"/>
      <c r="S101" s="144">
        <f t="shared" ref="S101:AB101" si="254">S64/S68</f>
        <v>0</v>
      </c>
      <c r="T101" s="144">
        <f t="shared" si="254"/>
        <v>0</v>
      </c>
      <c r="U101" s="144">
        <f t="shared" si="254"/>
        <v>0</v>
      </c>
      <c r="V101" s="144">
        <f t="shared" si="254"/>
        <v>0</v>
      </c>
      <c r="W101" s="144">
        <f t="shared" si="254"/>
        <v>0</v>
      </c>
      <c r="X101" s="144">
        <f t="shared" si="254"/>
        <v>0</v>
      </c>
      <c r="Y101" s="144">
        <f t="shared" si="254"/>
        <v>0</v>
      </c>
      <c r="Z101" s="144">
        <f t="shared" si="254"/>
        <v>0</v>
      </c>
      <c r="AA101" s="144">
        <f t="shared" si="254"/>
        <v>0</v>
      </c>
      <c r="AB101" s="144">
        <f t="shared" si="254"/>
        <v>0</v>
      </c>
      <c r="AC101" s="138" t="e">
        <f t="shared" ref="AC101:AC103" si="255">((AB101/G101)^(1/($AB$3-$H$1) ))-1</f>
        <v>#DIV/0!</v>
      </c>
      <c r="AD101" s="31">
        <f t="shared" si="16"/>
        <v>0.08</v>
      </c>
      <c r="AE101" s="146">
        <f t="shared" si="212"/>
        <v>0</v>
      </c>
    </row>
    <row r="102" spans="2:31">
      <c r="B102" s="20" t="s">
        <v>312</v>
      </c>
      <c r="C102" s="144">
        <f t="shared" ref="C102:P102" si="256">C66/C68</f>
        <v>0</v>
      </c>
      <c r="D102" s="144">
        <f t="shared" si="256"/>
        <v>0</v>
      </c>
      <c r="E102" s="144">
        <f t="shared" si="256"/>
        <v>0</v>
      </c>
      <c r="F102" s="144">
        <f t="shared" si="256"/>
        <v>0</v>
      </c>
      <c r="G102" s="144">
        <f t="shared" si="256"/>
        <v>11.706263498920087</v>
      </c>
      <c r="H102" s="144">
        <f t="shared" si="256"/>
        <v>11.837778589696748</v>
      </c>
      <c r="I102" s="144">
        <f t="shared" si="256"/>
        <v>17.408470926058865</v>
      </c>
      <c r="J102" s="144">
        <f t="shared" si="256"/>
        <v>23.401988636363637</v>
      </c>
      <c r="K102" s="144">
        <f t="shared" si="256"/>
        <v>29.9412915851272</v>
      </c>
      <c r="L102" s="144">
        <f t="shared" si="256"/>
        <v>50.347318699638784</v>
      </c>
      <c r="M102" s="144">
        <f t="shared" si="256"/>
        <v>61.170081461367566</v>
      </c>
      <c r="N102" s="144">
        <f t="shared" si="256"/>
        <v>81.461632155907438</v>
      </c>
      <c r="O102" s="144">
        <f t="shared" si="256"/>
        <v>102.08131655372701</v>
      </c>
      <c r="P102" s="144">
        <f t="shared" si="256"/>
        <v>111.84013678136354</v>
      </c>
      <c r="Q102" s="118">
        <f>((P102/G102)^(1/($H$2-$H$1) ))-1</f>
        <v>0.28501684732024413</v>
      </c>
      <c r="R102" s="128"/>
      <c r="S102" s="144">
        <f t="shared" ref="S102:AB102" si="257">S66/S68</f>
        <v>108.92256799576278</v>
      </c>
      <c r="T102" s="144">
        <f t="shared" si="257"/>
        <v>106.08110970022116</v>
      </c>
      <c r="U102" s="144">
        <f t="shared" si="257"/>
        <v>103.31377640369368</v>
      </c>
      <c r="V102" s="144">
        <f t="shared" si="257"/>
        <v>100.61863441055385</v>
      </c>
      <c r="W102" s="144">
        <f t="shared" si="257"/>
        <v>97.993800469408995</v>
      </c>
      <c r="X102" s="144">
        <f t="shared" si="257"/>
        <v>95.437440457163561</v>
      </c>
      <c r="Y102" s="144">
        <f t="shared" si="257"/>
        <v>92.947768097411483</v>
      </c>
      <c r="Z102" s="144">
        <f t="shared" si="257"/>
        <v>90.523043712261625</v>
      </c>
      <c r="AA102" s="144">
        <f t="shared" si="257"/>
        <v>88.161573006724382</v>
      </c>
      <c r="AB102" s="144">
        <f t="shared" si="257"/>
        <v>85.861705884809851</v>
      </c>
      <c r="AC102" s="138">
        <f t="shared" si="255"/>
        <v>0.11057113084161396</v>
      </c>
      <c r="AD102" s="31">
        <f t="shared" si="16"/>
        <v>0.08</v>
      </c>
      <c r="AE102" s="146">
        <f t="shared" si="212"/>
        <v>662.36173111139021</v>
      </c>
    </row>
    <row r="103" spans="2:31">
      <c r="B103" s="20" t="s">
        <v>313</v>
      </c>
      <c r="C103" s="144">
        <f t="shared" ref="C103:P103" si="258">C6/C68</f>
        <v>0</v>
      </c>
      <c r="D103" s="144">
        <f t="shared" si="258"/>
        <v>0</v>
      </c>
      <c r="E103" s="144">
        <f t="shared" si="258"/>
        <v>0</v>
      </c>
      <c r="F103" s="144">
        <f t="shared" si="258"/>
        <v>0</v>
      </c>
      <c r="G103" s="144">
        <f t="shared" si="258"/>
        <v>39.092872570194388</v>
      </c>
      <c r="H103" s="144">
        <f t="shared" si="258"/>
        <v>77.968578735842158</v>
      </c>
      <c r="I103" s="144">
        <f t="shared" si="258"/>
        <v>93.072505384063177</v>
      </c>
      <c r="J103" s="144">
        <f t="shared" si="258"/>
        <v>110.29829545454545</v>
      </c>
      <c r="K103" s="144">
        <f t="shared" si="258"/>
        <v>234.66592116298571</v>
      </c>
      <c r="L103" s="144">
        <f t="shared" si="258"/>
        <v>273.27035287579884</v>
      </c>
      <c r="M103" s="144">
        <f t="shared" si="258"/>
        <v>384.67045174031108</v>
      </c>
      <c r="N103" s="144">
        <f t="shared" si="258"/>
        <v>450.28014616321565</v>
      </c>
      <c r="O103" s="144">
        <f t="shared" si="258"/>
        <v>538.91577928363984</v>
      </c>
      <c r="P103" s="144">
        <f t="shared" si="258"/>
        <v>698.65355845266083</v>
      </c>
      <c r="Q103" s="118">
        <f>((P103/G103)^(1/($H$2-$H$1) ))-1</f>
        <v>0.37761976708703782</v>
      </c>
      <c r="R103" s="128"/>
      <c r="S103" s="144">
        <f t="shared" ref="S103:AB103" si="259">S6/S68</f>
        <v>680.42781344954801</v>
      </c>
      <c r="T103" s="144">
        <f t="shared" si="259"/>
        <v>662.67752266390789</v>
      </c>
      <c r="U103" s="144">
        <f t="shared" si="259"/>
        <v>645.3902829422409</v>
      </c>
      <c r="V103" s="144">
        <f t="shared" si="259"/>
        <v>628.5540146915738</v>
      </c>
      <c r="W103" s="144">
        <f t="shared" si="259"/>
        <v>612.15695343875018</v>
      </c>
      <c r="X103" s="144">
        <f t="shared" si="259"/>
        <v>596.18764160991327</v>
      </c>
      <c r="Y103" s="144">
        <f t="shared" si="259"/>
        <v>580.63492052443746</v>
      </c>
      <c r="Z103" s="144">
        <f t="shared" si="259"/>
        <v>565.48792259771301</v>
      </c>
      <c r="AA103" s="144">
        <f t="shared" si="259"/>
        <v>550.73606374733799</v>
      </c>
      <c r="AB103" s="144">
        <f t="shared" si="259"/>
        <v>536.36903599740765</v>
      </c>
      <c r="AC103" s="138">
        <f t="shared" si="255"/>
        <v>0.14778719266777718</v>
      </c>
      <c r="AD103" s="31">
        <f t="shared" ref="AD103" si="260">$L$1</f>
        <v>0.08</v>
      </c>
      <c r="AE103" s="146">
        <f t="shared" si="212"/>
        <v>4137.7039919800018</v>
      </c>
    </row>
    <row r="104" spans="2:31">
      <c r="B104" s="20"/>
      <c r="C104" s="127"/>
      <c r="D104" s="127"/>
      <c r="E104" s="127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28"/>
      <c r="R104" s="128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39"/>
      <c r="AD104" s="20"/>
      <c r="AE104" s="155"/>
    </row>
    <row r="105" spans="2:31">
      <c r="B105" s="20"/>
      <c r="C105" s="127"/>
      <c r="D105" s="127"/>
      <c r="E105" s="127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28"/>
      <c r="R105" s="128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39"/>
      <c r="AD105" s="20"/>
      <c r="AE105" s="155"/>
    </row>
    <row r="106" spans="2:31">
      <c r="B106" s="108" t="s">
        <v>310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</row>
    <row r="107" spans="2:31">
      <c r="B107" s="20" t="s">
        <v>385</v>
      </c>
      <c r="C107" s="153" t="e">
        <f t="shared" ref="C107:P107" si="261">C64/C44</f>
        <v>#DIV/0!</v>
      </c>
      <c r="D107" s="153" t="e">
        <f t="shared" si="261"/>
        <v>#DIV/0!</v>
      </c>
      <c r="E107" s="153" t="e">
        <f t="shared" si="261"/>
        <v>#DIV/0!</v>
      </c>
      <c r="F107" s="153" t="e">
        <f t="shared" si="261"/>
        <v>#DIV/0!</v>
      </c>
      <c r="G107" s="153">
        <f t="shared" si="261"/>
        <v>0</v>
      </c>
      <c r="H107" s="153">
        <f t="shared" si="261"/>
        <v>0</v>
      </c>
      <c r="I107" s="153">
        <f t="shared" si="261"/>
        <v>0</v>
      </c>
      <c r="J107" s="153">
        <f t="shared" si="261"/>
        <v>0</v>
      </c>
      <c r="K107" s="153">
        <f t="shared" si="261"/>
        <v>0</v>
      </c>
      <c r="L107" s="153">
        <f t="shared" si="261"/>
        <v>0</v>
      </c>
      <c r="M107" s="153">
        <f t="shared" si="261"/>
        <v>0</v>
      </c>
      <c r="N107" s="153">
        <f t="shared" si="261"/>
        <v>0</v>
      </c>
      <c r="O107" s="153">
        <f t="shared" si="261"/>
        <v>0</v>
      </c>
      <c r="P107" s="153">
        <f t="shared" si="261"/>
        <v>0</v>
      </c>
      <c r="Q107" s="118" t="e">
        <f t="shared" ref="Q107:Q137" si="262">((P107/G107)^(1/($H$2-$H$1) ))-1</f>
        <v>#DIV/0!</v>
      </c>
      <c r="R107" s="153"/>
      <c r="S107" s="153">
        <f t="shared" ref="S107:AB107" si="263">S64/S44</f>
        <v>0</v>
      </c>
      <c r="T107" s="153">
        <f t="shared" si="263"/>
        <v>0</v>
      </c>
      <c r="U107" s="153">
        <f t="shared" si="263"/>
        <v>0</v>
      </c>
      <c r="V107" s="153">
        <f t="shared" si="263"/>
        <v>0</v>
      </c>
      <c r="W107" s="153">
        <f t="shared" si="263"/>
        <v>0</v>
      </c>
      <c r="X107" s="153">
        <f t="shared" si="263"/>
        <v>0</v>
      </c>
      <c r="Y107" s="153">
        <f t="shared" si="263"/>
        <v>0</v>
      </c>
      <c r="Z107" s="153">
        <f t="shared" si="263"/>
        <v>0</v>
      </c>
      <c r="AA107" s="153">
        <f t="shared" si="263"/>
        <v>0</v>
      </c>
      <c r="AB107" s="153">
        <f t="shared" si="263"/>
        <v>0</v>
      </c>
      <c r="AC107" s="138" t="e">
        <f t="shared" ref="AC107:AC131" si="264">((AB107/G107)^(1/($AB$3-$H$1) ))-1</f>
        <v>#DIV/0!</v>
      </c>
      <c r="AD107" s="146"/>
      <c r="AE107" s="146"/>
    </row>
    <row r="108" spans="2:31">
      <c r="B108" s="20" t="s">
        <v>267</v>
      </c>
      <c r="C108" s="153" t="e">
        <f t="shared" ref="C108:P108" si="265">C66/C44</f>
        <v>#DIV/0!</v>
      </c>
      <c r="D108" s="153" t="e">
        <f t="shared" si="265"/>
        <v>#DIV/0!</v>
      </c>
      <c r="E108" s="153" t="e">
        <f t="shared" si="265"/>
        <v>#DIV/0!</v>
      </c>
      <c r="F108" s="153" t="e">
        <f t="shared" si="265"/>
        <v>#DIV/0!</v>
      </c>
      <c r="G108" s="153">
        <f t="shared" si="265"/>
        <v>0.12789051439358187</v>
      </c>
      <c r="H108" s="153">
        <f t="shared" si="265"/>
        <v>0.1392350666093683</v>
      </c>
      <c r="I108" s="153">
        <f t="shared" si="265"/>
        <v>0.13464741810105496</v>
      </c>
      <c r="J108" s="153">
        <f t="shared" si="265"/>
        <v>0.12098402790526895</v>
      </c>
      <c r="K108" s="153">
        <f t="shared" si="265"/>
        <v>0.12231612608497031</v>
      </c>
      <c r="L108" s="153">
        <f t="shared" si="265"/>
        <v>0.13182975627500909</v>
      </c>
      <c r="M108" s="153">
        <f t="shared" si="265"/>
        <v>0.15881561238223418</v>
      </c>
      <c r="N108" s="153">
        <f t="shared" si="265"/>
        <v>0.16866740643599315</v>
      </c>
      <c r="O108" s="153">
        <f t="shared" si="265"/>
        <v>0.15348227931009387</v>
      </c>
      <c r="P108" s="153">
        <f t="shared" si="265"/>
        <v>0.15375800669918316</v>
      </c>
      <c r="Q108" s="118">
        <f t="shared" si="262"/>
        <v>2.0678162015021151E-2</v>
      </c>
      <c r="R108" s="153"/>
      <c r="S108" s="153">
        <f t="shared" ref="S108:AB108" si="266">S66/S44</f>
        <v>0.15375800669918319</v>
      </c>
      <c r="T108" s="153">
        <f t="shared" si="266"/>
        <v>0.15375800669918321</v>
      </c>
      <c r="U108" s="153">
        <f t="shared" si="266"/>
        <v>0.15375800669918319</v>
      </c>
      <c r="V108" s="153">
        <f t="shared" si="266"/>
        <v>0.15375800669918319</v>
      </c>
      <c r="W108" s="153">
        <f t="shared" si="266"/>
        <v>0.15375800669918321</v>
      </c>
      <c r="X108" s="153">
        <f t="shared" si="266"/>
        <v>0.15375800669918321</v>
      </c>
      <c r="Y108" s="153">
        <f t="shared" si="266"/>
        <v>0.15375800669918321</v>
      </c>
      <c r="Z108" s="153">
        <f t="shared" si="266"/>
        <v>0.15375800669918321</v>
      </c>
      <c r="AA108" s="153">
        <f t="shared" si="266"/>
        <v>0.15375800669918321</v>
      </c>
      <c r="AB108" s="153">
        <f t="shared" si="266"/>
        <v>0.15375800669918321</v>
      </c>
      <c r="AC108" s="138">
        <f t="shared" si="264"/>
        <v>9.7421721328274646E-3</v>
      </c>
      <c r="AD108" s="146"/>
      <c r="AE108" s="146"/>
    </row>
    <row r="109" spans="2:31">
      <c r="B109" s="20" t="s">
        <v>362</v>
      </c>
      <c r="C109" s="153" t="e">
        <f t="shared" ref="C109:P109" si="267">C66/C7</f>
        <v>#DIV/0!</v>
      </c>
      <c r="D109" s="153" t="e">
        <f t="shared" si="267"/>
        <v>#DIV/0!</v>
      </c>
      <c r="E109" s="153" t="e">
        <f t="shared" si="267"/>
        <v>#DIV/0!</v>
      </c>
      <c r="F109" s="153" t="e">
        <f t="shared" si="267"/>
        <v>#DIV/0!</v>
      </c>
      <c r="G109" s="153">
        <f t="shared" si="267"/>
        <v>0.23813708260105448</v>
      </c>
      <c r="H109" s="153">
        <f t="shared" si="267"/>
        <v>0.13382899628252787</v>
      </c>
      <c r="I109" s="153">
        <f t="shared" si="267"/>
        <v>0.1681109185441941</v>
      </c>
      <c r="J109" s="153">
        <f t="shared" si="267"/>
        <v>0.19399470120694731</v>
      </c>
      <c r="K109" s="153">
        <f t="shared" si="267"/>
        <v>0.1223440712816998</v>
      </c>
      <c r="L109" s="153">
        <f t="shared" si="267"/>
        <v>0.17773418342324668</v>
      </c>
      <c r="M109" s="153">
        <f t="shared" si="267"/>
        <v>0.15498154981549817</v>
      </c>
      <c r="N109" s="153">
        <f t="shared" si="267"/>
        <v>0.17698740340848948</v>
      </c>
      <c r="O109" s="153">
        <f t="shared" si="267"/>
        <v>0.18597063621533441</v>
      </c>
      <c r="P109" s="153">
        <f t="shared" si="267"/>
        <v>0.1578201339043368</v>
      </c>
      <c r="Q109" s="118">
        <f t="shared" si="262"/>
        <v>-4.4681087872979197E-2</v>
      </c>
      <c r="R109" s="20"/>
      <c r="S109" s="153">
        <f t="shared" ref="S109:AB109" si="268">S66/S7</f>
        <v>0.1578201339043368</v>
      </c>
      <c r="T109" s="153">
        <f t="shared" si="268"/>
        <v>0.1578201339043368</v>
      </c>
      <c r="U109" s="153">
        <f t="shared" si="268"/>
        <v>0.1578201339043368</v>
      </c>
      <c r="V109" s="153">
        <f t="shared" si="268"/>
        <v>0.1578201339043368</v>
      </c>
      <c r="W109" s="153">
        <f t="shared" si="268"/>
        <v>0.1578201339043368</v>
      </c>
      <c r="X109" s="153">
        <f t="shared" si="268"/>
        <v>0.15782013390433683</v>
      </c>
      <c r="Y109" s="153">
        <f t="shared" si="268"/>
        <v>0.15782013390433683</v>
      </c>
      <c r="Z109" s="153">
        <f t="shared" si="268"/>
        <v>0.1578201339043368</v>
      </c>
      <c r="AA109" s="153">
        <f t="shared" si="268"/>
        <v>0.1578201339043368</v>
      </c>
      <c r="AB109" s="153">
        <f t="shared" si="268"/>
        <v>0.1578201339043368</v>
      </c>
      <c r="AC109" s="138">
        <f t="shared" si="264"/>
        <v>-2.1419406537765751E-2</v>
      </c>
      <c r="AD109" s="146"/>
      <c r="AE109" s="146"/>
    </row>
    <row r="110" spans="2:31">
      <c r="B110" s="20" t="s">
        <v>363</v>
      </c>
      <c r="C110" s="153" t="e">
        <f t="shared" ref="C110:P110" si="269">(C66)/(C7+C10)</f>
        <v>#DIV/0!</v>
      </c>
      <c r="D110" s="153" t="e">
        <f t="shared" si="269"/>
        <v>#DIV/0!</v>
      </c>
      <c r="E110" s="153" t="e">
        <f t="shared" si="269"/>
        <v>#DIV/0!</v>
      </c>
      <c r="F110" s="153" t="e">
        <f t="shared" si="269"/>
        <v>#DIV/0!</v>
      </c>
      <c r="G110" s="153">
        <f t="shared" si="269"/>
        <v>1.1981077854900747E-2</v>
      </c>
      <c r="H110" s="153">
        <f t="shared" si="269"/>
        <v>9.0215514841009078E-3</v>
      </c>
      <c r="I110" s="153">
        <f t="shared" si="269"/>
        <v>1.0617570437181199E-2</v>
      </c>
      <c r="J110" s="153">
        <f t="shared" si="269"/>
        <v>9.7807857280674416E-3</v>
      </c>
      <c r="K110" s="153">
        <f t="shared" si="269"/>
        <v>1.0500308832612723E-2</v>
      </c>
      <c r="L110" s="153">
        <f t="shared" si="269"/>
        <v>1.3155410997691269E-2</v>
      </c>
      <c r="M110" s="153">
        <f t="shared" si="269"/>
        <v>1.4205701771986448E-2</v>
      </c>
      <c r="N110" s="153">
        <f t="shared" si="269"/>
        <v>1.4270595063330033E-2</v>
      </c>
      <c r="O110" s="153">
        <f t="shared" si="269"/>
        <v>1.5241743152417431E-2</v>
      </c>
      <c r="P110" s="153">
        <f t="shared" si="269"/>
        <v>1.5885881510084635E-2</v>
      </c>
      <c r="Q110" s="118">
        <f t="shared" si="262"/>
        <v>3.1841106713941691E-2</v>
      </c>
      <c r="R110" s="20"/>
      <c r="S110" s="153">
        <f t="shared" ref="S110:AB110" si="270">(S66)/(S7+S10)</f>
        <v>1.5885881510084635E-2</v>
      </c>
      <c r="T110" s="153">
        <f t="shared" si="270"/>
        <v>1.5885881510084635E-2</v>
      </c>
      <c r="U110" s="153">
        <f t="shared" si="270"/>
        <v>1.5885881510084639E-2</v>
      </c>
      <c r="V110" s="153">
        <f t="shared" si="270"/>
        <v>1.5885881510084635E-2</v>
      </c>
      <c r="W110" s="153">
        <f t="shared" si="270"/>
        <v>1.5885881510084639E-2</v>
      </c>
      <c r="X110" s="153">
        <f t="shared" si="270"/>
        <v>1.5885881510084642E-2</v>
      </c>
      <c r="Y110" s="153">
        <f t="shared" si="270"/>
        <v>1.5885881510084639E-2</v>
      </c>
      <c r="Z110" s="153">
        <f t="shared" si="270"/>
        <v>1.5885881510084642E-2</v>
      </c>
      <c r="AA110" s="153">
        <f t="shared" si="270"/>
        <v>1.5885881510084639E-2</v>
      </c>
      <c r="AB110" s="153">
        <f t="shared" si="270"/>
        <v>1.5885881510084639E-2</v>
      </c>
      <c r="AC110" s="138">
        <f t="shared" si="264"/>
        <v>1.495825562884745E-2</v>
      </c>
      <c r="AD110" s="146"/>
      <c r="AE110" s="146"/>
    </row>
    <row r="111" spans="2:31">
      <c r="B111" s="20" t="s">
        <v>320</v>
      </c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18" t="e">
        <f t="shared" si="262"/>
        <v>#DIV/0!</v>
      </c>
      <c r="R111" s="20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3"/>
      <c r="AD111" s="146"/>
      <c r="AE111" s="146"/>
    </row>
    <row r="112" spans="2:31">
      <c r="B112" s="20" t="s">
        <v>325</v>
      </c>
      <c r="C112" s="153"/>
      <c r="D112" s="153"/>
      <c r="E112" s="153"/>
      <c r="F112" s="153"/>
      <c r="G112" s="153">
        <f>G52/G44</f>
        <v>0.48183105238319962</v>
      </c>
      <c r="H112" s="153">
        <f t="shared" ref="H112:P112" si="271">H52/H44</f>
        <v>0.51224752900730552</v>
      </c>
      <c r="I112" s="153">
        <f t="shared" si="271"/>
        <v>0.50249861188228762</v>
      </c>
      <c r="J112" s="153">
        <f t="shared" si="271"/>
        <v>0.54947677620708646</v>
      </c>
      <c r="K112" s="153">
        <f t="shared" si="271"/>
        <v>0.50468250342622201</v>
      </c>
      <c r="L112" s="153">
        <f t="shared" si="271"/>
        <v>0.52004365223717719</v>
      </c>
      <c r="M112" s="153">
        <f t="shared" si="271"/>
        <v>0.42504646542331603</v>
      </c>
      <c r="N112" s="153">
        <f t="shared" si="271"/>
        <v>0.43316856652880059</v>
      </c>
      <c r="O112" s="153">
        <f t="shared" si="271"/>
        <v>0.50829633942216723</v>
      </c>
      <c r="P112" s="153">
        <f t="shared" si="271"/>
        <v>0.51457366163248519</v>
      </c>
      <c r="Q112" s="118">
        <f t="shared" si="262"/>
        <v>7.3317664614624967E-3</v>
      </c>
      <c r="R112" s="20"/>
      <c r="S112" s="153">
        <f t="shared" ref="S112:AB112" si="272">S52/S44</f>
        <v>0.51457366163248519</v>
      </c>
      <c r="T112" s="153">
        <f t="shared" si="272"/>
        <v>0.51457366163248519</v>
      </c>
      <c r="U112" s="153">
        <f t="shared" si="272"/>
        <v>0.51457366163248519</v>
      </c>
      <c r="V112" s="153">
        <f t="shared" si="272"/>
        <v>0.51457366163248508</v>
      </c>
      <c r="W112" s="153">
        <f t="shared" si="272"/>
        <v>0.51457366163248519</v>
      </c>
      <c r="X112" s="153">
        <f t="shared" si="272"/>
        <v>0.51457366163248519</v>
      </c>
      <c r="Y112" s="153">
        <f t="shared" si="272"/>
        <v>0.51457366163248519</v>
      </c>
      <c r="Z112" s="153">
        <f t="shared" si="272"/>
        <v>0.51457366163248519</v>
      </c>
      <c r="AA112" s="153">
        <f t="shared" si="272"/>
        <v>0.51457366163248519</v>
      </c>
      <c r="AB112" s="153">
        <f t="shared" si="272"/>
        <v>0.51457366163248519</v>
      </c>
      <c r="AC112" s="138">
        <f t="shared" si="264"/>
        <v>3.466266151209485E-3</v>
      </c>
      <c r="AD112" s="146"/>
      <c r="AE112" s="146"/>
    </row>
    <row r="113" spans="2:31">
      <c r="B113" s="20" t="s">
        <v>326</v>
      </c>
      <c r="C113" s="153"/>
      <c r="D113" s="153"/>
      <c r="E113" s="153"/>
      <c r="F113" s="153"/>
      <c r="G113" s="172">
        <f t="shared" ref="G113:P113" si="273">G52/G12</f>
        <v>7.5888211684257467E-2</v>
      </c>
      <c r="H113" s="172">
        <f t="shared" si="273"/>
        <v>6.0974985932784283E-2</v>
      </c>
      <c r="I113" s="172">
        <f t="shared" si="273"/>
        <v>7.1916719643992377E-2</v>
      </c>
      <c r="J113" s="172">
        <f t="shared" si="273"/>
        <v>8.853719863925455E-2</v>
      </c>
      <c r="K113" s="172">
        <f t="shared" si="273"/>
        <v>9.5300739718346308E-2</v>
      </c>
      <c r="L113" s="172">
        <f t="shared" si="273"/>
        <v>0.11662587697829989</v>
      </c>
      <c r="M113" s="172">
        <f t="shared" si="273"/>
        <v>9.3299382412109791E-2</v>
      </c>
      <c r="N113" s="172">
        <f t="shared" si="273"/>
        <v>9.2150866462793066E-2</v>
      </c>
      <c r="O113" s="172">
        <f t="shared" si="273"/>
        <v>0.13072855739085676</v>
      </c>
      <c r="P113" s="172">
        <f t="shared" si="273"/>
        <v>0.13081410548488537</v>
      </c>
      <c r="Q113" s="118">
        <f t="shared" si="262"/>
        <v>6.2369476162042581E-2</v>
      </c>
      <c r="R113" s="20"/>
      <c r="S113" s="153">
        <f t="shared" ref="S113:AB113" si="274">S52/S12</f>
        <v>0.13081410548488537</v>
      </c>
      <c r="T113" s="153">
        <f t="shared" si="274"/>
        <v>0.13081410548488537</v>
      </c>
      <c r="U113" s="153">
        <f t="shared" si="274"/>
        <v>0.13081410548488537</v>
      </c>
      <c r="V113" s="153">
        <f t="shared" si="274"/>
        <v>0.13081410548488537</v>
      </c>
      <c r="W113" s="153">
        <f t="shared" si="274"/>
        <v>0.13081410548488537</v>
      </c>
      <c r="X113" s="153">
        <f t="shared" si="274"/>
        <v>0.1308141054848854</v>
      </c>
      <c r="Y113" s="153">
        <f t="shared" si="274"/>
        <v>0.1308141054848854</v>
      </c>
      <c r="Z113" s="153">
        <f t="shared" si="274"/>
        <v>0.1308141054848854</v>
      </c>
      <c r="AA113" s="153">
        <f t="shared" si="274"/>
        <v>0.1308141054848854</v>
      </c>
      <c r="AB113" s="153">
        <f t="shared" si="274"/>
        <v>0.13081410548488542</v>
      </c>
      <c r="AC113" s="138">
        <f t="shared" si="264"/>
        <v>2.907334510655657E-2</v>
      </c>
      <c r="AD113" s="146"/>
      <c r="AE113" s="146"/>
    </row>
    <row r="114" spans="2:31">
      <c r="B114" s="20" t="s">
        <v>327</v>
      </c>
      <c r="C114" s="153"/>
      <c r="D114" s="153"/>
      <c r="E114" s="153"/>
      <c r="F114" s="164">
        <f>F12+F15-F10</f>
        <v>0</v>
      </c>
      <c r="G114" s="164">
        <f>G12+G15-G10</f>
        <v>-235</v>
      </c>
      <c r="H114" s="164">
        <f t="shared" ref="H114:P114" si="275">H12+H15-H10</f>
        <v>330</v>
      </c>
      <c r="I114" s="164">
        <f t="shared" si="275"/>
        <v>3901</v>
      </c>
      <c r="J114" s="164">
        <f t="shared" si="275"/>
        <v>-3288</v>
      </c>
      <c r="K114" s="164">
        <f t="shared" si="275"/>
        <v>-13009</v>
      </c>
      <c r="L114" s="164">
        <f t="shared" si="275"/>
        <v>-19982</v>
      </c>
      <c r="M114" s="164">
        <f t="shared" si="275"/>
        <v>-31489</v>
      </c>
      <c r="N114" s="164">
        <f t="shared" si="275"/>
        <v>-50452</v>
      </c>
      <c r="O114" s="164">
        <f t="shared" si="275"/>
        <v>-54283</v>
      </c>
      <c r="P114" s="164">
        <f t="shared" si="275"/>
        <v>-48999</v>
      </c>
      <c r="Q114" s="118">
        <f t="shared" si="262"/>
        <v>0.81000564058770452</v>
      </c>
      <c r="R114" s="20"/>
      <c r="S114" s="164">
        <f t="shared" ref="S114:AB114" si="276">S12+S15-S10</f>
        <v>-54878.880000000005</v>
      </c>
      <c r="T114" s="164">
        <f t="shared" si="276"/>
        <v>-61464.345600000059</v>
      </c>
      <c r="U114" s="164">
        <f t="shared" si="276"/>
        <v>-68840.067072000063</v>
      </c>
      <c r="V114" s="164">
        <f t="shared" si="276"/>
        <v>-77100.875120640034</v>
      </c>
      <c r="W114" s="164">
        <f t="shared" si="276"/>
        <v>-86352.980135116901</v>
      </c>
      <c r="X114" s="164">
        <f t="shared" si="276"/>
        <v>-96715.337751330924</v>
      </c>
      <c r="Y114" s="164">
        <f t="shared" si="276"/>
        <v>-108321.17828149057</v>
      </c>
      <c r="Z114" s="164">
        <f t="shared" si="276"/>
        <v>-121319.71967526944</v>
      </c>
      <c r="AA114" s="164">
        <f t="shared" si="276"/>
        <v>-135878.0860363018</v>
      </c>
      <c r="AB114" s="164">
        <f t="shared" si="276"/>
        <v>-152183.45636065817</v>
      </c>
      <c r="AC114" s="138">
        <f t="shared" si="264"/>
        <v>0.40592817989608321</v>
      </c>
      <c r="AD114" s="146"/>
      <c r="AE114" s="146"/>
    </row>
    <row r="115" spans="2:31" ht="12" customHeight="1">
      <c r="B115" s="20" t="s">
        <v>323</v>
      </c>
      <c r="C115" s="20"/>
      <c r="D115" s="20"/>
      <c r="E115" s="20"/>
      <c r="F115" s="20"/>
      <c r="G115" s="153">
        <f t="shared" ref="G115:P115" si="277">G66/G22</f>
        <v>0.66259168704156479</v>
      </c>
      <c r="H115" s="153">
        <f t="shared" si="277"/>
        <v>0.64413518886679921</v>
      </c>
      <c r="I115" s="153">
        <f t="shared" si="277"/>
        <v>0.87703435804701624</v>
      </c>
      <c r="J115" s="153">
        <f t="shared" si="277"/>
        <v>1.0107361963190185</v>
      </c>
      <c r="K115" s="153">
        <f t="shared" si="277"/>
        <v>1.3320895522388059</v>
      </c>
      <c r="L115" s="153">
        <f t="shared" si="277"/>
        <v>1.76953125</v>
      </c>
      <c r="M115" s="153">
        <f t="shared" si="277"/>
        <v>2.1035653650254669</v>
      </c>
      <c r="N115" s="153">
        <f t="shared" si="277"/>
        <v>1.4737769942706038</v>
      </c>
      <c r="O115" s="153">
        <f t="shared" si="277"/>
        <v>1.9137931034482758</v>
      </c>
      <c r="P115" s="153">
        <f t="shared" si="277"/>
        <v>2.1922915793883537</v>
      </c>
      <c r="Q115" s="118">
        <f t="shared" si="262"/>
        <v>0.14219208965261365</v>
      </c>
      <c r="R115" s="20"/>
      <c r="S115" s="153">
        <f t="shared" ref="S115:AB115" si="278">S66/S22</f>
        <v>2.1922915793883537</v>
      </c>
      <c r="T115" s="153">
        <f t="shared" si="278"/>
        <v>2.1922915793883542</v>
      </c>
      <c r="U115" s="153">
        <f t="shared" si="278"/>
        <v>2.1922915793883537</v>
      </c>
      <c r="V115" s="153">
        <f t="shared" si="278"/>
        <v>2.1922915793883542</v>
      </c>
      <c r="W115" s="153">
        <f t="shared" si="278"/>
        <v>2.1922915793883537</v>
      </c>
      <c r="X115" s="153">
        <f t="shared" si="278"/>
        <v>2.1922915793883542</v>
      </c>
      <c r="Y115" s="153">
        <f t="shared" si="278"/>
        <v>2.1922915793883537</v>
      </c>
      <c r="Z115" s="153">
        <f t="shared" si="278"/>
        <v>2.1922915793883537</v>
      </c>
      <c r="AA115" s="153">
        <f t="shared" si="278"/>
        <v>2.1922915793883537</v>
      </c>
      <c r="AB115" s="153">
        <f t="shared" si="278"/>
        <v>2.1922915793883537</v>
      </c>
      <c r="AC115" s="138">
        <f t="shared" si="264"/>
        <v>6.5001262929883286E-2</v>
      </c>
      <c r="AD115" s="20"/>
      <c r="AE115" s="20"/>
    </row>
    <row r="116" spans="2:31">
      <c r="B116" s="20" t="s">
        <v>324</v>
      </c>
      <c r="C116" s="20"/>
      <c r="D116" s="20"/>
      <c r="E116" s="20"/>
      <c r="F116" s="20"/>
      <c r="G116" s="153">
        <f t="shared" ref="G116:P116" si="279">G66/G44</f>
        <v>0.12789051439358187</v>
      </c>
      <c r="H116" s="153">
        <f t="shared" si="279"/>
        <v>0.1392350666093683</v>
      </c>
      <c r="I116" s="153">
        <f t="shared" si="279"/>
        <v>0.13464741810105496</v>
      </c>
      <c r="J116" s="153">
        <f t="shared" si="279"/>
        <v>0.12098402790526895</v>
      </c>
      <c r="K116" s="153">
        <f t="shared" si="279"/>
        <v>0.12231612608497031</v>
      </c>
      <c r="L116" s="153">
        <f t="shared" si="279"/>
        <v>0.13182975627500909</v>
      </c>
      <c r="M116" s="153">
        <f t="shared" si="279"/>
        <v>0.15881561238223418</v>
      </c>
      <c r="N116" s="153">
        <f t="shared" si="279"/>
        <v>0.16866740643599315</v>
      </c>
      <c r="O116" s="153">
        <f t="shared" si="279"/>
        <v>0.15348227931009387</v>
      </c>
      <c r="P116" s="153">
        <f t="shared" si="279"/>
        <v>0.15375800669918316</v>
      </c>
      <c r="Q116" s="118">
        <f t="shared" si="262"/>
        <v>2.0678162015021151E-2</v>
      </c>
      <c r="R116" s="20"/>
      <c r="S116" s="153">
        <f t="shared" ref="S116:AB116" si="280">S66/S44</f>
        <v>0.15375800669918319</v>
      </c>
      <c r="T116" s="153">
        <f t="shared" si="280"/>
        <v>0.15375800669918321</v>
      </c>
      <c r="U116" s="153">
        <f t="shared" si="280"/>
        <v>0.15375800669918319</v>
      </c>
      <c r="V116" s="153">
        <f t="shared" si="280"/>
        <v>0.15375800669918319</v>
      </c>
      <c r="W116" s="153">
        <f t="shared" si="280"/>
        <v>0.15375800669918321</v>
      </c>
      <c r="X116" s="153">
        <f t="shared" si="280"/>
        <v>0.15375800669918321</v>
      </c>
      <c r="Y116" s="153">
        <f t="shared" si="280"/>
        <v>0.15375800669918321</v>
      </c>
      <c r="Z116" s="153">
        <f t="shared" si="280"/>
        <v>0.15375800669918321</v>
      </c>
      <c r="AA116" s="153">
        <f t="shared" si="280"/>
        <v>0.15375800669918321</v>
      </c>
      <c r="AB116" s="153">
        <f t="shared" si="280"/>
        <v>0.15375800669918321</v>
      </c>
      <c r="AC116" s="138">
        <f t="shared" si="264"/>
        <v>9.7421721328274646E-3</v>
      </c>
      <c r="AD116" s="20"/>
      <c r="AE116" s="20"/>
    </row>
    <row r="117" spans="2:31">
      <c r="B117" s="20" t="s">
        <v>349</v>
      </c>
      <c r="C117" s="20"/>
      <c r="D117" s="20"/>
      <c r="E117" s="153"/>
      <c r="F117" s="153"/>
      <c r="G117" s="153">
        <f t="shared" ref="G117:P117" si="281">G44/G22</f>
        <v>5.1809290953545233</v>
      </c>
      <c r="H117" s="153">
        <f t="shared" si="281"/>
        <v>4.6262425447316105</v>
      </c>
      <c r="I117" s="153">
        <f t="shared" si="281"/>
        <v>6.5135623869801087</v>
      </c>
      <c r="J117" s="153">
        <f t="shared" si="281"/>
        <v>8.3542944785276081</v>
      </c>
      <c r="K117" s="153">
        <f t="shared" si="281"/>
        <v>10.890547263681592</v>
      </c>
      <c r="L117" s="153">
        <f t="shared" si="281"/>
        <v>13.4228515625</v>
      </c>
      <c r="M117" s="153">
        <f t="shared" si="281"/>
        <v>13.245331069609508</v>
      </c>
      <c r="N117" s="153">
        <f t="shared" si="281"/>
        <v>8.7377699427060378</v>
      </c>
      <c r="O117" s="153">
        <f t="shared" si="281"/>
        <v>12.469147005444647</v>
      </c>
      <c r="P117" s="153">
        <f t="shared" si="281"/>
        <v>14.258064516129032</v>
      </c>
      <c r="Q117" s="118">
        <f t="shared" si="262"/>
        <v>0.11905214803234343</v>
      </c>
      <c r="R117" s="20"/>
      <c r="S117" s="153">
        <f t="shared" ref="S117:AB117" si="282">S44/S22</f>
        <v>14.258064516129032</v>
      </c>
      <c r="T117" s="153">
        <f t="shared" si="282"/>
        <v>14.258064516129032</v>
      </c>
      <c r="U117" s="153">
        <f t="shared" si="282"/>
        <v>14.258064516129032</v>
      </c>
      <c r="V117" s="153">
        <f t="shared" si="282"/>
        <v>14.258064516129034</v>
      </c>
      <c r="W117" s="153">
        <f t="shared" si="282"/>
        <v>14.258064516129032</v>
      </c>
      <c r="X117" s="153">
        <f t="shared" si="282"/>
        <v>14.258064516129032</v>
      </c>
      <c r="Y117" s="153">
        <f t="shared" si="282"/>
        <v>14.258064516129028</v>
      </c>
      <c r="Z117" s="153">
        <f t="shared" si="282"/>
        <v>14.25806451612903</v>
      </c>
      <c r="AA117" s="153">
        <f t="shared" si="282"/>
        <v>14.25806451612903</v>
      </c>
      <c r="AB117" s="153">
        <f t="shared" si="282"/>
        <v>14.25806451612903</v>
      </c>
      <c r="AC117" s="138">
        <f t="shared" si="264"/>
        <v>5.4725941257197208E-2</v>
      </c>
      <c r="AD117" s="20"/>
      <c r="AE117" s="20"/>
    </row>
    <row r="118" spans="2:31">
      <c r="B118" s="20"/>
      <c r="C118" s="20"/>
      <c r="D118" s="20"/>
      <c r="E118" s="20"/>
      <c r="F118" s="20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28"/>
      <c r="R118" s="20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28"/>
      <c r="AD118" s="20"/>
      <c r="AE118" s="20"/>
    </row>
    <row r="119" spans="2:31">
      <c r="B119" s="20" t="s">
        <v>335</v>
      </c>
      <c r="C119" s="20"/>
      <c r="D119" s="20"/>
      <c r="E119" s="166">
        <f t="shared" ref="E119:P119" si="283">E91*E68</f>
        <v>2</v>
      </c>
      <c r="F119" s="166">
        <f t="shared" si="283"/>
        <v>50.820000000000007</v>
      </c>
      <c r="G119" s="166">
        <f t="shared" si="283"/>
        <v>57.875</v>
      </c>
      <c r="H119" s="166">
        <f t="shared" si="283"/>
        <v>76.635999999999996</v>
      </c>
      <c r="I119" s="166">
        <f t="shared" si="283"/>
        <v>97.509999999999991</v>
      </c>
      <c r="J119" s="166">
        <f t="shared" si="283"/>
        <v>126.72</v>
      </c>
      <c r="K119" s="166">
        <f t="shared" si="283"/>
        <v>214.62</v>
      </c>
      <c r="L119" s="166">
        <f t="shared" si="283"/>
        <v>359.90000000000003</v>
      </c>
      <c r="M119" s="166">
        <f t="shared" si="283"/>
        <v>486.12</v>
      </c>
      <c r="N119" s="166">
        <f t="shared" si="283"/>
        <v>574.69999999999993</v>
      </c>
      <c r="O119" s="166">
        <f t="shared" si="283"/>
        <v>661.12</v>
      </c>
      <c r="P119" s="166">
        <f t="shared" si="283"/>
        <v>842.22</v>
      </c>
      <c r="Q119" s="118">
        <f t="shared" si="262"/>
        <v>0.34652663866280453</v>
      </c>
      <c r="R119" s="20"/>
      <c r="S119" s="166">
        <f t="shared" ref="S119:AB119" si="284">S91*S68</f>
        <v>1016.98065</v>
      </c>
      <c r="T119" s="166">
        <f t="shared" si="284"/>
        <v>1228.0041348749999</v>
      </c>
      <c r="U119" s="166">
        <f t="shared" si="284"/>
        <v>1482.8149928615624</v>
      </c>
      <c r="V119" s="166">
        <f t="shared" si="284"/>
        <v>1790.4991038803364</v>
      </c>
      <c r="W119" s="166">
        <f t="shared" si="284"/>
        <v>2162.0276679355061</v>
      </c>
      <c r="X119" s="166">
        <f t="shared" si="284"/>
        <v>2610.6484090321237</v>
      </c>
      <c r="Y119" s="166">
        <f t="shared" si="284"/>
        <v>3152.3579539062894</v>
      </c>
      <c r="Z119" s="166">
        <f t="shared" si="284"/>
        <v>3806.4722293418445</v>
      </c>
      <c r="AA119" s="166">
        <f t="shared" si="284"/>
        <v>4596.3152169302766</v>
      </c>
      <c r="AB119" s="166">
        <f t="shared" si="284"/>
        <v>5550.0506244433082</v>
      </c>
      <c r="AC119" s="138">
        <f t="shared" si="264"/>
        <v>0.27146841392940213</v>
      </c>
      <c r="AD119" s="20"/>
      <c r="AE119" s="20"/>
    </row>
    <row r="120" spans="2:31">
      <c r="B120" s="20" t="s">
        <v>336</v>
      </c>
      <c r="C120" s="20"/>
      <c r="D120" s="20"/>
      <c r="E120" s="166">
        <f>(E119*0.17)+E119</f>
        <v>2.34</v>
      </c>
      <c r="F120" s="166">
        <f>(F119*0.17)+F119</f>
        <v>59.459400000000009</v>
      </c>
      <c r="G120" s="166">
        <f t="shared" ref="G120:P120" si="285">(G119*0.17)+G119</f>
        <v>67.713750000000005</v>
      </c>
      <c r="H120" s="166">
        <f t="shared" si="285"/>
        <v>89.664119999999997</v>
      </c>
      <c r="I120" s="166">
        <f t="shared" si="285"/>
        <v>114.08669999999999</v>
      </c>
      <c r="J120" s="166">
        <f t="shared" si="285"/>
        <v>148.26240000000001</v>
      </c>
      <c r="K120" s="166">
        <f t="shared" si="285"/>
        <v>251.1054</v>
      </c>
      <c r="L120" s="166">
        <f t="shared" si="285"/>
        <v>421.08300000000003</v>
      </c>
      <c r="M120" s="166">
        <f t="shared" si="285"/>
        <v>568.7604</v>
      </c>
      <c r="N120" s="166">
        <f t="shared" si="285"/>
        <v>672.39899999999989</v>
      </c>
      <c r="O120" s="166">
        <f t="shared" si="285"/>
        <v>773.5104</v>
      </c>
      <c r="P120" s="166">
        <f t="shared" si="285"/>
        <v>985.39740000000006</v>
      </c>
      <c r="Q120" s="118">
        <f t="shared" si="262"/>
        <v>0.34652663866280453</v>
      </c>
      <c r="R120" s="20"/>
      <c r="S120" s="166">
        <f t="shared" ref="S120:AB120" si="286">(S119*0.17)+S119</f>
        <v>1189.8673604999999</v>
      </c>
      <c r="T120" s="166">
        <f t="shared" si="286"/>
        <v>1436.7648378037497</v>
      </c>
      <c r="U120" s="166">
        <f t="shared" si="286"/>
        <v>1734.8935416480281</v>
      </c>
      <c r="V120" s="166">
        <f t="shared" si="286"/>
        <v>2094.8839515399936</v>
      </c>
      <c r="W120" s="166">
        <f t="shared" si="286"/>
        <v>2529.5723714845421</v>
      </c>
      <c r="X120" s="166">
        <f t="shared" si="286"/>
        <v>3054.4586385675848</v>
      </c>
      <c r="Y120" s="166">
        <f t="shared" si="286"/>
        <v>3688.2588060703583</v>
      </c>
      <c r="Z120" s="166">
        <f t="shared" si="286"/>
        <v>4453.5725083299585</v>
      </c>
      <c r="AA120" s="166">
        <f t="shared" si="286"/>
        <v>5377.6888038084235</v>
      </c>
      <c r="AB120" s="166">
        <f t="shared" si="286"/>
        <v>6493.5592305986702</v>
      </c>
      <c r="AC120" s="138">
        <f t="shared" si="264"/>
        <v>0.27146841392940213</v>
      </c>
      <c r="AD120" s="20"/>
      <c r="AE120" s="20"/>
    </row>
    <row r="121" spans="2:31">
      <c r="B121" s="20" t="s">
        <v>337</v>
      </c>
      <c r="C121" s="20"/>
      <c r="D121" s="20"/>
      <c r="E121" s="20"/>
      <c r="F121" s="153" t="e">
        <f t="shared" ref="F121:P121" si="287">F120/F66</f>
        <v>#DIV/0!</v>
      </c>
      <c r="G121" s="153">
        <f t="shared" si="287"/>
        <v>0.24986623616236164</v>
      </c>
      <c r="H121" s="153">
        <f t="shared" si="287"/>
        <v>0.2767411111111111</v>
      </c>
      <c r="I121" s="153">
        <f t="shared" si="287"/>
        <v>0.23523030927835051</v>
      </c>
      <c r="J121" s="153">
        <f t="shared" si="287"/>
        <v>0.22498088012139608</v>
      </c>
      <c r="K121" s="153">
        <f t="shared" si="287"/>
        <v>0.23445882352941178</v>
      </c>
      <c r="L121" s="153">
        <f t="shared" si="287"/>
        <v>0.23238576158940399</v>
      </c>
      <c r="M121" s="153">
        <f t="shared" si="287"/>
        <v>0.22952397094430993</v>
      </c>
      <c r="N121" s="153">
        <f t="shared" si="287"/>
        <v>0.20107625598086121</v>
      </c>
      <c r="O121" s="153">
        <f t="shared" si="287"/>
        <v>0.18338321479374112</v>
      </c>
      <c r="P121" s="153">
        <f t="shared" si="287"/>
        <v>0.18830449073189376</v>
      </c>
      <c r="Q121" s="118">
        <f t="shared" si="262"/>
        <v>-3.094072029036643E-2</v>
      </c>
      <c r="R121" s="20"/>
      <c r="S121" s="153">
        <f t="shared" ref="S121:AB121" si="288">S120/S66</f>
        <v>0.20301577907032289</v>
      </c>
      <c r="T121" s="153">
        <f t="shared" si="288"/>
        <v>0.21887638681019184</v>
      </c>
      <c r="U121" s="153">
        <f t="shared" si="288"/>
        <v>0.23597610452973808</v>
      </c>
      <c r="V121" s="153">
        <f t="shared" si="288"/>
        <v>0.2544117376961238</v>
      </c>
      <c r="W121" s="153">
        <f t="shared" si="288"/>
        <v>0.27428765470363342</v>
      </c>
      <c r="X121" s="153">
        <f t="shared" si="288"/>
        <v>0.29571637772735476</v>
      </c>
      <c r="Y121" s="153">
        <f t="shared" si="288"/>
        <v>0.31881921973730432</v>
      </c>
      <c r="Z121" s="153">
        <f t="shared" si="288"/>
        <v>0.34372697127928126</v>
      </c>
      <c r="AA121" s="153">
        <f t="shared" si="288"/>
        <v>0.37058064091047493</v>
      </c>
      <c r="AB121" s="153">
        <f t="shared" si="288"/>
        <v>0.3995322534816057</v>
      </c>
      <c r="AC121" s="138">
        <f t="shared" si="264"/>
        <v>2.5011282508676569E-2</v>
      </c>
      <c r="AD121" s="20"/>
      <c r="AE121" s="20"/>
    </row>
    <row r="122" spans="2:31">
      <c r="B122" s="20" t="s">
        <v>330</v>
      </c>
      <c r="C122" s="20"/>
      <c r="D122" s="20"/>
      <c r="E122" s="20"/>
      <c r="F122" s="153" t="e">
        <f>1-F121</f>
        <v>#DIV/0!</v>
      </c>
      <c r="G122" s="153">
        <f>1-G121</f>
        <v>0.75013376383763841</v>
      </c>
      <c r="H122" s="153">
        <f t="shared" ref="H122:P122" si="289">1-H121</f>
        <v>0.7232588888888889</v>
      </c>
      <c r="I122" s="153">
        <f t="shared" si="289"/>
        <v>0.76476969072164946</v>
      </c>
      <c r="J122" s="153">
        <f t="shared" si="289"/>
        <v>0.77501911987860395</v>
      </c>
      <c r="K122" s="153">
        <f t="shared" si="289"/>
        <v>0.76554117647058817</v>
      </c>
      <c r="L122" s="153">
        <f t="shared" si="289"/>
        <v>0.76761423841059595</v>
      </c>
      <c r="M122" s="153">
        <f t="shared" si="289"/>
        <v>0.77047602905569001</v>
      </c>
      <c r="N122" s="153">
        <f t="shared" si="289"/>
        <v>0.79892374401913879</v>
      </c>
      <c r="O122" s="153">
        <f t="shared" si="289"/>
        <v>0.81661678520625891</v>
      </c>
      <c r="P122" s="153">
        <f t="shared" si="289"/>
        <v>0.81169550926810619</v>
      </c>
      <c r="Q122" s="118">
        <f t="shared" si="262"/>
        <v>8.8022628330257646E-3</v>
      </c>
      <c r="R122" s="20"/>
      <c r="S122" s="153">
        <f t="shared" ref="S122:AB122" si="290">1-S121</f>
        <v>0.79698422092967713</v>
      </c>
      <c r="T122" s="153">
        <f t="shared" si="290"/>
        <v>0.78112361318980816</v>
      </c>
      <c r="U122" s="153">
        <f t="shared" si="290"/>
        <v>0.76402389547026195</v>
      </c>
      <c r="V122" s="153">
        <f t="shared" si="290"/>
        <v>0.7455882623038762</v>
      </c>
      <c r="W122" s="153">
        <f t="shared" si="290"/>
        <v>0.72571234529636652</v>
      </c>
      <c r="X122" s="153">
        <f t="shared" si="290"/>
        <v>0.70428362227264518</v>
      </c>
      <c r="Y122" s="153">
        <f t="shared" si="290"/>
        <v>0.68118078026269568</v>
      </c>
      <c r="Z122" s="153">
        <f t="shared" si="290"/>
        <v>0.6562730287207188</v>
      </c>
      <c r="AA122" s="153">
        <f t="shared" si="290"/>
        <v>0.62941935908952507</v>
      </c>
      <c r="AB122" s="153">
        <f t="shared" si="290"/>
        <v>0.6004677465183943</v>
      </c>
      <c r="AC122" s="138">
        <f t="shared" si="264"/>
        <v>-1.1644441672886696E-2</v>
      </c>
      <c r="AD122" s="20"/>
      <c r="AE122" s="20"/>
    </row>
    <row r="123" spans="2:31">
      <c r="B123" s="20"/>
      <c r="C123" s="20"/>
      <c r="D123" s="20"/>
      <c r="E123" s="20"/>
      <c r="F123" s="20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28"/>
      <c r="R123" s="20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28"/>
      <c r="AD123" s="20"/>
      <c r="AE123" s="20"/>
    </row>
    <row r="124" spans="2:31">
      <c r="B124" s="20" t="s">
        <v>334</v>
      </c>
      <c r="C124" s="153"/>
      <c r="D124" s="153"/>
      <c r="E124" s="153"/>
      <c r="F124" s="153" t="e">
        <f>F54/F44</f>
        <v>#DIV/0!</v>
      </c>
      <c r="G124" s="153">
        <f>G54/G44</f>
        <v>0</v>
      </c>
      <c r="H124" s="153">
        <f t="shared" ref="H124:P124" si="291">H54/H44</f>
        <v>0</v>
      </c>
      <c r="I124" s="153">
        <f t="shared" si="291"/>
        <v>0</v>
      </c>
      <c r="J124" s="153">
        <f t="shared" si="291"/>
        <v>0</v>
      </c>
      <c r="K124" s="153">
        <f t="shared" si="291"/>
        <v>0</v>
      </c>
      <c r="L124" s="153">
        <f t="shared" si="291"/>
        <v>0</v>
      </c>
      <c r="M124" s="153">
        <f t="shared" si="291"/>
        <v>0</v>
      </c>
      <c r="N124" s="153">
        <f t="shared" si="291"/>
        <v>0</v>
      </c>
      <c r="O124" s="153">
        <f t="shared" si="291"/>
        <v>0</v>
      </c>
      <c r="P124" s="153">
        <f t="shared" si="291"/>
        <v>0</v>
      </c>
      <c r="Q124" s="118" t="e">
        <f t="shared" si="262"/>
        <v>#DIV/0!</v>
      </c>
      <c r="R124" s="20"/>
      <c r="S124" s="153">
        <f t="shared" ref="S124:AB124" si="292">S54/S44</f>
        <v>0</v>
      </c>
      <c r="T124" s="153">
        <f t="shared" si="292"/>
        <v>0</v>
      </c>
      <c r="U124" s="153">
        <f t="shared" si="292"/>
        <v>0</v>
      </c>
      <c r="V124" s="153">
        <f t="shared" si="292"/>
        <v>0</v>
      </c>
      <c r="W124" s="153">
        <f t="shared" si="292"/>
        <v>0</v>
      </c>
      <c r="X124" s="153">
        <f t="shared" si="292"/>
        <v>0</v>
      </c>
      <c r="Y124" s="153">
        <f t="shared" si="292"/>
        <v>0</v>
      </c>
      <c r="Z124" s="153">
        <f t="shared" si="292"/>
        <v>0</v>
      </c>
      <c r="AA124" s="153">
        <f t="shared" si="292"/>
        <v>0</v>
      </c>
      <c r="AB124" s="153">
        <f t="shared" si="292"/>
        <v>0</v>
      </c>
      <c r="AC124" s="138" t="e">
        <f t="shared" si="264"/>
        <v>#DIV/0!</v>
      </c>
      <c r="AD124" s="20"/>
      <c r="AE124" s="20"/>
    </row>
    <row r="125" spans="2:31">
      <c r="B125" s="20" t="s">
        <v>331</v>
      </c>
      <c r="C125" s="153"/>
      <c r="D125" s="153"/>
      <c r="E125" s="153"/>
      <c r="F125" s="153" t="e">
        <f>F55/F44</f>
        <v>#DIV/0!</v>
      </c>
      <c r="G125" s="153">
        <f>G55/G44</f>
        <v>0</v>
      </c>
      <c r="H125" s="153">
        <f t="shared" ref="H125:P125" si="293">H55/H44</f>
        <v>0</v>
      </c>
      <c r="I125" s="153">
        <f t="shared" si="293"/>
        <v>0</v>
      </c>
      <c r="J125" s="153">
        <f t="shared" si="293"/>
        <v>0</v>
      </c>
      <c r="K125" s="153">
        <f t="shared" si="293"/>
        <v>0</v>
      </c>
      <c r="L125" s="153">
        <f t="shared" si="293"/>
        <v>0</v>
      </c>
      <c r="M125" s="153">
        <f t="shared" si="293"/>
        <v>0</v>
      </c>
      <c r="N125" s="153">
        <f t="shared" si="293"/>
        <v>0</v>
      </c>
      <c r="O125" s="153">
        <f t="shared" si="293"/>
        <v>0</v>
      </c>
      <c r="P125" s="153">
        <f t="shared" si="293"/>
        <v>0</v>
      </c>
      <c r="Q125" s="118" t="e">
        <f t="shared" si="262"/>
        <v>#DIV/0!</v>
      </c>
      <c r="R125" s="20"/>
      <c r="S125" s="153">
        <f t="shared" ref="S125:AB125" si="294">S55/S44</f>
        <v>0</v>
      </c>
      <c r="T125" s="153">
        <f t="shared" si="294"/>
        <v>0</v>
      </c>
      <c r="U125" s="153">
        <f t="shared" si="294"/>
        <v>0</v>
      </c>
      <c r="V125" s="153">
        <f t="shared" si="294"/>
        <v>0</v>
      </c>
      <c r="W125" s="153">
        <f t="shared" si="294"/>
        <v>0</v>
      </c>
      <c r="X125" s="153">
        <f t="shared" si="294"/>
        <v>0</v>
      </c>
      <c r="Y125" s="153">
        <f t="shared" si="294"/>
        <v>0</v>
      </c>
      <c r="Z125" s="153">
        <f t="shared" si="294"/>
        <v>0</v>
      </c>
      <c r="AA125" s="153">
        <f t="shared" si="294"/>
        <v>0</v>
      </c>
      <c r="AB125" s="153">
        <f t="shared" si="294"/>
        <v>0</v>
      </c>
      <c r="AC125" s="138" t="e">
        <f t="shared" si="264"/>
        <v>#DIV/0!</v>
      </c>
      <c r="AD125" s="20"/>
      <c r="AE125" s="20"/>
    </row>
    <row r="126" spans="2:31">
      <c r="B126" s="20"/>
      <c r="C126" s="20"/>
      <c r="D126" s="20"/>
      <c r="E126" s="20"/>
      <c r="F126" s="20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28"/>
      <c r="R126" s="20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28"/>
      <c r="AD126" s="20"/>
      <c r="AE126" s="20"/>
    </row>
    <row r="127" spans="2:31">
      <c r="B127" s="20" t="s">
        <v>355</v>
      </c>
      <c r="C127" s="20"/>
      <c r="D127" s="20"/>
      <c r="E127" s="20"/>
      <c r="F127" s="20"/>
      <c r="G127" s="153">
        <f>G46/G44</f>
        <v>0.8721094856064181</v>
      </c>
      <c r="H127" s="153">
        <f t="shared" ref="H127:P127" si="295">H46/H44</f>
        <v>0.86076493339063176</v>
      </c>
      <c r="I127" s="153">
        <f t="shared" si="295"/>
        <v>0.86535258189894504</v>
      </c>
      <c r="J127" s="153">
        <f t="shared" si="295"/>
        <v>0.87993390857352671</v>
      </c>
      <c r="K127" s="153">
        <f t="shared" si="295"/>
        <v>0.87894015532206482</v>
      </c>
      <c r="L127" s="153">
        <f t="shared" si="295"/>
        <v>0.86809748999636227</v>
      </c>
      <c r="M127" s="153">
        <f t="shared" si="295"/>
        <v>0.84118438761776582</v>
      </c>
      <c r="N127" s="153">
        <f t="shared" si="295"/>
        <v>0.83128215474629275</v>
      </c>
      <c r="O127" s="153">
        <f t="shared" si="295"/>
        <v>0.84648133323630015</v>
      </c>
      <c r="P127" s="153">
        <f t="shared" si="295"/>
        <v>0.84624199330081684</v>
      </c>
      <c r="Q127" s="118">
        <f t="shared" si="262"/>
        <v>-3.339922245166882E-3</v>
      </c>
      <c r="R127" s="20"/>
      <c r="S127" s="153">
        <f t="shared" ref="S127:AB127" si="296">S46/S44</f>
        <v>0.84624199330081684</v>
      </c>
      <c r="T127" s="153">
        <f t="shared" si="296"/>
        <v>0.84624199330081695</v>
      </c>
      <c r="U127" s="153">
        <f t="shared" si="296"/>
        <v>0.84624199330081684</v>
      </c>
      <c r="V127" s="153">
        <f t="shared" si="296"/>
        <v>0.84624199330081673</v>
      </c>
      <c r="W127" s="153">
        <f t="shared" si="296"/>
        <v>0.84624199330081673</v>
      </c>
      <c r="X127" s="153">
        <f t="shared" si="296"/>
        <v>0.84624199330081673</v>
      </c>
      <c r="Y127" s="153">
        <f t="shared" si="296"/>
        <v>0.84624199330081673</v>
      </c>
      <c r="Z127" s="153">
        <f t="shared" si="296"/>
        <v>0.84624199330081684</v>
      </c>
      <c r="AA127" s="153">
        <f t="shared" si="296"/>
        <v>0.84624199330081684</v>
      </c>
      <c r="AB127" s="153">
        <f t="shared" si="296"/>
        <v>0.84624199330081673</v>
      </c>
      <c r="AC127" s="138">
        <f t="shared" si="264"/>
        <v>-1.5834613222875937E-3</v>
      </c>
      <c r="AD127" s="20"/>
      <c r="AE127" s="20"/>
    </row>
    <row r="128" spans="2:31">
      <c r="B128" s="20" t="str">
        <f>B56</f>
        <v>Top Expenses ( Raw material )</v>
      </c>
      <c r="C128" s="20"/>
      <c r="D128" s="20"/>
      <c r="E128" s="20"/>
      <c r="F128" s="20"/>
      <c r="G128" s="153">
        <f>G56/G44</f>
        <v>0</v>
      </c>
      <c r="H128" s="153">
        <f t="shared" ref="H128:P128" si="297">H56/H44</f>
        <v>0</v>
      </c>
      <c r="I128" s="153">
        <f t="shared" si="297"/>
        <v>0</v>
      </c>
      <c r="J128" s="153">
        <f t="shared" si="297"/>
        <v>0</v>
      </c>
      <c r="K128" s="153">
        <f t="shared" si="297"/>
        <v>0</v>
      </c>
      <c r="L128" s="153">
        <f t="shared" si="297"/>
        <v>0</v>
      </c>
      <c r="M128" s="153">
        <f t="shared" si="297"/>
        <v>0</v>
      </c>
      <c r="N128" s="153">
        <f t="shared" si="297"/>
        <v>0</v>
      </c>
      <c r="O128" s="153">
        <f t="shared" si="297"/>
        <v>0</v>
      </c>
      <c r="P128" s="153">
        <f t="shared" si="297"/>
        <v>0</v>
      </c>
      <c r="Q128" s="118" t="e">
        <f t="shared" si="262"/>
        <v>#DIV/0!</v>
      </c>
      <c r="R128" s="20"/>
      <c r="S128" s="153">
        <f t="shared" ref="S128:AB128" si="298">S56/S44</f>
        <v>0</v>
      </c>
      <c r="T128" s="153">
        <f t="shared" si="298"/>
        <v>0</v>
      </c>
      <c r="U128" s="153">
        <f t="shared" si="298"/>
        <v>0</v>
      </c>
      <c r="V128" s="153">
        <f t="shared" si="298"/>
        <v>0</v>
      </c>
      <c r="W128" s="153">
        <f t="shared" si="298"/>
        <v>0</v>
      </c>
      <c r="X128" s="153">
        <f t="shared" si="298"/>
        <v>0</v>
      </c>
      <c r="Y128" s="153">
        <f t="shared" si="298"/>
        <v>0</v>
      </c>
      <c r="Z128" s="153">
        <f t="shared" si="298"/>
        <v>0</v>
      </c>
      <c r="AA128" s="153">
        <f t="shared" si="298"/>
        <v>0</v>
      </c>
      <c r="AB128" s="153">
        <f t="shared" si="298"/>
        <v>0</v>
      </c>
      <c r="AC128" s="138" t="e">
        <f t="shared" si="264"/>
        <v>#DIV/0!</v>
      </c>
      <c r="AD128" s="20"/>
      <c r="AE128" s="20"/>
    </row>
    <row r="129" spans="2:31">
      <c r="B129" s="20" t="str">
        <f>B57</f>
        <v>2nd highest Expenses Comp. ( Empl )</v>
      </c>
      <c r="C129" s="20"/>
      <c r="D129" s="20"/>
      <c r="E129" s="20"/>
      <c r="F129" s="20"/>
      <c r="G129" s="153">
        <f>G57/G44</f>
        <v>5.7102406795658332E-2</v>
      </c>
      <c r="H129" s="153">
        <f t="shared" ref="H129:P129" si="299">H57/H44</f>
        <v>7.606360120326601E-2</v>
      </c>
      <c r="I129" s="153">
        <f t="shared" si="299"/>
        <v>6.6629650194336476E-2</v>
      </c>
      <c r="J129" s="153">
        <f t="shared" si="299"/>
        <v>6.9946759684229851E-2</v>
      </c>
      <c r="K129" s="153">
        <f t="shared" si="299"/>
        <v>7.6518958428506173E-2</v>
      </c>
      <c r="L129" s="153">
        <f t="shared" si="299"/>
        <v>0</v>
      </c>
      <c r="M129" s="153">
        <f t="shared" si="299"/>
        <v>0</v>
      </c>
      <c r="N129" s="153">
        <f t="shared" si="299"/>
        <v>0</v>
      </c>
      <c r="O129" s="153">
        <f t="shared" si="299"/>
        <v>0</v>
      </c>
      <c r="P129" s="153">
        <f t="shared" si="299"/>
        <v>0</v>
      </c>
      <c r="Q129" s="118">
        <f t="shared" si="262"/>
        <v>-1</v>
      </c>
      <c r="R129" s="20"/>
      <c r="S129" s="153">
        <f t="shared" ref="S129:AB129" si="300">S57/S44</f>
        <v>0</v>
      </c>
      <c r="T129" s="153">
        <f t="shared" si="300"/>
        <v>0</v>
      </c>
      <c r="U129" s="153">
        <f t="shared" si="300"/>
        <v>0</v>
      </c>
      <c r="V129" s="153">
        <f t="shared" si="300"/>
        <v>0</v>
      </c>
      <c r="W129" s="153">
        <f t="shared" si="300"/>
        <v>0</v>
      </c>
      <c r="X129" s="153">
        <f t="shared" si="300"/>
        <v>0</v>
      </c>
      <c r="Y129" s="153">
        <f t="shared" si="300"/>
        <v>0</v>
      </c>
      <c r="Z129" s="153">
        <f t="shared" si="300"/>
        <v>0</v>
      </c>
      <c r="AA129" s="153">
        <f t="shared" si="300"/>
        <v>0</v>
      </c>
      <c r="AB129" s="153">
        <f t="shared" si="300"/>
        <v>0</v>
      </c>
      <c r="AC129" s="138">
        <f t="shared" si="264"/>
        <v>-1</v>
      </c>
      <c r="AD129" s="20"/>
      <c r="AE129" s="20"/>
    </row>
    <row r="130" spans="2:31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128"/>
      <c r="R130" s="128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39"/>
      <c r="AD130" s="20"/>
      <c r="AE130" s="20"/>
    </row>
    <row r="131" spans="2:31">
      <c r="B131" s="20" t="s">
        <v>356</v>
      </c>
      <c r="C131" s="20"/>
      <c r="D131" s="20"/>
      <c r="E131" s="20"/>
      <c r="F131" s="20"/>
      <c r="G131" s="20" t="e">
        <f>G16/G9</f>
        <v>#DIV/0!</v>
      </c>
      <c r="H131" s="20" t="e">
        <f t="shared" ref="H131:AB131" si="301">H16/H9</f>
        <v>#DIV/0!</v>
      </c>
      <c r="I131" s="20" t="e">
        <f t="shared" si="301"/>
        <v>#DIV/0!</v>
      </c>
      <c r="J131" s="20" t="e">
        <f t="shared" si="301"/>
        <v>#DIV/0!</v>
      </c>
      <c r="K131" s="20" t="e">
        <f t="shared" si="301"/>
        <v>#DIV/0!</v>
      </c>
      <c r="L131" s="20" t="e">
        <f t="shared" si="301"/>
        <v>#DIV/0!</v>
      </c>
      <c r="M131" s="20" t="e">
        <f t="shared" si="301"/>
        <v>#DIV/0!</v>
      </c>
      <c r="N131" s="20" t="e">
        <f t="shared" si="301"/>
        <v>#DIV/0!</v>
      </c>
      <c r="O131" s="20" t="e">
        <f t="shared" si="301"/>
        <v>#DIV/0!</v>
      </c>
      <c r="P131" s="20" t="e">
        <f t="shared" si="301"/>
        <v>#DIV/0!</v>
      </c>
      <c r="Q131" s="118" t="e">
        <f t="shared" si="262"/>
        <v>#DIV/0!</v>
      </c>
      <c r="R131" s="20"/>
      <c r="S131" s="20" t="e">
        <f t="shared" si="301"/>
        <v>#DIV/0!</v>
      </c>
      <c r="T131" s="20" t="e">
        <f t="shared" si="301"/>
        <v>#DIV/0!</v>
      </c>
      <c r="U131" s="20" t="e">
        <f t="shared" si="301"/>
        <v>#DIV/0!</v>
      </c>
      <c r="V131" s="20" t="e">
        <f t="shared" si="301"/>
        <v>#DIV/0!</v>
      </c>
      <c r="W131" s="20" t="e">
        <f t="shared" si="301"/>
        <v>#DIV/0!</v>
      </c>
      <c r="X131" s="20" t="e">
        <f t="shared" si="301"/>
        <v>#DIV/0!</v>
      </c>
      <c r="Y131" s="20" t="e">
        <f t="shared" si="301"/>
        <v>#DIV/0!</v>
      </c>
      <c r="Z131" s="20" t="e">
        <f t="shared" si="301"/>
        <v>#DIV/0!</v>
      </c>
      <c r="AA131" s="20" t="e">
        <f t="shared" si="301"/>
        <v>#DIV/0!</v>
      </c>
      <c r="AB131" s="20" t="e">
        <f t="shared" si="301"/>
        <v>#DIV/0!</v>
      </c>
      <c r="AC131" s="138" t="e">
        <f t="shared" si="264"/>
        <v>#DIV/0!</v>
      </c>
      <c r="AD131" s="20"/>
      <c r="AE131" s="20"/>
    </row>
    <row r="132" spans="2:31">
      <c r="B132" s="20" t="s">
        <v>357</v>
      </c>
      <c r="C132" s="20"/>
      <c r="D132" s="20"/>
      <c r="E132" s="20"/>
      <c r="F132" s="20"/>
      <c r="G132" s="20" t="e">
        <f>G12/G9</f>
        <v>#DIV/0!</v>
      </c>
      <c r="H132" s="20" t="e">
        <f t="shared" ref="H132:P132" si="302">H12/H9</f>
        <v>#DIV/0!</v>
      </c>
      <c r="I132" s="20" t="e">
        <f t="shared" si="302"/>
        <v>#DIV/0!</v>
      </c>
      <c r="J132" s="20" t="e">
        <f t="shared" si="302"/>
        <v>#DIV/0!</v>
      </c>
      <c r="K132" s="20" t="e">
        <f t="shared" si="302"/>
        <v>#DIV/0!</v>
      </c>
      <c r="L132" s="20" t="e">
        <f t="shared" si="302"/>
        <v>#DIV/0!</v>
      </c>
      <c r="M132" s="20" t="e">
        <f t="shared" si="302"/>
        <v>#DIV/0!</v>
      </c>
      <c r="N132" s="20" t="e">
        <f t="shared" si="302"/>
        <v>#DIV/0!</v>
      </c>
      <c r="O132" s="20" t="e">
        <f t="shared" si="302"/>
        <v>#DIV/0!</v>
      </c>
      <c r="P132" s="20" t="e">
        <f t="shared" si="302"/>
        <v>#DIV/0!</v>
      </c>
      <c r="Q132" s="118" t="e">
        <f t="shared" si="262"/>
        <v>#DIV/0!</v>
      </c>
      <c r="R132" s="128"/>
      <c r="S132" s="20" t="e">
        <f t="shared" ref="S132:AB132" si="303">S12/S9</f>
        <v>#DIV/0!</v>
      </c>
      <c r="T132" s="20" t="e">
        <f t="shared" si="303"/>
        <v>#DIV/0!</v>
      </c>
      <c r="U132" s="20" t="e">
        <f t="shared" si="303"/>
        <v>#DIV/0!</v>
      </c>
      <c r="V132" s="20" t="e">
        <f t="shared" si="303"/>
        <v>#DIV/0!</v>
      </c>
      <c r="W132" s="20" t="e">
        <f t="shared" si="303"/>
        <v>#DIV/0!</v>
      </c>
      <c r="X132" s="20" t="e">
        <f t="shared" si="303"/>
        <v>#DIV/0!</v>
      </c>
      <c r="Y132" s="20" t="e">
        <f t="shared" si="303"/>
        <v>#DIV/0!</v>
      </c>
      <c r="Z132" s="20" t="e">
        <f t="shared" si="303"/>
        <v>#DIV/0!</v>
      </c>
      <c r="AA132" s="20" t="e">
        <f t="shared" si="303"/>
        <v>#DIV/0!</v>
      </c>
      <c r="AB132" s="20" t="e">
        <f t="shared" si="303"/>
        <v>#DIV/0!</v>
      </c>
      <c r="AC132" s="118" t="e">
        <f t="shared" ref="AC132" si="304">((AB132/S132)^(1/($H$2-$H$1) ))-1</f>
        <v>#DIV/0!</v>
      </c>
      <c r="AD132" s="20"/>
      <c r="AE132" s="20"/>
    </row>
    <row r="133" spans="2:31">
      <c r="B133" s="20" t="s">
        <v>359</v>
      </c>
      <c r="C133" s="20"/>
      <c r="D133" s="20"/>
      <c r="E133" s="20"/>
      <c r="F133" s="20"/>
      <c r="G133" s="25">
        <f>G44/360</f>
        <v>5.8861111111111111</v>
      </c>
      <c r="H133" s="25">
        <f t="shared" ref="H133:P133" si="305">H44/360</f>
        <v>6.4638888888888886</v>
      </c>
      <c r="I133" s="25">
        <f t="shared" si="305"/>
        <v>10.005555555555556</v>
      </c>
      <c r="J133" s="25">
        <f t="shared" si="305"/>
        <v>15.130555555555556</v>
      </c>
      <c r="K133" s="25">
        <f t="shared" si="305"/>
        <v>24.322222222222223</v>
      </c>
      <c r="L133" s="25">
        <f t="shared" si="305"/>
        <v>38.180555555555557</v>
      </c>
      <c r="M133" s="25">
        <f t="shared" si="305"/>
        <v>43.341666666666669</v>
      </c>
      <c r="N133" s="25">
        <f t="shared" si="305"/>
        <v>55.072222222222223</v>
      </c>
      <c r="O133" s="25">
        <f t="shared" si="305"/>
        <v>76.338888888888889</v>
      </c>
      <c r="P133" s="25">
        <f t="shared" si="305"/>
        <v>94.538888888888891</v>
      </c>
      <c r="Q133" s="118">
        <f t="shared" si="262"/>
        <v>0.36136876490765135</v>
      </c>
      <c r="R133" s="128"/>
      <c r="S133" s="25">
        <f t="shared" ref="S133:AB133" si="306">S44/360</f>
        <v>105.88355555555556</v>
      </c>
      <c r="T133" s="25">
        <f t="shared" si="306"/>
        <v>118.58958222222223</v>
      </c>
      <c r="U133" s="25">
        <f t="shared" si="306"/>
        <v>132.8203320888889</v>
      </c>
      <c r="V133" s="25">
        <f t="shared" si="306"/>
        <v>148.7587719395556</v>
      </c>
      <c r="W133" s="25">
        <f t="shared" si="306"/>
        <v>166.60982457230227</v>
      </c>
      <c r="X133" s="25">
        <f t="shared" si="306"/>
        <v>186.60300352097858</v>
      </c>
      <c r="Y133" s="25">
        <f t="shared" si="306"/>
        <v>208.99536394349602</v>
      </c>
      <c r="Z133" s="25">
        <f t="shared" si="306"/>
        <v>234.07480761671556</v>
      </c>
      <c r="AA133" s="25">
        <f t="shared" si="306"/>
        <v>262.16378453072144</v>
      </c>
      <c r="AB133" s="25">
        <f t="shared" si="306"/>
        <v>293.62343867440808</v>
      </c>
      <c r="AC133" s="118">
        <f t="shared" ref="AC133:AC137" si="307">((AB133/S133)^(1/($H$2-$H$1) ))-1</f>
        <v>0.12000000000000011</v>
      </c>
      <c r="AD133" s="20"/>
      <c r="AE133" s="20"/>
    </row>
    <row r="134" spans="2:31">
      <c r="B134" s="20" t="s">
        <v>358</v>
      </c>
      <c r="C134" s="20"/>
      <c r="D134" s="20"/>
      <c r="E134" s="20"/>
      <c r="F134" s="20"/>
      <c r="G134" s="25">
        <f>G46/360</f>
        <v>5.1333333333333337</v>
      </c>
      <c r="H134" s="25">
        <f t="shared" ref="H134:P134" si="308">H46/360</f>
        <v>5.5638888888888891</v>
      </c>
      <c r="I134" s="25">
        <f t="shared" si="308"/>
        <v>8.6583333333333332</v>
      </c>
      <c r="J134" s="25">
        <f t="shared" si="308"/>
        <v>13.313888888888888</v>
      </c>
      <c r="K134" s="25">
        <f t="shared" si="308"/>
        <v>21.377777777777776</v>
      </c>
      <c r="L134" s="25">
        <f t="shared" si="308"/>
        <v>33.144444444444446</v>
      </c>
      <c r="M134" s="25">
        <f t="shared" si="308"/>
        <v>36.458333333333336</v>
      </c>
      <c r="N134" s="25">
        <f t="shared" si="308"/>
        <v>45.780555555555559</v>
      </c>
      <c r="O134" s="25">
        <f t="shared" si="308"/>
        <v>64.61944444444444</v>
      </c>
      <c r="P134" s="25">
        <f t="shared" si="308"/>
        <v>80.00277777777778</v>
      </c>
      <c r="Q134" s="118">
        <f t="shared" si="262"/>
        <v>0.35682189908586093</v>
      </c>
      <c r="R134" s="128"/>
      <c r="S134" s="25">
        <f t="shared" ref="S134:AB134" si="309">S46/360</f>
        <v>89.603111111111119</v>
      </c>
      <c r="T134" s="25">
        <f t="shared" si="309"/>
        <v>100.35548444444446</v>
      </c>
      <c r="U134" s="25">
        <f t="shared" si="309"/>
        <v>112.3981425777778</v>
      </c>
      <c r="V134" s="25">
        <f t="shared" si="309"/>
        <v>125.88591968711114</v>
      </c>
      <c r="W134" s="25">
        <f t="shared" si="309"/>
        <v>140.99223004956448</v>
      </c>
      <c r="X134" s="25">
        <f t="shared" si="309"/>
        <v>157.91129765551224</v>
      </c>
      <c r="Y134" s="25">
        <f t="shared" si="309"/>
        <v>176.86065337417372</v>
      </c>
      <c r="Z134" s="25">
        <f t="shared" si="309"/>
        <v>198.08393177907459</v>
      </c>
      <c r="AA134" s="25">
        <f t="shared" si="309"/>
        <v>221.85400359256357</v>
      </c>
      <c r="AB134" s="25">
        <f t="shared" si="309"/>
        <v>248.47648402367122</v>
      </c>
      <c r="AC134" s="118">
        <f t="shared" si="307"/>
        <v>0.12000000000000011</v>
      </c>
      <c r="AD134" s="20"/>
      <c r="AE134" s="20"/>
    </row>
    <row r="135" spans="2:31">
      <c r="B135" s="20"/>
      <c r="C135" s="20"/>
      <c r="D135" s="20"/>
      <c r="E135" s="20"/>
      <c r="F135" s="20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128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128"/>
      <c r="AD135" s="20"/>
      <c r="AE135" s="20"/>
    </row>
    <row r="136" spans="2:31">
      <c r="B136" s="20" t="s">
        <v>360</v>
      </c>
      <c r="C136" s="20"/>
      <c r="D136" s="20"/>
      <c r="E136" s="20"/>
      <c r="F136" s="20"/>
      <c r="G136" s="25">
        <f>G10/G7</f>
        <v>18.876098418277682</v>
      </c>
      <c r="H136" s="25">
        <f t="shared" ref="H136:P136" si="310">H10/H7</f>
        <v>13.834365964477488</v>
      </c>
      <c r="I136" s="25">
        <f t="shared" si="310"/>
        <v>14.833275563258232</v>
      </c>
      <c r="J136" s="25">
        <f t="shared" si="310"/>
        <v>18.834265528407418</v>
      </c>
      <c r="K136" s="25">
        <f t="shared" si="310"/>
        <v>10.651473612063057</v>
      </c>
      <c r="L136" s="25">
        <f t="shared" si="310"/>
        <v>12.510348209906818</v>
      </c>
      <c r="M136" s="25">
        <f t="shared" si="310"/>
        <v>9.9098129964350488</v>
      </c>
      <c r="N136" s="25">
        <f t="shared" si="310"/>
        <v>11.402244098655657</v>
      </c>
      <c r="O136" s="25">
        <f t="shared" si="310"/>
        <v>11.201402054583131</v>
      </c>
      <c r="P136" s="25">
        <f t="shared" si="310"/>
        <v>8.9346160805838704</v>
      </c>
      <c r="Q136" s="118">
        <f t="shared" si="262"/>
        <v>-7.974735659137322E-2</v>
      </c>
      <c r="R136" s="128"/>
      <c r="S136" s="25">
        <f t="shared" ref="S136:AB136" si="311">S10/S7</f>
        <v>8.9346160805838704</v>
      </c>
      <c r="T136" s="25">
        <f t="shared" si="311"/>
        <v>8.9346160805838704</v>
      </c>
      <c r="U136" s="25">
        <f t="shared" si="311"/>
        <v>8.9346160805838704</v>
      </c>
      <c r="V136" s="25">
        <f t="shared" si="311"/>
        <v>8.9346160805838704</v>
      </c>
      <c r="W136" s="25">
        <f t="shared" si="311"/>
        <v>8.9346160805838704</v>
      </c>
      <c r="X136" s="25">
        <f t="shared" si="311"/>
        <v>8.9346160805838704</v>
      </c>
      <c r="Y136" s="25">
        <f t="shared" si="311"/>
        <v>8.9346160805838686</v>
      </c>
      <c r="Z136" s="25">
        <f t="shared" si="311"/>
        <v>8.9346160805838686</v>
      </c>
      <c r="AA136" s="25">
        <f t="shared" si="311"/>
        <v>8.9346160805838668</v>
      </c>
      <c r="AB136" s="25">
        <f t="shared" si="311"/>
        <v>8.9346160805838686</v>
      </c>
      <c r="AC136" s="118">
        <f t="shared" si="307"/>
        <v>0</v>
      </c>
      <c r="AD136" s="20"/>
      <c r="AE136" s="20"/>
    </row>
    <row r="137" spans="2:31">
      <c r="B137" s="20" t="s">
        <v>361</v>
      </c>
      <c r="C137" s="20"/>
      <c r="D137" s="20"/>
      <c r="E137" s="20"/>
      <c r="F137" s="20"/>
      <c r="G137" s="25">
        <f>G10/(G10+G7)</f>
        <v>0.94968831513329499</v>
      </c>
      <c r="H137" s="25">
        <f t="shared" ref="H137:P137" si="312">H10/(H10+H7)</f>
        <v>0.9325889625215793</v>
      </c>
      <c r="I137" s="25">
        <f t="shared" si="312"/>
        <v>0.93684187482212833</v>
      </c>
      <c r="J137" s="25">
        <f t="shared" si="312"/>
        <v>0.94958220164150975</v>
      </c>
      <c r="K137" s="25">
        <f t="shared" si="312"/>
        <v>0.91417394629253801</v>
      </c>
      <c r="L137" s="25">
        <f t="shared" si="312"/>
        <v>0.92598266273649976</v>
      </c>
      <c r="M137" s="25">
        <f t="shared" si="312"/>
        <v>0.9083394004712303</v>
      </c>
      <c r="N137" s="25">
        <f t="shared" si="312"/>
        <v>0.91936943088320644</v>
      </c>
      <c r="O137" s="25">
        <f t="shared" si="312"/>
        <v>0.91804220568042205</v>
      </c>
      <c r="P137" s="25">
        <f t="shared" si="312"/>
        <v>0.89934185761295882</v>
      </c>
      <c r="Q137" s="118">
        <f t="shared" si="262"/>
        <v>-6.0340123310221871E-3</v>
      </c>
      <c r="R137" s="128"/>
      <c r="S137" s="25">
        <f t="shared" ref="S137:AB137" si="313">S10/(S10+S7)</f>
        <v>0.89934185761295882</v>
      </c>
      <c r="T137" s="25">
        <f t="shared" si="313"/>
        <v>0.89934185761295882</v>
      </c>
      <c r="U137" s="25">
        <f t="shared" si="313"/>
        <v>0.89934185761295893</v>
      </c>
      <c r="V137" s="25">
        <f t="shared" si="313"/>
        <v>0.89934185761295882</v>
      </c>
      <c r="W137" s="25">
        <f t="shared" si="313"/>
        <v>0.89934185761295882</v>
      </c>
      <c r="X137" s="25">
        <f t="shared" si="313"/>
        <v>0.89934185761295893</v>
      </c>
      <c r="Y137" s="25">
        <f t="shared" si="313"/>
        <v>0.89934185761295882</v>
      </c>
      <c r="Z137" s="25">
        <f t="shared" si="313"/>
        <v>0.89934185761295893</v>
      </c>
      <c r="AA137" s="25">
        <f t="shared" si="313"/>
        <v>0.89934185761295882</v>
      </c>
      <c r="AB137" s="25">
        <f t="shared" si="313"/>
        <v>0.89934185761295882</v>
      </c>
      <c r="AC137" s="118">
        <f t="shared" si="307"/>
        <v>0</v>
      </c>
      <c r="AD137" s="20"/>
      <c r="AE137" s="20"/>
    </row>
    <row r="138" spans="2:31">
      <c r="B138" s="20"/>
      <c r="C138" s="20"/>
      <c r="D138" s="20"/>
      <c r="E138" s="20"/>
      <c r="F138" s="20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118"/>
      <c r="R138" s="128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138"/>
      <c r="AD138" s="20"/>
      <c r="AE138" s="20"/>
    </row>
    <row r="139" spans="2:31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128"/>
      <c r="R139" s="128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39"/>
      <c r="AD139" s="20"/>
      <c r="AE139" s="20"/>
    </row>
    <row r="140" spans="2:31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128"/>
      <c r="R140" s="128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39"/>
      <c r="AD140" s="20"/>
      <c r="AE140" s="20"/>
    </row>
    <row r="141" spans="2:31">
      <c r="B141" s="108" t="s">
        <v>244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3"/>
      <c r="R141" s="23"/>
      <c r="S141" s="122" t="s">
        <v>66</v>
      </c>
      <c r="T141" s="2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3" t="s">
        <v>281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5"/>
      <c r="Q142" s="161">
        <f>AVERAGE(G76:P76)</f>
        <v>50.119627888817085</v>
      </c>
      <c r="R142" s="23"/>
      <c r="S142" s="134"/>
      <c r="T142" s="20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25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>S143+T143</f>
        <v>124.96627703998793</v>
      </c>
      <c r="S143" s="133">
        <f>PV($C$1, ($AB$3-$S$3), 0, -AB76)</f>
        <v>14.340392447211732</v>
      </c>
      <c r="T143" s="133">
        <f>PV($C$1, ($AB$3-$S$3), 0, -AE76)</f>
        <v>110.6258845927762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ref="R144:R162" si="314">S144+T144</f>
        <v>791.82721461722156</v>
      </c>
      <c r="S144" s="133">
        <f>PV($C$1, ($AB$3-$S$3), 0, -AB77)</f>
        <v>90.86541807082871</v>
      </c>
      <c r="T144" s="133">
        <f>PV($C$1, ($AB$3-$S$3), 0, -AE77)</f>
        <v>700.96179654639286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14"/>
        <v>780.65117455325935</v>
      </c>
      <c r="S145" s="133">
        <f>PV($C$1, ($AB$3-$S$3), 0, -AB78)</f>
        <v>89.582921670046161</v>
      </c>
      <c r="T145" s="133">
        <f>PV($C$1, ($AB$3-$S$3), 0, -AE78)</f>
        <v>691.06825288321318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14"/>
        <v>7074.6721647629629</v>
      </c>
      <c r="S146" s="133">
        <f>PV($C$1, ($AB$3-$S$3), 0, -AB79)</f>
        <v>811.84762546460229</v>
      </c>
      <c r="T146" s="133">
        <f>PV($C$1, ($AB$3-$S$3), 0, -AE79)</f>
        <v>6262.8245392983608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 t="s">
        <v>276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si="314"/>
        <v>3197.0399906903231</v>
      </c>
      <c r="S147" s="133">
        <f>PV($C$1, ($AB$3-$S$3), 0, -AB85)</f>
        <v>366.87344155462722</v>
      </c>
      <c r="T147" s="133">
        <f>PV($C$1, ($AB$3-$S$3), 0, -AE85)</f>
        <v>2830.1665491356957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/>
      <c r="S148" s="133"/>
      <c r="T148" s="20"/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14"/>
        <v>-6282.8449501457408</v>
      </c>
      <c r="S149" s="133">
        <f>PV($C$1, ($AB$3-$S$3), 0, -AB81)</f>
        <v>-720.98220739377359</v>
      </c>
      <c r="T149" s="133">
        <f>PV($C$1, ($AB$3-$S$3), 0, -$AE$81)</f>
        <v>-5561.8627427519668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20" t="s">
        <v>272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314"/>
        <v>-6282.8449501457408</v>
      </c>
      <c r="S150" s="133">
        <f>PV($C$1, ($AB$3-$S$3), 0, -AB82)</f>
        <v>-720.98220739377359</v>
      </c>
      <c r="T150" s="133">
        <f>PV($C$1, ($AB$3-$S$3), 0, -$AE$82)</f>
        <v>-5561.8627427519668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>
      <c r="B151" s="20" t="s">
        <v>277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si="314"/>
        <v>-6282.8449501457408</v>
      </c>
      <c r="S151" s="133">
        <f>PV($C$1, ($AB$3-$S$3), 0, -AB83)</f>
        <v>-720.98220739377359</v>
      </c>
      <c r="T151" s="133">
        <f>PV($C$1, ($AB$3-$S$3), 0, -$AE$83)</f>
        <v>-5561.8627427519668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/>
      <c r="S152" s="133"/>
      <c r="T152" s="20"/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>
      <c r="B153" s="20" t="s">
        <v>249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>
        <f t="shared" si="314"/>
        <v>0</v>
      </c>
      <c r="S153" s="133">
        <f>PV($C$1, ($AB$3-$S$3), 0, -AB88)</f>
        <v>0</v>
      </c>
      <c r="T153" s="133">
        <f>PV($C$1, ($AB$3-$S$3), 0, -AE88)</f>
        <v>0</v>
      </c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>
      <c r="B154" s="20" t="s">
        <v>250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>
        <f t="shared" si="314"/>
        <v>0</v>
      </c>
      <c r="S154" s="133">
        <f>PV($C$1, ($AB$3-$S$3), 0, -AB89)</f>
        <v>0</v>
      </c>
      <c r="T154" s="133">
        <f>PV($C$1, ($AB$3-$S$3), 0, -AE89)</f>
        <v>0</v>
      </c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/>
      <c r="S155" s="133"/>
      <c r="T155" s="133"/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55">
        <f t="shared" ref="R156" si="315">S156+T156</f>
        <v>605172.9636163261</v>
      </c>
      <c r="S156" s="155">
        <f>PV($C$1, ($AB$3-$S$3), 0, -AB12)</f>
        <v>69446.077792037438</v>
      </c>
      <c r="T156" s="155">
        <f>PV($C$1, ($AB$3-$S$3), 0, -AE12)</f>
        <v>535726.88582428871</v>
      </c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>
      <c r="B157" s="20" t="s">
        <v>295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55">
        <f>S157+T157</f>
        <v>12933.80986570477</v>
      </c>
      <c r="S157" s="155">
        <f>S156/P68</f>
        <v>1484.207689507105</v>
      </c>
      <c r="T157" s="155">
        <f>T156/P68</f>
        <v>11449.602176197664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40"/>
      <c r="T158" s="140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>
      <c r="B159" s="108" t="s">
        <v>298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/>
      <c r="S159" s="133"/>
      <c r="T159" s="133"/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>
      <c r="B160" s="20" t="s">
        <v>283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ref="R160" si="316">S160+T160</f>
        <v>178.11095604785402</v>
      </c>
      <c r="S160" s="133">
        <f>PV($C$1, ($AB$3-$S$3), 0, -AB91)+PV($C$1, ($AA$3-$S$3), 0, -AB91)+PV($C$1, ($Z$3-$S$3), 0, -AB91)+PV($C$1, ($Y$3-$S$3), 0, -AB91)+PV($C$1, ($X$3-$S$3), 0, -AB91)+PV($C$1, ($W$3-$S$3), 0, -AB91)+PV($C$1, ($V$3-$S$3), 0, -AB91)+PV($C$1, ($U$3-$S$3), 0, -AB91)+PV($C$1, ($T$3-$S$3), 0, -AB91)+PV($C$1, ($S$3-$S$3), 0, -AB91)</f>
        <v>140.3343671890951</v>
      </c>
      <c r="T160" s="133">
        <f>PV($C$1, ($AB$3-$S$3), 0, -AE91)</f>
        <v>37.77658885875892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>
      <c r="B161" s="23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/>
      <c r="S161" s="133"/>
      <c r="T161" s="133"/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>
      <c r="B162" s="20" t="s">
        <v>291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14"/>
        <v>0</v>
      </c>
      <c r="S162" s="133">
        <f>PV($C$1, ($AB$3-$S$3), 0, -AB93)+PV($C$1, ($AA$3-$S$3), 0, -AB93)+PV($C$1, ($Z$3-$S$3), 0, -AB93)+PV($C$1, ($Y$3-$S$3), 0, -AB93)+PV($C$1, ($X$3-$S$3), 0, -AB93)+PV($C$1, ($W$3-$S$3), 0, -AB93)+PV($C$1, ($V$3-$S$3), 0, -AB93)+PV($C$1, ($U$3-$S$3), 0, -AB93)+PV($C$1, ($T$3-$S$3), 0, -AB93)+PV($C$1, ($S$3-$S$3), 0, -AB93)</f>
        <v>0</v>
      </c>
      <c r="T162" s="133">
        <f>PV($C$1, ($AB$3-$S$3), 0, -AE93)</f>
        <v>0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 t="shared" ref="R164:R167" si="317">S164+T164</f>
        <v>0</v>
      </c>
      <c r="S164" s="133">
        <f>PV($C$1, ($AB$3-$S$3), 0, -AB95)+PV($C$1, ($AA$3-$S$3), 0, -AB95)+PV($C$1, ($Z$3-$S$3), 0, -AB95)+PV($C$1, ($Y$3-$S$3), 0, -AB95)+PV($C$1, ($X$3-$S$3), 0, -AB95)+PV($C$1, ($W$3-$S$3), 0, -AB95)+PV($C$1, ($V$3-$S$3), 0, -AB95)+PV($C$1, ($U$3-$S$3), 0, -AB95)+PV($C$1, ($T$3-$S$3), 0, -AB95)+PV($C$1, ($S$3-$S$3), 0, -AB95)</f>
        <v>0</v>
      </c>
      <c r="T164" s="133">
        <f>PV($C$1, ($AB$3-$S$3), 0, -AE95)</f>
        <v>0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40">
        <f t="shared" si="317"/>
        <v>0</v>
      </c>
      <c r="S165" s="133">
        <f>PV($C$1, ($AB$3-$S$3), 0, -AB96)+PV($C$1, ($AA$3-$S$3), 0, -AB96)+PV($C$1, ($Z$3-$S$3), 0, -AB96)+PV($C$1, ($Y$3-$S$3), 0, -AB96)+PV($C$1, ($X$3-$S$3), 0, -AB96)+PV($C$1, ($W$3-$S$3), 0, -AB96)+PV($C$1, ($V$3-$S$3), 0, -AB96)+PV($C$1, ($U$3-$S$3), 0, -AB96)+PV($C$1, ($T$3-$S$3), 0, -AB96)+PV($C$1, ($S$3-$S$3), 0, -AB96)</f>
        <v>0</v>
      </c>
      <c r="T165" s="133">
        <f>PV($C$1, ($AB$3-$S$3), 0, -AE96)</f>
        <v>0</v>
      </c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40">
        <f t="shared" si="317"/>
        <v>0</v>
      </c>
      <c r="S166" s="133">
        <f>PV($C$1, ($AB$3-$S$3), 0, -AB97)+PV($C$1, ($AA$3-$S$3), 0, -AB97)+PV($C$1, ($Z$3-$S$3), 0, -AB97)+PV($C$1, ($Y$3-$S$3), 0, -AB97)+PV($C$1, ($X$3-$S$3), 0, -AB97)+PV($C$1, ($W$3-$S$3), 0, -AB97)+PV($C$1, ($V$3-$S$3), 0, -AB97)+PV($C$1, ($U$3-$S$3), 0, -AB97)+PV($C$1, ($T$3-$S$3), 0, -AB97)+PV($C$1, ($S$3-$S$3), 0, -AB97)</f>
        <v>0</v>
      </c>
      <c r="T166" s="133">
        <f>PV($C$1, ($AB$3-$S$3), 0, -AE97)</f>
        <v>0</v>
      </c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>
      <c r="B167" s="20" t="s">
        <v>290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40">
        <f t="shared" si="317"/>
        <v>0</v>
      </c>
      <c r="S167" s="133">
        <f>PV($C$1, ($AB$3-$S$3), 0, -AB98)+PV($C$1, ($AA$3-$S$3), 0, -AB98)+PV($C$1, ($Z$3-$S$3), 0, -AB98)+PV($C$1, ($Y$3-$S$3), 0, -AB98)+PV($C$1, ($X$3-$S$3), 0, -AB98)+PV($C$1, ($W$3-$S$3), 0, -AB98)+PV($C$1, ($V$3-$S$3), 0, -AB98)+PV($C$1, ($U$3-$S$3), 0, -AB98)+PV($C$1, ($T$3-$S$3), 0, -AB98)+PV($C$1, ($S$3-$S$3), 0, -AB98)</f>
        <v>0</v>
      </c>
      <c r="T167" s="133">
        <f>PV($C$1, ($AB$3-$S$3), 0, -AE98)</f>
        <v>0</v>
      </c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40"/>
      <c r="S168" s="133"/>
      <c r="T168" s="133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>
      <c r="B169" s="20" t="s">
        <v>299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40">
        <f>S169+T169</f>
        <v>0</v>
      </c>
      <c r="S169" s="133">
        <f>PV($C$1, ($AB$3-$S$3), 0, -AB99)+PV($C$1, ($AA$3-$S$3), 0, -AB99)+PV($C$1, ($Z$3-$S$3), 0, -AB99)+PV($C$1, ($Y$3-$S$3), 0, -AB99)+PV($C$1, ($X$3-$S$3), 0, -AB99)+PV($C$1, ($W$3-$S$3), 0, -AB99)+PV($C$1, ($V$3-$S$3), 0, -AB99)+PV($C$1, ($U$3-$S$3), 0, -AB99)+PV($C$1, ($T$3-$S$3), 0, -AB99)+PV($C$1, ($S$3-$S$3), 0, -AB99)</f>
        <v>0</v>
      </c>
      <c r="T169" s="133">
        <f>PV($C$1, ($AB$3-$S$3), 0, -AE99)</f>
        <v>0</v>
      </c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>
        <v>645</v>
      </c>
      <c r="Q170" s="20"/>
      <c r="R170" s="20"/>
      <c r="S170" s="121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>
      <c r="B171" s="108" t="s">
        <v>251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>
        <v>1276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>
      <c r="B172" s="20" t="s">
        <v>204</v>
      </c>
      <c r="C172" s="22">
        <v>0</v>
      </c>
      <c r="D172" s="22">
        <v>0</v>
      </c>
      <c r="E172" s="22">
        <v>0</v>
      </c>
      <c r="F172" s="22">
        <v>40</v>
      </c>
      <c r="G172" s="22">
        <v>128</v>
      </c>
      <c r="H172" s="22">
        <v>230</v>
      </c>
      <c r="I172" s="22">
        <v>352</v>
      </c>
      <c r="J172" s="22">
        <v>475</v>
      </c>
      <c r="K172" s="22">
        <v>750</v>
      </c>
      <c r="L172" s="22">
        <v>400</v>
      </c>
      <c r="M172" s="22">
        <v>1177</v>
      </c>
      <c r="N172" s="22">
        <v>1400</v>
      </c>
      <c r="O172" s="22">
        <v>1165</v>
      </c>
      <c r="P172" s="22">
        <v>1276</v>
      </c>
      <c r="Q172" s="118">
        <f t="shared" ref="Q172:Q177" si="318">((P172/G172)^(1/($H$2-$H$1) ))-1</f>
        <v>0.29110058618797963</v>
      </c>
      <c r="R172" s="31">
        <f>L2-3%</f>
        <v>0.09</v>
      </c>
      <c r="S172" s="119">
        <f t="shared" ref="S172" si="319">P172*(1+$R172)</f>
        <v>1390.8400000000001</v>
      </c>
      <c r="T172" s="119">
        <f t="shared" ref="T172:AB172" si="320">S172*(1+$R172)</f>
        <v>1516.0156000000002</v>
      </c>
      <c r="U172" s="119">
        <f t="shared" si="320"/>
        <v>1652.4570040000003</v>
      </c>
      <c r="V172" s="119">
        <f t="shared" si="320"/>
        <v>1801.1781343600005</v>
      </c>
      <c r="W172" s="119">
        <f t="shared" si="320"/>
        <v>1963.2841664524008</v>
      </c>
      <c r="X172" s="119">
        <f t="shared" si="320"/>
        <v>2139.9797414331169</v>
      </c>
      <c r="Y172" s="119">
        <f t="shared" si="320"/>
        <v>2332.5779181620978</v>
      </c>
      <c r="Z172" s="119">
        <f t="shared" si="320"/>
        <v>2542.5099307966866</v>
      </c>
      <c r="AA172" s="119">
        <f t="shared" si="320"/>
        <v>2771.3358245683885</v>
      </c>
      <c r="AB172" s="119">
        <f t="shared" si="320"/>
        <v>3020.7560487795436</v>
      </c>
      <c r="AC172" s="138">
        <f t="shared" ref="AC172:AC177" si="321">((AB172/G172)^(1/($AB$3-$H$1) ))-1</f>
        <v>0.18102256075321432</v>
      </c>
      <c r="AD172" s="31">
        <v>0.08</v>
      </c>
      <c r="AE172" s="127">
        <f t="shared" ref="AE172:AE178" si="322">(AB172*(1+AC172))/($C$1-AD172)</f>
        <v>25482.721743859842</v>
      </c>
    </row>
    <row r="173" spans="2:31">
      <c r="B173" s="20" t="s">
        <v>382</v>
      </c>
      <c r="C173" s="25" t="e">
        <f t="shared" ref="C173:O173" si="323">C172/C73</f>
        <v>#DIV/0!</v>
      </c>
      <c r="D173" s="25" t="e">
        <f t="shared" si="323"/>
        <v>#DIV/0!</v>
      </c>
      <c r="E173" s="25" t="e">
        <f t="shared" si="323"/>
        <v>#DIV/0!</v>
      </c>
      <c r="F173" s="25" t="e">
        <f t="shared" si="323"/>
        <v>#DIV/0!</v>
      </c>
      <c r="G173" s="25">
        <f t="shared" si="323"/>
        <v>1.3983954695611136</v>
      </c>
      <c r="H173" s="25">
        <f t="shared" si="323"/>
        <v>2.7052428018908468</v>
      </c>
      <c r="I173" s="25">
        <f t="shared" si="323"/>
        <v>2.722576346474181</v>
      </c>
      <c r="J173" s="25">
        <f t="shared" si="323"/>
        <v>2.4556636680741692</v>
      </c>
      <c r="K173" s="25">
        <f t="shared" si="323"/>
        <v>3.0638990406578346</v>
      </c>
      <c r="L173" s="25">
        <f t="shared" si="323"/>
        <v>1.0473626773372136</v>
      </c>
      <c r="M173" s="25">
        <f t="shared" si="323"/>
        <v>3.0558399025828362</v>
      </c>
      <c r="N173" s="25">
        <f t="shared" si="323"/>
        <v>2.8987188540300615</v>
      </c>
      <c r="O173" s="25">
        <f t="shared" si="323"/>
        <v>1.7516119641947456</v>
      </c>
      <c r="P173" s="25">
        <f>P172/P73</f>
        <v>1.7542469295410472</v>
      </c>
      <c r="Q173" s="118">
        <f t="shared" ref="Q173" si="324">((P173/G173)^(1/($H$2-$H$1) ))-1</f>
        <v>2.5510425046162633E-2</v>
      </c>
      <c r="R173" s="128"/>
      <c r="S173" s="25">
        <f>S172/S73</f>
        <v>1.9633468983747344</v>
      </c>
      <c r="T173" s="25">
        <f t="shared" ref="T173:AB173" si="325">T172/T73</f>
        <v>2.197370836707794</v>
      </c>
      <c r="U173" s="25">
        <f t="shared" si="325"/>
        <v>2.4592895926903746</v>
      </c>
      <c r="V173" s="25">
        <f t="shared" si="325"/>
        <v>2.7524281289619505</v>
      </c>
      <c r="W173" s="25">
        <f t="shared" si="325"/>
        <v>3.0805077318337539</v>
      </c>
      <c r="X173" s="25">
        <f t="shared" si="325"/>
        <v>3.447693251655009</v>
      </c>
      <c r="Y173" s="25">
        <f t="shared" si="325"/>
        <v>3.8586459740621017</v>
      </c>
      <c r="Z173" s="25">
        <f t="shared" si="325"/>
        <v>4.3185827932918253</v>
      </c>
      <c r="AA173" s="25">
        <f t="shared" si="325"/>
        <v>4.8333424387422337</v>
      </c>
      <c r="AB173" s="25">
        <f t="shared" si="325"/>
        <v>5.4094595955030247</v>
      </c>
      <c r="AC173" s="138">
        <f t="shared" ref="AC173" si="326">((AB173/G173)^(1/($AB$3-$H$1) ))-1</f>
        <v>7.3797303671221837E-2</v>
      </c>
      <c r="AD173" s="31">
        <v>0.08</v>
      </c>
      <c r="AE173" s="127">
        <f t="shared" ref="AE173" si="327">(AB173*(1+AC173))/($C$1-AD173)</f>
        <v>41.490450914068326</v>
      </c>
    </row>
    <row r="174" spans="2:31">
      <c r="B174" s="20" t="s">
        <v>42</v>
      </c>
      <c r="C174" s="25" t="e">
        <f t="shared" ref="C174:P174" si="328">C172/C76</f>
        <v>#DIV/0!</v>
      </c>
      <c r="D174" s="25" t="e">
        <f t="shared" si="328"/>
        <v>#DIV/0!</v>
      </c>
      <c r="E174" s="25" t="e">
        <f t="shared" si="328"/>
        <v>#DIV/0!</v>
      </c>
      <c r="F174" s="25" t="e">
        <f t="shared" si="328"/>
        <v>#DIV/0!</v>
      </c>
      <c r="G174" s="25">
        <f t="shared" si="328"/>
        <v>10.934317343173431</v>
      </c>
      <c r="H174" s="25">
        <f t="shared" si="328"/>
        <v>19.429320987654322</v>
      </c>
      <c r="I174" s="25">
        <f t="shared" si="328"/>
        <v>20.220041237113403</v>
      </c>
      <c r="J174" s="25">
        <f t="shared" si="328"/>
        <v>20.297420333839149</v>
      </c>
      <c r="K174" s="25">
        <f t="shared" si="328"/>
        <v>25.049019607843139</v>
      </c>
      <c r="L174" s="25">
        <f t="shared" si="328"/>
        <v>7.9448123620309055</v>
      </c>
      <c r="M174" s="25">
        <f t="shared" si="328"/>
        <v>19.241432606941082</v>
      </c>
      <c r="N174" s="25">
        <f t="shared" si="328"/>
        <v>17.186004784688993</v>
      </c>
      <c r="O174" s="25">
        <f t="shared" si="328"/>
        <v>11.412470365101944</v>
      </c>
      <c r="P174" s="25">
        <f t="shared" si="328"/>
        <v>11.409141983565831</v>
      </c>
      <c r="Q174" s="118">
        <f t="shared" si="318"/>
        <v>4.7343650633238088E-3</v>
      </c>
      <c r="R174" s="128"/>
      <c r="S174" s="119">
        <f t="shared" ref="S174:AB174" si="329">S172/S76</f>
        <v>12.769070961071222</v>
      </c>
      <c r="T174" s="119">
        <f t="shared" si="329"/>
        <v>14.291098615806048</v>
      </c>
      <c r="U174" s="119">
        <f t="shared" si="329"/>
        <v>15.994546531172212</v>
      </c>
      <c r="V174" s="119">
        <f t="shared" si="329"/>
        <v>17.901039354307471</v>
      </c>
      <c r="W174" s="119">
        <f t="shared" si="329"/>
        <v>20.034779313057513</v>
      </c>
      <c r="X174" s="119">
        <f t="shared" si="329"/>
        <v>22.422853454390701</v>
      </c>
      <c r="Y174" s="119">
        <f t="shared" si="329"/>
        <v>25.095577504534592</v>
      </c>
      <c r="Z174" s="119">
        <f t="shared" si="329"/>
        <v>28.086880716012598</v>
      </c>
      <c r="AA174" s="119">
        <f t="shared" si="329"/>
        <v>31.434736587073026</v>
      </c>
      <c r="AB174" s="119">
        <f t="shared" si="329"/>
        <v>35.181644921335739</v>
      </c>
      <c r="AC174" s="138">
        <f t="shared" si="321"/>
        <v>6.3437116232447632E-2</v>
      </c>
      <c r="AD174" s="31">
        <v>0.08</v>
      </c>
      <c r="AE174" s="127">
        <f t="shared" si="322"/>
        <v>267.23905013899434</v>
      </c>
    </row>
    <row r="175" spans="2:31">
      <c r="B175" s="20" t="s">
        <v>259</v>
      </c>
      <c r="C175" s="25" t="e">
        <f t="shared" ref="C175:P175" si="330">C172/C78</f>
        <v>#DIV/0!</v>
      </c>
      <c r="D175" s="25" t="e">
        <f t="shared" si="330"/>
        <v>#DIV/0!</v>
      </c>
      <c r="E175" s="25" t="e">
        <f t="shared" si="330"/>
        <v>#DIV/0!</v>
      </c>
      <c r="F175" s="25" t="e">
        <f t="shared" si="330"/>
        <v>#DIV/0!</v>
      </c>
      <c r="G175" s="25">
        <f t="shared" si="330"/>
        <v>3.2742541436464085</v>
      </c>
      <c r="H175" s="25">
        <f t="shared" si="330"/>
        <v>2.9499062792877226</v>
      </c>
      <c r="I175" s="25">
        <f t="shared" si="330"/>
        <v>3.7819976860779017</v>
      </c>
      <c r="J175" s="25">
        <f t="shared" si="330"/>
        <v>4.3065035415325177</v>
      </c>
      <c r="K175" s="25">
        <f t="shared" si="330"/>
        <v>3.196032880629021</v>
      </c>
      <c r="L175" s="25">
        <f t="shared" si="330"/>
        <v>1.4637519064565327</v>
      </c>
      <c r="M175" s="25">
        <f t="shared" si="330"/>
        <v>3.0597619200410699</v>
      </c>
      <c r="N175" s="25">
        <f t="shared" si="330"/>
        <v>3.1091755031378487</v>
      </c>
      <c r="O175" s="25">
        <f t="shared" si="330"/>
        <v>2.1617477995329621</v>
      </c>
      <c r="P175" s="25">
        <f t="shared" si="330"/>
        <v>1.8263701437748547</v>
      </c>
      <c r="Q175" s="118">
        <f t="shared" si="318"/>
        <v>-6.2803382301926503E-2</v>
      </c>
      <c r="R175" s="128"/>
      <c r="S175" s="119">
        <f t="shared" ref="S175:AB175" si="331">S172/S78</f>
        <v>2.0440669421623037</v>
      </c>
      <c r="T175" s="119">
        <f t="shared" si="331"/>
        <v>2.2877124214289704</v>
      </c>
      <c r="U175" s="119">
        <f t="shared" si="331"/>
        <v>2.5603995716617982</v>
      </c>
      <c r="V175" s="119">
        <f t="shared" si="331"/>
        <v>2.8655900563197001</v>
      </c>
      <c r="W175" s="119">
        <f t="shared" si="331"/>
        <v>3.2071581567828074</v>
      </c>
      <c r="X175" s="119">
        <f t="shared" si="331"/>
        <v>3.5894399549350435</v>
      </c>
      <c r="Y175" s="119">
        <f t="shared" si="331"/>
        <v>4.0172883781348894</v>
      </c>
      <c r="Z175" s="119">
        <f t="shared" si="331"/>
        <v>4.4961348053500751</v>
      </c>
      <c r="AA175" s="119">
        <f t="shared" si="331"/>
        <v>5.0320580165234983</v>
      </c>
      <c r="AB175" s="119">
        <f t="shared" si="331"/>
        <v>5.6318613604573242</v>
      </c>
      <c r="AC175" s="138">
        <f t="shared" si="321"/>
        <v>2.8956036709373745E-2</v>
      </c>
      <c r="AD175" s="31">
        <v>0.08</v>
      </c>
      <c r="AE175" s="127">
        <f t="shared" si="322"/>
        <v>41.392412462520213</v>
      </c>
    </row>
    <row r="176" spans="2:31">
      <c r="B176" s="20" t="s">
        <v>260</v>
      </c>
      <c r="C176" s="25" t="e">
        <f t="shared" ref="C176:P176" si="332">C172/C87</f>
        <v>#DIV/0!</v>
      </c>
      <c r="D176" s="25" t="e">
        <f t="shared" si="332"/>
        <v>#DIV/0!</v>
      </c>
      <c r="E176" s="25" t="e">
        <f t="shared" si="332"/>
        <v>#DIV/0!</v>
      </c>
      <c r="F176" s="25" t="e">
        <f t="shared" si="332"/>
        <v>#DIV/0!</v>
      </c>
      <c r="G176" s="25">
        <f t="shared" si="332"/>
        <v>0.13947095923938621</v>
      </c>
      <c r="H176" s="25">
        <f t="shared" si="332"/>
        <v>0.18611891316559739</v>
      </c>
      <c r="I176" s="25">
        <f t="shared" si="332"/>
        <v>0.21001648998822142</v>
      </c>
      <c r="J176" s="25">
        <f t="shared" si="332"/>
        <v>0.22039148487444801</v>
      </c>
      <c r="K176" s="25">
        <f t="shared" si="332"/>
        <v>0.33436573023905081</v>
      </c>
      <c r="L176" s="25">
        <f t="shared" si="332"/>
        <v>0.13384033246250965</v>
      </c>
      <c r="M176" s="25">
        <f t="shared" si="332"/>
        <v>0.37555643948046219</v>
      </c>
      <c r="N176" s="25">
        <f t="shared" si="332"/>
        <v>0.3483410311427913</v>
      </c>
      <c r="O176" s="25">
        <f t="shared" si="332"/>
        <v>0.24095887393881149</v>
      </c>
      <c r="P176" s="25">
        <f t="shared" si="332"/>
        <v>0.241467472851914</v>
      </c>
      <c r="Q176" s="118">
        <f t="shared" si="318"/>
        <v>6.2884550261660177E-2</v>
      </c>
      <c r="R176" s="128"/>
      <c r="S176" s="119">
        <f t="shared" ref="S176:AB176" si="333">S172/S87</f>
        <v>0.27024953323203049</v>
      </c>
      <c r="T176" s="119">
        <f t="shared" si="333"/>
        <v>0.3024623124163841</v>
      </c>
      <c r="U176" s="119">
        <f t="shared" si="333"/>
        <v>0.3385147398338727</v>
      </c>
      <c r="V176" s="119">
        <f t="shared" si="333"/>
        <v>0.37886448784085669</v>
      </c>
      <c r="W176" s="119">
        <f t="shared" si="333"/>
        <v>0.42402378170403021</v>
      </c>
      <c r="X176" s="119">
        <f t="shared" si="333"/>
        <v>0.4745659021125016</v>
      </c>
      <c r="Y176" s="119">
        <f t="shared" si="333"/>
        <v>0.53113246276608994</v>
      </c>
      <c r="Z176" s="119">
        <f t="shared" si="333"/>
        <v>0.59444155542615507</v>
      </c>
      <c r="AA176" s="119">
        <f t="shared" si="333"/>
        <v>0.66529686582739767</v>
      </c>
      <c r="AB176" s="119">
        <f t="shared" si="333"/>
        <v>0.74459787617378814</v>
      </c>
      <c r="AC176" s="138">
        <f t="shared" si="321"/>
        <v>9.2159859688933921E-2</v>
      </c>
      <c r="AD176" s="31">
        <v>0.08</v>
      </c>
      <c r="AE176" s="127">
        <f t="shared" si="322"/>
        <v>5.8087136569045903</v>
      </c>
    </row>
    <row r="177" spans="2:31">
      <c r="B177" s="20" t="s">
        <v>261</v>
      </c>
      <c r="C177" s="25" t="e">
        <f t="shared" ref="C177:P177" si="334">C172/C89</f>
        <v>#DIV/0!</v>
      </c>
      <c r="D177" s="25" t="e">
        <f t="shared" si="334"/>
        <v>#DIV/0!</v>
      </c>
      <c r="E177" s="25" t="e">
        <f t="shared" si="334"/>
        <v>#DIV/0!</v>
      </c>
      <c r="F177" s="25" t="e">
        <f t="shared" si="334"/>
        <v>#DIV/0!</v>
      </c>
      <c r="G177" s="25" t="e">
        <f t="shared" si="334"/>
        <v>#DIV/0!</v>
      </c>
      <c r="H177" s="25" t="e">
        <f t="shared" si="334"/>
        <v>#DIV/0!</v>
      </c>
      <c r="I177" s="25" t="e">
        <f t="shared" si="334"/>
        <v>#DIV/0!</v>
      </c>
      <c r="J177" s="25" t="e">
        <f t="shared" si="334"/>
        <v>#DIV/0!</v>
      </c>
      <c r="K177" s="25" t="e">
        <f t="shared" si="334"/>
        <v>#DIV/0!</v>
      </c>
      <c r="L177" s="25" t="e">
        <f t="shared" si="334"/>
        <v>#DIV/0!</v>
      </c>
      <c r="M177" s="25" t="e">
        <f t="shared" si="334"/>
        <v>#DIV/0!</v>
      </c>
      <c r="N177" s="25" t="e">
        <f t="shared" si="334"/>
        <v>#DIV/0!</v>
      </c>
      <c r="O177" s="25" t="e">
        <f t="shared" si="334"/>
        <v>#DIV/0!</v>
      </c>
      <c r="P177" s="25" t="e">
        <f t="shared" si="334"/>
        <v>#DIV/0!</v>
      </c>
      <c r="Q177" s="118" t="e">
        <f t="shared" si="318"/>
        <v>#DIV/0!</v>
      </c>
      <c r="R177" s="128"/>
      <c r="S177" s="119" t="e">
        <f t="shared" ref="S177:AB177" si="335">S172/S89</f>
        <v>#DIV/0!</v>
      </c>
      <c r="T177" s="119" t="e">
        <f t="shared" si="335"/>
        <v>#DIV/0!</v>
      </c>
      <c r="U177" s="119" t="e">
        <f t="shared" si="335"/>
        <v>#DIV/0!</v>
      </c>
      <c r="V177" s="119" t="e">
        <f t="shared" si="335"/>
        <v>#DIV/0!</v>
      </c>
      <c r="W177" s="119" t="e">
        <f t="shared" si="335"/>
        <v>#DIV/0!</v>
      </c>
      <c r="X177" s="119" t="e">
        <f t="shared" si="335"/>
        <v>#DIV/0!</v>
      </c>
      <c r="Y177" s="119" t="e">
        <f t="shared" si="335"/>
        <v>#DIV/0!</v>
      </c>
      <c r="Z177" s="119" t="e">
        <f t="shared" si="335"/>
        <v>#DIV/0!</v>
      </c>
      <c r="AA177" s="119" t="e">
        <f t="shared" si="335"/>
        <v>#DIV/0!</v>
      </c>
      <c r="AB177" s="119" t="e">
        <f t="shared" si="335"/>
        <v>#DIV/0!</v>
      </c>
      <c r="AC177" s="138" t="e">
        <f t="shared" si="321"/>
        <v>#DIV/0!</v>
      </c>
      <c r="AD177" s="31">
        <v>0.08</v>
      </c>
      <c r="AE177" s="127" t="e">
        <f t="shared" si="322"/>
        <v>#DIV/0!</v>
      </c>
    </row>
    <row r="178" spans="2:31">
      <c r="B178" s="20" t="s">
        <v>282</v>
      </c>
      <c r="C178" s="25" t="e">
        <f>C174/C130</f>
        <v>#DIV/0!</v>
      </c>
      <c r="D178" s="25" t="e">
        <f>D174/D130</f>
        <v>#DIV/0!</v>
      </c>
      <c r="E178" s="25" t="e">
        <f>E174/E130</f>
        <v>#DIV/0!</v>
      </c>
      <c r="F178" s="25" t="e">
        <f>F174/F130</f>
        <v>#DIV/0!</v>
      </c>
      <c r="G178" s="25">
        <f t="shared" ref="G178:P178" si="336">G172/G83</f>
        <v>-0.14566189844172442</v>
      </c>
      <c r="H178" s="25">
        <f t="shared" si="336"/>
        <v>-0.20259719361483008</v>
      </c>
      <c r="I178" s="25">
        <f t="shared" si="336"/>
        <v>-0.24572702899095442</v>
      </c>
      <c r="J178" s="25">
        <f t="shared" si="336"/>
        <v>-0.22078800983774327</v>
      </c>
      <c r="K178" s="25">
        <f t="shared" si="336"/>
        <v>-0.31752654191669927</v>
      </c>
      <c r="L178" s="25">
        <f t="shared" si="336"/>
        <v>-0.12267784708729591</v>
      </c>
      <c r="M178" s="25">
        <f t="shared" si="336"/>
        <v>-0.33469468408454361</v>
      </c>
      <c r="N178" s="25">
        <f t="shared" si="336"/>
        <v>-0.29240866999084153</v>
      </c>
      <c r="O178" s="25">
        <f t="shared" si="336"/>
        <v>-0.20804830191288715</v>
      </c>
      <c r="P178" s="25">
        <f t="shared" si="336"/>
        <v>-0.22692872563626967</v>
      </c>
      <c r="Q178" s="118">
        <f t="shared" ref="Q178:Q180" si="337">((P178/G178)^(1/($H$2-$H$1) ))-1</f>
        <v>5.0494355373858157E-2</v>
      </c>
      <c r="R178" s="128"/>
      <c r="S178" s="135">
        <f t="shared" ref="S178:AB178" si="338">S172/S83</f>
        <v>-0.25397781927237856</v>
      </c>
      <c r="T178" s="135">
        <f t="shared" si="338"/>
        <v>-0.28425106826600577</v>
      </c>
      <c r="U178" s="135">
        <f t="shared" si="338"/>
        <v>-0.31813278042092696</v>
      </c>
      <c r="V178" s="135">
        <f t="shared" si="338"/>
        <v>-0.35605307165859995</v>
      </c>
      <c r="W178" s="135">
        <f t="shared" si="338"/>
        <v>-0.39849332618219196</v>
      </c>
      <c r="X178" s="135">
        <f t="shared" si="338"/>
        <v>-0.44599230747265861</v>
      </c>
      <c r="Y178" s="135">
        <f t="shared" si="338"/>
        <v>-0.49915299769372995</v>
      </c>
      <c r="Z178" s="135">
        <f t="shared" si="338"/>
        <v>-0.55865025232954502</v>
      </c>
      <c r="AA178" s="135">
        <f t="shared" si="338"/>
        <v>-0.62523936722775408</v>
      </c>
      <c r="AB178" s="135">
        <f t="shared" si="338"/>
        <v>-0.69976566680356211</v>
      </c>
      <c r="AC178" s="138">
        <f t="shared" ref="AC178" si="339">((AB178/G178)^(1/($AB$3-$H$1) ))-1</f>
        <v>8.6110556796609616E-2</v>
      </c>
      <c r="AD178" s="31">
        <v>0.08</v>
      </c>
      <c r="AE178" s="127">
        <f t="shared" si="322"/>
        <v>-5.4287348428511972</v>
      </c>
    </row>
    <row r="179" spans="2:31">
      <c r="B179" s="20" t="s">
        <v>321</v>
      </c>
      <c r="C179" s="162" t="e">
        <f t="shared" ref="C179:P179" si="340">C76/C172</f>
        <v>#DIV/0!</v>
      </c>
      <c r="D179" s="162" t="e">
        <f t="shared" si="340"/>
        <v>#DIV/0!</v>
      </c>
      <c r="E179" s="162" t="e">
        <f t="shared" si="340"/>
        <v>#DIV/0!</v>
      </c>
      <c r="F179" s="162">
        <f t="shared" si="340"/>
        <v>0</v>
      </c>
      <c r="G179" s="162">
        <f t="shared" si="340"/>
        <v>9.1455183585313182E-2</v>
      </c>
      <c r="H179" s="162">
        <f t="shared" si="340"/>
        <v>5.1468602563898909E-2</v>
      </c>
      <c r="I179" s="162">
        <f t="shared" si="340"/>
        <v>4.9455883312667231E-2</v>
      </c>
      <c r="J179" s="162">
        <f t="shared" si="340"/>
        <v>4.9267344497607654E-2</v>
      </c>
      <c r="K179" s="162">
        <f t="shared" si="340"/>
        <v>3.9921722113502936E-2</v>
      </c>
      <c r="L179" s="162">
        <f t="shared" si="340"/>
        <v>0.12586829674909697</v>
      </c>
      <c r="M179" s="162">
        <f t="shared" si="340"/>
        <v>5.1971182210167853E-2</v>
      </c>
      <c r="N179" s="162">
        <f t="shared" si="340"/>
        <v>5.8186880111362457E-2</v>
      </c>
      <c r="O179" s="162">
        <f t="shared" si="340"/>
        <v>8.7623447685602582E-2</v>
      </c>
      <c r="P179" s="162">
        <f t="shared" si="340"/>
        <v>8.7649010016742593E-2</v>
      </c>
      <c r="Q179" s="118">
        <f t="shared" si="337"/>
        <v>-4.7120564678062582E-3</v>
      </c>
      <c r="R179" s="128"/>
      <c r="S179" s="162">
        <f t="shared" ref="S179:AB179" si="341">S76/S172</f>
        <v>7.8314233122259047E-2</v>
      </c>
      <c r="T179" s="162">
        <f t="shared" si="341"/>
        <v>6.9973626722720492E-2</v>
      </c>
      <c r="U179" s="162">
        <f t="shared" si="341"/>
        <v>6.252130987590504E-2</v>
      </c>
      <c r="V179" s="162">
        <f t="shared" si="341"/>
        <v>5.5862678149990942E-2</v>
      </c>
      <c r="W179" s="162">
        <f t="shared" si="341"/>
        <v>4.9913202654958008E-2</v>
      </c>
      <c r="X179" s="162">
        <f t="shared" si="341"/>
        <v>4.459735697930034E-2</v>
      </c>
      <c r="Y179" s="162">
        <f t="shared" si="341"/>
        <v>3.9847658409905375E-2</v>
      </c>
      <c r="Z179" s="162">
        <f t="shared" si="341"/>
        <v>3.5603811263736754E-2</v>
      </c>
      <c r="AA179" s="162">
        <f t="shared" si="341"/>
        <v>3.1811941456230688E-2</v>
      </c>
      <c r="AB179" s="162">
        <f t="shared" si="341"/>
        <v>2.8423912589532013E-2</v>
      </c>
      <c r="AC179" s="138">
        <f t="shared" ref="AC179:AC180" si="342">((AB179/G179)^(1/($AB$3-$H$1) ))-1</f>
        <v>-5.9652907787526854E-2</v>
      </c>
      <c r="AD179" s="31">
        <v>0.08</v>
      </c>
      <c r="AE179" s="127">
        <f t="shared" ref="AE179:AE180" si="343">(AB179*(1+AC179))/($C$1-AD179)</f>
        <v>0.19091673966334238</v>
      </c>
    </row>
    <row r="180" spans="2:31">
      <c r="B180" s="20" t="s">
        <v>322</v>
      </c>
      <c r="C180" s="153" t="e">
        <f t="shared" ref="C180:P180" si="344">C70/C172</f>
        <v>#DIV/0!</v>
      </c>
      <c r="D180" s="153" t="e">
        <f t="shared" si="344"/>
        <v>#DIV/0!</v>
      </c>
      <c r="E180" s="153" t="e">
        <f t="shared" si="344"/>
        <v>#DIV/0!</v>
      </c>
      <c r="F180" s="153">
        <f t="shared" si="344"/>
        <v>5.5000000000000007E-2</v>
      </c>
      <c r="G180" s="153">
        <f t="shared" si="344"/>
        <v>1.953125E-2</v>
      </c>
      <c r="H180" s="153">
        <f t="shared" si="344"/>
        <v>1.2173913043478261E-2</v>
      </c>
      <c r="I180" s="153">
        <f t="shared" si="344"/>
        <v>9.943181818181818E-3</v>
      </c>
      <c r="J180" s="153">
        <f t="shared" si="344"/>
        <v>9.4736842105263164E-3</v>
      </c>
      <c r="K180" s="153">
        <f t="shared" si="344"/>
        <v>8.0000000000000002E-3</v>
      </c>
      <c r="L180" s="153">
        <f t="shared" si="344"/>
        <v>2.5000000000000001E-2</v>
      </c>
      <c r="M180" s="153">
        <f t="shared" si="344"/>
        <v>1.0195412064570943E-2</v>
      </c>
      <c r="N180" s="153">
        <f t="shared" si="344"/>
        <v>0.01</v>
      </c>
      <c r="O180" s="153">
        <f t="shared" si="344"/>
        <v>1.3733905579399141E-2</v>
      </c>
      <c r="P180" s="153">
        <f t="shared" si="344"/>
        <v>1.4106583072100314E-2</v>
      </c>
      <c r="Q180" s="118">
        <f t="shared" si="337"/>
        <v>-3.5506982337009885E-2</v>
      </c>
      <c r="R180" s="128"/>
      <c r="S180" s="153">
        <f t="shared" ref="S180:AB180" si="345">S70/S172</f>
        <v>1.3588910298812229E-2</v>
      </c>
      <c r="T180" s="153">
        <f t="shared" si="345"/>
        <v>1.3090234691516368E-2</v>
      </c>
      <c r="U180" s="153">
        <f t="shared" si="345"/>
        <v>1.2609859106506593E-2</v>
      </c>
      <c r="V180" s="153">
        <f t="shared" si="345"/>
        <v>1.2147111983332038E-2</v>
      </c>
      <c r="W180" s="153">
        <f t="shared" si="345"/>
        <v>1.1701346405962054E-2</v>
      </c>
      <c r="X180" s="153">
        <f t="shared" si="345"/>
        <v>1.1271939198403812E-2</v>
      </c>
      <c r="Y180" s="153">
        <f t="shared" si="345"/>
        <v>1.085829005350826E-2</v>
      </c>
      <c r="Z180" s="153">
        <f t="shared" si="345"/>
        <v>1.0459820693746489E-2</v>
      </c>
      <c r="AA180" s="153">
        <f t="shared" si="345"/>
        <v>1.0075974062783315E-2</v>
      </c>
      <c r="AB180" s="153">
        <f t="shared" si="345"/>
        <v>9.7062135467178724E-3</v>
      </c>
      <c r="AC180" s="138">
        <f t="shared" si="342"/>
        <v>-3.6133621007988226E-2</v>
      </c>
      <c r="AD180" s="31">
        <v>0.08</v>
      </c>
      <c r="AE180" s="127">
        <f t="shared" si="343"/>
        <v>6.6824949321415486E-2</v>
      </c>
    </row>
    <row r="181" spans="2:31">
      <c r="B181" s="20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28"/>
      <c r="R181" s="128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8"/>
      <c r="AD181" s="31"/>
      <c r="AE181" s="127"/>
    </row>
    <row r="182" spans="2:31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28"/>
      <c r="R182" s="128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7"/>
      <c r="AD182" s="20"/>
      <c r="AE182" s="127"/>
    </row>
    <row r="183" spans="2:31">
      <c r="B183" s="108" t="s">
        <v>302</v>
      </c>
      <c r="C183" s="20"/>
      <c r="D183" s="20"/>
      <c r="E183" s="20"/>
      <c r="F183" s="20"/>
      <c r="G183" s="20"/>
      <c r="H183" s="20"/>
      <c r="I183" s="20"/>
      <c r="J183" s="20"/>
      <c r="K183" s="185" t="s">
        <v>352</v>
      </c>
      <c r="L183" s="186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31">
      <c r="B184" s="20" t="s">
        <v>300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353</v>
      </c>
      <c r="L184" s="22">
        <v>1</v>
      </c>
      <c r="M184" s="20"/>
      <c r="N184" s="20"/>
      <c r="O184" s="20"/>
      <c r="P184" s="128">
        <f>(P172-R160)/P172</f>
        <v>0.86041461124776331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37"/>
      <c r="AD184" s="20"/>
      <c r="AE184" s="20"/>
    </row>
    <row r="185" spans="2:31">
      <c r="B185" s="20" t="s">
        <v>350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3">
        <f>L184</f>
        <v>1</v>
      </c>
      <c r="L185" s="20"/>
      <c r="M185" s="128">
        <f>(P172-(K185*R151))/P172</f>
        <v>5.9238596787976023</v>
      </c>
      <c r="N185" s="20"/>
      <c r="O185" s="20"/>
      <c r="P185" s="128">
        <f>(P172-R151)/P172</f>
        <v>5.9238596787976023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37"/>
      <c r="AD185" s="20"/>
      <c r="AE185" s="20"/>
    </row>
    <row r="186" spans="2:31">
      <c r="B186" s="20" t="s">
        <v>351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3">
        <f>L184</f>
        <v>1</v>
      </c>
      <c r="L186" s="20"/>
      <c r="M186" s="128">
        <f>(P172-(K185*R144))/P172</f>
        <v>0.37944575656957558</v>
      </c>
      <c r="N186" s="20"/>
      <c r="O186" s="20"/>
      <c r="P186" s="128">
        <f>(P172-R144)/P172</f>
        <v>0.37944575656957558</v>
      </c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137"/>
      <c r="AD186" s="20"/>
      <c r="AE186" s="20"/>
    </row>
    <row r="187" spans="2:31">
      <c r="B187" s="20" t="s">
        <v>354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3">
        <f>L184</f>
        <v>1</v>
      </c>
      <c r="L187" s="20"/>
      <c r="M187" s="128">
        <f>(P172-(K185*R157))/P172</f>
        <v>-9.1362146282952743</v>
      </c>
      <c r="N187" s="20"/>
      <c r="O187" s="20"/>
      <c r="P187" s="128">
        <f>(P172-R157)/P172</f>
        <v>-9.1362146282952743</v>
      </c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137"/>
      <c r="AD187" s="20"/>
      <c r="AE187" s="20"/>
    </row>
    <row r="188" spans="2:31">
      <c r="B188" s="20" t="s">
        <v>301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5">
        <f>P172/R143</f>
        <v>10.210754694978174</v>
      </c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137"/>
      <c r="AD188" s="20"/>
      <c r="AE188" s="20"/>
    </row>
    <row r="189" spans="2:31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>
      <c r="B190" s="108" t="s">
        <v>303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>
      <c r="B191" s="20" t="s">
        <v>306</v>
      </c>
      <c r="C191" s="25" t="e">
        <f t="shared" ref="C191:P191" si="346">C10/C7</f>
        <v>#DIV/0!</v>
      </c>
      <c r="D191" s="25" t="e">
        <f t="shared" si="346"/>
        <v>#DIV/0!</v>
      </c>
      <c r="E191" s="25" t="e">
        <f t="shared" si="346"/>
        <v>#DIV/0!</v>
      </c>
      <c r="F191" s="25" t="e">
        <f t="shared" si="346"/>
        <v>#DIV/0!</v>
      </c>
      <c r="G191" s="25">
        <f t="shared" si="346"/>
        <v>18.876098418277682</v>
      </c>
      <c r="H191" s="25">
        <f t="shared" si="346"/>
        <v>13.834365964477488</v>
      </c>
      <c r="I191" s="25">
        <f t="shared" si="346"/>
        <v>14.833275563258232</v>
      </c>
      <c r="J191" s="25">
        <f t="shared" si="346"/>
        <v>18.834265528407418</v>
      </c>
      <c r="K191" s="25">
        <f t="shared" si="346"/>
        <v>10.651473612063057</v>
      </c>
      <c r="L191" s="25">
        <f t="shared" si="346"/>
        <v>12.510348209906818</v>
      </c>
      <c r="M191" s="25">
        <f t="shared" si="346"/>
        <v>9.9098129964350488</v>
      </c>
      <c r="N191" s="25">
        <f t="shared" si="346"/>
        <v>11.402244098655657</v>
      </c>
      <c r="O191" s="25">
        <f t="shared" si="346"/>
        <v>11.201402054583131</v>
      </c>
      <c r="P191" s="25">
        <f t="shared" si="346"/>
        <v>8.9346160805838704</v>
      </c>
      <c r="Q191" s="118">
        <f t="shared" ref="Q191:Q193" si="347">((P191/G191)^(1/($H$2-$H$1) ))-1</f>
        <v>-7.974735659137322E-2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>
      <c r="B192" s="20" t="s">
        <v>307</v>
      </c>
      <c r="C192" s="112" t="e">
        <f>C10/C12</f>
        <v>#DIV/0!</v>
      </c>
      <c r="D192" s="112" t="e">
        <f>D10/D12</f>
        <v>#DIV/0!</v>
      </c>
      <c r="E192" s="112" t="e">
        <f>E10/E12</f>
        <v>#DIV/0!</v>
      </c>
      <c r="F192" s="112" t="e">
        <f>F10/F12</f>
        <v>#DIV/0!</v>
      </c>
      <c r="G192" s="112">
        <f>G10/G12</f>
        <v>1.5966255388731976</v>
      </c>
      <c r="H192" s="112">
        <f t="shared" ref="H192:P192" si="348">H10/H12</f>
        <v>1.7132845669855234</v>
      </c>
      <c r="I192" s="112">
        <f t="shared" si="348"/>
        <v>1.700333757151939</v>
      </c>
      <c r="J192" s="112">
        <f t="shared" si="348"/>
        <v>1.8926194349948233</v>
      </c>
      <c r="K192" s="112">
        <f t="shared" si="348"/>
        <v>2.0108908969354524</v>
      </c>
      <c r="L192" s="112">
        <f t="shared" si="348"/>
        <v>2.0809756893457334</v>
      </c>
      <c r="M192" s="112">
        <f t="shared" si="348"/>
        <v>2.2290561737686931</v>
      </c>
      <c r="N192" s="112">
        <f t="shared" si="348"/>
        <v>2.3116476205805032</v>
      </c>
      <c r="O192" s="112">
        <f t="shared" si="348"/>
        <v>2.377605165878995</v>
      </c>
      <c r="P192" s="112">
        <f t="shared" si="348"/>
        <v>2.212881973752026</v>
      </c>
      <c r="Q192" s="118">
        <f t="shared" si="347"/>
        <v>3.6932712334794005E-2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>
      <c r="B193" s="20" t="s">
        <v>308</v>
      </c>
      <c r="C193" s="25" t="e">
        <f>C10/(C12+C15)</f>
        <v>#DIV/0!</v>
      </c>
      <c r="D193" s="25" t="e">
        <f>D10/(D12+D15)</f>
        <v>#DIV/0!</v>
      </c>
      <c r="E193" s="25" t="e">
        <f>E10/(E12+E15)</f>
        <v>#DIV/0!</v>
      </c>
      <c r="F193" s="25" t="e">
        <f>F10/(F12+F15)</f>
        <v>#DIV/0!</v>
      </c>
      <c r="G193" s="25">
        <f>G10/(G12+G15)</f>
        <v>1.0110609055822273</v>
      </c>
      <c r="H193" s="25">
        <f t="shared" ref="H193:P193" si="349">H10/(H12+H15)</f>
        <v>0.99024332554770422</v>
      </c>
      <c r="I193" s="25">
        <f t="shared" si="349"/>
        <v>0.91645786486775882</v>
      </c>
      <c r="J193" s="25">
        <f t="shared" si="349"/>
        <v>1.0541751795953338</v>
      </c>
      <c r="K193" s="25">
        <f t="shared" si="349"/>
        <v>1.1621382456315277</v>
      </c>
      <c r="L193" s="25">
        <f t="shared" si="349"/>
        <v>1.1857736540195796</v>
      </c>
      <c r="M193" s="25">
        <f t="shared" si="349"/>
        <v>1.2480249529375624</v>
      </c>
      <c r="N193" s="25">
        <f t="shared" si="349"/>
        <v>1.3058030573032209</v>
      </c>
      <c r="O193" s="25">
        <f t="shared" si="349"/>
        <v>1.2717193256447221</v>
      </c>
      <c r="P193" s="25">
        <f t="shared" si="349"/>
        <v>1.1981719277668803</v>
      </c>
      <c r="Q193" s="118">
        <f t="shared" si="347"/>
        <v>1.9045406793787967E-2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>
      <c r="B196" s="20"/>
      <c r="C196" s="20"/>
      <c r="D196" s="20"/>
      <c r="E196" s="20"/>
      <c r="F196" s="20"/>
      <c r="G196" s="20"/>
      <c r="H196" s="20"/>
      <c r="I196" s="182" t="s">
        <v>338</v>
      </c>
      <c r="J196" s="183"/>
      <c r="K196" s="184"/>
      <c r="L196" s="20"/>
      <c r="M196" s="20"/>
      <c r="N196" s="20"/>
      <c r="O196" s="182" t="s">
        <v>339</v>
      </c>
      <c r="P196" s="183"/>
      <c r="Q196" s="184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>
      <c r="B197" s="20"/>
      <c r="C197" s="20"/>
      <c r="D197" s="20"/>
      <c r="E197" s="20"/>
      <c r="F197" s="20"/>
      <c r="G197" s="20"/>
      <c r="H197" s="20"/>
      <c r="I197" s="167" t="s">
        <v>340</v>
      </c>
      <c r="J197" s="167"/>
      <c r="K197" s="167" t="s">
        <v>0</v>
      </c>
      <c r="L197" s="23" t="s">
        <v>341</v>
      </c>
      <c r="M197" s="20"/>
      <c r="N197" s="20"/>
      <c r="O197" s="167" t="s">
        <v>340</v>
      </c>
      <c r="P197" s="167"/>
      <c r="Q197" s="167" t="s">
        <v>0</v>
      </c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>
      <c r="B198" s="20"/>
      <c r="C198" s="20"/>
      <c r="D198" s="20"/>
      <c r="E198" s="20"/>
      <c r="F198" s="20"/>
      <c r="G198" s="20"/>
      <c r="H198" s="20"/>
      <c r="I198" s="168" t="s">
        <v>342</v>
      </c>
      <c r="J198" s="168"/>
      <c r="K198" s="21">
        <v>40</v>
      </c>
      <c r="L198" s="20"/>
      <c r="M198" s="20"/>
      <c r="N198" s="20"/>
      <c r="O198" s="168" t="s">
        <v>342</v>
      </c>
      <c r="P198" s="168"/>
      <c r="Q198" s="21">
        <v>128</v>
      </c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>
      <c r="B199" s="20"/>
      <c r="C199" s="20"/>
      <c r="D199" s="20"/>
      <c r="E199" s="20"/>
      <c r="F199" s="20"/>
      <c r="G199" s="20"/>
      <c r="H199" s="20"/>
      <c r="I199" s="168" t="s">
        <v>343</v>
      </c>
      <c r="J199" s="168"/>
      <c r="K199" s="21">
        <v>1</v>
      </c>
      <c r="L199" s="20"/>
      <c r="M199" s="20"/>
      <c r="N199" s="20"/>
      <c r="O199" s="168" t="s">
        <v>343</v>
      </c>
      <c r="P199" s="168"/>
      <c r="Q199" s="21">
        <v>1</v>
      </c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>
      <c r="B200" s="20"/>
      <c r="C200" s="20"/>
      <c r="D200" s="20"/>
      <c r="E200" s="20"/>
      <c r="F200" s="20"/>
      <c r="G200" s="20"/>
      <c r="H200" s="20"/>
      <c r="I200" s="168" t="s">
        <v>344</v>
      </c>
      <c r="J200" s="168"/>
      <c r="K200" s="169">
        <f>K198*K199</f>
        <v>40</v>
      </c>
      <c r="L200" s="20"/>
      <c r="M200" s="20"/>
      <c r="N200" s="20"/>
      <c r="O200" s="168" t="s">
        <v>345</v>
      </c>
      <c r="P200" s="168"/>
      <c r="Q200" s="169">
        <f>Q198*Q199</f>
        <v>128</v>
      </c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>
      <c r="B201" s="20"/>
      <c r="C201" s="20"/>
      <c r="D201" s="20"/>
      <c r="E201" s="20"/>
      <c r="F201" s="20"/>
      <c r="G201" s="20"/>
      <c r="H201" s="20"/>
      <c r="I201" s="168" t="s">
        <v>346</v>
      </c>
      <c r="J201" s="168"/>
      <c r="K201" s="21">
        <v>1200</v>
      </c>
      <c r="L201" s="20"/>
      <c r="M201" s="20"/>
      <c r="N201" s="20"/>
      <c r="O201" s="168" t="s">
        <v>346</v>
      </c>
      <c r="P201" s="168"/>
      <c r="Q201" s="21">
        <v>1200</v>
      </c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>
      <c r="B202" s="20"/>
      <c r="C202" s="20"/>
      <c r="D202" s="20"/>
      <c r="E202" s="20"/>
      <c r="F202" s="20"/>
      <c r="G202" s="20"/>
      <c r="H202" s="20"/>
      <c r="I202" s="168" t="s">
        <v>347</v>
      </c>
      <c r="J202" s="168"/>
      <c r="K202" s="169">
        <f>K201*K199</f>
        <v>1200</v>
      </c>
      <c r="L202" s="20"/>
      <c r="M202" s="20"/>
      <c r="N202" s="20"/>
      <c r="O202" s="168" t="s">
        <v>343</v>
      </c>
      <c r="P202" s="168"/>
      <c r="Q202" s="21">
        <v>1</v>
      </c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>
      <c r="B203" s="20"/>
      <c r="C203" s="20"/>
      <c r="D203" s="20"/>
      <c r="E203" s="20"/>
      <c r="F203" s="20"/>
      <c r="G203" s="20"/>
      <c r="H203" s="20"/>
      <c r="I203" s="168"/>
      <c r="J203" s="168"/>
      <c r="K203" s="169"/>
      <c r="L203" s="20"/>
      <c r="M203" s="20"/>
      <c r="N203" s="20"/>
      <c r="O203" s="168" t="s">
        <v>345</v>
      </c>
      <c r="P203" s="168"/>
      <c r="Q203" s="169">
        <f>Q202*Q201</f>
        <v>1200</v>
      </c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>
      <c r="B204" s="20"/>
      <c r="C204" s="20"/>
      <c r="D204" s="20"/>
      <c r="E204" s="20"/>
      <c r="F204" s="20"/>
      <c r="G204" s="20"/>
      <c r="H204" s="20"/>
      <c r="I204" s="168"/>
      <c r="J204" s="168"/>
      <c r="K204" s="169"/>
      <c r="L204" s="20"/>
      <c r="M204" s="20"/>
      <c r="N204" s="20"/>
      <c r="O204" s="168"/>
      <c r="P204" s="168"/>
      <c r="Q204" s="169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>
      <c r="B205" s="20"/>
      <c r="C205" s="20"/>
      <c r="D205" s="20"/>
      <c r="E205" s="20"/>
      <c r="F205" s="20"/>
      <c r="G205" s="20"/>
      <c r="H205" s="20"/>
      <c r="I205" s="170" t="s">
        <v>348</v>
      </c>
      <c r="J205" s="170"/>
      <c r="K205" s="171">
        <f>K202/K200</f>
        <v>30</v>
      </c>
      <c r="L205" s="20"/>
      <c r="M205" s="20"/>
      <c r="N205" s="20"/>
      <c r="O205" s="170" t="s">
        <v>348</v>
      </c>
      <c r="P205" s="170"/>
      <c r="Q205" s="171">
        <f>Q203/Q200</f>
        <v>9.375</v>
      </c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</sheetData>
  <mergeCells count="5">
    <mergeCell ref="AD2:AE2"/>
    <mergeCell ref="AD3:AE3"/>
    <mergeCell ref="I196:K196"/>
    <mergeCell ref="O196:Q196"/>
    <mergeCell ref="K183:L183"/>
  </mergeCells>
  <pageMargins left="0.7" right="0.7" top="0.75" bottom="0.75" header="0.3" footer="0.3"/>
  <pageSetup orientation="portrait" r:id="rId1"/>
  <ignoredErrors>
    <ignoredError sqref="C174" evalError="1"/>
    <ignoredError sqref="T5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7" t="s">
        <v>27</v>
      </c>
      <c r="K5" s="187"/>
      <c r="M5" s="187" t="s">
        <v>65</v>
      </c>
      <c r="N5" s="187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7" t="s">
        <v>36</v>
      </c>
      <c r="K14" s="187"/>
      <c r="L14" s="187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87" t="s">
        <v>27</v>
      </c>
      <c r="S5" s="187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7" t="s">
        <v>36</v>
      </c>
      <c r="S14" s="187"/>
      <c r="T14" s="187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87" t="s">
        <v>27</v>
      </c>
      <c r="C2" s="187"/>
      <c r="E2" s="187" t="s">
        <v>65</v>
      </c>
      <c r="F2" s="187"/>
      <c r="H2" s="191" t="s">
        <v>36</v>
      </c>
      <c r="I2" s="192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88" t="s">
        <v>68</v>
      </c>
      <c r="E10" s="189"/>
      <c r="F10" s="189"/>
      <c r="G10" s="189"/>
      <c r="H10" s="190"/>
      <c r="I10" s="188" t="s">
        <v>72</v>
      </c>
      <c r="J10" s="189"/>
      <c r="K10" s="189"/>
      <c r="L10" s="190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2013-12-23T09:46:35Z</dcterms:modified>
</cp:coreProperties>
</file>
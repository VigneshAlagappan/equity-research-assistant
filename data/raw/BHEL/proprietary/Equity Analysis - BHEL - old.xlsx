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Sheet1" sheetId="11" r:id="rId4"/>
    <sheet name="IOB" sheetId="9" r:id="rId5"/>
    <sheet name="BV calc" sheetId="8" r:id="rId6"/>
    <sheet name="Template" sheetId="12" r:id="rId7"/>
  </sheets>
  <calcPr calcId="144525"/>
</workbook>
</file>

<file path=xl/calcChain.xml><?xml version="1.0" encoding="utf-8"?>
<calcChain xmlns="http://schemas.openxmlformats.org/spreadsheetml/2006/main">
  <c r="P26" i="18" l="1"/>
  <c r="P24" i="18"/>
  <c r="P22" i="18"/>
  <c r="P21" i="18"/>
  <c r="P20" i="18"/>
  <c r="P19" i="18"/>
  <c r="P17" i="18"/>
  <c r="P15" i="18"/>
  <c r="P14" i="18"/>
  <c r="P13" i="18"/>
  <c r="P12" i="18"/>
  <c r="P11" i="18"/>
  <c r="P10" i="18"/>
  <c r="P8" i="18"/>
  <c r="P7" i="18"/>
  <c r="C43" i="18"/>
  <c r="D43" i="18"/>
  <c r="E43" i="18"/>
  <c r="F43" i="18"/>
  <c r="G43" i="18"/>
  <c r="H43" i="18"/>
  <c r="I43" i="18"/>
  <c r="J43" i="18"/>
  <c r="K43" i="18"/>
  <c r="L43" i="18"/>
  <c r="M43" i="18"/>
  <c r="N43" i="18"/>
  <c r="O43" i="18"/>
  <c r="R17" i="18"/>
  <c r="S17" i="18" s="1"/>
  <c r="T17" i="18" s="1"/>
  <c r="U17" i="18" s="1"/>
  <c r="V17" i="18" s="1"/>
  <c r="W17" i="18" s="1"/>
  <c r="X17" i="18" s="1"/>
  <c r="Y17" i="18" s="1"/>
  <c r="Z17" i="18" s="1"/>
  <c r="AA17" i="18" s="1"/>
  <c r="AB17" i="18" s="1"/>
  <c r="P43" i="18" l="1"/>
  <c r="D36" i="18"/>
  <c r="E36" i="18"/>
  <c r="F36" i="18"/>
  <c r="G36" i="18"/>
  <c r="H36" i="18"/>
  <c r="P36" i="18" s="1"/>
  <c r="I36" i="18"/>
  <c r="J36" i="18"/>
  <c r="K36" i="18"/>
  <c r="L36" i="18"/>
  <c r="M36" i="18"/>
  <c r="N36" i="18"/>
  <c r="O36" i="18"/>
  <c r="C36" i="18"/>
  <c r="C35" i="18"/>
  <c r="P48" i="18" l="1"/>
  <c r="P49" i="18"/>
  <c r="P50" i="18"/>
  <c r="P51" i="18"/>
  <c r="P52" i="18"/>
  <c r="P53" i="18"/>
  <c r="P47" i="18"/>
  <c r="D35" i="18"/>
  <c r="E35" i="18"/>
  <c r="F35" i="18"/>
  <c r="G35" i="18"/>
  <c r="H35" i="18"/>
  <c r="P35" i="18" s="1"/>
  <c r="I35" i="18"/>
  <c r="J35" i="18"/>
  <c r="K35" i="18"/>
  <c r="L35" i="18"/>
  <c r="M35" i="18"/>
  <c r="N35" i="18"/>
  <c r="O35" i="18"/>
  <c r="R35" i="18" s="1"/>
  <c r="S35" i="18" s="1"/>
  <c r="T35" i="18" s="1"/>
  <c r="U35" i="18" s="1"/>
  <c r="V35" i="18" s="1"/>
  <c r="W35" i="18" s="1"/>
  <c r="X35" i="18" s="1"/>
  <c r="Y35" i="18" s="1"/>
  <c r="Z35" i="18" s="1"/>
  <c r="AA35" i="18" s="1"/>
  <c r="D34" i="18"/>
  <c r="E34" i="18"/>
  <c r="F34" i="18"/>
  <c r="G34" i="18"/>
  <c r="H34" i="18"/>
  <c r="P34" i="18" s="1"/>
  <c r="I34" i="18"/>
  <c r="J34" i="18"/>
  <c r="K34" i="18"/>
  <c r="L34" i="18"/>
  <c r="M34" i="18"/>
  <c r="N34" i="18"/>
  <c r="O34" i="18"/>
  <c r="R34" i="18" s="1"/>
  <c r="S34" i="18" s="1"/>
  <c r="T34" i="18" s="1"/>
  <c r="U34" i="18" s="1"/>
  <c r="V34" i="18" s="1"/>
  <c r="W34" i="18" s="1"/>
  <c r="X34" i="18" s="1"/>
  <c r="Y34" i="18" s="1"/>
  <c r="Z34" i="18" s="1"/>
  <c r="AA34" i="18" s="1"/>
  <c r="C34" i="18"/>
  <c r="AB34" i="18" l="1"/>
  <c r="AB35" i="18"/>
  <c r="R64" i="18"/>
  <c r="R63" i="18"/>
  <c r="C45" i="15"/>
  <c r="R51" i="18" l="1"/>
  <c r="S51" i="18" s="1"/>
  <c r="T51" i="18" s="1"/>
  <c r="U51" i="18" s="1"/>
  <c r="V51" i="18" s="1"/>
  <c r="W51" i="18" s="1"/>
  <c r="X51" i="18" s="1"/>
  <c r="Y51" i="18" s="1"/>
  <c r="Z51" i="18" s="1"/>
  <c r="AA51" i="18" s="1"/>
  <c r="AB51" i="18" s="1"/>
  <c r="P74" i="18"/>
  <c r="R74" i="18" s="1"/>
  <c r="S74" i="18" s="1"/>
  <c r="T74" i="18" s="1"/>
  <c r="U74" i="18" s="1"/>
  <c r="V74" i="18" s="1"/>
  <c r="W74" i="18" s="1"/>
  <c r="X74" i="18" s="1"/>
  <c r="Y74" i="18" s="1"/>
  <c r="Z74" i="18" s="1"/>
  <c r="AA74" i="18" s="1"/>
  <c r="AB74" i="18" s="1"/>
  <c r="E75" i="18"/>
  <c r="C29" i="18"/>
  <c r="C75" i="18" s="1"/>
  <c r="D29" i="18"/>
  <c r="D75" i="18" s="1"/>
  <c r="E29" i="18"/>
  <c r="F29" i="18"/>
  <c r="F75" i="18" s="1"/>
  <c r="G29" i="18"/>
  <c r="G75" i="18" s="1"/>
  <c r="H29" i="18"/>
  <c r="I29" i="18"/>
  <c r="I75" i="18" s="1"/>
  <c r="J29" i="18"/>
  <c r="J75" i="18" s="1"/>
  <c r="K29" i="18"/>
  <c r="K75" i="18" s="1"/>
  <c r="L29" i="18"/>
  <c r="M29" i="18"/>
  <c r="M75" i="18" s="1"/>
  <c r="N29" i="18"/>
  <c r="O29" i="18"/>
  <c r="O75" i="18" s="1"/>
  <c r="D42" i="18"/>
  <c r="D78" i="18" s="1"/>
  <c r="E42" i="18"/>
  <c r="E78" i="18" s="1"/>
  <c r="F42" i="18"/>
  <c r="F78" i="18" s="1"/>
  <c r="G42" i="18"/>
  <c r="G78" i="18" s="1"/>
  <c r="H42" i="18"/>
  <c r="H78" i="18" s="1"/>
  <c r="I42" i="18"/>
  <c r="I78" i="18" s="1"/>
  <c r="J42" i="18"/>
  <c r="J78" i="18" s="1"/>
  <c r="K42" i="18"/>
  <c r="K78" i="18" s="1"/>
  <c r="L42" i="18"/>
  <c r="L78" i="18" s="1"/>
  <c r="M42" i="18"/>
  <c r="M78" i="18" s="1"/>
  <c r="N42" i="18"/>
  <c r="O42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D38" i="18"/>
  <c r="D40" i="18" s="1"/>
  <c r="D77" i="18" s="1"/>
  <c r="E38" i="18"/>
  <c r="E40" i="18" s="1"/>
  <c r="E77" i="18" s="1"/>
  <c r="F38" i="18"/>
  <c r="F40" i="18" s="1"/>
  <c r="F77" i="18" s="1"/>
  <c r="G38" i="18"/>
  <c r="G40" i="18" s="1"/>
  <c r="G77" i="18" s="1"/>
  <c r="H38" i="18"/>
  <c r="H40" i="18" s="1"/>
  <c r="H77" i="18" s="1"/>
  <c r="I38" i="18"/>
  <c r="I40" i="18" s="1"/>
  <c r="I77" i="18" s="1"/>
  <c r="J38" i="18"/>
  <c r="J40" i="18" s="1"/>
  <c r="J77" i="18" s="1"/>
  <c r="K38" i="18"/>
  <c r="K40" i="18" s="1"/>
  <c r="K77" i="18" s="1"/>
  <c r="L38" i="18"/>
  <c r="L40" i="18" s="1"/>
  <c r="L77" i="18" s="1"/>
  <c r="M38" i="18"/>
  <c r="N38" i="18"/>
  <c r="O38" i="18"/>
  <c r="D32" i="18"/>
  <c r="E32" i="18"/>
  <c r="F32" i="18"/>
  <c r="G32" i="18"/>
  <c r="H32" i="18"/>
  <c r="P32" i="18" s="1"/>
  <c r="I32" i="18"/>
  <c r="J32" i="18"/>
  <c r="K32" i="18"/>
  <c r="L32" i="18"/>
  <c r="M32" i="18"/>
  <c r="N32" i="18"/>
  <c r="O32" i="18"/>
  <c r="D31" i="18"/>
  <c r="D76" i="18" s="1"/>
  <c r="E31" i="18"/>
  <c r="E76" i="18" s="1"/>
  <c r="F31" i="18"/>
  <c r="F76" i="18" s="1"/>
  <c r="G31" i="18"/>
  <c r="G76" i="18" s="1"/>
  <c r="H31" i="18"/>
  <c r="I31" i="18"/>
  <c r="I76" i="18" s="1"/>
  <c r="J31" i="18"/>
  <c r="J76" i="18" s="1"/>
  <c r="K31" i="18"/>
  <c r="K76" i="18" s="1"/>
  <c r="L31" i="18"/>
  <c r="L76" i="18" s="1"/>
  <c r="M31" i="18"/>
  <c r="M76" i="18" s="1"/>
  <c r="N31" i="18"/>
  <c r="O31" i="18"/>
  <c r="C42" i="18"/>
  <c r="C78" i="18" s="1"/>
  <c r="C41" i="18"/>
  <c r="C39" i="18"/>
  <c r="C38" i="18"/>
  <c r="C32" i="18"/>
  <c r="C31" i="18"/>
  <c r="C76" i="18" s="1"/>
  <c r="D30" i="18"/>
  <c r="E30" i="18"/>
  <c r="F30" i="18"/>
  <c r="G30" i="18"/>
  <c r="H30" i="18"/>
  <c r="P30" i="18" s="1"/>
  <c r="I30" i="18"/>
  <c r="J30" i="18"/>
  <c r="K30" i="18"/>
  <c r="L30" i="18"/>
  <c r="M30" i="18"/>
  <c r="N30" i="18"/>
  <c r="O30" i="18"/>
  <c r="C30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R15" i="18"/>
  <c r="S15" i="18" s="1"/>
  <c r="T15" i="18" s="1"/>
  <c r="U15" i="18" s="1"/>
  <c r="V15" i="18" s="1"/>
  <c r="W15" i="18" s="1"/>
  <c r="X15" i="18" s="1"/>
  <c r="Y15" i="18" s="1"/>
  <c r="Z15" i="18" s="1"/>
  <c r="AA15" i="18" s="1"/>
  <c r="AB15" i="18" s="1"/>
  <c r="R24" i="18"/>
  <c r="S24" i="18" s="1"/>
  <c r="T24" i="18" s="1"/>
  <c r="U24" i="18" s="1"/>
  <c r="V24" i="18" s="1"/>
  <c r="W24" i="18" s="1"/>
  <c r="X24" i="18" s="1"/>
  <c r="Y24" i="18" s="1"/>
  <c r="Z24" i="18" s="1"/>
  <c r="AA24" i="18" s="1"/>
  <c r="AB24" i="18" s="1"/>
  <c r="R11" i="18"/>
  <c r="S11" i="18" s="1"/>
  <c r="T11" i="18" s="1"/>
  <c r="U11" i="18" s="1"/>
  <c r="V11" i="18" s="1"/>
  <c r="W11" i="18" s="1"/>
  <c r="X11" i="18" s="1"/>
  <c r="Y11" i="18" s="1"/>
  <c r="Z11" i="18" s="1"/>
  <c r="AA11" i="18" s="1"/>
  <c r="AB11" i="18" s="1"/>
  <c r="R12" i="18"/>
  <c r="S12" i="18" s="1"/>
  <c r="T12" i="18" s="1"/>
  <c r="U12" i="18" s="1"/>
  <c r="V12" i="18" s="1"/>
  <c r="W12" i="18" s="1"/>
  <c r="X12" i="18" s="1"/>
  <c r="Y12" i="18" s="1"/>
  <c r="Z12" i="18" s="1"/>
  <c r="AA12" i="18" s="1"/>
  <c r="AB12" i="18" s="1"/>
  <c r="R13" i="18"/>
  <c r="S13" i="18" s="1"/>
  <c r="T13" i="18" s="1"/>
  <c r="U13" i="18" s="1"/>
  <c r="V13" i="18" s="1"/>
  <c r="W13" i="18" s="1"/>
  <c r="X13" i="18" s="1"/>
  <c r="Y13" i="18" s="1"/>
  <c r="Z13" i="18" s="1"/>
  <c r="AA13" i="18" s="1"/>
  <c r="AB13" i="18" s="1"/>
  <c r="R8" i="18"/>
  <c r="S8" i="18" s="1"/>
  <c r="T8" i="18" s="1"/>
  <c r="U8" i="18" s="1"/>
  <c r="V8" i="18" s="1"/>
  <c r="W8" i="18" s="1"/>
  <c r="X8" i="18" s="1"/>
  <c r="Y8" i="18" s="1"/>
  <c r="Z8" i="18" s="1"/>
  <c r="AA8" i="18" s="1"/>
  <c r="AB8" i="18" s="1"/>
  <c r="R7" i="18"/>
  <c r="S7" i="18" s="1"/>
  <c r="T7" i="18" s="1"/>
  <c r="U7" i="18" s="1"/>
  <c r="V7" i="18" s="1"/>
  <c r="W7" i="18" s="1"/>
  <c r="X7" i="18" s="1"/>
  <c r="Y7" i="18" s="1"/>
  <c r="Z7" i="18" s="1"/>
  <c r="AA7" i="18" s="1"/>
  <c r="AB7" i="18" s="1"/>
  <c r="H76" i="18" l="1"/>
  <c r="P31" i="18"/>
  <c r="H75" i="18"/>
  <c r="P29" i="18"/>
  <c r="C40" i="18"/>
  <c r="C77" i="18" s="1"/>
  <c r="N76" i="18"/>
  <c r="P38" i="18"/>
  <c r="P39" i="18"/>
  <c r="N75" i="18"/>
  <c r="P41" i="18"/>
  <c r="N78" i="18"/>
  <c r="P42" i="18"/>
  <c r="R41" i="18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R42" i="18"/>
  <c r="S42" i="18" s="1"/>
  <c r="T42" i="18" s="1"/>
  <c r="U42" i="18" s="1"/>
  <c r="V42" i="18" s="1"/>
  <c r="W42" i="18" s="1"/>
  <c r="X42" i="18" s="1"/>
  <c r="Y42" i="18" s="1"/>
  <c r="Z42" i="18" s="1"/>
  <c r="AA42" i="18" s="1"/>
  <c r="AB42" i="18" s="1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O76" i="18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L75" i="18"/>
  <c r="P75" i="18"/>
  <c r="R75" i="18" s="1"/>
  <c r="S75" i="18" s="1"/>
  <c r="T75" i="18" s="1"/>
  <c r="U75" i="18" s="1"/>
  <c r="V75" i="18" s="1"/>
  <c r="W75" i="18" s="1"/>
  <c r="X75" i="18" s="1"/>
  <c r="Y75" i="18" s="1"/>
  <c r="Z75" i="18" s="1"/>
  <c r="AA75" i="18" s="1"/>
  <c r="AB75" i="18" s="1"/>
  <c r="N40" i="18"/>
  <c r="R39" i="18"/>
  <c r="S39" i="18" s="1"/>
  <c r="T39" i="18" s="1"/>
  <c r="U39" i="18" s="1"/>
  <c r="V39" i="18" s="1"/>
  <c r="W39" i="18" s="1"/>
  <c r="X39" i="18" s="1"/>
  <c r="Y39" i="18" s="1"/>
  <c r="Z39" i="18" s="1"/>
  <c r="AA39" i="18" s="1"/>
  <c r="AB39" i="18" s="1"/>
  <c r="M40" i="18"/>
  <c r="M77" i="18" s="1"/>
  <c r="O78" i="18"/>
  <c r="P78" i="18" s="1"/>
  <c r="R78" i="18" s="1"/>
  <c r="S78" i="18" s="1"/>
  <c r="T78" i="18" s="1"/>
  <c r="U78" i="18" s="1"/>
  <c r="V78" i="18" s="1"/>
  <c r="W78" i="18" s="1"/>
  <c r="X78" i="18" s="1"/>
  <c r="Y78" i="18" s="1"/>
  <c r="Z78" i="18" s="1"/>
  <c r="AA78" i="18" s="1"/>
  <c r="AB78" i="18" s="1"/>
  <c r="P76" i="18"/>
  <c r="R76" i="18" s="1"/>
  <c r="S76" i="18" s="1"/>
  <c r="T76" i="18" s="1"/>
  <c r="U76" i="18" s="1"/>
  <c r="V76" i="18" s="1"/>
  <c r="W76" i="18" s="1"/>
  <c r="X76" i="18" s="1"/>
  <c r="Y76" i="18" s="1"/>
  <c r="Z76" i="18" s="1"/>
  <c r="AA76" i="18" s="1"/>
  <c r="AB76" i="18" s="1"/>
  <c r="O40" i="18"/>
  <c r="R52" i="18"/>
  <c r="S52" i="18" s="1"/>
  <c r="T52" i="18" s="1"/>
  <c r="U52" i="18" s="1"/>
  <c r="V52" i="18" s="1"/>
  <c r="W52" i="18" s="1"/>
  <c r="X52" i="18" s="1"/>
  <c r="Y52" i="18" s="1"/>
  <c r="Z52" i="18" s="1"/>
  <c r="AA52" i="18" s="1"/>
  <c r="AB52" i="18" s="1"/>
  <c r="R53" i="18"/>
  <c r="S53" i="18" s="1"/>
  <c r="T53" i="18" s="1"/>
  <c r="U53" i="18" s="1"/>
  <c r="V53" i="18" s="1"/>
  <c r="W53" i="18" s="1"/>
  <c r="X53" i="18" s="1"/>
  <c r="Y53" i="18" s="1"/>
  <c r="Z53" i="18" s="1"/>
  <c r="AA53" i="18" s="1"/>
  <c r="AB53" i="18" s="1"/>
  <c r="R26" i="18"/>
  <c r="S26" i="18" s="1"/>
  <c r="T26" i="18" s="1"/>
  <c r="U26" i="18" s="1"/>
  <c r="V26" i="18" s="1"/>
  <c r="W26" i="18" s="1"/>
  <c r="X26" i="18" s="1"/>
  <c r="Y26" i="18" s="1"/>
  <c r="Z26" i="18" s="1"/>
  <c r="AA26" i="18" s="1"/>
  <c r="AB26" i="18" s="1"/>
  <c r="C6" i="12"/>
  <c r="C25" i="15"/>
  <c r="C57" i="15"/>
  <c r="C56" i="15"/>
  <c r="C53" i="15"/>
  <c r="C52" i="15"/>
  <c r="C49" i="15"/>
  <c r="C48" i="15"/>
  <c r="C44" i="15"/>
  <c r="N77" i="18" l="1"/>
  <c r="P40" i="18"/>
  <c r="O77" i="18"/>
  <c r="P77" i="18" s="1"/>
  <c r="R77" i="18" s="1"/>
  <c r="S77" i="18" s="1"/>
  <c r="T77" i="18" s="1"/>
  <c r="U77" i="18" s="1"/>
  <c r="V77" i="18" s="1"/>
  <c r="W77" i="18" s="1"/>
  <c r="X77" i="18" s="1"/>
  <c r="Y77" i="18" s="1"/>
  <c r="Z77" i="18" s="1"/>
  <c r="AA77" i="18" s="1"/>
  <c r="AB77" i="18" s="1"/>
  <c r="R40" i="18"/>
  <c r="S40" i="18" s="1"/>
  <c r="T40" i="18" s="1"/>
  <c r="U40" i="18" s="1"/>
  <c r="V40" i="18" s="1"/>
  <c r="W40" i="18" s="1"/>
  <c r="X40" i="18" s="1"/>
  <c r="Y40" i="18" s="1"/>
  <c r="Z40" i="18" s="1"/>
  <c r="AA40" i="18" s="1"/>
  <c r="AB40" i="18" s="1"/>
  <c r="R50" i="18"/>
  <c r="S50" i="18" s="1"/>
  <c r="T50" i="18" s="1"/>
  <c r="U50" i="18" s="1"/>
  <c r="V50" i="18" s="1"/>
  <c r="W50" i="18" s="1"/>
  <c r="X50" i="18" s="1"/>
  <c r="Y50" i="18" s="1"/>
  <c r="Z50" i="18" s="1"/>
  <c r="AA50" i="18" s="1"/>
  <c r="AB50" i="18" s="1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47" i="18"/>
  <c r="S47" i="18" s="1"/>
  <c r="T47" i="18" s="1"/>
  <c r="U47" i="18" s="1"/>
  <c r="V47" i="18" s="1"/>
  <c r="W47" i="18" s="1"/>
  <c r="X47" i="18" s="1"/>
  <c r="Y47" i="18" s="1"/>
  <c r="Z47" i="18" s="1"/>
  <c r="AA47" i="18" s="1"/>
  <c r="AB47" i="18" s="1"/>
  <c r="R29" i="18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R49" i="18"/>
  <c r="S49" i="18" s="1"/>
  <c r="T49" i="18" s="1"/>
  <c r="U49" i="18" s="1"/>
  <c r="V49" i="18" s="1"/>
  <c r="W49" i="18" s="1"/>
  <c r="X49" i="18" s="1"/>
  <c r="Y49" i="18" s="1"/>
  <c r="Z49" i="18" s="1"/>
  <c r="AA49" i="18" s="1"/>
  <c r="AB49" i="18" s="1"/>
  <c r="R48" i="18"/>
  <c r="S48" i="18" s="1"/>
  <c r="T48" i="18" s="1"/>
  <c r="U48" i="18" s="1"/>
  <c r="V48" i="18" s="1"/>
  <c r="W48" i="18" s="1"/>
  <c r="X48" i="18" s="1"/>
  <c r="Y48" i="18" s="1"/>
  <c r="Z48" i="18" s="1"/>
  <c r="AA48" i="18" s="1"/>
  <c r="AB48" i="18" s="1"/>
  <c r="R66" i="18"/>
  <c r="R30" i="18"/>
  <c r="S30" i="18" s="1"/>
  <c r="T30" i="18" s="1"/>
  <c r="U30" i="18" s="1"/>
  <c r="V30" i="18" s="1"/>
  <c r="W30" i="18" s="1"/>
  <c r="X30" i="18" s="1"/>
  <c r="Y30" i="18" s="1"/>
  <c r="Z30" i="18" s="1"/>
  <c r="AA30" i="18" s="1"/>
  <c r="AB30" i="18" s="1"/>
  <c r="C15" i="15"/>
  <c r="C20" i="15"/>
  <c r="C9" i="15"/>
  <c r="R57" i="18" l="1"/>
  <c r="R58" i="18"/>
  <c r="R68" i="18"/>
  <c r="R61" i="18"/>
  <c r="R60" i="18"/>
  <c r="R59" i="18"/>
  <c r="D31" i="8"/>
  <c r="D29" i="8"/>
  <c r="D28" i="8"/>
  <c r="D13" i="8"/>
  <c r="D30" i="8" s="1"/>
  <c r="E14" i="8"/>
  <c r="F14" i="8" s="1"/>
  <c r="G14" i="8" s="1"/>
  <c r="H14" i="8" s="1"/>
  <c r="I14" i="8" s="1"/>
  <c r="K37" i="12" l="1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G40" i="12" l="1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G39" i="11"/>
  <c r="K39" i="11" s="1"/>
  <c r="F39" i="1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42" i="9"/>
  <c r="O32" i="9"/>
  <c r="P32" i="9"/>
  <c r="P31" i="9"/>
  <c r="O31" i="9"/>
  <c r="N33" i="9"/>
  <c r="N34" i="9" s="1"/>
  <c r="N35" i="9" s="1"/>
  <c r="N36" i="9" s="1"/>
  <c r="N37" i="9" s="1"/>
  <c r="N38" i="9" s="1"/>
  <c r="N39" i="9" s="1"/>
  <c r="N40" i="9" s="1"/>
  <c r="N41" i="9" s="1"/>
  <c r="N32" i="9"/>
  <c r="N31" i="9"/>
  <c r="M34" i="9"/>
  <c r="M35" i="9"/>
  <c r="M36" i="9"/>
  <c r="M37" i="9"/>
  <c r="M38" i="9" s="1"/>
  <c r="M39" i="9" s="1"/>
  <c r="M40" i="9" s="1"/>
  <c r="M41" i="9" s="1"/>
  <c r="M33" i="9"/>
  <c r="M45" i="9"/>
  <c r="M32" i="9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P31" i="11" l="1"/>
  <c r="N32" i="11"/>
  <c r="T19" i="9"/>
  <c r="D22" i="9"/>
  <c r="N33" i="11" l="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N34" i="11" l="1"/>
  <c r="O33" i="11"/>
  <c r="D25" i="8"/>
  <c r="D23" i="8"/>
  <c r="N35" i="11" l="1"/>
  <c r="O34" i="11"/>
  <c r="D35" i="8"/>
  <c r="E5" i="8"/>
  <c r="E18" i="8" s="1"/>
  <c r="D18" i="8"/>
  <c r="D19" i="8"/>
  <c r="D21" i="8"/>
  <c r="D20" i="8"/>
  <c r="N36" i="11" l="1"/>
  <c r="O35" i="11"/>
  <c r="F5" i="8"/>
  <c r="G5" i="8" s="1"/>
  <c r="H5" i="8" s="1"/>
  <c r="I5" i="8" s="1"/>
  <c r="N37" i="11" l="1"/>
  <c r="O36" i="11"/>
  <c r="F18" i="8"/>
  <c r="G18" i="8"/>
  <c r="N38" i="11" l="1"/>
  <c r="O37" i="11"/>
  <c r="H18" i="8"/>
  <c r="N39" i="11" l="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<sst xmlns="http://schemas.openxmlformats.org/spreadsheetml/2006/main" count="429" uniqueCount="287">
  <si>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</si>
  <si>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</si>
  <si>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</si>
  <si>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</si>
  <si>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</si>
  <si>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</si>
  <si>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</si>
  <si>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</si>
  <si>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</si>
  <si>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</si>
  <si>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</si>
  <si>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</si>
  <si>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</si>
  <si>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</si>
  <si>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</si>
  <si>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</si>
  <si>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</si>
  <si>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</si>
  <si>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</si>
  <si>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</si>
  <si>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</si>
  <si>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</si>
  <si>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</si>
  <si>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</si>
  <si>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</si>
  <si>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</si>
  <si>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</si>
  <si>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</si>
  <si>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</si>
  <si>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</si>
  <si>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</si>
  <si>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</si>
  <si>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</si>
  <si>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</si>
  <si>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</si>
  <si>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</si>
  <si>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</si>
  <si>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</si>
  <si>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</si>
  <si>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</si>
  <si>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</si>
  <si>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</si>
  <si>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</si>
  <si>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</si>
  <si>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</si>
  <si>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</si>
  <si>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</si>
  <si>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</si>
  <si>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</si>
  <si>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</si>
  <si>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</si>
  <si>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</si>
  <si>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</si>
  <si>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</si>
  <si>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</si>
  <si>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</si>
  <si>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</si>
  <si>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</si>
  <si>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</si>
  <si>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</si>
  <si>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</si>
  <si>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</si>
  <si>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</si>
  <si>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</si>
  <si>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</si>
  <si>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</si>
  <si>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</si>
  <si>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</si>
  <si>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</si>
  <si>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</si>
  <si>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</si>
  <si>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</si>
  <si>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</si>
  <si>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</si>
  <si>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</si>
  <si>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</si>
  <si>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</si>
  <si>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</si>
  <si>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</si>
  <si>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</si>
  <si>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</si>
  <si>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</si>
  <si>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</si>
  <si>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</si>
  <si>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</si>
  <si>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</si>
  <si>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</si>
  <si>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</si>
  <si>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</si>
  <si>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</si>
  <si>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</si>
  <si>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</si>
  <si>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</si>
  <si>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</si>
  <si>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</si>
  <si>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</si>
  <si>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</si>
  <si>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</si>
  <si>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</si>
  <si>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</si>
  <si>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</si>
  <si>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</si>
  <si>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</si>
  <si>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</si>
  <si>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</si>
  <si>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</si>
  <si>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</si>
  <si>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</si>
  <si>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</si>
  <si>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</si>
  <si>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</si>
  <si>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</si>
  <si>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</si>
  <si>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</si>
  <si>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</si>
  <si>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</si>
  <si>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</si>
  <si>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</si>
  <si>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</si>
  <si>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</si>
  <si>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</si>
  <si>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</si>
  <si>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</si>
  <si>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</si>
  <si>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</si>
  <si>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</si>
  <si>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</si>
  <si>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</si>
  <si>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</si>
  <si>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</si>
  <si>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</si>
  <si>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</si>
  <si>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</si>
  <si>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</si>
  <si>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</si>
  <si>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</si>
  <si>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</si>
  <si>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</si>
  <si>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</si>
  <si>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</si>
  <si>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</si>
  <si>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</si>
  <si>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</si>
  <si>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</si>
  <si>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</si>
  <si>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</si>
  <si>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</si>
  <si>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</si>
  <si>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</si>
  <si>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</si>
  <si>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</si>
  <si>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</si>
  <si>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</si>
  <si>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</si>
  <si>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</si>
  <si>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</si>
  <si>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</si>
  <si>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</si>
  <si>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</si>
  <si>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</si>
  <si>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</si>
  <si>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</si>
  <si>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</si>
  <si>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</si>
  <si>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</si>
  <si>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</si>
  <si>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</si>
  <si>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</si>
  <si>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</si>
  <si>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</si>
  <si>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</si>
  <si>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</si>
  <si>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</si>
  <si>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</si>
  <si>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</si>
  <si>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</si>
  <si>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</si>
  <si>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</si>
  <si>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</si>
  <si>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</si>
  <si>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</si>
  <si>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</si>
  <si>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</si>
  <si>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</si>
  <si>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</si>
  <si>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</si>
  <si>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</si>
  <si>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</si>
  <si>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</si>
  <si>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</si>
  <si>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</si>
  <si>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</si>
  <si>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</si>
  <si>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</si>
  <si>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</si>
  <si>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</si>
  <si>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</si>
  <si>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</si>
  <si>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</si>
  <si>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</si>
  <si>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</si>
  <si>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</si>
  <si>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</si>
  <si>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</si>
  <si>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</si>
  <si>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</si>
  <si>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</si>
  <si>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</si>
  <si>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</si>
  <si>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</si>
  <si>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</si>
  <si>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</si>
  <si>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</si>
  <si>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</si>
  <si>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</si>
  <si>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</si>
  <si>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</si>
  <si>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</si>
  <si>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</si>
  <si>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</si>
  <si>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</si>
  <si>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</si>
  <si>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</si>
  <si>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</si>
  <si>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</si>
  <si>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</si>
  <si>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</si>
  <si>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</si>
  <si>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</si>
  <si>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</si>
  <si>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</si>
  <si>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</si>
  <si>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</si>
  <si>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</si>
  <si>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</si>
  <si>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</si>
  <si>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</si>
  <si>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</si>
  <si>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</si>
  <si>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</si>
  <si>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</si>
  <si>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</si>
  <si>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</si>
  <si>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</si>
  <si>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</si>
  <si>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</si>
  <si>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</si>
  <si>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</si>
  <si>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</si>
  <si>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</si>
  <si>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</si>
  <si>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</si>
  <si>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</si>
  <si>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</si>
  <si>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</si>
  <si>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</si>
  <si>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</si>
  <si>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</si>
  <si>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</si>
  <si>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</si>
  <si>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</si>
  <si>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</si>
  <si>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</si>
  <si>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DB Reality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</si>
  <si>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</si>
  <si>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</si>
  <si>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</si>
  <si>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</si>
  <si>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</si>
  <si>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</si>
  <si>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</si>
  <si>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</si>
  <si>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</si>
  <si>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</si>
  <si>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</si>
  <si>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</si>
  <si>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</si>
  <si>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</si>
  <si>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</si>
  <si>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</si>
  <si>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Top Expenses ( Raw Materials )</t>
  </si>
  <si>
    <t>2nd highest Expenses Comp. ( Employee Cost )</t>
  </si>
  <si>
    <t>Book Value - Realistic</t>
  </si>
  <si>
    <t>Book Value (on 50% of NCA + Net FA) per share</t>
  </si>
  <si>
    <t>Realization of Assets on liquidation</t>
  </si>
  <si>
    <t>Book Value (on 50% of NCA + Net FA) + In-Tangible Value per share</t>
  </si>
  <si>
    <t>Total Liabilities/Debt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</si>
</sst>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" fontId="4" fillId="5" borderId="1" xfId="2" applyNumberFormat="1" applyFont="1" applyFill="1" applyBorder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" fontId="4" fillId="5" borderId="1" xfId="0" applyNumberFormat="1" applyFont="1" applyFill="1" applyBorder="1"/>
    <xf numFmtId="43" fontId="4" fillId="5" borderId="1" xfId="2" applyNumberFormat="1" applyFont="1" applyFill="1" applyBorder="1"/>
    <xf numFmtId="9" fontId="4" fillId="6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1">
                  <c:v>2.61</c:v>
                </c:pt>
                <c:pt idx="2">
                  <c:v>5.18</c:v>
                </c:pt>
                <c:pt idx="3">
                  <c:v>9.35</c:v>
                </c:pt>
                <c:pt idx="4">
                  <c:v>9.41</c:v>
                </c:pt>
                <c:pt idx="5">
                  <c:v>11.96</c:v>
                </c:pt>
                <c:pt idx="6">
                  <c:v>14.38</c:v>
                </c:pt>
                <c:pt idx="7">
                  <c:v>18.510000000000002</c:v>
                </c:pt>
                <c:pt idx="8">
                  <c:v>22.07</c:v>
                </c:pt>
                <c:pt idx="9">
                  <c:v>24.34</c:v>
                </c:pt>
                <c:pt idx="10">
                  <c:v>12.98</c:v>
                </c:pt>
                <c:pt idx="11">
                  <c:v>17.329999999999998</c:v>
                </c:pt>
                <c:pt idx="12">
                  <c:v>13.18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05952"/>
        <c:axId val="25807488"/>
      </c:lineChart>
      <c:catAx>
        <c:axId val="25805952"/>
        <c:scaling>
          <c:orientation val="minMax"/>
        </c:scaling>
        <c:delete val="0"/>
        <c:axPos val="b"/>
        <c:majorTickMark val="out"/>
        <c:minorTickMark val="none"/>
        <c:tickLblPos val="nextTo"/>
        <c:crossAx val="25807488"/>
        <c:crosses val="autoZero"/>
        <c:auto val="1"/>
        <c:lblAlgn val="ctr"/>
        <c:lblOffset val="100"/>
        <c:noMultiLvlLbl val="0"/>
      </c:catAx>
      <c:valAx>
        <c:axId val="25807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80595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opLeftCell="A34" zoomScale="80" zoomScaleNormal="80" workbookViewId="0">
      <selection activeCell="C70" sqref="C70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4" t="s">
        <v>263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136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125</v>
      </c>
      <c r="D7" s="20"/>
      <c r="E7" s="20"/>
      <c r="F7" s="20"/>
      <c r="G7" s="20"/>
    </row>
    <row r="8" spans="2:7" x14ac:dyDescent="0.2">
      <c r="B8" s="20" t="s">
        <v>25</v>
      </c>
      <c r="C8" s="130">
        <v>136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0.91911764705882348</v>
      </c>
      <c r="D9" s="20" t="s">
        <v>270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0">
        <v>136</v>
      </c>
      <c r="D12" s="20"/>
      <c r="E12" s="20"/>
      <c r="F12" s="20"/>
      <c r="G12" s="20"/>
    </row>
    <row r="13" spans="2:7" x14ac:dyDescent="0.2">
      <c r="B13" s="20" t="s">
        <v>102</v>
      </c>
      <c r="C13" s="130">
        <v>136</v>
      </c>
      <c r="D13" s="20"/>
      <c r="E13" s="20"/>
      <c r="F13" s="20"/>
      <c r="G13" s="20"/>
    </row>
    <row r="14" spans="2:7" x14ac:dyDescent="0.2">
      <c r="B14" s="20" t="s">
        <v>103</v>
      </c>
      <c r="C14" s="130">
        <v>100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13600</v>
      </c>
      <c r="D15" s="20" t="s">
        <v>270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0">
        <v>136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1700</v>
      </c>
      <c r="D20" s="20" t="s">
        <v>270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0">
        <v>125</v>
      </c>
      <c r="D23" s="20"/>
      <c r="E23" s="20"/>
      <c r="F23" s="20"/>
      <c r="G23" s="20"/>
    </row>
    <row r="24" spans="2:7" x14ac:dyDescent="0.2">
      <c r="B24" s="20" t="s">
        <v>114</v>
      </c>
      <c r="C24" s="130">
        <v>136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0.91911764705882348</v>
      </c>
      <c r="D25" s="20"/>
      <c r="E25" s="20"/>
      <c r="F25" s="20"/>
      <c r="G25" s="20"/>
    </row>
    <row r="26" spans="2:7" x14ac:dyDescent="0.2">
      <c r="B26" s="20" t="s">
        <v>77</v>
      </c>
      <c r="C26" s="130">
        <v>136</v>
      </c>
      <c r="D26" s="20"/>
      <c r="E26" s="20"/>
      <c r="F26" s="20"/>
      <c r="G26" s="20"/>
    </row>
    <row r="27" spans="2:7" x14ac:dyDescent="0.2">
      <c r="B27" s="20" t="s">
        <v>229</v>
      </c>
      <c r="C27" s="131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2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2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2"/>
      <c r="D31" s="20"/>
      <c r="E31" s="20"/>
      <c r="F31" s="20"/>
      <c r="G31" s="20"/>
    </row>
    <row r="32" spans="2:7" x14ac:dyDescent="0.2">
      <c r="B32" s="20" t="s">
        <v>269</v>
      </c>
      <c r="C32" s="132">
        <v>3.44E-2</v>
      </c>
      <c r="D32" s="20"/>
      <c r="E32" s="20"/>
      <c r="F32" s="20"/>
      <c r="G32" s="20"/>
    </row>
    <row r="33" spans="2:7" x14ac:dyDescent="0.2">
      <c r="B33" s="20" t="s">
        <v>268</v>
      </c>
      <c r="C33" s="132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0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0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0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0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0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0">
        <v>281.95</v>
      </c>
      <c r="D43" s="20"/>
      <c r="E43" s="20"/>
      <c r="F43" s="20"/>
      <c r="G43" s="20"/>
    </row>
    <row r="44" spans="2:7" x14ac:dyDescent="0.2">
      <c r="B44" s="20" t="s">
        <v>264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0">
        <v>171.6</v>
      </c>
      <c r="D47" s="20"/>
      <c r="E47" s="20"/>
      <c r="F47" s="20"/>
      <c r="G47" s="20"/>
    </row>
    <row r="48" spans="2:7" x14ac:dyDescent="0.2">
      <c r="B48" s="20" t="s">
        <v>265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0">
        <v>110.33</v>
      </c>
      <c r="D51" s="20"/>
      <c r="E51" s="20"/>
      <c r="F51" s="20"/>
      <c r="G51" s="20"/>
    </row>
    <row r="52" spans="2:7" x14ac:dyDescent="0.2">
      <c r="B52" s="20" t="s">
        <v>266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0">
        <v>1320.99</v>
      </c>
      <c r="D55" s="20"/>
      <c r="E55" s="20"/>
      <c r="F55" s="20"/>
      <c r="G55" s="20"/>
    </row>
    <row r="56" spans="2:7" x14ac:dyDescent="0.2">
      <c r="B56" s="20" t="s">
        <v>267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3"/>
  <sheetViews>
    <sheetView tabSelected="1" zoomScale="80" zoomScaleNormal="80" workbookViewId="0">
      <selection activeCell="J15" sqref="J15"/>
    </sheetView>
  </sheetViews>
  <sheetFormatPr defaultRowHeight="12.75" x14ac:dyDescent="0.2"/>
  <cols>
    <col min="1" max="1" width="4.7109375" style="104" customWidth="1"/>
    <col min="2" max="2" width="58.5703125" style="104" bestFit="1" customWidth="1"/>
    <col min="3" max="4" width="8.140625" style="104" bestFit="1" customWidth="1"/>
    <col min="5" max="11" width="8.7109375" style="104" bestFit="1" customWidth="1"/>
    <col min="12" max="14" width="9.42578125" style="104" bestFit="1" customWidth="1"/>
    <col min="15" max="15" width="10.5703125" style="104" bestFit="1" customWidth="1"/>
    <col min="16" max="16" width="10.85546875" style="104" bestFit="1" customWidth="1"/>
    <col min="17" max="17" width="10.5703125" style="104" bestFit="1" customWidth="1"/>
    <col min="18" max="18" width="12" style="104" bestFit="1" customWidth="1"/>
    <col min="19" max="16384" width="9.140625" style="104"/>
  </cols>
  <sheetData>
    <row r="2" spans="2:28" x14ac:dyDescent="0.2">
      <c r="B2" s="122" t="s">
        <v>241</v>
      </c>
      <c r="C2" s="123">
        <v>0.22</v>
      </c>
      <c r="F2" s="104" t="s">
        <v>252</v>
      </c>
      <c r="H2" s="125">
        <v>2009</v>
      </c>
    </row>
    <row r="3" spans="2:28" x14ac:dyDescent="0.2">
      <c r="B3" s="104" t="s">
        <v>284</v>
      </c>
      <c r="C3" s="135">
        <v>0.5</v>
      </c>
      <c r="F3" s="104" t="s">
        <v>253</v>
      </c>
      <c r="H3" s="125">
        <v>2012</v>
      </c>
      <c r="R3" s="115" t="s">
        <v>11</v>
      </c>
      <c r="S3" s="115" t="s">
        <v>12</v>
      </c>
      <c r="T3" s="115" t="s">
        <v>13</v>
      </c>
      <c r="U3" s="115" t="s">
        <v>14</v>
      </c>
      <c r="V3" s="115" t="s">
        <v>15</v>
      </c>
      <c r="W3" s="115" t="s">
        <v>234</v>
      </c>
      <c r="X3" s="115" t="s">
        <v>235</v>
      </c>
      <c r="Y3" s="115" t="s">
        <v>236</v>
      </c>
      <c r="Z3" s="115" t="s">
        <v>237</v>
      </c>
      <c r="AA3" s="115" t="s">
        <v>238</v>
      </c>
    </row>
    <row r="4" spans="2:28" x14ac:dyDescent="0.2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6" t="s">
        <v>1</v>
      </c>
      <c r="Q4" s="116" t="s">
        <v>254</v>
      </c>
      <c r="R4" s="115">
        <v>2013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6" t="s">
        <v>1</v>
      </c>
    </row>
    <row r="5" spans="2:28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20"/>
    </row>
    <row r="6" spans="2:28" x14ac:dyDescent="0.2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20"/>
    </row>
    <row r="7" spans="2:28" x14ac:dyDescent="0.2">
      <c r="B7" s="20" t="s">
        <v>16</v>
      </c>
      <c r="C7" s="20"/>
      <c r="D7" s="20"/>
      <c r="E7" s="20"/>
      <c r="F7" s="20"/>
      <c r="G7" s="20"/>
      <c r="H7" s="20">
        <v>5782</v>
      </c>
      <c r="I7" s="20"/>
      <c r="J7" s="20"/>
      <c r="K7" s="20"/>
      <c r="L7" s="133">
        <v>12433.22</v>
      </c>
      <c r="M7" s="133">
        <v>15406.46</v>
      </c>
      <c r="N7" s="133">
        <v>19665.560000000001</v>
      </c>
      <c r="O7" s="133">
        <v>24913.54</v>
      </c>
      <c r="P7" s="118">
        <f>((O7/H7)^(1/($H$3-$H$2) ))-1</f>
        <v>0.62724314754194288</v>
      </c>
      <c r="Q7" s="31">
        <v>0.1</v>
      </c>
      <c r="R7" s="119">
        <f>O7*(1+$Q7)</f>
        <v>27404.894000000004</v>
      </c>
      <c r="S7" s="119">
        <f>R7*(1+$Q7)</f>
        <v>30145.383400000006</v>
      </c>
      <c r="T7" s="119">
        <f t="shared" ref="T7:AA7" si="0">S7*(1+$Q7)</f>
        <v>33159.921740000013</v>
      </c>
      <c r="U7" s="119">
        <f t="shared" si="0"/>
        <v>36475.913914000019</v>
      </c>
      <c r="V7" s="119">
        <f t="shared" si="0"/>
        <v>40123.505305400024</v>
      </c>
      <c r="W7" s="119">
        <f t="shared" si="0"/>
        <v>44135.855835940027</v>
      </c>
      <c r="X7" s="119">
        <f t="shared" si="0"/>
        <v>48549.441419534036</v>
      </c>
      <c r="Y7" s="119">
        <f t="shared" si="0"/>
        <v>53404.385561487441</v>
      </c>
      <c r="Z7" s="119">
        <f t="shared" si="0"/>
        <v>58744.824117636192</v>
      </c>
      <c r="AA7" s="119">
        <f t="shared" si="0"/>
        <v>64619.306529399815</v>
      </c>
      <c r="AB7" s="118">
        <f>((AA7/N7)^(1/($AA$4-$H$2) ))-1</f>
        <v>9.5828944233686597E-2</v>
      </c>
    </row>
    <row r="8" spans="2:28" x14ac:dyDescent="0.2">
      <c r="B8" s="20" t="s">
        <v>240</v>
      </c>
      <c r="C8" s="20"/>
      <c r="D8" s="20"/>
      <c r="E8" s="20"/>
      <c r="F8" s="20"/>
      <c r="G8" s="20"/>
      <c r="H8" s="20">
        <v>6026</v>
      </c>
      <c r="I8" s="20"/>
      <c r="J8" s="20"/>
      <c r="K8" s="20"/>
      <c r="L8" s="133">
        <v>12922.74</v>
      </c>
      <c r="M8" s="133">
        <v>15895.98</v>
      </c>
      <c r="N8" s="133">
        <v>20155.080000000002</v>
      </c>
      <c r="O8" s="133">
        <v>25403.06</v>
      </c>
      <c r="P8" s="118">
        <f>((O8/H8)^(1/($H$3-$H$2) ))-1</f>
        <v>0.61542066994143974</v>
      </c>
      <c r="Q8" s="31">
        <v>0.1</v>
      </c>
      <c r="R8" s="119">
        <f t="shared" ref="R8:R15" si="1">O8*(1+$Q8)</f>
        <v>27943.366000000005</v>
      </c>
      <c r="S8" s="119">
        <f t="shared" ref="S8:AA8" si="2">R8*(1+$Q8)</f>
        <v>30737.702600000008</v>
      </c>
      <c r="T8" s="119">
        <f t="shared" si="2"/>
        <v>33811.472860000009</v>
      </c>
      <c r="U8" s="119">
        <f t="shared" si="2"/>
        <v>37192.620146000016</v>
      </c>
      <c r="V8" s="119">
        <f t="shared" si="2"/>
        <v>40911.88216060002</v>
      </c>
      <c r="W8" s="119">
        <f t="shared" si="2"/>
        <v>45003.070376660027</v>
      </c>
      <c r="X8" s="119">
        <f t="shared" si="2"/>
        <v>49503.377414326031</v>
      </c>
      <c r="Y8" s="119">
        <f t="shared" si="2"/>
        <v>54453.71515575864</v>
      </c>
      <c r="Z8" s="119">
        <f t="shared" si="2"/>
        <v>59899.086671334509</v>
      </c>
      <c r="AA8" s="119">
        <f t="shared" si="2"/>
        <v>65888.995338467968</v>
      </c>
      <c r="AB8" s="118">
        <f>((AA8/N8)^(1/($AA$4-$H$2) ))-1</f>
        <v>9.5396659681844076E-2</v>
      </c>
    </row>
    <row r="9" spans="2:28" x14ac:dyDescent="0.2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133"/>
      <c r="P9" s="118"/>
      <c r="Q9" s="31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8"/>
    </row>
    <row r="10" spans="2:28" x14ac:dyDescent="0.2">
      <c r="B10" s="20" t="s">
        <v>271</v>
      </c>
      <c r="C10" s="20"/>
      <c r="D10" s="20"/>
      <c r="E10" s="20"/>
      <c r="F10" s="20"/>
      <c r="G10" s="20"/>
      <c r="H10" s="20">
        <v>8446</v>
      </c>
      <c r="I10" s="20"/>
      <c r="J10" s="20"/>
      <c r="K10" s="20"/>
      <c r="L10" s="133">
        <v>28622.45</v>
      </c>
      <c r="M10" s="133">
        <v>32730.02</v>
      </c>
      <c r="N10" s="133">
        <v>39311.33</v>
      </c>
      <c r="O10" s="133">
        <v>41653.43</v>
      </c>
      <c r="P10" s="118">
        <f t="shared" ref="P10:P15" si="3">((O10/H10)^(1/($H$3-$H$2) ))-1</f>
        <v>0.70215810680280355</v>
      </c>
      <c r="Q10" s="31">
        <v>0.1</v>
      </c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8"/>
    </row>
    <row r="11" spans="2:28" x14ac:dyDescent="0.2">
      <c r="B11" s="20" t="s">
        <v>286</v>
      </c>
      <c r="C11" s="20"/>
      <c r="D11" s="20"/>
      <c r="E11" s="20"/>
      <c r="F11" s="20"/>
      <c r="G11" s="20"/>
      <c r="H11" s="20">
        <v>537</v>
      </c>
      <c r="I11" s="20"/>
      <c r="J11" s="20"/>
      <c r="K11" s="20"/>
      <c r="L11" s="20">
        <v>167</v>
      </c>
      <c r="M11" s="20">
        <v>148</v>
      </c>
      <c r="N11" s="20">
        <v>270</v>
      </c>
      <c r="O11" s="133">
        <v>369</v>
      </c>
      <c r="P11" s="118">
        <f t="shared" si="3"/>
        <v>-0.1175623552305739</v>
      </c>
      <c r="Q11" s="31">
        <v>0.1</v>
      </c>
      <c r="R11" s="119">
        <f t="shared" si="1"/>
        <v>405.90000000000003</v>
      </c>
      <c r="S11" s="119">
        <f t="shared" ref="S11:AA11" si="4">R11*(1+$Q11)</f>
        <v>446.49000000000007</v>
      </c>
      <c r="T11" s="119">
        <f t="shared" si="4"/>
        <v>491.13900000000012</v>
      </c>
      <c r="U11" s="119">
        <f t="shared" si="4"/>
        <v>540.25290000000018</v>
      </c>
      <c r="V11" s="119">
        <f t="shared" si="4"/>
        <v>594.27819000000022</v>
      </c>
      <c r="W11" s="119">
        <f t="shared" si="4"/>
        <v>653.70600900000034</v>
      </c>
      <c r="X11" s="119">
        <f t="shared" si="4"/>
        <v>719.07660990000045</v>
      </c>
      <c r="Y11" s="119">
        <f t="shared" si="4"/>
        <v>790.98427089000052</v>
      </c>
      <c r="Z11" s="119">
        <f t="shared" si="4"/>
        <v>870.08269797900061</v>
      </c>
      <c r="AA11" s="119">
        <f t="shared" si="4"/>
        <v>957.0909677769007</v>
      </c>
      <c r="AB11" s="118">
        <f>((AA11/N11)^(1/($AA$4-$H$2) ))-1</f>
        <v>0.10223985890223863</v>
      </c>
    </row>
    <row r="12" spans="2:28" x14ac:dyDescent="0.2">
      <c r="B12" s="20" t="s">
        <v>2</v>
      </c>
      <c r="C12" s="20"/>
      <c r="D12" s="20"/>
      <c r="E12" s="20"/>
      <c r="F12" s="20"/>
      <c r="G12" s="20"/>
      <c r="H12" s="20">
        <v>3177</v>
      </c>
      <c r="I12" s="20"/>
      <c r="J12" s="20"/>
      <c r="K12" s="20"/>
      <c r="L12" s="20">
        <v>1955.87</v>
      </c>
      <c r="M12" s="20">
        <v>888.56</v>
      </c>
      <c r="N12" s="20">
        <v>1449.52</v>
      </c>
      <c r="O12" s="133">
        <v>6734.33</v>
      </c>
      <c r="P12" s="118">
        <f t="shared" si="3"/>
        <v>0.28457379946930783</v>
      </c>
      <c r="Q12" s="31">
        <v>0.1</v>
      </c>
      <c r="R12" s="119">
        <f t="shared" si="1"/>
        <v>7407.7630000000008</v>
      </c>
      <c r="S12" s="119">
        <f t="shared" ref="S12:AA12" si="5">R12*(1+$Q12)</f>
        <v>8148.5393000000013</v>
      </c>
      <c r="T12" s="119">
        <f t="shared" si="5"/>
        <v>8963.3932300000015</v>
      </c>
      <c r="U12" s="119">
        <f t="shared" si="5"/>
        <v>9859.7325530000016</v>
      </c>
      <c r="V12" s="119">
        <f t="shared" si="5"/>
        <v>10845.705808300003</v>
      </c>
      <c r="W12" s="119">
        <f t="shared" si="5"/>
        <v>11930.276389130004</v>
      </c>
      <c r="X12" s="119">
        <f t="shared" si="5"/>
        <v>13123.304028043005</v>
      </c>
      <c r="Y12" s="119">
        <f t="shared" si="5"/>
        <v>14435.634430847307</v>
      </c>
      <c r="Z12" s="119">
        <f t="shared" si="5"/>
        <v>15879.197873932038</v>
      </c>
      <c r="AA12" s="119">
        <f t="shared" si="5"/>
        <v>17467.117661325243</v>
      </c>
      <c r="AB12" s="118">
        <f>((AA12/N12)^(1/($AA$4-$H$2) ))-1</f>
        <v>0.21102642021523277</v>
      </c>
    </row>
    <row r="13" spans="2:28" x14ac:dyDescent="0.2">
      <c r="B13" s="20" t="s">
        <v>218</v>
      </c>
      <c r="C13" s="20"/>
      <c r="D13" s="20"/>
      <c r="E13" s="20"/>
      <c r="F13" s="20"/>
      <c r="G13" s="20"/>
      <c r="H13" s="20">
        <v>9</v>
      </c>
      <c r="I13" s="20"/>
      <c r="J13" s="20"/>
      <c r="K13" s="20"/>
      <c r="L13" s="20">
        <v>6</v>
      </c>
      <c r="M13" s="20">
        <v>11</v>
      </c>
      <c r="N13" s="20">
        <v>6</v>
      </c>
      <c r="O13" s="133">
        <v>6</v>
      </c>
      <c r="P13" s="118">
        <f t="shared" si="3"/>
        <v>-0.12641953526370109</v>
      </c>
      <c r="Q13" s="31">
        <v>0.1</v>
      </c>
      <c r="R13" s="119">
        <f t="shared" si="1"/>
        <v>6.6000000000000005</v>
      </c>
      <c r="S13" s="119">
        <f t="shared" ref="S13:AA13" si="6">R13*(1+$Q13)</f>
        <v>7.2600000000000016</v>
      </c>
      <c r="T13" s="119">
        <f t="shared" si="6"/>
        <v>7.9860000000000024</v>
      </c>
      <c r="U13" s="119">
        <f t="shared" si="6"/>
        <v>8.7846000000000029</v>
      </c>
      <c r="V13" s="119">
        <f t="shared" si="6"/>
        <v>9.6630600000000033</v>
      </c>
      <c r="W13" s="119">
        <f t="shared" si="6"/>
        <v>10.629366000000005</v>
      </c>
      <c r="X13" s="119">
        <f t="shared" si="6"/>
        <v>11.692302600000007</v>
      </c>
      <c r="Y13" s="119">
        <f t="shared" si="6"/>
        <v>12.861532860000008</v>
      </c>
      <c r="Z13" s="119">
        <f t="shared" si="6"/>
        <v>14.147686146000009</v>
      </c>
      <c r="AA13" s="119">
        <f t="shared" si="6"/>
        <v>15.56245476060001</v>
      </c>
      <c r="AB13" s="118">
        <f>((AA13/N13)^(1/($AA$4-$H$2) ))-1</f>
        <v>7.6070008114389687E-2</v>
      </c>
    </row>
    <row r="14" spans="2:28" x14ac:dyDescent="0.2">
      <c r="B14" s="20" t="s">
        <v>19</v>
      </c>
      <c r="C14" s="20"/>
      <c r="D14" s="20"/>
      <c r="E14" s="20"/>
      <c r="F14" s="20"/>
      <c r="G14" s="20"/>
      <c r="H14" s="20">
        <v>13342</v>
      </c>
      <c r="I14" s="20"/>
      <c r="J14" s="20"/>
      <c r="K14" s="20"/>
      <c r="L14" s="133">
        <v>38884.03</v>
      </c>
      <c r="M14" s="133">
        <v>38884.03</v>
      </c>
      <c r="N14" s="133">
        <v>53908.99</v>
      </c>
      <c r="O14" s="133">
        <v>46790.34</v>
      </c>
      <c r="P14" s="118">
        <f t="shared" si="3"/>
        <v>0.51930542374436173</v>
      </c>
      <c r="Q14" s="31">
        <v>0.1</v>
      </c>
      <c r="R14" s="119">
        <f t="shared" si="1"/>
        <v>51469.374000000003</v>
      </c>
      <c r="S14" s="119">
        <f t="shared" ref="S14:AA14" si="7">R14*(1+$Q14)</f>
        <v>56616.311400000006</v>
      </c>
      <c r="T14" s="119">
        <f t="shared" si="7"/>
        <v>62277.942540000011</v>
      </c>
      <c r="U14" s="119">
        <f t="shared" si="7"/>
        <v>68505.736794000011</v>
      </c>
      <c r="V14" s="119">
        <f t="shared" si="7"/>
        <v>75356.310473400023</v>
      </c>
      <c r="W14" s="119">
        <f t="shared" si="7"/>
        <v>82891.941520740031</v>
      </c>
      <c r="X14" s="119">
        <f t="shared" si="7"/>
        <v>91181.135672814038</v>
      </c>
      <c r="Y14" s="119">
        <f t="shared" si="7"/>
        <v>100299.24924009545</v>
      </c>
      <c r="Z14" s="119">
        <f t="shared" si="7"/>
        <v>110329.174164105</v>
      </c>
      <c r="AA14" s="119">
        <f t="shared" si="7"/>
        <v>121362.09158051551</v>
      </c>
      <c r="AB14" s="118">
        <f>((AA14/N14)^(1/($AA$4-$H$2) ))-1</f>
        <v>6.4411047994455295E-2</v>
      </c>
    </row>
    <row r="15" spans="2:28" x14ac:dyDescent="0.2">
      <c r="B15" s="20" t="s">
        <v>23</v>
      </c>
      <c r="C15" s="20"/>
      <c r="D15" s="20"/>
      <c r="E15" s="20"/>
      <c r="F15" s="20"/>
      <c r="G15" s="20"/>
      <c r="H15" s="20">
        <v>6564</v>
      </c>
      <c r="I15" s="20"/>
      <c r="J15" s="20"/>
      <c r="K15" s="20"/>
      <c r="L15" s="133">
        <v>10261.58</v>
      </c>
      <c r="M15" s="133">
        <v>11874.79</v>
      </c>
      <c r="N15" s="133">
        <v>14597.66</v>
      </c>
      <c r="O15" s="133">
        <v>19488.849999999999</v>
      </c>
      <c r="P15" s="118">
        <f t="shared" si="3"/>
        <v>0.43727282245084731</v>
      </c>
      <c r="Q15" s="31">
        <v>0.1</v>
      </c>
      <c r="R15" s="119">
        <f t="shared" si="1"/>
        <v>21437.735000000001</v>
      </c>
      <c r="S15" s="119">
        <f t="shared" ref="S15:AA15" si="8">R15*(1+$Q15)</f>
        <v>23581.508500000004</v>
      </c>
      <c r="T15" s="119">
        <f t="shared" si="8"/>
        <v>25939.659350000005</v>
      </c>
      <c r="U15" s="119">
        <f t="shared" si="8"/>
        <v>28533.625285000009</v>
      </c>
      <c r="V15" s="119">
        <f t="shared" si="8"/>
        <v>31386.987813500011</v>
      </c>
      <c r="W15" s="119">
        <f t="shared" si="8"/>
        <v>34525.686594850013</v>
      </c>
      <c r="X15" s="119">
        <f t="shared" si="8"/>
        <v>37978.255254335018</v>
      </c>
      <c r="Y15" s="119">
        <f t="shared" si="8"/>
        <v>41776.080779768519</v>
      </c>
      <c r="Z15" s="119">
        <f t="shared" si="8"/>
        <v>45953.688857745372</v>
      </c>
      <c r="AA15" s="119">
        <f t="shared" si="8"/>
        <v>50549.057743519916</v>
      </c>
      <c r="AB15" s="118">
        <f>((AA15/N15)^(1/($AA$4-$H$2) ))-1</f>
        <v>0.10025816863246639</v>
      </c>
    </row>
    <row r="16" spans="2:28" x14ac:dyDescent="0.2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128"/>
      <c r="Q16" s="128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8"/>
    </row>
    <row r="17" spans="2:28" x14ac:dyDescent="0.2">
      <c r="B17" s="20" t="s">
        <v>279</v>
      </c>
      <c r="C17" s="20"/>
      <c r="D17" s="20"/>
      <c r="E17" s="20"/>
      <c r="F17" s="20"/>
      <c r="G17" s="20"/>
      <c r="H17" s="20">
        <v>1009</v>
      </c>
      <c r="I17" s="20"/>
      <c r="J17" s="20"/>
      <c r="K17" s="20"/>
      <c r="L17" s="133">
        <v>1664.37</v>
      </c>
      <c r="M17" s="133">
        <v>2608.37</v>
      </c>
      <c r="N17" s="133">
        <v>3609.7</v>
      </c>
      <c r="O17" s="133">
        <v>4542.8599999999997</v>
      </c>
      <c r="P17" s="118">
        <f>((O17/H17)^(1/($H$3-$H$2) ))-1</f>
        <v>0.65124961345715571</v>
      </c>
      <c r="Q17" s="31">
        <v>0.1</v>
      </c>
      <c r="R17" s="119">
        <f t="shared" ref="R17" si="9">O17*(1+$Q17)</f>
        <v>4997.1459999999997</v>
      </c>
      <c r="S17" s="119">
        <f t="shared" ref="S17" si="10">R17*(1+$Q17)</f>
        <v>5496.8606</v>
      </c>
      <c r="T17" s="119">
        <f t="shared" ref="T17" si="11">S17*(1+$Q17)</f>
        <v>6046.5466600000009</v>
      </c>
      <c r="U17" s="119">
        <f t="shared" ref="U17" si="12">T17*(1+$Q17)</f>
        <v>6651.2013260000012</v>
      </c>
      <c r="V17" s="119">
        <f t="shared" ref="V17" si="13">U17*(1+$Q17)</f>
        <v>7316.3214586000022</v>
      </c>
      <c r="W17" s="119">
        <f t="shared" ref="W17" si="14">V17*(1+$Q17)</f>
        <v>8047.9536044600027</v>
      </c>
      <c r="X17" s="119">
        <f t="shared" ref="X17" si="15">W17*(1+$Q17)</f>
        <v>8852.7489649060044</v>
      </c>
      <c r="Y17" s="119">
        <f t="shared" ref="Y17" si="16">X17*(1+$Q17)</f>
        <v>9738.0238613966048</v>
      </c>
      <c r="Z17" s="119">
        <f t="shared" ref="Z17" si="17">Y17*(1+$Q17)</f>
        <v>10711.826247536266</v>
      </c>
      <c r="AA17" s="119">
        <f t="shared" ref="AA17" si="18">Z17*(1+$Q17)</f>
        <v>11783.008872289894</v>
      </c>
      <c r="AB17" s="118">
        <f>((AA17/N17)^(1/($AA$4-$H$2) ))-1</f>
        <v>9.5271861496796673E-2</v>
      </c>
    </row>
    <row r="18" spans="2:28" x14ac:dyDescent="0.2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128"/>
      <c r="Q18" s="128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8"/>
    </row>
    <row r="19" spans="2:28" x14ac:dyDescent="0.2">
      <c r="B19" s="20" t="s">
        <v>89</v>
      </c>
      <c r="C19" s="20"/>
      <c r="D19" s="20"/>
      <c r="E19" s="20"/>
      <c r="F19" s="20"/>
      <c r="G19" s="20"/>
      <c r="H19" s="20">
        <v>10722</v>
      </c>
      <c r="I19" s="20"/>
      <c r="J19" s="20"/>
      <c r="K19" s="20"/>
      <c r="L19" s="133">
        <v>29082.36</v>
      </c>
      <c r="M19" s="133">
        <v>35392.54</v>
      </c>
      <c r="N19" s="133">
        <v>43470.29</v>
      </c>
      <c r="O19" s="133">
        <v>50208.36</v>
      </c>
      <c r="P19" s="118">
        <f>((O19/H19)^(1/($H$3-$H$2) ))-1</f>
        <v>0.67301593555569839</v>
      </c>
      <c r="Q19" s="31">
        <v>0.1</v>
      </c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8"/>
    </row>
    <row r="20" spans="2:28" x14ac:dyDescent="0.2">
      <c r="B20" s="20" t="s">
        <v>262</v>
      </c>
      <c r="C20" s="20"/>
      <c r="D20" s="20"/>
      <c r="E20" s="20"/>
      <c r="F20" s="20"/>
      <c r="G20" s="20"/>
      <c r="H20" s="20">
        <v>9120</v>
      </c>
      <c r="I20" s="20"/>
      <c r="J20" s="20"/>
      <c r="K20" s="20"/>
      <c r="L20" s="133">
        <v>23870.62</v>
      </c>
      <c r="M20" s="133">
        <v>28168.94</v>
      </c>
      <c r="N20" s="133">
        <v>33768.61</v>
      </c>
      <c r="O20" s="133">
        <v>38965.69</v>
      </c>
      <c r="P20" s="118">
        <f>((O20/H20)^(1/($H$3-$H$2) ))-1</f>
        <v>0.6226661538395255</v>
      </c>
      <c r="Q20" s="31">
        <v>0.1</v>
      </c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8"/>
    </row>
    <row r="21" spans="2:28" x14ac:dyDescent="0.2">
      <c r="B21" s="20" t="s">
        <v>280</v>
      </c>
      <c r="C21" s="20"/>
      <c r="D21" s="20"/>
      <c r="E21" s="20"/>
      <c r="F21" s="20"/>
      <c r="G21" s="20"/>
      <c r="H21" s="20">
        <v>4891</v>
      </c>
      <c r="I21" s="20"/>
      <c r="J21" s="20"/>
      <c r="K21" s="20"/>
      <c r="L21" s="133">
        <v>15746.65</v>
      </c>
      <c r="M21" s="133">
        <v>17915.7</v>
      </c>
      <c r="N21" s="133">
        <v>20016.64</v>
      </c>
      <c r="O21" s="133">
        <v>25266.6</v>
      </c>
      <c r="P21" s="118">
        <f>((O21/H21)^(1/($H$3-$H$2) ))-1</f>
        <v>0.72868705845701309</v>
      </c>
      <c r="Q21" s="31">
        <v>0.1</v>
      </c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8"/>
    </row>
    <row r="22" spans="2:28" x14ac:dyDescent="0.2">
      <c r="B22" s="20" t="s">
        <v>281</v>
      </c>
      <c r="C22" s="20"/>
      <c r="D22" s="20"/>
      <c r="E22" s="20"/>
      <c r="F22" s="20"/>
      <c r="G22" s="20"/>
      <c r="H22" s="20">
        <v>1650</v>
      </c>
      <c r="I22" s="20"/>
      <c r="J22" s="20"/>
      <c r="K22" s="20"/>
      <c r="L22" s="133">
        <v>3027.12</v>
      </c>
      <c r="M22" s="133">
        <v>6499.83</v>
      </c>
      <c r="N22" s="133">
        <v>5452.6</v>
      </c>
      <c r="O22" s="133">
        <v>5529.77</v>
      </c>
      <c r="P22" s="118">
        <f>((O22/H22)^(1/($H$3-$H$2) ))-1</f>
        <v>0.49649191418536676</v>
      </c>
      <c r="Q22" s="31">
        <v>0.1</v>
      </c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8"/>
    </row>
    <row r="23" spans="2:28" x14ac:dyDescent="0.2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128"/>
      <c r="Q23" s="128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8"/>
    </row>
    <row r="24" spans="2:28" x14ac:dyDescent="0.2">
      <c r="B24" s="20" t="s">
        <v>257</v>
      </c>
      <c r="C24" s="20"/>
      <c r="D24" s="20"/>
      <c r="E24" s="20"/>
      <c r="F24" s="20"/>
      <c r="G24" s="20"/>
      <c r="H24" s="20">
        <v>953</v>
      </c>
      <c r="I24" s="20"/>
      <c r="J24" s="20"/>
      <c r="K24" s="20"/>
      <c r="L24" s="133">
        <v>3115.17</v>
      </c>
      <c r="M24" s="133">
        <v>4326.92</v>
      </c>
      <c r="N24" s="133">
        <v>6053.36</v>
      </c>
      <c r="O24" s="133">
        <v>7087.26</v>
      </c>
      <c r="P24" s="118">
        <f>((O24/H24)^(1/($H$3-$H$2) ))-1</f>
        <v>0.95191913513119419</v>
      </c>
      <c r="Q24" s="31">
        <v>0.2</v>
      </c>
      <c r="R24" s="119">
        <f>O24*(1+$Q24)</f>
        <v>8504.7119999999995</v>
      </c>
      <c r="S24" s="119">
        <f t="shared" ref="S24:AA24" si="19">R24*(1+$Q24)</f>
        <v>10205.654399999999</v>
      </c>
      <c r="T24" s="119">
        <f t="shared" si="19"/>
        <v>12246.785279999998</v>
      </c>
      <c r="U24" s="119">
        <f t="shared" si="19"/>
        <v>14696.142335999997</v>
      </c>
      <c r="V24" s="119">
        <f t="shared" si="19"/>
        <v>17635.370803199996</v>
      </c>
      <c r="W24" s="119">
        <f t="shared" si="19"/>
        <v>21162.444963839993</v>
      </c>
      <c r="X24" s="119">
        <f t="shared" si="19"/>
        <v>25394.933956607991</v>
      </c>
      <c r="Y24" s="119">
        <f t="shared" si="19"/>
        <v>30473.920747929587</v>
      </c>
      <c r="Z24" s="119">
        <f t="shared" si="19"/>
        <v>36568.704897515505</v>
      </c>
      <c r="AA24" s="119">
        <f t="shared" si="19"/>
        <v>43882.445877018603</v>
      </c>
      <c r="AB24" s="118">
        <f>((AA24/N24)^(1/($AA$4-$H$2) ))-1</f>
        <v>0.16459919720862426</v>
      </c>
    </row>
    <row r="25" spans="2:28" x14ac:dyDescent="0.2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128"/>
      <c r="Q25" s="128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8"/>
    </row>
    <row r="26" spans="2:28" x14ac:dyDescent="0.2">
      <c r="B26" s="20" t="s">
        <v>239</v>
      </c>
      <c r="C26" s="119">
        <v>1</v>
      </c>
      <c r="D26" s="119">
        <v>1</v>
      </c>
      <c r="E26" s="126">
        <v>1</v>
      </c>
      <c r="F26" s="126">
        <v>1</v>
      </c>
      <c r="G26" s="126">
        <v>1</v>
      </c>
      <c r="H26" s="119">
        <v>24</v>
      </c>
      <c r="I26" s="119">
        <v>1</v>
      </c>
      <c r="J26" s="119">
        <v>1</v>
      </c>
      <c r="K26" s="112">
        <v>49</v>
      </c>
      <c r="L26" s="112">
        <v>49</v>
      </c>
      <c r="M26" s="112">
        <v>49</v>
      </c>
      <c r="N26" s="112">
        <v>49</v>
      </c>
      <c r="O26" s="112">
        <v>244.7</v>
      </c>
      <c r="P26" s="118">
        <f>((O26/H26)^(1/($H$3-$H$2) ))-1</f>
        <v>1.1684075423505553</v>
      </c>
      <c r="Q26" s="31">
        <v>0</v>
      </c>
      <c r="R26" s="119">
        <f t="shared" ref="R26" si="20">O26*(1+$Q26)</f>
        <v>244.7</v>
      </c>
      <c r="S26" s="119">
        <f t="shared" ref="S26:AA26" si="21">R26*(1+$Q26)</f>
        <v>244.7</v>
      </c>
      <c r="T26" s="119">
        <f t="shared" si="21"/>
        <v>244.7</v>
      </c>
      <c r="U26" s="119">
        <f t="shared" si="21"/>
        <v>244.7</v>
      </c>
      <c r="V26" s="119">
        <f t="shared" si="21"/>
        <v>244.7</v>
      </c>
      <c r="W26" s="119">
        <f t="shared" si="21"/>
        <v>244.7</v>
      </c>
      <c r="X26" s="119">
        <f t="shared" si="21"/>
        <v>244.7</v>
      </c>
      <c r="Y26" s="119">
        <f t="shared" si="21"/>
        <v>244.7</v>
      </c>
      <c r="Z26" s="119">
        <f t="shared" si="21"/>
        <v>244.7</v>
      </c>
      <c r="AA26" s="119">
        <f t="shared" si="21"/>
        <v>244.7</v>
      </c>
      <c r="AB26" s="118">
        <f>((AA26/N26)^(1/($AA$4-$H$2) ))-1</f>
        <v>0.13168612557111747</v>
      </c>
    </row>
    <row r="27" spans="2:28" x14ac:dyDescent="0.2">
      <c r="B27" s="20"/>
      <c r="C27" s="20"/>
      <c r="D27" s="20"/>
      <c r="E27" s="127"/>
      <c r="F27" s="127"/>
      <c r="G27" s="127"/>
      <c r="H27" s="20"/>
      <c r="I27" s="20"/>
      <c r="J27" s="20"/>
      <c r="K27" s="20"/>
      <c r="L27" s="20"/>
      <c r="M27" s="20"/>
      <c r="N27" s="20"/>
      <c r="O27" s="20"/>
      <c r="P27" s="128"/>
      <c r="Q27" s="128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8"/>
    </row>
    <row r="28" spans="2:28" x14ac:dyDescent="0.2">
      <c r="B28" s="108" t="s">
        <v>243</v>
      </c>
      <c r="C28" s="20"/>
      <c r="D28" s="20"/>
      <c r="E28" s="127"/>
      <c r="F28" s="127"/>
      <c r="G28" s="127"/>
      <c r="H28" s="20"/>
      <c r="I28" s="20"/>
      <c r="J28" s="20"/>
      <c r="K28" s="20"/>
      <c r="L28" s="20"/>
      <c r="M28" s="20"/>
      <c r="N28" s="20"/>
      <c r="O28" s="20"/>
      <c r="P28" s="128"/>
      <c r="Q28" s="128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8"/>
    </row>
    <row r="29" spans="2:28" x14ac:dyDescent="0.2">
      <c r="B29" s="20" t="s">
        <v>258</v>
      </c>
      <c r="C29" s="25">
        <f t="shared" ref="C29:M29" si="22">C24/C26</f>
        <v>0</v>
      </c>
      <c r="D29" s="25">
        <f t="shared" si="22"/>
        <v>0</v>
      </c>
      <c r="E29" s="25">
        <f t="shared" si="22"/>
        <v>0</v>
      </c>
      <c r="F29" s="25">
        <f t="shared" si="22"/>
        <v>0</v>
      </c>
      <c r="G29" s="25">
        <f t="shared" si="22"/>
        <v>0</v>
      </c>
      <c r="H29" s="25">
        <f t="shared" si="22"/>
        <v>39.708333333333336</v>
      </c>
      <c r="I29" s="25">
        <f t="shared" si="22"/>
        <v>0</v>
      </c>
      <c r="J29" s="25">
        <f t="shared" si="22"/>
        <v>0</v>
      </c>
      <c r="K29" s="25">
        <f t="shared" si="22"/>
        <v>0</v>
      </c>
      <c r="L29" s="25">
        <f t="shared" si="22"/>
        <v>63.574897959183673</v>
      </c>
      <c r="M29" s="25">
        <f t="shared" si="22"/>
        <v>88.304489795918371</v>
      </c>
      <c r="N29" s="25">
        <f>N24/N26</f>
        <v>123.53795918367346</v>
      </c>
      <c r="O29" s="25">
        <f>O24/O26</f>
        <v>28.963056804250105</v>
      </c>
      <c r="P29" s="118">
        <f>((O29/H29)^(1/($H$3-$H$2) ))-1</f>
        <v>-9.9837508859006996E-2</v>
      </c>
      <c r="Q29" s="31">
        <v>0.1</v>
      </c>
      <c r="R29" s="119">
        <f t="shared" ref="R29:R32" si="23">O29*(1+$Q29)</f>
        <v>31.859362484675117</v>
      </c>
      <c r="S29" s="119">
        <f t="shared" ref="S29:AA32" si="24">R29*(1+$Q29)</f>
        <v>35.04529873314263</v>
      </c>
      <c r="T29" s="119">
        <f t="shared" si="24"/>
        <v>38.549828606456899</v>
      </c>
      <c r="U29" s="119">
        <f t="shared" si="24"/>
        <v>42.40481146710259</v>
      </c>
      <c r="V29" s="119">
        <f t="shared" si="24"/>
        <v>46.645292613812856</v>
      </c>
      <c r="W29" s="119">
        <f t="shared" si="24"/>
        <v>51.309821875194146</v>
      </c>
      <c r="X29" s="119">
        <f t="shared" si="24"/>
        <v>56.440804062713568</v>
      </c>
      <c r="Y29" s="119">
        <f t="shared" si="24"/>
        <v>62.084884468984932</v>
      </c>
      <c r="Z29" s="119">
        <f t="shared" si="24"/>
        <v>68.293372915883424</v>
      </c>
      <c r="AA29" s="119">
        <f t="shared" si="24"/>
        <v>75.122710207471769</v>
      </c>
      <c r="AB29" s="118">
        <f>((AA29/N29)^(1/($AA$4-$H$2) ))-1</f>
        <v>-3.7540704846250716E-2</v>
      </c>
    </row>
    <row r="30" spans="2:28" x14ac:dyDescent="0.2">
      <c r="B30" s="20" t="s">
        <v>245</v>
      </c>
      <c r="C30" s="25">
        <f t="shared" ref="C30:O30" si="25">C8/C26</f>
        <v>0</v>
      </c>
      <c r="D30" s="25">
        <f t="shared" si="25"/>
        <v>0</v>
      </c>
      <c r="E30" s="25">
        <f t="shared" si="25"/>
        <v>0</v>
      </c>
      <c r="F30" s="25">
        <f t="shared" si="25"/>
        <v>0</v>
      </c>
      <c r="G30" s="25">
        <f t="shared" si="25"/>
        <v>0</v>
      </c>
      <c r="H30" s="25">
        <f t="shared" si="25"/>
        <v>251.08333333333334</v>
      </c>
      <c r="I30" s="25">
        <f t="shared" si="25"/>
        <v>0</v>
      </c>
      <c r="J30" s="25">
        <f t="shared" si="25"/>
        <v>0</v>
      </c>
      <c r="K30" s="25">
        <f t="shared" si="25"/>
        <v>0</v>
      </c>
      <c r="L30" s="25">
        <f t="shared" si="25"/>
        <v>263.72938775510204</v>
      </c>
      <c r="M30" s="25">
        <f t="shared" si="25"/>
        <v>324.40775510204082</v>
      </c>
      <c r="N30" s="25">
        <f t="shared" si="25"/>
        <v>411.32816326530616</v>
      </c>
      <c r="O30" s="25">
        <f t="shared" si="25"/>
        <v>103.8130772374336</v>
      </c>
      <c r="P30" s="118">
        <f>((O30/H30)^(1/($H$3-$H$2) ))-1</f>
        <v>-0.25501980675167613</v>
      </c>
      <c r="Q30" s="31">
        <v>0.05</v>
      </c>
      <c r="R30" s="119">
        <f t="shared" si="23"/>
        <v>109.00373109930528</v>
      </c>
      <c r="S30" s="119">
        <f t="shared" si="24"/>
        <v>114.45391765427055</v>
      </c>
      <c r="T30" s="119">
        <f t="shared" si="24"/>
        <v>120.17661353698409</v>
      </c>
      <c r="U30" s="119">
        <f t="shared" si="24"/>
        <v>126.18544421383331</v>
      </c>
      <c r="V30" s="119">
        <f t="shared" si="24"/>
        <v>132.49471642452497</v>
      </c>
      <c r="W30" s="119">
        <f t="shared" si="24"/>
        <v>139.11945224575123</v>
      </c>
      <c r="X30" s="119">
        <f t="shared" si="24"/>
        <v>146.07542485803882</v>
      </c>
      <c r="Y30" s="119">
        <f t="shared" si="24"/>
        <v>153.37919610094076</v>
      </c>
      <c r="Z30" s="119">
        <f t="shared" si="24"/>
        <v>161.04815590598781</v>
      </c>
      <c r="AA30" s="119">
        <f t="shared" si="24"/>
        <v>169.1005637012872</v>
      </c>
      <c r="AB30" s="118">
        <f>((AA30/N30)^(1/($AA$4-$H$2) ))-1</f>
        <v>-6.6091443279496787E-2</v>
      </c>
    </row>
    <row r="31" spans="2:28" x14ac:dyDescent="0.2">
      <c r="B31" s="20" t="s">
        <v>246</v>
      </c>
      <c r="C31" s="127">
        <f t="shared" ref="C31:O31" si="26">C7/C26</f>
        <v>0</v>
      </c>
      <c r="D31" s="127">
        <f t="shared" si="26"/>
        <v>0</v>
      </c>
      <c r="E31" s="127">
        <f t="shared" si="26"/>
        <v>0</v>
      </c>
      <c r="F31" s="127">
        <f t="shared" si="26"/>
        <v>0</v>
      </c>
      <c r="G31" s="127">
        <f t="shared" si="26"/>
        <v>0</v>
      </c>
      <c r="H31" s="127">
        <f t="shared" si="26"/>
        <v>240.91666666666666</v>
      </c>
      <c r="I31" s="127">
        <f t="shared" si="26"/>
        <v>0</v>
      </c>
      <c r="J31" s="127">
        <f t="shared" si="26"/>
        <v>0</v>
      </c>
      <c r="K31" s="127">
        <f t="shared" si="26"/>
        <v>0</v>
      </c>
      <c r="L31" s="127">
        <f t="shared" si="26"/>
        <v>253.73918367346937</v>
      </c>
      <c r="M31" s="127">
        <f t="shared" si="26"/>
        <v>314.41755102040815</v>
      </c>
      <c r="N31" s="127">
        <f t="shared" si="26"/>
        <v>401.33795918367349</v>
      </c>
      <c r="O31" s="127">
        <f t="shared" si="26"/>
        <v>101.81258684102984</v>
      </c>
      <c r="P31" s="118">
        <f>((O31/H31)^(1/($H$3-$H$2) ))-1</f>
        <v>-0.24956765932569569</v>
      </c>
      <c r="Q31" s="31">
        <v>0.1</v>
      </c>
      <c r="R31" s="119">
        <f t="shared" si="23"/>
        <v>111.99384552513284</v>
      </c>
      <c r="S31" s="119">
        <f t="shared" si="24"/>
        <v>123.19323007764613</v>
      </c>
      <c r="T31" s="119">
        <f t="shared" si="24"/>
        <v>135.51255308541076</v>
      </c>
      <c r="U31" s="119">
        <f t="shared" si="24"/>
        <v>149.06380839395186</v>
      </c>
      <c r="V31" s="119">
        <f t="shared" si="24"/>
        <v>163.97018923334707</v>
      </c>
      <c r="W31" s="119">
        <f t="shared" si="24"/>
        <v>180.36720815668178</v>
      </c>
      <c r="X31" s="119">
        <f t="shared" si="24"/>
        <v>198.40392897234997</v>
      </c>
      <c r="Y31" s="119">
        <f t="shared" si="24"/>
        <v>218.24432186958498</v>
      </c>
      <c r="Z31" s="119">
        <f t="shared" si="24"/>
        <v>240.0687540565435</v>
      </c>
      <c r="AA31" s="119">
        <f t="shared" si="24"/>
        <v>264.07562946219787</v>
      </c>
      <c r="AB31" s="118">
        <f>((AA31/N31)^(1/($AA$4-$H$2) ))-1</f>
        <v>-3.1684740607149653E-2</v>
      </c>
    </row>
    <row r="32" spans="2:28" x14ac:dyDescent="0.2">
      <c r="B32" s="20" t="s">
        <v>247</v>
      </c>
      <c r="C32" s="127">
        <f t="shared" ref="C32:O32" si="27">C11/C26</f>
        <v>0</v>
      </c>
      <c r="D32" s="127">
        <f t="shared" si="27"/>
        <v>0</v>
      </c>
      <c r="E32" s="127">
        <f t="shared" si="27"/>
        <v>0</v>
      </c>
      <c r="F32" s="127">
        <f t="shared" si="27"/>
        <v>0</v>
      </c>
      <c r="G32" s="127">
        <f t="shared" si="27"/>
        <v>0</v>
      </c>
      <c r="H32" s="127">
        <f t="shared" si="27"/>
        <v>22.375</v>
      </c>
      <c r="I32" s="127">
        <f t="shared" si="27"/>
        <v>0</v>
      </c>
      <c r="J32" s="127">
        <f t="shared" si="27"/>
        <v>0</v>
      </c>
      <c r="K32" s="127">
        <f t="shared" si="27"/>
        <v>0</v>
      </c>
      <c r="L32" s="127">
        <f t="shared" si="27"/>
        <v>3.4081632653061225</v>
      </c>
      <c r="M32" s="127">
        <f t="shared" si="27"/>
        <v>3.0204081632653059</v>
      </c>
      <c r="N32" s="134">
        <f t="shared" si="27"/>
        <v>5.5102040816326534</v>
      </c>
      <c r="O32" s="134">
        <f t="shared" si="27"/>
        <v>1.5079689415610953</v>
      </c>
      <c r="P32" s="118">
        <f>((O32/H32)^(1/($H$3-$H$2) ))-1</f>
        <v>-0.59304806521155018</v>
      </c>
      <c r="Q32" s="31">
        <v>0.1</v>
      </c>
      <c r="R32" s="119">
        <f t="shared" si="23"/>
        <v>1.658765835717205</v>
      </c>
      <c r="S32" s="119">
        <f t="shared" si="24"/>
        <v>1.8246424192889257</v>
      </c>
      <c r="T32" s="119">
        <f t="shared" si="24"/>
        <v>2.0071066612178186</v>
      </c>
      <c r="U32" s="119">
        <f t="shared" si="24"/>
        <v>2.2078173273396007</v>
      </c>
      <c r="V32" s="119">
        <f t="shared" si="24"/>
        <v>2.428599060073561</v>
      </c>
      <c r="W32" s="119">
        <f t="shared" si="24"/>
        <v>2.6714589660809174</v>
      </c>
      <c r="X32" s="119">
        <f t="shared" si="24"/>
        <v>2.9386048626890093</v>
      </c>
      <c r="Y32" s="119">
        <f t="shared" si="24"/>
        <v>3.2324653489579105</v>
      </c>
      <c r="Z32" s="119">
        <f t="shared" si="24"/>
        <v>3.5557118838537018</v>
      </c>
      <c r="AA32" s="119">
        <f t="shared" si="24"/>
        <v>3.9112830722390726</v>
      </c>
      <c r="AB32" s="118">
        <f>((AA32/N32)^(1/($AA$4-$H$2) ))-1</f>
        <v>-2.6019817689307279E-2</v>
      </c>
    </row>
    <row r="33" spans="2:28" x14ac:dyDescent="0.2">
      <c r="B33" s="20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8"/>
      <c r="Q33" s="128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8"/>
    </row>
    <row r="34" spans="2:28" x14ac:dyDescent="0.2">
      <c r="B34" s="20" t="s">
        <v>272</v>
      </c>
      <c r="C34" s="127">
        <f t="shared" ref="C34:O34" si="28">(C8-C11)/C26</f>
        <v>0</v>
      </c>
      <c r="D34" s="127">
        <f t="shared" si="28"/>
        <v>0</v>
      </c>
      <c r="E34" s="127">
        <f t="shared" si="28"/>
        <v>0</v>
      </c>
      <c r="F34" s="127">
        <f t="shared" si="28"/>
        <v>0</v>
      </c>
      <c r="G34" s="127">
        <f t="shared" si="28"/>
        <v>0</v>
      </c>
      <c r="H34" s="127">
        <f t="shared" si="28"/>
        <v>228.70833333333334</v>
      </c>
      <c r="I34" s="127">
        <f t="shared" si="28"/>
        <v>0</v>
      </c>
      <c r="J34" s="127">
        <f t="shared" si="28"/>
        <v>0</v>
      </c>
      <c r="K34" s="127">
        <f t="shared" si="28"/>
        <v>0</v>
      </c>
      <c r="L34" s="127">
        <f t="shared" si="28"/>
        <v>260.3212244897959</v>
      </c>
      <c r="M34" s="127">
        <f t="shared" si="28"/>
        <v>321.38734693877552</v>
      </c>
      <c r="N34" s="127">
        <f t="shared" si="28"/>
        <v>405.81795918367351</v>
      </c>
      <c r="O34" s="127">
        <f t="shared" si="28"/>
        <v>102.3051082958725</v>
      </c>
      <c r="P34" s="118">
        <f>((O34/H34)^(1/($H$3-$H$2) ))-1</f>
        <v>-0.23521661644813763</v>
      </c>
      <c r="Q34" s="31">
        <v>0.1</v>
      </c>
      <c r="R34" s="119">
        <f t="shared" ref="R34" si="29">O34*(1+$Q34)</f>
        <v>112.53561912545976</v>
      </c>
      <c r="S34" s="119">
        <f t="shared" ref="S34" si="30">R34*(1+$Q34)</f>
        <v>123.78918103800575</v>
      </c>
      <c r="T34" s="119">
        <f t="shared" ref="T34" si="31">S34*(1+$Q34)</f>
        <v>136.16809914180632</v>
      </c>
      <c r="U34" s="119">
        <f t="shared" ref="U34" si="32">T34*(1+$Q34)</f>
        <v>149.78490905598696</v>
      </c>
      <c r="V34" s="119">
        <f t="shared" ref="V34" si="33">U34*(1+$Q34)</f>
        <v>164.76339996158566</v>
      </c>
      <c r="W34" s="119">
        <f t="shared" ref="W34" si="34">V34*(1+$Q34)</f>
        <v>181.23973995774423</v>
      </c>
      <c r="X34" s="119">
        <f t="shared" ref="X34" si="35">W34*(1+$Q34)</f>
        <v>199.36371395351867</v>
      </c>
      <c r="Y34" s="119">
        <f t="shared" ref="Y34" si="36">X34*(1+$Q34)</f>
        <v>219.30008534887057</v>
      </c>
      <c r="Z34" s="119">
        <f t="shared" ref="Z34" si="37">Y34*(1+$Q34)</f>
        <v>241.23009388375763</v>
      </c>
      <c r="AA34" s="119">
        <f t="shared" ref="AA34" si="38">Z34*(1+$Q34)</f>
        <v>265.35310327213341</v>
      </c>
      <c r="AB34" s="118">
        <f>((AA34/N34)^(1/($AA$4-$H$2) ))-1</f>
        <v>-3.2152022607716768E-2</v>
      </c>
    </row>
    <row r="35" spans="2:28" x14ac:dyDescent="0.2">
      <c r="B35" s="20" t="s">
        <v>273</v>
      </c>
      <c r="C35" s="127">
        <f t="shared" ref="C35:O35" si="39">(C8-C11-C10)/C26</f>
        <v>0</v>
      </c>
      <c r="D35" s="127">
        <f t="shared" si="39"/>
        <v>0</v>
      </c>
      <c r="E35" s="127">
        <f t="shared" si="39"/>
        <v>0</v>
      </c>
      <c r="F35" s="127">
        <f t="shared" si="39"/>
        <v>0</v>
      </c>
      <c r="G35" s="127">
        <f t="shared" si="39"/>
        <v>0</v>
      </c>
      <c r="H35" s="127">
        <f t="shared" si="39"/>
        <v>-123.20833333333333</v>
      </c>
      <c r="I35" s="127">
        <f t="shared" si="39"/>
        <v>0</v>
      </c>
      <c r="J35" s="127">
        <f t="shared" si="39"/>
        <v>0</v>
      </c>
      <c r="K35" s="127">
        <f t="shared" si="39"/>
        <v>0</v>
      </c>
      <c r="L35" s="127">
        <f t="shared" si="39"/>
        <v>-323.81040816326532</v>
      </c>
      <c r="M35" s="127">
        <f t="shared" si="39"/>
        <v>-346.57224489795919</v>
      </c>
      <c r="N35" s="127">
        <f t="shared" si="39"/>
        <v>-396.45408163265307</v>
      </c>
      <c r="O35" s="127">
        <f t="shared" si="39"/>
        <v>-67.91732733959951</v>
      </c>
      <c r="P35" s="118">
        <f>((O35/H35)^(1/($H$3-$H$2) ))-1</f>
        <v>-0.18006359734258348</v>
      </c>
      <c r="Q35" s="31">
        <v>0.1</v>
      </c>
      <c r="R35" s="119">
        <f t="shared" ref="R35" si="40">O35*(1+$Q35)</f>
        <v>-74.709060073559471</v>
      </c>
      <c r="S35" s="119">
        <f t="shared" ref="S35" si="41">R35*(1+$Q35)</f>
        <v>-82.17996608091542</v>
      </c>
      <c r="T35" s="119">
        <f t="shared" ref="T35" si="42">S35*(1+$Q35)</f>
        <v>-90.397962689006974</v>
      </c>
      <c r="U35" s="119">
        <f t="shared" ref="U35" si="43">T35*(1+$Q35)</f>
        <v>-99.437758957907675</v>
      </c>
      <c r="V35" s="119">
        <f t="shared" ref="V35" si="44">U35*(1+$Q35)</f>
        <v>-109.38153485369845</v>
      </c>
      <c r="W35" s="119">
        <f t="shared" ref="W35" si="45">V35*(1+$Q35)</f>
        <v>-120.31968833906831</v>
      </c>
      <c r="X35" s="119">
        <f t="shared" ref="X35" si="46">W35*(1+$Q35)</f>
        <v>-132.35165717297514</v>
      </c>
      <c r="Y35" s="119">
        <f t="shared" ref="Y35" si="47">X35*(1+$Q35)</f>
        <v>-145.58682289027266</v>
      </c>
      <c r="Z35" s="119">
        <f t="shared" ref="Z35" si="48">Y35*(1+$Q35)</f>
        <v>-160.14550517929993</v>
      </c>
      <c r="AA35" s="119">
        <f t="shared" ref="AA35" si="49">Z35*(1+$Q35)</f>
        <v>-176.16005569722995</v>
      </c>
      <c r="AB35" s="118">
        <f>((AA35/N35)^(1/($AA$4-$H$2) ))-1</f>
        <v>-6.0490623331183602E-2</v>
      </c>
    </row>
    <row r="36" spans="2:28" x14ac:dyDescent="0.2">
      <c r="B36" s="20" t="s">
        <v>278</v>
      </c>
      <c r="C36" s="127">
        <f t="shared" ref="C36:O36" si="50">(C8+C14-C11-C10)/C26</f>
        <v>0</v>
      </c>
      <c r="D36" s="127">
        <f t="shared" si="50"/>
        <v>0</v>
      </c>
      <c r="E36" s="127">
        <f t="shared" si="50"/>
        <v>0</v>
      </c>
      <c r="F36" s="127">
        <f t="shared" si="50"/>
        <v>0</v>
      </c>
      <c r="G36" s="127">
        <f t="shared" si="50"/>
        <v>0</v>
      </c>
      <c r="H36" s="127">
        <f t="shared" si="50"/>
        <v>432.70833333333331</v>
      </c>
      <c r="I36" s="127">
        <f t="shared" si="50"/>
        <v>0</v>
      </c>
      <c r="J36" s="127">
        <f t="shared" si="50"/>
        <v>0</v>
      </c>
      <c r="K36" s="127">
        <f t="shared" si="50"/>
        <v>0</v>
      </c>
      <c r="L36" s="127">
        <f t="shared" si="50"/>
        <v>469.74122448979585</v>
      </c>
      <c r="M36" s="127">
        <f t="shared" si="50"/>
        <v>446.97938775510192</v>
      </c>
      <c r="N36" s="127">
        <f t="shared" si="50"/>
        <v>703.72938775510215</v>
      </c>
      <c r="O36" s="127">
        <f t="shared" si="50"/>
        <v>123.29779321618307</v>
      </c>
      <c r="P36" s="118">
        <f>((O36/H36)^(1/($H$3-$H$2) ))-1</f>
        <v>-0.34195840226341778</v>
      </c>
      <c r="Q36" s="31">
        <v>0.1</v>
      </c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8"/>
    </row>
    <row r="37" spans="2:28" x14ac:dyDescent="0.2">
      <c r="B37" s="20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8"/>
      <c r="Q37" s="128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8"/>
    </row>
    <row r="38" spans="2:28" x14ac:dyDescent="0.2">
      <c r="B38" s="20" t="s">
        <v>248</v>
      </c>
      <c r="C38" s="127">
        <f t="shared" ref="C38:O38" si="51">C12/C26</f>
        <v>0</v>
      </c>
      <c r="D38" s="127">
        <f t="shared" si="51"/>
        <v>0</v>
      </c>
      <c r="E38" s="127">
        <f t="shared" si="51"/>
        <v>0</v>
      </c>
      <c r="F38" s="127">
        <f t="shared" si="51"/>
        <v>0</v>
      </c>
      <c r="G38" s="127">
        <f t="shared" si="51"/>
        <v>0</v>
      </c>
      <c r="H38" s="127">
        <f t="shared" si="51"/>
        <v>132.375</v>
      </c>
      <c r="I38" s="127">
        <f t="shared" si="51"/>
        <v>0</v>
      </c>
      <c r="J38" s="127">
        <f t="shared" si="51"/>
        <v>0</v>
      </c>
      <c r="K38" s="127">
        <f t="shared" si="51"/>
        <v>0</v>
      </c>
      <c r="L38" s="127">
        <f t="shared" si="51"/>
        <v>39.91571428571428</v>
      </c>
      <c r="M38" s="127">
        <f t="shared" si="51"/>
        <v>18.133877551020408</v>
      </c>
      <c r="N38" s="127">
        <f t="shared" si="51"/>
        <v>29.582040816326529</v>
      </c>
      <c r="O38" s="127">
        <f t="shared" si="51"/>
        <v>27.52076011442583</v>
      </c>
      <c r="P38" s="118">
        <f t="shared" ref="P38:P42" si="52">((O38/N38)^(1/($H$3-$H$2) ))-1</f>
        <v>-2.3788099499298054E-2</v>
      </c>
      <c r="Q38" s="31">
        <v>0.1</v>
      </c>
      <c r="R38" s="119">
        <f t="shared" ref="R38:R42" si="53">O38*(1+$Q38)</f>
        <v>30.272836125868416</v>
      </c>
      <c r="S38" s="119">
        <f t="shared" ref="S38:AA42" si="54">R38*(1+$Q38)</f>
        <v>33.300119738455258</v>
      </c>
      <c r="T38" s="119">
        <f t="shared" si="54"/>
        <v>36.630131712300788</v>
      </c>
      <c r="U38" s="119">
        <f t="shared" si="54"/>
        <v>40.293144883530871</v>
      </c>
      <c r="V38" s="119">
        <f t="shared" si="54"/>
        <v>44.322459371883966</v>
      </c>
      <c r="W38" s="119">
        <f t="shared" si="54"/>
        <v>48.754705309072364</v>
      </c>
      <c r="X38" s="119">
        <f t="shared" si="54"/>
        <v>53.630175839979607</v>
      </c>
      <c r="Y38" s="119">
        <f t="shared" si="54"/>
        <v>58.993193423977573</v>
      </c>
      <c r="Z38" s="119">
        <f t="shared" si="54"/>
        <v>64.892512766375333</v>
      </c>
      <c r="AA38" s="119">
        <f t="shared" si="54"/>
        <v>71.381764043012879</v>
      </c>
      <c r="AB38" s="118">
        <f>((AA38/N38)^(1/($AA$4-$H$2) ))-1</f>
        <v>7.0108038661404803E-2</v>
      </c>
    </row>
    <row r="39" spans="2:28" x14ac:dyDescent="0.2">
      <c r="B39" s="20" t="s">
        <v>255</v>
      </c>
      <c r="C39" s="127">
        <f t="shared" ref="C39:O39" si="55">C13/C26</f>
        <v>0</v>
      </c>
      <c r="D39" s="127">
        <f t="shared" si="55"/>
        <v>0</v>
      </c>
      <c r="E39" s="127">
        <f t="shared" si="55"/>
        <v>0</v>
      </c>
      <c r="F39" s="127">
        <f t="shared" si="55"/>
        <v>0</v>
      </c>
      <c r="G39" s="127">
        <f t="shared" si="55"/>
        <v>0</v>
      </c>
      <c r="H39" s="127">
        <f t="shared" si="55"/>
        <v>0.375</v>
      </c>
      <c r="I39" s="127">
        <f t="shared" si="55"/>
        <v>0</v>
      </c>
      <c r="J39" s="127">
        <f t="shared" si="55"/>
        <v>0</v>
      </c>
      <c r="K39" s="127">
        <f t="shared" si="55"/>
        <v>0</v>
      </c>
      <c r="L39" s="127">
        <f t="shared" si="55"/>
        <v>0.12244897959183673</v>
      </c>
      <c r="M39" s="127">
        <f t="shared" si="55"/>
        <v>0.22448979591836735</v>
      </c>
      <c r="N39" s="127">
        <f t="shared" si="55"/>
        <v>0.12244897959183673</v>
      </c>
      <c r="O39" s="127">
        <f t="shared" si="55"/>
        <v>2.4519820187985288E-2</v>
      </c>
      <c r="P39" s="118">
        <f t="shared" si="52"/>
        <v>-0.41495756199276712</v>
      </c>
      <c r="Q39" s="31">
        <v>0.1</v>
      </c>
      <c r="R39" s="119">
        <f t="shared" si="53"/>
        <v>2.6971802206783819E-2</v>
      </c>
      <c r="S39" s="119">
        <f t="shared" si="54"/>
        <v>2.9668982427462205E-2</v>
      </c>
      <c r="T39" s="119">
        <f t="shared" si="54"/>
        <v>3.2635880670208429E-2</v>
      </c>
      <c r="U39" s="119">
        <f t="shared" si="54"/>
        <v>3.5899468737229275E-2</v>
      </c>
      <c r="V39" s="119">
        <f t="shared" si="54"/>
        <v>3.9489415610952205E-2</v>
      </c>
      <c r="W39" s="119">
        <f t="shared" si="54"/>
        <v>4.3438357172047429E-2</v>
      </c>
      <c r="X39" s="119">
        <f t="shared" si="54"/>
        <v>4.7782192889252173E-2</v>
      </c>
      <c r="Y39" s="119">
        <f t="shared" si="54"/>
        <v>5.2560412178177397E-2</v>
      </c>
      <c r="Z39" s="119">
        <f t="shared" si="54"/>
        <v>5.7816453395995143E-2</v>
      </c>
      <c r="AA39" s="119">
        <f t="shared" si="54"/>
        <v>6.359809873559466E-2</v>
      </c>
      <c r="AB39" s="118">
        <f>((AA39/N39)^(1/($AA$4-$H$2) ))-1</f>
        <v>-4.9144472305570286E-2</v>
      </c>
    </row>
    <row r="40" spans="2:28" x14ac:dyDescent="0.2">
      <c r="B40" s="20" t="s">
        <v>256</v>
      </c>
      <c r="C40" s="127">
        <f>(C38+C39)</f>
        <v>0</v>
      </c>
      <c r="D40" s="127">
        <f t="shared" ref="D40:O40" si="56">(D38+D39)</f>
        <v>0</v>
      </c>
      <c r="E40" s="127">
        <f t="shared" si="56"/>
        <v>0</v>
      </c>
      <c r="F40" s="127">
        <f t="shared" si="56"/>
        <v>0</v>
      </c>
      <c r="G40" s="127">
        <f t="shared" si="56"/>
        <v>0</v>
      </c>
      <c r="H40" s="127">
        <f t="shared" si="56"/>
        <v>132.75</v>
      </c>
      <c r="I40" s="127">
        <f t="shared" si="56"/>
        <v>0</v>
      </c>
      <c r="J40" s="127">
        <f t="shared" si="56"/>
        <v>0</v>
      </c>
      <c r="K40" s="127">
        <f t="shared" si="56"/>
        <v>0</v>
      </c>
      <c r="L40" s="127">
        <f t="shared" si="56"/>
        <v>40.038163265306117</v>
      </c>
      <c r="M40" s="127">
        <f t="shared" si="56"/>
        <v>18.358367346938774</v>
      </c>
      <c r="N40" s="127">
        <f t="shared" si="56"/>
        <v>29.704489795918366</v>
      </c>
      <c r="O40" s="127">
        <f t="shared" si="56"/>
        <v>27.545279934613816</v>
      </c>
      <c r="P40" s="118">
        <f t="shared" si="52"/>
        <v>-2.4841903389873021E-2</v>
      </c>
      <c r="Q40" s="31">
        <v>0.1</v>
      </c>
      <c r="R40" s="119">
        <f t="shared" si="53"/>
        <v>30.2998079280752</v>
      </c>
      <c r="S40" s="119">
        <f t="shared" si="54"/>
        <v>33.329788720882725</v>
      </c>
      <c r="T40" s="119">
        <f t="shared" si="54"/>
        <v>36.662767592971001</v>
      </c>
      <c r="U40" s="119">
        <f t="shared" si="54"/>
        <v>40.329044352268106</v>
      </c>
      <c r="V40" s="119">
        <f t="shared" si="54"/>
        <v>44.361948787494917</v>
      </c>
      <c r="W40" s="119">
        <f t="shared" si="54"/>
        <v>48.798143666244414</v>
      </c>
      <c r="X40" s="119">
        <f t="shared" si="54"/>
        <v>53.677958032868858</v>
      </c>
      <c r="Y40" s="119">
        <f t="shared" si="54"/>
        <v>59.045753836155747</v>
      </c>
      <c r="Z40" s="119">
        <f t="shared" si="54"/>
        <v>64.950329219771334</v>
      </c>
      <c r="AA40" s="119">
        <f t="shared" si="54"/>
        <v>71.445362141748475</v>
      </c>
      <c r="AB40" s="118">
        <f>((AA40/N40)^(1/($AA$4-$H$2) ))-1</f>
        <v>6.9841351800671969E-2</v>
      </c>
    </row>
    <row r="41" spans="2:28" x14ac:dyDescent="0.2">
      <c r="B41" s="20" t="s">
        <v>249</v>
      </c>
      <c r="C41" s="127">
        <f t="shared" ref="C41:O41" si="57">C14/C26</f>
        <v>0</v>
      </c>
      <c r="D41" s="127">
        <f t="shared" si="57"/>
        <v>0</v>
      </c>
      <c r="E41" s="127">
        <f t="shared" si="57"/>
        <v>0</v>
      </c>
      <c r="F41" s="127">
        <f t="shared" si="57"/>
        <v>0</v>
      </c>
      <c r="G41" s="127">
        <f t="shared" si="57"/>
        <v>0</v>
      </c>
      <c r="H41" s="127">
        <f t="shared" si="57"/>
        <v>555.91666666666663</v>
      </c>
      <c r="I41" s="127">
        <f t="shared" si="57"/>
        <v>0</v>
      </c>
      <c r="J41" s="127">
        <f t="shared" si="57"/>
        <v>0</v>
      </c>
      <c r="K41" s="127">
        <f t="shared" si="57"/>
        <v>0</v>
      </c>
      <c r="L41" s="127">
        <f t="shared" si="57"/>
        <v>793.55163265306123</v>
      </c>
      <c r="M41" s="127">
        <f t="shared" si="57"/>
        <v>793.55163265306123</v>
      </c>
      <c r="N41" s="127">
        <f t="shared" si="57"/>
        <v>1100.1834693877552</v>
      </c>
      <c r="O41" s="127">
        <f t="shared" si="57"/>
        <v>191.21512055578259</v>
      </c>
      <c r="P41" s="118">
        <f t="shared" si="52"/>
        <v>-0.4419338183047673</v>
      </c>
      <c r="Q41" s="31">
        <v>0.1</v>
      </c>
      <c r="R41" s="119">
        <f t="shared" si="53"/>
        <v>210.33663261136087</v>
      </c>
      <c r="S41" s="119">
        <f t="shared" si="54"/>
        <v>231.37029587249697</v>
      </c>
      <c r="T41" s="119">
        <f t="shared" si="54"/>
        <v>254.50732545974668</v>
      </c>
      <c r="U41" s="119">
        <f t="shared" si="54"/>
        <v>279.9580580057214</v>
      </c>
      <c r="V41" s="119">
        <f t="shared" si="54"/>
        <v>307.95386380629355</v>
      </c>
      <c r="W41" s="119">
        <f t="shared" si="54"/>
        <v>338.74925018692295</v>
      </c>
      <c r="X41" s="119">
        <f t="shared" si="54"/>
        <v>372.6241752056153</v>
      </c>
      <c r="Y41" s="119">
        <f t="shared" si="54"/>
        <v>409.88659272617684</v>
      </c>
      <c r="Z41" s="119">
        <f t="shared" si="54"/>
        <v>450.87525199879457</v>
      </c>
      <c r="AA41" s="119">
        <f t="shared" si="54"/>
        <v>495.96277719867408</v>
      </c>
      <c r="AB41" s="118">
        <f>((AA41/N41)^(1/($AA$4-$H$2) ))-1</f>
        <v>-5.9446763600385255E-2</v>
      </c>
    </row>
    <row r="42" spans="2:28" x14ac:dyDescent="0.2">
      <c r="B42" s="20" t="s">
        <v>250</v>
      </c>
      <c r="C42" s="127">
        <f t="shared" ref="C42:O42" si="58">C15/C26</f>
        <v>0</v>
      </c>
      <c r="D42" s="127">
        <f t="shared" si="58"/>
        <v>0</v>
      </c>
      <c r="E42" s="127">
        <f t="shared" si="58"/>
        <v>0</v>
      </c>
      <c r="F42" s="127">
        <f t="shared" si="58"/>
        <v>0</v>
      </c>
      <c r="G42" s="127">
        <f t="shared" si="58"/>
        <v>0</v>
      </c>
      <c r="H42" s="127">
        <f t="shared" si="58"/>
        <v>273.5</v>
      </c>
      <c r="I42" s="127">
        <f t="shared" si="58"/>
        <v>0</v>
      </c>
      <c r="J42" s="127">
        <f t="shared" si="58"/>
        <v>0</v>
      </c>
      <c r="K42" s="127">
        <f t="shared" si="58"/>
        <v>0</v>
      </c>
      <c r="L42" s="127">
        <f t="shared" si="58"/>
        <v>209.42</v>
      </c>
      <c r="M42" s="127">
        <f t="shared" si="58"/>
        <v>242.3426530612245</v>
      </c>
      <c r="N42" s="127">
        <f t="shared" si="58"/>
        <v>297.91142857142859</v>
      </c>
      <c r="O42" s="127">
        <f t="shared" si="58"/>
        <v>79.643849611769511</v>
      </c>
      <c r="P42" s="118">
        <f t="shared" si="52"/>
        <v>-0.35579855716613273</v>
      </c>
      <c r="Q42" s="31">
        <v>0.1</v>
      </c>
      <c r="R42" s="119">
        <f t="shared" si="53"/>
        <v>87.608234572946472</v>
      </c>
      <c r="S42" s="119">
        <f t="shared" si="54"/>
        <v>96.369058030241121</v>
      </c>
      <c r="T42" s="119">
        <f t="shared" si="54"/>
        <v>106.00596383326524</v>
      </c>
      <c r="U42" s="119">
        <f t="shared" si="54"/>
        <v>116.60656021659177</v>
      </c>
      <c r="V42" s="119">
        <f t="shared" si="54"/>
        <v>128.26721623825097</v>
      </c>
      <c r="W42" s="119">
        <f t="shared" si="54"/>
        <v>141.09393786207607</v>
      </c>
      <c r="X42" s="119">
        <f t="shared" si="54"/>
        <v>155.20333164828369</v>
      </c>
      <c r="Y42" s="119">
        <f t="shared" si="54"/>
        <v>170.72366481311207</v>
      </c>
      <c r="Z42" s="119">
        <f t="shared" si="54"/>
        <v>187.7960312944233</v>
      </c>
      <c r="AA42" s="119">
        <f t="shared" si="54"/>
        <v>206.57563442386564</v>
      </c>
      <c r="AB42" s="118">
        <f>((AA42/N42)^(1/($AA$4-$H$2) ))-1</f>
        <v>-2.7770913001863184E-2</v>
      </c>
    </row>
    <row r="43" spans="2:28" x14ac:dyDescent="0.2">
      <c r="B43" s="20" t="s">
        <v>283</v>
      </c>
      <c r="C43" s="127">
        <f t="shared" ref="C43:N43" si="59">(($C$3*C15)+(C12+C13))/C26</f>
        <v>0</v>
      </c>
      <c r="D43" s="127">
        <f t="shared" si="59"/>
        <v>0</v>
      </c>
      <c r="E43" s="127">
        <f t="shared" si="59"/>
        <v>0</v>
      </c>
      <c r="F43" s="127">
        <f t="shared" si="59"/>
        <v>0</v>
      </c>
      <c r="G43" s="127">
        <f t="shared" si="59"/>
        <v>0</v>
      </c>
      <c r="H43" s="127">
        <f t="shared" si="59"/>
        <v>269.5</v>
      </c>
      <c r="I43" s="127">
        <f t="shared" si="59"/>
        <v>0</v>
      </c>
      <c r="J43" s="127">
        <f t="shared" si="59"/>
        <v>0</v>
      </c>
      <c r="K43" s="127">
        <f t="shared" si="59"/>
        <v>0</v>
      </c>
      <c r="L43" s="127">
        <f t="shared" si="59"/>
        <v>144.74816326530612</v>
      </c>
      <c r="M43" s="127">
        <f t="shared" si="59"/>
        <v>139.52969387755101</v>
      </c>
      <c r="N43" s="127">
        <f t="shared" si="59"/>
        <v>178.66020408163266</v>
      </c>
      <c r="O43" s="127">
        <f>(($C$3*O15)+(O12+O13))/O26</f>
        <v>67.367204740498565</v>
      </c>
      <c r="P43" s="118">
        <f t="shared" ref="P43" si="60">((O43/N43)^(1/($H$3-$H$2) ))-1</f>
        <v>-0.27755148848268207</v>
      </c>
      <c r="Q43" s="31">
        <v>1.1000000000000001</v>
      </c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8"/>
    </row>
    <row r="44" spans="2:28" x14ac:dyDescent="0.2">
      <c r="B44" s="20" t="s">
        <v>285</v>
      </c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18"/>
      <c r="Q44" s="31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8"/>
    </row>
    <row r="45" spans="2:28" x14ac:dyDescent="0.2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128"/>
      <c r="Q45" s="128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28"/>
    </row>
    <row r="46" spans="2:28" x14ac:dyDescent="0.2">
      <c r="B46" s="108" t="s">
        <v>83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128"/>
      <c r="Q46" s="128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28"/>
    </row>
    <row r="47" spans="2:28" x14ac:dyDescent="0.2">
      <c r="B47" s="20" t="s">
        <v>82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118" t="e">
        <f t="shared" ref="P47:P53" si="61">((O47/N47)^(1/($H$3-$H$2) ))-1</f>
        <v>#DIV/0!</v>
      </c>
      <c r="Q47" s="31">
        <v>0.1</v>
      </c>
      <c r="R47" s="119">
        <f t="shared" ref="R47:R53" si="62">O47*(1+$Q47)</f>
        <v>0</v>
      </c>
      <c r="S47" s="119">
        <f t="shared" ref="S47:AA53" si="63">R47*(1+$Q47)</f>
        <v>0</v>
      </c>
      <c r="T47" s="119">
        <f t="shared" si="63"/>
        <v>0</v>
      </c>
      <c r="U47" s="119">
        <f t="shared" si="63"/>
        <v>0</v>
      </c>
      <c r="V47" s="119">
        <f t="shared" si="63"/>
        <v>0</v>
      </c>
      <c r="W47" s="119">
        <f t="shared" si="63"/>
        <v>0</v>
      </c>
      <c r="X47" s="119">
        <f t="shared" si="63"/>
        <v>0</v>
      </c>
      <c r="Y47" s="119">
        <f t="shared" si="63"/>
        <v>0</v>
      </c>
      <c r="Z47" s="119">
        <f t="shared" si="63"/>
        <v>0</v>
      </c>
      <c r="AA47" s="119">
        <f t="shared" si="63"/>
        <v>0</v>
      </c>
      <c r="AB47" s="118" t="e">
        <f t="shared" ref="AB47:AB53" si="64">((AA47/N47)^(1/($AA$4-$H$2) ))-1</f>
        <v>#DIV/0!</v>
      </c>
    </row>
    <row r="48" spans="2:28" x14ac:dyDescent="0.2">
      <c r="B48" s="20" t="s">
        <v>84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118" t="e">
        <f t="shared" si="61"/>
        <v>#DIV/0!</v>
      </c>
      <c r="Q48" s="31">
        <v>0.1</v>
      </c>
      <c r="R48" s="119">
        <f t="shared" si="62"/>
        <v>0</v>
      </c>
      <c r="S48" s="119">
        <f t="shared" si="63"/>
        <v>0</v>
      </c>
      <c r="T48" s="119">
        <f t="shared" si="63"/>
        <v>0</v>
      </c>
      <c r="U48" s="119">
        <f t="shared" si="63"/>
        <v>0</v>
      </c>
      <c r="V48" s="119">
        <f t="shared" si="63"/>
        <v>0</v>
      </c>
      <c r="W48" s="119">
        <f t="shared" si="63"/>
        <v>0</v>
      </c>
      <c r="X48" s="119">
        <f t="shared" si="63"/>
        <v>0</v>
      </c>
      <c r="Y48" s="119">
        <f t="shared" si="63"/>
        <v>0</v>
      </c>
      <c r="Z48" s="119">
        <f t="shared" si="63"/>
        <v>0</v>
      </c>
      <c r="AA48" s="119">
        <f t="shared" si="63"/>
        <v>0</v>
      </c>
      <c r="AB48" s="118" t="e">
        <f t="shared" si="64"/>
        <v>#DIV/0!</v>
      </c>
    </row>
    <row r="49" spans="2:28" x14ac:dyDescent="0.2">
      <c r="B49" s="20" t="s">
        <v>85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118" t="e">
        <f t="shared" si="61"/>
        <v>#DIV/0!</v>
      </c>
      <c r="Q49" s="31">
        <v>0.1</v>
      </c>
      <c r="R49" s="119">
        <f t="shared" si="62"/>
        <v>0</v>
      </c>
      <c r="S49" s="119">
        <f t="shared" si="63"/>
        <v>0</v>
      </c>
      <c r="T49" s="119">
        <f t="shared" si="63"/>
        <v>0</v>
      </c>
      <c r="U49" s="119">
        <f t="shared" si="63"/>
        <v>0</v>
      </c>
      <c r="V49" s="119">
        <f t="shared" si="63"/>
        <v>0</v>
      </c>
      <c r="W49" s="119">
        <f t="shared" si="63"/>
        <v>0</v>
      </c>
      <c r="X49" s="119">
        <f t="shared" si="63"/>
        <v>0</v>
      </c>
      <c r="Y49" s="119">
        <f t="shared" si="63"/>
        <v>0</v>
      </c>
      <c r="Z49" s="119">
        <f t="shared" si="63"/>
        <v>0</v>
      </c>
      <c r="AA49" s="119">
        <f t="shared" si="63"/>
        <v>0</v>
      </c>
      <c r="AB49" s="118" t="e">
        <f t="shared" si="64"/>
        <v>#DIV/0!</v>
      </c>
    </row>
    <row r="50" spans="2:28" x14ac:dyDescent="0.2">
      <c r="B50" s="20" t="s">
        <v>81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118" t="e">
        <f t="shared" si="61"/>
        <v>#DIV/0!</v>
      </c>
      <c r="Q50" s="31">
        <v>0.1</v>
      </c>
      <c r="R50" s="119">
        <f t="shared" si="62"/>
        <v>0</v>
      </c>
      <c r="S50" s="119">
        <f t="shared" si="63"/>
        <v>0</v>
      </c>
      <c r="T50" s="119">
        <f t="shared" si="63"/>
        <v>0</v>
      </c>
      <c r="U50" s="119">
        <f t="shared" si="63"/>
        <v>0</v>
      </c>
      <c r="V50" s="119">
        <f t="shared" si="63"/>
        <v>0</v>
      </c>
      <c r="W50" s="119">
        <f t="shared" si="63"/>
        <v>0</v>
      </c>
      <c r="X50" s="119">
        <f t="shared" si="63"/>
        <v>0</v>
      </c>
      <c r="Y50" s="119">
        <f t="shared" si="63"/>
        <v>0</v>
      </c>
      <c r="Z50" s="119">
        <f t="shared" si="63"/>
        <v>0</v>
      </c>
      <c r="AA50" s="119">
        <f t="shared" si="63"/>
        <v>0</v>
      </c>
      <c r="AB50" s="118" t="e">
        <f t="shared" si="64"/>
        <v>#DIV/0!</v>
      </c>
    </row>
    <row r="51" spans="2:28" x14ac:dyDescent="0.2">
      <c r="B51" s="20" t="s">
        <v>78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118" t="e">
        <f t="shared" si="61"/>
        <v>#DIV/0!</v>
      </c>
      <c r="Q51" s="31">
        <v>0.1</v>
      </c>
      <c r="R51" s="119">
        <f t="shared" si="62"/>
        <v>0</v>
      </c>
      <c r="S51" s="119">
        <f t="shared" si="63"/>
        <v>0</v>
      </c>
      <c r="T51" s="119">
        <f t="shared" si="63"/>
        <v>0</v>
      </c>
      <c r="U51" s="119">
        <f t="shared" si="63"/>
        <v>0</v>
      </c>
      <c r="V51" s="119">
        <f t="shared" si="63"/>
        <v>0</v>
      </c>
      <c r="W51" s="119">
        <f t="shared" si="63"/>
        <v>0</v>
      </c>
      <c r="X51" s="119">
        <f t="shared" si="63"/>
        <v>0</v>
      </c>
      <c r="Y51" s="119">
        <f t="shared" si="63"/>
        <v>0</v>
      </c>
      <c r="Z51" s="119">
        <f t="shared" si="63"/>
        <v>0</v>
      </c>
      <c r="AA51" s="119">
        <f t="shared" si="63"/>
        <v>0</v>
      </c>
      <c r="AB51" s="118" t="e">
        <f t="shared" si="64"/>
        <v>#DIV/0!</v>
      </c>
    </row>
    <row r="52" spans="2:28" x14ac:dyDescent="0.2">
      <c r="B52" s="20" t="s">
        <v>79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118" t="e">
        <f t="shared" si="61"/>
        <v>#DIV/0!</v>
      </c>
      <c r="Q52" s="31">
        <v>0.1</v>
      </c>
      <c r="R52" s="119">
        <f t="shared" si="62"/>
        <v>0</v>
      </c>
      <c r="S52" s="119">
        <f t="shared" si="63"/>
        <v>0</v>
      </c>
      <c r="T52" s="119">
        <f t="shared" si="63"/>
        <v>0</v>
      </c>
      <c r="U52" s="119">
        <f t="shared" si="63"/>
        <v>0</v>
      </c>
      <c r="V52" s="119">
        <f t="shared" si="63"/>
        <v>0</v>
      </c>
      <c r="W52" s="119">
        <f t="shared" si="63"/>
        <v>0</v>
      </c>
      <c r="X52" s="119">
        <f t="shared" si="63"/>
        <v>0</v>
      </c>
      <c r="Y52" s="119">
        <f t="shared" si="63"/>
        <v>0</v>
      </c>
      <c r="Z52" s="119">
        <f t="shared" si="63"/>
        <v>0</v>
      </c>
      <c r="AA52" s="119">
        <f t="shared" si="63"/>
        <v>0</v>
      </c>
      <c r="AB52" s="118" t="e">
        <f t="shared" si="64"/>
        <v>#DIV/0!</v>
      </c>
    </row>
    <row r="53" spans="2:28" x14ac:dyDescent="0.2">
      <c r="B53" s="20" t="s">
        <v>80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118" t="e">
        <f t="shared" si="61"/>
        <v>#DIV/0!</v>
      </c>
      <c r="Q53" s="31">
        <v>0.1</v>
      </c>
      <c r="R53" s="119">
        <f t="shared" si="62"/>
        <v>0</v>
      </c>
      <c r="S53" s="119">
        <f t="shared" si="63"/>
        <v>0</v>
      </c>
      <c r="T53" s="119">
        <f t="shared" si="63"/>
        <v>0</v>
      </c>
      <c r="U53" s="119">
        <f t="shared" si="63"/>
        <v>0</v>
      </c>
      <c r="V53" s="119">
        <f t="shared" si="63"/>
        <v>0</v>
      </c>
      <c r="W53" s="119">
        <f t="shared" si="63"/>
        <v>0</v>
      </c>
      <c r="X53" s="119">
        <f t="shared" si="63"/>
        <v>0</v>
      </c>
      <c r="Y53" s="119">
        <f t="shared" si="63"/>
        <v>0</v>
      </c>
      <c r="Z53" s="119">
        <f t="shared" si="63"/>
        <v>0</v>
      </c>
      <c r="AA53" s="119">
        <f t="shared" si="63"/>
        <v>0</v>
      </c>
      <c r="AB53" s="118" t="e">
        <f t="shared" si="64"/>
        <v>#DIV/0!</v>
      </c>
    </row>
    <row r="54" spans="2:28" x14ac:dyDescent="0.2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2:28" x14ac:dyDescent="0.2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2:28" x14ac:dyDescent="0.2">
      <c r="B56" s="108" t="s">
        <v>244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3"/>
      <c r="Q56" s="23"/>
      <c r="R56" s="121" t="s">
        <v>66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2:28" x14ac:dyDescent="0.2">
      <c r="B57" s="20" t="s">
        <v>25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120">
        <f>PV($C$2, ($AA$4-$R$4), 0, -AA29)</f>
        <v>12.546794114696148</v>
      </c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2:28" x14ac:dyDescent="0.2">
      <c r="B58" s="20" t="s">
        <v>274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120">
        <f>PV($C$2, ($AA$4-$R$4), 0, -AA30)</f>
        <v>28.242723825851641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2:28" x14ac:dyDescent="0.2">
      <c r="B59" s="20" t="s">
        <v>275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120">
        <f>PV($C$2, ($AA$4-$R$4), 0, -AA31)</f>
        <v>44.105205262435284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2:28" x14ac:dyDescent="0.2">
      <c r="B60" s="20" t="s">
        <v>276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20">
        <f>PV($C$2, ($AA$4-$R$4), 0, -AA32)</f>
        <v>0.65325203651663399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2:28" x14ac:dyDescent="0.2">
      <c r="B61" s="20" t="s">
        <v>277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120">
        <f>PV($C$2, ($AA$4-$R$4), 0, -AA38)</f>
        <v>11.921991292886352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2:28" x14ac:dyDescent="0.2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1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2:28" x14ac:dyDescent="0.2">
      <c r="B63" s="20" t="s">
        <v>272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120">
        <f>PV($C$2, ($AA$4-$R$4), 0, -AA34)</f>
        <v>44.318565521082924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2:28" x14ac:dyDescent="0.2">
      <c r="B64" s="20" t="s">
        <v>273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120">
        <f>PV($C$2, ($AA$4-$R$4), 0, -AA35)</f>
        <v>-29.421781295727502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2:28" x14ac:dyDescent="0.2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1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2:28" x14ac:dyDescent="0.2">
      <c r="B66" s="20" t="s">
        <v>249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20">
        <f>PV($C$2, ($AA$4-$R$4), 0, -AA41)</f>
        <v>82.834376407332556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2:28" x14ac:dyDescent="0.2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1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2:28" x14ac:dyDescent="0.2">
      <c r="B68" s="20" t="s">
        <v>250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120">
        <f>PV($C$2, ($AA$4-$R$4), 0, -AA42)</f>
        <v>34.501709896659072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2:28" x14ac:dyDescent="0.2">
      <c r="B69" s="20" t="s">
        <v>283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1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2:28" x14ac:dyDescent="0.2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1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2:28" x14ac:dyDescent="0.2">
      <c r="B71" s="20" t="s">
        <v>282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1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2:28" x14ac:dyDescent="0.2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1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2:28" x14ac:dyDescent="0.2">
      <c r="B73" s="108" t="s">
        <v>251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2:28" x14ac:dyDescent="0.2">
      <c r="B74" s="20" t="s">
        <v>204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>
        <v>165</v>
      </c>
      <c r="N74" s="22">
        <v>165</v>
      </c>
      <c r="O74" s="22">
        <v>165</v>
      </c>
      <c r="P74" s="118">
        <f t="shared" ref="P74:P78" si="65">((O74/M74)^(1/($H$3-$H$2) ))-1</f>
        <v>0</v>
      </c>
      <c r="Q74" s="31">
        <v>0.1</v>
      </c>
      <c r="R74" s="119">
        <f t="shared" ref="R74:R78" si="66">O74*(1+$Q74)</f>
        <v>181.50000000000003</v>
      </c>
      <c r="S74" s="119">
        <f t="shared" ref="S74:AA78" si="67">R74*(1+$Q74)</f>
        <v>199.65000000000003</v>
      </c>
      <c r="T74" s="119">
        <f t="shared" si="67"/>
        <v>219.61500000000007</v>
      </c>
      <c r="U74" s="119">
        <f t="shared" si="67"/>
        <v>241.5765000000001</v>
      </c>
      <c r="V74" s="119">
        <f t="shared" si="67"/>
        <v>265.73415000000011</v>
      </c>
      <c r="W74" s="119">
        <f t="shared" si="67"/>
        <v>292.30756500000012</v>
      </c>
      <c r="X74" s="119">
        <f t="shared" si="67"/>
        <v>321.53832150000017</v>
      </c>
      <c r="Y74" s="119">
        <f t="shared" si="67"/>
        <v>353.69215365000019</v>
      </c>
      <c r="Z74" s="119">
        <f t="shared" si="67"/>
        <v>389.06136901500025</v>
      </c>
      <c r="AA74" s="119">
        <f t="shared" si="67"/>
        <v>427.96750591650033</v>
      </c>
      <c r="AB74" s="118">
        <f t="shared" ref="AB74:AB78" si="68">((AA74/M74)^(1/($AA$4-$H$2) ))-1</f>
        <v>7.6070008114389687E-2</v>
      </c>
    </row>
    <row r="75" spans="2:28" x14ac:dyDescent="0.2">
      <c r="B75" s="20" t="s">
        <v>42</v>
      </c>
      <c r="C75" s="25" t="e">
        <f t="shared" ref="C75:O75" si="69">C74/C29</f>
        <v>#DIV/0!</v>
      </c>
      <c r="D75" s="25" t="e">
        <f t="shared" si="69"/>
        <v>#DIV/0!</v>
      </c>
      <c r="E75" s="25" t="e">
        <f t="shared" si="69"/>
        <v>#DIV/0!</v>
      </c>
      <c r="F75" s="25" t="e">
        <f t="shared" si="69"/>
        <v>#DIV/0!</v>
      </c>
      <c r="G75" s="25" t="e">
        <f t="shared" si="69"/>
        <v>#DIV/0!</v>
      </c>
      <c r="H75" s="25">
        <f t="shared" si="69"/>
        <v>0</v>
      </c>
      <c r="I75" s="25" t="e">
        <f t="shared" si="69"/>
        <v>#DIV/0!</v>
      </c>
      <c r="J75" s="25" t="e">
        <f t="shared" si="69"/>
        <v>#DIV/0!</v>
      </c>
      <c r="K75" s="25" t="e">
        <f t="shared" si="69"/>
        <v>#DIV/0!</v>
      </c>
      <c r="L75" s="25">
        <f t="shared" si="69"/>
        <v>0</v>
      </c>
      <c r="M75" s="25">
        <f t="shared" si="69"/>
        <v>1.868534662069093</v>
      </c>
      <c r="N75" s="25">
        <f t="shared" si="69"/>
        <v>1.3356218695071829</v>
      </c>
      <c r="O75" s="25">
        <f t="shared" si="69"/>
        <v>5.6969124880419226</v>
      </c>
      <c r="P75" s="118">
        <f t="shared" si="65"/>
        <v>0.45003826576591077</v>
      </c>
      <c r="Q75" s="31">
        <v>0.1</v>
      </c>
      <c r="R75" s="119">
        <f t="shared" si="66"/>
        <v>6.2666037368461156</v>
      </c>
      <c r="S75" s="119">
        <f t="shared" si="67"/>
        <v>6.893264110530728</v>
      </c>
      <c r="T75" s="119">
        <f t="shared" si="67"/>
        <v>7.5825905215838016</v>
      </c>
      <c r="U75" s="119">
        <f t="shared" si="67"/>
        <v>8.3408495737421831</v>
      </c>
      <c r="V75" s="119">
        <f t="shared" si="67"/>
        <v>9.1749345311164028</v>
      </c>
      <c r="W75" s="119">
        <f t="shared" si="67"/>
        <v>10.092427984228044</v>
      </c>
      <c r="X75" s="119">
        <f t="shared" si="67"/>
        <v>11.101670782650849</v>
      </c>
      <c r="Y75" s="119">
        <f t="shared" si="67"/>
        <v>12.211837860915935</v>
      </c>
      <c r="Z75" s="119">
        <f t="shared" si="67"/>
        <v>13.43302164700753</v>
      </c>
      <c r="AA75" s="119">
        <f t="shared" si="67"/>
        <v>14.776323811708284</v>
      </c>
      <c r="AB75" s="118">
        <f t="shared" si="68"/>
        <v>0.17241655338905715</v>
      </c>
    </row>
    <row r="76" spans="2:28" x14ac:dyDescent="0.2">
      <c r="B76" s="20" t="s">
        <v>259</v>
      </c>
      <c r="C76" s="25" t="e">
        <f t="shared" ref="C76:O76" si="70">C74/C31</f>
        <v>#DIV/0!</v>
      </c>
      <c r="D76" s="25" t="e">
        <f t="shared" si="70"/>
        <v>#DIV/0!</v>
      </c>
      <c r="E76" s="25" t="e">
        <f t="shared" si="70"/>
        <v>#DIV/0!</v>
      </c>
      <c r="F76" s="25" t="e">
        <f t="shared" si="70"/>
        <v>#DIV/0!</v>
      </c>
      <c r="G76" s="25" t="e">
        <f t="shared" si="70"/>
        <v>#DIV/0!</v>
      </c>
      <c r="H76" s="25">
        <f t="shared" si="70"/>
        <v>0</v>
      </c>
      <c r="I76" s="25" t="e">
        <f t="shared" si="70"/>
        <v>#DIV/0!</v>
      </c>
      <c r="J76" s="25" t="e">
        <f t="shared" si="70"/>
        <v>#DIV/0!</v>
      </c>
      <c r="K76" s="25" t="e">
        <f t="shared" si="70"/>
        <v>#DIV/0!</v>
      </c>
      <c r="L76" s="25">
        <f t="shared" si="70"/>
        <v>0</v>
      </c>
      <c r="M76" s="25">
        <f t="shared" si="70"/>
        <v>0.52477986506958774</v>
      </c>
      <c r="N76" s="25">
        <f t="shared" si="70"/>
        <v>0.41112482939717959</v>
      </c>
      <c r="O76" s="25">
        <f t="shared" si="70"/>
        <v>1.6206247687000721</v>
      </c>
      <c r="P76" s="118">
        <f t="shared" si="65"/>
        <v>0.45624719844230888</v>
      </c>
      <c r="Q76" s="31">
        <v>0.1</v>
      </c>
      <c r="R76" s="119">
        <f t="shared" si="66"/>
        <v>1.7826872455700795</v>
      </c>
      <c r="S76" s="119">
        <f t="shared" si="67"/>
        <v>1.9609559701270876</v>
      </c>
      <c r="T76" s="119">
        <f t="shared" si="67"/>
        <v>2.1570515671397965</v>
      </c>
      <c r="U76" s="119">
        <f t="shared" si="67"/>
        <v>2.3727567238537763</v>
      </c>
      <c r="V76" s="119">
        <f t="shared" si="67"/>
        <v>2.6100323962391543</v>
      </c>
      <c r="W76" s="119">
        <f t="shared" si="67"/>
        <v>2.8710356358630698</v>
      </c>
      <c r="X76" s="119">
        <f t="shared" si="67"/>
        <v>3.1581391994493768</v>
      </c>
      <c r="Y76" s="119">
        <f t="shared" si="67"/>
        <v>3.4739531193943147</v>
      </c>
      <c r="Z76" s="119">
        <f t="shared" si="67"/>
        <v>3.8213484313337465</v>
      </c>
      <c r="AA76" s="119">
        <f t="shared" si="67"/>
        <v>4.2034832744671213</v>
      </c>
      <c r="AB76" s="118">
        <f t="shared" si="68"/>
        <v>0.17357315371755666</v>
      </c>
    </row>
    <row r="77" spans="2:28" x14ac:dyDescent="0.2">
      <c r="B77" s="20" t="s">
        <v>260</v>
      </c>
      <c r="C77" s="129" t="e">
        <f t="shared" ref="C77:O77" si="71">C74/C40</f>
        <v>#DIV/0!</v>
      </c>
      <c r="D77" s="129" t="e">
        <f t="shared" si="71"/>
        <v>#DIV/0!</v>
      </c>
      <c r="E77" s="129" t="e">
        <f t="shared" si="71"/>
        <v>#DIV/0!</v>
      </c>
      <c r="F77" s="129" t="e">
        <f t="shared" si="71"/>
        <v>#DIV/0!</v>
      </c>
      <c r="G77" s="129" t="e">
        <f t="shared" si="71"/>
        <v>#DIV/0!</v>
      </c>
      <c r="H77" s="129">
        <f t="shared" si="71"/>
        <v>0</v>
      </c>
      <c r="I77" s="129" t="e">
        <f t="shared" si="71"/>
        <v>#DIV/0!</v>
      </c>
      <c r="J77" s="129" t="e">
        <f t="shared" si="71"/>
        <v>#DIV/0!</v>
      </c>
      <c r="K77" s="129" t="e">
        <f t="shared" si="71"/>
        <v>#DIV/0!</v>
      </c>
      <c r="L77" s="129">
        <f t="shared" si="71"/>
        <v>0</v>
      </c>
      <c r="M77" s="25">
        <f t="shared" si="71"/>
        <v>8.9877273333629777</v>
      </c>
      <c r="N77" s="25">
        <f t="shared" si="71"/>
        <v>5.5547158403869412</v>
      </c>
      <c r="O77" s="25">
        <f t="shared" si="71"/>
        <v>5.9901369814237571</v>
      </c>
      <c r="P77" s="118">
        <f t="shared" si="65"/>
        <v>-0.12650124871969537</v>
      </c>
      <c r="Q77" s="31">
        <v>0.1</v>
      </c>
      <c r="R77" s="119">
        <f t="shared" si="66"/>
        <v>6.5891506795661332</v>
      </c>
      <c r="S77" s="119">
        <f t="shared" si="67"/>
        <v>7.2480657475227472</v>
      </c>
      <c r="T77" s="119">
        <f t="shared" si="67"/>
        <v>7.9728723222750224</v>
      </c>
      <c r="U77" s="119">
        <f t="shared" si="67"/>
        <v>8.7701595545025253</v>
      </c>
      <c r="V77" s="119">
        <f t="shared" si="67"/>
        <v>9.6471755099527794</v>
      </c>
      <c r="W77" s="119">
        <f t="shared" si="67"/>
        <v>10.611893060948058</v>
      </c>
      <c r="X77" s="119">
        <f t="shared" si="67"/>
        <v>11.673082367042865</v>
      </c>
      <c r="Y77" s="119">
        <f t="shared" si="67"/>
        <v>12.840390603747151</v>
      </c>
      <c r="Z77" s="119">
        <f t="shared" si="67"/>
        <v>14.124429664121868</v>
      </c>
      <c r="AA77" s="119">
        <f t="shared" si="67"/>
        <v>15.536872630534056</v>
      </c>
      <c r="AB77" s="118">
        <f t="shared" si="68"/>
        <v>4.300327124603287E-2</v>
      </c>
    </row>
    <row r="78" spans="2:28" x14ac:dyDescent="0.2">
      <c r="B78" s="20" t="s">
        <v>261</v>
      </c>
      <c r="C78" s="129" t="e">
        <f t="shared" ref="C78:O78" si="72">C74/C42</f>
        <v>#DIV/0!</v>
      </c>
      <c r="D78" s="129" t="e">
        <f t="shared" si="72"/>
        <v>#DIV/0!</v>
      </c>
      <c r="E78" s="129" t="e">
        <f t="shared" si="72"/>
        <v>#DIV/0!</v>
      </c>
      <c r="F78" s="129" t="e">
        <f t="shared" si="72"/>
        <v>#DIV/0!</v>
      </c>
      <c r="G78" s="129" t="e">
        <f t="shared" si="72"/>
        <v>#DIV/0!</v>
      </c>
      <c r="H78" s="129">
        <f t="shared" si="72"/>
        <v>0</v>
      </c>
      <c r="I78" s="129" t="e">
        <f t="shared" si="72"/>
        <v>#DIV/0!</v>
      </c>
      <c r="J78" s="129" t="e">
        <f t="shared" si="72"/>
        <v>#DIV/0!</v>
      </c>
      <c r="K78" s="129" t="e">
        <f t="shared" si="72"/>
        <v>#DIV/0!</v>
      </c>
      <c r="L78" s="129">
        <f t="shared" si="72"/>
        <v>0</v>
      </c>
      <c r="M78" s="25">
        <f t="shared" si="72"/>
        <v>0.68085414563120694</v>
      </c>
      <c r="N78" s="25">
        <f t="shared" si="72"/>
        <v>0.55385589197172691</v>
      </c>
      <c r="O78" s="25">
        <f t="shared" si="72"/>
        <v>2.0717230621611846</v>
      </c>
      <c r="P78" s="118">
        <f t="shared" si="65"/>
        <v>0.44908058630631453</v>
      </c>
      <c r="Q78" s="31">
        <v>0.1</v>
      </c>
      <c r="R78" s="119">
        <f t="shared" si="66"/>
        <v>2.2788953683773032</v>
      </c>
      <c r="S78" s="119">
        <f t="shared" si="67"/>
        <v>2.5067849052150337</v>
      </c>
      <c r="T78" s="119">
        <f t="shared" si="67"/>
        <v>2.7574633957365373</v>
      </c>
      <c r="U78" s="119">
        <f t="shared" si="67"/>
        <v>3.0332097353101912</v>
      </c>
      <c r="V78" s="119">
        <f t="shared" si="67"/>
        <v>3.3365307088412108</v>
      </c>
      <c r="W78" s="119">
        <f t="shared" si="67"/>
        <v>3.6701837797253321</v>
      </c>
      <c r="X78" s="119">
        <f t="shared" si="67"/>
        <v>4.0372021576978652</v>
      </c>
      <c r="Y78" s="119">
        <f t="shared" si="67"/>
        <v>4.440922373467652</v>
      </c>
      <c r="Z78" s="119">
        <f t="shared" si="67"/>
        <v>4.8850146108144177</v>
      </c>
      <c r="AA78" s="119">
        <f t="shared" si="67"/>
        <v>5.3735160718958594</v>
      </c>
      <c r="AB78" s="118">
        <f t="shared" si="68"/>
        <v>0.17223781785517533</v>
      </c>
    </row>
    <row r="79" spans="2:28" x14ac:dyDescent="0.2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2:28" x14ac:dyDescent="0.2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2:28" x14ac:dyDescent="0.2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2:28" x14ac:dyDescent="0.2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2:28" x14ac:dyDescent="0.2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</sheetData>
  <pageMargins left="0.7" right="0.7" top="0.75" bottom="0.75" header="0.3" footer="0.3"/>
  <pageSetup orientation="portrait" r:id="rId1"/>
  <ignoredErrors>
    <ignoredError sqref="C75 R47:AA53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36" t="s">
        <v>27</v>
      </c>
      <c r="K5" s="136"/>
      <c r="M5" s="136" t="s">
        <v>65</v>
      </c>
      <c r="N5" s="136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36" t="s">
        <v>36</v>
      </c>
      <c r="K14" s="136"/>
      <c r="L14" s="136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D20" sqref="D2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R5" s="136" t="s">
        <v>27</v>
      </c>
      <c r="S5" s="136"/>
    </row>
    <row r="6" spans="2:20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R14" s="136" t="s">
        <v>36</v>
      </c>
      <c r="S14" s="136"/>
      <c r="T14" s="136"/>
    </row>
    <row r="15" spans="2:20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B1" zoomScale="80" zoomScaleNormal="80" workbookViewId="0">
      <selection activeCell="C33" sqref="C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zoomScale="90" zoomScaleNormal="90" workbookViewId="0">
      <selection activeCell="C7" sqref="C7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36" t="s">
        <v>27</v>
      </c>
      <c r="C2" s="136"/>
      <c r="E2" s="136" t="s">
        <v>65</v>
      </c>
      <c r="F2" s="136"/>
      <c r="H2" s="140" t="s">
        <v>36</v>
      </c>
      <c r="I2" s="141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37" t="s">
        <v>68</v>
      </c>
      <c r="E10" s="138"/>
      <c r="F10" s="138"/>
      <c r="G10" s="138"/>
      <c r="H10" s="139"/>
      <c r="I10" s="137" t="s">
        <v>72</v>
      </c>
      <c r="J10" s="138"/>
      <c r="K10" s="138"/>
      <c r="L10" s="139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Sheet1</vt:lpstr>
      <vt:lpstr>IOB</vt:lpstr>
      <vt:lpstr>BV calc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2013-07-22T05:45:36Z</dcterms:modified>
</cp:coreProperties>
</file>
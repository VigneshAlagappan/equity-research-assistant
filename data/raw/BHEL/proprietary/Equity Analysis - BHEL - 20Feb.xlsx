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F103" i="18" l="1"/>
  <c r="G103" i="18"/>
  <c r="H103" i="18"/>
  <c r="I103" i="18"/>
  <c r="J103" i="18"/>
  <c r="K103" i="18"/>
  <c r="L103" i="18"/>
  <c r="M103" i="18"/>
  <c r="N103" i="18"/>
  <c r="O103" i="18"/>
  <c r="P199" i="18"/>
  <c r="P198" i="18"/>
  <c r="P194" i="18"/>
  <c r="P193" i="18"/>
  <c r="N197" i="18"/>
  <c r="N198" i="18" s="1"/>
  <c r="N199" i="18" s="1"/>
  <c r="N196" i="18"/>
  <c r="P27" i="18" l="1"/>
  <c r="P25" i="18"/>
  <c r="P18" i="18"/>
  <c r="P16" i="18"/>
  <c r="P12" i="18"/>
  <c r="O12" i="18"/>
  <c r="N12" i="18"/>
  <c r="M12" i="18"/>
  <c r="L12" i="18"/>
  <c r="K12" i="18"/>
  <c r="J12" i="18"/>
  <c r="I12" i="18"/>
  <c r="H12" i="18"/>
  <c r="G12" i="18"/>
  <c r="F12" i="18"/>
  <c r="Q6" i="18"/>
  <c r="Q7" i="18"/>
  <c r="P103" i="18" l="1"/>
  <c r="Q103" i="18" s="1"/>
  <c r="P102" i="18"/>
  <c r="AD48" i="18"/>
  <c r="C48" i="18"/>
  <c r="D48" i="18"/>
  <c r="E48" i="18"/>
  <c r="F48" i="18"/>
  <c r="H48" i="18"/>
  <c r="I48" i="18"/>
  <c r="J48" i="18"/>
  <c r="K48" i="18"/>
  <c r="L48" i="18"/>
  <c r="M48" i="18"/>
  <c r="N48" i="18"/>
  <c r="O48" i="18"/>
  <c r="P48" i="18"/>
  <c r="G48" i="18"/>
  <c r="H189" i="18"/>
  <c r="D188" i="18"/>
  <c r="H187" i="18"/>
  <c r="I187" i="18" s="1"/>
  <c r="J187" i="18" s="1"/>
  <c r="J188" i="18" s="1"/>
  <c r="H185" i="18"/>
  <c r="D185" i="18"/>
  <c r="H184" i="18"/>
  <c r="H183" i="18"/>
  <c r="I183" i="18" s="1"/>
  <c r="J183" i="18" s="1"/>
  <c r="I184" i="18" l="1"/>
  <c r="J184" i="18" s="1"/>
  <c r="I185" i="18" s="1"/>
  <c r="J185" i="18" s="1"/>
  <c r="J186" i="18" s="1"/>
  <c r="Q48" i="18"/>
  <c r="D190" i="18"/>
  <c r="I189" i="18"/>
  <c r="J189" i="18" s="1"/>
  <c r="J190" i="18" s="1"/>
  <c r="H83" i="18"/>
  <c r="I83" i="18"/>
  <c r="J83" i="18"/>
  <c r="K83" i="18"/>
  <c r="L83" i="18"/>
  <c r="M83" i="18"/>
  <c r="N83" i="18"/>
  <c r="O83" i="18"/>
  <c r="P83" i="18"/>
  <c r="G83" i="18"/>
  <c r="H39" i="18"/>
  <c r="I39" i="18"/>
  <c r="J39" i="18"/>
  <c r="K39" i="18"/>
  <c r="L39" i="18"/>
  <c r="M39" i="18"/>
  <c r="N39" i="18"/>
  <c r="O39" i="18"/>
  <c r="P39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H123" i="18"/>
  <c r="I123" i="18"/>
  <c r="J123" i="18"/>
  <c r="K123" i="18"/>
  <c r="L123" i="18"/>
  <c r="M123" i="18"/>
  <c r="N123" i="18"/>
  <c r="O123" i="18"/>
  <c r="P123" i="18"/>
  <c r="G123" i="18"/>
  <c r="H122" i="18"/>
  <c r="I122" i="18"/>
  <c r="J122" i="18"/>
  <c r="K122" i="18"/>
  <c r="L122" i="18"/>
  <c r="M122" i="18"/>
  <c r="N122" i="18"/>
  <c r="O122" i="18"/>
  <c r="P122" i="18"/>
  <c r="G122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84" i="18"/>
  <c r="T183" i="18"/>
  <c r="O187" i="18"/>
  <c r="O184" i="18"/>
  <c r="O183" i="18"/>
  <c r="H89" i="18"/>
  <c r="I89" i="18"/>
  <c r="J89" i="18"/>
  <c r="K89" i="18"/>
  <c r="L89" i="18"/>
  <c r="M89" i="18"/>
  <c r="N89" i="18"/>
  <c r="O89" i="18"/>
  <c r="P89" i="18"/>
  <c r="G89" i="18"/>
  <c r="H86" i="18"/>
  <c r="I86" i="18"/>
  <c r="J86" i="18"/>
  <c r="K86" i="18"/>
  <c r="L86" i="18"/>
  <c r="M86" i="18"/>
  <c r="N86" i="18"/>
  <c r="O86" i="18"/>
  <c r="P86" i="18"/>
  <c r="G86" i="18"/>
  <c r="H87" i="18"/>
  <c r="I87" i="18"/>
  <c r="J87" i="18"/>
  <c r="K87" i="18"/>
  <c r="L87" i="18"/>
  <c r="M87" i="18"/>
  <c r="N87" i="18"/>
  <c r="O87" i="18"/>
  <c r="P87" i="18"/>
  <c r="G87" i="18"/>
  <c r="H118" i="18"/>
  <c r="H119" i="18" s="1"/>
  <c r="I118" i="18"/>
  <c r="I119" i="18" s="1"/>
  <c r="J118" i="18"/>
  <c r="J119" i="18" s="1"/>
  <c r="K118" i="18"/>
  <c r="K119" i="18" s="1"/>
  <c r="L118" i="18"/>
  <c r="L119" i="18" s="1"/>
  <c r="M118" i="18"/>
  <c r="M119" i="18" s="1"/>
  <c r="N118" i="18"/>
  <c r="N119" i="18" s="1"/>
  <c r="O118" i="18"/>
  <c r="O119" i="18" s="1"/>
  <c r="P118" i="18"/>
  <c r="P119" i="18" s="1"/>
  <c r="G118" i="18"/>
  <c r="G119" i="18" s="1"/>
  <c r="Q122" i="18" l="1"/>
  <c r="Q123" i="18"/>
  <c r="Q83" i="18"/>
  <c r="Q89" i="18"/>
  <c r="AC14" i="18"/>
  <c r="AE14" i="18"/>
  <c r="Q86" i="18"/>
  <c r="Q119" i="18"/>
  <c r="Q118" i="18"/>
  <c r="Q87" i="18"/>
  <c r="P82" i="18"/>
  <c r="P81" i="18"/>
  <c r="C82" i="18"/>
  <c r="D82" i="18"/>
  <c r="E82" i="18"/>
  <c r="F82" i="18"/>
  <c r="H82" i="18"/>
  <c r="I82" i="18"/>
  <c r="J82" i="18"/>
  <c r="K82" i="18"/>
  <c r="L82" i="18"/>
  <c r="M82" i="18"/>
  <c r="N82" i="18"/>
  <c r="O82" i="18"/>
  <c r="G82" i="18"/>
  <c r="G81" i="18"/>
  <c r="H116" i="18"/>
  <c r="I116" i="18"/>
  <c r="J116" i="18"/>
  <c r="K116" i="18"/>
  <c r="L116" i="18"/>
  <c r="M116" i="18"/>
  <c r="N116" i="18"/>
  <c r="O116" i="18"/>
  <c r="P116" i="18"/>
  <c r="G116" i="18"/>
  <c r="H115" i="18"/>
  <c r="I115" i="18"/>
  <c r="J115" i="18"/>
  <c r="K115" i="18"/>
  <c r="L115" i="18"/>
  <c r="M115" i="18"/>
  <c r="N115" i="18"/>
  <c r="O115" i="18"/>
  <c r="P115" i="18"/>
  <c r="G115" i="18"/>
  <c r="H112" i="18"/>
  <c r="I112" i="18"/>
  <c r="J112" i="18"/>
  <c r="K112" i="18"/>
  <c r="L112" i="18"/>
  <c r="M112" i="18"/>
  <c r="N112" i="18"/>
  <c r="O112" i="18"/>
  <c r="P112" i="18"/>
  <c r="G112" i="18"/>
  <c r="H113" i="18"/>
  <c r="I113" i="18"/>
  <c r="J113" i="18"/>
  <c r="K113" i="18"/>
  <c r="L113" i="18"/>
  <c r="M113" i="18"/>
  <c r="N113" i="18"/>
  <c r="O113" i="18"/>
  <c r="P113" i="18"/>
  <c r="Q113" i="18" s="1"/>
  <c r="G113" i="18"/>
  <c r="H111" i="18"/>
  <c r="I111" i="18"/>
  <c r="J111" i="18"/>
  <c r="K111" i="18"/>
  <c r="L111" i="18"/>
  <c r="M111" i="18"/>
  <c r="N111" i="18"/>
  <c r="O111" i="18"/>
  <c r="P111" i="18"/>
  <c r="G111" i="18"/>
  <c r="H110" i="18"/>
  <c r="I110" i="18"/>
  <c r="J110" i="18"/>
  <c r="K110" i="18"/>
  <c r="L110" i="18"/>
  <c r="M110" i="18"/>
  <c r="N110" i="18"/>
  <c r="O110" i="18"/>
  <c r="P110" i="18"/>
  <c r="G110" i="18"/>
  <c r="R156" i="18"/>
  <c r="H107" i="18"/>
  <c r="I107" i="18"/>
  <c r="J107" i="18"/>
  <c r="K107" i="18"/>
  <c r="L107" i="18"/>
  <c r="M107" i="18"/>
  <c r="N107" i="18"/>
  <c r="O107" i="18"/>
  <c r="P107" i="18"/>
  <c r="G107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B107" i="18"/>
  <c r="B106" i="18"/>
  <c r="K171" i="18"/>
  <c r="K170" i="18"/>
  <c r="K169" i="18"/>
  <c r="S40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4" i="18"/>
  <c r="H94" i="18"/>
  <c r="I94" i="18"/>
  <c r="J94" i="18"/>
  <c r="K94" i="18"/>
  <c r="L94" i="18"/>
  <c r="M94" i="18"/>
  <c r="N94" i="18"/>
  <c r="O94" i="18"/>
  <c r="P94" i="18"/>
  <c r="S188" i="18"/>
  <c r="N187" i="18"/>
  <c r="S185" i="18"/>
  <c r="T185" i="18" s="1"/>
  <c r="N185" i="18"/>
  <c r="O185" i="18" s="1"/>
  <c r="O190" i="18" s="1"/>
  <c r="F102" i="18"/>
  <c r="H102" i="18"/>
  <c r="I102" i="18"/>
  <c r="J102" i="18"/>
  <c r="K102" i="18"/>
  <c r="L102" i="18"/>
  <c r="M102" i="18"/>
  <c r="N102" i="18"/>
  <c r="O102" i="18"/>
  <c r="G102" i="18"/>
  <c r="F101" i="18"/>
  <c r="H101" i="18"/>
  <c r="I101" i="18"/>
  <c r="J101" i="18"/>
  <c r="K101" i="18"/>
  <c r="L101" i="18"/>
  <c r="M101" i="18"/>
  <c r="N101" i="18"/>
  <c r="O101" i="18"/>
  <c r="P101" i="18"/>
  <c r="G101" i="18"/>
  <c r="T188" i="18" l="1"/>
  <c r="T190" i="18" s="1"/>
  <c r="Q82" i="18"/>
  <c r="Q110" i="18"/>
  <c r="Q116" i="18"/>
  <c r="Q115" i="18"/>
  <c r="Q111" i="18"/>
  <c r="Q112" i="18"/>
  <c r="Q105" i="18"/>
  <c r="Q106" i="18"/>
  <c r="Q107" i="18"/>
  <c r="Q94" i="18"/>
  <c r="AC32" i="18"/>
  <c r="AE32" i="18"/>
  <c r="N190" i="18"/>
  <c r="S190" i="18"/>
  <c r="Q102" i="18"/>
  <c r="Q101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9" i="18"/>
  <c r="AD50" i="18"/>
  <c r="AD51" i="18"/>
  <c r="AD53" i="18"/>
  <c r="AD54" i="18"/>
  <c r="AD55" i="18"/>
  <c r="AD57" i="18"/>
  <c r="AD58" i="18"/>
  <c r="AD59" i="18"/>
  <c r="AD60" i="18"/>
  <c r="AD62" i="18"/>
  <c r="AD63" i="18"/>
  <c r="AD65" i="18"/>
  <c r="AD67" i="18"/>
  <c r="AD68" i="18"/>
  <c r="AD69" i="18"/>
  <c r="AD70" i="18"/>
  <c r="AD71" i="18"/>
  <c r="AD73" i="18"/>
  <c r="AD74" i="18"/>
  <c r="AD75" i="18"/>
  <c r="AD7" i="18"/>
  <c r="AD6" i="18"/>
  <c r="G91" i="18" l="1"/>
  <c r="F91" i="18"/>
  <c r="H91" i="18"/>
  <c r="I91" i="18"/>
  <c r="J91" i="18"/>
  <c r="K91" i="18"/>
  <c r="L91" i="18"/>
  <c r="M91" i="18"/>
  <c r="N91" i="18"/>
  <c r="O91" i="18"/>
  <c r="P91" i="18"/>
  <c r="Q91" i="18" l="1"/>
  <c r="H85" i="18"/>
  <c r="I85" i="18"/>
  <c r="J85" i="18"/>
  <c r="K85" i="18"/>
  <c r="L85" i="18"/>
  <c r="M85" i="18"/>
  <c r="N85" i="18"/>
  <c r="O85" i="18"/>
  <c r="P85" i="18"/>
  <c r="H88" i="18"/>
  <c r="I88" i="18"/>
  <c r="J88" i="18"/>
  <c r="K88" i="18"/>
  <c r="L88" i="18"/>
  <c r="M88" i="18"/>
  <c r="N88" i="18"/>
  <c r="O88" i="18"/>
  <c r="P88" i="18"/>
  <c r="G88" i="18"/>
  <c r="G85" i="18"/>
  <c r="S29" i="18"/>
  <c r="Q29" i="18"/>
  <c r="L30" i="18"/>
  <c r="K30" i="18"/>
  <c r="J30" i="18"/>
  <c r="I30" i="18"/>
  <c r="H30" i="18"/>
  <c r="G30" i="18"/>
  <c r="T29" i="18" l="1"/>
  <c r="Q88" i="18"/>
  <c r="Q85" i="18"/>
  <c r="H93" i="18"/>
  <c r="I93" i="18"/>
  <c r="J93" i="18"/>
  <c r="K93" i="18"/>
  <c r="L93" i="18"/>
  <c r="M93" i="18"/>
  <c r="N93" i="18"/>
  <c r="O93" i="18"/>
  <c r="P93" i="18"/>
  <c r="G93" i="18"/>
  <c r="H92" i="18"/>
  <c r="I92" i="18"/>
  <c r="J92" i="18"/>
  <c r="K92" i="18"/>
  <c r="L92" i="18"/>
  <c r="M92" i="18"/>
  <c r="N92" i="18"/>
  <c r="O92" i="18"/>
  <c r="P92" i="18"/>
  <c r="G92" i="18"/>
  <c r="U29" i="18" l="1"/>
  <c r="Q92" i="18"/>
  <c r="Q93" i="18"/>
  <c r="AE62" i="18"/>
  <c r="V29" i="18" l="1"/>
  <c r="C164" i="18"/>
  <c r="D164" i="18"/>
  <c r="E164" i="18"/>
  <c r="F164" i="18"/>
  <c r="G164" i="18"/>
  <c r="H164" i="18"/>
  <c r="I164" i="18"/>
  <c r="J164" i="18"/>
  <c r="K164" i="18"/>
  <c r="L164" i="18"/>
  <c r="M164" i="18"/>
  <c r="N164" i="18"/>
  <c r="O164" i="18"/>
  <c r="P164" i="18"/>
  <c r="C9" i="15"/>
  <c r="D63" i="18"/>
  <c r="E63" i="18"/>
  <c r="E96" i="18" s="1"/>
  <c r="E97" i="18" s="1"/>
  <c r="F63" i="18"/>
  <c r="F96" i="18" s="1"/>
  <c r="F97" i="18" s="1"/>
  <c r="G63" i="18"/>
  <c r="G96" i="18" s="1"/>
  <c r="G97" i="18" s="1"/>
  <c r="H63" i="18"/>
  <c r="H96" i="18" s="1"/>
  <c r="H97" i="18" s="1"/>
  <c r="I63" i="18"/>
  <c r="I96" i="18" s="1"/>
  <c r="I97" i="18" s="1"/>
  <c r="J63" i="18"/>
  <c r="J96" i="18" s="1"/>
  <c r="J97" i="18" s="1"/>
  <c r="K63" i="18"/>
  <c r="K96" i="18" s="1"/>
  <c r="K97" i="18" s="1"/>
  <c r="L63" i="18"/>
  <c r="L96" i="18" s="1"/>
  <c r="L97" i="18" s="1"/>
  <c r="M63" i="18"/>
  <c r="M96" i="18" s="1"/>
  <c r="M97" i="18" s="1"/>
  <c r="N63" i="18"/>
  <c r="N96" i="18" s="1"/>
  <c r="N97" i="18" s="1"/>
  <c r="O63" i="18"/>
  <c r="O96" i="18" s="1"/>
  <c r="O97" i="18" s="1"/>
  <c r="P63" i="18"/>
  <c r="P96" i="18" s="1"/>
  <c r="C63" i="18"/>
  <c r="S41" i="18"/>
  <c r="S63" i="18" s="1"/>
  <c r="S96" i="18" s="1"/>
  <c r="S97" i="18" s="1"/>
  <c r="Q41" i="18"/>
  <c r="W29" i="18" l="1"/>
  <c r="Q164" i="18"/>
  <c r="N98" i="18"/>
  <c r="N99" i="18" s="1"/>
  <c r="J98" i="18"/>
  <c r="J99" i="18" s="1"/>
  <c r="L98" i="18"/>
  <c r="L99" i="18" s="1"/>
  <c r="H98" i="18"/>
  <c r="H99" i="18" s="1"/>
  <c r="M98" i="18"/>
  <c r="M99" i="18" s="1"/>
  <c r="I98" i="18"/>
  <c r="I99" i="18" s="1"/>
  <c r="F98" i="18"/>
  <c r="F99" i="18" s="1"/>
  <c r="O98" i="18"/>
  <c r="O99" i="18" s="1"/>
  <c r="K98" i="18"/>
  <c r="K99" i="18" s="1"/>
  <c r="G98" i="18"/>
  <c r="G99" i="18" s="1"/>
  <c r="P97" i="18"/>
  <c r="Q96" i="18"/>
  <c r="T41" i="18"/>
  <c r="U41" i="18" s="1"/>
  <c r="V41" i="18" s="1"/>
  <c r="W41" i="18" s="1"/>
  <c r="X29" i="18" l="1"/>
  <c r="P98" i="18"/>
  <c r="Q97" i="18"/>
  <c r="U63" i="18"/>
  <c r="X41" i="18"/>
  <c r="W63" i="18"/>
  <c r="V63" i="18"/>
  <c r="T63" i="18"/>
  <c r="C73" i="18"/>
  <c r="D73" i="18"/>
  <c r="E73" i="18"/>
  <c r="F73" i="18"/>
  <c r="G73" i="18"/>
  <c r="G120" i="18" s="1"/>
  <c r="H73" i="18"/>
  <c r="H120" i="18" s="1"/>
  <c r="I73" i="18"/>
  <c r="I120" i="18" s="1"/>
  <c r="J73" i="18"/>
  <c r="J120" i="18" s="1"/>
  <c r="K73" i="18"/>
  <c r="K120" i="18" s="1"/>
  <c r="L73" i="18"/>
  <c r="L120" i="18" s="1"/>
  <c r="M73" i="18"/>
  <c r="M120" i="18" s="1"/>
  <c r="N73" i="18"/>
  <c r="N120" i="18" s="1"/>
  <c r="O73" i="18"/>
  <c r="O120" i="18" s="1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P74" i="18"/>
  <c r="P73" i="18"/>
  <c r="P120" i="18" s="1"/>
  <c r="C81" i="18"/>
  <c r="D81" i="18"/>
  <c r="E81" i="18"/>
  <c r="F81" i="18"/>
  <c r="H81" i="18"/>
  <c r="I81" i="18"/>
  <c r="J81" i="18"/>
  <c r="K81" i="18"/>
  <c r="L81" i="18"/>
  <c r="M81" i="18"/>
  <c r="N81" i="18"/>
  <c r="O81" i="18"/>
  <c r="C79" i="18"/>
  <c r="D79" i="18"/>
  <c r="E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F79" i="18"/>
  <c r="G79" i="18"/>
  <c r="H79" i="18"/>
  <c r="I79" i="18"/>
  <c r="J79" i="18"/>
  <c r="K79" i="18"/>
  <c r="L79" i="18"/>
  <c r="M79" i="18"/>
  <c r="N79" i="18"/>
  <c r="O79" i="18"/>
  <c r="P80" i="18"/>
  <c r="G39" i="18"/>
  <c r="G28" i="18"/>
  <c r="G11" i="18"/>
  <c r="G8" i="18"/>
  <c r="G26" i="18"/>
  <c r="Q120" i="18" l="1"/>
  <c r="Y29" i="18"/>
  <c r="Q75" i="18"/>
  <c r="Y41" i="18"/>
  <c r="X63" i="18"/>
  <c r="Q73" i="18"/>
  <c r="Q74" i="18"/>
  <c r="Q80" i="18"/>
  <c r="Q81" i="18"/>
  <c r="P79" i="18"/>
  <c r="Q79" i="18" s="1"/>
  <c r="C176" i="18"/>
  <c r="D176" i="18"/>
  <c r="E176" i="18"/>
  <c r="F176" i="18"/>
  <c r="C177" i="18"/>
  <c r="D177" i="18"/>
  <c r="E177" i="18"/>
  <c r="F177" i="18"/>
  <c r="C178" i="18"/>
  <c r="D178" i="18"/>
  <c r="E178" i="18"/>
  <c r="F178" i="18"/>
  <c r="H178" i="18"/>
  <c r="I178" i="18"/>
  <c r="J178" i="18"/>
  <c r="K178" i="18"/>
  <c r="L178" i="18"/>
  <c r="M178" i="18"/>
  <c r="N178" i="18"/>
  <c r="O178" i="18"/>
  <c r="P178" i="18"/>
  <c r="G178" i="18"/>
  <c r="H177" i="18"/>
  <c r="I177" i="18"/>
  <c r="J177" i="18"/>
  <c r="K177" i="18"/>
  <c r="L177" i="18"/>
  <c r="M177" i="18"/>
  <c r="N177" i="18"/>
  <c r="O177" i="18"/>
  <c r="P177" i="18"/>
  <c r="G177" i="18"/>
  <c r="H176" i="18"/>
  <c r="I176" i="18"/>
  <c r="J176" i="18"/>
  <c r="K176" i="18"/>
  <c r="L176" i="18"/>
  <c r="M176" i="18"/>
  <c r="N176" i="18"/>
  <c r="O176" i="18"/>
  <c r="P176" i="18"/>
  <c r="G176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3" i="18" s="1"/>
  <c r="H44" i="18"/>
  <c r="H157" i="18" s="1"/>
  <c r="I44" i="18"/>
  <c r="I157" i="18" s="1"/>
  <c r="J44" i="18"/>
  <c r="J157" i="18" s="1"/>
  <c r="K44" i="18"/>
  <c r="K157" i="18" s="1"/>
  <c r="L44" i="18"/>
  <c r="L157" i="18" s="1"/>
  <c r="M44" i="18"/>
  <c r="M157" i="18" s="1"/>
  <c r="N44" i="18"/>
  <c r="N157" i="18" s="1"/>
  <c r="O44" i="18"/>
  <c r="O157" i="18" s="1"/>
  <c r="P44" i="18"/>
  <c r="P157" i="18" s="1"/>
  <c r="C44" i="18"/>
  <c r="C157" i="18" s="1"/>
  <c r="D44" i="18"/>
  <c r="D157" i="18" s="1"/>
  <c r="E44" i="18"/>
  <c r="E157" i="18" s="1"/>
  <c r="F44" i="18"/>
  <c r="F157" i="18" s="1"/>
  <c r="G44" i="18"/>
  <c r="G157" i="18" s="1"/>
  <c r="M28" i="18"/>
  <c r="L28" i="18"/>
  <c r="K28" i="18"/>
  <c r="J28" i="18"/>
  <c r="I28" i="18"/>
  <c r="H28" i="18"/>
  <c r="M26" i="18"/>
  <c r="L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0" i="18"/>
  <c r="S36" i="18"/>
  <c r="S86" i="18" s="1"/>
  <c r="Q36" i="18"/>
  <c r="Q157" i="18" l="1"/>
  <c r="Z29" i="18"/>
  <c r="Z41" i="18"/>
  <c r="Y63" i="18"/>
  <c r="T36" i="18"/>
  <c r="T86" i="18" s="1"/>
  <c r="Q178" i="18"/>
  <c r="Q45" i="18"/>
  <c r="Q44" i="18"/>
  <c r="Q177" i="18"/>
  <c r="Q176" i="18"/>
  <c r="Q31" i="18"/>
  <c r="Q34" i="18"/>
  <c r="AA29" i="18" l="1"/>
  <c r="AA41" i="18"/>
  <c r="Z63" i="18"/>
  <c r="U36" i="18"/>
  <c r="U86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65" i="18"/>
  <c r="I67" i="18" s="1"/>
  <c r="J65" i="18"/>
  <c r="J67" i="18" s="1"/>
  <c r="K65" i="18"/>
  <c r="K67" i="18" s="1"/>
  <c r="L65" i="18"/>
  <c r="L67" i="18" s="1"/>
  <c r="M65" i="18"/>
  <c r="M67" i="18" s="1"/>
  <c r="N65" i="18"/>
  <c r="N67" i="18" s="1"/>
  <c r="O65" i="18"/>
  <c r="O67" i="18" s="1"/>
  <c r="P65" i="18"/>
  <c r="P67" i="18" s="1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H71" i="18"/>
  <c r="H70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5" i="18"/>
  <c r="C67" i="18" s="1"/>
  <c r="D65" i="18"/>
  <c r="D67" i="18" s="1"/>
  <c r="E65" i="18"/>
  <c r="E67" i="18" s="1"/>
  <c r="F65" i="18"/>
  <c r="F67" i="18" s="1"/>
  <c r="G65" i="18"/>
  <c r="G67" i="18" s="1"/>
  <c r="H65" i="18"/>
  <c r="H67" i="18" s="1"/>
  <c r="H69" i="18"/>
  <c r="H68" i="18"/>
  <c r="T23" i="18" l="1"/>
  <c r="S89" i="18"/>
  <c r="AB29" i="18"/>
  <c r="AE31" i="18"/>
  <c r="AC31" i="18"/>
  <c r="AC22" i="18"/>
  <c r="AE22" i="18"/>
  <c r="AB41" i="18"/>
  <c r="AE41" i="18" s="1"/>
  <c r="AA63" i="18"/>
  <c r="V36" i="18"/>
  <c r="V86" i="18" s="1"/>
  <c r="Q70" i="18"/>
  <c r="Q71" i="18"/>
  <c r="Q69" i="18"/>
  <c r="Q67" i="18"/>
  <c r="Q68" i="18"/>
  <c r="Q22" i="18"/>
  <c r="Q21" i="18"/>
  <c r="Q65" i="18"/>
  <c r="S20" i="18"/>
  <c r="S48" i="18" s="1"/>
  <c r="T21" i="18"/>
  <c r="Q63" i="18"/>
  <c r="Q156" i="18"/>
  <c r="U23" i="18" l="1"/>
  <c r="T89" i="18"/>
  <c r="AE29" i="18"/>
  <c r="AC29" i="18"/>
  <c r="T20" i="18"/>
  <c r="S65" i="18"/>
  <c r="AB63" i="18"/>
  <c r="AC41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3" i="18"/>
  <c r="Q12" i="18"/>
  <c r="Q10" i="18"/>
  <c r="Q9" i="18"/>
  <c r="S18" i="18"/>
  <c r="S25" i="18"/>
  <c r="S83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6" i="18" s="1"/>
  <c r="O61" i="18"/>
  <c r="O161" i="18" s="1"/>
  <c r="O60" i="18"/>
  <c r="O58" i="18"/>
  <c r="O57" i="18"/>
  <c r="O55" i="18"/>
  <c r="O162" i="18" s="1"/>
  <c r="O54" i="18"/>
  <c r="O53" i="18"/>
  <c r="O51" i="18"/>
  <c r="O50" i="18"/>
  <c r="O159" i="18" s="1"/>
  <c r="O49" i="18"/>
  <c r="O47" i="18"/>
  <c r="T65" i="18" l="1"/>
  <c r="S112" i="18"/>
  <c r="S122" i="18"/>
  <c r="S113" i="18"/>
  <c r="S123" i="18"/>
  <c r="V23" i="18"/>
  <c r="U89" i="18"/>
  <c r="S106" i="18"/>
  <c r="S107" i="18"/>
  <c r="S105" i="18"/>
  <c r="S94" i="18"/>
  <c r="P99" i="18"/>
  <c r="Q99" i="18" s="1"/>
  <c r="Q98" i="18"/>
  <c r="S85" i="18"/>
  <c r="S102" i="18"/>
  <c r="S101" i="18"/>
  <c r="T18" i="18"/>
  <c r="S144" i="18"/>
  <c r="AE63" i="18"/>
  <c r="O158" i="18"/>
  <c r="O163" i="18"/>
  <c r="U20" i="18"/>
  <c r="AC63" i="18"/>
  <c r="T27" i="18"/>
  <c r="X36" i="18"/>
  <c r="X86" i="18" s="1"/>
  <c r="T25" i="18"/>
  <c r="T83" i="18" s="1"/>
  <c r="S79" i="18"/>
  <c r="V21" i="18"/>
  <c r="AC33" i="18"/>
  <c r="AC34" i="18"/>
  <c r="AC9" i="18"/>
  <c r="O59" i="18"/>
  <c r="O160" i="18" s="1"/>
  <c r="D55" i="18"/>
  <c r="E55" i="18"/>
  <c r="F55" i="18"/>
  <c r="G55" i="18"/>
  <c r="G162" i="18" s="1"/>
  <c r="H55" i="18"/>
  <c r="H162" i="18" s="1"/>
  <c r="I55" i="18"/>
  <c r="I162" i="18" s="1"/>
  <c r="J55" i="18"/>
  <c r="J162" i="18" s="1"/>
  <c r="K55" i="18"/>
  <c r="K162" i="18" s="1"/>
  <c r="L55" i="18"/>
  <c r="L162" i="18" s="1"/>
  <c r="M55" i="18"/>
  <c r="M162" i="18" s="1"/>
  <c r="N55" i="18"/>
  <c r="N162" i="18" s="1"/>
  <c r="P55" i="18"/>
  <c r="C55" i="18"/>
  <c r="C54" i="18"/>
  <c r="T113" i="18" l="1"/>
  <c r="T123" i="18"/>
  <c r="T112" i="18"/>
  <c r="T122" i="18"/>
  <c r="W23" i="18"/>
  <c r="V89" i="18"/>
  <c r="T144" i="18"/>
  <c r="R144" i="18" s="1"/>
  <c r="P168" i="18" s="1"/>
  <c r="T105" i="18"/>
  <c r="T107" i="18"/>
  <c r="T106" i="18"/>
  <c r="T94" i="18"/>
  <c r="T85" i="18"/>
  <c r="T102" i="18"/>
  <c r="T101" i="18"/>
  <c r="U18" i="18"/>
  <c r="V20" i="18"/>
  <c r="U65" i="18"/>
  <c r="U27" i="18"/>
  <c r="U25" i="18"/>
  <c r="T79" i="18"/>
  <c r="Y36" i="18"/>
  <c r="Y86" i="18" s="1"/>
  <c r="W21" i="18"/>
  <c r="P162" i="18"/>
  <c r="Q162" i="18" s="1"/>
  <c r="Q55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C53" i="18"/>
  <c r="U112" i="18" l="1"/>
  <c r="U122" i="18"/>
  <c r="U113" i="18"/>
  <c r="U123" i="18"/>
  <c r="U83" i="18"/>
  <c r="X23" i="18"/>
  <c r="W89" i="18"/>
  <c r="U107" i="18"/>
  <c r="U106" i="18"/>
  <c r="U105" i="18"/>
  <c r="U94" i="18"/>
  <c r="U85" i="18"/>
  <c r="U102" i="18"/>
  <c r="U101" i="18"/>
  <c r="V18" i="18"/>
  <c r="W20" i="18"/>
  <c r="V65" i="18"/>
  <c r="V27" i="18"/>
  <c r="V25" i="18"/>
  <c r="V83" i="18" s="1"/>
  <c r="U79" i="18"/>
  <c r="Z36" i="18"/>
  <c r="Z86" i="18" s="1"/>
  <c r="X21" i="18"/>
  <c r="Q53" i="18"/>
  <c r="Q54" i="18"/>
  <c r="C46" i="15"/>
  <c r="V113" i="18" l="1"/>
  <c r="V123" i="18"/>
  <c r="V112" i="18"/>
  <c r="V122" i="18"/>
  <c r="Y23" i="18"/>
  <c r="X89" i="18"/>
  <c r="V94" i="18"/>
  <c r="V107" i="18"/>
  <c r="V106" i="18"/>
  <c r="V105" i="18"/>
  <c r="V85" i="18"/>
  <c r="V102" i="18"/>
  <c r="V101" i="18"/>
  <c r="W18" i="18"/>
  <c r="X20" i="18"/>
  <c r="W65" i="18"/>
  <c r="W27" i="18"/>
  <c r="W25" i="18"/>
  <c r="V79" i="18"/>
  <c r="AA36" i="18"/>
  <c r="AA86" i="18" s="1"/>
  <c r="Y21" i="18"/>
  <c r="S156" i="18"/>
  <c r="C47" i="18"/>
  <c r="D47" i="18"/>
  <c r="E47" i="18"/>
  <c r="F47" i="18"/>
  <c r="H47" i="18"/>
  <c r="I47" i="18"/>
  <c r="J47" i="18"/>
  <c r="K47" i="18"/>
  <c r="L47" i="18"/>
  <c r="L163" i="18" s="1"/>
  <c r="M47" i="18"/>
  <c r="N47" i="18"/>
  <c r="N163" i="18" s="1"/>
  <c r="P47" i="18"/>
  <c r="D61" i="18"/>
  <c r="D161" i="18" s="1"/>
  <c r="E61" i="18"/>
  <c r="E161" i="18" s="1"/>
  <c r="F61" i="18"/>
  <c r="F161" i="18" s="1"/>
  <c r="G61" i="18"/>
  <c r="H61" i="18"/>
  <c r="H161" i="18" s="1"/>
  <c r="I61" i="18"/>
  <c r="I161" i="18" s="1"/>
  <c r="J61" i="18"/>
  <c r="J161" i="18" s="1"/>
  <c r="K61" i="18"/>
  <c r="K161" i="18" s="1"/>
  <c r="L61" i="18"/>
  <c r="L161" i="18" s="1"/>
  <c r="M61" i="18"/>
  <c r="M161" i="18" s="1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59" i="18" s="1"/>
  <c r="D160" i="18" s="1"/>
  <c r="E57" i="18"/>
  <c r="E59" i="18" s="1"/>
  <c r="E160" i="18" s="1"/>
  <c r="F57" i="18"/>
  <c r="G57" i="18"/>
  <c r="H57" i="18"/>
  <c r="I57" i="18"/>
  <c r="J57" i="18"/>
  <c r="K57" i="18"/>
  <c r="L57" i="18"/>
  <c r="M57" i="18"/>
  <c r="N57" i="18"/>
  <c r="P57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D159" i="18" s="1"/>
  <c r="E50" i="18"/>
  <c r="E159" i="18" s="1"/>
  <c r="F50" i="18"/>
  <c r="F159" i="18" s="1"/>
  <c r="G50" i="18"/>
  <c r="H50" i="18"/>
  <c r="H159" i="18" s="1"/>
  <c r="I50" i="18"/>
  <c r="I159" i="18" s="1"/>
  <c r="J50" i="18"/>
  <c r="J159" i="18" s="1"/>
  <c r="K50" i="18"/>
  <c r="K159" i="18" s="1"/>
  <c r="L50" i="18"/>
  <c r="L159" i="18" s="1"/>
  <c r="M50" i="18"/>
  <c r="M159" i="18" s="1"/>
  <c r="N50" i="18"/>
  <c r="P50" i="18"/>
  <c r="C61" i="18"/>
  <c r="C161" i="18" s="1"/>
  <c r="C60" i="18"/>
  <c r="C58" i="18"/>
  <c r="C57" i="18"/>
  <c r="C51" i="18"/>
  <c r="C50" i="18"/>
  <c r="C159" i="18" s="1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S15" i="18"/>
  <c r="S110" i="18" s="1"/>
  <c r="S16" i="18"/>
  <c r="S118" i="18" s="1"/>
  <c r="S119" i="18" s="1"/>
  <c r="S38" i="18"/>
  <c r="S87" i="18" s="1"/>
  <c r="S10" i="18"/>
  <c r="S12" i="18"/>
  <c r="S13" i="18"/>
  <c r="S7" i="18"/>
  <c r="S6" i="18"/>
  <c r="W112" i="18" l="1"/>
  <c r="W122" i="18"/>
  <c r="W83" i="18"/>
  <c r="W113" i="18"/>
  <c r="W123" i="18"/>
  <c r="Z23" i="18"/>
  <c r="Y89" i="18"/>
  <c r="S81" i="18"/>
  <c r="S82" i="18"/>
  <c r="S116" i="18"/>
  <c r="S115" i="18"/>
  <c r="S88" i="18"/>
  <c r="S111" i="18"/>
  <c r="H163" i="18"/>
  <c r="H158" i="18"/>
  <c r="W94" i="18"/>
  <c r="W106" i="18"/>
  <c r="W105" i="18"/>
  <c r="W107" i="18"/>
  <c r="S93" i="18"/>
  <c r="S98" i="18"/>
  <c r="S99" i="18" s="1"/>
  <c r="W85" i="18"/>
  <c r="W102" i="18"/>
  <c r="W101" i="18"/>
  <c r="S91" i="18"/>
  <c r="S92" i="18"/>
  <c r="X18" i="18"/>
  <c r="D158" i="18"/>
  <c r="D162" i="18" s="1"/>
  <c r="D163" i="18"/>
  <c r="E158" i="18"/>
  <c r="E162" i="18" s="1"/>
  <c r="E163" i="18"/>
  <c r="C158" i="18"/>
  <c r="C162" i="18" s="1"/>
  <c r="C163" i="18"/>
  <c r="P158" i="18"/>
  <c r="P163" i="18"/>
  <c r="Q163" i="18" s="1"/>
  <c r="K158" i="18"/>
  <c r="K163" i="18"/>
  <c r="F158" i="18"/>
  <c r="F162" i="18" s="1"/>
  <c r="F163" i="18"/>
  <c r="J158" i="18"/>
  <c r="J163" i="18"/>
  <c r="M158" i="18"/>
  <c r="M163" i="18"/>
  <c r="I158" i="18"/>
  <c r="I163" i="18"/>
  <c r="Q126" i="18"/>
  <c r="Y20" i="18"/>
  <c r="X65" i="18"/>
  <c r="H59" i="18"/>
  <c r="H160" i="18" s="1"/>
  <c r="X27" i="18"/>
  <c r="T12" i="18"/>
  <c r="T15" i="18"/>
  <c r="T110" i="18" s="1"/>
  <c r="T13" i="18"/>
  <c r="T10" i="18"/>
  <c r="T16" i="18"/>
  <c r="T118" i="18" s="1"/>
  <c r="T119" i="18" s="1"/>
  <c r="T6" i="18"/>
  <c r="T7" i="18"/>
  <c r="X25" i="18"/>
  <c r="X83" i="18" s="1"/>
  <c r="W79" i="18"/>
  <c r="T38" i="18"/>
  <c r="T87" i="18" s="1"/>
  <c r="S80" i="18"/>
  <c r="AB36" i="18"/>
  <c r="F59" i="18"/>
  <c r="F160" i="18" s="1"/>
  <c r="L59" i="18"/>
  <c r="L160" i="18" s="1"/>
  <c r="K59" i="18"/>
  <c r="K160" i="18" s="1"/>
  <c r="J59" i="18"/>
  <c r="J160" i="18" s="1"/>
  <c r="Z21" i="18"/>
  <c r="C59" i="18"/>
  <c r="C160" i="18" s="1"/>
  <c r="T156" i="18"/>
  <c r="I59" i="18"/>
  <c r="I160" i="18" s="1"/>
  <c r="Q49" i="18"/>
  <c r="G159" i="18"/>
  <c r="Q50" i="18"/>
  <c r="Q51" i="18"/>
  <c r="Q58" i="18"/>
  <c r="Q60" i="18"/>
  <c r="G158" i="18"/>
  <c r="Q47" i="18"/>
  <c r="G161" i="18"/>
  <c r="Q61" i="18"/>
  <c r="G59" i="18"/>
  <c r="Q57" i="18"/>
  <c r="N159" i="18"/>
  <c r="N158" i="18"/>
  <c r="N161" i="18"/>
  <c r="P159" i="18"/>
  <c r="L158" i="18"/>
  <c r="N59" i="18"/>
  <c r="M59" i="18"/>
  <c r="M160" i="18" s="1"/>
  <c r="P161" i="18"/>
  <c r="P59" i="18"/>
  <c r="S58" i="18"/>
  <c r="C6" i="12"/>
  <c r="C26" i="15"/>
  <c r="C58" i="15"/>
  <c r="C57" i="15"/>
  <c r="C54" i="15"/>
  <c r="C53" i="15"/>
  <c r="C50" i="15"/>
  <c r="C49" i="15"/>
  <c r="C45" i="15"/>
  <c r="X112" i="18" l="1"/>
  <c r="X122" i="18"/>
  <c r="X113" i="18"/>
  <c r="X123" i="18"/>
  <c r="AE36" i="18"/>
  <c r="AB86" i="18"/>
  <c r="AC86" i="18" s="1"/>
  <c r="AA23" i="18"/>
  <c r="Z89" i="18"/>
  <c r="T116" i="18"/>
  <c r="T115" i="18"/>
  <c r="T88" i="18"/>
  <c r="T111" i="18"/>
  <c r="T82" i="18"/>
  <c r="X105" i="18"/>
  <c r="X106" i="18"/>
  <c r="X107" i="18"/>
  <c r="X94" i="18"/>
  <c r="X85" i="18"/>
  <c r="X102" i="18"/>
  <c r="X101" i="18"/>
  <c r="T91" i="18"/>
  <c r="T92" i="18"/>
  <c r="T93" i="18"/>
  <c r="Y18" i="18"/>
  <c r="Z20" i="18"/>
  <c r="Y65" i="18"/>
  <c r="S57" i="18"/>
  <c r="S74" i="18"/>
  <c r="S53" i="18"/>
  <c r="S55" i="18"/>
  <c r="S162" i="18" s="1"/>
  <c r="S61" i="18"/>
  <c r="S161" i="18" s="1"/>
  <c r="S71" i="18"/>
  <c r="S73" i="18"/>
  <c r="S120" i="18" s="1"/>
  <c r="S45" i="18"/>
  <c r="S44" i="18"/>
  <c r="S157" i="18" s="1"/>
  <c r="S54" i="18"/>
  <c r="S50" i="18"/>
  <c r="S51" i="18"/>
  <c r="S60" i="18"/>
  <c r="S49" i="18"/>
  <c r="S75" i="18"/>
  <c r="S47" i="18"/>
  <c r="Y27" i="18"/>
  <c r="U15" i="18"/>
  <c r="U110" i="18" s="1"/>
  <c r="U13" i="18"/>
  <c r="U12" i="18"/>
  <c r="S59" i="18"/>
  <c r="U16" i="18"/>
  <c r="U118" i="18" s="1"/>
  <c r="U119" i="18" s="1"/>
  <c r="U10" i="18"/>
  <c r="U7" i="18"/>
  <c r="U6" i="18"/>
  <c r="AC36" i="18"/>
  <c r="Y25" i="18"/>
  <c r="Y83" i="18" s="1"/>
  <c r="X79" i="18"/>
  <c r="U38" i="18"/>
  <c r="U87" i="18" s="1"/>
  <c r="T81" i="18"/>
  <c r="T80" i="18"/>
  <c r="T40" i="18"/>
  <c r="S68" i="18"/>
  <c r="S69" i="18"/>
  <c r="S70" i="18"/>
  <c r="S67" i="18"/>
  <c r="AA21" i="18"/>
  <c r="U156" i="18"/>
  <c r="Q159" i="18"/>
  <c r="Q158" i="18"/>
  <c r="Q161" i="18"/>
  <c r="G160" i="18"/>
  <c r="Q59" i="18"/>
  <c r="N160" i="18"/>
  <c r="P160" i="18"/>
  <c r="C16" i="15"/>
  <c r="C21" i="15"/>
  <c r="C10" i="15"/>
  <c r="T96" i="18" l="1"/>
  <c r="T97" i="18" s="1"/>
  <c r="T98" i="18" s="1"/>
  <c r="T99" i="18" s="1"/>
  <c r="T48" i="18"/>
  <c r="Y112" i="18"/>
  <c r="Y122" i="18"/>
  <c r="Y113" i="18"/>
  <c r="Y123" i="18"/>
  <c r="AB23" i="18"/>
  <c r="AA89" i="18"/>
  <c r="U88" i="18"/>
  <c r="U111" i="18"/>
  <c r="U116" i="18"/>
  <c r="U115" i="18"/>
  <c r="U82" i="18"/>
  <c r="Y107" i="18"/>
  <c r="Y106" i="18"/>
  <c r="Y105" i="18"/>
  <c r="Y94" i="18"/>
  <c r="T57" i="18"/>
  <c r="Y85" i="18"/>
  <c r="Y102" i="18"/>
  <c r="Y101" i="18"/>
  <c r="U91" i="18"/>
  <c r="U92" i="18"/>
  <c r="U93" i="18"/>
  <c r="T53" i="18"/>
  <c r="Z18" i="18"/>
  <c r="AA20" i="18"/>
  <c r="Z65" i="18"/>
  <c r="T55" i="18"/>
  <c r="T162" i="18" s="1"/>
  <c r="T61" i="18"/>
  <c r="T161" i="18" s="1"/>
  <c r="T71" i="18"/>
  <c r="T73" i="18"/>
  <c r="T120" i="18" s="1"/>
  <c r="T44" i="18"/>
  <c r="T157" i="18" s="1"/>
  <c r="T45" i="18"/>
  <c r="T50" i="18"/>
  <c r="T49" i="18"/>
  <c r="T60" i="18"/>
  <c r="T75" i="18"/>
  <c r="T54" i="18"/>
  <c r="T51" i="18"/>
  <c r="T47" i="18"/>
  <c r="T58" i="18"/>
  <c r="T74" i="18"/>
  <c r="Z27" i="18"/>
  <c r="V13" i="18"/>
  <c r="V12" i="18"/>
  <c r="V15" i="18"/>
  <c r="V110" i="18" s="1"/>
  <c r="V10" i="18"/>
  <c r="V16" i="18"/>
  <c r="V118" i="18" s="1"/>
  <c r="V119" i="18" s="1"/>
  <c r="V6" i="18"/>
  <c r="V7" i="18"/>
  <c r="V38" i="18"/>
  <c r="V87" i="18" s="1"/>
  <c r="U81" i="18"/>
  <c r="U80" i="18"/>
  <c r="Z25" i="18"/>
  <c r="Z83" i="18" s="1"/>
  <c r="Y79" i="18"/>
  <c r="U40" i="18"/>
  <c r="T70" i="18"/>
  <c r="T69" i="18"/>
  <c r="T68" i="18"/>
  <c r="T67" i="18"/>
  <c r="AB21" i="18"/>
  <c r="AE21" i="18" s="1"/>
  <c r="S160" i="18"/>
  <c r="V156" i="18"/>
  <c r="S158" i="18"/>
  <c r="S159" i="18"/>
  <c r="Q160" i="18"/>
  <c r="D31" i="8"/>
  <c r="D29" i="8"/>
  <c r="D28" i="8"/>
  <c r="D13" i="8"/>
  <c r="D30" i="8" s="1"/>
  <c r="E14" i="8"/>
  <c r="F14" i="8" s="1"/>
  <c r="G14" i="8" s="1"/>
  <c r="H14" i="8" s="1"/>
  <c r="I14" i="8" s="1"/>
  <c r="U96" i="18" l="1"/>
  <c r="U97" i="18" s="1"/>
  <c r="U98" i="18" s="1"/>
  <c r="U99" i="18" s="1"/>
  <c r="U48" i="18"/>
  <c r="Z112" i="18"/>
  <c r="Z122" i="18"/>
  <c r="Z113" i="18"/>
  <c r="Z123" i="18"/>
  <c r="AE23" i="18"/>
  <c r="AB89" i="18"/>
  <c r="AC89" i="18" s="1"/>
  <c r="AC23" i="18"/>
  <c r="V82" i="18"/>
  <c r="V115" i="18"/>
  <c r="V116" i="18"/>
  <c r="V88" i="18"/>
  <c r="V111" i="18"/>
  <c r="Z107" i="18"/>
  <c r="Z106" i="18"/>
  <c r="Z105" i="18"/>
  <c r="Z94" i="18"/>
  <c r="U57" i="18"/>
  <c r="T59" i="18"/>
  <c r="T160" i="18" s="1"/>
  <c r="Z85" i="18"/>
  <c r="Z102" i="18"/>
  <c r="Z101" i="18"/>
  <c r="V91" i="18"/>
  <c r="V93" i="18"/>
  <c r="V92" i="18"/>
  <c r="AA18" i="18"/>
  <c r="AB20" i="18"/>
  <c r="AA65" i="18"/>
  <c r="U75" i="18"/>
  <c r="U74" i="18"/>
  <c r="U53" i="18"/>
  <c r="U61" i="18"/>
  <c r="U161" i="18" s="1"/>
  <c r="U60" i="18"/>
  <c r="U55" i="18"/>
  <c r="U162" i="18" s="1"/>
  <c r="U58" i="18"/>
  <c r="U49" i="18"/>
  <c r="U71" i="18"/>
  <c r="U73" i="18"/>
  <c r="U120" i="18" s="1"/>
  <c r="U45" i="18"/>
  <c r="U44" i="18"/>
  <c r="U157" i="18" s="1"/>
  <c r="U54" i="18"/>
  <c r="U50" i="18"/>
  <c r="U51" i="18"/>
  <c r="U47" i="18"/>
  <c r="AA27" i="18"/>
  <c r="W12" i="18"/>
  <c r="W15" i="18"/>
  <c r="W110" i="18" s="1"/>
  <c r="W13" i="18"/>
  <c r="W16" i="18"/>
  <c r="W118" i="18" s="1"/>
  <c r="W119" i="18" s="1"/>
  <c r="W10" i="18"/>
  <c r="W7" i="18"/>
  <c r="W6" i="18"/>
  <c r="AA25" i="18"/>
  <c r="Z79" i="18"/>
  <c r="W38" i="18"/>
  <c r="W87" i="18" s="1"/>
  <c r="V80" i="18"/>
  <c r="V81" i="18"/>
  <c r="V40" i="18"/>
  <c r="U70" i="18"/>
  <c r="U68" i="18"/>
  <c r="U69" i="18"/>
  <c r="U67" i="18"/>
  <c r="AC21" i="18"/>
  <c r="W156" i="18"/>
  <c r="T158" i="18"/>
  <c r="T159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96" i="18" l="1"/>
  <c r="V97" i="18" s="1"/>
  <c r="V98" i="18" s="1"/>
  <c r="V99" i="18" s="1"/>
  <c r="V48" i="18"/>
  <c r="AA112" i="18"/>
  <c r="AA122" i="18"/>
  <c r="AA113" i="18"/>
  <c r="AA123" i="18"/>
  <c r="AE20" i="18"/>
  <c r="AA83" i="18"/>
  <c r="W116" i="18"/>
  <c r="W115" i="18"/>
  <c r="W88" i="18"/>
  <c r="W111" i="18"/>
  <c r="W82" i="18"/>
  <c r="AA106" i="18"/>
  <c r="AA105" i="18"/>
  <c r="AA107" i="18"/>
  <c r="AA94" i="18"/>
  <c r="U59" i="18"/>
  <c r="U160" i="18" s="1"/>
  <c r="AA85" i="18"/>
  <c r="AA102" i="18"/>
  <c r="AA101" i="18"/>
  <c r="V60" i="18"/>
  <c r="W91" i="18"/>
  <c r="W93" i="18"/>
  <c r="W92" i="18"/>
  <c r="AB18" i="18"/>
  <c r="V75" i="18"/>
  <c r="V51" i="18"/>
  <c r="V58" i="18"/>
  <c r="AC20" i="18"/>
  <c r="AB65" i="18"/>
  <c r="V49" i="18"/>
  <c r="V57" i="18"/>
  <c r="V54" i="18"/>
  <c r="V74" i="18"/>
  <c r="V50" i="18"/>
  <c r="V55" i="18"/>
  <c r="V162" i="18" s="1"/>
  <c r="V71" i="18"/>
  <c r="V73" i="18"/>
  <c r="V120" i="18" s="1"/>
  <c r="V44" i="18"/>
  <c r="V157" i="18" s="1"/>
  <c r="V45" i="18"/>
  <c r="V53" i="18"/>
  <c r="V61" i="18"/>
  <c r="V161" i="18" s="1"/>
  <c r="V47" i="18"/>
  <c r="AB27" i="18"/>
  <c r="AB123" i="18" s="1"/>
  <c r="AC123" i="18" s="1"/>
  <c r="X15" i="18"/>
  <c r="X110" i="18" s="1"/>
  <c r="X13" i="18"/>
  <c r="X12" i="18"/>
  <c r="X10" i="18"/>
  <c r="X16" i="18"/>
  <c r="X118" i="18" s="1"/>
  <c r="X119" i="18" s="1"/>
  <c r="X6" i="18"/>
  <c r="X7" i="18"/>
  <c r="X38" i="18"/>
  <c r="X87" i="18" s="1"/>
  <c r="W81" i="18"/>
  <c r="W80" i="18"/>
  <c r="AB25" i="18"/>
  <c r="AB83" i="18" s="1"/>
  <c r="AC83" i="18" s="1"/>
  <c r="AA79" i="18"/>
  <c r="W40" i="18"/>
  <c r="V70" i="18"/>
  <c r="V68" i="18"/>
  <c r="V69" i="18"/>
  <c r="V67" i="18"/>
  <c r="X156" i="18"/>
  <c r="U158" i="18"/>
  <c r="U159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96" i="18" l="1"/>
  <c r="W97" i="18" s="1"/>
  <c r="W98" i="18" s="1"/>
  <c r="W99" i="18" s="1"/>
  <c r="W48" i="18"/>
  <c r="AB112" i="18"/>
  <c r="AC112" i="18" s="1"/>
  <c r="AB122" i="18"/>
  <c r="AC122" i="18" s="1"/>
  <c r="X88" i="18"/>
  <c r="X111" i="18"/>
  <c r="X116" i="18"/>
  <c r="X115" i="18"/>
  <c r="AE27" i="18"/>
  <c r="AB113" i="18"/>
  <c r="AC113" i="18" s="1"/>
  <c r="X82" i="18"/>
  <c r="AB105" i="18"/>
  <c r="AC105" i="18" s="1"/>
  <c r="AB107" i="18"/>
  <c r="AC107" i="18" s="1"/>
  <c r="AB106" i="18"/>
  <c r="AC106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4" i="18"/>
  <c r="AC94" i="18" s="1"/>
  <c r="V59" i="18"/>
  <c r="V160" i="18" s="1"/>
  <c r="W58" i="18"/>
  <c r="AB85" i="18"/>
  <c r="AC85" i="18" s="1"/>
  <c r="AB102" i="18"/>
  <c r="AC102" i="18" s="1"/>
  <c r="AB101" i="18"/>
  <c r="AC101" i="18" s="1"/>
  <c r="X91" i="18"/>
  <c r="X93" i="18"/>
  <c r="X92" i="18"/>
  <c r="AE25" i="18"/>
  <c r="AE18" i="18"/>
  <c r="AC18" i="18"/>
  <c r="S146" i="18"/>
  <c r="AE65" i="18"/>
  <c r="AC6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1" i="18"/>
  <c r="W161" i="18" s="1"/>
  <c r="W60" i="18"/>
  <c r="W55" i="18"/>
  <c r="W162" i="18" s="1"/>
  <c r="W57" i="18"/>
  <c r="W54" i="18"/>
  <c r="W74" i="18"/>
  <c r="W53" i="18"/>
  <c r="W75" i="18"/>
  <c r="W71" i="18"/>
  <c r="W73" i="18"/>
  <c r="W120" i="18" s="1"/>
  <c r="W45" i="18"/>
  <c r="W44" i="18"/>
  <c r="W157" i="18" s="1"/>
  <c r="W49" i="18"/>
  <c r="W50" i="18"/>
  <c r="W51" i="18"/>
  <c r="W47" i="18"/>
  <c r="AC27" i="18"/>
  <c r="Y12" i="18"/>
  <c r="Y15" i="18"/>
  <c r="Y110" i="18" s="1"/>
  <c r="Y13" i="18"/>
  <c r="Y10" i="18"/>
  <c r="Y16" i="18"/>
  <c r="Y118" i="18" s="1"/>
  <c r="Y119" i="18" s="1"/>
  <c r="Y7" i="18"/>
  <c r="Y6" i="18"/>
  <c r="AC25" i="18"/>
  <c r="AB79" i="18"/>
  <c r="AC79" i="18" s="1"/>
  <c r="Y38" i="18"/>
  <c r="Y87" i="18" s="1"/>
  <c r="X81" i="18"/>
  <c r="X80" i="18"/>
  <c r="O31" i="9"/>
  <c r="O32" i="9" s="1"/>
  <c r="X40" i="18"/>
  <c r="W70" i="18"/>
  <c r="W68" i="18"/>
  <c r="W69" i="18"/>
  <c r="W67" i="18"/>
  <c r="Y156" i="18"/>
  <c r="V158" i="18"/>
  <c r="V159" i="18"/>
  <c r="P31" i="11"/>
  <c r="N32" i="11"/>
  <c r="T19" i="9"/>
  <c r="D22" i="9"/>
  <c r="X96" i="18" l="1"/>
  <c r="X97" i="18" s="1"/>
  <c r="X98" i="18" s="1"/>
  <c r="X99" i="18" s="1"/>
  <c r="X48" i="18"/>
  <c r="Y116" i="18"/>
  <c r="Y115" i="18"/>
  <c r="Y88" i="18"/>
  <c r="Y111" i="18"/>
  <c r="Y82" i="18"/>
  <c r="W59" i="18"/>
  <c r="W160" i="18" s="1"/>
  <c r="X51" i="18"/>
  <c r="Y91" i="18"/>
  <c r="Y92" i="18"/>
  <c r="Y93" i="18"/>
  <c r="T146" i="18"/>
  <c r="R146" i="18" s="1"/>
  <c r="X53" i="18"/>
  <c r="X60" i="18"/>
  <c r="X47" i="18"/>
  <c r="X55" i="18"/>
  <c r="X162" i="18" s="1"/>
  <c r="X50" i="18"/>
  <c r="X49" i="18"/>
  <c r="X71" i="18"/>
  <c r="X73" i="18"/>
  <c r="X120" i="18" s="1"/>
  <c r="X45" i="18"/>
  <c r="X44" i="18"/>
  <c r="X157" i="18" s="1"/>
  <c r="X75" i="18"/>
  <c r="X54" i="18"/>
  <c r="X61" i="18"/>
  <c r="X161" i="18" s="1"/>
  <c r="X58" i="18"/>
  <c r="X57" i="18"/>
  <c r="X74" i="18"/>
  <c r="Z13" i="18"/>
  <c r="Z12" i="18"/>
  <c r="Z15" i="18"/>
  <c r="Z110" i="18" s="1"/>
  <c r="Z10" i="18"/>
  <c r="Z16" i="18"/>
  <c r="Z118" i="18" s="1"/>
  <c r="Z119" i="18" s="1"/>
  <c r="Z6" i="18"/>
  <c r="Z7" i="18"/>
  <c r="Z38" i="18"/>
  <c r="Z87" i="18" s="1"/>
  <c r="Y81" i="18"/>
  <c r="Y80" i="18"/>
  <c r="Y40" i="18"/>
  <c r="X70" i="18"/>
  <c r="X68" i="18"/>
  <c r="X69" i="18"/>
  <c r="X67" i="18"/>
  <c r="Z156" i="18"/>
  <c r="W158" i="18"/>
  <c r="W159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96" i="18" l="1"/>
  <c r="Y97" i="18" s="1"/>
  <c r="Y98" i="18" s="1"/>
  <c r="Y99" i="18" s="1"/>
  <c r="Y48" i="18"/>
  <c r="Z88" i="18"/>
  <c r="Z111" i="18"/>
  <c r="Z115" i="18"/>
  <c r="Z116" i="18"/>
  <c r="Z82" i="18"/>
  <c r="Z91" i="18"/>
  <c r="Z92" i="18"/>
  <c r="Z93" i="18"/>
  <c r="X59" i="18"/>
  <c r="X160" i="18" s="1"/>
  <c r="Y71" i="18"/>
  <c r="Y73" i="18"/>
  <c r="Y120" i="18" s="1"/>
  <c r="Y44" i="18"/>
  <c r="Y157" i="18" s="1"/>
  <c r="Y45" i="18"/>
  <c r="Y55" i="18"/>
  <c r="Y162" i="18" s="1"/>
  <c r="Y61" i="18"/>
  <c r="Y161" i="18" s="1"/>
  <c r="Y60" i="18"/>
  <c r="Y58" i="18"/>
  <c r="Y49" i="18"/>
  <c r="Y47" i="18"/>
  <c r="Y54" i="18"/>
  <c r="Y50" i="18"/>
  <c r="Y51" i="18"/>
  <c r="Y57" i="18"/>
  <c r="Y74" i="18"/>
  <c r="Y53" i="18"/>
  <c r="Y75" i="18"/>
  <c r="AA12" i="18"/>
  <c r="AA15" i="18"/>
  <c r="AA110" i="18" s="1"/>
  <c r="AA13" i="18"/>
  <c r="AA10" i="18"/>
  <c r="AA16" i="18"/>
  <c r="AA118" i="18" s="1"/>
  <c r="AA119" i="18" s="1"/>
  <c r="AA7" i="18"/>
  <c r="AA6" i="18"/>
  <c r="AA38" i="18"/>
  <c r="AA87" i="18" s="1"/>
  <c r="Z80" i="18"/>
  <c r="Z81" i="18"/>
  <c r="Z40" i="18"/>
  <c r="Y70" i="18"/>
  <c r="Y68" i="18"/>
  <c r="Y69" i="18"/>
  <c r="Y67" i="18"/>
  <c r="AA156" i="18"/>
  <c r="X158" i="18"/>
  <c r="X159" i="18"/>
  <c r="N34" i="11"/>
  <c r="O33" i="11"/>
  <c r="D25" i="8"/>
  <c r="D23" i="8"/>
  <c r="Z96" i="18" l="1"/>
  <c r="Z97" i="18" s="1"/>
  <c r="Z98" i="18" s="1"/>
  <c r="Z99" i="18" s="1"/>
  <c r="Z48" i="18"/>
  <c r="AA82" i="18"/>
  <c r="AA115" i="18"/>
  <c r="AA116" i="18"/>
  <c r="AA88" i="18"/>
  <c r="AA111" i="18"/>
  <c r="AA91" i="18"/>
  <c r="AA92" i="18"/>
  <c r="AA93" i="18"/>
  <c r="Y59" i="18"/>
  <c r="Y160" i="18" s="1"/>
  <c r="Z71" i="18"/>
  <c r="Z73" i="18"/>
  <c r="Z120" i="18" s="1"/>
  <c r="Z45" i="18"/>
  <c r="Z44" i="18"/>
  <c r="Z157" i="18" s="1"/>
  <c r="Z49" i="18"/>
  <c r="Z60" i="18"/>
  <c r="Z50" i="18"/>
  <c r="Z55" i="18"/>
  <c r="Z162" i="18" s="1"/>
  <c r="Z58" i="18"/>
  <c r="Z57" i="18"/>
  <c r="Z75" i="18"/>
  <c r="Z61" i="18"/>
  <c r="Z161" i="18" s="1"/>
  <c r="Z47" i="18"/>
  <c r="Z54" i="18"/>
  <c r="Z74" i="18"/>
  <c r="Z53" i="18"/>
  <c r="Z51" i="18"/>
  <c r="AB15" i="18"/>
  <c r="AB13" i="18"/>
  <c r="AE13" i="18" s="1"/>
  <c r="AB12" i="18"/>
  <c r="AB111" i="18" s="1"/>
  <c r="AC111" i="18" s="1"/>
  <c r="AB10" i="18"/>
  <c r="AB16" i="18"/>
  <c r="AB6" i="18"/>
  <c r="AE6" i="18" s="1"/>
  <c r="AB7" i="18"/>
  <c r="AE7" i="18" s="1"/>
  <c r="AB38" i="18"/>
  <c r="AB87" i="18" s="1"/>
  <c r="AC87" i="18" s="1"/>
  <c r="AA81" i="18"/>
  <c r="AA80" i="18"/>
  <c r="AA40" i="18"/>
  <c r="Z70" i="18"/>
  <c r="Z68" i="18"/>
  <c r="Z69" i="18"/>
  <c r="Z67" i="18"/>
  <c r="AB156" i="18"/>
  <c r="Y158" i="18"/>
  <c r="Y159" i="18"/>
  <c r="N35" i="11"/>
  <c r="O34" i="11"/>
  <c r="D35" i="8"/>
  <c r="E5" i="8"/>
  <c r="E18" i="8" s="1"/>
  <c r="D18" i="8"/>
  <c r="D19" i="8"/>
  <c r="D21" i="8"/>
  <c r="D20" i="8"/>
  <c r="AA96" i="18" l="1"/>
  <c r="AA97" i="18" s="1"/>
  <c r="AA98" i="18" s="1"/>
  <c r="AA99" i="18" s="1"/>
  <c r="AA48" i="18"/>
  <c r="AE16" i="18"/>
  <c r="AB118" i="18"/>
  <c r="AB116" i="18"/>
  <c r="AC116" i="18" s="1"/>
  <c r="AB115" i="18"/>
  <c r="AC115" i="18" s="1"/>
  <c r="AE15" i="18"/>
  <c r="AB110" i="18"/>
  <c r="AC110" i="18" s="1"/>
  <c r="AB82" i="18"/>
  <c r="AC82" i="18" s="1"/>
  <c r="AE10" i="18"/>
  <c r="AB91" i="18"/>
  <c r="AC91" i="18" s="1"/>
  <c r="AE12" i="18"/>
  <c r="AB88" i="18"/>
  <c r="AC88" i="18" s="1"/>
  <c r="AE38" i="18"/>
  <c r="AB92" i="18"/>
  <c r="AC92" i="18" s="1"/>
  <c r="AB93" i="18"/>
  <c r="AC93" i="18" s="1"/>
  <c r="Z59" i="18"/>
  <c r="Z160" i="18" s="1"/>
  <c r="AA71" i="18"/>
  <c r="AA73" i="18"/>
  <c r="AA120" i="18" s="1"/>
  <c r="AA44" i="18"/>
  <c r="AA157" i="18" s="1"/>
  <c r="AA45" i="18"/>
  <c r="AA53" i="18"/>
  <c r="AA61" i="18"/>
  <c r="AA161" i="18" s="1"/>
  <c r="AA47" i="18"/>
  <c r="AA55" i="18"/>
  <c r="AA162" i="18" s="1"/>
  <c r="AA58" i="18"/>
  <c r="AA74" i="18"/>
  <c r="AA49" i="18"/>
  <c r="AA50" i="18"/>
  <c r="AA51" i="18"/>
  <c r="AA54" i="18"/>
  <c r="AA75" i="18"/>
  <c r="AA57" i="18"/>
  <c r="AA60" i="18"/>
  <c r="AC15" i="18"/>
  <c r="AC13" i="18"/>
  <c r="S140" i="18"/>
  <c r="AC12" i="18"/>
  <c r="AC10" i="18"/>
  <c r="AC16" i="18"/>
  <c r="AC7" i="18"/>
  <c r="AC6" i="18"/>
  <c r="AB81" i="18"/>
  <c r="AC81" i="18" s="1"/>
  <c r="AB80" i="18"/>
  <c r="AC80" i="18" s="1"/>
  <c r="AC38" i="18"/>
  <c r="AB40" i="18"/>
  <c r="AA70" i="18"/>
  <c r="AA68" i="18"/>
  <c r="AA69" i="18"/>
  <c r="AA67" i="18"/>
  <c r="AC156" i="18"/>
  <c r="AE156" i="18" s="1"/>
  <c r="Z158" i="18"/>
  <c r="Z159" i="18"/>
  <c r="N36" i="11"/>
  <c r="O35" i="11"/>
  <c r="F5" i="8"/>
  <c r="G5" i="8" s="1"/>
  <c r="H5" i="8" s="1"/>
  <c r="I5" i="8" s="1"/>
  <c r="AB96" i="18" l="1"/>
  <c r="AB97" i="18" s="1"/>
  <c r="AB98" i="18" s="1"/>
  <c r="AB99" i="18" s="1"/>
  <c r="AB48" i="18"/>
  <c r="AC118" i="18"/>
  <c r="AB119" i="18"/>
  <c r="AC119" i="18" s="1"/>
  <c r="AE40" i="18"/>
  <c r="T140" i="18"/>
  <c r="T141" i="18" s="1"/>
  <c r="AA59" i="18"/>
  <c r="AA160" i="18" s="1"/>
  <c r="AB71" i="18"/>
  <c r="AB73" i="18"/>
  <c r="AB44" i="18"/>
  <c r="AB157" i="18" s="1"/>
  <c r="AC157" i="18" s="1"/>
  <c r="AE157" i="18" s="1"/>
  <c r="AB45" i="18"/>
  <c r="AB53" i="18"/>
  <c r="AB58" i="18"/>
  <c r="AB47" i="18"/>
  <c r="AE47" i="18" s="1"/>
  <c r="AB55" i="18"/>
  <c r="AB51" i="18"/>
  <c r="AB74" i="18"/>
  <c r="AB50" i="18"/>
  <c r="AE50" i="18" s="1"/>
  <c r="AB49" i="18"/>
  <c r="AB60" i="18"/>
  <c r="AB75" i="18"/>
  <c r="AB54" i="18"/>
  <c r="AB61" i="18"/>
  <c r="AB57" i="18"/>
  <c r="S141" i="18"/>
  <c r="AB70" i="18"/>
  <c r="AB68" i="18"/>
  <c r="AC40" i="18"/>
  <c r="AB69" i="18"/>
  <c r="AB67" i="18"/>
  <c r="AA158" i="18"/>
  <c r="AA159" i="18"/>
  <c r="N37" i="11"/>
  <c r="O36" i="11"/>
  <c r="F18" i="8"/>
  <c r="G18" i="8"/>
  <c r="AE48" i="18" l="1"/>
  <c r="AC48" i="18"/>
  <c r="AE73" i="18"/>
  <c r="AB120" i="18"/>
  <c r="AC120" i="18" s="1"/>
  <c r="AC96" i="18"/>
  <c r="R140" i="18"/>
  <c r="R141" i="18"/>
  <c r="AC74" i="18"/>
  <c r="AE74" i="18"/>
  <c r="AC45" i="18"/>
  <c r="AE45" i="18"/>
  <c r="S137" i="18"/>
  <c r="AE60" i="18"/>
  <c r="AB161" i="18"/>
  <c r="AC161" i="18" s="1"/>
  <c r="AE161" i="18" s="1"/>
  <c r="AE61" i="18"/>
  <c r="AC44" i="18"/>
  <c r="AE44" i="18"/>
  <c r="AC58" i="18"/>
  <c r="AE58" i="18"/>
  <c r="S131" i="18"/>
  <c r="AE57" i="18"/>
  <c r="S130" i="18"/>
  <c r="AE51" i="18"/>
  <c r="AB162" i="18"/>
  <c r="AC162" i="18" s="1"/>
  <c r="AE162" i="18" s="1"/>
  <c r="AE55" i="18"/>
  <c r="AC54" i="18"/>
  <c r="AE54" i="18"/>
  <c r="S128" i="18"/>
  <c r="AE49" i="18"/>
  <c r="S133" i="18"/>
  <c r="AE53" i="18"/>
  <c r="AC75" i="18"/>
  <c r="AE75" i="18"/>
  <c r="S153" i="18"/>
  <c r="AE71" i="18"/>
  <c r="S151" i="18"/>
  <c r="AE70" i="18"/>
  <c r="S150" i="18"/>
  <c r="AE69" i="18"/>
  <c r="S148" i="18"/>
  <c r="AE67" i="18"/>
  <c r="S149" i="18"/>
  <c r="AE68" i="18"/>
  <c r="AC60" i="18"/>
  <c r="S134" i="18"/>
  <c r="AC49" i="18"/>
  <c r="AC51" i="18"/>
  <c r="T130" i="18" s="1"/>
  <c r="AC53" i="18"/>
  <c r="S135" i="18"/>
  <c r="AC71" i="18"/>
  <c r="AC57" i="18"/>
  <c r="S138" i="18"/>
  <c r="AB59" i="18"/>
  <c r="AC55" i="18"/>
  <c r="AC61" i="18"/>
  <c r="AC73" i="18"/>
  <c r="AC69" i="18"/>
  <c r="AC68" i="18"/>
  <c r="AC67" i="18"/>
  <c r="AC70" i="18"/>
  <c r="S127" i="18"/>
  <c r="AC47" i="18"/>
  <c r="T127" i="18" s="1"/>
  <c r="AB158" i="18"/>
  <c r="AC50" i="18"/>
  <c r="T129" i="18" s="1"/>
  <c r="AB159" i="18"/>
  <c r="S129" i="18"/>
  <c r="N38" i="11"/>
  <c r="O37" i="11"/>
  <c r="H18" i="8"/>
  <c r="P171" i="18" l="1"/>
  <c r="M171" i="18"/>
  <c r="AC97" i="18"/>
  <c r="T138" i="18"/>
  <c r="R138" i="18" s="1"/>
  <c r="T128" i="18"/>
  <c r="R128" i="18" s="1"/>
  <c r="T137" i="18"/>
  <c r="R137" i="18" s="1"/>
  <c r="T133" i="18"/>
  <c r="R133" i="18" s="1"/>
  <c r="T135" i="18"/>
  <c r="R135" i="18" s="1"/>
  <c r="T153" i="18"/>
  <c r="R153" i="18" s="1"/>
  <c r="T150" i="18"/>
  <c r="R150" i="18" s="1"/>
  <c r="AC59" i="18"/>
  <c r="AE59" i="18"/>
  <c r="T131" i="18"/>
  <c r="R131" i="18" s="1"/>
  <c r="R130" i="18"/>
  <c r="T134" i="18"/>
  <c r="R134" i="18" s="1"/>
  <c r="T148" i="18"/>
  <c r="R148" i="18" s="1"/>
  <c r="AB160" i="18"/>
  <c r="AC160" i="18" s="1"/>
  <c r="AE160" i="18" s="1"/>
  <c r="T151" i="18"/>
  <c r="R151" i="18" s="1"/>
  <c r="T149" i="18"/>
  <c r="R149" i="18" s="1"/>
  <c r="R127" i="18"/>
  <c r="P172" i="18" s="1"/>
  <c r="P173" i="18" s="1"/>
  <c r="AC159" i="18"/>
  <c r="AE159" i="18" s="1"/>
  <c r="AC158" i="18"/>
  <c r="AE158" i="18" s="1"/>
  <c r="R129" i="18"/>
  <c r="N39" i="11"/>
  <c r="O38" i="11"/>
  <c r="I18" i="8"/>
  <c r="P170" i="18" l="1"/>
  <c r="M170" i="18"/>
  <c r="P169" i="18"/>
  <c r="M169" i="18"/>
  <c r="AC99" i="18"/>
  <c r="AC98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<sst xmlns="http://schemas.openxmlformats.org/spreadsheetml/2006/main" count="573" uniqueCount="395">
  <si>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</si>
  <si>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</si>
  <si>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</si>
  <si>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</si>
  <si>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</si>
  <si>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</si>
  <si>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</si>
  <si>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</si>
  <si>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</si>
  <si>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</si>
  <si>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</si>
  <si>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</si>
  <si>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</si>
  <si>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</si>
  <si>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</si>
  <si>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</si>
  <si>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</si>
  <si>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</si>
  <si>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</si>
  <si>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</si>
  <si>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</si>
  <si>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</si>
  <si>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</si>
  <si>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</si>
  <si>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</si>
  <si>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</si>
  <si>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</si>
  <si>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</si>
  <si>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</si>
  <si>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</si>
  <si>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</si>
  <si>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</si>
  <si>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</si>
  <si>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</si>
  <si>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</si>
  <si>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</si>
  <si>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</si>
  <si>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</si>
  <si>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</si>
  <si>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</si>
  <si>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</si>
  <si>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</si>
  <si>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</si>
  <si>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</si>
  <si>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</si>
  <si>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</si>
  <si>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</si>
  <si>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</si>
  <si>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</si>
  <si>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</si>
  <si>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</si>
  <si>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</si>
  <si>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</si>
  <si>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</si>
  <si>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</si>
  <si>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</si>
  <si>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</si>
  <si>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</si>
  <si>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</si>
  <si>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</si>
  <si>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</si>
  <si>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</si>
  <si>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</si>
  <si>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</si>
  <si>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</si>
  <si>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</si>
  <si>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</si>
  <si>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</si>
  <si>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</si>
  <si>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</si>
  <si>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</si>
  <si>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</si>
  <si>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</si>
  <si>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</si>
  <si>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</si>
  <si>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</si>
  <si>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</si>
  <si>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</si>
  <si>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</si>
  <si>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</si>
  <si>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</si>
  <si>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</si>
  <si>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</si>
  <si>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</si>
  <si>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</si>
  <si>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</si>
  <si>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</si>
  <si>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</si>
  <si>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</si>
  <si>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</si>
  <si>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</si>
  <si>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</si>
  <si>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</si>
  <si>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</si>
  <si>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</si>
  <si>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</si>
  <si>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</si>
  <si>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</si>
  <si>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</si>
  <si>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</si>
  <si>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</si>
  <si>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</si>
  <si>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</si>
  <si>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</si>
  <si>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</si>
  <si>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</si>
  <si>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</si>
  <si>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</si>
  <si>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</si>
  <si>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</si>
  <si>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</si>
  <si>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</si>
  <si>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</si>
  <si>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</si>
  <si>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</si>
  <si>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</si>
  <si>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</si>
  <si>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</si>
  <si>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</si>
  <si>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</si>
  <si>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</si>
  <si>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</si>
  <si>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</si>
  <si>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</si>
  <si>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</si>
  <si>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</si>
  <si>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</si>
  <si>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</si>
  <si>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</si>
  <si>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</si>
  <si>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</si>
  <si>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</si>
  <si>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</si>
  <si>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</si>
  <si>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</si>
  <si>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</si>
  <si>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</si>
  <si>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</si>
  <si>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</si>
  <si>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</si>
  <si>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</si>
  <si>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</si>
  <si>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</si>
  <si>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</si>
  <si>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</si>
  <si>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</si>
  <si>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</si>
  <si>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</si>
  <si>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</si>
  <si>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</si>
  <si>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</si>
  <si>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</si>
  <si>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</si>
  <si>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</si>
  <si>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</si>
  <si>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</si>
  <si>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</si>
  <si>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</si>
  <si>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</si>
  <si>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</si>
  <si>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</si>
  <si>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</si>
  <si>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</si>
  <si>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</si>
  <si>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</si>
  <si>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</si>
  <si>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</si>
  <si>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</si>
  <si>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</si>
  <si>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</si>
  <si>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</si>
  <si>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</si>
  <si>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</si>
  <si>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</si>
  <si>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</si>
  <si>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</si>
  <si>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</si>
  <si>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</si>
  <si>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</si>
  <si>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</si>
  <si>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</si>
  <si>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</si>
  <si>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</si>
  <si>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</si>
  <si>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</si>
  <si>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</si>
  <si>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</si>
  <si>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</si>
  <si>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</si>
  <si>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</si>
  <si>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</si>
  <si>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</si>
  <si>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</si>
  <si>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</si>
  <si>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</si>
  <si>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</si>
  <si>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</si>
  <si>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</si>
  <si>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</si>
  <si>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</si>
  <si>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</si>
  <si>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</si>
  <si>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</si>
  <si>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</si>
  <si>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</si>
  <si>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</si>
  <si>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</si>
  <si>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</si>
  <si>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</si>
  <si>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</si>
  <si>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</si>
  <si>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</si>
  <si>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</si>
  <si>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</si>
  <si>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</si>
  <si>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</si>
  <si>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</si>
  <si>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</si>
  <si>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</si>
  <si>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</si>
  <si>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</si>
  <si>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</si>
  <si>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</si>
  <si>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</si>
  <si>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</si>
  <si>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</si>
  <si>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</si>
  <si>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</si>
  <si>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</si>
  <si>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</si>
  <si>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</si>
  <si>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</si>
  <si>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</si>
  <si>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</si>
  <si>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</si>
  <si>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</si>
  <si>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</si>
  <si>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</si>
  <si>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</si>
  <si>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</si>
  <si>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</si>
  <si>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</si>
  <si>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</si>
  <si>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</si>
  <si>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</si>
  <si>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</si>
  <si>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</si>
  <si>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</si>
  <si>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</si>
  <si>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</si>
  <si>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</si>
  <si>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</si>
  <si>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</si>
  <si>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</si>
  <si>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</si>
  <si>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</si>
  <si>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</si>
  <si>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</si>
  <si>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</si>
  <si>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</si>
  <si>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</si>
  <si>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</si>
  <si>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</si>
  <si>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</si>
  <si>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</si>
  <si>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</si>
  <si>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</si>
  <si>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</si>
  <si>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</si>
  <si>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</si>
  <si>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</si>
  <si>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</si>
  <si>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</si>
  <si>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</si>
  <si>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</si>
  <si>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</si>
  <si>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</si>
  <si>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</si>
  <si>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</si>
  <si>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</si>
  <si>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</si>
  <si>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</si>
  <si>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</si>
  <si>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</si>
  <si>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</si>
  <si>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</si>
  <si>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</si>
  <si>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</si>
  <si>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</si>
  <si>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</si>
  <si>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</si>
  <si>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</si>
  <si>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</si>
  <si>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</si>
  <si>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</si>
  <si>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</si>
  <si>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</si>
  <si>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</si>
  <si>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</si>
  <si>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</si>
  <si>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</si>
  <si>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</si>
  <si>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</si>
  <si>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</si>
  <si>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</si>
  <si>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</si>
  <si>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</si>
  <si>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</si>
  <si>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</si>
  <si>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</si>
  <si>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</si>
  <si>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</si>
  <si>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</si>
  <si>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</si>
  <si>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</si>
  <si>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</si>
  <si>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</si>
  <si>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</si>
  <si>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</si>
  <si>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</si>
  <si>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</si>
  <si>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</si>
  <si>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</si>
  <si>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</si>
  <si>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</si>
  <si>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</si>
  <si>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</si>
  <si>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</si>
  <si>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</si>
  <si>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</si>
  <si>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</si>
  <si>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</si>
  <si>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</si>
  <si>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</si>
  <si>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</si>
  <si>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</si>
  <si>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</si>
  <si>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</si>
  <si>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</si>
  <si>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</si>
  <si>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</si>
  <si>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</si>
  <si>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</si>
  <si>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</si>
  <si>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</si>
  <si>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</si>
  <si>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</si>
  <si>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</si>
  <si>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</si>
  <si>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</si>
  <si>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</si>
  <si>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</si>
  <si>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</si>
  <si>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</si>
  <si>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</si>
  <si>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</si>
  <si>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</si>
  <si>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</si>
  <si>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</si>
  <si>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</si>
  <si>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</si>
  <si>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</si>
  <si>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</si>
  <si>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</si>
  <si>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</si>
  <si>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</si>
  <si>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</si>
  <si>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</si>
  <si>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</si>
  <si>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</si>
  <si>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</si>
  <si>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</si>
  <si>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</si>
  <si>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</si>
  <si>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</si>
  <si>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</si>
  <si>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</si>
  <si>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</si>
  <si>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</si>
  <si>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</si>
  <si>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</si>
  <si>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</si>
  <si>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</si>
  <si>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</si>
  <si>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</si>
  <si>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</si>
  <si>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</si>
  <si>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</si>
  <si>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</si>
  <si>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</si>
  <si>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</si>
  <si>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Overall gains</t>
  </si>
  <si>
    <t>Total Gain</t>
  </si>
  <si>
    <t>Multiplication - x</t>
  </si>
  <si>
    <t>R&amp;D - Capex + Opex /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</si>
</sst>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#,##0.0_ ;[Red]\-#,##0.0\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177" fontId="8" fillId="5" borderId="1" xfId="2" applyNumberFormat="1" applyFont="1" applyFill="1" applyBorder="1"/>
    <xf numFmtId="0" fontId="0" fillId="0" borderId="1" xfId="0" applyBorder="1"/>
    <xf numFmtId="9" fontId="6" fillId="0" borderId="1" xfId="1" applyNumberFormat="1" applyFont="1" applyBorder="1"/>
    <xf numFmtId="172" fontId="6" fillId="0" borderId="1" xfId="0" applyNumberFormat="1" applyFont="1" applyBorder="1"/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54400"/>
        <c:axId val="108055936"/>
      </c:lineChart>
      <c:catAx>
        <c:axId val="108054400"/>
        <c:scaling>
          <c:orientation val="minMax"/>
        </c:scaling>
        <c:delete val="0"/>
        <c:axPos val="b"/>
        <c:majorTickMark val="out"/>
        <c:minorTickMark val="none"/>
        <c:tickLblPos val="nextTo"/>
        <c:crossAx val="108055936"/>
        <c:crosses val="autoZero"/>
        <c:auto val="1"/>
        <c:lblAlgn val="ctr"/>
        <c:lblOffset val="100"/>
        <c:noMultiLvlLbl val="0"/>
      </c:catAx>
      <c:valAx>
        <c:axId val="108055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05440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G200"/>
  <sheetViews>
    <sheetView tabSelected="1" zoomScale="80" zoomScaleNormal="80" workbookViewId="0">
      <pane xSplit="2" ySplit="3" topLeftCell="C127" activePane="bottomRight" state="frozen"/>
      <selection pane="topRight" activeCell="C1" sqref="C1"/>
      <selection pane="bottomLeft" activeCell="A5" sqref="A5"/>
      <selection pane="bottomRight" activeCell="O133" sqref="O133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1" width="10.140625" style="104" bestFit="1" customWidth="1"/>
    <col min="12" max="12" width="13.85546875" style="104" customWidth="1"/>
    <col min="13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</row>
    <row r="2" spans="2:31" x14ac:dyDescent="0.2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87" t="s">
        <v>292</v>
      </c>
      <c r="AE2" s="188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9" t="s">
        <v>293</v>
      </c>
      <c r="AE3" s="190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>
        <v>4559</v>
      </c>
      <c r="G6" s="147">
        <v>5051</v>
      </c>
      <c r="H6" s="147">
        <v>5782</v>
      </c>
      <c r="I6" s="147">
        <v>7056</v>
      </c>
      <c r="J6" s="147">
        <v>8543</v>
      </c>
      <c r="K6" s="147">
        <v>10284</v>
      </c>
      <c r="L6" s="147">
        <v>12433.22</v>
      </c>
      <c r="M6" s="147">
        <v>15406.46</v>
      </c>
      <c r="N6" s="147">
        <v>19665.560000000001</v>
      </c>
      <c r="O6" s="147">
        <v>24913.54</v>
      </c>
      <c r="P6" s="147">
        <v>30043.200000000001</v>
      </c>
      <c r="Q6" s="118">
        <f>((P6/G6)^(1/($H$2-$H$1) ))-1</f>
        <v>0.2191046282636655</v>
      </c>
      <c r="R6" s="31">
        <f>$L$2</f>
        <v>0.12</v>
      </c>
      <c r="S6" s="154">
        <f>P6*(1+$R6)</f>
        <v>33648.384000000005</v>
      </c>
      <c r="T6" s="154">
        <f>S6*(1+$R6)</f>
        <v>37686.190080000008</v>
      </c>
      <c r="U6" s="154">
        <f t="shared" ref="U6:AB6" si="0">T6*(1+$R6)</f>
        <v>42208.532889600014</v>
      </c>
      <c r="V6" s="154">
        <f t="shared" si="0"/>
        <v>47273.556836352021</v>
      </c>
      <c r="W6" s="154">
        <f t="shared" si="0"/>
        <v>52946.383656714272</v>
      </c>
      <c r="X6" s="154">
        <f t="shared" si="0"/>
        <v>59299.949695519987</v>
      </c>
      <c r="Y6" s="154">
        <f t="shared" si="0"/>
        <v>66415.943658982389</v>
      </c>
      <c r="Z6" s="154">
        <f t="shared" si="0"/>
        <v>74385.856898060287</v>
      </c>
      <c r="AA6" s="154">
        <f t="shared" si="0"/>
        <v>83312.159725827529</v>
      </c>
      <c r="AB6" s="154">
        <f t="shared" si="0"/>
        <v>93309.618892926839</v>
      </c>
      <c r="AC6" s="138">
        <f>((AB6/G6)^(1/($AB$3-$H$1) ))-1</f>
        <v>0.16589778216916962</v>
      </c>
      <c r="AD6" s="31">
        <f>$L$1</f>
        <v>0.08</v>
      </c>
      <c r="AE6" s="146">
        <f t="shared" ref="AE6:AE41" si="1">(AB6*(1+AD6))/($C$1-AD6)</f>
        <v>719817.06003114989</v>
      </c>
    </row>
    <row r="7" spans="2:31" x14ac:dyDescent="0.2">
      <c r="B7" s="20" t="s">
        <v>240</v>
      </c>
      <c r="C7" s="141"/>
      <c r="D7" s="141"/>
      <c r="E7" s="147"/>
      <c r="F7" s="147">
        <v>4803</v>
      </c>
      <c r="G7" s="147">
        <v>5295</v>
      </c>
      <c r="H7" s="147">
        <v>6026</v>
      </c>
      <c r="I7" s="147">
        <v>7301</v>
      </c>
      <c r="J7" s="147">
        <v>8788</v>
      </c>
      <c r="K7" s="147">
        <v>10774</v>
      </c>
      <c r="L7" s="147">
        <v>12922.74</v>
      </c>
      <c r="M7" s="147">
        <v>15895.98</v>
      </c>
      <c r="N7" s="147">
        <v>20155.080000000002</v>
      </c>
      <c r="O7" s="147">
        <v>25403.06</v>
      </c>
      <c r="P7" s="147">
        <v>30532.7</v>
      </c>
      <c r="Q7" s="118">
        <f>((P7/G7)^(1/($H$2-$H$1) ))-1</f>
        <v>0.2149107102652168</v>
      </c>
      <c r="R7" s="31">
        <f>$L$2</f>
        <v>0.12</v>
      </c>
      <c r="S7" s="154">
        <f t="shared" ref="S7:S16" si="2">P7*(1+$R7)</f>
        <v>34196.624000000003</v>
      </c>
      <c r="T7" s="154">
        <f t="shared" ref="T7:AB7" si="3">S7*(1+$R7)</f>
        <v>38300.218880000008</v>
      </c>
      <c r="U7" s="154">
        <f t="shared" si="3"/>
        <v>42896.245145600013</v>
      </c>
      <c r="V7" s="154">
        <f t="shared" si="3"/>
        <v>48043.794563072021</v>
      </c>
      <c r="W7" s="154">
        <f t="shared" si="3"/>
        <v>53809.049910640671</v>
      </c>
      <c r="X7" s="154">
        <f t="shared" si="3"/>
        <v>60266.135899917557</v>
      </c>
      <c r="Y7" s="154">
        <f t="shared" si="3"/>
        <v>67498.072207907666</v>
      </c>
      <c r="Z7" s="154">
        <f t="shared" si="3"/>
        <v>75597.840872856599</v>
      </c>
      <c r="AA7" s="154">
        <f t="shared" si="3"/>
        <v>84669.581777599393</v>
      </c>
      <c r="AB7" s="154">
        <f t="shared" si="3"/>
        <v>94829.931590911336</v>
      </c>
      <c r="AC7" s="138">
        <f>((AB7/G7)^(1/($AB$3-$H$1) ))-1</f>
        <v>0.16399616968539887</v>
      </c>
      <c r="AD7" s="31">
        <f>$L$1</f>
        <v>0.08</v>
      </c>
      <c r="AE7" s="146">
        <f t="shared" si="1"/>
        <v>731545.18655845884</v>
      </c>
    </row>
    <row r="8" spans="2:31" x14ac:dyDescent="0.2">
      <c r="B8" s="20"/>
      <c r="C8" s="141"/>
      <c r="D8" s="141"/>
      <c r="E8" s="147"/>
      <c r="F8" s="147"/>
      <c r="G8" s="148">
        <f>(G7-F7)/G7</f>
        <v>9.2917847025495756E-2</v>
      </c>
      <c r="H8" s="151">
        <f>(H7-G7)/H7</f>
        <v>0.12130766677729837</v>
      </c>
      <c r="I8" s="151">
        <f t="shared" ref="I8:P8" si="4">(I7-H7)/I7</f>
        <v>0.17463361183399534</v>
      </c>
      <c r="J8" s="151">
        <f t="shared" si="4"/>
        <v>0.16920801092398727</v>
      </c>
      <c r="K8" s="151">
        <f t="shared" si="4"/>
        <v>0.18433265268238352</v>
      </c>
      <c r="L8" s="151">
        <f t="shared" si="4"/>
        <v>0.16627588266884577</v>
      </c>
      <c r="M8" s="151">
        <f t="shared" si="4"/>
        <v>0.18704351666270339</v>
      </c>
      <c r="N8" s="151">
        <f t="shared" si="4"/>
        <v>0.21131645222941323</v>
      </c>
      <c r="O8" s="151">
        <f t="shared" si="4"/>
        <v>0.20658849760619388</v>
      </c>
      <c r="P8" s="151">
        <f t="shared" si="4"/>
        <v>0.16800479485928199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>
        <v>4094</v>
      </c>
      <c r="G9" s="147">
        <v>5339</v>
      </c>
      <c r="H9" s="147">
        <v>7248</v>
      </c>
      <c r="I9" s="147">
        <v>8905</v>
      </c>
      <c r="J9" s="147">
        <v>11957</v>
      </c>
      <c r="K9" s="147">
        <v>16632</v>
      </c>
      <c r="L9" s="147">
        <v>28622.45</v>
      </c>
      <c r="M9" s="147">
        <v>32730.02</v>
      </c>
      <c r="N9" s="147">
        <v>39311.33</v>
      </c>
      <c r="O9" s="147">
        <v>41653.43</v>
      </c>
      <c r="P9" s="147">
        <v>28208.3</v>
      </c>
      <c r="Q9" s="118">
        <f t="shared" ref="Q9:Q16" si="5">((P9/G9)^(1/($H$2-$H$1) ))-1</f>
        <v>0.20316200935132778</v>
      </c>
      <c r="R9" s="31">
        <f t="shared" ref="R9:R38" si="6">$L$2</f>
        <v>0.12</v>
      </c>
      <c r="S9" s="154">
        <f t="shared" ref="S9" si="7">P9*(1+$R9)</f>
        <v>31593.296000000002</v>
      </c>
      <c r="T9" s="154">
        <f t="shared" ref="T9" si="8">S9*(1+$R9)</f>
        <v>35384.491520000003</v>
      </c>
      <c r="U9" s="154">
        <f t="shared" ref="U9" si="9">T9*(1+$R9)</f>
        <v>39630.63050240001</v>
      </c>
      <c r="V9" s="154">
        <f t="shared" ref="V9" si="10">U9*(1+$R9)</f>
        <v>44386.306162688015</v>
      </c>
      <c r="W9" s="154">
        <f t="shared" ref="W9" si="11">V9*(1+$R9)</f>
        <v>49712.662902210584</v>
      </c>
      <c r="X9" s="154">
        <f t="shared" ref="X9" si="12">W9*(1+$R9)</f>
        <v>55678.182450475862</v>
      </c>
      <c r="Y9" s="154">
        <f t="shared" ref="Y9" si="13">X9*(1+$R9)</f>
        <v>62359.56434453297</v>
      </c>
      <c r="Z9" s="154">
        <f t="shared" ref="Z9" si="14">Y9*(1+$R9)</f>
        <v>69842.712065876927</v>
      </c>
      <c r="AA9" s="154">
        <f t="shared" ref="AA9" si="15">Z9*(1+$R9)</f>
        <v>78223.837513782171</v>
      </c>
      <c r="AB9" s="154">
        <f t="shared" ref="AB9" si="16">AA9*(1+$R9)</f>
        <v>87610.698015436035</v>
      </c>
      <c r="AC9" s="138">
        <f>((AB9/G9)^(1/($AB$3-$H$1) ))-1</f>
        <v>0.15865058500121632</v>
      </c>
      <c r="AD9" s="31">
        <f t="shared" ref="AD9:AD74" si="17">$L$1</f>
        <v>0.08</v>
      </c>
      <c r="AE9" s="146">
        <f t="shared" si="1"/>
        <v>675853.95611907798</v>
      </c>
    </row>
    <row r="10" spans="2:31" x14ac:dyDescent="0.2">
      <c r="B10" s="20" t="s">
        <v>4</v>
      </c>
      <c r="C10" s="141"/>
      <c r="D10" s="141"/>
      <c r="E10" s="147"/>
      <c r="F10" s="147">
        <v>531</v>
      </c>
      <c r="G10" s="147">
        <v>540</v>
      </c>
      <c r="H10" s="147">
        <v>536</v>
      </c>
      <c r="I10" s="147">
        <v>558</v>
      </c>
      <c r="J10" s="147">
        <v>89</v>
      </c>
      <c r="K10" s="147">
        <v>95</v>
      </c>
      <c r="L10" s="147">
        <v>167</v>
      </c>
      <c r="M10" s="147">
        <v>148</v>
      </c>
      <c r="N10" s="147">
        <v>270</v>
      </c>
      <c r="O10" s="147">
        <v>369</v>
      </c>
      <c r="P10" s="147">
        <v>1233</v>
      </c>
      <c r="Q10" s="118">
        <f t="shared" si="5"/>
        <v>9.6076925687655246E-2</v>
      </c>
      <c r="R10" s="31">
        <f t="shared" si="6"/>
        <v>0.12</v>
      </c>
      <c r="S10" s="154">
        <f t="shared" si="2"/>
        <v>1380.96</v>
      </c>
      <c r="T10" s="154">
        <f t="shared" ref="T10:AB10" si="18">S10*(1+$R10)</f>
        <v>1546.6752000000001</v>
      </c>
      <c r="U10" s="154">
        <f t="shared" si="18"/>
        <v>1732.2762240000004</v>
      </c>
      <c r="V10" s="154">
        <f t="shared" si="18"/>
        <v>1940.1493708800006</v>
      </c>
      <c r="W10" s="154">
        <f t="shared" si="18"/>
        <v>2172.9672953856007</v>
      </c>
      <c r="X10" s="154">
        <f t="shared" si="18"/>
        <v>2433.7233708318731</v>
      </c>
      <c r="Y10" s="154">
        <f t="shared" si="18"/>
        <v>2725.7701753316983</v>
      </c>
      <c r="Z10" s="154">
        <f t="shared" si="18"/>
        <v>3052.8625963715021</v>
      </c>
      <c r="AA10" s="154">
        <f t="shared" si="18"/>
        <v>3419.2061079360828</v>
      </c>
      <c r="AB10" s="154">
        <f t="shared" si="18"/>
        <v>3829.510840888413</v>
      </c>
      <c r="AC10" s="138">
        <f t="shared" ref="AC10:AC40" si="19">((AB10/G10)^(1/($AB$3-$H$1) ))-1</f>
        <v>0.1086036183951018</v>
      </c>
      <c r="AD10" s="31">
        <f t="shared" si="17"/>
        <v>0.08</v>
      </c>
      <c r="AE10" s="146">
        <f t="shared" si="1"/>
        <v>29541.940772567756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1.6666666666666666E-2</v>
      </c>
      <c r="H11" s="148">
        <f t="shared" ref="H11:P11" si="20">(H10-G10)/H10</f>
        <v>-7.462686567164179E-3</v>
      </c>
      <c r="I11" s="148">
        <f t="shared" si="20"/>
        <v>3.9426523297491037E-2</v>
      </c>
      <c r="J11" s="148">
        <f t="shared" si="20"/>
        <v>-5.2696629213483144</v>
      </c>
      <c r="K11" s="148">
        <f t="shared" si="20"/>
        <v>6.3157894736842107E-2</v>
      </c>
      <c r="L11" s="148">
        <f t="shared" si="20"/>
        <v>0.43113772455089822</v>
      </c>
      <c r="M11" s="148">
        <f t="shared" si="20"/>
        <v>-0.12837837837837837</v>
      </c>
      <c r="N11" s="148">
        <f t="shared" si="20"/>
        <v>0.45185185185185184</v>
      </c>
      <c r="O11" s="148">
        <f t="shared" si="20"/>
        <v>0.26829268292682928</v>
      </c>
      <c r="P11" s="148">
        <f t="shared" si="20"/>
        <v>0.7007299270072993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 x14ac:dyDescent="0.2">
      <c r="B12" s="20" t="s">
        <v>2</v>
      </c>
      <c r="C12" s="141"/>
      <c r="D12" s="141"/>
      <c r="E12" s="147"/>
      <c r="F12" s="147">
        <f>1119+201</f>
        <v>1320</v>
      </c>
      <c r="G12" s="147">
        <f>1504+1155</f>
        <v>2659</v>
      </c>
      <c r="H12" s="147">
        <f>1392+1785</f>
        <v>3177</v>
      </c>
      <c r="I12" s="147">
        <f>1483+2650</f>
        <v>4133</v>
      </c>
      <c r="J12" s="147">
        <f>2068+3740</f>
        <v>5808</v>
      </c>
      <c r="K12" s="147">
        <f>1511+6875</f>
        <v>8386</v>
      </c>
      <c r="L12" s="147">
        <f>1956+8373</f>
        <v>10329</v>
      </c>
      <c r="M12" s="147">
        <f>889+8967</f>
        <v>9856</v>
      </c>
      <c r="N12" s="147">
        <f>1449+8256</f>
        <v>9705</v>
      </c>
      <c r="O12" s="147">
        <f>6734</f>
        <v>6734</v>
      </c>
      <c r="P12" s="147">
        <f>7845.1</f>
        <v>7845.1</v>
      </c>
      <c r="Q12" s="118">
        <f t="shared" si="5"/>
        <v>0.12773979328944707</v>
      </c>
      <c r="R12" s="31">
        <f t="shared" si="6"/>
        <v>0.12</v>
      </c>
      <c r="S12" s="154">
        <f t="shared" si="2"/>
        <v>8786.5120000000006</v>
      </c>
      <c r="T12" s="154">
        <f t="shared" ref="T12:AB12" si="21">S12*(1+$R12)</f>
        <v>9840.8934400000016</v>
      </c>
      <c r="U12" s="154">
        <f t="shared" si="21"/>
        <v>11021.800652800002</v>
      </c>
      <c r="V12" s="154">
        <f t="shared" si="21"/>
        <v>12344.416731136003</v>
      </c>
      <c r="W12" s="154">
        <f t="shared" si="21"/>
        <v>13825.746738872325</v>
      </c>
      <c r="X12" s="154">
        <f t="shared" si="21"/>
        <v>15484.836347537006</v>
      </c>
      <c r="Y12" s="154">
        <f t="shared" si="21"/>
        <v>17343.016709241449</v>
      </c>
      <c r="Z12" s="154">
        <f t="shared" si="21"/>
        <v>19424.178714350423</v>
      </c>
      <c r="AA12" s="154">
        <f t="shared" si="21"/>
        <v>21755.080160072474</v>
      </c>
      <c r="AB12" s="154">
        <f t="shared" si="21"/>
        <v>24365.689779281172</v>
      </c>
      <c r="AC12" s="138">
        <f t="shared" si="19"/>
        <v>0.12365957397453076</v>
      </c>
      <c r="AD12" s="31">
        <f t="shared" si="17"/>
        <v>0.08</v>
      </c>
      <c r="AE12" s="146">
        <f t="shared" si="1"/>
        <v>187963.89258302617</v>
      </c>
    </row>
    <row r="13" spans="2:31" x14ac:dyDescent="0.2">
      <c r="B13" s="20" t="s">
        <v>218</v>
      </c>
      <c r="C13" s="141"/>
      <c r="D13" s="141"/>
      <c r="E13" s="147"/>
      <c r="F13" s="147">
        <v>10.33</v>
      </c>
      <c r="G13" s="147">
        <v>29</v>
      </c>
      <c r="H13" s="147">
        <v>9</v>
      </c>
      <c r="I13" s="147">
        <v>8</v>
      </c>
      <c r="J13" s="147">
        <v>8</v>
      </c>
      <c r="K13" s="147">
        <v>8.2899999999999991</v>
      </c>
      <c r="L13" s="147">
        <v>5.94</v>
      </c>
      <c r="M13" s="147">
        <v>5.94</v>
      </c>
      <c r="N13" s="147">
        <v>5.94</v>
      </c>
      <c r="O13" s="147">
        <v>5.94</v>
      </c>
      <c r="P13" s="147">
        <v>5.94</v>
      </c>
      <c r="Q13" s="118">
        <f t="shared" si="5"/>
        <v>-0.16152985166567724</v>
      </c>
      <c r="R13" s="31">
        <f t="shared" si="6"/>
        <v>0.12</v>
      </c>
      <c r="S13" s="154">
        <f t="shared" si="2"/>
        <v>6.6528000000000009</v>
      </c>
      <c r="T13" s="154">
        <f t="shared" ref="T13:AB13" si="22">S13*(1+$R13)</f>
        <v>7.4511360000000018</v>
      </c>
      <c r="U13" s="154">
        <f t="shared" si="22"/>
        <v>8.345272320000003</v>
      </c>
      <c r="V13" s="154">
        <f t="shared" si="22"/>
        <v>9.3467049984000035</v>
      </c>
      <c r="W13" s="154">
        <f t="shared" si="22"/>
        <v>10.468309598208005</v>
      </c>
      <c r="X13" s="154">
        <f t="shared" si="22"/>
        <v>11.724506749992967</v>
      </c>
      <c r="Y13" s="154">
        <f t="shared" si="22"/>
        <v>13.131447559992125</v>
      </c>
      <c r="Z13" s="154">
        <f t="shared" si="22"/>
        <v>14.707221267191182</v>
      </c>
      <c r="AA13" s="154">
        <f t="shared" si="22"/>
        <v>16.472087819254124</v>
      </c>
      <c r="AB13" s="154">
        <f t="shared" si="22"/>
        <v>18.448738357564622</v>
      </c>
      <c r="AC13" s="138">
        <f t="shared" si="19"/>
        <v>-2.3524144892286603E-2</v>
      </c>
      <c r="AD13" s="31">
        <f t="shared" si="17"/>
        <v>0.08</v>
      </c>
      <c r="AE13" s="146">
        <f t="shared" si="1"/>
        <v>142.31883875835564</v>
      </c>
    </row>
    <row r="14" spans="2:31" x14ac:dyDescent="0.2">
      <c r="B14" s="20" t="s">
        <v>374</v>
      </c>
      <c r="C14" s="141"/>
      <c r="D14" s="141"/>
      <c r="E14" s="147"/>
      <c r="F14" s="147"/>
      <c r="G14" s="147">
        <v>2103.88</v>
      </c>
      <c r="H14" s="147">
        <v>2916.11</v>
      </c>
      <c r="I14" s="147">
        <v>3744.5</v>
      </c>
      <c r="J14" s="147">
        <v>4217</v>
      </c>
      <c r="K14" s="147">
        <v>5736</v>
      </c>
      <c r="L14" s="147">
        <v>7891</v>
      </c>
      <c r="M14" s="147">
        <v>9283</v>
      </c>
      <c r="N14" s="147">
        <v>11017</v>
      </c>
      <c r="O14" s="147">
        <v>13525</v>
      </c>
      <c r="P14" s="147">
        <v>11869</v>
      </c>
      <c r="Q14" s="118">
        <f t="shared" ref="Q14" si="23">((P14/G14)^(1/($H$2-$H$1) ))-1</f>
        <v>0.2119595617858312</v>
      </c>
      <c r="R14" s="31">
        <f t="shared" si="6"/>
        <v>0.12</v>
      </c>
      <c r="S14" s="154">
        <f t="shared" ref="S14" si="24">P14*(1+$R14)</f>
        <v>13293.28</v>
      </c>
      <c r="T14" s="154">
        <f t="shared" ref="T14" si="25">S14*(1+$R14)</f>
        <v>14888.473600000003</v>
      </c>
      <c r="U14" s="154">
        <f t="shared" ref="U14" si="26">T14*(1+$R14)</f>
        <v>16675.090432000005</v>
      </c>
      <c r="V14" s="154">
        <f t="shared" ref="V14" si="27">U14*(1+$R14)</f>
        <v>18676.101283840006</v>
      </c>
      <c r="W14" s="154">
        <f t="shared" ref="W14" si="28">V14*(1+$R14)</f>
        <v>20917.23343790081</v>
      </c>
      <c r="X14" s="154">
        <f t="shared" ref="X14" si="29">W14*(1+$R14)</f>
        <v>23427.301450448907</v>
      </c>
      <c r="Y14" s="154">
        <f t="shared" ref="Y14" si="30">X14*(1+$R14)</f>
        <v>26238.577624502777</v>
      </c>
      <c r="Z14" s="154">
        <f t="shared" ref="Z14" si="31">Y14*(1+$R14)</f>
        <v>29387.206939443113</v>
      </c>
      <c r="AA14" s="154">
        <f t="shared" ref="AA14" si="32">Z14*(1+$R14)</f>
        <v>32913.671772176291</v>
      </c>
      <c r="AB14" s="154">
        <f t="shared" ref="AB14" si="33">AA14*(1+$R14)</f>
        <v>36863.312384837453</v>
      </c>
      <c r="AC14" s="138">
        <f t="shared" ref="AC14" si="34">((AB14/G14)^(1/($AB$3-$H$1) ))-1</f>
        <v>0.16265598382368207</v>
      </c>
      <c r="AD14" s="31">
        <f t="shared" si="17"/>
        <v>0.08</v>
      </c>
      <c r="AE14" s="146">
        <f t="shared" ref="AE14" si="35">(AB14*(1+AD14))/($C$1-AD14)</f>
        <v>284374.12411160319</v>
      </c>
    </row>
    <row r="15" spans="2:31" x14ac:dyDescent="0.2">
      <c r="B15" s="20" t="s">
        <v>19</v>
      </c>
      <c r="C15" s="141"/>
      <c r="D15" s="141"/>
      <c r="E15" s="147"/>
      <c r="F15" s="147">
        <v>8893</v>
      </c>
      <c r="G15" s="147">
        <v>11065</v>
      </c>
      <c r="H15" s="147">
        <v>13987</v>
      </c>
      <c r="I15" s="147">
        <v>19232</v>
      </c>
      <c r="J15" s="147">
        <v>25239</v>
      </c>
      <c r="K15" s="147">
        <v>33463</v>
      </c>
      <c r="L15" s="147">
        <v>38884</v>
      </c>
      <c r="M15" s="147">
        <v>44604</v>
      </c>
      <c r="N15" s="147">
        <v>53908</v>
      </c>
      <c r="O15" s="147">
        <v>61142</v>
      </c>
      <c r="P15" s="147">
        <v>51410.8</v>
      </c>
      <c r="Q15" s="118">
        <f t="shared" si="5"/>
        <v>0.18610339582765878</v>
      </c>
      <c r="R15" s="31">
        <f t="shared" si="6"/>
        <v>0.12</v>
      </c>
      <c r="S15" s="154">
        <f t="shared" si="2"/>
        <v>57580.096000000012</v>
      </c>
      <c r="T15" s="154">
        <f t="shared" ref="T15:AB15" si="36">S15*(1+$R15)</f>
        <v>64489.707520000018</v>
      </c>
      <c r="U15" s="154">
        <f t="shared" si="36"/>
        <v>72228.472422400024</v>
      </c>
      <c r="V15" s="154">
        <f t="shared" si="36"/>
        <v>80895.889113088037</v>
      </c>
      <c r="W15" s="154">
        <f t="shared" si="36"/>
        <v>90603.395806658606</v>
      </c>
      <c r="X15" s="154">
        <f t="shared" si="36"/>
        <v>101475.80330345765</v>
      </c>
      <c r="Y15" s="154">
        <f t="shared" si="36"/>
        <v>113652.89969987258</v>
      </c>
      <c r="Z15" s="154">
        <f t="shared" si="36"/>
        <v>127291.2476638573</v>
      </c>
      <c r="AA15" s="154">
        <f t="shared" si="36"/>
        <v>142566.19738352019</v>
      </c>
      <c r="AB15" s="154">
        <f t="shared" si="36"/>
        <v>159674.14106954265</v>
      </c>
      <c r="AC15" s="138">
        <f t="shared" si="19"/>
        <v>0.15083988169402063</v>
      </c>
      <c r="AD15" s="31">
        <f t="shared" si="17"/>
        <v>0.08</v>
      </c>
      <c r="AE15" s="146">
        <f t="shared" si="1"/>
        <v>1231771.9453936147</v>
      </c>
    </row>
    <row r="16" spans="2:31" x14ac:dyDescent="0.2">
      <c r="B16" s="20" t="s">
        <v>23</v>
      </c>
      <c r="C16" s="141"/>
      <c r="D16" s="141"/>
      <c r="E16" s="147"/>
      <c r="F16" s="147">
        <v>3992</v>
      </c>
      <c r="G16" s="147">
        <v>4585</v>
      </c>
      <c r="H16" s="147">
        <v>5413</v>
      </c>
      <c r="I16" s="147">
        <v>6678</v>
      </c>
      <c r="J16" s="147">
        <v>7574</v>
      </c>
      <c r="K16" s="147">
        <v>9221</v>
      </c>
      <c r="L16" s="147">
        <v>10261</v>
      </c>
      <c r="M16" s="147">
        <v>11874</v>
      </c>
      <c r="N16" s="147">
        <v>14597</v>
      </c>
      <c r="O16" s="147">
        <v>19488</v>
      </c>
      <c r="P16" s="147">
        <f>P15-P10</f>
        <v>50177.8</v>
      </c>
      <c r="Q16" s="118">
        <f t="shared" si="5"/>
        <v>0.30455858231550148</v>
      </c>
      <c r="R16" s="31">
        <f t="shared" si="6"/>
        <v>0.12</v>
      </c>
      <c r="S16" s="154">
        <f t="shared" si="2"/>
        <v>56199.136000000006</v>
      </c>
      <c r="T16" s="154">
        <f t="shared" ref="T16:AB16" si="37">S16*(1+$R16)</f>
        <v>62943.032320000013</v>
      </c>
      <c r="U16" s="154">
        <f t="shared" si="37"/>
        <v>70496.196198400023</v>
      </c>
      <c r="V16" s="154">
        <f t="shared" si="37"/>
        <v>78955.739742208039</v>
      </c>
      <c r="W16" s="154">
        <f t="shared" si="37"/>
        <v>88430.428511273014</v>
      </c>
      <c r="X16" s="154">
        <f t="shared" si="37"/>
        <v>99042.079932625784</v>
      </c>
      <c r="Y16" s="154">
        <f t="shared" si="37"/>
        <v>110927.12952454088</v>
      </c>
      <c r="Z16" s="154">
        <f t="shared" si="37"/>
        <v>124238.3850674858</v>
      </c>
      <c r="AA16" s="154">
        <f t="shared" si="37"/>
        <v>139146.99127558409</v>
      </c>
      <c r="AB16" s="154">
        <f t="shared" si="37"/>
        <v>155844.63022865419</v>
      </c>
      <c r="AC16" s="138">
        <f t="shared" si="19"/>
        <v>0.20391964229263504</v>
      </c>
      <c r="AD16" s="31">
        <f t="shared" si="17"/>
        <v>0.08</v>
      </c>
      <c r="AE16" s="146">
        <f t="shared" si="1"/>
        <v>1202230.0046210466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>
        <v>1169</v>
      </c>
      <c r="G18" s="147">
        <v>1093</v>
      </c>
      <c r="H18" s="147">
        <v>1043</v>
      </c>
      <c r="I18" s="147">
        <v>981</v>
      </c>
      <c r="J18" s="147">
        <v>988</v>
      </c>
      <c r="K18" s="147">
        <v>980</v>
      </c>
      <c r="L18" s="147">
        <v>1664</v>
      </c>
      <c r="M18" s="147">
        <v>2608</v>
      </c>
      <c r="N18" s="147">
        <v>3609</v>
      </c>
      <c r="O18" s="147">
        <v>4542</v>
      </c>
      <c r="P18" s="147">
        <f>6850.1-957.2</f>
        <v>5892.9000000000005</v>
      </c>
      <c r="Q18" s="118">
        <f>((P18/G18)^(1/($H$2-$H$1) ))-1</f>
        <v>0.20587138595175869</v>
      </c>
      <c r="R18" s="31">
        <f t="shared" si="6"/>
        <v>0.12</v>
      </c>
      <c r="S18" s="154">
        <f t="shared" ref="S18:S34" si="38">P18*(1+$R18)</f>
        <v>6600.0480000000016</v>
      </c>
      <c r="T18" s="154">
        <f t="shared" ref="T18:T34" si="39">S18*(1+$R18)</f>
        <v>7392.0537600000025</v>
      </c>
      <c r="U18" s="154">
        <f t="shared" ref="U18:U34" si="40">T18*(1+$R18)</f>
        <v>8279.1002112000042</v>
      </c>
      <c r="V18" s="154">
        <f t="shared" ref="V18:V34" si="41">U18*(1+$R18)</f>
        <v>9272.5922365440056</v>
      </c>
      <c r="W18" s="154">
        <f t="shared" ref="W18:W36" si="42">V18*(1+$R18)</f>
        <v>10385.303304929288</v>
      </c>
      <c r="X18" s="154">
        <f t="shared" ref="X18:X36" si="43">W18*(1+$R18)</f>
        <v>11631.539701520804</v>
      </c>
      <c r="Y18" s="154">
        <f t="shared" ref="Y18:Y36" si="44">X18*(1+$R18)</f>
        <v>13027.324465703301</v>
      </c>
      <c r="Z18" s="154">
        <f t="shared" ref="Z18:Z36" si="45">Y18*(1+$R18)</f>
        <v>14590.603401587699</v>
      </c>
      <c r="AA18" s="154">
        <f t="shared" ref="AA18:AA36" si="46">Z18*(1+$R18)</f>
        <v>16341.475809778225</v>
      </c>
      <c r="AB18" s="154">
        <f t="shared" ref="AB18:AB36" si="47">AA18*(1+$R18)</f>
        <v>18302.452906951614</v>
      </c>
      <c r="AC18" s="138">
        <f t="shared" si="19"/>
        <v>0.15988576290664902</v>
      </c>
      <c r="AD18" s="31">
        <f t="shared" si="17"/>
        <v>0.08</v>
      </c>
      <c r="AE18" s="146">
        <f t="shared" si="1"/>
        <v>141190.35099648387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>
        <v>1243</v>
      </c>
      <c r="G20" s="147">
        <v>1695</v>
      </c>
      <c r="H20" s="147">
        <v>818</v>
      </c>
      <c r="I20" s="147">
        <v>1623</v>
      </c>
      <c r="J20" s="147">
        <v>2821</v>
      </c>
      <c r="K20" s="147">
        <v>3478</v>
      </c>
      <c r="L20" s="147">
        <v>3291</v>
      </c>
      <c r="M20" s="147">
        <v>1585</v>
      </c>
      <c r="N20" s="147">
        <v>2658</v>
      </c>
      <c r="O20" s="147">
        <v>-813</v>
      </c>
      <c r="P20" s="147">
        <v>1864</v>
      </c>
      <c r="Q20" s="118">
        <f>((P20/G20)^(1/($H$2-$H$1) ))-1</f>
        <v>1.0616175405645523E-2</v>
      </c>
      <c r="R20" s="31">
        <f t="shared" si="6"/>
        <v>0.12</v>
      </c>
      <c r="S20" s="154">
        <f t="shared" ref="S20:S22" si="48">P20*(1+$R20)</f>
        <v>2087.6800000000003</v>
      </c>
      <c r="T20" s="154">
        <f t="shared" ref="T20:T22" si="49">S20*(1+$R20)</f>
        <v>2338.2016000000003</v>
      </c>
      <c r="U20" s="154">
        <f t="shared" ref="U20:U22" si="50">T20*(1+$R20)</f>
        <v>2618.7857920000006</v>
      </c>
      <c r="V20" s="154">
        <f t="shared" ref="V20:V22" si="51">U20*(1+$R20)</f>
        <v>2933.0400870400008</v>
      </c>
      <c r="W20" s="154">
        <f t="shared" ref="W20:W22" si="52">V20*(1+$R20)</f>
        <v>3285.0048974848014</v>
      </c>
      <c r="X20" s="154">
        <f t="shared" ref="X20:X22" si="53">W20*(1+$R20)</f>
        <v>3679.205485182978</v>
      </c>
      <c r="Y20" s="154">
        <f t="shared" ref="Y20:Y22" si="54">X20*(1+$R20)</f>
        <v>4120.7101434049355</v>
      </c>
      <c r="Z20" s="154">
        <f t="shared" ref="Z20:Z22" si="55">Y20*(1+$R20)</f>
        <v>4615.1953606135285</v>
      </c>
      <c r="AA20" s="154">
        <f t="shared" ref="AA20:AA22" si="56">Z20*(1+$R20)</f>
        <v>5169.018803887152</v>
      </c>
      <c r="AB20" s="154">
        <f t="shared" ref="AB20:AB22" si="57">AA20*(1+$R20)</f>
        <v>5789.3010603536104</v>
      </c>
      <c r="AC20" s="138">
        <f t="shared" ref="AC20:AC22" si="58">((AB20/G20)^(1/($AB$3-$H$1) ))-1</f>
        <v>6.6784395374295702E-2</v>
      </c>
      <c r="AD20" s="31">
        <f t="shared" si="17"/>
        <v>0.08</v>
      </c>
      <c r="AE20" s="146">
        <f t="shared" si="1"/>
        <v>44660.322465584992</v>
      </c>
    </row>
    <row r="21" spans="2:31" x14ac:dyDescent="0.2">
      <c r="B21" s="20" t="s">
        <v>285</v>
      </c>
      <c r="C21" s="141"/>
      <c r="D21" s="141"/>
      <c r="E21" s="147"/>
      <c r="F21" s="147">
        <v>-110</v>
      </c>
      <c r="G21" s="147">
        <v>-109</v>
      </c>
      <c r="H21" s="147">
        <v>-35</v>
      </c>
      <c r="I21" s="147">
        <v>-156</v>
      </c>
      <c r="J21" s="147">
        <v>-212</v>
      </c>
      <c r="K21" s="147">
        <v>-12.54</v>
      </c>
      <c r="L21" s="147">
        <v>-512</v>
      </c>
      <c r="M21" s="147">
        <v>-966</v>
      </c>
      <c r="N21" s="147">
        <v>-1342</v>
      </c>
      <c r="O21" s="147">
        <v>-329</v>
      </c>
      <c r="P21" s="147">
        <v>-338</v>
      </c>
      <c r="Q21" s="118">
        <f>((P21/G21)^(1/($H$2-$H$1) ))-1</f>
        <v>0.13399208288112008</v>
      </c>
      <c r="R21" s="31">
        <f t="shared" si="6"/>
        <v>0.12</v>
      </c>
      <c r="S21" s="154">
        <f t="shared" si="48"/>
        <v>-378.56000000000006</v>
      </c>
      <c r="T21" s="154">
        <f t="shared" si="49"/>
        <v>-423.98720000000009</v>
      </c>
      <c r="U21" s="154">
        <f t="shared" si="50"/>
        <v>-474.86566400000015</v>
      </c>
      <c r="V21" s="154">
        <f t="shared" si="51"/>
        <v>-531.84954368000024</v>
      </c>
      <c r="W21" s="154">
        <f t="shared" si="52"/>
        <v>-595.67148892160037</v>
      </c>
      <c r="X21" s="154">
        <f t="shared" si="53"/>
        <v>-667.15206759219245</v>
      </c>
      <c r="Y21" s="154">
        <f t="shared" si="54"/>
        <v>-747.21031570325567</v>
      </c>
      <c r="Z21" s="154">
        <f t="shared" si="55"/>
        <v>-836.87555358764644</v>
      </c>
      <c r="AA21" s="154">
        <f t="shared" si="56"/>
        <v>-937.30062001816407</v>
      </c>
      <c r="AB21" s="154">
        <f t="shared" si="57"/>
        <v>-1049.7766944203438</v>
      </c>
      <c r="AC21" s="138">
        <f t="shared" si="58"/>
        <v>0.12660617640770599</v>
      </c>
      <c r="AD21" s="31">
        <f t="shared" si="17"/>
        <v>0.08</v>
      </c>
      <c r="AE21" s="146">
        <f t="shared" si="1"/>
        <v>-8098.2773569569381</v>
      </c>
    </row>
    <row r="22" spans="2:31" x14ac:dyDescent="0.2">
      <c r="B22" s="20" t="s">
        <v>286</v>
      </c>
      <c r="C22" s="141"/>
      <c r="D22" s="141"/>
      <c r="E22" s="147"/>
      <c r="F22" s="147">
        <v>-285</v>
      </c>
      <c r="G22" s="147">
        <v>-247</v>
      </c>
      <c r="H22" s="147">
        <v>-265</v>
      </c>
      <c r="I22" s="147">
        <v>-511</v>
      </c>
      <c r="J22" s="147">
        <v>-933</v>
      </c>
      <c r="K22" s="147">
        <v>-888</v>
      </c>
      <c r="L22" s="147">
        <v>-849</v>
      </c>
      <c r="M22" s="147">
        <v>-1143</v>
      </c>
      <c r="N22" s="147">
        <v>-1475</v>
      </c>
      <c r="O22" s="147">
        <v>-1814</v>
      </c>
      <c r="P22" s="147">
        <v>-466</v>
      </c>
      <c r="Q22" s="118">
        <f>((P22/G22)^(1/($H$2-$H$1) ))-1</f>
        <v>7.3080015956760835E-2</v>
      </c>
      <c r="R22" s="31">
        <f t="shared" si="6"/>
        <v>0.12</v>
      </c>
      <c r="S22" s="154">
        <f t="shared" si="48"/>
        <v>-521.92000000000007</v>
      </c>
      <c r="T22" s="154">
        <f t="shared" si="49"/>
        <v>-584.55040000000008</v>
      </c>
      <c r="U22" s="154">
        <f t="shared" si="50"/>
        <v>-654.69644800000015</v>
      </c>
      <c r="V22" s="154">
        <f t="shared" si="51"/>
        <v>-733.2600217600002</v>
      </c>
      <c r="W22" s="154">
        <f t="shared" si="52"/>
        <v>-821.25122437120035</v>
      </c>
      <c r="X22" s="154">
        <f t="shared" si="53"/>
        <v>-919.8013712957445</v>
      </c>
      <c r="Y22" s="154">
        <f t="shared" si="54"/>
        <v>-1030.1775358512339</v>
      </c>
      <c r="Z22" s="154">
        <f t="shared" si="55"/>
        <v>-1153.7988401533821</v>
      </c>
      <c r="AA22" s="154">
        <f t="shared" si="56"/>
        <v>-1292.254700971788</v>
      </c>
      <c r="AB22" s="154">
        <f t="shared" si="57"/>
        <v>-1447.3252650884026</v>
      </c>
      <c r="AC22" s="138">
        <f t="shared" si="58"/>
        <v>9.7524358831749591E-2</v>
      </c>
      <c r="AD22" s="31">
        <f t="shared" si="17"/>
        <v>0.08</v>
      </c>
      <c r="AE22" s="146">
        <f t="shared" si="1"/>
        <v>-11165.080616396248</v>
      </c>
    </row>
    <row r="23" spans="2:31" x14ac:dyDescent="0.2">
      <c r="B23" s="20" t="s">
        <v>296</v>
      </c>
      <c r="C23" s="141"/>
      <c r="D23" s="141"/>
      <c r="E23" s="147"/>
      <c r="F23" s="147">
        <v>1320</v>
      </c>
      <c r="G23" s="147">
        <v>2659</v>
      </c>
      <c r="H23" s="147">
        <v>3177</v>
      </c>
      <c r="I23" s="147">
        <v>4133</v>
      </c>
      <c r="J23" s="147">
        <v>5808</v>
      </c>
      <c r="K23" s="147">
        <v>5808</v>
      </c>
      <c r="L23" s="147">
        <v>10314</v>
      </c>
      <c r="M23" s="147">
        <v>9790</v>
      </c>
      <c r="N23" s="147">
        <v>9630</v>
      </c>
      <c r="O23" s="147">
        <v>6671</v>
      </c>
      <c r="P23" s="147">
        <v>7732</v>
      </c>
      <c r="Q23" s="118">
        <f>((P23/G23)^(1/($H$2-$H$1) ))-1</f>
        <v>0.125921643339022</v>
      </c>
      <c r="R23" s="31">
        <f t="shared" si="6"/>
        <v>0.12</v>
      </c>
      <c r="S23" s="154">
        <f t="shared" ref="S23" si="59">P23*(1+$R23)</f>
        <v>8659.84</v>
      </c>
      <c r="T23" s="154">
        <f t="shared" ref="T23" si="60">S23*(1+$R23)</f>
        <v>9699.0208000000002</v>
      </c>
      <c r="U23" s="154">
        <f t="shared" ref="U23" si="61">T23*(1+$R23)</f>
        <v>10862.903296</v>
      </c>
      <c r="V23" s="154">
        <f t="shared" ref="V23" si="62">U23*(1+$R23)</f>
        <v>12166.451691520002</v>
      </c>
      <c r="W23" s="154">
        <f t="shared" ref="W23" si="63">V23*(1+$R23)</f>
        <v>13626.425894502403</v>
      </c>
      <c r="X23" s="154">
        <f t="shared" ref="X23" si="64">W23*(1+$R23)</f>
        <v>15261.597001842692</v>
      </c>
      <c r="Y23" s="154">
        <f t="shared" ref="Y23" si="65">X23*(1+$R23)</f>
        <v>17092.988642063818</v>
      </c>
      <c r="Z23" s="154">
        <f t="shared" ref="Z23" si="66">Y23*(1+$R23)</f>
        <v>19144.147279111479</v>
      </c>
      <c r="AA23" s="154">
        <f t="shared" ref="AA23" si="67">Z23*(1+$R23)</f>
        <v>21441.444952604859</v>
      </c>
      <c r="AB23" s="154">
        <f t="shared" ref="AB23" si="68">AA23*(1+$R23)</f>
        <v>24014.418346917446</v>
      </c>
      <c r="AC23" s="138">
        <f t="shared" ref="AC23" si="69">((AB23/G23)^(1/($AB$3-$H$1) ))-1</f>
        <v>0.12280109665401118</v>
      </c>
      <c r="AD23" s="31">
        <f t="shared" si="17"/>
        <v>0.08</v>
      </c>
      <c r="AE23" s="146">
        <f t="shared" si="1"/>
        <v>185254.084390506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>
        <v>7023</v>
      </c>
      <c r="G25" s="147">
        <v>8020</v>
      </c>
      <c r="H25" s="147">
        <v>10438</v>
      </c>
      <c r="I25" s="147">
        <v>14169</v>
      </c>
      <c r="J25" s="147">
        <v>18026</v>
      </c>
      <c r="K25" s="147">
        <v>21391</v>
      </c>
      <c r="L25" s="147">
        <v>29082</v>
      </c>
      <c r="M25" s="147">
        <v>35392</v>
      </c>
      <c r="N25" s="147">
        <v>43470</v>
      </c>
      <c r="O25" s="147">
        <v>50208</v>
      </c>
      <c r="P25" s="147">
        <f>48106.3+1128.8</f>
        <v>49235.100000000006</v>
      </c>
      <c r="Q25" s="118">
        <f>((P25/G25)^(1/($H$2-$H$1) ))-1</f>
        <v>0.22339504543819455</v>
      </c>
      <c r="R25" s="31">
        <f t="shared" si="6"/>
        <v>0.12</v>
      </c>
      <c r="S25" s="154">
        <f t="shared" si="38"/>
        <v>55143.312000000013</v>
      </c>
      <c r="T25" s="154">
        <f t="shared" si="39"/>
        <v>61760.509440000023</v>
      </c>
      <c r="U25" s="154">
        <f t="shared" si="40"/>
        <v>69171.770572800029</v>
      </c>
      <c r="V25" s="154">
        <f t="shared" si="41"/>
        <v>77472.383041536043</v>
      </c>
      <c r="W25" s="154">
        <f t="shared" si="42"/>
        <v>86769.069006520382</v>
      </c>
      <c r="X25" s="154">
        <f t="shared" si="43"/>
        <v>97181.357287302832</v>
      </c>
      <c r="Y25" s="154">
        <f t="shared" si="44"/>
        <v>108843.12016177918</v>
      </c>
      <c r="Z25" s="154">
        <f t="shared" si="45"/>
        <v>121904.29458119269</v>
      </c>
      <c r="AA25" s="154">
        <f t="shared" si="46"/>
        <v>136532.80993093582</v>
      </c>
      <c r="AB25" s="154">
        <f t="shared" si="47"/>
        <v>152916.74712264814</v>
      </c>
      <c r="AC25" s="138">
        <f t="shared" si="19"/>
        <v>0.16783958998142068</v>
      </c>
      <c r="AD25" s="31">
        <f t="shared" si="17"/>
        <v>0.08</v>
      </c>
      <c r="AE25" s="146">
        <f t="shared" si="1"/>
        <v>1179643.4778032857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0.1243142144638404</v>
      </c>
      <c r="H26" s="148">
        <f>(H25-G25)/H25</f>
        <v>0.23165357348150986</v>
      </c>
      <c r="I26" s="148">
        <f t="shared" ref="I26" si="70">(I25-H25)/I25</f>
        <v>0.26332133530947843</v>
      </c>
      <c r="J26" s="148">
        <f t="shared" ref="J26" si="71">(J25-I25)/J25</f>
        <v>0.21396871186064573</v>
      </c>
      <c r="K26" s="148">
        <f t="shared" ref="K26" si="72">(K25-J25)/K25</f>
        <v>0.15730914870740031</v>
      </c>
      <c r="L26" s="148">
        <f t="shared" ref="L26" si="73">(L25-K25)/L25</f>
        <v>0.26445911560415375</v>
      </c>
      <c r="M26" s="148">
        <f t="shared" ref="M26" si="74">(M25-L25)/M25</f>
        <v>0.1782888788426763</v>
      </c>
      <c r="N26" s="148">
        <f t="shared" ref="N26" si="75">(N25-M25)/N25</f>
        <v>0.18582930756843799</v>
      </c>
      <c r="O26" s="148">
        <f t="shared" ref="O26" si="76">(O25-N25)/O25</f>
        <v>0.13420172084130019</v>
      </c>
      <c r="P26" s="148">
        <f t="shared" ref="P26" si="77">(P25-O25)/P25</f>
        <v>-1.9760292961728404E-2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>
        <v>5957</v>
      </c>
      <c r="G27" s="147">
        <v>7152</v>
      </c>
      <c r="H27" s="147">
        <v>8875</v>
      </c>
      <c r="I27" s="147">
        <v>11603</v>
      </c>
      <c r="J27" s="147">
        <v>14000</v>
      </c>
      <c r="K27" s="147">
        <v>16621</v>
      </c>
      <c r="L27" s="147">
        <v>23870</v>
      </c>
      <c r="M27" s="147">
        <v>28168</v>
      </c>
      <c r="N27" s="147">
        <v>33768</v>
      </c>
      <c r="O27" s="147">
        <v>38965</v>
      </c>
      <c r="P27" s="147">
        <f>40390-957.2</f>
        <v>39432.800000000003</v>
      </c>
      <c r="Q27" s="118">
        <f>((P27/G27)^(1/($H$2-$H$1) ))-1</f>
        <v>0.2088742402789896</v>
      </c>
      <c r="R27" s="31">
        <f t="shared" si="6"/>
        <v>0.12</v>
      </c>
      <c r="S27" s="154">
        <f t="shared" si="38"/>
        <v>44164.736000000004</v>
      </c>
      <c r="T27" s="154">
        <f t="shared" si="39"/>
        <v>49464.504320000007</v>
      </c>
      <c r="U27" s="154">
        <f t="shared" si="40"/>
        <v>55400.244838400016</v>
      </c>
      <c r="V27" s="154">
        <f t="shared" si="41"/>
        <v>62048.274219008024</v>
      </c>
      <c r="W27" s="154">
        <f t="shared" si="42"/>
        <v>69494.067125288988</v>
      </c>
      <c r="X27" s="154">
        <f t="shared" si="43"/>
        <v>77833.355180323677</v>
      </c>
      <c r="Y27" s="154">
        <f t="shared" si="44"/>
        <v>87173.357801962527</v>
      </c>
      <c r="Z27" s="154">
        <f t="shared" si="45"/>
        <v>97634.160738198043</v>
      </c>
      <c r="AA27" s="154">
        <f t="shared" si="46"/>
        <v>109350.26002678182</v>
      </c>
      <c r="AB27" s="154">
        <f t="shared" si="47"/>
        <v>122472.29122999565</v>
      </c>
      <c r="AC27" s="138">
        <f t="shared" si="19"/>
        <v>0.16125302907657768</v>
      </c>
      <c r="AD27" s="31">
        <f t="shared" si="17"/>
        <v>0.08</v>
      </c>
      <c r="AE27" s="146">
        <f t="shared" si="1"/>
        <v>944786.24663139507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0.16708612975391499</v>
      </c>
      <c r="H28" s="148">
        <f t="shared" si="78"/>
        <v>0.19414084507042254</v>
      </c>
      <c r="I28" s="148">
        <f t="shared" si="78"/>
        <v>0.23511160906662071</v>
      </c>
      <c r="J28" s="148">
        <f t="shared" si="78"/>
        <v>0.17121428571428571</v>
      </c>
      <c r="K28" s="148">
        <f t="shared" si="78"/>
        <v>0.15769207628903195</v>
      </c>
      <c r="L28" s="148">
        <f t="shared" si="78"/>
        <v>0.30368663594470047</v>
      </c>
      <c r="M28" s="148">
        <f t="shared" si="78"/>
        <v>0.15258449304174951</v>
      </c>
      <c r="N28" s="148">
        <f t="shared" ref="N28" si="79">(N27-M27)/N27</f>
        <v>0.16583747927031509</v>
      </c>
      <c r="O28" s="148">
        <f t="shared" ref="O28" si="80">(O27-N27)/O27</f>
        <v>0.13337610676247916</v>
      </c>
      <c r="P28" s="148">
        <f t="shared" ref="P28" si="81">(P27-O27)/P27</f>
        <v>1.1863220466210944E-2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325</v>
      </c>
      <c r="C29" s="149"/>
      <c r="D29" s="149"/>
      <c r="E29" s="150"/>
      <c r="F29" s="147"/>
      <c r="G29" s="147">
        <v>30.71</v>
      </c>
      <c r="H29" s="147">
        <v>33.5</v>
      </c>
      <c r="I29" s="147">
        <v>54.73</v>
      </c>
      <c r="J29" s="147">
        <v>51.28</v>
      </c>
      <c r="K29" s="147">
        <v>125.27</v>
      </c>
      <c r="L29" s="147">
        <v>35.090000000000003</v>
      </c>
      <c r="M29" s="147">
        <v>36.69</v>
      </c>
      <c r="N29" s="147">
        <v>56.13</v>
      </c>
      <c r="O29" s="147">
        <v>53.07</v>
      </c>
      <c r="P29" s="147">
        <v>127.61</v>
      </c>
      <c r="Q29" s="118">
        <f>((P29/G29)^(1/($H$2-$H$1) ))-1</f>
        <v>0.17147729819029101</v>
      </c>
      <c r="R29" s="31">
        <f t="shared" si="6"/>
        <v>0.12</v>
      </c>
      <c r="S29" s="154">
        <f t="shared" ref="S29" si="82">P29*(1+$R29)</f>
        <v>142.92320000000001</v>
      </c>
      <c r="T29" s="154">
        <f t="shared" ref="T29" si="83">S29*(1+$R29)</f>
        <v>160.07398400000002</v>
      </c>
      <c r="U29" s="154">
        <f t="shared" ref="U29" si="84">T29*(1+$R29)</f>
        <v>179.28286208000006</v>
      </c>
      <c r="V29" s="154">
        <f t="shared" ref="V29" si="85">U29*(1+$R29)</f>
        <v>200.79680552960008</v>
      </c>
      <c r="W29" s="154">
        <f t="shared" ref="W29" si="86">V29*(1+$R29)</f>
        <v>224.8924221931521</v>
      </c>
      <c r="X29" s="154">
        <f t="shared" ref="X29" si="87">W29*(1+$R29)</f>
        <v>251.87951285633036</v>
      </c>
      <c r="Y29" s="154">
        <f t="shared" ref="Y29" si="88">X29*(1+$R29)</f>
        <v>282.10505439909002</v>
      </c>
      <c r="Z29" s="154">
        <f t="shared" ref="Z29" si="89">Y29*(1+$R29)</f>
        <v>315.95766092698085</v>
      </c>
      <c r="AA29" s="154">
        <f t="shared" ref="AA29" si="90">Z29*(1+$R29)</f>
        <v>353.87258023821857</v>
      </c>
      <c r="AB29" s="154">
        <f t="shared" ref="AB29" si="91">AA29*(1+$R29)</f>
        <v>396.33728986680484</v>
      </c>
      <c r="AC29" s="138">
        <f t="shared" ref="AC29" si="92">((AB29/G29)^(1/($AB$3-$H$1) ))-1</f>
        <v>0.1440957562153673</v>
      </c>
      <c r="AD29" s="31">
        <f t="shared" si="17"/>
        <v>0.08</v>
      </c>
      <c r="AE29" s="146">
        <f t="shared" ref="AE29" si="93">(AB29*(1+AD29))/($C$1-AD29)</f>
        <v>3057.4590932582087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8.3283582089552208E-2</v>
      </c>
      <c r="I30" s="148">
        <f t="shared" si="94"/>
        <v>0.38790425726292704</v>
      </c>
      <c r="J30" s="148">
        <f t="shared" si="94"/>
        <v>-6.7277691107644227E-2</v>
      </c>
      <c r="K30" s="148">
        <f t="shared" si="94"/>
        <v>0.59064420850961918</v>
      </c>
      <c r="L30" s="148">
        <f t="shared" si="94"/>
        <v>-2.5699629524080931</v>
      </c>
      <c r="M30" s="148">
        <f t="shared" ref="M30" si="95">(M29-L29)/M29</f>
        <v>4.3608612701008298E-2</v>
      </c>
      <c r="N30" s="148">
        <f t="shared" ref="N30" si="96">(N29-M29)/N29</f>
        <v>0.34633885622661686</v>
      </c>
      <c r="O30" s="148">
        <f t="shared" ref="O30" si="97">(O29-N29)/O29</f>
        <v>-5.7659694742792582E-2</v>
      </c>
      <c r="P30" s="148">
        <f t="shared" ref="P30" si="98">(P29-O29)/P29</f>
        <v>0.58412350129300206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333</v>
      </c>
      <c r="C31" s="141"/>
      <c r="D31" s="141"/>
      <c r="E31" s="147"/>
      <c r="F31" s="147">
        <v>73.239999999999995</v>
      </c>
      <c r="G31" s="147">
        <v>90.02</v>
      </c>
      <c r="H31" s="147"/>
      <c r="I31" s="147"/>
      <c r="J31" s="147"/>
      <c r="K31" s="147"/>
      <c r="L31" s="147"/>
      <c r="M31" s="147">
        <v>23.79</v>
      </c>
      <c r="N31" s="147">
        <v>54.48</v>
      </c>
      <c r="O31" s="147">
        <v>61.37</v>
      </c>
      <c r="P31" s="147">
        <v>67.42</v>
      </c>
      <c r="Q31" s="118">
        <f>((P31/G31)^(1/($H$2-$H$1) ))-1</f>
        <v>-3.1610724733330153E-2</v>
      </c>
      <c r="R31" s="31">
        <f t="shared" si="6"/>
        <v>0.12</v>
      </c>
      <c r="S31" s="154">
        <f>P31*(1+$R31)</f>
        <v>75.510400000000004</v>
      </c>
      <c r="T31" s="154">
        <f>S31*(1+$R31)</f>
        <v>84.57164800000001</v>
      </c>
      <c r="U31" s="154">
        <f t="shared" ref="U31:AB32" si="99">T31*(1+$R31)</f>
        <v>94.720245760000026</v>
      </c>
      <c r="V31" s="154">
        <f t="shared" si="99"/>
        <v>106.08667525120003</v>
      </c>
      <c r="W31" s="154">
        <f t="shared" si="99"/>
        <v>118.81707628134404</v>
      </c>
      <c r="X31" s="154">
        <f t="shared" si="99"/>
        <v>133.07512543510535</v>
      </c>
      <c r="Y31" s="154">
        <f t="shared" si="99"/>
        <v>149.044140487318</v>
      </c>
      <c r="Z31" s="154">
        <f t="shared" si="99"/>
        <v>166.92943734579617</v>
      </c>
      <c r="AA31" s="154">
        <f t="shared" si="99"/>
        <v>186.96096982729173</v>
      </c>
      <c r="AB31" s="154">
        <f t="shared" si="99"/>
        <v>209.39628620656677</v>
      </c>
      <c r="AC31" s="138">
        <f t="shared" ref="AC31" si="100">((AB31/G31)^(1/($AB$3-$H$1) ))-1</f>
        <v>4.5433262756829684E-2</v>
      </c>
      <c r="AD31" s="31">
        <f t="shared" si="17"/>
        <v>0.08</v>
      </c>
      <c r="AE31" s="146">
        <f t="shared" si="1"/>
        <v>1615.3427793078008</v>
      </c>
    </row>
    <row r="32" spans="2:31" x14ac:dyDescent="0.2">
      <c r="B32" s="20" t="s">
        <v>332</v>
      </c>
      <c r="C32" s="141"/>
      <c r="D32" s="141"/>
      <c r="E32" s="147"/>
      <c r="F32" s="147">
        <v>0</v>
      </c>
      <c r="G32" s="147">
        <v>0</v>
      </c>
      <c r="H32" s="147"/>
      <c r="I32" s="147"/>
      <c r="J32" s="147"/>
      <c r="K32" s="147">
        <v>220.29</v>
      </c>
      <c r="L32" s="147">
        <v>295.56</v>
      </c>
      <c r="M32" s="147">
        <v>222.4</v>
      </c>
      <c r="N32" s="147">
        <v>239.7</v>
      </c>
      <c r="O32" s="147">
        <v>249.96</v>
      </c>
      <c r="P32" s="147">
        <v>277.94</v>
      </c>
      <c r="Q32" s="118" t="e">
        <f>((P32/G32)^(1/($H$2-$H$1) ))-1</f>
        <v>#DIV/0!</v>
      </c>
      <c r="R32" s="31">
        <f t="shared" si="6"/>
        <v>0.12</v>
      </c>
      <c r="S32" s="154">
        <f>P32*(1+$R32)</f>
        <v>311.2928</v>
      </c>
      <c r="T32" s="154">
        <f>S32*(1+$R32)</f>
        <v>348.64793600000002</v>
      </c>
      <c r="U32" s="154">
        <f t="shared" si="99"/>
        <v>390.48568832000007</v>
      </c>
      <c r="V32" s="154">
        <f t="shared" si="99"/>
        <v>437.34397091840009</v>
      </c>
      <c r="W32" s="154">
        <f t="shared" si="99"/>
        <v>489.82524742860812</v>
      </c>
      <c r="X32" s="154">
        <f t="shared" si="99"/>
        <v>548.60427712004116</v>
      </c>
      <c r="Y32" s="154">
        <f t="shared" si="99"/>
        <v>614.4367903744461</v>
      </c>
      <c r="Z32" s="154">
        <f t="shared" si="99"/>
        <v>688.16920521937971</v>
      </c>
      <c r="AA32" s="154">
        <f t="shared" si="99"/>
        <v>770.74950984570535</v>
      </c>
      <c r="AB32" s="154">
        <f t="shared" si="99"/>
        <v>863.23945102719006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6659.2757650668946</v>
      </c>
    </row>
    <row r="33" spans="2:31" x14ac:dyDescent="0.2">
      <c r="B33" s="20" t="s">
        <v>317</v>
      </c>
      <c r="C33" s="141"/>
      <c r="D33" s="141"/>
      <c r="E33" s="147"/>
      <c r="F33" s="147">
        <v>3160</v>
      </c>
      <c r="G33" s="147">
        <v>3634</v>
      </c>
      <c r="H33" s="147">
        <v>5097</v>
      </c>
      <c r="I33" s="147">
        <v>7100</v>
      </c>
      <c r="J33" s="147">
        <v>8561</v>
      </c>
      <c r="K33" s="147">
        <v>10400</v>
      </c>
      <c r="L33" s="147">
        <v>15746</v>
      </c>
      <c r="M33" s="147">
        <v>17915</v>
      </c>
      <c r="N33" s="147">
        <v>20016</v>
      </c>
      <c r="O33" s="147">
        <v>25266</v>
      </c>
      <c r="P33" s="147">
        <v>27505</v>
      </c>
      <c r="Q33" s="118">
        <f>((P33/G33)^(1/($H$2-$H$1) ))-1</f>
        <v>0.25218828466524723</v>
      </c>
      <c r="R33" s="31">
        <f t="shared" si="6"/>
        <v>0.12</v>
      </c>
      <c r="S33" s="154">
        <f t="shared" si="38"/>
        <v>30805.600000000002</v>
      </c>
      <c r="T33" s="154">
        <f t="shared" si="39"/>
        <v>34502.272000000004</v>
      </c>
      <c r="U33" s="154">
        <f t="shared" si="40"/>
        <v>38642.544640000007</v>
      </c>
      <c r="V33" s="154">
        <f t="shared" si="41"/>
        <v>43279.649996800013</v>
      </c>
      <c r="W33" s="154">
        <f t="shared" si="42"/>
        <v>48473.207996416022</v>
      </c>
      <c r="X33" s="154">
        <f t="shared" si="43"/>
        <v>54289.992955985952</v>
      </c>
      <c r="Y33" s="154">
        <f t="shared" si="44"/>
        <v>60804.792110704271</v>
      </c>
      <c r="Z33" s="154">
        <f t="shared" si="45"/>
        <v>68101.367163988791</v>
      </c>
      <c r="AA33" s="154">
        <f t="shared" si="46"/>
        <v>76273.531223667451</v>
      </c>
      <c r="AB33" s="154">
        <f t="shared" si="47"/>
        <v>85426.354970507557</v>
      </c>
      <c r="AC33" s="138">
        <f t="shared" si="19"/>
        <v>0.18077945220830172</v>
      </c>
      <c r="AD33" s="31">
        <f t="shared" si="17"/>
        <v>0.08</v>
      </c>
      <c r="AE33" s="146">
        <f t="shared" si="1"/>
        <v>659003.3097724868</v>
      </c>
    </row>
    <row r="34" spans="2:31" x14ac:dyDescent="0.2">
      <c r="B34" s="20" t="s">
        <v>309</v>
      </c>
      <c r="C34" s="141"/>
      <c r="D34" s="141"/>
      <c r="E34" s="147"/>
      <c r="F34" s="147">
        <v>1504</v>
      </c>
      <c r="G34" s="147">
        <v>1640</v>
      </c>
      <c r="H34" s="147">
        <v>1650</v>
      </c>
      <c r="I34" s="147">
        <v>1878</v>
      </c>
      <c r="J34" s="147">
        <v>2367</v>
      </c>
      <c r="K34" s="147">
        <v>2602</v>
      </c>
      <c r="L34" s="147">
        <v>3027</v>
      </c>
      <c r="M34" s="147">
        <v>6500</v>
      </c>
      <c r="N34" s="147">
        <v>5452</v>
      </c>
      <c r="O34" s="147">
        <v>5529</v>
      </c>
      <c r="P34" s="147">
        <v>5824</v>
      </c>
      <c r="Q34" s="118">
        <f>((P34/G34)^(1/($H$2-$H$1) ))-1</f>
        <v>0.15120603482866657</v>
      </c>
      <c r="R34" s="31">
        <f t="shared" si="6"/>
        <v>0.12</v>
      </c>
      <c r="S34" s="154">
        <f t="shared" si="38"/>
        <v>6522.880000000001</v>
      </c>
      <c r="T34" s="154">
        <f t="shared" si="39"/>
        <v>7305.6256000000021</v>
      </c>
      <c r="U34" s="154">
        <f t="shared" si="40"/>
        <v>8182.300672000003</v>
      </c>
      <c r="V34" s="154">
        <f t="shared" si="41"/>
        <v>9164.1767526400035</v>
      </c>
      <c r="W34" s="154">
        <f t="shared" si="42"/>
        <v>10263.877962956805</v>
      </c>
      <c r="X34" s="154">
        <f t="shared" si="43"/>
        <v>11495.543318511624</v>
      </c>
      <c r="Y34" s="154">
        <f t="shared" si="44"/>
        <v>12875.00851673302</v>
      </c>
      <c r="Z34" s="154">
        <f t="shared" si="45"/>
        <v>14420.009538740984</v>
      </c>
      <c r="AA34" s="154">
        <f t="shared" si="46"/>
        <v>16150.410683389904</v>
      </c>
      <c r="AB34" s="154">
        <f t="shared" si="47"/>
        <v>18088.459965396694</v>
      </c>
      <c r="AC34" s="138">
        <f t="shared" si="19"/>
        <v>0.13467493204537662</v>
      </c>
      <c r="AD34" s="31">
        <f t="shared" si="17"/>
        <v>0.08</v>
      </c>
      <c r="AE34" s="146">
        <f t="shared" si="1"/>
        <v>139539.5483044888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>
        <v>996</v>
      </c>
      <c r="G36" s="147">
        <v>854</v>
      </c>
      <c r="H36" s="147">
        <v>1303</v>
      </c>
      <c r="I36" s="147">
        <v>2223</v>
      </c>
      <c r="J36" s="147">
        <v>3545</v>
      </c>
      <c r="K36" s="147">
        <v>3746</v>
      </c>
      <c r="L36" s="147">
        <v>3962</v>
      </c>
      <c r="M36" s="147">
        <v>5900</v>
      </c>
      <c r="N36" s="147">
        <v>8318</v>
      </c>
      <c r="O36" s="147">
        <v>9970</v>
      </c>
      <c r="P36" s="147">
        <v>9526.6</v>
      </c>
      <c r="Q36" s="118">
        <f>((P36/G36)^(1/($H$2-$H$1) ))-1</f>
        <v>0.30733435292992062</v>
      </c>
      <c r="R36" s="31">
        <f t="shared" si="6"/>
        <v>0.12</v>
      </c>
      <c r="S36" s="154">
        <f t="shared" ref="S36" si="102">P36*(1+$R36)</f>
        <v>10669.792000000001</v>
      </c>
      <c r="T36" s="154">
        <f t="shared" ref="T36" si="103">S36*(1+$R36)</f>
        <v>11950.167040000002</v>
      </c>
      <c r="U36" s="154">
        <f t="shared" ref="U36" si="104">T36*(1+$R36)</f>
        <v>13384.187084800004</v>
      </c>
      <c r="V36" s="154">
        <f t="shared" ref="V36" si="105">U36*(1+$R36)</f>
        <v>14990.289534976006</v>
      </c>
      <c r="W36" s="154">
        <f t="shared" si="42"/>
        <v>16789.124279173127</v>
      </c>
      <c r="X36" s="154">
        <f t="shared" si="43"/>
        <v>18803.819192673905</v>
      </c>
      <c r="Y36" s="154">
        <f t="shared" si="44"/>
        <v>21060.277495794777</v>
      </c>
      <c r="Z36" s="154">
        <f t="shared" si="45"/>
        <v>23587.510795290153</v>
      </c>
      <c r="AA36" s="154">
        <f t="shared" si="46"/>
        <v>26418.012090724973</v>
      </c>
      <c r="AB36" s="154">
        <f t="shared" si="47"/>
        <v>29588.173541611974</v>
      </c>
      <c r="AC36" s="138">
        <f t="shared" si="19"/>
        <v>0.20513237032134168</v>
      </c>
      <c r="AD36" s="31">
        <f t="shared" si="17"/>
        <v>0.08</v>
      </c>
      <c r="AE36" s="146">
        <f t="shared" si="1"/>
        <v>228251.62446386379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-0.16627634660421545</v>
      </c>
      <c r="H37" s="148">
        <f t="shared" ref="H37" si="107">(H36-G36)/H36</f>
        <v>0.34458940905602453</v>
      </c>
      <c r="I37" s="148">
        <f t="shared" ref="I37" si="108">(I36-H36)/I36</f>
        <v>0.41385515069725598</v>
      </c>
      <c r="J37" s="148">
        <f t="shared" ref="J37" si="109">(J36-I36)/J36</f>
        <v>0.37291960507757405</v>
      </c>
      <c r="K37" s="148">
        <f t="shared" ref="K37" si="110">(K36-J36)/K36</f>
        <v>5.3657234383342231E-2</v>
      </c>
      <c r="L37" s="148">
        <f t="shared" ref="L37" si="111">(L36-K36)/L36</f>
        <v>5.4517920242301871E-2</v>
      </c>
      <c r="M37" s="148">
        <f t="shared" ref="M37" si="112">(M36-L36)/M36</f>
        <v>0.32847457627118642</v>
      </c>
      <c r="N37" s="148">
        <f t="shared" ref="N37" si="113">(N36-M36)/N36</f>
        <v>0.29069487857658088</v>
      </c>
      <c r="O37" s="148">
        <f t="shared" ref="O37" si="114">(O36-N36)/O36</f>
        <v>0.16569709127382146</v>
      </c>
      <c r="P37" s="148">
        <f t="shared" ref="P37" si="115">(P36-O36)/P36</f>
        <v>-4.6543362794701115E-2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>
        <v>444</v>
      </c>
      <c r="G38" s="147">
        <v>658</v>
      </c>
      <c r="H38" s="147">
        <v>953</v>
      </c>
      <c r="I38" s="147">
        <v>1679</v>
      </c>
      <c r="J38" s="147">
        <v>2414</v>
      </c>
      <c r="K38" s="147">
        <v>2859</v>
      </c>
      <c r="L38" s="147">
        <v>3115</v>
      </c>
      <c r="M38" s="147">
        <v>4326</v>
      </c>
      <c r="N38" s="147">
        <v>6053</v>
      </c>
      <c r="O38" s="147">
        <v>7087</v>
      </c>
      <c r="P38" s="147">
        <v>6693.1</v>
      </c>
      <c r="Q38" s="118">
        <f>((P38/G38)^(1/($H$2-$H$1) ))-1</f>
        <v>0.29399766044126507</v>
      </c>
      <c r="R38" s="31">
        <f t="shared" si="6"/>
        <v>0.12</v>
      </c>
      <c r="S38" s="154">
        <f>P38*(1+$R38)</f>
        <v>7496.2720000000008</v>
      </c>
      <c r="T38" s="154">
        <f t="shared" ref="T38:AB38" si="116">S38*(1+$R38)</f>
        <v>8395.8246400000025</v>
      </c>
      <c r="U38" s="154">
        <f t="shared" si="116"/>
        <v>9403.3235968000045</v>
      </c>
      <c r="V38" s="154">
        <f t="shared" si="116"/>
        <v>10531.722428416006</v>
      </c>
      <c r="W38" s="154">
        <f t="shared" si="116"/>
        <v>11795.529119825927</v>
      </c>
      <c r="X38" s="154">
        <f t="shared" si="116"/>
        <v>13210.992614205041</v>
      </c>
      <c r="Y38" s="154">
        <f t="shared" si="116"/>
        <v>14796.311727909648</v>
      </c>
      <c r="Z38" s="154">
        <f t="shared" si="116"/>
        <v>16571.869135258807</v>
      </c>
      <c r="AA38" s="154">
        <f t="shared" si="116"/>
        <v>18560.493431489864</v>
      </c>
      <c r="AB38" s="154">
        <f t="shared" si="116"/>
        <v>20787.75264326865</v>
      </c>
      <c r="AC38" s="138">
        <f t="shared" si="19"/>
        <v>0.19929314089857519</v>
      </c>
      <c r="AD38" s="31">
        <f t="shared" si="17"/>
        <v>0.08</v>
      </c>
      <c r="AE38" s="146">
        <f t="shared" si="1"/>
        <v>160362.66324807244</v>
      </c>
    </row>
    <row r="39" spans="2:31" s="123" customFormat="1" x14ac:dyDescent="0.2">
      <c r="B39" s="23"/>
      <c r="C39" s="149"/>
      <c r="D39" s="149"/>
      <c r="E39" s="150"/>
      <c r="F39" s="150"/>
      <c r="G39" s="148">
        <f>(G38-F38)/G38</f>
        <v>0.32522796352583588</v>
      </c>
      <c r="H39" s="148">
        <f t="shared" ref="H39:P39" si="117">(H38-G38)/H38</f>
        <v>0.30954879328436519</v>
      </c>
      <c r="I39" s="148">
        <f t="shared" si="117"/>
        <v>0.43240023823704588</v>
      </c>
      <c r="J39" s="148">
        <f t="shared" si="117"/>
        <v>0.30447390223695114</v>
      </c>
      <c r="K39" s="148">
        <f t="shared" si="117"/>
        <v>0.15564882826162993</v>
      </c>
      <c r="L39" s="148">
        <f t="shared" si="117"/>
        <v>8.218298555377207E-2</v>
      </c>
      <c r="M39" s="148">
        <f t="shared" si="117"/>
        <v>0.27993527508090615</v>
      </c>
      <c r="N39" s="148">
        <f t="shared" si="117"/>
        <v>0.28531306790021477</v>
      </c>
      <c r="O39" s="148">
        <f t="shared" si="117"/>
        <v>0.14590094539297305</v>
      </c>
      <c r="P39" s="148">
        <f t="shared" si="117"/>
        <v>-5.8851653195081441E-2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47">
        <v>24.47</v>
      </c>
      <c r="G40" s="147">
        <v>24.47</v>
      </c>
      <c r="H40" s="147">
        <v>24.47</v>
      </c>
      <c r="I40" s="147">
        <v>24.47</v>
      </c>
      <c r="J40" s="147">
        <v>24.47</v>
      </c>
      <c r="K40" s="147">
        <v>48.95</v>
      </c>
      <c r="L40" s="147">
        <v>48.95</v>
      </c>
      <c r="M40" s="147">
        <v>48.95</v>
      </c>
      <c r="N40" s="147">
        <v>48.95</v>
      </c>
      <c r="O40" s="147">
        <v>244.76</v>
      </c>
      <c r="P40" s="147">
        <v>244.76</v>
      </c>
      <c r="Q40" s="118">
        <f>((P40/G40)^(1/($H$2-$H$1) ))-1</f>
        <v>0.29158484847592625</v>
      </c>
      <c r="R40" s="31">
        <v>0.15</v>
      </c>
      <c r="S40" s="154">
        <f>P40*(1+$R40)</f>
        <v>281.47399999999999</v>
      </c>
      <c r="T40" s="154">
        <f t="shared" ref="T40:AB40" si="118">S40*(1+$R40)</f>
        <v>323.69509999999997</v>
      </c>
      <c r="U40" s="154">
        <f t="shared" si="118"/>
        <v>372.24936499999995</v>
      </c>
      <c r="V40" s="154">
        <f t="shared" si="118"/>
        <v>428.08676974999992</v>
      </c>
      <c r="W40" s="154">
        <f t="shared" si="118"/>
        <v>492.29978521249984</v>
      </c>
      <c r="X40" s="154">
        <f t="shared" si="118"/>
        <v>566.14475299437481</v>
      </c>
      <c r="Y40" s="154">
        <f t="shared" si="118"/>
        <v>651.06646594353094</v>
      </c>
      <c r="Z40" s="154">
        <f t="shared" si="118"/>
        <v>748.72643583506056</v>
      </c>
      <c r="AA40" s="154">
        <f t="shared" si="118"/>
        <v>861.03540121031961</v>
      </c>
      <c r="AB40" s="154">
        <f t="shared" si="118"/>
        <v>990.19071139186747</v>
      </c>
      <c r="AC40" s="138">
        <f t="shared" si="19"/>
        <v>0.21501996618446428</v>
      </c>
      <c r="AD40" s="31">
        <f t="shared" si="17"/>
        <v>0.08</v>
      </c>
      <c r="AE40" s="146">
        <f t="shared" si="1"/>
        <v>7638.6140593086911</v>
      </c>
    </row>
    <row r="41" spans="2:31" x14ac:dyDescent="0.2">
      <c r="B41" s="20" t="s">
        <v>283</v>
      </c>
      <c r="C41" s="145"/>
      <c r="D41" s="145"/>
      <c r="E41" s="145"/>
      <c r="F41" s="147">
        <v>4</v>
      </c>
      <c r="G41" s="147">
        <v>6</v>
      </c>
      <c r="H41" s="147">
        <v>8</v>
      </c>
      <c r="I41" s="147">
        <v>14.5</v>
      </c>
      <c r="J41" s="147">
        <v>24.5</v>
      </c>
      <c r="K41" s="173">
        <v>15.25</v>
      </c>
      <c r="L41" s="173">
        <v>17</v>
      </c>
      <c r="M41" s="173">
        <v>23.3</v>
      </c>
      <c r="N41" s="173">
        <v>31.15</v>
      </c>
      <c r="O41" s="173">
        <v>6.4</v>
      </c>
      <c r="P41" s="179">
        <v>5.12</v>
      </c>
      <c r="Q41" s="118">
        <f>((P41/G41)^(1/($H$2-$H$1) ))-1</f>
        <v>-1.746840808100425E-2</v>
      </c>
      <c r="R41" s="31">
        <v>0.05</v>
      </c>
      <c r="S41" s="154">
        <f t="shared" ref="S41" si="119">P41*(1+$R41)</f>
        <v>5.3760000000000003</v>
      </c>
      <c r="T41" s="154">
        <f t="shared" ref="T41" si="120">S41*(1+$R41)</f>
        <v>5.6448000000000009</v>
      </c>
      <c r="U41" s="154">
        <f t="shared" ref="U41" si="121">T41*(1+$R41)</f>
        <v>5.9270400000000016</v>
      </c>
      <c r="V41" s="154">
        <f t="shared" ref="V41" si="122">U41*(1+$R41)</f>
        <v>6.2233920000000023</v>
      </c>
      <c r="W41" s="154">
        <f t="shared" ref="W41" si="123">V41*(1+$R41)</f>
        <v>6.5345616000000026</v>
      </c>
      <c r="X41" s="154">
        <f t="shared" ref="X41" si="124">W41*(1+$R41)</f>
        <v>6.8612896800000032</v>
      </c>
      <c r="Y41" s="154">
        <f t="shared" ref="Y41" si="125">X41*(1+$R41)</f>
        <v>7.2043541640000033</v>
      </c>
      <c r="Z41" s="154">
        <f t="shared" ref="Z41" si="126">Y41*(1+$R41)</f>
        <v>7.5645718722000037</v>
      </c>
      <c r="AA41" s="154">
        <f t="shared" ref="AA41" si="127">Z41*(1+$R41)</f>
        <v>7.942800465810004</v>
      </c>
      <c r="AB41" s="154">
        <f t="shared" ref="AB41" si="128">AA41*(1+$R41)</f>
        <v>8.3399404891005045</v>
      </c>
      <c r="AC41" s="138">
        <f t="shared" ref="AC41" si="129">((AB41/G41)^(1/($AB$3-$H$1) ))-1</f>
        <v>1.748246076250215E-2</v>
      </c>
      <c r="AD41" s="31">
        <f t="shared" si="17"/>
        <v>0.08</v>
      </c>
      <c r="AE41" s="146">
        <f t="shared" si="1"/>
        <v>64.33668377306104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287.00449530036781</v>
      </c>
      <c r="G44" s="133">
        <f t="shared" si="130"/>
        <v>327.74826317940335</v>
      </c>
      <c r="H44" s="133">
        <f t="shared" si="130"/>
        <v>426.56313853698407</v>
      </c>
      <c r="I44" s="133">
        <f t="shared" si="130"/>
        <v>579.03555373927259</v>
      </c>
      <c r="J44" s="133">
        <f t="shared" si="130"/>
        <v>736.65713118103804</v>
      </c>
      <c r="K44" s="133">
        <f t="shared" si="130"/>
        <v>436.99693564862099</v>
      </c>
      <c r="L44" s="133">
        <f t="shared" si="130"/>
        <v>594.11644535240032</v>
      </c>
      <c r="M44" s="133">
        <f t="shared" si="130"/>
        <v>723.02349336057193</v>
      </c>
      <c r="N44" s="133">
        <f t="shared" si="130"/>
        <v>888.04902962206324</v>
      </c>
      <c r="O44" s="133">
        <f t="shared" si="130"/>
        <v>205.13155744402681</v>
      </c>
      <c r="P44" s="133">
        <f t="shared" si="130"/>
        <v>201.15664324235991</v>
      </c>
      <c r="Q44" s="118">
        <f>((P44/G44)^(1/($H$2-$H$1) ))-1</f>
        <v>-5.2795449805869032E-2</v>
      </c>
      <c r="R44" s="128"/>
      <c r="S44" s="158">
        <f t="shared" ref="S44:AB44" si="131">S25/S40</f>
        <v>195.90907863603749</v>
      </c>
      <c r="T44" s="158">
        <f t="shared" si="131"/>
        <v>190.79840701944525</v>
      </c>
      <c r="U44" s="158">
        <f t="shared" si="131"/>
        <v>185.8210572711119</v>
      </c>
      <c r="V44" s="158">
        <f t="shared" si="131"/>
        <v>180.97355142925684</v>
      </c>
      <c r="W44" s="158">
        <f t="shared" si="131"/>
        <v>176.25250226153716</v>
      </c>
      <c r="X44" s="158">
        <f t="shared" si="131"/>
        <v>171.65461089819271</v>
      </c>
      <c r="Y44" s="158">
        <f t="shared" si="131"/>
        <v>167.17666452693555</v>
      </c>
      <c r="Z44" s="158">
        <f t="shared" si="131"/>
        <v>162.81553414797202</v>
      </c>
      <c r="AA44" s="158">
        <f t="shared" si="131"/>
        <v>158.56817238759018</v>
      </c>
      <c r="AB44" s="158">
        <f t="shared" si="131"/>
        <v>154.43161136878351</v>
      </c>
      <c r="AC44" s="138">
        <f t="shared" ref="AC44" si="132">((AB44/G44)^(1/($AB$3-$H$1) ))-1</f>
        <v>-3.8830947240483971E-2</v>
      </c>
      <c r="AD44" s="31">
        <f t="shared" si="17"/>
        <v>0.08</v>
      </c>
      <c r="AE44" s="146">
        <f t="shared" ref="AE44:AE45" si="133">(AB44*(1+AD44))/($C$1-AD44)</f>
        <v>1191.32957341633</v>
      </c>
    </row>
    <row r="45" spans="2:31" x14ac:dyDescent="0.2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243.44094809971395</v>
      </c>
      <c r="G45" s="133">
        <f t="shared" si="134"/>
        <v>292.27625664078465</v>
      </c>
      <c r="H45" s="133">
        <f t="shared" si="134"/>
        <v>362.68900694728239</v>
      </c>
      <c r="I45" s="133">
        <f t="shared" si="134"/>
        <v>474.17245606865549</v>
      </c>
      <c r="J45" s="133">
        <f t="shared" si="134"/>
        <v>572.1291377196568</v>
      </c>
      <c r="K45" s="133">
        <f t="shared" si="134"/>
        <v>339.55056179775278</v>
      </c>
      <c r="L45" s="133">
        <f t="shared" si="134"/>
        <v>487.64044943820221</v>
      </c>
      <c r="M45" s="133">
        <f t="shared" si="134"/>
        <v>575.44433094994895</v>
      </c>
      <c r="N45" s="133">
        <f t="shared" si="134"/>
        <v>689.84678243105202</v>
      </c>
      <c r="O45" s="133">
        <f t="shared" si="134"/>
        <v>159.19676417715314</v>
      </c>
      <c r="P45" s="133">
        <f t="shared" si="134"/>
        <v>161.10802418695866</v>
      </c>
      <c r="Q45" s="118">
        <f>((P45/G45)^(1/($H$2-$H$1) ))-1</f>
        <v>-6.4038075620456048E-2</v>
      </c>
      <c r="R45" s="128"/>
      <c r="S45" s="158">
        <f t="shared" ref="S45:AB45" si="135">S27/S40</f>
        <v>156.90520616469018</v>
      </c>
      <c r="T45" s="158">
        <f t="shared" si="135"/>
        <v>152.81202687343742</v>
      </c>
      <c r="U45" s="158">
        <f t="shared" si="135"/>
        <v>148.82562617239125</v>
      </c>
      <c r="V45" s="158">
        <f t="shared" si="135"/>
        <v>144.94321853311149</v>
      </c>
      <c r="W45" s="158">
        <f t="shared" si="135"/>
        <v>141.16209109311731</v>
      </c>
      <c r="X45" s="158">
        <f t="shared" si="135"/>
        <v>137.47960176025339</v>
      </c>
      <c r="Y45" s="158">
        <f t="shared" si="135"/>
        <v>133.8931773665077</v>
      </c>
      <c r="Z45" s="158">
        <f t="shared" si="135"/>
        <v>130.40031186999013</v>
      </c>
      <c r="AA45" s="158">
        <f t="shared" si="135"/>
        <v>126.99856460381649</v>
      </c>
      <c r="AB45" s="158">
        <f t="shared" si="135"/>
        <v>123.68555857067346</v>
      </c>
      <c r="AC45" s="138">
        <f t="shared" ref="AC45" si="136">((AB45/G45)^(1/($AB$3-$H$1) ))-1</f>
        <v>-4.4251895939398711E-2</v>
      </c>
      <c r="AD45" s="31">
        <f t="shared" si="17"/>
        <v>0.08</v>
      </c>
      <c r="AE45" s="146">
        <f t="shared" si="133"/>
        <v>954.14573754519517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18.144666939109115</v>
      </c>
      <c r="G47" s="133">
        <f t="shared" si="137"/>
        <v>26.890069472823868</v>
      </c>
      <c r="H47" s="133">
        <f t="shared" si="137"/>
        <v>38.945647731916637</v>
      </c>
      <c r="I47" s="133">
        <f t="shared" si="137"/>
        <v>68.614630159378834</v>
      </c>
      <c r="J47" s="133">
        <f t="shared" si="137"/>
        <v>98.651409889660812</v>
      </c>
      <c r="K47" s="133">
        <f t="shared" si="137"/>
        <v>58.406537282941777</v>
      </c>
      <c r="L47" s="133">
        <f t="shared" si="137"/>
        <v>63.636363636363633</v>
      </c>
      <c r="M47" s="133">
        <f t="shared" si="137"/>
        <v>88.375893769152185</v>
      </c>
      <c r="N47" s="133">
        <f t="shared" si="137"/>
        <v>123.65679264555668</v>
      </c>
      <c r="O47" s="133">
        <f t="shared" si="137"/>
        <v>28.954894590619382</v>
      </c>
      <c r="P47" s="133">
        <f t="shared" si="137"/>
        <v>27.34556300049028</v>
      </c>
      <c r="Q47" s="118">
        <f>((P47/G47)^(1/($H$2-$H$1) ))-1</f>
        <v>1.8681017884236706E-3</v>
      </c>
      <c r="R47" s="128"/>
      <c r="S47" s="158">
        <f t="shared" ref="S47:AB47" si="138">S38/S40</f>
        <v>26.632200487434012</v>
      </c>
      <c r="T47" s="158">
        <f t="shared" si="138"/>
        <v>25.937447431240088</v>
      </c>
      <c r="U47" s="158">
        <f t="shared" si="138"/>
        <v>25.260818367816437</v>
      </c>
      <c r="V47" s="158">
        <f t="shared" si="138"/>
        <v>24.601840497351667</v>
      </c>
      <c r="W47" s="158">
        <f t="shared" si="138"/>
        <v>23.960053353942495</v>
      </c>
      <c r="X47" s="158">
        <f t="shared" si="138"/>
        <v>23.335008483839651</v>
      </c>
      <c r="Y47" s="158">
        <f t="shared" si="138"/>
        <v>22.726269132087321</v>
      </c>
      <c r="Z47" s="158">
        <f t="shared" si="138"/>
        <v>22.13340993733722</v>
      </c>
      <c r="AA47" s="158">
        <f t="shared" si="138"/>
        <v>21.556016634624076</v>
      </c>
      <c r="AB47" s="158">
        <f t="shared" si="138"/>
        <v>20.993685765894757</v>
      </c>
      <c r="AC47" s="138">
        <f t="shared" ref="AC47:AC61" si="139">((AB47/G47)^(1/($AB$3-$H$1) ))-1</f>
        <v>-1.2943676419800765E-2</v>
      </c>
      <c r="AD47" s="31">
        <f t="shared" si="17"/>
        <v>0.08</v>
      </c>
      <c r="AE47" s="146">
        <f t="shared" ref="AE47:AE75" si="140">(AB47*(1+AD47))/($C$1-AD47)</f>
        <v>161.95129019404527</v>
      </c>
    </row>
    <row r="48" spans="2:31" x14ac:dyDescent="0.2">
      <c r="B48" s="20" t="s">
        <v>389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>
        <f t="shared" si="141"/>
        <v>50.796894156109524</v>
      </c>
      <c r="G48" s="133">
        <f>G20/G40</f>
        <v>69.268492031058443</v>
      </c>
      <c r="H48" s="133">
        <f t="shared" ref="H48:P48" si="142">H20/H40</f>
        <v>33.428688189619947</v>
      </c>
      <c r="I48" s="133">
        <f t="shared" si="142"/>
        <v>66.326113608500208</v>
      </c>
      <c r="J48" s="133">
        <f t="shared" si="142"/>
        <v>115.28402125051083</v>
      </c>
      <c r="K48" s="133">
        <f t="shared" si="142"/>
        <v>71.052093973442283</v>
      </c>
      <c r="L48" s="133">
        <f t="shared" si="142"/>
        <v>67.231869254341163</v>
      </c>
      <c r="M48" s="133">
        <f t="shared" si="142"/>
        <v>32.379979570990805</v>
      </c>
      <c r="N48" s="133">
        <f t="shared" si="142"/>
        <v>54.300306435137891</v>
      </c>
      <c r="O48" s="133">
        <f t="shared" si="142"/>
        <v>-3.3216211799313613</v>
      </c>
      <c r="P48" s="133">
        <f t="shared" si="142"/>
        <v>7.6156234678869099</v>
      </c>
      <c r="Q48" s="118">
        <f>((P48/G48)^(1/($H$2-$H$1) ))-1</f>
        <v>-0.21753791351905727</v>
      </c>
      <c r="R48" s="128"/>
      <c r="S48" s="133">
        <f t="shared" ref="S48:AB48" si="143">S20/S40</f>
        <v>7.4169550295942086</v>
      </c>
      <c r="T48" s="133">
        <f t="shared" si="143"/>
        <v>7.2234692462134911</v>
      </c>
      <c r="U48" s="133">
        <f t="shared" si="143"/>
        <v>7.035030918051401</v>
      </c>
      <c r="V48" s="133">
        <f t="shared" si="143"/>
        <v>6.8515083723631038</v>
      </c>
      <c r="W48" s="133">
        <f t="shared" si="143"/>
        <v>6.6727733713449382</v>
      </c>
      <c r="X48" s="133">
        <f t="shared" si="143"/>
        <v>6.4987010225272446</v>
      </c>
      <c r="Y48" s="133">
        <f t="shared" si="143"/>
        <v>6.3291696915047959</v>
      </c>
      <c r="Z48" s="133">
        <f t="shared" si="143"/>
        <v>6.1640609169438028</v>
      </c>
      <c r="AA48" s="133">
        <f t="shared" si="143"/>
        <v>6.0032593278061386</v>
      </c>
      <c r="AB48" s="133">
        <f t="shared" si="143"/>
        <v>5.8466525627329355</v>
      </c>
      <c r="AC48" s="138">
        <f t="shared" ref="AC48" si="144">((AB48/G48)^(1/($AB$3-$H$1) ))-1</f>
        <v>-0.12200258015156218</v>
      </c>
      <c r="AD48" s="31">
        <f t="shared" si="17"/>
        <v>0.08</v>
      </c>
      <c r="AE48" s="146">
        <f t="shared" si="140"/>
        <v>45.102748341082645</v>
      </c>
    </row>
    <row r="49" spans="2:31" x14ac:dyDescent="0.2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>
        <f t="shared" si="145"/>
        <v>196.28116060482225</v>
      </c>
      <c r="G49" s="133">
        <f t="shared" si="145"/>
        <v>216.38741315897019</v>
      </c>
      <c r="H49" s="133">
        <f t="shared" si="145"/>
        <v>246.26072742133226</v>
      </c>
      <c r="I49" s="133">
        <f t="shared" si="145"/>
        <v>298.365345320801</v>
      </c>
      <c r="J49" s="133">
        <f t="shared" si="145"/>
        <v>359.13363302002455</v>
      </c>
      <c r="K49" s="133">
        <f t="shared" si="145"/>
        <v>220.10214504596524</v>
      </c>
      <c r="L49" s="133">
        <f t="shared" si="145"/>
        <v>263.9987742594484</v>
      </c>
      <c r="M49" s="133">
        <f t="shared" si="145"/>
        <v>324.73912155260467</v>
      </c>
      <c r="N49" s="133">
        <f t="shared" si="145"/>
        <v>411.74831460674159</v>
      </c>
      <c r="O49" s="133">
        <f t="shared" si="145"/>
        <v>103.7876286974996</v>
      </c>
      <c r="P49" s="133">
        <f t="shared" si="145"/>
        <v>124.74546494525249</v>
      </c>
      <c r="Q49" s="118">
        <f>((P49/G49)^(1/($H$2-$H$1) ))-1</f>
        <v>-5.9364383455864478E-2</v>
      </c>
      <c r="R49" s="128"/>
      <c r="S49" s="158">
        <f t="shared" ref="S49:AB49" si="146">S7/S40</f>
        <v>121.49123542494158</v>
      </c>
      <c r="T49" s="158">
        <f t="shared" si="146"/>
        <v>118.32189884863877</v>
      </c>
      <c r="U49" s="158">
        <f t="shared" si="146"/>
        <v>115.23524061780473</v>
      </c>
      <c r="V49" s="158">
        <f t="shared" si="146"/>
        <v>112.22910390603593</v>
      </c>
      <c r="W49" s="158">
        <f t="shared" si="146"/>
        <v>109.30138815196545</v>
      </c>
      <c r="X49" s="158">
        <f t="shared" si="146"/>
        <v>106.45004759147942</v>
      </c>
      <c r="Y49" s="158">
        <f t="shared" si="146"/>
        <v>103.67308982822345</v>
      </c>
      <c r="Z49" s="158">
        <f t="shared" si="146"/>
        <v>100.96857444140025</v>
      </c>
      <c r="AA49" s="158">
        <f t="shared" si="146"/>
        <v>98.334611629885472</v>
      </c>
      <c r="AB49" s="158">
        <f t="shared" si="146"/>
        <v>95.76936089171457</v>
      </c>
      <c r="AC49" s="138">
        <f t="shared" si="139"/>
        <v>-4.1994204144065073E-2</v>
      </c>
      <c r="AD49" s="31">
        <f t="shared" si="17"/>
        <v>0.08</v>
      </c>
      <c r="AE49" s="146">
        <f t="shared" si="140"/>
        <v>738.79221259322662</v>
      </c>
    </row>
    <row r="50" spans="2:31" x14ac:dyDescent="0.2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>
        <f t="shared" si="147"/>
        <v>186.30976706170821</v>
      </c>
      <c r="G50" s="144">
        <f t="shared" si="147"/>
        <v>206.41601961585616</v>
      </c>
      <c r="H50" s="144">
        <f t="shared" si="147"/>
        <v>236.28933387821823</v>
      </c>
      <c r="I50" s="144">
        <f t="shared" si="147"/>
        <v>288.35308541070702</v>
      </c>
      <c r="J50" s="144">
        <f t="shared" si="147"/>
        <v>349.12137310993052</v>
      </c>
      <c r="K50" s="144">
        <f t="shared" si="147"/>
        <v>210.09193054136873</v>
      </c>
      <c r="L50" s="144">
        <f t="shared" si="147"/>
        <v>253.99836567926454</v>
      </c>
      <c r="M50" s="144">
        <f t="shared" si="147"/>
        <v>314.73871297242079</v>
      </c>
      <c r="N50" s="144">
        <f t="shared" si="147"/>
        <v>401.7479060265577</v>
      </c>
      <c r="O50" s="144">
        <f t="shared" si="147"/>
        <v>101.7876286974996</v>
      </c>
      <c r="P50" s="144">
        <f t="shared" si="147"/>
        <v>122.74554665795065</v>
      </c>
      <c r="Q50" s="118">
        <f>((P50/G50)^(1/($H$2-$H$1) ))-1</f>
        <v>-5.6117273516941291E-2</v>
      </c>
      <c r="R50" s="128"/>
      <c r="S50" s="157">
        <f t="shared" ref="S50:AB50" si="148">S6/S40</f>
        <v>119.5434889190476</v>
      </c>
      <c r="T50" s="157">
        <f t="shared" si="148"/>
        <v>116.42496312115942</v>
      </c>
      <c r="U50" s="157">
        <f t="shared" si="148"/>
        <v>113.38779017017268</v>
      </c>
      <c r="V50" s="157">
        <f t="shared" si="148"/>
        <v>110.42984781790732</v>
      </c>
      <c r="W50" s="157">
        <f t="shared" si="148"/>
        <v>107.54906917917933</v>
      </c>
      <c r="X50" s="157">
        <f t="shared" si="148"/>
        <v>104.74344128754858</v>
      </c>
      <c r="Y50" s="157">
        <f t="shared" si="148"/>
        <v>102.01100368874297</v>
      </c>
      <c r="Z50" s="157">
        <f t="shared" si="148"/>
        <v>99.349847070775795</v>
      </c>
      <c r="AA50" s="157">
        <f t="shared" si="148"/>
        <v>96.758111929799043</v>
      </c>
      <c r="AB50" s="157">
        <f t="shared" si="148"/>
        <v>94.233987270760821</v>
      </c>
      <c r="AC50" s="138">
        <f t="shared" si="139"/>
        <v>-4.0429116707895285E-2</v>
      </c>
      <c r="AD50" s="31">
        <f t="shared" si="17"/>
        <v>0.08</v>
      </c>
      <c r="AE50" s="146">
        <f t="shared" si="140"/>
        <v>726.94790180301209</v>
      </c>
    </row>
    <row r="51" spans="2:31" x14ac:dyDescent="0.2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>
        <f t="shared" si="149"/>
        <v>21.700040866366979</v>
      </c>
      <c r="G51" s="144">
        <f t="shared" si="149"/>
        <v>22.067838169186761</v>
      </c>
      <c r="H51" s="144">
        <f t="shared" si="149"/>
        <v>21.904372701266858</v>
      </c>
      <c r="I51" s="144">
        <f t="shared" si="149"/>
        <v>22.803432774826319</v>
      </c>
      <c r="J51" s="144">
        <f t="shared" si="149"/>
        <v>3.637106661217818</v>
      </c>
      <c r="K51" s="144">
        <f t="shared" si="149"/>
        <v>1.9407558733401429</v>
      </c>
      <c r="L51" s="144">
        <f t="shared" si="149"/>
        <v>3.4116445352400406</v>
      </c>
      <c r="M51" s="144">
        <f t="shared" si="149"/>
        <v>3.023493360572012</v>
      </c>
      <c r="N51" s="144">
        <f t="shared" si="149"/>
        <v>5.5158324821246163</v>
      </c>
      <c r="O51" s="144">
        <f t="shared" si="149"/>
        <v>1.5075992809282563</v>
      </c>
      <c r="P51" s="144">
        <f t="shared" si="149"/>
        <v>5.0375878411505148</v>
      </c>
      <c r="Q51" s="118">
        <f>((P51/G51)^(1/($H$2-$H$1) ))-1</f>
        <v>-0.15137056076414257</v>
      </c>
      <c r="R51" s="128"/>
      <c r="S51" s="157">
        <f t="shared" ref="S51:AB51" si="150">S10/S40</f>
        <v>4.9061725061639798</v>
      </c>
      <c r="T51" s="157">
        <f t="shared" si="150"/>
        <v>4.7781853973075288</v>
      </c>
      <c r="U51" s="157">
        <f t="shared" si="150"/>
        <v>4.6535370825951592</v>
      </c>
      <c r="V51" s="157">
        <f t="shared" si="150"/>
        <v>4.532140463049199</v>
      </c>
      <c r="W51" s="157">
        <f t="shared" si="150"/>
        <v>4.4139107118392209</v>
      </c>
      <c r="X51" s="157">
        <f t="shared" si="150"/>
        <v>4.2987652150086335</v>
      </c>
      <c r="Y51" s="157">
        <f t="shared" si="150"/>
        <v>4.1866235137475396</v>
      </c>
      <c r="Z51" s="157">
        <f t="shared" si="150"/>
        <v>4.0774072481715171</v>
      </c>
      <c r="AA51" s="157">
        <f t="shared" si="150"/>
        <v>3.9710401025670432</v>
      </c>
      <c r="AB51" s="157">
        <f t="shared" si="150"/>
        <v>3.8674477520652948</v>
      </c>
      <c r="AC51" s="138">
        <f t="shared" si="139"/>
        <v>-8.7584032156724501E-2</v>
      </c>
      <c r="AD51" s="31">
        <f t="shared" si="17"/>
        <v>0.08</v>
      </c>
      <c r="AE51" s="146">
        <f t="shared" si="140"/>
        <v>29.834596944503701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 x14ac:dyDescent="0.2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>
        <f t="shared" si="151"/>
        <v>174.58111973845527</v>
      </c>
      <c r="G53" s="144">
        <f t="shared" si="151"/>
        <v>194.3195749897834</v>
      </c>
      <c r="H53" s="144">
        <f t="shared" si="151"/>
        <v>224.35635472006538</v>
      </c>
      <c r="I53" s="144">
        <f t="shared" si="151"/>
        <v>275.56191254597468</v>
      </c>
      <c r="J53" s="144">
        <f t="shared" si="151"/>
        <v>355.4965263588067</v>
      </c>
      <c r="K53" s="144">
        <f t="shared" si="151"/>
        <v>218.16138917262512</v>
      </c>
      <c r="L53" s="144">
        <f t="shared" si="151"/>
        <v>260.58712972420835</v>
      </c>
      <c r="M53" s="144">
        <f t="shared" si="151"/>
        <v>321.71562819203268</v>
      </c>
      <c r="N53" s="144">
        <f t="shared" si="151"/>
        <v>406.23248212461698</v>
      </c>
      <c r="O53" s="144">
        <f t="shared" si="151"/>
        <v>102.28002941657134</v>
      </c>
      <c r="P53" s="144">
        <f t="shared" si="151"/>
        <v>119.70787710410198</v>
      </c>
      <c r="Q53" s="118">
        <f>((P53/G53)^(1/($H$2-$H$1) ))-1</f>
        <v>-5.2404676899508118E-2</v>
      </c>
      <c r="R53" s="128"/>
      <c r="S53" s="157">
        <f t="shared" ref="S53:AB53" si="152">(S7-S10)/S40</f>
        <v>116.5850629187776</v>
      </c>
      <c r="T53" s="157">
        <f t="shared" si="152"/>
        <v>113.54371345133124</v>
      </c>
      <c r="U53" s="157">
        <f t="shared" si="152"/>
        <v>110.58170353520957</v>
      </c>
      <c r="V53" s="157">
        <f t="shared" si="152"/>
        <v>107.69696344298674</v>
      </c>
      <c r="W53" s="157">
        <f t="shared" si="152"/>
        <v>104.88747744012625</v>
      </c>
      <c r="X53" s="157">
        <f t="shared" si="152"/>
        <v>102.15128237647077</v>
      </c>
      <c r="Y53" s="157">
        <f t="shared" si="152"/>
        <v>99.486466314475905</v>
      </c>
      <c r="Z53" s="157">
        <f t="shared" si="152"/>
        <v>96.891167193228739</v>
      </c>
      <c r="AA53" s="157">
        <f t="shared" si="152"/>
        <v>94.363571527318413</v>
      </c>
      <c r="AB53" s="157">
        <f t="shared" si="152"/>
        <v>91.901913139649267</v>
      </c>
      <c r="AC53" s="138">
        <f t="shared" si="139"/>
        <v>-3.8643135726204814E-2</v>
      </c>
      <c r="AD53" s="31">
        <f t="shared" si="17"/>
        <v>0.08</v>
      </c>
      <c r="AE53" s="146">
        <f t="shared" si="140"/>
        <v>708.95761564872294</v>
      </c>
    </row>
    <row r="54" spans="2:31" x14ac:dyDescent="0.2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>
        <f t="shared" si="153"/>
        <v>7.274213322435636</v>
      </c>
      <c r="G54" s="144">
        <f t="shared" si="153"/>
        <v>-23.865958316305683</v>
      </c>
      <c r="H54" s="144">
        <f t="shared" si="153"/>
        <v>-71.843073150796897</v>
      </c>
      <c r="I54" s="144">
        <f t="shared" si="153"/>
        <v>-88.353085410706996</v>
      </c>
      <c r="J54" s="144">
        <f t="shared" si="153"/>
        <v>-133.14262362076013</v>
      </c>
      <c r="K54" s="144">
        <f t="shared" si="153"/>
        <v>-121.61389172625127</v>
      </c>
      <c r="L54" s="144">
        <f t="shared" si="153"/>
        <v>-324.14116445352403</v>
      </c>
      <c r="M54" s="144">
        <f t="shared" si="153"/>
        <v>-346.92625127681305</v>
      </c>
      <c r="N54" s="144">
        <f t="shared" si="153"/>
        <v>-396.85903983656789</v>
      </c>
      <c r="O54" s="144">
        <f t="shared" si="153"/>
        <v>-67.900678215394677</v>
      </c>
      <c r="P54" s="144">
        <f t="shared" si="153"/>
        <v>4.4590619382252061</v>
      </c>
      <c r="Q54" s="118">
        <f>((P54/G54)^(1/($H$2-$H$1) ))-1</f>
        <v>-1.8299494189903238</v>
      </c>
      <c r="R54" s="128"/>
      <c r="S54" s="157">
        <f t="shared" ref="S54:AB54" si="154">(S7-S10-S9)/S40</f>
        <v>4.3427385833149854</v>
      </c>
      <c r="T54" s="157">
        <f t="shared" si="154"/>
        <v>4.2294497507067819</v>
      </c>
      <c r="U54" s="157">
        <f t="shared" si="154"/>
        <v>4.1191162789491971</v>
      </c>
      <c r="V54" s="157">
        <f t="shared" si="154"/>
        <v>4.0116610716722771</v>
      </c>
      <c r="W54" s="157">
        <f t="shared" si="154"/>
        <v>3.907009043715608</v>
      </c>
      <c r="X54" s="157">
        <f t="shared" si="154"/>
        <v>3.8050870686621461</v>
      </c>
      <c r="Y54" s="157">
        <f t="shared" si="154"/>
        <v>3.7058239277405192</v>
      </c>
      <c r="Z54" s="157">
        <f t="shared" si="154"/>
        <v>3.6091502600603529</v>
      </c>
      <c r="AA54" s="157">
        <f t="shared" si="154"/>
        <v>3.5149985141457174</v>
      </c>
      <c r="AB54" s="157">
        <f t="shared" si="154"/>
        <v>3.4233029007332383</v>
      </c>
      <c r="AC54" s="138">
        <f t="shared" si="139"/>
        <v>-1.9028467181075968</v>
      </c>
      <c r="AD54" s="31">
        <f t="shared" si="17"/>
        <v>0.08</v>
      </c>
      <c r="AE54" s="146">
        <f t="shared" si="140"/>
        <v>26.408336662799268</v>
      </c>
    </row>
    <row r="55" spans="2:31" x14ac:dyDescent="0.2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>
        <f t="shared" si="155"/>
        <v>370.69881487535758</v>
      </c>
      <c r="G55" s="144">
        <f t="shared" si="155"/>
        <v>428.32039231712304</v>
      </c>
      <c r="H55" s="144">
        <f t="shared" si="155"/>
        <v>499.75480179812018</v>
      </c>
      <c r="I55" s="144">
        <f t="shared" si="155"/>
        <v>697.58888434818152</v>
      </c>
      <c r="J55" s="144">
        <f t="shared" si="155"/>
        <v>898.28361258684106</v>
      </c>
      <c r="K55" s="144">
        <f t="shared" si="155"/>
        <v>562.00204290091926</v>
      </c>
      <c r="L55" s="144">
        <f t="shared" si="155"/>
        <v>470.22042900919297</v>
      </c>
      <c r="M55" s="144">
        <f t="shared" si="155"/>
        <v>564.28927477017351</v>
      </c>
      <c r="N55" s="144">
        <f t="shared" si="155"/>
        <v>704.4279877425945</v>
      </c>
      <c r="O55" s="144">
        <f t="shared" si="155"/>
        <v>181.90321130903743</v>
      </c>
      <c r="P55" s="144">
        <f t="shared" si="155"/>
        <v>214.50482104919104</v>
      </c>
      <c r="Q55" s="118">
        <f>((P55/G55)^(1/($H$2-$H$1) ))-1</f>
        <v>-7.3959860407142641E-2</v>
      </c>
      <c r="R55" s="128"/>
      <c r="S55" s="157">
        <f t="shared" ref="S55:AB55" si="156">(S7+S15-S10-S9)/S40</f>
        <v>208.90904310877741</v>
      </c>
      <c r="T55" s="157">
        <f t="shared" si="156"/>
        <v>203.45924198420064</v>
      </c>
      <c r="U55" s="157">
        <f t="shared" si="156"/>
        <v>198.15160958461283</v>
      </c>
      <c r="V55" s="157">
        <f t="shared" si="156"/>
        <v>192.98243716066642</v>
      </c>
      <c r="W55" s="157">
        <f t="shared" si="156"/>
        <v>187.9481127129969</v>
      </c>
      <c r="X55" s="157">
        <f t="shared" si="156"/>
        <v>183.04511846831002</v>
      </c>
      <c r="Y55" s="157">
        <f t="shared" si="156"/>
        <v>178.27002842131068</v>
      </c>
      <c r="Z55" s="157">
        <f t="shared" si="156"/>
        <v>173.61950594075483</v>
      </c>
      <c r="AA55" s="157">
        <f t="shared" si="156"/>
        <v>169.09030143795255</v>
      </c>
      <c r="AB55" s="157">
        <f t="shared" si="156"/>
        <v>164.67925009609291</v>
      </c>
      <c r="AC55" s="138">
        <f t="shared" si="139"/>
        <v>-4.9064502652334641E-2</v>
      </c>
      <c r="AD55" s="31">
        <f t="shared" si="17"/>
        <v>0.08</v>
      </c>
      <c r="AE55" s="146">
        <f t="shared" si="140"/>
        <v>1270.382786455574</v>
      </c>
    </row>
    <row r="56" spans="2:31" x14ac:dyDescent="0.2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 x14ac:dyDescent="0.2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>
        <f t="shared" si="157"/>
        <v>53.943604413567634</v>
      </c>
      <c r="G57" s="144">
        <f t="shared" si="157"/>
        <v>108.6636697997548</v>
      </c>
      <c r="H57" s="144">
        <f t="shared" si="157"/>
        <v>129.8324478953821</v>
      </c>
      <c r="I57" s="144">
        <f t="shared" si="157"/>
        <v>168.90069472823868</v>
      </c>
      <c r="J57" s="144">
        <f t="shared" si="157"/>
        <v>237.3518594196976</v>
      </c>
      <c r="K57" s="144">
        <f t="shared" si="157"/>
        <v>171.31767109295197</v>
      </c>
      <c r="L57" s="144">
        <f t="shared" si="157"/>
        <v>211.01123595505618</v>
      </c>
      <c r="M57" s="144">
        <f t="shared" si="157"/>
        <v>201.34831460674155</v>
      </c>
      <c r="N57" s="144">
        <f t="shared" si="157"/>
        <v>198.26353421859039</v>
      </c>
      <c r="O57" s="144">
        <f t="shared" si="157"/>
        <v>27.512665468213761</v>
      </c>
      <c r="P57" s="144">
        <f t="shared" si="157"/>
        <v>32.052214414119959</v>
      </c>
      <c r="Q57" s="118">
        <f>((P57/G57)^(1/($H$2-$H$1) ))-1</f>
        <v>-0.1268558201033535</v>
      </c>
      <c r="R57" s="128"/>
      <c r="S57" s="157">
        <f t="shared" ref="S57:AB57" si="158">S12/S40</f>
        <v>31.216069690273351</v>
      </c>
      <c r="T57" s="157">
        <f t="shared" si="158"/>
        <v>30.401737437483614</v>
      </c>
      <c r="U57" s="157">
        <f t="shared" si="158"/>
        <v>29.608648634766652</v>
      </c>
      <c r="V57" s="157">
        <f t="shared" si="158"/>
        <v>28.83624910516405</v>
      </c>
      <c r="W57" s="157">
        <f t="shared" si="158"/>
        <v>28.083999128507603</v>
      </c>
      <c r="X57" s="157">
        <f t="shared" si="158"/>
        <v>27.351373064285667</v>
      </c>
      <c r="Y57" s="157">
        <f t="shared" si="158"/>
        <v>26.637858984347787</v>
      </c>
      <c r="Z57" s="157">
        <f t="shared" si="158"/>
        <v>25.942958315190889</v>
      </c>
      <c r="AA57" s="157">
        <f t="shared" si="158"/>
        <v>25.266185489577214</v>
      </c>
      <c r="AB57" s="157">
        <f t="shared" si="158"/>
        <v>24.607067607240424</v>
      </c>
      <c r="AC57" s="138">
        <f t="shared" si="139"/>
        <v>-7.519250280045453E-2</v>
      </c>
      <c r="AD57" s="31">
        <f t="shared" si="17"/>
        <v>0.08</v>
      </c>
      <c r="AE57" s="146">
        <f t="shared" si="140"/>
        <v>189.82595011299753</v>
      </c>
    </row>
    <row r="58" spans="2:31" x14ac:dyDescent="0.2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>
        <f t="shared" si="159"/>
        <v>0.42214957090314675</v>
      </c>
      <c r="G58" s="144">
        <f t="shared" si="159"/>
        <v>1.1851246424192889</v>
      </c>
      <c r="H58" s="144">
        <f t="shared" si="159"/>
        <v>0.36779730281977935</v>
      </c>
      <c r="I58" s="144">
        <f t="shared" si="159"/>
        <v>0.32693093583980387</v>
      </c>
      <c r="J58" s="144">
        <f t="shared" si="159"/>
        <v>0.32693093583980387</v>
      </c>
      <c r="K58" s="144">
        <f t="shared" si="159"/>
        <v>0.16935648621041877</v>
      </c>
      <c r="L58" s="144">
        <f t="shared" si="159"/>
        <v>0.12134831460674157</v>
      </c>
      <c r="M58" s="144">
        <f t="shared" si="159"/>
        <v>0.12134831460674157</v>
      </c>
      <c r="N58" s="144">
        <f t="shared" si="159"/>
        <v>0.12134831460674157</v>
      </c>
      <c r="O58" s="144">
        <f t="shared" si="159"/>
        <v>2.4268671351528031E-2</v>
      </c>
      <c r="P58" s="144">
        <f t="shared" si="159"/>
        <v>2.4268671351528031E-2</v>
      </c>
      <c r="Q58" s="118">
        <f>((P58/G58)^(1/($H$2-$H$1) ))-1</f>
        <v>-0.35082069960504725</v>
      </c>
      <c r="R58" s="128"/>
      <c r="S58" s="157">
        <f t="shared" ref="S58:AB58" si="160">S13/S40</f>
        <v>2.3635575577140345E-2</v>
      </c>
      <c r="T58" s="157">
        <f t="shared" si="160"/>
        <v>2.3018995344693208E-2</v>
      </c>
      <c r="U58" s="157">
        <f t="shared" si="160"/>
        <v>2.2418499813962083E-2</v>
      </c>
      <c r="V58" s="157">
        <f t="shared" si="160"/>
        <v>2.1833669384032639E-2</v>
      </c>
      <c r="W58" s="157">
        <f t="shared" si="160"/>
        <v>2.1264095400101359E-2</v>
      </c>
      <c r="X58" s="157">
        <f t="shared" si="160"/>
        <v>2.0709379867924805E-2</v>
      </c>
      <c r="Y58" s="157">
        <f t="shared" si="160"/>
        <v>2.0169135175718077E-2</v>
      </c>
      <c r="Z58" s="157">
        <f t="shared" si="160"/>
        <v>1.9642983823308043E-2</v>
      </c>
      <c r="AA58" s="157">
        <f t="shared" si="160"/>
        <v>1.9130558158352181E-2</v>
      </c>
      <c r="AB58" s="157">
        <f t="shared" si="160"/>
        <v>1.8631500119438652E-2</v>
      </c>
      <c r="AC58" s="138">
        <f t="shared" si="139"/>
        <v>-0.1963293754141775</v>
      </c>
      <c r="AD58" s="31">
        <f t="shared" si="17"/>
        <v>0.08</v>
      </c>
      <c r="AE58" s="146">
        <f t="shared" si="140"/>
        <v>0.14372871520709818</v>
      </c>
    </row>
    <row r="59" spans="2:31" x14ac:dyDescent="0.2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>
        <f t="shared" si="161"/>
        <v>54.365753984470778</v>
      </c>
      <c r="G59" s="144">
        <f t="shared" si="161"/>
        <v>109.84879444217408</v>
      </c>
      <c r="H59" s="144">
        <f t="shared" si="161"/>
        <v>130.20024519820188</v>
      </c>
      <c r="I59" s="144">
        <f t="shared" si="161"/>
        <v>169.22762566407849</v>
      </c>
      <c r="J59" s="144">
        <f t="shared" si="161"/>
        <v>237.67879035553742</v>
      </c>
      <c r="K59" s="144">
        <f t="shared" si="161"/>
        <v>171.4870275791624</v>
      </c>
      <c r="L59" s="144">
        <f t="shared" si="161"/>
        <v>211.13258426966291</v>
      </c>
      <c r="M59" s="144">
        <f t="shared" si="161"/>
        <v>201.46966292134829</v>
      </c>
      <c r="N59" s="144">
        <f t="shared" si="161"/>
        <v>198.38488253319713</v>
      </c>
      <c r="O59" s="144">
        <f t="shared" ref="O59" si="162">(O57+O58)</f>
        <v>27.53693413956529</v>
      </c>
      <c r="P59" s="144">
        <f t="shared" si="161"/>
        <v>32.076483085471487</v>
      </c>
      <c r="Q59" s="118">
        <f>((P59/G59)^(1/($H$2-$H$1) ))-1</f>
        <v>-0.12783420551538827</v>
      </c>
      <c r="R59" s="128"/>
      <c r="S59" s="157">
        <f t="shared" ref="S59:AB59" si="163">(S57+S58)</f>
        <v>31.239705265850493</v>
      </c>
      <c r="T59" s="157">
        <f t="shared" si="163"/>
        <v>30.424756432828307</v>
      </c>
      <c r="U59" s="157">
        <f t="shared" si="163"/>
        <v>29.631067134580615</v>
      </c>
      <c r="V59" s="157">
        <f t="shared" si="163"/>
        <v>28.858082774548084</v>
      </c>
      <c r="W59" s="157">
        <f t="shared" si="163"/>
        <v>28.105263223907706</v>
      </c>
      <c r="X59" s="157">
        <f t="shared" si="163"/>
        <v>27.372082444153591</v>
      </c>
      <c r="Y59" s="157">
        <f t="shared" si="163"/>
        <v>26.658028119523504</v>
      </c>
      <c r="Z59" s="157">
        <f t="shared" si="163"/>
        <v>25.962601299014196</v>
      </c>
      <c r="AA59" s="157">
        <f t="shared" si="163"/>
        <v>25.285316047735567</v>
      </c>
      <c r="AB59" s="157">
        <f t="shared" si="163"/>
        <v>24.625699107359864</v>
      </c>
      <c r="AC59" s="138">
        <f t="shared" si="139"/>
        <v>-7.5683515102116017E-2</v>
      </c>
      <c r="AD59" s="31">
        <f t="shared" si="17"/>
        <v>0.08</v>
      </c>
      <c r="AE59" s="146">
        <f t="shared" si="140"/>
        <v>189.96967882820468</v>
      </c>
    </row>
    <row r="60" spans="2:31" x14ac:dyDescent="0.2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>
        <f t="shared" si="164"/>
        <v>363.42460155292196</v>
      </c>
      <c r="G60" s="144">
        <f t="shared" si="164"/>
        <v>452.18635063342873</v>
      </c>
      <c r="H60" s="144">
        <f t="shared" si="164"/>
        <v>571.59787494891702</v>
      </c>
      <c r="I60" s="144">
        <f t="shared" si="164"/>
        <v>785.94196975888849</v>
      </c>
      <c r="J60" s="144">
        <f t="shared" si="164"/>
        <v>1031.4262362076013</v>
      </c>
      <c r="K60" s="144">
        <f t="shared" si="164"/>
        <v>683.61593462717053</v>
      </c>
      <c r="L60" s="144">
        <f t="shared" si="164"/>
        <v>794.361593462717</v>
      </c>
      <c r="M60" s="144">
        <f t="shared" si="164"/>
        <v>911.21552604698672</v>
      </c>
      <c r="N60" s="144">
        <f t="shared" si="164"/>
        <v>1101.2870275791624</v>
      </c>
      <c r="O60" s="144">
        <f t="shared" si="164"/>
        <v>249.80388952443209</v>
      </c>
      <c r="P60" s="144">
        <f t="shared" si="164"/>
        <v>210.04575911096586</v>
      </c>
      <c r="Q60" s="118">
        <f>((P60/G60)^(1/($H$2-$H$1) ))-1</f>
        <v>-8.1668233235111076E-2</v>
      </c>
      <c r="R60" s="128"/>
      <c r="S60" s="157">
        <f t="shared" ref="S60:AB60" si="165">S15/S40</f>
        <v>204.56630452546244</v>
      </c>
      <c r="T60" s="157">
        <f t="shared" si="165"/>
        <v>199.22979223349387</v>
      </c>
      <c r="U60" s="157">
        <f t="shared" si="165"/>
        <v>194.03249330566362</v>
      </c>
      <c r="V60" s="157">
        <f t="shared" si="165"/>
        <v>188.97077608899417</v>
      </c>
      <c r="W60" s="157">
        <f t="shared" si="165"/>
        <v>184.04110366928131</v>
      </c>
      <c r="X60" s="157">
        <f t="shared" si="165"/>
        <v>179.2400313996479</v>
      </c>
      <c r="Y60" s="157">
        <f t="shared" si="165"/>
        <v>174.56420449357017</v>
      </c>
      <c r="Z60" s="157">
        <f t="shared" si="165"/>
        <v>170.01035568069446</v>
      </c>
      <c r="AA60" s="157">
        <f t="shared" si="165"/>
        <v>165.57530292380679</v>
      </c>
      <c r="AB60" s="157">
        <f t="shared" si="165"/>
        <v>161.25594719535971</v>
      </c>
      <c r="AC60" s="138">
        <f t="shared" si="139"/>
        <v>-5.2822246775078852E-2</v>
      </c>
      <c r="AD60" s="31">
        <f t="shared" si="17"/>
        <v>0.08</v>
      </c>
      <c r="AE60" s="146">
        <f t="shared" si="140"/>
        <v>1243.974449792775</v>
      </c>
    </row>
    <row r="61" spans="2:31" x14ac:dyDescent="0.2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>
        <f t="shared" si="166"/>
        <v>163.13853698406211</v>
      </c>
      <c r="G61" s="144">
        <f t="shared" si="166"/>
        <v>187.37229260318759</v>
      </c>
      <c r="H61" s="144">
        <f t="shared" si="166"/>
        <v>221.20964446260729</v>
      </c>
      <c r="I61" s="144">
        <f t="shared" si="166"/>
        <v>272.90559869227627</v>
      </c>
      <c r="J61" s="144">
        <f t="shared" si="166"/>
        <v>309.52186350633428</v>
      </c>
      <c r="K61" s="144">
        <f t="shared" si="166"/>
        <v>188.37589376915219</v>
      </c>
      <c r="L61" s="144">
        <f t="shared" si="166"/>
        <v>209.62206332992849</v>
      </c>
      <c r="M61" s="144">
        <f t="shared" si="166"/>
        <v>242.5740551583248</v>
      </c>
      <c r="N61" s="144">
        <f t="shared" si="166"/>
        <v>298.20224719101122</v>
      </c>
      <c r="O61" s="144">
        <f t="shared" si="166"/>
        <v>79.620853080568722</v>
      </c>
      <c r="P61" s="144">
        <f t="shared" si="166"/>
        <v>205.00817126981534</v>
      </c>
      <c r="Q61" s="118">
        <f>((P61/G61)^(1/($H$2-$H$1) ))-1</f>
        <v>1.0044817307112375E-2</v>
      </c>
      <c r="R61" s="128"/>
      <c r="S61" s="157">
        <f t="shared" ref="S61:AB61" si="167">S16/S40</f>
        <v>199.66013201929843</v>
      </c>
      <c r="T61" s="157">
        <f t="shared" si="167"/>
        <v>194.45160683618633</v>
      </c>
      <c r="U61" s="157">
        <f t="shared" si="167"/>
        <v>189.37895622306846</v>
      </c>
      <c r="V61" s="157">
        <f t="shared" si="167"/>
        <v>184.43863562594498</v>
      </c>
      <c r="W61" s="157">
        <f t="shared" si="167"/>
        <v>179.62719295744211</v>
      </c>
      <c r="X61" s="157">
        <f t="shared" si="167"/>
        <v>174.94126618463929</v>
      </c>
      <c r="Y61" s="157">
        <f t="shared" si="167"/>
        <v>170.37758097982265</v>
      </c>
      <c r="Z61" s="157">
        <f t="shared" si="167"/>
        <v>165.93294843252295</v>
      </c>
      <c r="AA61" s="157">
        <f t="shared" si="167"/>
        <v>161.60426282123973</v>
      </c>
      <c r="AB61" s="157">
        <f t="shared" si="167"/>
        <v>157.38849944329436</v>
      </c>
      <c r="AC61" s="138">
        <f t="shared" si="139"/>
        <v>-9.1359189155448828E-3</v>
      </c>
      <c r="AD61" s="137"/>
      <c r="AE61" s="146">
        <f t="shared" si="140"/>
        <v>715.40227019679253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0.08</v>
      </c>
      <c r="AE62" s="146">
        <f t="shared" si="140"/>
        <v>0</v>
      </c>
    </row>
    <row r="63" spans="2:31" x14ac:dyDescent="0.2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4</v>
      </c>
      <c r="G63" s="159">
        <f t="shared" si="168"/>
        <v>6</v>
      </c>
      <c r="H63" s="159">
        <f t="shared" si="168"/>
        <v>8</v>
      </c>
      <c r="I63" s="159">
        <f t="shared" si="168"/>
        <v>14.5</v>
      </c>
      <c r="J63" s="159">
        <f t="shared" si="168"/>
        <v>24.5</v>
      </c>
      <c r="K63" s="159">
        <f t="shared" si="168"/>
        <v>15.25</v>
      </c>
      <c r="L63" s="159">
        <f t="shared" si="168"/>
        <v>17</v>
      </c>
      <c r="M63" s="159">
        <f t="shared" si="168"/>
        <v>23.3</v>
      </c>
      <c r="N63" s="159">
        <f t="shared" si="168"/>
        <v>31.15</v>
      </c>
      <c r="O63" s="159">
        <f t="shared" si="168"/>
        <v>6.4</v>
      </c>
      <c r="P63" s="159">
        <f t="shared" si="168"/>
        <v>5.12</v>
      </c>
      <c r="Q63" s="118">
        <f>((P63/G63)^(1/($H$2-$H$1) ))-1</f>
        <v>-1.746840808100425E-2</v>
      </c>
      <c r="R63" s="128"/>
      <c r="S63" s="159">
        <f t="shared" ref="S63:AB63" si="169">S41</f>
        <v>5.3760000000000003</v>
      </c>
      <c r="T63" s="159">
        <f t="shared" si="169"/>
        <v>5.6448000000000009</v>
      </c>
      <c r="U63" s="159">
        <f t="shared" si="169"/>
        <v>5.9270400000000016</v>
      </c>
      <c r="V63" s="159">
        <f t="shared" si="169"/>
        <v>6.2233920000000023</v>
      </c>
      <c r="W63" s="159">
        <f t="shared" si="169"/>
        <v>6.5345616000000026</v>
      </c>
      <c r="X63" s="159">
        <f t="shared" si="169"/>
        <v>6.8612896800000032</v>
      </c>
      <c r="Y63" s="159">
        <f t="shared" si="169"/>
        <v>7.2043541640000033</v>
      </c>
      <c r="Z63" s="159">
        <f t="shared" si="169"/>
        <v>7.5645718722000037</v>
      </c>
      <c r="AA63" s="159">
        <f t="shared" si="169"/>
        <v>7.942800465810004</v>
      </c>
      <c r="AB63" s="159">
        <f t="shared" si="169"/>
        <v>8.3399404891005045</v>
      </c>
      <c r="AC63" s="138">
        <f t="shared" ref="AC63" si="170">((AB63/G63)^(1/($AB$3-$H$1) ))-1</f>
        <v>1.748246076250215E-2</v>
      </c>
      <c r="AD63" s="31">
        <f t="shared" si="17"/>
        <v>0.08</v>
      </c>
      <c r="AE63" s="146">
        <f t="shared" si="140"/>
        <v>64.33668377306104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 x14ac:dyDescent="0.2">
      <c r="B65" s="20" t="s">
        <v>318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1133</v>
      </c>
      <c r="G65" s="144">
        <f t="shared" si="171"/>
        <v>1586</v>
      </c>
      <c r="H65" s="144">
        <f t="shared" si="171"/>
        <v>783</v>
      </c>
      <c r="I65" s="144">
        <f t="shared" si="171"/>
        <v>1467</v>
      </c>
      <c r="J65" s="144">
        <f t="shared" si="171"/>
        <v>2609</v>
      </c>
      <c r="K65" s="144">
        <f t="shared" si="171"/>
        <v>3465.46</v>
      </c>
      <c r="L65" s="144">
        <f t="shared" si="171"/>
        <v>2779</v>
      </c>
      <c r="M65" s="144">
        <f t="shared" si="171"/>
        <v>619</v>
      </c>
      <c r="N65" s="144">
        <f t="shared" si="171"/>
        <v>1316</v>
      </c>
      <c r="O65" s="144">
        <f t="shared" si="171"/>
        <v>-1142</v>
      </c>
      <c r="P65" s="144">
        <f t="shared" si="171"/>
        <v>1526</v>
      </c>
      <c r="Q65" s="118">
        <f>((P65/G65)^(1/($H$2-$H$1) ))-1</f>
        <v>-4.2758535460487579E-3</v>
      </c>
      <c r="R65" s="128"/>
      <c r="S65" s="144">
        <f t="shared" ref="S65:AB65" si="172">S20+S21</f>
        <v>1709.1200000000003</v>
      </c>
      <c r="T65" s="144">
        <f t="shared" si="172"/>
        <v>1914.2144000000003</v>
      </c>
      <c r="U65" s="144">
        <f t="shared" si="172"/>
        <v>2143.9201280000007</v>
      </c>
      <c r="V65" s="144">
        <f t="shared" si="172"/>
        <v>2401.1905433600004</v>
      </c>
      <c r="W65" s="144">
        <f t="shared" si="172"/>
        <v>2689.3334085632009</v>
      </c>
      <c r="X65" s="144">
        <f t="shared" si="172"/>
        <v>3012.0534175907856</v>
      </c>
      <c r="Y65" s="144">
        <f t="shared" si="172"/>
        <v>3373.4998277016798</v>
      </c>
      <c r="Z65" s="144">
        <f t="shared" si="172"/>
        <v>3778.3198070258823</v>
      </c>
      <c r="AA65" s="144">
        <f t="shared" si="172"/>
        <v>4231.7181838689876</v>
      </c>
      <c r="AB65" s="144">
        <f t="shared" si="172"/>
        <v>4739.5243659332664</v>
      </c>
      <c r="AC65" s="138">
        <f t="shared" ref="AC65:AC70" si="173">((AB65/G65)^(1/($AB$3-$H$1) ))-1</f>
        <v>5.9309128023731006E-2</v>
      </c>
      <c r="AD65" s="31">
        <f t="shared" si="17"/>
        <v>0.08</v>
      </c>
      <c r="AE65" s="146">
        <f t="shared" si="140"/>
        <v>36562.045108628052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 x14ac:dyDescent="0.2">
      <c r="B67" s="20" t="s">
        <v>319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>
        <f t="shared" si="174"/>
        <v>46.301593788312218</v>
      </c>
      <c r="G67" s="144">
        <f t="shared" si="174"/>
        <v>64.814058030241114</v>
      </c>
      <c r="H67" s="144">
        <f t="shared" si="174"/>
        <v>31.998365345320803</v>
      </c>
      <c r="I67" s="144">
        <f t="shared" si="174"/>
        <v>59.950960359624034</v>
      </c>
      <c r="J67" s="144">
        <f t="shared" si="174"/>
        <v>106.62035145075603</v>
      </c>
      <c r="K67" s="144">
        <f t="shared" si="174"/>
        <v>70.795914198161384</v>
      </c>
      <c r="L67" s="144">
        <f t="shared" si="174"/>
        <v>56.772216547497443</v>
      </c>
      <c r="M67" s="144">
        <f t="shared" si="174"/>
        <v>12.645556690500509</v>
      </c>
      <c r="N67" s="144">
        <f t="shared" si="174"/>
        <v>26.884576098059242</v>
      </c>
      <c r="O67" s="144">
        <f t="shared" si="174"/>
        <v>-4.6657950645530315</v>
      </c>
      <c r="P67" s="144">
        <f t="shared" si="174"/>
        <v>6.2346788690962578</v>
      </c>
      <c r="Q67" s="118">
        <f>((P67/G67)^(1/($H$2-$H$1) ))-1</f>
        <v>-0.22906795660470269</v>
      </c>
      <c r="R67" s="128"/>
      <c r="S67" s="146">
        <f t="shared" ref="S67:AB67" si="175">S65/S40</f>
        <v>6.0720350725111389</v>
      </c>
      <c r="T67" s="146">
        <f t="shared" si="175"/>
        <v>5.913634157576066</v>
      </c>
      <c r="U67" s="146">
        <f t="shared" si="175"/>
        <v>5.7593654404219086</v>
      </c>
      <c r="V67" s="146">
        <f t="shared" si="175"/>
        <v>5.6091211245848154</v>
      </c>
      <c r="W67" s="146">
        <f t="shared" si="175"/>
        <v>5.4627962256826041</v>
      </c>
      <c r="X67" s="146">
        <f t="shared" si="175"/>
        <v>5.3202884980561027</v>
      </c>
      <c r="Y67" s="146">
        <f t="shared" si="175"/>
        <v>5.1814983633242049</v>
      </c>
      <c r="Z67" s="146">
        <f t="shared" si="175"/>
        <v>5.0463288408027056</v>
      </c>
      <c r="AA67" s="146">
        <f t="shared" si="175"/>
        <v>4.9146854797382868</v>
      </c>
      <c r="AB67" s="146">
        <f t="shared" si="175"/>
        <v>4.786476293310332</v>
      </c>
      <c r="AC67" s="138">
        <f t="shared" si="173"/>
        <v>-0.12815496246511338</v>
      </c>
      <c r="AD67" s="31">
        <f t="shared" si="17"/>
        <v>0.08</v>
      </c>
      <c r="AE67" s="146">
        <f t="shared" si="140"/>
        <v>36.92424569125113</v>
      </c>
    </row>
    <row r="68" spans="2:31" x14ac:dyDescent="0.2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>
        <f t="shared" si="176"/>
        <v>50.796894156109524</v>
      </c>
      <c r="G68" s="144">
        <f t="shared" si="176"/>
        <v>69.268492031058443</v>
      </c>
      <c r="H68" s="144">
        <f t="shared" si="176"/>
        <v>33.428688189619947</v>
      </c>
      <c r="I68" s="144">
        <f t="shared" si="176"/>
        <v>66.326113608500208</v>
      </c>
      <c r="J68" s="144">
        <f t="shared" si="176"/>
        <v>115.28402125051083</v>
      </c>
      <c r="K68" s="144">
        <f t="shared" si="176"/>
        <v>71.052093973442283</v>
      </c>
      <c r="L68" s="144">
        <f t="shared" si="176"/>
        <v>67.231869254341163</v>
      </c>
      <c r="M68" s="144">
        <f t="shared" si="176"/>
        <v>32.379979570990805</v>
      </c>
      <c r="N68" s="144">
        <f t="shared" si="176"/>
        <v>54.300306435137891</v>
      </c>
      <c r="O68" s="144">
        <f t="shared" si="176"/>
        <v>-3.3216211799313613</v>
      </c>
      <c r="P68" s="144">
        <f t="shared" si="176"/>
        <v>7.6156234678869099</v>
      </c>
      <c r="Q68" s="118">
        <f>((P68/G68)^(1/($H$2-$H$1) ))-1</f>
        <v>-0.21753791351905727</v>
      </c>
      <c r="R68" s="128"/>
      <c r="S68" s="146">
        <f t="shared" ref="S68:AB68" si="177">S20/S40</f>
        <v>7.4169550295942086</v>
      </c>
      <c r="T68" s="146">
        <f t="shared" si="177"/>
        <v>7.2234692462134911</v>
      </c>
      <c r="U68" s="146">
        <f t="shared" si="177"/>
        <v>7.035030918051401</v>
      </c>
      <c r="V68" s="146">
        <f t="shared" si="177"/>
        <v>6.8515083723631038</v>
      </c>
      <c r="W68" s="146">
        <f t="shared" si="177"/>
        <v>6.6727733713449382</v>
      </c>
      <c r="X68" s="146">
        <f t="shared" si="177"/>
        <v>6.4987010225272446</v>
      </c>
      <c r="Y68" s="146">
        <f t="shared" si="177"/>
        <v>6.3291696915047959</v>
      </c>
      <c r="Z68" s="146">
        <f t="shared" si="177"/>
        <v>6.1640609169438028</v>
      </c>
      <c r="AA68" s="146">
        <f t="shared" si="177"/>
        <v>6.0032593278061386</v>
      </c>
      <c r="AB68" s="146">
        <f t="shared" si="177"/>
        <v>5.8466525627329355</v>
      </c>
      <c r="AC68" s="138">
        <f t="shared" si="173"/>
        <v>-0.12200258015156218</v>
      </c>
      <c r="AD68" s="31">
        <f t="shared" si="17"/>
        <v>0.08</v>
      </c>
      <c r="AE68" s="146">
        <f t="shared" si="140"/>
        <v>45.102748341082645</v>
      </c>
    </row>
    <row r="69" spans="2:31" x14ac:dyDescent="0.2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>
        <f t="shared" si="178"/>
        <v>-4.4953003677973031</v>
      </c>
      <c r="G69" s="144">
        <f t="shared" si="178"/>
        <v>-4.4544340008173275</v>
      </c>
      <c r="H69" s="144">
        <f t="shared" si="178"/>
        <v>-1.4303228442991418</v>
      </c>
      <c r="I69" s="144">
        <f t="shared" si="178"/>
        <v>-6.3751532488761748</v>
      </c>
      <c r="J69" s="144">
        <f t="shared" si="178"/>
        <v>-8.6636697997548016</v>
      </c>
      <c r="K69" s="144">
        <f t="shared" si="178"/>
        <v>-0.25617977528089886</v>
      </c>
      <c r="L69" s="144">
        <f t="shared" si="178"/>
        <v>-10.459652706843718</v>
      </c>
      <c r="M69" s="144">
        <f t="shared" si="178"/>
        <v>-19.734422880490296</v>
      </c>
      <c r="N69" s="144">
        <f t="shared" si="178"/>
        <v>-27.415730337078649</v>
      </c>
      <c r="O69" s="144">
        <f t="shared" si="178"/>
        <v>-1.3441738846216702</v>
      </c>
      <c r="P69" s="144">
        <f t="shared" si="178"/>
        <v>-1.3809445987906521</v>
      </c>
      <c r="Q69" s="118">
        <f>((P69/G69)^(1/($H$2-$H$1) ))-1</f>
        <v>-0.1220150312081828</v>
      </c>
      <c r="R69" s="128"/>
      <c r="S69" s="146">
        <f t="shared" ref="S69:AB69" si="179">S21/S40</f>
        <v>-1.3449199570830701</v>
      </c>
      <c r="T69" s="146">
        <f t="shared" si="179"/>
        <v>-1.309835088637425</v>
      </c>
      <c r="U69" s="146">
        <f t="shared" si="179"/>
        <v>-1.2756654776294922</v>
      </c>
      <c r="V69" s="146">
        <f t="shared" si="179"/>
        <v>-1.2423872477782885</v>
      </c>
      <c r="W69" s="146">
        <f t="shared" si="179"/>
        <v>-1.2099771456623334</v>
      </c>
      <c r="X69" s="146">
        <f t="shared" si="179"/>
        <v>-1.1784125244711421</v>
      </c>
      <c r="Y69" s="146">
        <f t="shared" si="179"/>
        <v>-1.147671328180591</v>
      </c>
      <c r="Z69" s="146">
        <f t="shared" si="179"/>
        <v>-1.1177320761410974</v>
      </c>
      <c r="AA69" s="146">
        <f t="shared" si="179"/>
        <v>-1.0885738480678515</v>
      </c>
      <c r="AB69" s="146">
        <f t="shared" si="179"/>
        <v>-1.0601762694226033</v>
      </c>
      <c r="AC69" s="138">
        <f t="shared" si="173"/>
        <v>-7.2767355465280792E-2</v>
      </c>
      <c r="AD69" s="31">
        <f t="shared" si="17"/>
        <v>0.08</v>
      </c>
      <c r="AE69" s="146">
        <f t="shared" si="140"/>
        <v>-8.1785026498315112</v>
      </c>
    </row>
    <row r="70" spans="2:31" x14ac:dyDescent="0.2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>
        <f t="shared" si="180"/>
        <v>-11.646914589293013</v>
      </c>
      <c r="G70" s="144">
        <f t="shared" si="180"/>
        <v>-10.093992644053944</v>
      </c>
      <c r="H70" s="144">
        <f t="shared" si="180"/>
        <v>-10.829587249693503</v>
      </c>
      <c r="I70" s="144">
        <f t="shared" si="180"/>
        <v>-20.882713526767471</v>
      </c>
      <c r="J70" s="144">
        <f t="shared" si="180"/>
        <v>-38.128320392317121</v>
      </c>
      <c r="K70" s="144">
        <f t="shared" si="180"/>
        <v>-18.140960163432073</v>
      </c>
      <c r="L70" s="144">
        <f t="shared" si="180"/>
        <v>-17.344228804902961</v>
      </c>
      <c r="M70" s="144">
        <f t="shared" si="180"/>
        <v>-23.350357507660878</v>
      </c>
      <c r="N70" s="144">
        <f t="shared" si="180"/>
        <v>-30.13278855975485</v>
      </c>
      <c r="O70" s="144">
        <f t="shared" si="180"/>
        <v>-7.4113417225036775</v>
      </c>
      <c r="P70" s="144">
        <f t="shared" si="180"/>
        <v>-1.9039058669717275</v>
      </c>
      <c r="Q70" s="118">
        <f>((P70/G70)^(1/($H$2-$H$1) ))-1</f>
        <v>-0.16917574774665534</v>
      </c>
      <c r="R70" s="128"/>
      <c r="S70" s="146">
        <f t="shared" ref="S70:AB70" si="181">S22/S40</f>
        <v>-1.8542387573985522</v>
      </c>
      <c r="T70" s="146">
        <f t="shared" si="181"/>
        <v>-1.8058673115533728</v>
      </c>
      <c r="U70" s="146">
        <f t="shared" si="181"/>
        <v>-1.7587577295128503</v>
      </c>
      <c r="V70" s="146">
        <f t="shared" si="181"/>
        <v>-1.712877093090776</v>
      </c>
      <c r="W70" s="146">
        <f t="shared" si="181"/>
        <v>-1.6681933428362345</v>
      </c>
      <c r="X70" s="146">
        <f t="shared" si="181"/>
        <v>-1.6246752556318111</v>
      </c>
      <c r="Y70" s="146">
        <f t="shared" si="181"/>
        <v>-1.582292422876199</v>
      </c>
      <c r="Z70" s="146">
        <f t="shared" si="181"/>
        <v>-1.5410152292359507</v>
      </c>
      <c r="AA70" s="146">
        <f t="shared" si="181"/>
        <v>-1.5008148319515346</v>
      </c>
      <c r="AB70" s="146">
        <f t="shared" si="181"/>
        <v>-1.4616631406832339</v>
      </c>
      <c r="AC70" s="138">
        <f t="shared" si="173"/>
        <v>-9.6702614461297243E-2</v>
      </c>
      <c r="AD70" s="31">
        <f t="shared" si="17"/>
        <v>0.08</v>
      </c>
      <c r="AE70" s="146">
        <f t="shared" si="140"/>
        <v>-11.275687085270661</v>
      </c>
    </row>
    <row r="71" spans="2:31" x14ac:dyDescent="0.2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>
        <f t="shared" si="182"/>
        <v>53.943604413567634</v>
      </c>
      <c r="G71" s="144">
        <f t="shared" si="182"/>
        <v>108.6636697997548</v>
      </c>
      <c r="H71" s="144">
        <f t="shared" si="182"/>
        <v>129.8324478953821</v>
      </c>
      <c r="I71" s="144">
        <f t="shared" si="182"/>
        <v>168.90069472823868</v>
      </c>
      <c r="J71" s="144">
        <f t="shared" si="182"/>
        <v>237.3518594196976</v>
      </c>
      <c r="K71" s="144">
        <f t="shared" si="182"/>
        <v>118.65168539325842</v>
      </c>
      <c r="L71" s="144">
        <f t="shared" si="182"/>
        <v>210.70480081716036</v>
      </c>
      <c r="M71" s="144">
        <f t="shared" si="182"/>
        <v>200</v>
      </c>
      <c r="N71" s="144">
        <f t="shared" si="182"/>
        <v>196.73135852911133</v>
      </c>
      <c r="O71" s="144">
        <f t="shared" si="182"/>
        <v>27.25527046903089</v>
      </c>
      <c r="P71" s="144">
        <f t="shared" si="182"/>
        <v>31.590129106063085</v>
      </c>
      <c r="Q71" s="118">
        <f>((P71/G71)^(1/($H$2-$H$1) ))-1</f>
        <v>-0.12826350923238783</v>
      </c>
      <c r="R71" s="128"/>
      <c r="S71" s="146">
        <f t="shared" ref="S71:AB71" si="183">S23/S40</f>
        <v>30.766038781557089</v>
      </c>
      <c r="T71" s="146">
        <f t="shared" si="183"/>
        <v>29.963446465516473</v>
      </c>
      <c r="U71" s="146">
        <f t="shared" si="183"/>
        <v>29.181791340329088</v>
      </c>
      <c r="V71" s="146">
        <f t="shared" si="183"/>
        <v>28.420527218407464</v>
      </c>
      <c r="W71" s="146">
        <f t="shared" si="183"/>
        <v>27.679122160535972</v>
      </c>
      <c r="X71" s="146">
        <f t="shared" si="183"/>
        <v>26.957058104174166</v>
      </c>
      <c r="Y71" s="146">
        <f t="shared" si="183"/>
        <v>26.253830501456584</v>
      </c>
      <c r="Z71" s="146">
        <f t="shared" si="183"/>
        <v>25.568947966635985</v>
      </c>
      <c r="AA71" s="146">
        <f t="shared" si="183"/>
        <v>24.901931932723745</v>
      </c>
      <c r="AB71" s="146">
        <f t="shared" si="183"/>
        <v>24.25231631708748</v>
      </c>
      <c r="AC71" s="138">
        <f t="shared" ref="AC71" si="184">((AB71/G71)^(1/($AB$3-$H$1) ))-1</f>
        <v>-7.5899056885500138E-2</v>
      </c>
      <c r="AD71" s="31">
        <f t="shared" si="17"/>
        <v>0.08</v>
      </c>
      <c r="AE71" s="146">
        <f t="shared" si="140"/>
        <v>187.08929730324627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 x14ac:dyDescent="0.2">
      <c r="B73" s="20" t="s">
        <v>312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>
        <f t="shared" si="185"/>
        <v>40.702901512055583</v>
      </c>
      <c r="G73" s="144">
        <f t="shared" si="185"/>
        <v>34.899877400899065</v>
      </c>
      <c r="H73" s="144">
        <f t="shared" si="185"/>
        <v>53.248876174908055</v>
      </c>
      <c r="I73" s="144">
        <f t="shared" si="185"/>
        <v>90.845933796485497</v>
      </c>
      <c r="J73" s="144">
        <f t="shared" si="185"/>
        <v>144.87127094401308</v>
      </c>
      <c r="K73" s="144">
        <f t="shared" si="185"/>
        <v>76.527068437180787</v>
      </c>
      <c r="L73" s="144">
        <f t="shared" si="185"/>
        <v>80.939734422880491</v>
      </c>
      <c r="M73" s="144">
        <f t="shared" si="185"/>
        <v>120.5311542390194</v>
      </c>
      <c r="N73" s="144">
        <f t="shared" si="185"/>
        <v>169.92849846782431</v>
      </c>
      <c r="O73" s="144">
        <f t="shared" si="185"/>
        <v>40.733780029416572</v>
      </c>
      <c r="P73" s="144">
        <f t="shared" si="185"/>
        <v>38.922209511358069</v>
      </c>
      <c r="Q73" s="118">
        <f>((P73/G73)^(1/($H$2-$H$1) ))-1</f>
        <v>1.2193937140543953E-2</v>
      </c>
      <c r="R73" s="128"/>
      <c r="S73" s="144">
        <f t="shared" ref="S73:AB73" si="186">S36/S40</f>
        <v>37.906847524105252</v>
      </c>
      <c r="T73" s="144">
        <f t="shared" si="186"/>
        <v>36.917973240867731</v>
      </c>
      <c r="U73" s="144">
        <f t="shared" si="186"/>
        <v>35.954895678062485</v>
      </c>
      <c r="V73" s="144">
        <f t="shared" si="186"/>
        <v>35.016941877765213</v>
      </c>
      <c r="W73" s="144">
        <f t="shared" si="186"/>
        <v>34.103456437475693</v>
      </c>
      <c r="X73" s="144">
        <f t="shared" si="186"/>
        <v>33.213801052150245</v>
      </c>
      <c r="Y73" s="144">
        <f t="shared" si="186"/>
        <v>32.347354068181112</v>
      </c>
      <c r="Z73" s="144">
        <f t="shared" si="186"/>
        <v>31.503510049011176</v>
      </c>
      <c r="AA73" s="144">
        <f t="shared" si="186"/>
        <v>30.681679352080454</v>
      </c>
      <c r="AB73" s="144">
        <f t="shared" si="186"/>
        <v>29.881287716808796</v>
      </c>
      <c r="AC73" s="138">
        <f t="shared" ref="AC73:AC75" si="187">((AB73/G73)^(1/($AB$3-$H$1) ))-1</f>
        <v>-8.1378052528410239E-3</v>
      </c>
      <c r="AD73" s="31">
        <f t="shared" si="17"/>
        <v>0.08</v>
      </c>
      <c r="AE73" s="146">
        <f t="shared" si="140"/>
        <v>230.51279095823926</v>
      </c>
    </row>
    <row r="74" spans="2:31" x14ac:dyDescent="0.2">
      <c r="B74" s="20" t="s">
        <v>313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>
        <f t="shared" si="188"/>
        <v>18.144666939109115</v>
      </c>
      <c r="G74" s="144">
        <f t="shared" si="188"/>
        <v>26.890069472823868</v>
      </c>
      <c r="H74" s="144">
        <f t="shared" si="188"/>
        <v>38.945647731916637</v>
      </c>
      <c r="I74" s="144">
        <f t="shared" si="188"/>
        <v>68.614630159378834</v>
      </c>
      <c r="J74" s="144">
        <f t="shared" si="188"/>
        <v>98.651409889660812</v>
      </c>
      <c r="K74" s="144">
        <f t="shared" si="188"/>
        <v>58.406537282941777</v>
      </c>
      <c r="L74" s="144">
        <f t="shared" si="188"/>
        <v>63.636363636363633</v>
      </c>
      <c r="M74" s="144">
        <f t="shared" si="188"/>
        <v>88.375893769152185</v>
      </c>
      <c r="N74" s="144">
        <f t="shared" si="188"/>
        <v>123.65679264555668</v>
      </c>
      <c r="O74" s="144">
        <f t="shared" si="188"/>
        <v>28.954894590619382</v>
      </c>
      <c r="P74" s="144">
        <f t="shared" si="188"/>
        <v>27.34556300049028</v>
      </c>
      <c r="Q74" s="118">
        <f>((P74/G74)^(1/($H$2-$H$1) ))-1</f>
        <v>1.8681017884236706E-3</v>
      </c>
      <c r="R74" s="128"/>
      <c r="S74" s="144">
        <f t="shared" ref="S74:AB74" si="189">S38/S40</f>
        <v>26.632200487434012</v>
      </c>
      <c r="T74" s="144">
        <f t="shared" si="189"/>
        <v>25.937447431240088</v>
      </c>
      <c r="U74" s="144">
        <f t="shared" si="189"/>
        <v>25.260818367816437</v>
      </c>
      <c r="V74" s="144">
        <f t="shared" si="189"/>
        <v>24.601840497351667</v>
      </c>
      <c r="W74" s="144">
        <f t="shared" si="189"/>
        <v>23.960053353942495</v>
      </c>
      <c r="X74" s="144">
        <f t="shared" si="189"/>
        <v>23.335008483839651</v>
      </c>
      <c r="Y74" s="144">
        <f t="shared" si="189"/>
        <v>22.726269132087321</v>
      </c>
      <c r="Z74" s="144">
        <f t="shared" si="189"/>
        <v>22.13340993733722</v>
      </c>
      <c r="AA74" s="144">
        <f t="shared" si="189"/>
        <v>21.556016634624076</v>
      </c>
      <c r="AB74" s="144">
        <f t="shared" si="189"/>
        <v>20.993685765894757</v>
      </c>
      <c r="AC74" s="138">
        <f t="shared" si="187"/>
        <v>-1.2943676419800765E-2</v>
      </c>
      <c r="AD74" s="31">
        <f t="shared" si="17"/>
        <v>0.08</v>
      </c>
      <c r="AE74" s="146">
        <f t="shared" si="140"/>
        <v>161.95129019404527</v>
      </c>
    </row>
    <row r="75" spans="2:31" x14ac:dyDescent="0.2">
      <c r="B75" s="20" t="s">
        <v>314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>
        <f t="shared" si="190"/>
        <v>186.30976706170821</v>
      </c>
      <c r="G75" s="144">
        <f t="shared" si="190"/>
        <v>206.41601961585616</v>
      </c>
      <c r="H75" s="144">
        <f t="shared" si="190"/>
        <v>236.28933387821823</v>
      </c>
      <c r="I75" s="144">
        <f t="shared" si="190"/>
        <v>288.35308541070702</v>
      </c>
      <c r="J75" s="144">
        <f t="shared" si="190"/>
        <v>349.12137310993052</v>
      </c>
      <c r="K75" s="144">
        <f t="shared" si="190"/>
        <v>210.09193054136873</v>
      </c>
      <c r="L75" s="144">
        <f t="shared" si="190"/>
        <v>253.99836567926454</v>
      </c>
      <c r="M75" s="144">
        <f t="shared" si="190"/>
        <v>314.73871297242079</v>
      </c>
      <c r="N75" s="144">
        <f t="shared" si="190"/>
        <v>401.7479060265577</v>
      </c>
      <c r="O75" s="144">
        <f t="shared" si="190"/>
        <v>101.7876286974996</v>
      </c>
      <c r="P75" s="144">
        <f t="shared" si="190"/>
        <v>122.74554665795065</v>
      </c>
      <c r="Q75" s="118">
        <f>((P75/G75)^(1/($H$2-$H$1) ))-1</f>
        <v>-5.6117273516941291E-2</v>
      </c>
      <c r="R75" s="128"/>
      <c r="S75" s="144">
        <f t="shared" ref="S75:AB75" si="191">S6/S40</f>
        <v>119.5434889190476</v>
      </c>
      <c r="T75" s="144">
        <f t="shared" si="191"/>
        <v>116.42496312115942</v>
      </c>
      <c r="U75" s="144">
        <f t="shared" si="191"/>
        <v>113.38779017017268</v>
      </c>
      <c r="V75" s="144">
        <f t="shared" si="191"/>
        <v>110.42984781790732</v>
      </c>
      <c r="W75" s="144">
        <f t="shared" si="191"/>
        <v>107.54906917917933</v>
      </c>
      <c r="X75" s="144">
        <f t="shared" si="191"/>
        <v>104.74344128754858</v>
      </c>
      <c r="Y75" s="144">
        <f t="shared" si="191"/>
        <v>102.01100368874297</v>
      </c>
      <c r="Z75" s="144">
        <f t="shared" si="191"/>
        <v>99.349847070775795</v>
      </c>
      <c r="AA75" s="144">
        <f t="shared" si="191"/>
        <v>96.758111929799043</v>
      </c>
      <c r="AB75" s="144">
        <f t="shared" si="191"/>
        <v>94.233987270760821</v>
      </c>
      <c r="AC75" s="138">
        <f t="shared" si="187"/>
        <v>-4.0429116707895285E-2</v>
      </c>
      <c r="AD75" s="31">
        <f t="shared" ref="AD75" si="192">$L$1</f>
        <v>0.08</v>
      </c>
      <c r="AE75" s="146">
        <f t="shared" si="140"/>
        <v>726.94790180301209</v>
      </c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 x14ac:dyDescent="0.2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 t="s">
        <v>310</v>
      </c>
      <c r="C79" s="152" t="e">
        <f t="shared" ref="C79:P79" si="193">C36/C25</f>
        <v>#DIV/0!</v>
      </c>
      <c r="D79" s="152" t="e">
        <f t="shared" si="193"/>
        <v>#DIV/0!</v>
      </c>
      <c r="E79" s="152" t="e">
        <f t="shared" si="193"/>
        <v>#DIV/0!</v>
      </c>
      <c r="F79" s="152">
        <f t="shared" si="193"/>
        <v>0.14181973515591628</v>
      </c>
      <c r="G79" s="152">
        <f t="shared" si="193"/>
        <v>0.10648379052369077</v>
      </c>
      <c r="H79" s="152">
        <f t="shared" si="193"/>
        <v>0.12483234336079709</v>
      </c>
      <c r="I79" s="152">
        <f t="shared" si="193"/>
        <v>0.1568918060554732</v>
      </c>
      <c r="J79" s="152">
        <f t="shared" si="193"/>
        <v>0.19666037945190282</v>
      </c>
      <c r="K79" s="152">
        <f t="shared" si="193"/>
        <v>0.17512037772895142</v>
      </c>
      <c r="L79" s="152">
        <f t="shared" si="193"/>
        <v>0.1362354721133347</v>
      </c>
      <c r="M79" s="152">
        <f t="shared" si="193"/>
        <v>0.16670433996383363</v>
      </c>
      <c r="N79" s="152">
        <f t="shared" si="193"/>
        <v>0.19135035656774788</v>
      </c>
      <c r="O79" s="152">
        <f t="shared" si="193"/>
        <v>0.19857393244104526</v>
      </c>
      <c r="P79" s="152">
        <f t="shared" si="193"/>
        <v>0.19349204124699654</v>
      </c>
      <c r="Q79" s="118">
        <f t="shared" ref="Q79:Q123" si="194">((P79/G79)^(1/($H$2-$H$1) ))-1</f>
        <v>6.8611776551425363E-2</v>
      </c>
      <c r="R79" s="152"/>
      <c r="S79" s="152">
        <f t="shared" ref="S79:AB79" si="195">S36/S25</f>
        <v>0.19349204124699654</v>
      </c>
      <c r="T79" s="152">
        <f t="shared" si="195"/>
        <v>0.19349204124699651</v>
      </c>
      <c r="U79" s="152">
        <f t="shared" si="195"/>
        <v>0.19349204124699651</v>
      </c>
      <c r="V79" s="152">
        <f t="shared" si="195"/>
        <v>0.19349204124699651</v>
      </c>
      <c r="W79" s="152">
        <f t="shared" si="195"/>
        <v>0.19349204124699651</v>
      </c>
      <c r="X79" s="152">
        <f t="shared" si="195"/>
        <v>0.19349204124699651</v>
      </c>
      <c r="Y79" s="152">
        <f t="shared" si="195"/>
        <v>0.19349204124699654</v>
      </c>
      <c r="Z79" s="152">
        <f t="shared" si="195"/>
        <v>0.19349204124699654</v>
      </c>
      <c r="AA79" s="152">
        <f t="shared" si="195"/>
        <v>0.19349204124699654</v>
      </c>
      <c r="AB79" s="152">
        <f t="shared" si="195"/>
        <v>0.19349204124699654</v>
      </c>
      <c r="AC79" s="138">
        <f t="shared" ref="AC79:AC110" si="196">((AB79/G79)^(1/($AB$3-$H$1) ))-1</f>
        <v>3.1933135903120302E-2</v>
      </c>
      <c r="AD79" s="146"/>
      <c r="AE79" s="146"/>
    </row>
    <row r="80" spans="2:31" x14ac:dyDescent="0.2">
      <c r="B80" s="20" t="s">
        <v>267</v>
      </c>
      <c r="C80" s="152" t="e">
        <f t="shared" ref="C80:P80" si="197">C38/C25</f>
        <v>#DIV/0!</v>
      </c>
      <c r="D80" s="152" t="e">
        <f t="shared" si="197"/>
        <v>#DIV/0!</v>
      </c>
      <c r="E80" s="152" t="e">
        <f t="shared" si="197"/>
        <v>#DIV/0!</v>
      </c>
      <c r="F80" s="152">
        <f t="shared" si="197"/>
        <v>6.322084579239641E-2</v>
      </c>
      <c r="G80" s="152">
        <f t="shared" si="197"/>
        <v>8.2044887780548623E-2</v>
      </c>
      <c r="H80" s="152">
        <f t="shared" si="197"/>
        <v>9.1301015520214607E-2</v>
      </c>
      <c r="I80" s="152">
        <f t="shared" si="197"/>
        <v>0.11849812971981086</v>
      </c>
      <c r="J80" s="152">
        <f t="shared" si="197"/>
        <v>0.13391767447020969</v>
      </c>
      <c r="K80" s="152">
        <f t="shared" si="197"/>
        <v>0.13365434061053713</v>
      </c>
      <c r="L80" s="152">
        <f t="shared" si="197"/>
        <v>0.10711092772161475</v>
      </c>
      <c r="M80" s="152">
        <f t="shared" si="197"/>
        <v>0.12223101265822785</v>
      </c>
      <c r="N80" s="152">
        <f t="shared" si="197"/>
        <v>0.13924545663676099</v>
      </c>
      <c r="O80" s="152">
        <f t="shared" si="197"/>
        <v>0.14115280433397068</v>
      </c>
      <c r="P80" s="152">
        <f t="shared" si="197"/>
        <v>0.13594163513428428</v>
      </c>
      <c r="Q80" s="118">
        <f t="shared" si="194"/>
        <v>5.7710398016024511E-2</v>
      </c>
      <c r="R80" s="152"/>
      <c r="S80" s="152">
        <f t="shared" ref="S80:AB80" si="198">S38/S25</f>
        <v>0.13594163513428426</v>
      </c>
      <c r="T80" s="152">
        <f t="shared" si="198"/>
        <v>0.13594163513428428</v>
      </c>
      <c r="U80" s="152">
        <f t="shared" si="198"/>
        <v>0.13594163513428428</v>
      </c>
      <c r="V80" s="152">
        <f t="shared" si="198"/>
        <v>0.13594163513428428</v>
      </c>
      <c r="W80" s="152">
        <f t="shared" si="198"/>
        <v>0.13594163513428428</v>
      </c>
      <c r="X80" s="152">
        <f t="shared" si="198"/>
        <v>0.13594163513428428</v>
      </c>
      <c r="Y80" s="152">
        <f t="shared" si="198"/>
        <v>0.13594163513428428</v>
      </c>
      <c r="Z80" s="152">
        <f t="shared" si="198"/>
        <v>0.13594163513428428</v>
      </c>
      <c r="AA80" s="152">
        <f t="shared" si="198"/>
        <v>0.13594163513428428</v>
      </c>
      <c r="AB80" s="152">
        <f t="shared" si="198"/>
        <v>0.13594163513428428</v>
      </c>
      <c r="AC80" s="138">
        <f t="shared" si="196"/>
        <v>2.6933108953477891E-2</v>
      </c>
      <c r="AD80" s="146"/>
      <c r="AE80" s="146"/>
    </row>
    <row r="81" spans="2:31" x14ac:dyDescent="0.2">
      <c r="B81" s="20" t="s">
        <v>360</v>
      </c>
      <c r="C81" s="152" t="e">
        <f t="shared" ref="C81:O81" si="199">C38/C7</f>
        <v>#DIV/0!</v>
      </c>
      <c r="D81" s="152" t="e">
        <f t="shared" si="199"/>
        <v>#DIV/0!</v>
      </c>
      <c r="E81" s="152" t="e">
        <f t="shared" si="199"/>
        <v>#DIV/0!</v>
      </c>
      <c r="F81" s="152">
        <f t="shared" si="199"/>
        <v>9.2442223610243596E-2</v>
      </c>
      <c r="G81" s="152">
        <f>G38/G7</f>
        <v>0.12426817752596789</v>
      </c>
      <c r="H81" s="152">
        <f t="shared" si="199"/>
        <v>0.15814802522402921</v>
      </c>
      <c r="I81" s="152">
        <f t="shared" si="199"/>
        <v>0.22996849746610054</v>
      </c>
      <c r="J81" s="152">
        <f t="shared" si="199"/>
        <v>0.27469276285844335</v>
      </c>
      <c r="K81" s="152">
        <f t="shared" si="199"/>
        <v>0.26536105439019864</v>
      </c>
      <c r="L81" s="152">
        <f t="shared" si="199"/>
        <v>0.24104795113110689</v>
      </c>
      <c r="M81" s="152">
        <f t="shared" si="199"/>
        <v>0.2721442779872647</v>
      </c>
      <c r="N81" s="152">
        <f t="shared" si="199"/>
        <v>0.30032130857332245</v>
      </c>
      <c r="O81" s="152">
        <f t="shared" si="199"/>
        <v>0.27898213837230629</v>
      </c>
      <c r="P81" s="152">
        <f t="shared" ref="P81" si="200">P38/P7</f>
        <v>0.21921087882827264</v>
      </c>
      <c r="Q81" s="118">
        <f t="shared" si="194"/>
        <v>6.5096924002574275E-2</v>
      </c>
      <c r="R81" s="20"/>
      <c r="S81" s="152">
        <f t="shared" ref="S81" si="201">S38/S7</f>
        <v>0.21921087882827264</v>
      </c>
      <c r="T81" s="152">
        <f t="shared" ref="T81:AB81" si="202">T38/T7</f>
        <v>0.21921087882827267</v>
      </c>
      <c r="U81" s="152">
        <f t="shared" si="202"/>
        <v>0.21921087882827267</v>
      </c>
      <c r="V81" s="152">
        <f t="shared" si="202"/>
        <v>0.21921087882827267</v>
      </c>
      <c r="W81" s="152">
        <f t="shared" si="202"/>
        <v>0.21921087882827264</v>
      </c>
      <c r="X81" s="152">
        <f t="shared" si="202"/>
        <v>0.21921087882827267</v>
      </c>
      <c r="Y81" s="152">
        <f t="shared" si="202"/>
        <v>0.2192108788282727</v>
      </c>
      <c r="Z81" s="152">
        <f t="shared" si="202"/>
        <v>0.21921087882827267</v>
      </c>
      <c r="AA81" s="152">
        <f t="shared" si="202"/>
        <v>0.21921087882827267</v>
      </c>
      <c r="AB81" s="152">
        <f t="shared" si="202"/>
        <v>0.21921087882827264</v>
      </c>
      <c r="AC81" s="138">
        <f t="shared" si="196"/>
        <v>3.0323958216045055E-2</v>
      </c>
      <c r="AD81" s="146"/>
      <c r="AE81" s="146"/>
    </row>
    <row r="82" spans="2:31" x14ac:dyDescent="0.2">
      <c r="B82" s="20" t="s">
        <v>361</v>
      </c>
      <c r="C82" s="152" t="e">
        <f t="shared" ref="C82:F82" si="203">(C38)/(C7+C10)</f>
        <v>#DIV/0!</v>
      </c>
      <c r="D82" s="152" t="e">
        <f t="shared" si="203"/>
        <v>#DIV/0!</v>
      </c>
      <c r="E82" s="152" t="e">
        <f t="shared" si="203"/>
        <v>#DIV/0!</v>
      </c>
      <c r="F82" s="152">
        <f t="shared" si="203"/>
        <v>8.3239595050618675E-2</v>
      </c>
      <c r="G82" s="152">
        <f>(G38)/(G7+G10)</f>
        <v>0.11276778063410454</v>
      </c>
      <c r="H82" s="152">
        <f t="shared" ref="H82:O82" si="204">(H38)/(H7+H10)</f>
        <v>0.1452301127704968</v>
      </c>
      <c r="I82" s="152">
        <f t="shared" si="204"/>
        <v>0.21364041226619163</v>
      </c>
      <c r="J82" s="152">
        <f t="shared" si="204"/>
        <v>0.27193871803537228</v>
      </c>
      <c r="K82" s="152">
        <f t="shared" si="204"/>
        <v>0.2630416781672647</v>
      </c>
      <c r="L82" s="152">
        <f t="shared" si="204"/>
        <v>0.23797264116781541</v>
      </c>
      <c r="M82" s="152">
        <f t="shared" si="204"/>
        <v>0.26963384397138368</v>
      </c>
      <c r="N82" s="152">
        <f t="shared" si="204"/>
        <v>0.29635134844025091</v>
      </c>
      <c r="O82" s="152">
        <f t="shared" si="204"/>
        <v>0.27498771925876314</v>
      </c>
      <c r="P82" s="152">
        <f t="shared" ref="P82" si="205">(P38)/(P7+P10)</f>
        <v>0.21070210950805429</v>
      </c>
      <c r="Q82" s="118">
        <f t="shared" si="194"/>
        <v>7.192616595082213E-2</v>
      </c>
      <c r="R82" s="20"/>
      <c r="S82" s="152">
        <f t="shared" ref="S82:AB82" si="206">(S38)/(S7+S10)</f>
        <v>0.21070210950805429</v>
      </c>
      <c r="T82" s="152">
        <f t="shared" si="206"/>
        <v>0.21070210950805432</v>
      </c>
      <c r="U82" s="152">
        <f t="shared" si="206"/>
        <v>0.21070210950805432</v>
      </c>
      <c r="V82" s="152">
        <f t="shared" si="206"/>
        <v>0.21070210950805432</v>
      </c>
      <c r="W82" s="152">
        <f t="shared" si="206"/>
        <v>0.21070210950805429</v>
      </c>
      <c r="X82" s="152">
        <f t="shared" si="206"/>
        <v>0.21070210950805432</v>
      </c>
      <c r="Y82" s="152">
        <f t="shared" si="206"/>
        <v>0.21070210950805435</v>
      </c>
      <c r="Z82" s="152">
        <f t="shared" si="206"/>
        <v>0.21070210950805432</v>
      </c>
      <c r="AA82" s="152">
        <f t="shared" si="206"/>
        <v>0.21070210950805429</v>
      </c>
      <c r="AB82" s="152">
        <f t="shared" si="206"/>
        <v>0.21070210950805432</v>
      </c>
      <c r="AC82" s="138">
        <f t="shared" si="196"/>
        <v>3.3447987126277834E-2</v>
      </c>
      <c r="AD82" s="146"/>
      <c r="AE82" s="146"/>
    </row>
    <row r="83" spans="2:31" x14ac:dyDescent="0.2">
      <c r="B83" s="20" t="s">
        <v>377</v>
      </c>
      <c r="C83" s="152"/>
      <c r="D83" s="152"/>
      <c r="E83" s="152"/>
      <c r="F83" s="152"/>
      <c r="G83" s="152">
        <f>G20/G25</f>
        <v>0.21134663341645885</v>
      </c>
      <c r="H83" s="152">
        <f t="shared" ref="H83:P83" si="207">H20/H25</f>
        <v>7.8367503353132778E-2</v>
      </c>
      <c r="I83" s="152">
        <f t="shared" si="207"/>
        <v>0.11454583950878679</v>
      </c>
      <c r="J83" s="152">
        <f t="shared" si="207"/>
        <v>0.15649617219571729</v>
      </c>
      <c r="K83" s="152">
        <f t="shared" si="207"/>
        <v>0.1625917441914824</v>
      </c>
      <c r="L83" s="152">
        <f t="shared" si="207"/>
        <v>0.11316278110171241</v>
      </c>
      <c r="M83" s="152">
        <f t="shared" si="207"/>
        <v>4.4784132007233274E-2</v>
      </c>
      <c r="N83" s="152">
        <f t="shared" si="207"/>
        <v>6.1145617667356801E-2</v>
      </c>
      <c r="O83" s="152">
        <f t="shared" si="207"/>
        <v>-1.6192638623326958E-2</v>
      </c>
      <c r="P83" s="152">
        <f t="shared" si="207"/>
        <v>3.7859169576176341E-2</v>
      </c>
      <c r="Q83" s="118">
        <f t="shared" si="194"/>
        <v>-0.17392490743358857</v>
      </c>
      <c r="R83" s="20"/>
      <c r="S83" s="152">
        <f t="shared" ref="S83:AB83" si="208">S20/S25</f>
        <v>3.7859169576176341E-2</v>
      </c>
      <c r="T83" s="152">
        <f t="shared" si="208"/>
        <v>3.7859169576176334E-2</v>
      </c>
      <c r="U83" s="152">
        <f t="shared" si="208"/>
        <v>3.7859169576176341E-2</v>
      </c>
      <c r="V83" s="152">
        <f t="shared" si="208"/>
        <v>3.7859169576176334E-2</v>
      </c>
      <c r="W83" s="152">
        <f t="shared" si="208"/>
        <v>3.7859169576176334E-2</v>
      </c>
      <c r="X83" s="152">
        <f t="shared" si="208"/>
        <v>3.7859169576176341E-2</v>
      </c>
      <c r="Y83" s="152">
        <f t="shared" si="208"/>
        <v>3.7859169576176334E-2</v>
      </c>
      <c r="Z83" s="152">
        <f t="shared" si="208"/>
        <v>3.7859169576176341E-2</v>
      </c>
      <c r="AA83" s="152">
        <f t="shared" si="208"/>
        <v>3.7859169576176341E-2</v>
      </c>
      <c r="AB83" s="152">
        <f t="shared" si="208"/>
        <v>3.7859169576176334E-2</v>
      </c>
      <c r="AC83" s="138">
        <f t="shared" si="196"/>
        <v>-8.6531742436247283E-2</v>
      </c>
      <c r="AD83" s="146"/>
      <c r="AE83" s="146"/>
    </row>
    <row r="84" spans="2:31" x14ac:dyDescent="0.2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 x14ac:dyDescent="0.2">
      <c r="B85" s="20" t="s">
        <v>324</v>
      </c>
      <c r="C85" s="152"/>
      <c r="D85" s="152"/>
      <c r="E85" s="152"/>
      <c r="F85" s="152"/>
      <c r="G85" s="152">
        <f>G29/G25</f>
        <v>3.8291770573566086E-3</v>
      </c>
      <c r="H85" s="152">
        <f t="shared" ref="H85:P85" si="209">H29/H25</f>
        <v>3.2094270933128951E-3</v>
      </c>
      <c r="I85" s="152">
        <f t="shared" si="209"/>
        <v>3.8626579151669134E-3</v>
      </c>
      <c r="J85" s="152">
        <f t="shared" si="209"/>
        <v>2.8447797625651837E-3</v>
      </c>
      <c r="K85" s="152">
        <f t="shared" si="209"/>
        <v>5.8562012061147209E-3</v>
      </c>
      <c r="L85" s="152">
        <f t="shared" si="209"/>
        <v>1.2065882676569701E-3</v>
      </c>
      <c r="M85" s="152">
        <f t="shared" si="209"/>
        <v>1.0366749547920434E-3</v>
      </c>
      <c r="N85" s="152">
        <f t="shared" si="209"/>
        <v>1.2912353347135956E-3</v>
      </c>
      <c r="O85" s="152">
        <f t="shared" si="209"/>
        <v>1.0570028680688336E-3</v>
      </c>
      <c r="P85" s="152">
        <f t="shared" si="209"/>
        <v>2.5918501231844758E-3</v>
      </c>
      <c r="Q85" s="118">
        <f t="shared" si="194"/>
        <v>-4.2437434614023273E-2</v>
      </c>
      <c r="R85" s="20"/>
      <c r="S85" s="152">
        <f t="shared" ref="S85:AB85" si="210">S29/S25</f>
        <v>2.5918501231844758E-3</v>
      </c>
      <c r="T85" s="152">
        <f t="shared" si="210"/>
        <v>2.5918501231844754E-3</v>
      </c>
      <c r="U85" s="152">
        <f t="shared" si="210"/>
        <v>2.5918501231844758E-3</v>
      </c>
      <c r="V85" s="152">
        <f t="shared" si="210"/>
        <v>2.5918501231844758E-3</v>
      </c>
      <c r="W85" s="152">
        <f t="shared" si="210"/>
        <v>2.5918501231844754E-3</v>
      </c>
      <c r="X85" s="152">
        <f t="shared" si="210"/>
        <v>2.5918501231844754E-3</v>
      </c>
      <c r="Y85" s="152">
        <f t="shared" si="210"/>
        <v>2.5918501231844754E-3</v>
      </c>
      <c r="Z85" s="152">
        <f t="shared" si="210"/>
        <v>2.5918501231844754E-3</v>
      </c>
      <c r="AA85" s="152">
        <f t="shared" si="210"/>
        <v>2.5918501231844754E-3</v>
      </c>
      <c r="AB85" s="152">
        <f t="shared" si="210"/>
        <v>2.5918501231844754E-3</v>
      </c>
      <c r="AC85" s="138">
        <f t="shared" si="196"/>
        <v>-2.033141706253605E-2</v>
      </c>
      <c r="AD85" s="146"/>
      <c r="AE85" s="146"/>
    </row>
    <row r="86" spans="2:31" x14ac:dyDescent="0.2">
      <c r="B86" s="20" t="s">
        <v>370</v>
      </c>
      <c r="C86" s="152"/>
      <c r="D86" s="152"/>
      <c r="E86" s="152"/>
      <c r="F86" s="152"/>
      <c r="G86" s="152">
        <f>G29/G36</f>
        <v>3.5960187353629977E-2</v>
      </c>
      <c r="H86" s="152">
        <f t="shared" ref="H86:P86" si="211">H29/H36</f>
        <v>2.5709900230237913E-2</v>
      </c>
      <c r="I86" s="152">
        <f t="shared" si="211"/>
        <v>2.461988304093567E-2</v>
      </c>
      <c r="J86" s="152">
        <f t="shared" si="211"/>
        <v>1.4465444287729196E-2</v>
      </c>
      <c r="K86" s="152">
        <f t="shared" si="211"/>
        <v>3.3441003737319806E-2</v>
      </c>
      <c r="L86" s="152">
        <f t="shared" si="211"/>
        <v>8.8566380615850582E-3</v>
      </c>
      <c r="M86" s="152">
        <f t="shared" si="211"/>
        <v>6.2186440677966101E-3</v>
      </c>
      <c r="N86" s="152">
        <f t="shared" si="211"/>
        <v>6.7480163500841552E-3</v>
      </c>
      <c r="O86" s="152">
        <f t="shared" si="211"/>
        <v>5.3229689067201607E-3</v>
      </c>
      <c r="P86" s="152">
        <f t="shared" si="211"/>
        <v>1.3395125228308106E-2</v>
      </c>
      <c r="Q86" s="118">
        <f t="shared" ref="Q86" si="212">((P86/G86)^(1/($H$2-$H$1) ))-1</f>
        <v>-0.10391913471496772</v>
      </c>
      <c r="R86" s="20"/>
      <c r="S86" s="152">
        <f t="shared" ref="S86:AB86" si="213">S29/S36</f>
        <v>1.3395125228308104E-2</v>
      </c>
      <c r="T86" s="152">
        <f t="shared" si="213"/>
        <v>1.3395125228308106E-2</v>
      </c>
      <c r="U86" s="152">
        <f t="shared" si="213"/>
        <v>1.3395125228308106E-2</v>
      </c>
      <c r="V86" s="152">
        <f t="shared" si="213"/>
        <v>1.3395125228308106E-2</v>
      </c>
      <c r="W86" s="152">
        <f t="shared" si="213"/>
        <v>1.3395125228308106E-2</v>
      </c>
      <c r="X86" s="152">
        <f t="shared" si="213"/>
        <v>1.3395125228308104E-2</v>
      </c>
      <c r="Y86" s="152">
        <f t="shared" si="213"/>
        <v>1.3395125228308104E-2</v>
      </c>
      <c r="Z86" s="152">
        <f t="shared" si="213"/>
        <v>1.3395125228308102E-2</v>
      </c>
      <c r="AA86" s="152">
        <f t="shared" si="213"/>
        <v>1.3395125228308102E-2</v>
      </c>
      <c r="AB86" s="152">
        <f t="shared" si="213"/>
        <v>1.3395125228308102E-2</v>
      </c>
      <c r="AC86" s="138">
        <f t="shared" ref="AC86" si="214">((AB86/G86)^(1/($AB$3-$H$1) ))-1</f>
        <v>-5.064722814614897E-2</v>
      </c>
      <c r="AD86" s="146"/>
      <c r="AE86" s="146"/>
    </row>
    <row r="87" spans="2:31" ht="12" customHeight="1" x14ac:dyDescent="0.2">
      <c r="B87" s="20" t="s">
        <v>369</v>
      </c>
      <c r="C87" s="152"/>
      <c r="D87" s="152"/>
      <c r="E87" s="152"/>
      <c r="F87" s="152"/>
      <c r="G87" s="171">
        <f t="shared" ref="G87:P87" si="215">G29/G38</f>
        <v>4.6671732522796355E-2</v>
      </c>
      <c r="H87" s="171">
        <f t="shared" si="215"/>
        <v>3.5152151101783838E-2</v>
      </c>
      <c r="I87" s="171">
        <f t="shared" si="215"/>
        <v>3.2596783799880881E-2</v>
      </c>
      <c r="J87" s="171">
        <f t="shared" si="215"/>
        <v>2.124275062137531E-2</v>
      </c>
      <c r="K87" s="171">
        <f t="shared" si="215"/>
        <v>4.3816019587268273E-2</v>
      </c>
      <c r="L87" s="171">
        <f t="shared" si="215"/>
        <v>1.1264847512038524E-2</v>
      </c>
      <c r="M87" s="171">
        <f t="shared" si="215"/>
        <v>8.4812760055478498E-3</v>
      </c>
      <c r="N87" s="171">
        <f t="shared" si="215"/>
        <v>9.2730877250949955E-3</v>
      </c>
      <c r="O87" s="171">
        <f t="shared" si="215"/>
        <v>7.4883589671229014E-3</v>
      </c>
      <c r="P87" s="171">
        <f t="shared" si="215"/>
        <v>1.9065903691861768E-2</v>
      </c>
      <c r="Q87" s="118">
        <f t="shared" ref="Q87" si="216">((P87/G87)^(1/($H$2-$H$1) ))-1</f>
        <v>-9.4683604149016221E-2</v>
      </c>
      <c r="R87" s="20"/>
      <c r="S87" s="171">
        <f t="shared" ref="S87:AB87" si="217">S29/S38</f>
        <v>1.9065903691861768E-2</v>
      </c>
      <c r="T87" s="171">
        <f t="shared" si="217"/>
        <v>1.9065903691861764E-2</v>
      </c>
      <c r="U87" s="171">
        <f t="shared" si="217"/>
        <v>1.9065903691861764E-2</v>
      </c>
      <c r="V87" s="171">
        <f t="shared" si="217"/>
        <v>1.9065903691861764E-2</v>
      </c>
      <c r="W87" s="171">
        <f t="shared" si="217"/>
        <v>1.9065903691861764E-2</v>
      </c>
      <c r="X87" s="171">
        <f t="shared" si="217"/>
        <v>1.9065903691861761E-2</v>
      </c>
      <c r="Y87" s="171">
        <f t="shared" si="217"/>
        <v>1.9065903691861761E-2</v>
      </c>
      <c r="Z87" s="171">
        <f t="shared" si="217"/>
        <v>1.9065903691861761E-2</v>
      </c>
      <c r="AA87" s="171">
        <f t="shared" si="217"/>
        <v>1.9065903691861761E-2</v>
      </c>
      <c r="AB87" s="171">
        <f t="shared" si="217"/>
        <v>1.9065903691861761E-2</v>
      </c>
      <c r="AC87" s="138">
        <f t="shared" ref="AC87" si="218">((AB87/G87)^(1/($AB$3-$H$1) ))-1</f>
        <v>-4.6024931520788237E-2</v>
      </c>
      <c r="AD87" s="146"/>
      <c r="AE87" s="146"/>
    </row>
    <row r="88" spans="2:31" ht="12" customHeight="1" x14ac:dyDescent="0.2">
      <c r="B88" s="20" t="s">
        <v>326</v>
      </c>
      <c r="C88" s="152"/>
      <c r="D88" s="152"/>
      <c r="E88" s="152"/>
      <c r="F88" s="152"/>
      <c r="G88" s="171">
        <f t="shared" ref="G88:P88" si="219">G29/G12</f>
        <v>1.1549454682211358E-2</v>
      </c>
      <c r="H88" s="171">
        <f t="shared" si="219"/>
        <v>1.0544538873150771E-2</v>
      </c>
      <c r="I88" s="171">
        <f t="shared" si="219"/>
        <v>1.3242196951367045E-2</v>
      </c>
      <c r="J88" s="171">
        <f t="shared" si="219"/>
        <v>8.8292011019283755E-3</v>
      </c>
      <c r="K88" s="171">
        <f t="shared" si="219"/>
        <v>1.4937991891247317E-2</v>
      </c>
      <c r="L88" s="171">
        <f t="shared" si="219"/>
        <v>3.3972310969116086E-3</v>
      </c>
      <c r="M88" s="171">
        <f t="shared" si="219"/>
        <v>3.7226055194805193E-3</v>
      </c>
      <c r="N88" s="171">
        <f t="shared" si="219"/>
        <v>5.7836166924265849E-3</v>
      </c>
      <c r="O88" s="171">
        <f t="shared" si="219"/>
        <v>7.8809028809028805E-3</v>
      </c>
      <c r="P88" s="171">
        <f t="shared" si="219"/>
        <v>1.6266204382353315E-2</v>
      </c>
      <c r="Q88" s="118">
        <f t="shared" si="194"/>
        <v>3.878333030465142E-2</v>
      </c>
      <c r="R88" s="20"/>
      <c r="S88" s="152">
        <f t="shared" ref="S88:AB88" si="220">S29/S12</f>
        <v>1.6266204382353315E-2</v>
      </c>
      <c r="T88" s="152">
        <f t="shared" si="220"/>
        <v>1.6266204382353315E-2</v>
      </c>
      <c r="U88" s="152">
        <f t="shared" si="220"/>
        <v>1.6266204382353319E-2</v>
      </c>
      <c r="V88" s="152">
        <f t="shared" si="220"/>
        <v>1.6266204382353319E-2</v>
      </c>
      <c r="W88" s="152">
        <f t="shared" si="220"/>
        <v>1.6266204382353319E-2</v>
      </c>
      <c r="X88" s="152">
        <f t="shared" si="220"/>
        <v>1.6266204382353315E-2</v>
      </c>
      <c r="Y88" s="152">
        <f t="shared" si="220"/>
        <v>1.6266204382353315E-2</v>
      </c>
      <c r="Z88" s="152">
        <f t="shared" si="220"/>
        <v>1.6266204382353315E-2</v>
      </c>
      <c r="AA88" s="152">
        <f t="shared" si="220"/>
        <v>1.6266204382353319E-2</v>
      </c>
      <c r="AB88" s="152">
        <f t="shared" si="220"/>
        <v>1.6266204382353319E-2</v>
      </c>
      <c r="AC88" s="138">
        <f t="shared" si="196"/>
        <v>1.8187165146959172E-2</v>
      </c>
      <c r="AD88" s="146"/>
      <c r="AE88" s="146"/>
    </row>
    <row r="89" spans="2:31" ht="12" customHeight="1" x14ac:dyDescent="0.2">
      <c r="B89" s="20" t="s">
        <v>371</v>
      </c>
      <c r="C89" s="152"/>
      <c r="D89" s="152"/>
      <c r="E89" s="152"/>
      <c r="F89" s="152"/>
      <c r="G89" s="171">
        <f>G29/G23</f>
        <v>1.1549454682211358E-2</v>
      </c>
      <c r="H89" s="171">
        <f t="shared" ref="H89:P89" si="221">H29/H23</f>
        <v>1.0544538873150771E-2</v>
      </c>
      <c r="I89" s="171">
        <f t="shared" si="221"/>
        <v>1.3242196951367045E-2</v>
      </c>
      <c r="J89" s="171">
        <f t="shared" si="221"/>
        <v>8.8292011019283755E-3</v>
      </c>
      <c r="K89" s="171">
        <f t="shared" si="221"/>
        <v>2.1568526170798897E-2</v>
      </c>
      <c r="L89" s="171">
        <f t="shared" si="221"/>
        <v>3.4021718053131667E-3</v>
      </c>
      <c r="M89" s="171">
        <f t="shared" si="221"/>
        <v>3.7477017364657811E-3</v>
      </c>
      <c r="N89" s="171">
        <f t="shared" si="221"/>
        <v>5.828660436137072E-3</v>
      </c>
      <c r="O89" s="171">
        <f t="shared" si="221"/>
        <v>7.9553290361265173E-3</v>
      </c>
      <c r="P89" s="171">
        <f t="shared" si="221"/>
        <v>1.6504138644593897E-2</v>
      </c>
      <c r="Q89" s="118">
        <f t="shared" ref="Q89" si="222">((P89/G89)^(1/($H$2-$H$1) ))-1</f>
        <v>4.0460768403181024E-2</v>
      </c>
      <c r="R89" s="20"/>
      <c r="S89" s="171">
        <f t="shared" ref="S89:AB89" si="223">S29/S23</f>
        <v>1.6504138644593897E-2</v>
      </c>
      <c r="T89" s="171">
        <f t="shared" si="223"/>
        <v>1.6504138644593897E-2</v>
      </c>
      <c r="U89" s="171">
        <f t="shared" si="223"/>
        <v>1.6504138644593901E-2</v>
      </c>
      <c r="V89" s="171">
        <f t="shared" si="223"/>
        <v>1.6504138644593901E-2</v>
      </c>
      <c r="W89" s="171">
        <f t="shared" si="223"/>
        <v>1.6504138644593901E-2</v>
      </c>
      <c r="X89" s="171">
        <f t="shared" si="223"/>
        <v>1.6504138644593901E-2</v>
      </c>
      <c r="Y89" s="171">
        <f t="shared" si="223"/>
        <v>1.6504138644593897E-2</v>
      </c>
      <c r="Z89" s="171">
        <f t="shared" si="223"/>
        <v>1.6504138644593897E-2</v>
      </c>
      <c r="AA89" s="171">
        <f t="shared" si="223"/>
        <v>1.6504138644593894E-2</v>
      </c>
      <c r="AB89" s="171">
        <f t="shared" si="223"/>
        <v>1.6504138644593894E-2</v>
      </c>
      <c r="AC89" s="138">
        <f t="shared" ref="AC89" si="224">((AB89/G89)^(1/($AB$3-$H$1) ))-1</f>
        <v>1.8965656183285828E-2</v>
      </c>
      <c r="AD89" s="146"/>
      <c r="AE89" s="146"/>
    </row>
    <row r="90" spans="2:31" ht="12" customHeight="1" x14ac:dyDescent="0.2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 x14ac:dyDescent="0.2">
      <c r="B91" s="20" t="s">
        <v>327</v>
      </c>
      <c r="C91" s="152"/>
      <c r="D91" s="152"/>
      <c r="E91" s="152"/>
      <c r="F91" s="163">
        <f>F12+F13-F10</f>
        <v>799.32999999999993</v>
      </c>
      <c r="G91" s="163">
        <f>G12+G13-G10</f>
        <v>2148</v>
      </c>
      <c r="H91" s="163">
        <f t="shared" ref="H91:P91" si="225">H12+H13-H10</f>
        <v>2650</v>
      </c>
      <c r="I91" s="163">
        <f t="shared" si="225"/>
        <v>3583</v>
      </c>
      <c r="J91" s="163">
        <f t="shared" si="225"/>
        <v>5727</v>
      </c>
      <c r="K91" s="163">
        <f t="shared" si="225"/>
        <v>8299.2900000000009</v>
      </c>
      <c r="L91" s="163">
        <f t="shared" si="225"/>
        <v>10167.94</v>
      </c>
      <c r="M91" s="163">
        <f t="shared" si="225"/>
        <v>9713.94</v>
      </c>
      <c r="N91" s="163">
        <f t="shared" si="225"/>
        <v>9440.94</v>
      </c>
      <c r="O91" s="163">
        <f t="shared" si="225"/>
        <v>6370.94</v>
      </c>
      <c r="P91" s="163">
        <f t="shared" si="225"/>
        <v>6618.04</v>
      </c>
      <c r="Q91" s="118">
        <f t="shared" si="194"/>
        <v>0.13318145044703655</v>
      </c>
      <c r="R91" s="20"/>
      <c r="S91" s="163">
        <f t="shared" ref="S91:AB91" si="226">S12+S13-S10</f>
        <v>7412.2048000000004</v>
      </c>
      <c r="T91" s="163">
        <f t="shared" si="226"/>
        <v>8301.6693760000016</v>
      </c>
      <c r="U91" s="163">
        <f t="shared" si="226"/>
        <v>9297.869701120002</v>
      </c>
      <c r="V91" s="163">
        <f t="shared" si="226"/>
        <v>10413.614065254402</v>
      </c>
      <c r="W91" s="163">
        <f t="shared" si="226"/>
        <v>11663.247753084932</v>
      </c>
      <c r="X91" s="163">
        <f t="shared" si="226"/>
        <v>13062.837483455127</v>
      </c>
      <c r="Y91" s="163">
        <f t="shared" si="226"/>
        <v>14630.377981469745</v>
      </c>
      <c r="Z91" s="163">
        <f t="shared" si="226"/>
        <v>16386.023339246112</v>
      </c>
      <c r="AA91" s="163">
        <f t="shared" si="226"/>
        <v>18352.346139955644</v>
      </c>
      <c r="AB91" s="163">
        <f t="shared" si="226"/>
        <v>20554.627676750326</v>
      </c>
      <c r="AC91" s="138">
        <f t="shared" si="196"/>
        <v>0.12622462179278338</v>
      </c>
      <c r="AD91" s="146"/>
      <c r="AE91" s="146"/>
    </row>
    <row r="92" spans="2:31" ht="12" customHeight="1" x14ac:dyDescent="0.2">
      <c r="B92" s="20" t="s">
        <v>322</v>
      </c>
      <c r="C92" s="20"/>
      <c r="D92" s="20"/>
      <c r="E92" s="20"/>
      <c r="F92" s="20"/>
      <c r="G92" s="152">
        <f t="shared" ref="G92:P92" si="227">G38/G18</f>
        <v>0.60201280878316565</v>
      </c>
      <c r="H92" s="152">
        <f t="shared" si="227"/>
        <v>0.91371045062320233</v>
      </c>
      <c r="I92" s="152">
        <f t="shared" si="227"/>
        <v>1.7115188583078491</v>
      </c>
      <c r="J92" s="152">
        <f t="shared" si="227"/>
        <v>2.4433198380566803</v>
      </c>
      <c r="K92" s="152">
        <f t="shared" si="227"/>
        <v>2.91734693877551</v>
      </c>
      <c r="L92" s="152">
        <f t="shared" si="227"/>
        <v>1.8719951923076923</v>
      </c>
      <c r="M92" s="152">
        <f t="shared" si="227"/>
        <v>1.6587423312883436</v>
      </c>
      <c r="N92" s="152">
        <f t="shared" si="227"/>
        <v>1.6771958991410363</v>
      </c>
      <c r="O92" s="152">
        <f t="shared" si="227"/>
        <v>1.5603258476442097</v>
      </c>
      <c r="P92" s="152">
        <f t="shared" si="227"/>
        <v>1.1357905275840419</v>
      </c>
      <c r="Q92" s="118">
        <f t="shared" si="194"/>
        <v>7.3080989827079001E-2</v>
      </c>
      <c r="R92" s="20"/>
      <c r="S92" s="152">
        <f t="shared" ref="S92:AB92" si="228">S38/S18</f>
        <v>1.1357905275840416</v>
      </c>
      <c r="T92" s="152">
        <f t="shared" si="228"/>
        <v>1.1357905275840419</v>
      </c>
      <c r="U92" s="152">
        <f t="shared" si="228"/>
        <v>1.1357905275840419</v>
      </c>
      <c r="V92" s="152">
        <f t="shared" si="228"/>
        <v>1.1357905275840416</v>
      </c>
      <c r="W92" s="152">
        <f t="shared" si="228"/>
        <v>1.1357905275840416</v>
      </c>
      <c r="X92" s="152">
        <f t="shared" si="228"/>
        <v>1.1357905275840416</v>
      </c>
      <c r="Y92" s="152">
        <f t="shared" si="228"/>
        <v>1.1357905275840419</v>
      </c>
      <c r="Z92" s="152">
        <f t="shared" si="228"/>
        <v>1.1357905275840416</v>
      </c>
      <c r="AA92" s="152">
        <f t="shared" si="228"/>
        <v>1.1357905275840416</v>
      </c>
      <c r="AB92" s="152">
        <f t="shared" si="228"/>
        <v>1.1357905275840416</v>
      </c>
      <c r="AC92" s="138">
        <f t="shared" si="196"/>
        <v>3.3975223467845872E-2</v>
      </c>
      <c r="AD92" s="20"/>
      <c r="AE92" s="20"/>
    </row>
    <row r="93" spans="2:31" x14ac:dyDescent="0.2">
      <c r="B93" s="20" t="s">
        <v>323</v>
      </c>
      <c r="C93" s="20"/>
      <c r="D93" s="20"/>
      <c r="E93" s="20"/>
      <c r="F93" s="20"/>
      <c r="G93" s="152">
        <f t="shared" ref="G93:P93" si="229">G38/G25</f>
        <v>8.2044887780548623E-2</v>
      </c>
      <c r="H93" s="152">
        <f t="shared" si="229"/>
        <v>9.1301015520214607E-2</v>
      </c>
      <c r="I93" s="152">
        <f t="shared" si="229"/>
        <v>0.11849812971981086</v>
      </c>
      <c r="J93" s="152">
        <f t="shared" si="229"/>
        <v>0.13391767447020969</v>
      </c>
      <c r="K93" s="152">
        <f t="shared" si="229"/>
        <v>0.13365434061053713</v>
      </c>
      <c r="L93" s="152">
        <f t="shared" si="229"/>
        <v>0.10711092772161475</v>
      </c>
      <c r="M93" s="152">
        <f t="shared" si="229"/>
        <v>0.12223101265822785</v>
      </c>
      <c r="N93" s="152">
        <f t="shared" si="229"/>
        <v>0.13924545663676099</v>
      </c>
      <c r="O93" s="152">
        <f t="shared" si="229"/>
        <v>0.14115280433397068</v>
      </c>
      <c r="P93" s="152">
        <f t="shared" si="229"/>
        <v>0.13594163513428428</v>
      </c>
      <c r="Q93" s="118">
        <f t="shared" si="194"/>
        <v>5.7710398016024511E-2</v>
      </c>
      <c r="R93" s="20"/>
      <c r="S93" s="152">
        <f t="shared" ref="S93:AB93" si="230">S38/S25</f>
        <v>0.13594163513428426</v>
      </c>
      <c r="T93" s="152">
        <f t="shared" si="230"/>
        <v>0.13594163513428428</v>
      </c>
      <c r="U93" s="152">
        <f t="shared" si="230"/>
        <v>0.13594163513428428</v>
      </c>
      <c r="V93" s="152">
        <f t="shared" si="230"/>
        <v>0.13594163513428428</v>
      </c>
      <c r="W93" s="152">
        <f t="shared" si="230"/>
        <v>0.13594163513428428</v>
      </c>
      <c r="X93" s="152">
        <f t="shared" si="230"/>
        <v>0.13594163513428428</v>
      </c>
      <c r="Y93" s="152">
        <f t="shared" si="230"/>
        <v>0.13594163513428428</v>
      </c>
      <c r="Z93" s="152">
        <f t="shared" si="230"/>
        <v>0.13594163513428428</v>
      </c>
      <c r="AA93" s="152">
        <f t="shared" si="230"/>
        <v>0.13594163513428428</v>
      </c>
      <c r="AB93" s="152">
        <f t="shared" si="230"/>
        <v>0.13594163513428428</v>
      </c>
      <c r="AC93" s="138">
        <f t="shared" si="196"/>
        <v>2.6933108953477891E-2</v>
      </c>
      <c r="AD93" s="20"/>
      <c r="AE93" s="20"/>
    </row>
    <row r="94" spans="2:31" x14ac:dyDescent="0.2">
      <c r="B94" s="20" t="s">
        <v>349</v>
      </c>
      <c r="C94" s="20"/>
      <c r="D94" s="20"/>
      <c r="E94" s="152"/>
      <c r="F94" s="152"/>
      <c r="G94" s="152">
        <f t="shared" ref="G94:O94" si="231">G25/G18</f>
        <v>7.3376029277218668</v>
      </c>
      <c r="H94" s="152">
        <f t="shared" si="231"/>
        <v>10.007670182166827</v>
      </c>
      <c r="I94" s="152">
        <f t="shared" si="231"/>
        <v>14.4434250764526</v>
      </c>
      <c r="J94" s="152">
        <f t="shared" si="231"/>
        <v>18.24493927125506</v>
      </c>
      <c r="K94" s="152">
        <f t="shared" si="231"/>
        <v>21.827551020408162</v>
      </c>
      <c r="L94" s="152">
        <f t="shared" si="231"/>
        <v>17.47716346153846</v>
      </c>
      <c r="M94" s="152">
        <f t="shared" si="231"/>
        <v>13.570552147239264</v>
      </c>
      <c r="N94" s="152">
        <f t="shared" si="231"/>
        <v>12.044887780548628</v>
      </c>
      <c r="O94" s="152">
        <f t="shared" si="231"/>
        <v>11.054161162483487</v>
      </c>
      <c r="P94" s="152">
        <f>P25/P18</f>
        <v>8.3549865091890236</v>
      </c>
      <c r="Q94" s="118">
        <f t="shared" si="194"/>
        <v>1.4531947345781671E-2</v>
      </c>
      <c r="R94" s="20"/>
      <c r="S94" s="152">
        <f>S25/S18</f>
        <v>8.3549865091890236</v>
      </c>
      <c r="T94" s="152">
        <f t="shared" ref="T94:AB94" si="232">T25/T18</f>
        <v>8.3549865091890236</v>
      </c>
      <c r="U94" s="152">
        <f t="shared" si="232"/>
        <v>8.3549865091890236</v>
      </c>
      <c r="V94" s="152">
        <f t="shared" si="232"/>
        <v>8.3549865091890236</v>
      </c>
      <c r="W94" s="152">
        <f t="shared" si="232"/>
        <v>8.3549865091890236</v>
      </c>
      <c r="X94" s="152">
        <f t="shared" si="232"/>
        <v>8.3549865091890236</v>
      </c>
      <c r="Y94" s="152">
        <f t="shared" si="232"/>
        <v>8.3549865091890236</v>
      </c>
      <c r="Z94" s="152">
        <f t="shared" si="232"/>
        <v>8.3549865091890219</v>
      </c>
      <c r="AA94" s="152">
        <f t="shared" si="232"/>
        <v>8.3549865091890219</v>
      </c>
      <c r="AB94" s="152">
        <f t="shared" si="232"/>
        <v>8.3549865091890219</v>
      </c>
      <c r="AC94" s="138">
        <f t="shared" si="196"/>
        <v>6.8574227989828263E-3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 x14ac:dyDescent="0.2">
      <c r="B96" s="20" t="s">
        <v>335</v>
      </c>
      <c r="C96" s="20"/>
      <c r="D96" s="20"/>
      <c r="E96" s="165">
        <f t="shared" ref="E96:F96" si="233">E63*E40</f>
        <v>0</v>
      </c>
      <c r="F96" s="165">
        <f t="shared" si="233"/>
        <v>97.88</v>
      </c>
      <c r="G96" s="165">
        <f>G63*G40</f>
        <v>146.82</v>
      </c>
      <c r="H96" s="165">
        <f t="shared" ref="H96:P96" si="234">H63*H40</f>
        <v>195.76</v>
      </c>
      <c r="I96" s="165">
        <f t="shared" si="234"/>
        <v>354.815</v>
      </c>
      <c r="J96" s="165">
        <f t="shared" si="234"/>
        <v>599.51499999999999</v>
      </c>
      <c r="K96" s="165">
        <f t="shared" si="234"/>
        <v>746.48750000000007</v>
      </c>
      <c r="L96" s="165">
        <f t="shared" si="234"/>
        <v>832.15000000000009</v>
      </c>
      <c r="M96" s="165">
        <f t="shared" si="234"/>
        <v>1140.5350000000001</v>
      </c>
      <c r="N96" s="165">
        <f t="shared" si="234"/>
        <v>1524.7925</v>
      </c>
      <c r="O96" s="165">
        <f t="shared" si="234"/>
        <v>1566.4639999999999</v>
      </c>
      <c r="P96" s="165">
        <f t="shared" si="234"/>
        <v>1253.1712</v>
      </c>
      <c r="Q96" s="118">
        <f t="shared" si="194"/>
        <v>0.26902291727150662</v>
      </c>
      <c r="R96" s="20"/>
      <c r="S96" s="165">
        <f t="shared" ref="S96:AB96" si="235">S63*S40</f>
        <v>1513.2042240000001</v>
      </c>
      <c r="T96" s="165">
        <f t="shared" si="235"/>
        <v>1827.1941004800001</v>
      </c>
      <c r="U96" s="165">
        <f t="shared" si="235"/>
        <v>2206.3368763296003</v>
      </c>
      <c r="V96" s="165">
        <f t="shared" si="235"/>
        <v>2664.1517781679922</v>
      </c>
      <c r="W96" s="165">
        <f t="shared" si="235"/>
        <v>3216.9632721378507</v>
      </c>
      <c r="X96" s="165">
        <f t="shared" si="235"/>
        <v>3884.4831511064549</v>
      </c>
      <c r="Y96" s="165">
        <f t="shared" si="235"/>
        <v>4690.5134049610433</v>
      </c>
      <c r="Z96" s="165">
        <f t="shared" si="235"/>
        <v>5663.7949364904598</v>
      </c>
      <c r="AA96" s="165">
        <f t="shared" si="235"/>
        <v>6839.0323858122301</v>
      </c>
      <c r="AB96" s="165">
        <f t="shared" si="235"/>
        <v>8258.1316058682678</v>
      </c>
      <c r="AC96" s="138">
        <f t="shared" si="196"/>
        <v>0.23626150506894095</v>
      </c>
      <c r="AD96" s="20"/>
      <c r="AE96" s="20"/>
    </row>
    <row r="97" spans="2:31" x14ac:dyDescent="0.2">
      <c r="B97" s="20" t="s">
        <v>336</v>
      </c>
      <c r="C97" s="20"/>
      <c r="D97" s="20"/>
      <c r="E97" s="165">
        <f>(E96*0.17)+E96</f>
        <v>0</v>
      </c>
      <c r="F97" s="165">
        <f>(F96*0.17)+F96</f>
        <v>114.5196</v>
      </c>
      <c r="G97" s="165">
        <f t="shared" ref="G97:P97" si="236">(G96*0.17)+G96</f>
        <v>171.77940000000001</v>
      </c>
      <c r="H97" s="165">
        <f t="shared" si="236"/>
        <v>229.03919999999999</v>
      </c>
      <c r="I97" s="165">
        <f t="shared" si="236"/>
        <v>415.13355000000001</v>
      </c>
      <c r="J97" s="165">
        <f t="shared" si="236"/>
        <v>701.43254999999999</v>
      </c>
      <c r="K97" s="165">
        <f t="shared" si="236"/>
        <v>873.39037500000006</v>
      </c>
      <c r="L97" s="165">
        <f t="shared" si="236"/>
        <v>973.61550000000011</v>
      </c>
      <c r="M97" s="165">
        <f t="shared" si="236"/>
        <v>1334.4259500000001</v>
      </c>
      <c r="N97" s="165">
        <f t="shared" si="236"/>
        <v>1784.0072250000001</v>
      </c>
      <c r="O97" s="165">
        <f t="shared" si="236"/>
        <v>1832.76288</v>
      </c>
      <c r="P97" s="165">
        <f t="shared" si="236"/>
        <v>1466.210304</v>
      </c>
      <c r="Q97" s="118">
        <f t="shared" si="194"/>
        <v>0.26902291727150662</v>
      </c>
      <c r="R97" s="20"/>
      <c r="S97" s="165">
        <f t="shared" ref="S97:AB97" si="237">(S96*0.17)+S96</f>
        <v>1770.4489420800001</v>
      </c>
      <c r="T97" s="165">
        <f t="shared" si="237"/>
        <v>2137.8170975616003</v>
      </c>
      <c r="U97" s="165">
        <f t="shared" si="237"/>
        <v>2581.4141453056322</v>
      </c>
      <c r="V97" s="165">
        <f t="shared" si="237"/>
        <v>3117.057580456551</v>
      </c>
      <c r="W97" s="165">
        <f t="shared" si="237"/>
        <v>3763.8470284012856</v>
      </c>
      <c r="X97" s="165">
        <f t="shared" si="237"/>
        <v>4544.8452867945525</v>
      </c>
      <c r="Y97" s="165">
        <f t="shared" si="237"/>
        <v>5487.9006838044206</v>
      </c>
      <c r="Z97" s="165">
        <f t="shared" si="237"/>
        <v>6626.6400756938383</v>
      </c>
      <c r="AA97" s="165">
        <f t="shared" si="237"/>
        <v>8001.6678914003096</v>
      </c>
      <c r="AB97" s="165">
        <f t="shared" si="237"/>
        <v>9662.0139788658744</v>
      </c>
      <c r="AC97" s="138">
        <f t="shared" si="196"/>
        <v>0.23626150506894095</v>
      </c>
      <c r="AD97" s="20"/>
      <c r="AE97" s="20"/>
    </row>
    <row r="98" spans="2:31" x14ac:dyDescent="0.2">
      <c r="B98" s="20" t="s">
        <v>337</v>
      </c>
      <c r="C98" s="20"/>
      <c r="D98" s="20"/>
      <c r="E98" s="20"/>
      <c r="F98" s="152">
        <f t="shared" ref="F98:P98" si="238">F97/F38</f>
        <v>0.25792702702702702</v>
      </c>
      <c r="G98" s="152">
        <f t="shared" si="238"/>
        <v>0.26106291793313069</v>
      </c>
      <c r="H98" s="152">
        <f t="shared" si="238"/>
        <v>0.24033494228751312</v>
      </c>
      <c r="I98" s="152">
        <f t="shared" si="238"/>
        <v>0.24725047647409173</v>
      </c>
      <c r="J98" s="152">
        <f t="shared" si="238"/>
        <v>0.29056857912178957</v>
      </c>
      <c r="K98" s="152">
        <f t="shared" si="238"/>
        <v>0.30548806400839457</v>
      </c>
      <c r="L98" s="152">
        <f t="shared" si="238"/>
        <v>0.31255714285714287</v>
      </c>
      <c r="M98" s="152">
        <f t="shared" si="238"/>
        <v>0.30846647018030515</v>
      </c>
      <c r="N98" s="152">
        <f t="shared" si="238"/>
        <v>0.29473107962993556</v>
      </c>
      <c r="O98" s="152">
        <f t="shared" si="238"/>
        <v>0.25860912656977564</v>
      </c>
      <c r="P98" s="152">
        <f t="shared" si="238"/>
        <v>0.21906296095979438</v>
      </c>
      <c r="Q98" s="118">
        <f t="shared" si="194"/>
        <v>-1.9300454655568511E-2</v>
      </c>
      <c r="R98" s="20"/>
      <c r="S98" s="152">
        <f t="shared" ref="S98:AB98" si="239">S97/S38</f>
        <v>0.23617725478477833</v>
      </c>
      <c r="T98" s="152">
        <f t="shared" si="239"/>
        <v>0.25462860281483912</v>
      </c>
      <c r="U98" s="152">
        <f t="shared" si="239"/>
        <v>0.2745214624097484</v>
      </c>
      <c r="V98" s="152">
        <f t="shared" si="239"/>
        <v>0.29596845166050995</v>
      </c>
      <c r="W98" s="152">
        <f t="shared" si="239"/>
        <v>0.3190909869464873</v>
      </c>
      <c r="X98" s="152">
        <f t="shared" si="239"/>
        <v>0.34401997030168158</v>
      </c>
      <c r="Y98" s="152">
        <f t="shared" si="239"/>
        <v>0.37089653048150029</v>
      </c>
      <c r="Z98" s="152">
        <f t="shared" si="239"/>
        <v>0.39987282192536749</v>
      </c>
      <c r="AA98" s="152">
        <f t="shared" si="239"/>
        <v>0.4311128861382868</v>
      </c>
      <c r="AB98" s="152">
        <f t="shared" si="239"/>
        <v>0.46479358036784041</v>
      </c>
      <c r="AC98" s="138">
        <f t="shared" si="196"/>
        <v>3.0825127660337515E-2</v>
      </c>
      <c r="AD98" s="20"/>
      <c r="AE98" s="20"/>
    </row>
    <row r="99" spans="2:31" x14ac:dyDescent="0.2">
      <c r="B99" s="20" t="s">
        <v>330</v>
      </c>
      <c r="C99" s="20"/>
      <c r="D99" s="20"/>
      <c r="E99" s="20"/>
      <c r="F99" s="152">
        <f>1-F98</f>
        <v>0.74207297297297292</v>
      </c>
      <c r="G99" s="152">
        <f>1-G98</f>
        <v>0.73893708206686926</v>
      </c>
      <c r="H99" s="152">
        <f t="shared" ref="H99:P99" si="240">1-H98</f>
        <v>0.75966505771248682</v>
      </c>
      <c r="I99" s="152">
        <f t="shared" si="240"/>
        <v>0.75274952352590829</v>
      </c>
      <c r="J99" s="152">
        <f t="shared" si="240"/>
        <v>0.70943142087821043</v>
      </c>
      <c r="K99" s="152">
        <f t="shared" si="240"/>
        <v>0.69451193599160543</v>
      </c>
      <c r="L99" s="152">
        <f t="shared" si="240"/>
        <v>0.68744285714285713</v>
      </c>
      <c r="M99" s="152">
        <f t="shared" si="240"/>
        <v>0.69153352981969485</v>
      </c>
      <c r="N99" s="152">
        <f t="shared" si="240"/>
        <v>0.70526892037006439</v>
      </c>
      <c r="O99" s="152">
        <f t="shared" si="240"/>
        <v>0.74139087343022436</v>
      </c>
      <c r="P99" s="152">
        <f t="shared" si="240"/>
        <v>0.78093703904020562</v>
      </c>
      <c r="Q99" s="118">
        <f t="shared" si="194"/>
        <v>6.1613202970973724E-3</v>
      </c>
      <c r="R99" s="20"/>
      <c r="S99" s="152">
        <f t="shared" ref="S99:AB99" si="241">1-S98</f>
        <v>0.76382274521522164</v>
      </c>
      <c r="T99" s="152">
        <f t="shared" si="241"/>
        <v>0.74537139718516088</v>
      </c>
      <c r="U99" s="152">
        <f t="shared" si="241"/>
        <v>0.7254785375902516</v>
      </c>
      <c r="V99" s="152">
        <f t="shared" si="241"/>
        <v>0.70403154833949011</v>
      </c>
      <c r="W99" s="152">
        <f t="shared" si="241"/>
        <v>0.6809090130535127</v>
      </c>
      <c r="X99" s="152">
        <f t="shared" si="241"/>
        <v>0.65598002969831848</v>
      </c>
      <c r="Y99" s="152">
        <f t="shared" si="241"/>
        <v>0.62910346951849971</v>
      </c>
      <c r="Z99" s="152">
        <f t="shared" si="241"/>
        <v>0.60012717807463245</v>
      </c>
      <c r="AA99" s="152">
        <f t="shared" si="241"/>
        <v>0.5688871138617132</v>
      </c>
      <c r="AB99" s="152">
        <f t="shared" si="241"/>
        <v>0.53520641963215954</v>
      </c>
      <c r="AC99" s="138">
        <f t="shared" si="196"/>
        <v>-1.6833561765918659E-2</v>
      </c>
      <c r="AD99" s="20"/>
      <c r="AE99" s="20"/>
    </row>
    <row r="100" spans="2:31" x14ac:dyDescent="0.2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 x14ac:dyDescent="0.2">
      <c r="B101" s="20" t="s">
        <v>334</v>
      </c>
      <c r="C101" s="152"/>
      <c r="D101" s="152"/>
      <c r="E101" s="152"/>
      <c r="F101" s="152">
        <f>F31/F25</f>
        <v>1.0428591769898903E-2</v>
      </c>
      <c r="G101" s="152">
        <f>G31/G25</f>
        <v>1.1224438902743142E-2</v>
      </c>
      <c r="H101" s="152">
        <f t="shared" ref="H101:P101" si="242">H31/H25</f>
        <v>0</v>
      </c>
      <c r="I101" s="152">
        <f t="shared" si="242"/>
        <v>0</v>
      </c>
      <c r="J101" s="152">
        <f t="shared" si="242"/>
        <v>0</v>
      </c>
      <c r="K101" s="152">
        <f t="shared" si="242"/>
        <v>0</v>
      </c>
      <c r="L101" s="152">
        <f t="shared" si="242"/>
        <v>0</v>
      </c>
      <c r="M101" s="152">
        <f t="shared" si="242"/>
        <v>6.7218580470162744E-4</v>
      </c>
      <c r="N101" s="152">
        <f t="shared" si="242"/>
        <v>1.2532781228433401E-3</v>
      </c>
      <c r="O101" s="152">
        <f t="shared" si="242"/>
        <v>1.2223151688973868E-3</v>
      </c>
      <c r="P101" s="152">
        <f t="shared" si="242"/>
        <v>1.3693482901426014E-3</v>
      </c>
      <c r="Q101" s="118">
        <f t="shared" si="194"/>
        <v>-0.20844106825705422</v>
      </c>
      <c r="R101" s="20"/>
      <c r="S101" s="152">
        <f t="shared" ref="S101:AB101" si="243">S31/S25</f>
        <v>1.3693482901426012E-3</v>
      </c>
      <c r="T101" s="152">
        <f t="shared" si="243"/>
        <v>1.3693482901426012E-3</v>
      </c>
      <c r="U101" s="152">
        <f t="shared" si="243"/>
        <v>1.3693482901426014E-3</v>
      </c>
      <c r="V101" s="152">
        <f t="shared" si="243"/>
        <v>1.3693482901426012E-3</v>
      </c>
      <c r="W101" s="152">
        <f t="shared" si="243"/>
        <v>1.369348290142601E-3</v>
      </c>
      <c r="X101" s="152">
        <f t="shared" si="243"/>
        <v>1.3693482901426012E-3</v>
      </c>
      <c r="Y101" s="152">
        <f t="shared" si="243"/>
        <v>1.3693482901426012E-3</v>
      </c>
      <c r="Z101" s="152">
        <f t="shared" si="243"/>
        <v>1.3693482901426012E-3</v>
      </c>
      <c r="AA101" s="152">
        <f t="shared" si="243"/>
        <v>1.3693482901426012E-3</v>
      </c>
      <c r="AB101" s="152">
        <f t="shared" si="243"/>
        <v>1.3693482901426012E-3</v>
      </c>
      <c r="AC101" s="138">
        <f t="shared" si="196"/>
        <v>-0.10481433261441186</v>
      </c>
      <c r="AD101" s="20"/>
      <c r="AE101" s="20"/>
    </row>
    <row r="102" spans="2:31" x14ac:dyDescent="0.2">
      <c r="B102" s="20" t="s">
        <v>331</v>
      </c>
      <c r="C102" s="152"/>
      <c r="D102" s="152"/>
      <c r="E102" s="152"/>
      <c r="F102" s="152">
        <f>F32/F25</f>
        <v>0</v>
      </c>
      <c r="G102" s="152">
        <f>G32/G25</f>
        <v>0</v>
      </c>
      <c r="H102" s="152">
        <f t="shared" ref="H102:O102" si="244">H32/H25</f>
        <v>0</v>
      </c>
      <c r="I102" s="152">
        <f t="shared" si="244"/>
        <v>0</v>
      </c>
      <c r="J102" s="152">
        <f t="shared" si="244"/>
        <v>0</v>
      </c>
      <c r="K102" s="152">
        <f t="shared" si="244"/>
        <v>1.0298256276003927E-2</v>
      </c>
      <c r="L102" s="152">
        <f t="shared" si="244"/>
        <v>1.0162987414895812E-2</v>
      </c>
      <c r="M102" s="152">
        <f t="shared" si="244"/>
        <v>6.2839059674502712E-3</v>
      </c>
      <c r="N102" s="152">
        <f t="shared" si="244"/>
        <v>5.5141476880607313E-3</v>
      </c>
      <c r="O102" s="152">
        <f t="shared" si="244"/>
        <v>4.9784894837476097E-3</v>
      </c>
      <c r="P102" s="152">
        <f>P32/P25</f>
        <v>5.6451596523618306E-3</v>
      </c>
      <c r="Q102" s="118" t="e">
        <f t="shared" si="194"/>
        <v>#DIV/0!</v>
      </c>
      <c r="R102" s="20"/>
      <c r="S102" s="152">
        <f t="shared" ref="S102:AB102" si="245">S32/S25</f>
        <v>5.6451596523618298E-3</v>
      </c>
      <c r="T102" s="152">
        <f t="shared" si="245"/>
        <v>5.6451596523618298E-3</v>
      </c>
      <c r="U102" s="152">
        <f t="shared" si="245"/>
        <v>5.6451596523618298E-3</v>
      </c>
      <c r="V102" s="152">
        <f t="shared" si="245"/>
        <v>5.6451596523618298E-3</v>
      </c>
      <c r="W102" s="152">
        <f t="shared" si="245"/>
        <v>5.6451596523618289E-3</v>
      </c>
      <c r="X102" s="152">
        <f t="shared" si="245"/>
        <v>5.6451596523618289E-3</v>
      </c>
      <c r="Y102" s="152">
        <f t="shared" si="245"/>
        <v>5.6451596523618289E-3</v>
      </c>
      <c r="Z102" s="152">
        <f t="shared" si="245"/>
        <v>5.6451596523618289E-3</v>
      </c>
      <c r="AA102" s="152">
        <f t="shared" si="245"/>
        <v>5.6451596523618289E-3</v>
      </c>
      <c r="AB102" s="152">
        <f t="shared" si="245"/>
        <v>5.6451596523618289E-3</v>
      </c>
      <c r="AC102" s="138" t="e">
        <f t="shared" si="196"/>
        <v>#DIV/0!</v>
      </c>
      <c r="AD102" s="20"/>
      <c r="AE102" s="20"/>
    </row>
    <row r="103" spans="2:31" x14ac:dyDescent="0.2">
      <c r="B103" s="20" t="s">
        <v>394</v>
      </c>
      <c r="C103" s="152"/>
      <c r="D103" s="152"/>
      <c r="E103" s="152"/>
      <c r="F103" s="152">
        <f t="shared" ref="F103:O103" si="246">(F31+F32)/F25</f>
        <v>1.0428591769898903E-2</v>
      </c>
      <c r="G103" s="152">
        <f t="shared" si="246"/>
        <v>1.1224438902743142E-2</v>
      </c>
      <c r="H103" s="152">
        <f t="shared" si="246"/>
        <v>0</v>
      </c>
      <c r="I103" s="152">
        <f t="shared" si="246"/>
        <v>0</v>
      </c>
      <c r="J103" s="152">
        <f t="shared" si="246"/>
        <v>0</v>
      </c>
      <c r="K103" s="152">
        <f t="shared" si="246"/>
        <v>1.0298256276003927E-2</v>
      </c>
      <c r="L103" s="152">
        <f t="shared" si="246"/>
        <v>1.0162987414895812E-2</v>
      </c>
      <c r="M103" s="152">
        <f t="shared" si="246"/>
        <v>6.956091772151899E-3</v>
      </c>
      <c r="N103" s="152">
        <f t="shared" si="246"/>
        <v>6.7674258109040718E-3</v>
      </c>
      <c r="O103" s="152">
        <f t="shared" si="246"/>
        <v>6.2008046526449961E-3</v>
      </c>
      <c r="P103" s="152">
        <f>(P31+P32)/P25</f>
        <v>7.0145079425044327E-3</v>
      </c>
      <c r="Q103" s="118">
        <f t="shared" si="194"/>
        <v>-5.089397550547059E-2</v>
      </c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38"/>
      <c r="AD103" s="20"/>
      <c r="AE103" s="20"/>
    </row>
    <row r="104" spans="2:31" x14ac:dyDescent="0.2">
      <c r="B104" s="20"/>
      <c r="C104" s="20"/>
      <c r="D104" s="20"/>
      <c r="E104" s="20"/>
      <c r="F104" s="20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28"/>
      <c r="R104" s="20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28"/>
      <c r="AD104" s="20"/>
      <c r="AE104" s="20"/>
    </row>
    <row r="105" spans="2:31" x14ac:dyDescent="0.2">
      <c r="B105" s="20" t="s">
        <v>355</v>
      </c>
      <c r="C105" s="20"/>
      <c r="D105" s="20"/>
      <c r="E105" s="20"/>
      <c r="F105" s="20"/>
      <c r="G105" s="152">
        <f>G27/G25</f>
        <v>0.8917705735660848</v>
      </c>
      <c r="H105" s="152">
        <f t="shared" ref="H105:P105" si="247">H27/H25</f>
        <v>0.85025867024334167</v>
      </c>
      <c r="I105" s="152">
        <f t="shared" si="247"/>
        <v>0.81890041640200439</v>
      </c>
      <c r="J105" s="152">
        <f t="shared" si="247"/>
        <v>0.7766559414179518</v>
      </c>
      <c r="K105" s="152">
        <f t="shared" si="247"/>
        <v>0.77700902248609227</v>
      </c>
      <c r="L105" s="152">
        <f t="shared" si="247"/>
        <v>0.82078261467574443</v>
      </c>
      <c r="M105" s="152">
        <f t="shared" si="247"/>
        <v>0.79588607594936711</v>
      </c>
      <c r="N105" s="152">
        <f t="shared" si="247"/>
        <v>0.77681159420289858</v>
      </c>
      <c r="O105" s="152">
        <f t="shared" si="247"/>
        <v>0.77607154238368392</v>
      </c>
      <c r="P105" s="152">
        <f t="shared" si="247"/>
        <v>0.80090829509841555</v>
      </c>
      <c r="Q105" s="118">
        <f t="shared" si="194"/>
        <v>-1.186926922203102E-2</v>
      </c>
      <c r="R105" s="20"/>
      <c r="S105" s="152">
        <f t="shared" ref="S105:AB105" si="248">S27/S25</f>
        <v>0.80090829509841543</v>
      </c>
      <c r="T105" s="152">
        <f t="shared" si="248"/>
        <v>0.80090829509841532</v>
      </c>
      <c r="U105" s="152">
        <f t="shared" si="248"/>
        <v>0.80090829509841543</v>
      </c>
      <c r="V105" s="152">
        <f t="shared" si="248"/>
        <v>0.80090829509841543</v>
      </c>
      <c r="W105" s="152">
        <f t="shared" si="248"/>
        <v>0.80090829509841532</v>
      </c>
      <c r="X105" s="152">
        <f t="shared" si="248"/>
        <v>0.80090829509841543</v>
      </c>
      <c r="Y105" s="152">
        <f t="shared" si="248"/>
        <v>0.80090829509841543</v>
      </c>
      <c r="Z105" s="152">
        <f t="shared" si="248"/>
        <v>0.80090829509841543</v>
      </c>
      <c r="AA105" s="152">
        <f t="shared" si="248"/>
        <v>0.80090829509841543</v>
      </c>
      <c r="AB105" s="152">
        <f t="shared" si="248"/>
        <v>0.80090829509841543</v>
      </c>
      <c r="AC105" s="138">
        <f t="shared" si="196"/>
        <v>-5.6399534331147416E-3</v>
      </c>
      <c r="AD105" s="20"/>
      <c r="AE105" s="20"/>
    </row>
    <row r="106" spans="2:31" x14ac:dyDescent="0.2">
      <c r="B106" s="20" t="str">
        <f>B33</f>
        <v>Top Expenses ( Raw material )</v>
      </c>
      <c r="C106" s="20"/>
      <c r="D106" s="20"/>
      <c r="E106" s="20"/>
      <c r="F106" s="20"/>
      <c r="G106" s="152">
        <f>G33/G25</f>
        <v>0.45311720698254365</v>
      </c>
      <c r="H106" s="152">
        <f t="shared" ref="H106:P106" si="249">H33/H25</f>
        <v>0.48831193715271126</v>
      </c>
      <c r="I106" s="152">
        <f t="shared" si="249"/>
        <v>0.50109393746912279</v>
      </c>
      <c r="J106" s="152">
        <f t="shared" si="249"/>
        <v>0.47492510817707756</v>
      </c>
      <c r="K106" s="152">
        <f t="shared" si="249"/>
        <v>0.48618577906596233</v>
      </c>
      <c r="L106" s="152">
        <f t="shared" si="249"/>
        <v>0.54143456433532766</v>
      </c>
      <c r="M106" s="152">
        <f t="shared" si="249"/>
        <v>0.50618783905967446</v>
      </c>
      <c r="N106" s="152">
        <f t="shared" si="249"/>
        <v>0.46045548654244306</v>
      </c>
      <c r="O106" s="152">
        <f t="shared" si="249"/>
        <v>0.50322657743785848</v>
      </c>
      <c r="P106" s="152">
        <f t="shared" si="249"/>
        <v>0.55864616909481235</v>
      </c>
      <c r="Q106" s="118">
        <f t="shared" si="194"/>
        <v>2.3535520545401312E-2</v>
      </c>
      <c r="R106" s="20"/>
      <c r="S106" s="152">
        <f t="shared" ref="S106:AB106" si="250">S33/S25</f>
        <v>0.55864616909481235</v>
      </c>
      <c r="T106" s="152">
        <f t="shared" si="250"/>
        <v>0.55864616909481235</v>
      </c>
      <c r="U106" s="152">
        <f t="shared" si="250"/>
        <v>0.55864616909481235</v>
      </c>
      <c r="V106" s="152">
        <f t="shared" si="250"/>
        <v>0.55864616909481235</v>
      </c>
      <c r="W106" s="152">
        <f t="shared" si="250"/>
        <v>0.55864616909481235</v>
      </c>
      <c r="X106" s="152">
        <f t="shared" si="250"/>
        <v>0.55864616909481235</v>
      </c>
      <c r="Y106" s="152">
        <f t="shared" si="250"/>
        <v>0.55864616909481235</v>
      </c>
      <c r="Z106" s="152">
        <f t="shared" si="250"/>
        <v>0.55864616909481235</v>
      </c>
      <c r="AA106" s="152">
        <f t="shared" si="250"/>
        <v>0.55864616909481235</v>
      </c>
      <c r="AB106" s="152">
        <f t="shared" si="250"/>
        <v>0.55864616909481235</v>
      </c>
      <c r="AC106" s="138">
        <f t="shared" si="196"/>
        <v>1.1080170888098539E-2</v>
      </c>
      <c r="AD106" s="20"/>
      <c r="AE106" s="20"/>
    </row>
    <row r="107" spans="2:31" x14ac:dyDescent="0.2">
      <c r="B107" s="20" t="str">
        <f>B34</f>
        <v>2nd highest Expenses Comp. ( Empl )</v>
      </c>
      <c r="C107" s="20"/>
      <c r="D107" s="20"/>
      <c r="E107" s="20"/>
      <c r="F107" s="20"/>
      <c r="G107" s="152">
        <f>G34/G25</f>
        <v>0.20448877805486285</v>
      </c>
      <c r="H107" s="152">
        <f t="shared" ref="H107:P107" si="251">H34/H25</f>
        <v>0.15807625981988888</v>
      </c>
      <c r="I107" s="152">
        <f t="shared" si="251"/>
        <v>0.13254287529112851</v>
      </c>
      <c r="J107" s="152">
        <f t="shared" si="251"/>
        <v>0.13131032952402086</v>
      </c>
      <c r="K107" s="152">
        <f t="shared" si="251"/>
        <v>0.12163994203169558</v>
      </c>
      <c r="L107" s="152">
        <f t="shared" si="251"/>
        <v>0.10408500103156591</v>
      </c>
      <c r="M107" s="152">
        <f t="shared" si="251"/>
        <v>0.18365732368896925</v>
      </c>
      <c r="N107" s="152">
        <f t="shared" si="251"/>
        <v>0.12541982976765587</v>
      </c>
      <c r="O107" s="152">
        <f t="shared" si="251"/>
        <v>0.1101218929254302</v>
      </c>
      <c r="P107" s="152">
        <f t="shared" si="251"/>
        <v>0.11828959421225912</v>
      </c>
      <c r="Q107" s="118">
        <f t="shared" si="194"/>
        <v>-5.9007113751773699E-2</v>
      </c>
      <c r="R107" s="20"/>
      <c r="S107" s="152">
        <f t="shared" ref="S107:AB107" si="252">S34/S25</f>
        <v>0.11828959421225912</v>
      </c>
      <c r="T107" s="152">
        <f t="shared" si="252"/>
        <v>0.11828959421225912</v>
      </c>
      <c r="U107" s="152">
        <f t="shared" si="252"/>
        <v>0.11828959421225914</v>
      </c>
      <c r="V107" s="152">
        <f t="shared" si="252"/>
        <v>0.11828959421225912</v>
      </c>
      <c r="W107" s="152">
        <f t="shared" si="252"/>
        <v>0.11828959421225911</v>
      </c>
      <c r="X107" s="152">
        <f t="shared" si="252"/>
        <v>0.11828959421225912</v>
      </c>
      <c r="Y107" s="152">
        <f t="shared" si="252"/>
        <v>0.11828959421225914</v>
      </c>
      <c r="Z107" s="152">
        <f t="shared" si="252"/>
        <v>0.11828959421225914</v>
      </c>
      <c r="AA107" s="152">
        <f t="shared" si="252"/>
        <v>0.11828959421225915</v>
      </c>
      <c r="AB107" s="152">
        <f t="shared" si="252"/>
        <v>0.11828959421225914</v>
      </c>
      <c r="AC107" s="138">
        <f t="shared" si="196"/>
        <v>-2.839829906483271E-2</v>
      </c>
      <c r="AD107" s="20"/>
      <c r="AE107" s="20"/>
    </row>
    <row r="108" spans="2:31" x14ac:dyDescent="0.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128"/>
      <c r="R108" s="128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39"/>
      <c r="AD108" s="20"/>
      <c r="AE108" s="20"/>
    </row>
    <row r="109" spans="2:31" x14ac:dyDescent="0.2">
      <c r="B109" s="108" t="s">
        <v>363</v>
      </c>
      <c r="C109" s="20"/>
      <c r="D109" s="20"/>
      <c r="E109" s="20"/>
      <c r="F109" s="20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118"/>
      <c r="R109" s="128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138"/>
      <c r="AD109" s="20"/>
      <c r="AE109" s="20"/>
    </row>
    <row r="110" spans="2:31" x14ac:dyDescent="0.2">
      <c r="B110" s="20" t="s">
        <v>366</v>
      </c>
      <c r="C110" s="20"/>
      <c r="D110" s="20"/>
      <c r="E110" s="20"/>
      <c r="F110" s="20"/>
      <c r="G110" s="25">
        <f>G15/G9</f>
        <v>2.072485484173066</v>
      </c>
      <c r="H110" s="25">
        <f t="shared" ref="H110:AB110" si="253">H15/H9</f>
        <v>1.9297737306843268</v>
      </c>
      <c r="I110" s="25">
        <f t="shared" si="253"/>
        <v>2.1596855699045481</v>
      </c>
      <c r="J110" s="25">
        <f t="shared" si="253"/>
        <v>2.1108137492682113</v>
      </c>
      <c r="K110" s="25">
        <f t="shared" si="253"/>
        <v>2.0119648869648872</v>
      </c>
      <c r="L110" s="25">
        <f t="shared" si="253"/>
        <v>1.358514033564562</v>
      </c>
      <c r="M110" s="25">
        <f t="shared" si="253"/>
        <v>1.3627856017197668</v>
      </c>
      <c r="N110" s="25">
        <f t="shared" si="253"/>
        <v>1.3713094927085905</v>
      </c>
      <c r="O110" s="25">
        <f t="shared" si="253"/>
        <v>1.4678743143121706</v>
      </c>
      <c r="P110" s="25">
        <f t="shared" si="253"/>
        <v>1.8225415923682038</v>
      </c>
      <c r="Q110" s="118">
        <f t="shared" si="194"/>
        <v>-1.4178151729429933E-2</v>
      </c>
      <c r="R110" s="20"/>
      <c r="S110" s="20">
        <f t="shared" si="253"/>
        <v>1.822541592368204</v>
      </c>
      <c r="T110" s="20">
        <f t="shared" si="253"/>
        <v>1.822541592368204</v>
      </c>
      <c r="U110" s="20">
        <f t="shared" si="253"/>
        <v>1.8225415923682038</v>
      </c>
      <c r="V110" s="20">
        <f t="shared" si="253"/>
        <v>1.8225415923682038</v>
      </c>
      <c r="W110" s="20">
        <f t="shared" si="253"/>
        <v>1.8225415923682038</v>
      </c>
      <c r="X110" s="20">
        <f t="shared" si="253"/>
        <v>1.8225415923682038</v>
      </c>
      <c r="Y110" s="20">
        <f t="shared" si="253"/>
        <v>1.8225415923682038</v>
      </c>
      <c r="Z110" s="20">
        <f t="shared" si="253"/>
        <v>1.8225415923682038</v>
      </c>
      <c r="AA110" s="20">
        <f t="shared" si="253"/>
        <v>1.8225415923682038</v>
      </c>
      <c r="AB110" s="20">
        <f t="shared" si="253"/>
        <v>1.822541592368204</v>
      </c>
      <c r="AC110" s="138">
        <f t="shared" si="196"/>
        <v>-6.7412068904167954E-3</v>
      </c>
      <c r="AD110" s="20"/>
      <c r="AE110" s="20"/>
    </row>
    <row r="111" spans="2:31" x14ac:dyDescent="0.2">
      <c r="B111" s="20" t="s">
        <v>356</v>
      </c>
      <c r="C111" s="20"/>
      <c r="D111" s="20"/>
      <c r="E111" s="20"/>
      <c r="F111" s="20"/>
      <c r="G111" s="25">
        <f>G12/G9</f>
        <v>0.49803333957669976</v>
      </c>
      <c r="H111" s="25">
        <f t="shared" ref="H111:P111" si="254">H12/H9</f>
        <v>0.4383278145695364</v>
      </c>
      <c r="I111" s="25">
        <f t="shared" si="254"/>
        <v>0.46412128017967436</v>
      </c>
      <c r="J111" s="25">
        <f t="shared" si="254"/>
        <v>0.48574057037718493</v>
      </c>
      <c r="K111" s="25">
        <f t="shared" si="254"/>
        <v>0.50420875420875422</v>
      </c>
      <c r="L111" s="25">
        <f t="shared" si="254"/>
        <v>0.36087057537003298</v>
      </c>
      <c r="M111" s="25">
        <f t="shared" si="254"/>
        <v>0.30113027734171871</v>
      </c>
      <c r="N111" s="25">
        <f t="shared" si="254"/>
        <v>0.24687539190355554</v>
      </c>
      <c r="O111" s="25">
        <f t="shared" si="254"/>
        <v>0.16166735848644398</v>
      </c>
      <c r="P111" s="25">
        <f t="shared" si="254"/>
        <v>0.27811317945427411</v>
      </c>
      <c r="Q111" s="118">
        <f t="shared" si="194"/>
        <v>-6.2686666862548091E-2</v>
      </c>
      <c r="R111" s="128"/>
      <c r="S111" s="20">
        <f t="shared" ref="S111:AB111" si="255">S12/S9</f>
        <v>0.27811317945427411</v>
      </c>
      <c r="T111" s="20">
        <f t="shared" si="255"/>
        <v>0.27811317945427411</v>
      </c>
      <c r="U111" s="20">
        <f t="shared" si="255"/>
        <v>0.27811317945427411</v>
      </c>
      <c r="V111" s="20">
        <f t="shared" si="255"/>
        <v>0.27811317945427405</v>
      </c>
      <c r="W111" s="20">
        <f t="shared" si="255"/>
        <v>0.27811317945427405</v>
      </c>
      <c r="X111" s="20">
        <f t="shared" si="255"/>
        <v>0.27811317945427405</v>
      </c>
      <c r="Y111" s="20">
        <f t="shared" si="255"/>
        <v>0.27811317945427405</v>
      </c>
      <c r="Z111" s="20">
        <f t="shared" si="255"/>
        <v>0.27811317945427405</v>
      </c>
      <c r="AA111" s="20">
        <f t="shared" si="255"/>
        <v>0.27811317945427405</v>
      </c>
      <c r="AB111" s="20">
        <f t="shared" si="255"/>
        <v>0.27811317945427405</v>
      </c>
      <c r="AC111" s="118">
        <f t="shared" ref="AC111" si="256">((AB111/S111)^(1/($H$2-$H$1) ))-1</f>
        <v>0</v>
      </c>
      <c r="AD111" s="20"/>
      <c r="AE111" s="20"/>
    </row>
    <row r="112" spans="2:31" x14ac:dyDescent="0.2">
      <c r="B112" s="20" t="s">
        <v>358</v>
      </c>
      <c r="C112" s="20"/>
      <c r="D112" s="20"/>
      <c r="E112" s="20"/>
      <c r="F112" s="20"/>
      <c r="G112" s="25">
        <f>G25/360</f>
        <v>22.277777777777779</v>
      </c>
      <c r="H112" s="25">
        <f t="shared" ref="H112:P112" si="257">H25/360</f>
        <v>28.994444444444444</v>
      </c>
      <c r="I112" s="25">
        <f t="shared" si="257"/>
        <v>39.358333333333334</v>
      </c>
      <c r="J112" s="25">
        <f t="shared" si="257"/>
        <v>50.072222222222223</v>
      </c>
      <c r="K112" s="25">
        <f t="shared" si="257"/>
        <v>59.419444444444444</v>
      </c>
      <c r="L112" s="25">
        <f t="shared" si="257"/>
        <v>80.783333333333331</v>
      </c>
      <c r="M112" s="25">
        <f t="shared" si="257"/>
        <v>98.311111111111117</v>
      </c>
      <c r="N112" s="25">
        <f t="shared" si="257"/>
        <v>120.75</v>
      </c>
      <c r="O112" s="25">
        <f t="shared" si="257"/>
        <v>139.46666666666667</v>
      </c>
      <c r="P112" s="25">
        <f t="shared" si="257"/>
        <v>136.76416666666668</v>
      </c>
      <c r="Q112" s="118">
        <f t="shared" si="194"/>
        <v>0.22339504543819455</v>
      </c>
      <c r="R112" s="128"/>
      <c r="S112" s="25">
        <f t="shared" ref="S112:AB112" si="258">S25/360</f>
        <v>153.17586666666671</v>
      </c>
      <c r="T112" s="25">
        <f t="shared" si="258"/>
        <v>171.55697066666673</v>
      </c>
      <c r="U112" s="25">
        <f t="shared" si="258"/>
        <v>192.14380714666675</v>
      </c>
      <c r="V112" s="25">
        <f t="shared" si="258"/>
        <v>215.20106400426678</v>
      </c>
      <c r="W112" s="25">
        <f t="shared" si="258"/>
        <v>241.02519168477883</v>
      </c>
      <c r="X112" s="25">
        <f t="shared" si="258"/>
        <v>269.94821468695233</v>
      </c>
      <c r="Y112" s="25">
        <f t="shared" si="258"/>
        <v>302.3420004493866</v>
      </c>
      <c r="Z112" s="25">
        <f t="shared" si="258"/>
        <v>338.62304050331301</v>
      </c>
      <c r="AA112" s="25">
        <f t="shared" si="258"/>
        <v>379.25780536371064</v>
      </c>
      <c r="AB112" s="25">
        <f t="shared" si="258"/>
        <v>424.76874200735597</v>
      </c>
      <c r="AC112" s="118">
        <f t="shared" ref="AC112:AC123" si="259">((AB112/S112)^(1/($H$2-$H$1) ))-1</f>
        <v>0.12000000000000011</v>
      </c>
      <c r="AD112" s="20"/>
      <c r="AE112" s="20"/>
    </row>
    <row r="113" spans="2:31" x14ac:dyDescent="0.2">
      <c r="B113" s="20" t="s">
        <v>357</v>
      </c>
      <c r="C113" s="20"/>
      <c r="D113" s="20"/>
      <c r="E113" s="20"/>
      <c r="F113" s="20"/>
      <c r="G113" s="25">
        <f>G27/360</f>
        <v>19.866666666666667</v>
      </c>
      <c r="H113" s="25">
        <f t="shared" ref="H113:P113" si="260">H27/360</f>
        <v>24.652777777777779</v>
      </c>
      <c r="I113" s="25">
        <f t="shared" si="260"/>
        <v>32.230555555555554</v>
      </c>
      <c r="J113" s="25">
        <f t="shared" si="260"/>
        <v>38.888888888888886</v>
      </c>
      <c r="K113" s="25">
        <f t="shared" si="260"/>
        <v>46.169444444444444</v>
      </c>
      <c r="L113" s="25">
        <f t="shared" si="260"/>
        <v>66.305555555555557</v>
      </c>
      <c r="M113" s="25">
        <f t="shared" si="260"/>
        <v>78.24444444444444</v>
      </c>
      <c r="N113" s="25">
        <f t="shared" si="260"/>
        <v>93.8</v>
      </c>
      <c r="O113" s="25">
        <f t="shared" si="260"/>
        <v>108.23611111111111</v>
      </c>
      <c r="P113" s="25">
        <f t="shared" si="260"/>
        <v>109.53555555555556</v>
      </c>
      <c r="Q113" s="118">
        <f t="shared" si="194"/>
        <v>0.2088742402789896</v>
      </c>
      <c r="R113" s="128"/>
      <c r="S113" s="25">
        <f t="shared" ref="S113:AB113" si="261">S27/360</f>
        <v>122.67982222222223</v>
      </c>
      <c r="T113" s="25">
        <f t="shared" si="261"/>
        <v>137.4014008888889</v>
      </c>
      <c r="U113" s="25">
        <f t="shared" si="261"/>
        <v>153.88956899555561</v>
      </c>
      <c r="V113" s="25">
        <f t="shared" si="261"/>
        <v>172.35631727502229</v>
      </c>
      <c r="W113" s="25">
        <f t="shared" si="261"/>
        <v>193.03907534802497</v>
      </c>
      <c r="X113" s="25">
        <f t="shared" si="261"/>
        <v>216.20376438978798</v>
      </c>
      <c r="Y113" s="25">
        <f t="shared" si="261"/>
        <v>242.14821611656257</v>
      </c>
      <c r="Z113" s="25">
        <f t="shared" si="261"/>
        <v>271.20600205055013</v>
      </c>
      <c r="AA113" s="25">
        <f t="shared" si="261"/>
        <v>303.75072229661617</v>
      </c>
      <c r="AB113" s="25">
        <f t="shared" si="261"/>
        <v>340.20080897221015</v>
      </c>
      <c r="AC113" s="118">
        <f t="shared" si="259"/>
        <v>0.12000000000000011</v>
      </c>
      <c r="AD113" s="20"/>
      <c r="AE113" s="20"/>
    </row>
    <row r="114" spans="2:31" x14ac:dyDescent="0.2">
      <c r="B114" s="20"/>
      <c r="C114" s="20"/>
      <c r="D114" s="20"/>
      <c r="E114" s="20"/>
      <c r="F114" s="20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128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128"/>
      <c r="AD114" s="20"/>
      <c r="AE114" s="20"/>
    </row>
    <row r="115" spans="2:31" x14ac:dyDescent="0.2">
      <c r="B115" s="20" t="s">
        <v>367</v>
      </c>
      <c r="C115" s="20"/>
      <c r="D115" s="20"/>
      <c r="E115" s="20"/>
      <c r="F115" s="20"/>
      <c r="G115" s="25">
        <f>G10/G7</f>
        <v>0.10198300283286119</v>
      </c>
      <c r="H115" s="25">
        <f t="shared" ref="H115:P115" si="262">H10/H7</f>
        <v>8.8947892465980755E-2</v>
      </c>
      <c r="I115" s="25">
        <f t="shared" si="262"/>
        <v>7.6427886590877958E-2</v>
      </c>
      <c r="J115" s="25">
        <f t="shared" si="262"/>
        <v>1.0127446517979062E-2</v>
      </c>
      <c r="K115" s="25">
        <f t="shared" si="262"/>
        <v>8.8175236680898463E-3</v>
      </c>
      <c r="L115" s="25">
        <f t="shared" si="262"/>
        <v>1.2922955967542487E-2</v>
      </c>
      <c r="M115" s="25">
        <f t="shared" si="262"/>
        <v>9.3105300837066987E-3</v>
      </c>
      <c r="N115" s="25">
        <f t="shared" si="262"/>
        <v>1.3396126435618215E-2</v>
      </c>
      <c r="O115" s="25">
        <f t="shared" si="262"/>
        <v>1.4525809095439683E-2</v>
      </c>
      <c r="P115" s="25">
        <f t="shared" si="262"/>
        <v>4.038293370714021E-2</v>
      </c>
      <c r="Q115" s="118">
        <f t="shared" si="194"/>
        <v>-9.7812772225557176E-2</v>
      </c>
      <c r="R115" s="128"/>
      <c r="S115" s="25">
        <f t="shared" ref="S115:AB115" si="263">S10/S7</f>
        <v>4.038293370714021E-2</v>
      </c>
      <c r="T115" s="25">
        <f t="shared" si="263"/>
        <v>4.038293370714021E-2</v>
      </c>
      <c r="U115" s="25">
        <f t="shared" si="263"/>
        <v>4.038293370714021E-2</v>
      </c>
      <c r="V115" s="25">
        <f t="shared" si="263"/>
        <v>4.038293370714021E-2</v>
      </c>
      <c r="W115" s="25">
        <f t="shared" si="263"/>
        <v>4.0382933707140203E-2</v>
      </c>
      <c r="X115" s="25">
        <f t="shared" si="263"/>
        <v>4.0382933707140203E-2</v>
      </c>
      <c r="Y115" s="25">
        <f t="shared" si="263"/>
        <v>4.038293370714021E-2</v>
      </c>
      <c r="Z115" s="25">
        <f t="shared" si="263"/>
        <v>4.0382933707140203E-2</v>
      </c>
      <c r="AA115" s="25">
        <f t="shared" si="263"/>
        <v>4.038293370714021E-2</v>
      </c>
      <c r="AB115" s="25">
        <f t="shared" si="263"/>
        <v>4.0382933707140203E-2</v>
      </c>
      <c r="AC115" s="118">
        <f t="shared" si="259"/>
        <v>0</v>
      </c>
      <c r="AD115" s="20"/>
      <c r="AE115" s="20"/>
    </row>
    <row r="116" spans="2:31" x14ac:dyDescent="0.2">
      <c r="B116" s="20" t="s">
        <v>359</v>
      </c>
      <c r="C116" s="20"/>
      <c r="D116" s="20"/>
      <c r="E116" s="20"/>
      <c r="F116" s="20"/>
      <c r="G116" s="25">
        <f>G10/(G10+G7)</f>
        <v>9.2544987146529561E-2</v>
      </c>
      <c r="H116" s="25">
        <f t="shared" ref="H116:P116" si="264">H10/(H10+H7)</f>
        <v>8.1682413898201772E-2</v>
      </c>
      <c r="I116" s="25">
        <f t="shared" si="264"/>
        <v>7.1001399669169102E-2</v>
      </c>
      <c r="J116" s="25">
        <f t="shared" si="264"/>
        <v>1.0025909654162442E-2</v>
      </c>
      <c r="K116" s="25">
        <f t="shared" si="264"/>
        <v>8.7404545036341898E-3</v>
      </c>
      <c r="L116" s="25">
        <f t="shared" si="264"/>
        <v>1.2758083812207117E-2</v>
      </c>
      <c r="M116" s="25">
        <f t="shared" si="264"/>
        <v>9.224643760463426E-3</v>
      </c>
      <c r="N116" s="25">
        <f t="shared" si="264"/>
        <v>1.3219042471314677E-2</v>
      </c>
      <c r="O116" s="25">
        <f t="shared" si="264"/>
        <v>1.4317831015448512E-2</v>
      </c>
      <c r="P116" s="25">
        <f t="shared" si="264"/>
        <v>3.8815451886783543E-2</v>
      </c>
      <c r="Q116" s="118">
        <f t="shared" si="194"/>
        <v>-9.2028082849179071E-2</v>
      </c>
      <c r="R116" s="128"/>
      <c r="S116" s="25">
        <f t="shared" ref="S116:AB116" si="265">S10/(S10+S7)</f>
        <v>3.8815451886783543E-2</v>
      </c>
      <c r="T116" s="25">
        <f t="shared" si="265"/>
        <v>3.8815451886783543E-2</v>
      </c>
      <c r="U116" s="25">
        <f t="shared" si="265"/>
        <v>3.8815451886783543E-2</v>
      </c>
      <c r="V116" s="25">
        <f t="shared" si="265"/>
        <v>3.8815451886783543E-2</v>
      </c>
      <c r="W116" s="25">
        <f t="shared" si="265"/>
        <v>3.8815451886783536E-2</v>
      </c>
      <c r="X116" s="25">
        <f t="shared" si="265"/>
        <v>3.8815451886783536E-2</v>
      </c>
      <c r="Y116" s="25">
        <f t="shared" si="265"/>
        <v>3.8815451886783543E-2</v>
      </c>
      <c r="Z116" s="25">
        <f t="shared" si="265"/>
        <v>3.8815451886783536E-2</v>
      </c>
      <c r="AA116" s="25">
        <f t="shared" si="265"/>
        <v>3.8815451886783536E-2</v>
      </c>
      <c r="AB116" s="25">
        <f t="shared" si="265"/>
        <v>3.8815451886783536E-2</v>
      </c>
      <c r="AC116" s="118">
        <f t="shared" si="259"/>
        <v>0</v>
      </c>
      <c r="AD116" s="20"/>
      <c r="AE116" s="20"/>
    </row>
    <row r="117" spans="2:31" x14ac:dyDescent="0.2">
      <c r="B117" s="20"/>
      <c r="C117" s="20"/>
      <c r="D117" s="20"/>
      <c r="E117" s="20"/>
      <c r="F117" s="20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128"/>
      <c r="R117" s="128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137"/>
      <c r="AD117" s="20"/>
      <c r="AE117" s="20"/>
    </row>
    <row r="118" spans="2:31" x14ac:dyDescent="0.2">
      <c r="B118" s="20" t="s">
        <v>364</v>
      </c>
      <c r="C118" s="20"/>
      <c r="D118" s="20"/>
      <c r="E118" s="20"/>
      <c r="F118" s="20"/>
      <c r="G118" s="25">
        <f>G16</f>
        <v>4585</v>
      </c>
      <c r="H118" s="25">
        <f t="shared" ref="H118:P118" si="266">H16</f>
        <v>5413</v>
      </c>
      <c r="I118" s="25">
        <f t="shared" si="266"/>
        <v>6678</v>
      </c>
      <c r="J118" s="25">
        <f t="shared" si="266"/>
        <v>7574</v>
      </c>
      <c r="K118" s="25">
        <f t="shared" si="266"/>
        <v>9221</v>
      </c>
      <c r="L118" s="25">
        <f t="shared" si="266"/>
        <v>10261</v>
      </c>
      <c r="M118" s="25">
        <f t="shared" si="266"/>
        <v>11874</v>
      </c>
      <c r="N118" s="25">
        <f t="shared" si="266"/>
        <v>14597</v>
      </c>
      <c r="O118" s="25">
        <f t="shared" si="266"/>
        <v>19488</v>
      </c>
      <c r="P118" s="25">
        <f t="shared" si="266"/>
        <v>50177.8</v>
      </c>
      <c r="Q118" s="118">
        <f t="shared" si="194"/>
        <v>0.30455858231550148</v>
      </c>
      <c r="R118" s="128"/>
      <c r="S118" s="25">
        <f t="shared" ref="S118:AB118" si="267">S16</f>
        <v>56199.136000000006</v>
      </c>
      <c r="T118" s="25">
        <f t="shared" si="267"/>
        <v>62943.032320000013</v>
      </c>
      <c r="U118" s="25">
        <f t="shared" si="267"/>
        <v>70496.196198400023</v>
      </c>
      <c r="V118" s="25">
        <f t="shared" si="267"/>
        <v>78955.739742208039</v>
      </c>
      <c r="W118" s="25">
        <f t="shared" si="267"/>
        <v>88430.428511273014</v>
      </c>
      <c r="X118" s="25">
        <f t="shared" si="267"/>
        <v>99042.079932625784</v>
      </c>
      <c r="Y118" s="25">
        <f t="shared" si="267"/>
        <v>110927.12952454088</v>
      </c>
      <c r="Z118" s="25">
        <f t="shared" si="267"/>
        <v>124238.3850674858</v>
      </c>
      <c r="AA118" s="25">
        <f t="shared" si="267"/>
        <v>139146.99127558409</v>
      </c>
      <c r="AB118" s="25">
        <f t="shared" si="267"/>
        <v>155844.63022865419</v>
      </c>
      <c r="AC118" s="118">
        <f t="shared" si="259"/>
        <v>0.12000000000000011</v>
      </c>
      <c r="AD118" s="20"/>
      <c r="AE118" s="20"/>
    </row>
    <row r="119" spans="2:31" x14ac:dyDescent="0.2">
      <c r="B119" s="20" t="s">
        <v>365</v>
      </c>
      <c r="C119" s="20"/>
      <c r="D119" s="20"/>
      <c r="E119" s="20"/>
      <c r="F119" s="20"/>
      <c r="G119" s="119">
        <f t="shared" ref="G119:P119" si="268">G118*365/G25</f>
        <v>208.66895261845386</v>
      </c>
      <c r="H119" s="119">
        <f t="shared" si="268"/>
        <v>189.28386664111898</v>
      </c>
      <c r="I119" s="119">
        <f t="shared" si="268"/>
        <v>172.02837179758629</v>
      </c>
      <c r="J119" s="119">
        <f t="shared" si="268"/>
        <v>153.36236547209586</v>
      </c>
      <c r="K119" s="119">
        <f t="shared" si="268"/>
        <v>157.34023654808098</v>
      </c>
      <c r="L119" s="119">
        <f t="shared" si="268"/>
        <v>128.78292414551956</v>
      </c>
      <c r="M119" s="119">
        <f t="shared" si="268"/>
        <v>122.45733499095842</v>
      </c>
      <c r="N119" s="119">
        <f t="shared" si="268"/>
        <v>122.5651023694502</v>
      </c>
      <c r="O119" s="119">
        <f t="shared" si="268"/>
        <v>141.67304015296367</v>
      </c>
      <c r="P119" s="119">
        <f t="shared" si="268"/>
        <v>371.98862193841381</v>
      </c>
      <c r="Q119" s="118">
        <f t="shared" si="194"/>
        <v>6.6342868707822689E-2</v>
      </c>
      <c r="R119" s="128"/>
      <c r="S119" s="119">
        <f t="shared" ref="S119:AB119" si="269">S118*365/S25</f>
        <v>371.98862193841376</v>
      </c>
      <c r="T119" s="119">
        <f t="shared" si="269"/>
        <v>371.98862193841381</v>
      </c>
      <c r="U119" s="119">
        <f t="shared" si="269"/>
        <v>371.98862193841381</v>
      </c>
      <c r="V119" s="119">
        <f t="shared" si="269"/>
        <v>371.98862193841381</v>
      </c>
      <c r="W119" s="119">
        <f t="shared" si="269"/>
        <v>371.98862193841381</v>
      </c>
      <c r="X119" s="119">
        <f t="shared" si="269"/>
        <v>371.98862193841381</v>
      </c>
      <c r="Y119" s="119">
        <f t="shared" si="269"/>
        <v>371.98862193841381</v>
      </c>
      <c r="Z119" s="119">
        <f t="shared" si="269"/>
        <v>371.98862193841381</v>
      </c>
      <c r="AA119" s="119">
        <f t="shared" si="269"/>
        <v>371.98862193841376</v>
      </c>
      <c r="AB119" s="119">
        <f t="shared" si="269"/>
        <v>371.98862193841376</v>
      </c>
      <c r="AC119" s="118">
        <f t="shared" si="259"/>
        <v>0</v>
      </c>
      <c r="AD119" s="20"/>
      <c r="AE119" s="20"/>
    </row>
    <row r="120" spans="2:31" x14ac:dyDescent="0.2">
      <c r="B120" s="20" t="s">
        <v>368</v>
      </c>
      <c r="C120" s="20"/>
      <c r="D120" s="20"/>
      <c r="E120" s="20"/>
      <c r="F120" s="20"/>
      <c r="G120" s="133">
        <f>G73/G29</f>
        <v>1.1364336503060588</v>
      </c>
      <c r="H120" s="133">
        <f t="shared" ref="H120:P120" si="270">H73/H29</f>
        <v>1.5895186917883002</v>
      </c>
      <c r="I120" s="133">
        <f t="shared" si="270"/>
        <v>1.6598928155762014</v>
      </c>
      <c r="J120" s="133">
        <f t="shared" si="270"/>
        <v>2.8251027875197559</v>
      </c>
      <c r="K120" s="133">
        <f t="shared" si="270"/>
        <v>0.61089700995594154</v>
      </c>
      <c r="L120" s="133">
        <f t="shared" si="270"/>
        <v>2.3066324999395977</v>
      </c>
      <c r="M120" s="133">
        <f t="shared" si="270"/>
        <v>3.2851227647593189</v>
      </c>
      <c r="N120" s="133">
        <f t="shared" si="270"/>
        <v>3.0274095575953019</v>
      </c>
      <c r="O120" s="133">
        <f t="shared" si="270"/>
        <v>0.767548144515104</v>
      </c>
      <c r="P120" s="133">
        <f t="shared" si="270"/>
        <v>0.30500908636751095</v>
      </c>
      <c r="Q120" s="118">
        <f t="shared" si="194"/>
        <v>-0.13596794517128885</v>
      </c>
      <c r="R120" s="128"/>
      <c r="S120" s="133">
        <f t="shared" ref="S120:AB120" si="271">S73/S29</f>
        <v>0.26522529249348775</v>
      </c>
      <c r="T120" s="133">
        <f t="shared" si="271"/>
        <v>0.230630689124772</v>
      </c>
      <c r="U120" s="133">
        <f t="shared" si="271"/>
        <v>0.20054842532588865</v>
      </c>
      <c r="V120" s="133">
        <f t="shared" si="271"/>
        <v>0.17438993506599015</v>
      </c>
      <c r="W120" s="133">
        <f t="shared" si="271"/>
        <v>0.15164342179651322</v>
      </c>
      <c r="X120" s="133">
        <f t="shared" si="271"/>
        <v>0.13186384504044629</v>
      </c>
      <c r="Y120" s="133">
        <f t="shared" si="271"/>
        <v>0.11466421307864895</v>
      </c>
      <c r="Z120" s="133">
        <f t="shared" si="271"/>
        <v>9.9708011372738228E-2</v>
      </c>
      <c r="AA120" s="133">
        <f t="shared" si="271"/>
        <v>8.6702618584989774E-2</v>
      </c>
      <c r="AB120" s="133">
        <f t="shared" si="271"/>
        <v>7.5393581378251986E-2</v>
      </c>
      <c r="AC120" s="118">
        <f t="shared" si="259"/>
        <v>-0.13043478260869557</v>
      </c>
      <c r="AD120" s="20"/>
      <c r="AE120" s="20"/>
    </row>
    <row r="121" spans="2:31" x14ac:dyDescent="0.2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128"/>
      <c r="R121" s="128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 x14ac:dyDescent="0.2">
      <c r="B122" s="20" t="s">
        <v>375</v>
      </c>
      <c r="C122" s="20"/>
      <c r="D122" s="20"/>
      <c r="E122" s="20"/>
      <c r="F122" s="20"/>
      <c r="G122" s="20">
        <f>G25/G14</f>
        <v>3.8120044869479246</v>
      </c>
      <c r="H122" s="20">
        <f t="shared" ref="H122:P122" si="272">H25/H14</f>
        <v>3.579426016165371</v>
      </c>
      <c r="I122" s="20">
        <f t="shared" si="272"/>
        <v>3.7839497930297772</v>
      </c>
      <c r="J122" s="20">
        <f t="shared" si="272"/>
        <v>4.2746027981977708</v>
      </c>
      <c r="K122" s="20">
        <f t="shared" si="272"/>
        <v>3.7292538354253835</v>
      </c>
      <c r="L122" s="20">
        <f t="shared" si="272"/>
        <v>3.6854644531745024</v>
      </c>
      <c r="M122" s="20">
        <f t="shared" si="272"/>
        <v>3.8125605946353551</v>
      </c>
      <c r="N122" s="20">
        <f t="shared" si="272"/>
        <v>3.9457202505219207</v>
      </c>
      <c r="O122" s="20">
        <f t="shared" si="272"/>
        <v>3.7122365988909425</v>
      </c>
      <c r="P122" s="20">
        <f t="shared" si="272"/>
        <v>4.1482096217035984</v>
      </c>
      <c r="Q122" s="118">
        <f t="shared" si="194"/>
        <v>9.4355323501988941E-3</v>
      </c>
      <c r="R122" s="128"/>
      <c r="S122" s="20">
        <f t="shared" ref="S122" si="273">S25/S14</f>
        <v>4.1482096217035984</v>
      </c>
      <c r="T122" s="20">
        <f t="shared" ref="T122:AB122" si="274">T25/T14</f>
        <v>4.1482096217035984</v>
      </c>
      <c r="U122" s="20">
        <f t="shared" si="274"/>
        <v>4.1482096217035984</v>
      </c>
      <c r="V122" s="20">
        <f t="shared" si="274"/>
        <v>4.1482096217035984</v>
      </c>
      <c r="W122" s="20">
        <f t="shared" si="274"/>
        <v>4.1482096217035984</v>
      </c>
      <c r="X122" s="20">
        <f t="shared" si="274"/>
        <v>4.1482096217035984</v>
      </c>
      <c r="Y122" s="20">
        <f t="shared" si="274"/>
        <v>4.1482096217035993</v>
      </c>
      <c r="Z122" s="20">
        <f t="shared" si="274"/>
        <v>4.1482096217035993</v>
      </c>
      <c r="AA122" s="20">
        <f t="shared" si="274"/>
        <v>4.1482096217035984</v>
      </c>
      <c r="AB122" s="20">
        <f t="shared" si="274"/>
        <v>4.1482096217035984</v>
      </c>
      <c r="AC122" s="118">
        <f t="shared" si="259"/>
        <v>0</v>
      </c>
      <c r="AD122" s="20"/>
      <c r="AE122" s="20"/>
    </row>
    <row r="123" spans="2:31" x14ac:dyDescent="0.2">
      <c r="B123" s="20" t="s">
        <v>376</v>
      </c>
      <c r="C123" s="20"/>
      <c r="D123" s="20"/>
      <c r="E123" s="20"/>
      <c r="F123" s="20"/>
      <c r="G123" s="20">
        <f>G27/G14</f>
        <v>3.3994334277620393</v>
      </c>
      <c r="H123" s="20">
        <f t="shared" ref="H123:P123" si="275">H27/H14</f>
        <v>3.04343800473919</v>
      </c>
      <c r="I123" s="20">
        <f t="shared" si="275"/>
        <v>3.0986780611563627</v>
      </c>
      <c r="J123" s="20">
        <f t="shared" si="275"/>
        <v>3.3198956604221008</v>
      </c>
      <c r="K123" s="20">
        <f t="shared" si="275"/>
        <v>2.8976638772663876</v>
      </c>
      <c r="L123" s="20">
        <f t="shared" si="275"/>
        <v>3.0249651501710808</v>
      </c>
      <c r="M123" s="20">
        <f t="shared" si="275"/>
        <v>3.0343638909835184</v>
      </c>
      <c r="N123" s="20">
        <f t="shared" si="275"/>
        <v>3.0650812380865933</v>
      </c>
      <c r="O123" s="20">
        <f t="shared" si="275"/>
        <v>2.8809611829944548</v>
      </c>
      <c r="P123" s="20">
        <f t="shared" si="275"/>
        <v>3.322335495829472</v>
      </c>
      <c r="Q123" s="118">
        <f t="shared" si="194"/>
        <v>-2.5457297455497852E-3</v>
      </c>
      <c r="R123" s="128"/>
      <c r="S123" s="20">
        <f t="shared" ref="S123:AB123" si="276">S27/S14</f>
        <v>3.322335495829472</v>
      </c>
      <c r="T123" s="20">
        <f t="shared" si="276"/>
        <v>3.3223354958294715</v>
      </c>
      <c r="U123" s="20">
        <f t="shared" si="276"/>
        <v>3.322335495829472</v>
      </c>
      <c r="V123" s="20">
        <f t="shared" si="276"/>
        <v>3.322335495829472</v>
      </c>
      <c r="W123" s="20">
        <f t="shared" si="276"/>
        <v>3.3223354958294715</v>
      </c>
      <c r="X123" s="20">
        <f t="shared" si="276"/>
        <v>3.322335495829472</v>
      </c>
      <c r="Y123" s="20">
        <f t="shared" si="276"/>
        <v>3.322335495829472</v>
      </c>
      <c r="Z123" s="20">
        <f t="shared" si="276"/>
        <v>3.3223354958294724</v>
      </c>
      <c r="AA123" s="20">
        <f t="shared" si="276"/>
        <v>3.3223354958294724</v>
      </c>
      <c r="AB123" s="20">
        <f t="shared" si="276"/>
        <v>3.322335495829472</v>
      </c>
      <c r="AC123" s="118">
        <f t="shared" si="259"/>
        <v>0</v>
      </c>
      <c r="AD123" s="20"/>
      <c r="AE123" s="20"/>
    </row>
    <row r="124" spans="2:31" x14ac:dyDescent="0.2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128"/>
      <c r="R124" s="128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37"/>
      <c r="AD124" s="20"/>
      <c r="AE124" s="20"/>
    </row>
    <row r="125" spans="2:31" x14ac:dyDescent="0.2">
      <c r="B125" s="108" t="s">
        <v>244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3"/>
      <c r="R125" s="23"/>
      <c r="S125" s="122" t="s">
        <v>66</v>
      </c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3" t="s">
        <v>281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5"/>
      <c r="Q126" s="160">
        <f>AVERAGE(G47:P47)</f>
        <v>62.34778021789041</v>
      </c>
      <c r="R126" s="23"/>
      <c r="S126" s="134"/>
      <c r="T126" s="20"/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25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>S127+T127</f>
        <v>30.55498052916499</v>
      </c>
      <c r="S127" s="133">
        <f>PV($C$1, ($AB$3-$S$3), 0, -AB47)</f>
        <v>3.5063092410517198</v>
      </c>
      <c r="T127" s="133">
        <f>PV($C$1, ($AB$3-$S$3), 0, -AE47)</f>
        <v>27.048671288113269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273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ref="R128:R146" si="277">S128+T128</f>
        <v>139.38624165227407</v>
      </c>
      <c r="S128" s="133">
        <f>PV($C$1, ($AB$3-$S$3), 0, -AB49)</f>
        <v>15.995142484687191</v>
      </c>
      <c r="T128" s="133">
        <f>PV($C$1, ($AB$3-$S$3), 0, -AE49)</f>
        <v>123.39109916758689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274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7"/>
        <v>137.15160255095685</v>
      </c>
      <c r="S129" s="133">
        <f>PV($C$1, ($AB$3-$S$3), 0, -AB50)</f>
        <v>15.738708489454066</v>
      </c>
      <c r="T129" s="133">
        <f>PV($C$1, ($AB$3-$S$3), 0, -AE50)</f>
        <v>121.4128940615028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275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7"/>
        <v>5.6288253563312081</v>
      </c>
      <c r="S130" s="133">
        <f>PV($C$1, ($AB$3-$S$3), 0, -AB51)</f>
        <v>0.64593077859538461</v>
      </c>
      <c r="T130" s="133">
        <f>PV($C$1, ($AB$3-$S$3), 0, -AE51)</f>
        <v>4.9828945777358236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 t="s">
        <v>276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>
        <f t="shared" si="277"/>
        <v>35.814029037270039</v>
      </c>
      <c r="S131" s="133">
        <f>PV($C$1, ($AB$3-$S$3), 0, -AB57)</f>
        <v>4.1098066108342675</v>
      </c>
      <c r="T131" s="133">
        <f>PV($C$1, ($AB$3-$S$3), 0, -AE57)</f>
        <v>31.704222426435773</v>
      </c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/>
      <c r="S132" s="133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271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7"/>
        <v>133.75741629594287</v>
      </c>
      <c r="S133" s="133">
        <f>PV($C$1, ($AB$3-$S$3), 0, -AB53)</f>
        <v>15.349211706091804</v>
      </c>
      <c r="T133" s="133">
        <f>PV($C$1, ($AB$3-$S$3), 0, -$AE$53)</f>
        <v>118.40820458985107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272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7"/>
        <v>4.9824006438766508</v>
      </c>
      <c r="S134" s="133">
        <f>PV($C$1, ($AB$3-$S$3), 0, -AB54)</f>
        <v>0.57175089355961561</v>
      </c>
      <c r="T134" s="133">
        <f>PV($C$1, ($AB$3-$S$3), 0, -$AE$54)</f>
        <v>4.4106497503170354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 t="s">
        <v>277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>
        <f t="shared" si="277"/>
        <v>239.6802227276338</v>
      </c>
      <c r="S135" s="133">
        <f>PV($C$1, ($AB$3-$S$3), 0, -AB55)</f>
        <v>27.50428785399076</v>
      </c>
      <c r="T135" s="133">
        <f>PV($C$1, ($AB$3-$S$3), 0, -$AE$55)</f>
        <v>212.17593487364303</v>
      </c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/>
      <c r="S136" s="133"/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249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7"/>
        <v>234.69782208375719</v>
      </c>
      <c r="S137" s="133">
        <f>PV($C$1, ($AB$3-$S$3), 0, -AB60)</f>
        <v>26.93253696043115</v>
      </c>
      <c r="T137" s="133">
        <f>PV($C$1, ($AB$3-$S$3), 0, -AE60)</f>
        <v>207.76528512332604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250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 t="shared" si="277"/>
        <v>145.77117973563466</v>
      </c>
      <c r="S138" s="133">
        <f>PV($C$1, ($AB$3-$S$3), 0, -AB61)</f>
        <v>26.286606181835758</v>
      </c>
      <c r="T138" s="133">
        <f>PV($C$1, ($AB$3-$S$3), 0, -AE61)</f>
        <v>119.4845735537989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/>
      <c r="S139" s="133"/>
      <c r="T139" s="133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294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ref="R140" si="278">S140+T140</f>
        <v>35462.718890223419</v>
      </c>
      <c r="S140" s="133">
        <f>PV($C$1, ($AB$3-$S$3), 0, -AB12)</f>
        <v>4069.4923316649829</v>
      </c>
      <c r="T140" s="133">
        <f>PV($C$1, ($AB$3-$S$3), 0, -AE12)</f>
        <v>31393.226558558435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295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>S141+T141</f>
        <v>144.88772221859543</v>
      </c>
      <c r="S141" s="140">
        <f>S140/P40</f>
        <v>16.626459926724067</v>
      </c>
      <c r="T141" s="140">
        <f>T140/P40</f>
        <v>128.26126229187136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40"/>
      <c r="T142" s="140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108" t="s">
        <v>298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133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283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ref="R144" si="279">S144+T144</f>
        <v>50.662671942500708</v>
      </c>
      <c r="S144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39.917331111564835</v>
      </c>
      <c r="T144" s="133">
        <f>PV($C$1, ($AB$3-$S$3), 0, -AE63)</f>
        <v>10.745340830935872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3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/>
      <c r="S145" s="133"/>
      <c r="T145" s="133"/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291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77"/>
        <v>28791.208813609086</v>
      </c>
      <c r="S146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22684.713838610656</v>
      </c>
      <c r="T146" s="133">
        <f>PV($C$1, ($AB$3-$S$3), 0, -AE65)</f>
        <v>6106.4949749984289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133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287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ref="R148:R151" si="280">S148+T148</f>
        <v>29.07642788644074</v>
      </c>
      <c r="S148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22.909439138975316</v>
      </c>
      <c r="T148" s="133">
        <f>PV($C$1, ($AB$3-$S$3), 0, -AE67)</f>
        <v>6.1669887474654228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288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80"/>
        <v>35.516685177146492</v>
      </c>
      <c r="S149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27.983744793610743</v>
      </c>
      <c r="T149" s="133">
        <f>PV($C$1, ($AB$3-$S$3), 0, -AE68)</f>
        <v>7.5329403835357471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289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80"/>
        <v>-6.4402572907057491</v>
      </c>
      <c r="S150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-5.0743056546354257</v>
      </c>
      <c r="T150" s="133">
        <f>PV($C$1, ($AB$3-$S$3), 0, -AE69)</f>
        <v>-1.3659516360703234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290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si="280"/>
        <v>-8.879171294286623</v>
      </c>
      <c r="S151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-6.9959361984026858</v>
      </c>
      <c r="T151" s="133">
        <f>PV($C$1, ($AB$3-$S$3), 0, -AE70)</f>
        <v>-1.8832350958839368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/>
      <c r="S152" s="133"/>
      <c r="T152" s="133"/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 t="s">
        <v>299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>
        <f>S153+T153</f>
        <v>147.32564902880725</v>
      </c>
      <c r="S153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116.07849503444115</v>
      </c>
      <c r="T153" s="133">
        <f>PV($C$1, ($AB$3-$S$3), 0, -AE71)</f>
        <v>31.247153994366094</v>
      </c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21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108" t="s">
        <v>251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0" t="s">
        <v>204</v>
      </c>
      <c r="C156" s="22">
        <v>0</v>
      </c>
      <c r="D156" s="22">
        <v>0</v>
      </c>
      <c r="E156" s="22">
        <v>0</v>
      </c>
      <c r="F156" s="22">
        <v>200</v>
      </c>
      <c r="G156" s="22">
        <v>520</v>
      </c>
      <c r="H156" s="22">
        <v>750</v>
      </c>
      <c r="I156" s="22">
        <v>2000</v>
      </c>
      <c r="J156" s="22">
        <v>2000</v>
      </c>
      <c r="K156" s="22">
        <v>1800</v>
      </c>
      <c r="L156" s="22">
        <v>1300</v>
      </c>
      <c r="M156" s="22">
        <v>2300</v>
      </c>
      <c r="N156" s="22">
        <v>2000</v>
      </c>
      <c r="O156" s="22">
        <v>250</v>
      </c>
      <c r="P156" s="22">
        <v>135</v>
      </c>
      <c r="Q156" s="118">
        <f t="shared" ref="Q156:Q161" si="281">((P156/G156)^(1/($H$2-$H$1) ))-1</f>
        <v>-0.1391537285532839</v>
      </c>
      <c r="R156" s="31">
        <f>L2-3%</f>
        <v>0.09</v>
      </c>
      <c r="S156" s="119">
        <f t="shared" ref="S156" si="282">P156*(1+$R156)</f>
        <v>147.15</v>
      </c>
      <c r="T156" s="119">
        <f t="shared" ref="T156:AB156" si="283">S156*(1+$R156)</f>
        <v>160.39350000000002</v>
      </c>
      <c r="U156" s="119">
        <f t="shared" si="283"/>
        <v>174.82891500000002</v>
      </c>
      <c r="V156" s="119">
        <f t="shared" si="283"/>
        <v>190.56351735000004</v>
      </c>
      <c r="W156" s="119">
        <f t="shared" si="283"/>
        <v>207.71423391150006</v>
      </c>
      <c r="X156" s="119">
        <f t="shared" si="283"/>
        <v>226.40851496353508</v>
      </c>
      <c r="Y156" s="119">
        <f t="shared" si="283"/>
        <v>246.78528131025325</v>
      </c>
      <c r="Z156" s="119">
        <f t="shared" si="283"/>
        <v>268.99595662817609</v>
      </c>
      <c r="AA156" s="119">
        <f t="shared" si="283"/>
        <v>293.20559272471195</v>
      </c>
      <c r="AB156" s="119">
        <f t="shared" si="283"/>
        <v>319.59409606993603</v>
      </c>
      <c r="AC156" s="138">
        <f t="shared" ref="AC156:AC161" si="284">((AB156/G156)^(1/($AB$3-$H$1) ))-1</f>
        <v>-2.5294442428719588E-2</v>
      </c>
      <c r="AD156" s="31">
        <v>0.08</v>
      </c>
      <c r="AE156" s="127">
        <f t="shared" ref="AE156:AE162" si="285">(AB156*(1+AC156))/($C$1-AD156)</f>
        <v>2225.0724400452591</v>
      </c>
    </row>
    <row r="157" spans="2:31" x14ac:dyDescent="0.2">
      <c r="B157" s="20" t="s">
        <v>362</v>
      </c>
      <c r="C157" s="25" t="e">
        <f t="shared" ref="C157:P157" si="286">C156/C44</f>
        <v>#DIV/0!</v>
      </c>
      <c r="D157" s="25" t="e">
        <f t="shared" si="286"/>
        <v>#DIV/0!</v>
      </c>
      <c r="E157" s="25" t="e">
        <f t="shared" si="286"/>
        <v>#DIV/0!</v>
      </c>
      <c r="F157" s="25">
        <f t="shared" si="286"/>
        <v>0.69685319663961265</v>
      </c>
      <c r="G157" s="25">
        <f t="shared" si="286"/>
        <v>1.5865835411471321</v>
      </c>
      <c r="H157" s="25">
        <f t="shared" si="286"/>
        <v>1.7582391262694002</v>
      </c>
      <c r="I157" s="25">
        <f t="shared" si="286"/>
        <v>3.4540193379913897</v>
      </c>
      <c r="J157" s="25">
        <f t="shared" si="286"/>
        <v>2.7149672694996116</v>
      </c>
      <c r="K157" s="25">
        <f t="shared" si="286"/>
        <v>4.1190220186059561</v>
      </c>
      <c r="L157" s="25">
        <f t="shared" si="286"/>
        <v>2.1881232377415585</v>
      </c>
      <c r="M157" s="25">
        <f t="shared" si="286"/>
        <v>3.1810861211573243</v>
      </c>
      <c r="N157" s="25">
        <f t="shared" si="286"/>
        <v>2.2521279043018176</v>
      </c>
      <c r="O157" s="25">
        <f t="shared" si="286"/>
        <v>1.2187300828553218</v>
      </c>
      <c r="P157" s="25">
        <f t="shared" si="286"/>
        <v>0.67111877502025974</v>
      </c>
      <c r="Q157" s="118">
        <f t="shared" ref="Q157" si="287">((P157/G157)^(1/($H$2-$H$1) ))-1</f>
        <v>-9.1171731311590065E-2</v>
      </c>
      <c r="R157" s="128"/>
      <c r="S157" s="25">
        <f t="shared" ref="S157:AB157" si="288">S156/S44</f>
        <v>0.75111373614990684</v>
      </c>
      <c r="T157" s="25">
        <f t="shared" si="288"/>
        <v>0.84064381094991791</v>
      </c>
      <c r="U157" s="25">
        <f t="shared" si="288"/>
        <v>0.94084555091582334</v>
      </c>
      <c r="V157" s="25">
        <f t="shared" si="288"/>
        <v>1.0529909804223074</v>
      </c>
      <c r="W157" s="25">
        <f t="shared" si="288"/>
        <v>1.1785037446065731</v>
      </c>
      <c r="X157" s="25">
        <f t="shared" si="288"/>
        <v>1.3189771820217318</v>
      </c>
      <c r="Y157" s="25">
        <f t="shared" si="288"/>
        <v>1.4761945514859292</v>
      </c>
      <c r="Z157" s="25">
        <f t="shared" si="288"/>
        <v>1.6521516698996539</v>
      </c>
      <c r="AA157" s="25">
        <f t="shared" si="288"/>
        <v>1.849082248410014</v>
      </c>
      <c r="AB157" s="25">
        <f t="shared" si="288"/>
        <v>2.0694862485553145</v>
      </c>
      <c r="AC157" s="138">
        <f t="shared" ref="AC157" si="289">((AB157/G157)^(1/($AB$3-$H$1) ))-1</f>
        <v>1.4083375627732764E-2</v>
      </c>
      <c r="AD157" s="31">
        <v>0.08</v>
      </c>
      <c r="AE157" s="127">
        <f t="shared" ref="AE157" si="290">(AB157*(1+AC157))/($C$1-AD157)</f>
        <v>14.990225719643902</v>
      </c>
    </row>
    <row r="158" spans="2:31" x14ac:dyDescent="0.2">
      <c r="B158" s="20" t="s">
        <v>390</v>
      </c>
      <c r="C158" s="25" t="e">
        <f t="shared" ref="C158:P158" si="291">C156/C47</f>
        <v>#DIV/0!</v>
      </c>
      <c r="D158" s="25" t="e">
        <f t="shared" si="291"/>
        <v>#DIV/0!</v>
      </c>
      <c r="E158" s="25" t="e">
        <f t="shared" si="291"/>
        <v>#DIV/0!</v>
      </c>
      <c r="F158" s="25">
        <f t="shared" si="291"/>
        <v>11.022522522522522</v>
      </c>
      <c r="G158" s="25">
        <f t="shared" si="291"/>
        <v>19.337993920972643</v>
      </c>
      <c r="H158" s="25">
        <f t="shared" si="291"/>
        <v>19.257607555089191</v>
      </c>
      <c r="I158" s="25">
        <f t="shared" si="291"/>
        <v>29.148302561048244</v>
      </c>
      <c r="J158" s="25">
        <f t="shared" si="291"/>
        <v>20.273405136702568</v>
      </c>
      <c r="K158" s="25">
        <f t="shared" si="291"/>
        <v>30.818467995802727</v>
      </c>
      <c r="L158" s="25">
        <f t="shared" si="291"/>
        <v>20.428571428571431</v>
      </c>
      <c r="M158" s="25">
        <f t="shared" si="291"/>
        <v>26.025196486361537</v>
      </c>
      <c r="N158" s="25">
        <f t="shared" si="291"/>
        <v>16.17379811663638</v>
      </c>
      <c r="O158" s="25">
        <f t="shared" si="291"/>
        <v>8.6341188090870613</v>
      </c>
      <c r="P158" s="25">
        <f t="shared" si="291"/>
        <v>4.9368155264376741</v>
      </c>
      <c r="Q158" s="118">
        <f t="shared" si="281"/>
        <v>-0.14075887842917745</v>
      </c>
      <c r="R158" s="128"/>
      <c r="S158" s="119">
        <f t="shared" ref="S158:AB158" si="292">S156/S47</f>
        <v>5.5252663057050215</v>
      </c>
      <c r="T158" s="119">
        <f t="shared" si="292"/>
        <v>6.1838583162511105</v>
      </c>
      <c r="U158" s="119">
        <f t="shared" si="292"/>
        <v>6.9209521423399698</v>
      </c>
      <c r="V158" s="119">
        <f t="shared" si="292"/>
        <v>7.7459049200206698</v>
      </c>
      <c r="W158" s="119">
        <f t="shared" si="292"/>
        <v>8.6691891225409901</v>
      </c>
      <c r="X158" s="119">
        <f t="shared" si="292"/>
        <v>9.7025255045581531</v>
      </c>
      <c r="Y158" s="119">
        <f t="shared" si="292"/>
        <v>10.859031892824678</v>
      </c>
      <c r="Z158" s="119">
        <f t="shared" si="292"/>
        <v>12.15338971219262</v>
      </c>
      <c r="AA158" s="119">
        <f t="shared" si="292"/>
        <v>13.602030360922724</v>
      </c>
      <c r="AB158" s="119">
        <f t="shared" si="292"/>
        <v>15.223343801264848</v>
      </c>
      <c r="AC158" s="138">
        <f t="shared" si="284"/>
        <v>-1.2512726694380305E-2</v>
      </c>
      <c r="AD158" s="31">
        <v>0.08</v>
      </c>
      <c r="AE158" s="127">
        <f t="shared" si="285"/>
        <v>107.37755900646451</v>
      </c>
    </row>
    <row r="159" spans="2:31" x14ac:dyDescent="0.2">
      <c r="B159" s="20" t="s">
        <v>259</v>
      </c>
      <c r="C159" s="25" t="e">
        <f t="shared" ref="C159:P159" si="293">C156/C50</f>
        <v>#DIV/0!</v>
      </c>
      <c r="D159" s="25" t="e">
        <f t="shared" si="293"/>
        <v>#DIV/0!</v>
      </c>
      <c r="E159" s="25" t="e">
        <f t="shared" si="293"/>
        <v>#DIV/0!</v>
      </c>
      <c r="F159" s="25">
        <f t="shared" si="293"/>
        <v>1.073481026540908</v>
      </c>
      <c r="G159" s="25">
        <f t="shared" si="293"/>
        <v>2.5191843199366462</v>
      </c>
      <c r="H159" s="25">
        <f t="shared" si="293"/>
        <v>3.1740747146316153</v>
      </c>
      <c r="I159" s="25">
        <f t="shared" si="293"/>
        <v>6.9359410430838997</v>
      </c>
      <c r="J159" s="25">
        <f t="shared" si="293"/>
        <v>5.7286667447032658</v>
      </c>
      <c r="K159" s="25">
        <f t="shared" si="293"/>
        <v>8.5676779463243875</v>
      </c>
      <c r="L159" s="25">
        <f t="shared" si="293"/>
        <v>5.1181431680610494</v>
      </c>
      <c r="M159" s="25">
        <f t="shared" si="293"/>
        <v>7.3076488693703823</v>
      </c>
      <c r="N159" s="25">
        <f t="shared" si="293"/>
        <v>4.9782462335168693</v>
      </c>
      <c r="O159" s="25">
        <f t="shared" si="293"/>
        <v>2.4560941560292111</v>
      </c>
      <c r="P159" s="25">
        <f t="shared" si="293"/>
        <v>1.0998362358204186</v>
      </c>
      <c r="Q159" s="118">
        <f t="shared" si="281"/>
        <v>-8.7973275393797512E-2</v>
      </c>
      <c r="R159" s="128"/>
      <c r="S159" s="119">
        <f t="shared" ref="S159:AB159" si="294">S156/S50</f>
        <v>1.2309327871436559</v>
      </c>
      <c r="T159" s="119">
        <f t="shared" si="294"/>
        <v>1.3776555791826539</v>
      </c>
      <c r="U159" s="119">
        <f t="shared" si="294"/>
        <v>1.541867204022729</v>
      </c>
      <c r="V159" s="119">
        <f t="shared" si="294"/>
        <v>1.7256522680736524</v>
      </c>
      <c r="W159" s="119">
        <f t="shared" si="294"/>
        <v>1.9313438553842168</v>
      </c>
      <c r="X159" s="119">
        <f t="shared" si="294"/>
        <v>2.161553145289389</v>
      </c>
      <c r="Y159" s="119">
        <f t="shared" si="294"/>
        <v>2.4192025603752225</v>
      </c>
      <c r="Z159" s="119">
        <f t="shared" si="294"/>
        <v>2.7075628655628043</v>
      </c>
      <c r="AA159" s="119">
        <f t="shared" si="294"/>
        <v>3.0302946892705136</v>
      </c>
      <c r="AB159" s="119">
        <f t="shared" si="294"/>
        <v>3.3914949937505252</v>
      </c>
      <c r="AC159" s="138">
        <f t="shared" si="284"/>
        <v>1.5772335887528577E-2</v>
      </c>
      <c r="AD159" s="31">
        <v>0.08</v>
      </c>
      <c r="AE159" s="127">
        <f t="shared" si="285"/>
        <v>24.607048513948783</v>
      </c>
    </row>
    <row r="160" spans="2:31" x14ac:dyDescent="0.2">
      <c r="B160" s="20" t="s">
        <v>260</v>
      </c>
      <c r="C160" s="25" t="e">
        <f t="shared" ref="C160:P160" si="295">C156/C59</f>
        <v>#DIV/0!</v>
      </c>
      <c r="D160" s="25" t="e">
        <f t="shared" si="295"/>
        <v>#DIV/0!</v>
      </c>
      <c r="E160" s="25" t="e">
        <f t="shared" si="295"/>
        <v>#DIV/0!</v>
      </c>
      <c r="F160" s="25">
        <f t="shared" si="295"/>
        <v>3.678786466515827</v>
      </c>
      <c r="G160" s="25">
        <f t="shared" si="295"/>
        <v>4.7337797619047626</v>
      </c>
      <c r="H160" s="25">
        <f t="shared" si="295"/>
        <v>5.7603578154425614</v>
      </c>
      <c r="I160" s="25">
        <f t="shared" si="295"/>
        <v>11.818401352330353</v>
      </c>
      <c r="J160" s="25">
        <f t="shared" si="295"/>
        <v>8.4147180192572204</v>
      </c>
      <c r="K160" s="25">
        <f t="shared" si="295"/>
        <v>10.496420781269173</v>
      </c>
      <c r="L160" s="25">
        <f t="shared" si="295"/>
        <v>6.1572684505183393</v>
      </c>
      <c r="M160" s="25">
        <f t="shared" si="295"/>
        <v>11.416110826064649</v>
      </c>
      <c r="N160" s="25">
        <f t="shared" si="295"/>
        <v>10.081413333827621</v>
      </c>
      <c r="O160" s="25">
        <f t="shared" si="295"/>
        <v>9.0787158342655871</v>
      </c>
      <c r="P160" s="25">
        <f t="shared" si="295"/>
        <v>4.2086908231266174</v>
      </c>
      <c r="Q160" s="118">
        <f t="shared" si="281"/>
        <v>-1.297863675631139E-2</v>
      </c>
      <c r="R160" s="128"/>
      <c r="S160" s="119">
        <f t="shared" ref="S160:AB160" si="296">S156/S59</f>
        <v>4.7103517382046558</v>
      </c>
      <c r="T160" s="119">
        <f t="shared" si="296"/>
        <v>5.2718088427138712</v>
      </c>
      <c r="U160" s="119">
        <f t="shared" si="296"/>
        <v>5.9001896288766407</v>
      </c>
      <c r="V160" s="119">
        <f t="shared" si="296"/>
        <v>6.6034711605329175</v>
      </c>
      <c r="W160" s="119">
        <f t="shared" si="296"/>
        <v>7.3905813390428667</v>
      </c>
      <c r="X160" s="119">
        <f t="shared" si="296"/>
        <v>8.2715122397234246</v>
      </c>
      <c r="Y160" s="119">
        <f t="shared" si="296"/>
        <v>9.257446957583312</v>
      </c>
      <c r="Z160" s="119">
        <f t="shared" si="296"/>
        <v>10.360901572616681</v>
      </c>
      <c r="AA160" s="119">
        <f t="shared" si="296"/>
        <v>11.595884036852688</v>
      </c>
      <c r="AB160" s="119">
        <f t="shared" si="296"/>
        <v>12.978072000173963</v>
      </c>
      <c r="AC160" s="138">
        <f t="shared" si="284"/>
        <v>5.4514956182960539E-2</v>
      </c>
      <c r="AD160" s="31">
        <v>0.08</v>
      </c>
      <c r="AE160" s="127">
        <f t="shared" si="285"/>
        <v>97.754078761448227</v>
      </c>
    </row>
    <row r="161" spans="2:31" x14ac:dyDescent="0.2">
      <c r="B161" s="20" t="s">
        <v>261</v>
      </c>
      <c r="C161" s="25" t="e">
        <f t="shared" ref="C161:P161" si="297">C156/C61</f>
        <v>#DIV/0!</v>
      </c>
      <c r="D161" s="25" t="e">
        <f t="shared" si="297"/>
        <v>#DIV/0!</v>
      </c>
      <c r="E161" s="25" t="e">
        <f t="shared" si="297"/>
        <v>#DIV/0!</v>
      </c>
      <c r="F161" s="25">
        <f t="shared" si="297"/>
        <v>1.2259519038076152</v>
      </c>
      <c r="G161" s="25">
        <f t="shared" si="297"/>
        <v>2.775223555070883</v>
      </c>
      <c r="H161" s="25">
        <f t="shared" si="297"/>
        <v>3.3904489192684277</v>
      </c>
      <c r="I161" s="25">
        <f t="shared" si="297"/>
        <v>7.3285414794848753</v>
      </c>
      <c r="J161" s="25">
        <f t="shared" si="297"/>
        <v>6.4615790863480331</v>
      </c>
      <c r="K161" s="25">
        <f t="shared" si="297"/>
        <v>9.5553627589198573</v>
      </c>
      <c r="L161" s="25">
        <f t="shared" si="297"/>
        <v>6.201637267322873</v>
      </c>
      <c r="M161" s="25">
        <f t="shared" si="297"/>
        <v>9.4816405592049868</v>
      </c>
      <c r="N161" s="25">
        <f t="shared" si="297"/>
        <v>6.7068575734740019</v>
      </c>
      <c r="O161" s="25">
        <f t="shared" si="297"/>
        <v>3.1398809523809521</v>
      </c>
      <c r="P161" s="25">
        <f t="shared" si="297"/>
        <v>0.65851033724077179</v>
      </c>
      <c r="Q161" s="118">
        <f t="shared" si="281"/>
        <v>-0.14771477790280196</v>
      </c>
      <c r="R161" s="128"/>
      <c r="S161" s="119">
        <f t="shared" ref="S161:AB161" si="298">S156/S61</f>
        <v>0.73700241761723873</v>
      </c>
      <c r="T161" s="119">
        <f t="shared" si="298"/>
        <v>0.82485047364572206</v>
      </c>
      <c r="U161" s="119">
        <f t="shared" si="298"/>
        <v>0.9231697042097432</v>
      </c>
      <c r="V161" s="119">
        <f t="shared" si="298"/>
        <v>1.0332082359168866</v>
      </c>
      <c r="W161" s="119">
        <f t="shared" si="298"/>
        <v>1.1563629676087652</v>
      </c>
      <c r="X161" s="119">
        <f t="shared" si="298"/>
        <v>1.2941973034799885</v>
      </c>
      <c r="Y161" s="119">
        <f t="shared" si="298"/>
        <v>1.4484609999215763</v>
      </c>
      <c r="Z161" s="119">
        <f t="shared" si="298"/>
        <v>1.6211123780372285</v>
      </c>
      <c r="AA161" s="119">
        <f t="shared" si="298"/>
        <v>1.8143431838122019</v>
      </c>
      <c r="AB161" s="119">
        <f t="shared" si="298"/>
        <v>2.0306064115255311</v>
      </c>
      <c r="AC161" s="138">
        <f t="shared" si="284"/>
        <v>-1.6307507580141545E-2</v>
      </c>
      <c r="AD161" s="31">
        <v>0.08</v>
      </c>
      <c r="AE161" s="127">
        <f t="shared" si="285"/>
        <v>14.267802014837816</v>
      </c>
    </row>
    <row r="162" spans="2:31" x14ac:dyDescent="0.2">
      <c r="B162" s="20" t="s">
        <v>282</v>
      </c>
      <c r="C162" s="25" t="e">
        <f>C158/C108</f>
        <v>#DIV/0!</v>
      </c>
      <c r="D162" s="25" t="e">
        <f>D158/D108</f>
        <v>#DIV/0!</v>
      </c>
      <c r="E162" s="25" t="e">
        <f>E158/E108</f>
        <v>#DIV/0!</v>
      </c>
      <c r="F162" s="25" t="e">
        <f>F158/F108</f>
        <v>#DIV/0!</v>
      </c>
      <c r="G162" s="25">
        <f t="shared" ref="G162:P162" si="299">G156/G55</f>
        <v>1.2140444614063544</v>
      </c>
      <c r="H162" s="25">
        <f t="shared" si="299"/>
        <v>1.5007359555155777</v>
      </c>
      <c r="I162" s="25">
        <f t="shared" si="299"/>
        <v>2.8670181605155238</v>
      </c>
      <c r="J162" s="25">
        <f t="shared" si="299"/>
        <v>2.2264683135435148</v>
      </c>
      <c r="K162" s="25">
        <f t="shared" si="299"/>
        <v>3.202835332606325</v>
      </c>
      <c r="L162" s="25">
        <f t="shared" si="299"/>
        <v>2.7646608267089658</v>
      </c>
      <c r="M162" s="25">
        <f t="shared" si="299"/>
        <v>4.0759236491545145</v>
      </c>
      <c r="N162" s="25">
        <f t="shared" si="299"/>
        <v>2.8391830461040986</v>
      </c>
      <c r="O162" s="25">
        <f t="shared" si="299"/>
        <v>1.3743572650582412</v>
      </c>
      <c r="P162" s="25">
        <f t="shared" si="299"/>
        <v>0.62935648410923739</v>
      </c>
      <c r="Q162" s="118">
        <f t="shared" ref="Q162:Q164" si="300">((P162/G162)^(1/($H$2-$H$1) ))-1</f>
        <v>-7.040069361875001E-2</v>
      </c>
      <c r="R162" s="128"/>
      <c r="S162" s="135">
        <f t="shared" ref="S162:AB162" si="301">S156/S55</f>
        <v>0.70437352931332931</v>
      </c>
      <c r="T162" s="135">
        <f t="shared" si="301"/>
        <v>0.78833233838773054</v>
      </c>
      <c r="U162" s="135">
        <f t="shared" si="301"/>
        <v>0.88229873765091082</v>
      </c>
      <c r="V162" s="135">
        <f t="shared" si="301"/>
        <v>0.98746559611197926</v>
      </c>
      <c r="W162" s="135">
        <f t="shared" si="301"/>
        <v>1.1051679685056837</v>
      </c>
      <c r="X162" s="135">
        <f t="shared" si="301"/>
        <v>1.2369000433231023</v>
      </c>
      <c r="Y162" s="135">
        <f t="shared" si="301"/>
        <v>1.3843341109870613</v>
      </c>
      <c r="Z162" s="135">
        <f t="shared" si="301"/>
        <v>1.549341792966322</v>
      </c>
      <c r="AA162" s="135">
        <f t="shared" si="301"/>
        <v>1.7340178013243612</v>
      </c>
      <c r="AB162" s="135">
        <f t="shared" si="301"/>
        <v>1.9407065303215061</v>
      </c>
      <c r="AC162" s="138">
        <f t="shared" ref="AC162" si="302">((AB162/G162)^(1/($AB$3-$H$1) ))-1</f>
        <v>2.4996501119070702E-2</v>
      </c>
      <c r="AD162" s="31">
        <v>0.08</v>
      </c>
      <c r="AE162" s="127">
        <f t="shared" si="285"/>
        <v>14.208695737703396</v>
      </c>
    </row>
    <row r="163" spans="2:31" x14ac:dyDescent="0.2">
      <c r="B163" s="20" t="s">
        <v>372</v>
      </c>
      <c r="C163" s="161" t="e">
        <f t="shared" ref="C163:P163" si="303">C47/C156</f>
        <v>#DIV/0!</v>
      </c>
      <c r="D163" s="161" t="e">
        <f t="shared" si="303"/>
        <v>#DIV/0!</v>
      </c>
      <c r="E163" s="161" t="e">
        <f t="shared" si="303"/>
        <v>#DIV/0!</v>
      </c>
      <c r="F163" s="161">
        <f t="shared" si="303"/>
        <v>9.0723334695545568E-2</v>
      </c>
      <c r="G163" s="161">
        <f t="shared" si="303"/>
        <v>5.171167206312282E-2</v>
      </c>
      <c r="H163" s="161">
        <f t="shared" si="303"/>
        <v>5.1927530309222182E-2</v>
      </c>
      <c r="I163" s="161">
        <f t="shared" si="303"/>
        <v>3.430731507968942E-2</v>
      </c>
      <c r="J163" s="161">
        <f t="shared" si="303"/>
        <v>4.9325704944830406E-2</v>
      </c>
      <c r="K163" s="161">
        <f t="shared" si="303"/>
        <v>3.2448076268300985E-2</v>
      </c>
      <c r="L163" s="161">
        <f t="shared" si="303"/>
        <v>4.8951048951048952E-2</v>
      </c>
      <c r="M163" s="161">
        <f t="shared" si="303"/>
        <v>3.8424301638761822E-2</v>
      </c>
      <c r="N163" s="161">
        <f t="shared" si="303"/>
        <v>6.182839632277834E-2</v>
      </c>
      <c r="O163" s="161">
        <f t="shared" si="303"/>
        <v>0.11581957836247753</v>
      </c>
      <c r="P163" s="161">
        <f t="shared" si="303"/>
        <v>0.20255972592955762</v>
      </c>
      <c r="Q163" s="118">
        <f t="shared" si="300"/>
        <v>0.1638176699130145</v>
      </c>
      <c r="R163" s="128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8"/>
      <c r="AD163" s="31"/>
      <c r="AE163" s="127"/>
    </row>
    <row r="164" spans="2:31" x14ac:dyDescent="0.2">
      <c r="B164" s="20" t="s">
        <v>321</v>
      </c>
      <c r="C164" s="152" t="e">
        <f t="shared" ref="C164:P164" si="304">C41/C156</f>
        <v>#DIV/0!</v>
      </c>
      <c r="D164" s="152" t="e">
        <f t="shared" si="304"/>
        <v>#DIV/0!</v>
      </c>
      <c r="E164" s="152" t="e">
        <f t="shared" si="304"/>
        <v>#DIV/0!</v>
      </c>
      <c r="F164" s="152">
        <f t="shared" si="304"/>
        <v>0.02</v>
      </c>
      <c r="G164" s="152">
        <f t="shared" si="304"/>
        <v>1.1538461538461539E-2</v>
      </c>
      <c r="H164" s="152">
        <f t="shared" si="304"/>
        <v>1.0666666666666666E-2</v>
      </c>
      <c r="I164" s="152">
        <f t="shared" si="304"/>
        <v>7.2500000000000004E-3</v>
      </c>
      <c r="J164" s="152">
        <f t="shared" si="304"/>
        <v>1.225E-2</v>
      </c>
      <c r="K164" s="152">
        <f t="shared" si="304"/>
        <v>8.472222222222223E-3</v>
      </c>
      <c r="L164" s="152">
        <f t="shared" si="304"/>
        <v>1.3076923076923076E-2</v>
      </c>
      <c r="M164" s="152">
        <f t="shared" si="304"/>
        <v>1.0130434782608696E-2</v>
      </c>
      <c r="N164" s="152">
        <f t="shared" si="304"/>
        <v>1.5574999999999999E-2</v>
      </c>
      <c r="O164" s="152">
        <f t="shared" si="304"/>
        <v>2.5600000000000001E-2</v>
      </c>
      <c r="P164" s="152">
        <f t="shared" si="304"/>
        <v>3.7925925925925925E-2</v>
      </c>
      <c r="Q164" s="118">
        <f t="shared" si="300"/>
        <v>0.14135545974750907</v>
      </c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8"/>
      <c r="AD164" s="31"/>
      <c r="AE164" s="127"/>
    </row>
    <row r="165" spans="2:31" x14ac:dyDescent="0.2">
      <c r="B165" s="20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8"/>
      <c r="AD165" s="31"/>
      <c r="AE165" s="127"/>
    </row>
    <row r="166" spans="2:31" x14ac:dyDescent="0.2">
      <c r="B166" s="20"/>
      <c r="C166" s="129"/>
      <c r="D166" s="129"/>
      <c r="E166" s="129"/>
      <c r="F166" s="129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28"/>
      <c r="R166" s="128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7"/>
      <c r="AD166" s="20"/>
      <c r="AE166" s="127"/>
    </row>
    <row r="167" spans="2:31" x14ac:dyDescent="0.2">
      <c r="B167" s="108" t="s">
        <v>302</v>
      </c>
      <c r="C167" s="20"/>
      <c r="D167" s="20"/>
      <c r="E167" s="20"/>
      <c r="F167" s="20"/>
      <c r="G167" s="20"/>
      <c r="H167" s="20"/>
      <c r="I167" s="20"/>
      <c r="J167" s="20"/>
      <c r="K167" s="194" t="s">
        <v>352</v>
      </c>
      <c r="L167" s="195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300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20" t="s">
        <v>353</v>
      </c>
      <c r="L168" s="22">
        <v>1</v>
      </c>
      <c r="M168" s="20"/>
      <c r="N168" s="20"/>
      <c r="O168" s="20"/>
      <c r="P168" s="128">
        <f>(P156-R144)/P156</f>
        <v>0.62472094857406879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350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L168</f>
        <v>1</v>
      </c>
      <c r="L169" s="20"/>
      <c r="M169" s="128">
        <f>(P156-(K169*R135))/P156</f>
        <v>-0.77540905724173192</v>
      </c>
      <c r="N169" s="20"/>
      <c r="O169" s="20"/>
      <c r="P169" s="128">
        <f>(P156-R135)/P156</f>
        <v>-0.77540905724173192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351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L168</f>
        <v>1</v>
      </c>
      <c r="L170" s="20"/>
      <c r="M170" s="128">
        <f>(P156-(K169*R128))/P156</f>
        <v>-3.2490678905733823E-2</v>
      </c>
      <c r="N170" s="20"/>
      <c r="O170" s="20"/>
      <c r="P170" s="128">
        <f>(P156-R128)/P156</f>
        <v>-3.2490678905733823E-2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354</v>
      </c>
      <c r="C171" s="20" t="s">
        <v>315</v>
      </c>
      <c r="D171" s="20"/>
      <c r="E171" s="20"/>
      <c r="F171" s="20"/>
      <c r="G171" s="20"/>
      <c r="H171" s="20"/>
      <c r="I171" s="20"/>
      <c r="J171" s="20"/>
      <c r="K171" s="172">
        <f>L168</f>
        <v>1</v>
      </c>
      <c r="L171" s="20"/>
      <c r="M171" s="128">
        <f>(P156-(K169*R141))/P156</f>
        <v>-7.3242386804410572E-2</v>
      </c>
      <c r="N171" s="20"/>
      <c r="O171" s="20"/>
      <c r="P171" s="128">
        <f>(P156-R141)/P156</f>
        <v>-7.3242386804410572E-2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 t="s">
        <v>301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5">
        <f>P156/R127</f>
        <v>4.4182649657112805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 x14ac:dyDescent="0.2">
      <c r="B173" s="20" t="s">
        <v>372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52">
        <f>1/P172</f>
        <v>0.22633318910492586</v>
      </c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137"/>
      <c r="AD173" s="20"/>
      <c r="AE173" s="20"/>
    </row>
    <row r="174" spans="2:31" x14ac:dyDescent="0.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 x14ac:dyDescent="0.2">
      <c r="B175" s="108" t="s">
        <v>303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 x14ac:dyDescent="0.2">
      <c r="B176" s="20" t="s">
        <v>306</v>
      </c>
      <c r="C176" s="25" t="e">
        <f t="shared" ref="C176:P176" si="305">C10/C7</f>
        <v>#DIV/0!</v>
      </c>
      <c r="D176" s="25" t="e">
        <f t="shared" si="305"/>
        <v>#DIV/0!</v>
      </c>
      <c r="E176" s="25" t="e">
        <f t="shared" si="305"/>
        <v>#DIV/0!</v>
      </c>
      <c r="F176" s="25">
        <f t="shared" si="305"/>
        <v>0.11055590256089944</v>
      </c>
      <c r="G176" s="25">
        <f t="shared" si="305"/>
        <v>0.10198300283286119</v>
      </c>
      <c r="H176" s="25">
        <f t="shared" si="305"/>
        <v>8.8947892465980755E-2</v>
      </c>
      <c r="I176" s="25">
        <f t="shared" si="305"/>
        <v>7.6427886590877958E-2</v>
      </c>
      <c r="J176" s="25">
        <f t="shared" si="305"/>
        <v>1.0127446517979062E-2</v>
      </c>
      <c r="K176" s="25">
        <f t="shared" si="305"/>
        <v>8.8175236680898463E-3</v>
      </c>
      <c r="L176" s="25">
        <f t="shared" si="305"/>
        <v>1.2922955967542487E-2</v>
      </c>
      <c r="M176" s="25">
        <f t="shared" si="305"/>
        <v>9.3105300837066987E-3</v>
      </c>
      <c r="N176" s="25">
        <f t="shared" si="305"/>
        <v>1.3396126435618215E-2</v>
      </c>
      <c r="O176" s="25">
        <f t="shared" si="305"/>
        <v>1.4525809095439683E-2</v>
      </c>
      <c r="P176" s="25">
        <f t="shared" si="305"/>
        <v>4.038293370714021E-2</v>
      </c>
      <c r="Q176" s="118">
        <f t="shared" ref="Q176:Q178" si="306">((P176/G176)^(1/($H$2-$H$1) ))-1</f>
        <v>-9.7812772225557176E-2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3" x14ac:dyDescent="0.2">
      <c r="B177" s="20" t="s">
        <v>307</v>
      </c>
      <c r="C177" s="112" t="e">
        <f>C10/C12</f>
        <v>#DIV/0!</v>
      </c>
      <c r="D177" s="112" t="e">
        <f>D10/D12</f>
        <v>#DIV/0!</v>
      </c>
      <c r="E177" s="112" t="e">
        <f>E10/E12</f>
        <v>#DIV/0!</v>
      </c>
      <c r="F177" s="112">
        <f>F10/F12</f>
        <v>0.40227272727272728</v>
      </c>
      <c r="G177" s="112">
        <f>G10/G12</f>
        <v>0.20308386611508086</v>
      </c>
      <c r="H177" s="112">
        <f t="shared" ref="H177:P177" si="307">H10/H12</f>
        <v>0.16871262197041234</v>
      </c>
      <c r="I177" s="112">
        <f t="shared" si="307"/>
        <v>0.13501088797483668</v>
      </c>
      <c r="J177" s="112">
        <f t="shared" si="307"/>
        <v>1.5323691460055097E-2</v>
      </c>
      <c r="K177" s="112">
        <f t="shared" si="307"/>
        <v>1.1328404483663249E-2</v>
      </c>
      <c r="L177" s="112">
        <f t="shared" si="307"/>
        <v>1.6168070481169524E-2</v>
      </c>
      <c r="M177" s="112">
        <f t="shared" si="307"/>
        <v>1.5016233766233766E-2</v>
      </c>
      <c r="N177" s="112">
        <f t="shared" si="307"/>
        <v>2.7820710973724884E-2</v>
      </c>
      <c r="O177" s="112">
        <f t="shared" si="307"/>
        <v>5.4796554796554799E-2</v>
      </c>
      <c r="P177" s="112">
        <f t="shared" si="307"/>
        <v>0.15716816866579139</v>
      </c>
      <c r="Q177" s="118">
        <f t="shared" si="306"/>
        <v>-2.8076394741233801E-2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3" x14ac:dyDescent="0.2">
      <c r="B178" s="20" t="s">
        <v>308</v>
      </c>
      <c r="C178" s="25" t="e">
        <f>C10/(C12+C13)</f>
        <v>#DIV/0!</v>
      </c>
      <c r="D178" s="25" t="e">
        <f>D10/(D12+D13)</f>
        <v>#DIV/0!</v>
      </c>
      <c r="E178" s="25" t="e">
        <f>E10/(E12+E13)</f>
        <v>#DIV/0!</v>
      </c>
      <c r="F178" s="25">
        <f>F10/(F12+F13)</f>
        <v>0.39914908331015614</v>
      </c>
      <c r="G178" s="25">
        <f>G10/(G12+G13)</f>
        <v>0.20089285714285715</v>
      </c>
      <c r="H178" s="25">
        <f t="shared" ref="H178:P178" si="308">H10/(H12+H13)</f>
        <v>0.16823603264281231</v>
      </c>
      <c r="I178" s="25">
        <f t="shared" si="308"/>
        <v>0.13475006037189086</v>
      </c>
      <c r="J178" s="25">
        <f t="shared" si="308"/>
        <v>1.5302613480055021E-2</v>
      </c>
      <c r="K178" s="25">
        <f t="shared" si="308"/>
        <v>1.1317216822387599E-2</v>
      </c>
      <c r="L178" s="25">
        <f t="shared" si="308"/>
        <v>1.6158777893243693E-2</v>
      </c>
      <c r="M178" s="25">
        <f t="shared" si="308"/>
        <v>1.5007189254852492E-2</v>
      </c>
      <c r="N178" s="25">
        <f t="shared" si="308"/>
        <v>2.7803693566225307E-2</v>
      </c>
      <c r="O178" s="25">
        <f t="shared" si="308"/>
        <v>5.4748261853963094E-2</v>
      </c>
      <c r="P178" s="25">
        <f t="shared" si="308"/>
        <v>0.15704925716847704</v>
      </c>
      <c r="Q178" s="118">
        <f t="shared" si="306"/>
        <v>-2.6986102181022265E-2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3" x14ac:dyDescent="0.2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3" x14ac:dyDescent="0.2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3" x14ac:dyDescent="0.2">
      <c r="B181" s="20"/>
      <c r="C181" s="175" t="s">
        <v>378</v>
      </c>
      <c r="D181" s="176"/>
      <c r="E181" s="176"/>
      <c r="F181" s="176"/>
      <c r="G181" s="176"/>
      <c r="H181" s="176"/>
      <c r="I181" s="176"/>
      <c r="J181" s="176"/>
      <c r="K181" s="20"/>
      <c r="L181" s="191" t="s">
        <v>338</v>
      </c>
      <c r="M181" s="192"/>
      <c r="N181" s="193"/>
      <c r="O181" s="23" t="s">
        <v>341</v>
      </c>
      <c r="P181" s="20"/>
      <c r="Q181" s="191" t="s">
        <v>339</v>
      </c>
      <c r="R181" s="192"/>
      <c r="S181" s="193"/>
      <c r="T181" s="23" t="s">
        <v>341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2:33" x14ac:dyDescent="0.2">
      <c r="B182" s="20"/>
      <c r="C182" s="166" t="s">
        <v>340</v>
      </c>
      <c r="D182" s="166" t="s">
        <v>0</v>
      </c>
      <c r="E182" s="166" t="s">
        <v>379</v>
      </c>
      <c r="F182" s="166" t="s">
        <v>380</v>
      </c>
      <c r="G182" s="166" t="s">
        <v>381</v>
      </c>
      <c r="H182" s="166" t="s">
        <v>382</v>
      </c>
      <c r="I182" s="166" t="s">
        <v>383</v>
      </c>
      <c r="J182" s="166" t="s">
        <v>384</v>
      </c>
      <c r="K182" s="20"/>
      <c r="L182" s="166" t="s">
        <v>340</v>
      </c>
      <c r="M182" s="166"/>
      <c r="N182" s="166" t="s">
        <v>0</v>
      </c>
      <c r="O182" s="166" t="s">
        <v>373</v>
      </c>
      <c r="P182" s="20"/>
      <c r="Q182" s="166" t="s">
        <v>340</v>
      </c>
      <c r="R182" s="166"/>
      <c r="S182" s="166" t="s">
        <v>0</v>
      </c>
      <c r="T182" s="166" t="s">
        <v>373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2:33" x14ac:dyDescent="0.2">
      <c r="B183" s="20"/>
      <c r="C183" s="167" t="s">
        <v>342</v>
      </c>
      <c r="D183" s="21">
        <v>200</v>
      </c>
      <c r="E183" s="177" t="s">
        <v>385</v>
      </c>
      <c r="F183" s="22">
        <v>1</v>
      </c>
      <c r="G183" s="22">
        <v>1</v>
      </c>
      <c r="H183" s="167">
        <f>F183/G183</f>
        <v>1</v>
      </c>
      <c r="I183" s="167">
        <f>H183*D184</f>
        <v>1</v>
      </c>
      <c r="J183" s="178">
        <f>I183+D184</f>
        <v>2</v>
      </c>
      <c r="K183" s="20"/>
      <c r="L183" s="167" t="s">
        <v>342</v>
      </c>
      <c r="M183" s="167"/>
      <c r="N183" s="21">
        <v>50</v>
      </c>
      <c r="O183" s="174">
        <f>N183</f>
        <v>50</v>
      </c>
      <c r="P183" s="20"/>
      <c r="Q183" s="167" t="s">
        <v>342</v>
      </c>
      <c r="R183" s="167"/>
      <c r="S183" s="21">
        <v>200</v>
      </c>
      <c r="T183" s="174">
        <f>S183</f>
        <v>200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2:33" x14ac:dyDescent="0.2">
      <c r="B184" s="20"/>
      <c r="C184" s="167" t="s">
        <v>343</v>
      </c>
      <c r="D184" s="21">
        <v>1</v>
      </c>
      <c r="E184" s="177" t="s">
        <v>386</v>
      </c>
      <c r="F184" s="22">
        <v>0</v>
      </c>
      <c r="G184" s="22">
        <v>1</v>
      </c>
      <c r="H184" s="167">
        <f>F184/G184</f>
        <v>0</v>
      </c>
      <c r="I184" s="167">
        <f>H184*J183</f>
        <v>0</v>
      </c>
      <c r="J184" s="167">
        <f>I184+J183</f>
        <v>2</v>
      </c>
      <c r="K184" s="20"/>
      <c r="L184" s="167" t="s">
        <v>343</v>
      </c>
      <c r="M184" s="167"/>
      <c r="N184" s="21">
        <v>1</v>
      </c>
      <c r="O184" s="174">
        <f>N184</f>
        <v>1</v>
      </c>
      <c r="P184" s="20"/>
      <c r="Q184" s="167" t="s">
        <v>343</v>
      </c>
      <c r="R184" s="167"/>
      <c r="S184" s="21">
        <v>1</v>
      </c>
      <c r="T184" s="174">
        <f>S184</f>
        <v>1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2:33" x14ac:dyDescent="0.2">
      <c r="B185" s="20"/>
      <c r="C185" s="167" t="s">
        <v>345</v>
      </c>
      <c r="D185" s="168">
        <f>D183*D184</f>
        <v>200</v>
      </c>
      <c r="E185" s="177" t="s">
        <v>387</v>
      </c>
      <c r="F185" s="22">
        <v>10</v>
      </c>
      <c r="G185" s="22">
        <v>2</v>
      </c>
      <c r="H185" s="167">
        <f>F185/G185</f>
        <v>5</v>
      </c>
      <c r="I185" s="167">
        <f>H185*J184</f>
        <v>10</v>
      </c>
      <c r="J185" s="167">
        <f>I185</f>
        <v>10</v>
      </c>
      <c r="K185" s="20"/>
      <c r="L185" s="167" t="s">
        <v>344</v>
      </c>
      <c r="M185" s="167"/>
      <c r="N185" s="168">
        <f>N183*N184</f>
        <v>50</v>
      </c>
      <c r="O185" s="174">
        <f>N185</f>
        <v>50</v>
      </c>
      <c r="P185" s="20"/>
      <c r="Q185" s="167" t="s">
        <v>345</v>
      </c>
      <c r="R185" s="167"/>
      <c r="S185" s="168">
        <f>S183*S184</f>
        <v>200</v>
      </c>
      <c r="T185" s="174">
        <f>S185</f>
        <v>200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2:33" x14ac:dyDescent="0.2">
      <c r="B186" s="20"/>
      <c r="C186" s="167" t="s">
        <v>346</v>
      </c>
      <c r="D186" s="21">
        <v>165</v>
      </c>
      <c r="E186" s="177"/>
      <c r="F186" s="167"/>
      <c r="G186" s="167"/>
      <c r="H186" s="169" t="s">
        <v>388</v>
      </c>
      <c r="I186" s="167"/>
      <c r="J186" s="167">
        <f>J185</f>
        <v>10</v>
      </c>
      <c r="K186" s="20"/>
      <c r="L186" s="167" t="s">
        <v>346</v>
      </c>
      <c r="M186" s="167"/>
      <c r="N186" s="21">
        <v>165</v>
      </c>
      <c r="O186" s="21">
        <v>585</v>
      </c>
      <c r="P186" s="20"/>
      <c r="Q186" s="167" t="s">
        <v>346</v>
      </c>
      <c r="R186" s="167"/>
      <c r="S186" s="21">
        <v>150</v>
      </c>
      <c r="T186" s="21">
        <v>165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2:33" x14ac:dyDescent="0.2">
      <c r="B187" s="20"/>
      <c r="C187" s="167" t="s">
        <v>343</v>
      </c>
      <c r="D187" s="21">
        <v>10</v>
      </c>
      <c r="E187" s="177" t="s">
        <v>387</v>
      </c>
      <c r="F187" s="22">
        <v>10</v>
      </c>
      <c r="G187" s="22">
        <v>2</v>
      </c>
      <c r="H187" s="167">
        <f>F187/G187</f>
        <v>5</v>
      </c>
      <c r="I187" s="178">
        <f>H187*D184</f>
        <v>5</v>
      </c>
      <c r="J187" s="178">
        <f>I187</f>
        <v>5</v>
      </c>
      <c r="K187" s="20"/>
      <c r="L187" s="167" t="s">
        <v>347</v>
      </c>
      <c r="M187" s="167"/>
      <c r="N187" s="168">
        <f>N186*N184</f>
        <v>165</v>
      </c>
      <c r="O187" s="168">
        <f>O186*O184</f>
        <v>585</v>
      </c>
      <c r="P187" s="20"/>
      <c r="Q187" s="167" t="s">
        <v>343</v>
      </c>
      <c r="R187" s="167"/>
      <c r="S187" s="21">
        <v>10</v>
      </c>
      <c r="T187" s="21">
        <v>10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2:33" x14ac:dyDescent="0.2">
      <c r="B188" s="20"/>
      <c r="C188" s="167" t="s">
        <v>345</v>
      </c>
      <c r="D188" s="168">
        <f>D187*D186</f>
        <v>1650</v>
      </c>
      <c r="E188" s="167"/>
      <c r="F188" s="167"/>
      <c r="G188" s="167"/>
      <c r="H188" s="169" t="s">
        <v>388</v>
      </c>
      <c r="I188" s="167"/>
      <c r="J188" s="167">
        <f>J187</f>
        <v>5</v>
      </c>
      <c r="K188" s="20"/>
      <c r="L188" s="167"/>
      <c r="M188" s="167"/>
      <c r="N188" s="168"/>
      <c r="O188" s="168"/>
      <c r="P188" s="20"/>
      <c r="Q188" s="167" t="s">
        <v>345</v>
      </c>
      <c r="R188" s="167"/>
      <c r="S188" s="168">
        <f>S187*S186</f>
        <v>1500</v>
      </c>
      <c r="T188" s="168">
        <f>T187*T185</f>
        <v>2000</v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2:33" x14ac:dyDescent="0.2">
      <c r="B189" s="20"/>
      <c r="C189" s="167"/>
      <c r="D189" s="168"/>
      <c r="E189" s="177" t="s">
        <v>387</v>
      </c>
      <c r="F189" s="22">
        <v>10</v>
      </c>
      <c r="G189" s="22">
        <v>2</v>
      </c>
      <c r="H189" s="167">
        <f>F189/G189</f>
        <v>5</v>
      </c>
      <c r="I189" s="167">
        <f>H189*J188</f>
        <v>25</v>
      </c>
      <c r="J189" s="167">
        <f>I189</f>
        <v>25</v>
      </c>
      <c r="K189" s="20"/>
      <c r="L189" s="167"/>
      <c r="M189" s="167"/>
      <c r="N189" s="168"/>
      <c r="O189" s="168"/>
      <c r="P189" s="20"/>
      <c r="Q189" s="167"/>
      <c r="R189" s="167"/>
      <c r="S189" s="168"/>
      <c r="T189" s="168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2:33" x14ac:dyDescent="0.2">
      <c r="B190" s="20"/>
      <c r="C190" s="169" t="s">
        <v>348</v>
      </c>
      <c r="D190" s="170">
        <f>D188/D185</f>
        <v>8.25</v>
      </c>
      <c r="E190" s="177"/>
      <c r="F190" s="167"/>
      <c r="G190" s="167"/>
      <c r="H190" s="169" t="s">
        <v>388</v>
      </c>
      <c r="I190" s="167"/>
      <c r="J190" s="167">
        <f>J189</f>
        <v>25</v>
      </c>
      <c r="K190" s="20"/>
      <c r="L190" s="169" t="s">
        <v>348</v>
      </c>
      <c r="M190" s="169"/>
      <c r="N190" s="170">
        <f>N187/N185</f>
        <v>3.3</v>
      </c>
      <c r="O190" s="170">
        <f>O187/O185</f>
        <v>11.7</v>
      </c>
      <c r="P190" s="20"/>
      <c r="Q190" s="169" t="s">
        <v>348</v>
      </c>
      <c r="R190" s="169"/>
      <c r="S190" s="170">
        <f>S188/S185</f>
        <v>7.5</v>
      </c>
      <c r="T190" s="170">
        <f>T188/T185</f>
        <v>10</v>
      </c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2:33" x14ac:dyDescent="0.2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2:33" ht="15" x14ac:dyDescent="0.25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184" t="s">
        <v>27</v>
      </c>
      <c r="M192" s="185"/>
      <c r="N192" s="186"/>
      <c r="O192" s="183" t="s">
        <v>391</v>
      </c>
      <c r="P192" s="183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 t="s">
        <v>28</v>
      </c>
      <c r="M193" s="127"/>
      <c r="N193" s="21">
        <v>50</v>
      </c>
      <c r="O193" s="20" t="s">
        <v>28</v>
      </c>
      <c r="P193" s="21">
        <f>N193</f>
        <v>50</v>
      </c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 t="s">
        <v>29</v>
      </c>
      <c r="M194" s="127"/>
      <c r="N194" s="21">
        <v>165</v>
      </c>
      <c r="O194" s="20" t="s">
        <v>29</v>
      </c>
      <c r="P194" s="21">
        <f>N194</f>
        <v>165</v>
      </c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 t="s">
        <v>30</v>
      </c>
      <c r="M195" s="20"/>
      <c r="N195" s="22">
        <v>10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ht="15" x14ac:dyDescent="0.25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3" t="s">
        <v>31</v>
      </c>
      <c r="M196" s="3"/>
      <c r="N196" s="3">
        <f>((N194/N193)^(1/N195))-1</f>
        <v>0.12681181999924207</v>
      </c>
      <c r="O196" s="23"/>
      <c r="P196" s="181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ht="15" x14ac:dyDescent="0.25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3" t="s">
        <v>32</v>
      </c>
      <c r="M197" s="165"/>
      <c r="N197" s="24">
        <f>N195*12</f>
        <v>120</v>
      </c>
      <c r="O197" s="23"/>
      <c r="P197" s="182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ht="15" x14ac:dyDescent="0.25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 t="s">
        <v>30</v>
      </c>
      <c r="M198" s="25"/>
      <c r="N198" s="25">
        <f>N197/12</f>
        <v>10</v>
      </c>
      <c r="O198" s="23" t="s">
        <v>392</v>
      </c>
      <c r="P198" s="181">
        <f>(P194-P193)/P193</f>
        <v>2.2999999999999998</v>
      </c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ht="15" x14ac:dyDescent="0.25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3" t="s">
        <v>33</v>
      </c>
      <c r="M199" s="3"/>
      <c r="N199" s="3">
        <f>((N194/N193)^(1/N198))-1</f>
        <v>0.12681181999924207</v>
      </c>
      <c r="O199" s="23" t="s">
        <v>393</v>
      </c>
      <c r="P199" s="182">
        <f>P194/P193</f>
        <v>3.3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ht="15" x14ac:dyDescent="0.25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180"/>
      <c r="M200" s="58"/>
      <c r="N200" s="18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</sheetData>
  <mergeCells count="7">
    <mergeCell ref="O192:P192"/>
    <mergeCell ref="L192:N192"/>
    <mergeCell ref="AD2:AE2"/>
    <mergeCell ref="AD3:AE3"/>
    <mergeCell ref="L181:N181"/>
    <mergeCell ref="Q181:S181"/>
    <mergeCell ref="K167:L167"/>
  </mergeCells>
  <pageMargins left="0.7" right="0.7" top="0.75" bottom="0.75" header="0.3" footer="0.3"/>
  <pageSetup orientation="portrait" r:id="rId1"/>
  <ignoredErrors>
    <ignoredError sqref="C158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3" t="s">
        <v>27</v>
      </c>
      <c r="K5" s="183"/>
      <c r="M5" s="183" t="s">
        <v>65</v>
      </c>
      <c r="N5" s="183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3" t="s">
        <v>36</v>
      </c>
      <c r="K14" s="183"/>
      <c r="L14" s="183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83" t="s">
        <v>27</v>
      </c>
      <c r="S5" s="183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3" t="s">
        <v>36</v>
      </c>
      <c r="S14" s="183"/>
      <c r="T14" s="183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83" t="s">
        <v>27</v>
      </c>
      <c r="C2" s="183"/>
      <c r="E2" s="183" t="s">
        <v>65</v>
      </c>
      <c r="F2" s="183"/>
      <c r="H2" s="184" t="s">
        <v>36</v>
      </c>
      <c r="I2" s="18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96" t="s">
        <v>68</v>
      </c>
      <c r="E10" s="197"/>
      <c r="F10" s="197"/>
      <c r="G10" s="197"/>
      <c r="H10" s="198"/>
      <c r="I10" s="196" t="s">
        <v>72</v>
      </c>
      <c r="J10" s="197"/>
      <c r="K10" s="197"/>
      <c r="L10" s="19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2014-02-21T11:39:04Z</dcterms:modified>
</cp:coreProperties>
</file>
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44525"/>
</workbook>
</file>

<file path=xl/calcChain.xml><?xml version="1.0" encoding="utf-8"?>
<calcChain xmlns="http://schemas.openxmlformats.org/spreadsheetml/2006/main">
  <c r="G197" i="18" l="1"/>
  <c r="P39" i="18"/>
  <c r="O39" i="18"/>
  <c r="N39" i="18"/>
  <c r="M39" i="18"/>
  <c r="L39" i="18"/>
  <c r="K39" i="18"/>
  <c r="J39" i="18"/>
  <c r="I39" i="18"/>
  <c r="H39" i="18"/>
  <c r="G39" i="18"/>
  <c r="P37" i="18"/>
  <c r="O37" i="18"/>
  <c r="N37" i="18"/>
  <c r="M37" i="18"/>
  <c r="L37" i="18"/>
  <c r="K37" i="18"/>
  <c r="J37" i="18"/>
  <c r="I37" i="18"/>
  <c r="H37" i="18"/>
  <c r="G37" i="18"/>
  <c r="P30" i="18"/>
  <c r="O30" i="18"/>
  <c r="N30" i="18"/>
  <c r="M30" i="18"/>
  <c r="L30" i="18"/>
  <c r="K30" i="18"/>
  <c r="J30" i="18"/>
  <c r="I30" i="18"/>
  <c r="H30" i="18"/>
  <c r="G30" i="18"/>
  <c r="O28" i="18"/>
  <c r="N28" i="18"/>
  <c r="M28" i="18"/>
  <c r="L28" i="18"/>
  <c r="K28" i="18"/>
  <c r="J28" i="18"/>
  <c r="I28" i="18"/>
  <c r="H28" i="18"/>
  <c r="G28" i="18"/>
  <c r="P27" i="18"/>
  <c r="P28" i="18" s="1"/>
  <c r="O26" i="18"/>
  <c r="N26" i="18"/>
  <c r="M26" i="18"/>
  <c r="L26" i="18"/>
  <c r="K26" i="18"/>
  <c r="J26" i="18"/>
  <c r="I26" i="18"/>
  <c r="H26" i="18"/>
  <c r="G26" i="18"/>
  <c r="P25" i="18"/>
  <c r="P26" i="18" s="1"/>
  <c r="P18" i="18"/>
  <c r="P16" i="18"/>
  <c r="P12" i="18"/>
  <c r="O12" i="18"/>
  <c r="N12" i="18"/>
  <c r="M12" i="18"/>
  <c r="L12" i="18"/>
  <c r="K12" i="18"/>
  <c r="J12" i="18"/>
  <c r="I12" i="18"/>
  <c r="H12" i="18"/>
  <c r="G12" i="18"/>
  <c r="F12" i="18"/>
  <c r="P11" i="18"/>
  <c r="O11" i="18"/>
  <c r="N11" i="18"/>
  <c r="M11" i="18"/>
  <c r="L11" i="18"/>
  <c r="K11" i="18"/>
  <c r="J11" i="18"/>
  <c r="I11" i="18"/>
  <c r="H11" i="18"/>
  <c r="G11" i="18"/>
  <c r="P8" i="18"/>
  <c r="O8" i="18"/>
  <c r="N8" i="18"/>
  <c r="M8" i="18"/>
  <c r="L8" i="18"/>
  <c r="K8" i="18"/>
  <c r="J8" i="18"/>
  <c r="I8" i="18"/>
  <c r="H8" i="18"/>
  <c r="G8" i="18"/>
  <c r="K175" i="18" l="1"/>
  <c r="K174" i="18"/>
  <c r="T189" i="18" l="1"/>
  <c r="T190" i="18" s="1"/>
  <c r="S40" i="18"/>
  <c r="D187" i="18"/>
  <c r="H187" i="18"/>
  <c r="L91" i="18"/>
  <c r="J91" i="18"/>
  <c r="H91" i="18"/>
  <c r="F91" i="18"/>
  <c r="G91" i="18"/>
  <c r="I91" i="18"/>
  <c r="K91" i="18"/>
  <c r="M91" i="18"/>
  <c r="N91" i="18"/>
  <c r="O91" i="18"/>
  <c r="P91" i="18"/>
  <c r="H122" i="18"/>
  <c r="I122" i="18"/>
  <c r="J122" i="18"/>
  <c r="K122" i="18"/>
  <c r="L122" i="18"/>
  <c r="M122" i="18"/>
  <c r="N122" i="18"/>
  <c r="O122" i="18"/>
  <c r="P122" i="18"/>
  <c r="H121" i="18"/>
  <c r="I121" i="18"/>
  <c r="J121" i="18"/>
  <c r="K121" i="18"/>
  <c r="L121" i="18"/>
  <c r="M121" i="18"/>
  <c r="N121" i="18"/>
  <c r="O121" i="18"/>
  <c r="P121" i="18"/>
  <c r="R40" i="18"/>
  <c r="G201" i="18"/>
  <c r="G202" i="18" s="1"/>
  <c r="K197" i="18"/>
  <c r="AD48" i="18"/>
  <c r="C48" i="18"/>
  <c r="D48" i="18"/>
  <c r="E48" i="18"/>
  <c r="F48" i="18"/>
  <c r="H48" i="18"/>
  <c r="I48" i="18"/>
  <c r="J48" i="18"/>
  <c r="K48" i="18"/>
  <c r="L48" i="18"/>
  <c r="M48" i="18"/>
  <c r="N48" i="18"/>
  <c r="O48" i="18"/>
  <c r="P48" i="18"/>
  <c r="G48" i="18"/>
  <c r="H192" i="18"/>
  <c r="D191" i="18"/>
  <c r="G198" i="18" s="1"/>
  <c r="K198" i="18" s="1"/>
  <c r="H190" i="18"/>
  <c r="I190" i="18" s="1"/>
  <c r="J190" i="18" s="1"/>
  <c r="J191" i="18" s="1"/>
  <c r="H188" i="18"/>
  <c r="H186" i="18"/>
  <c r="H185" i="18"/>
  <c r="I185" i="18" s="1"/>
  <c r="J185" i="18" s="1"/>
  <c r="G200" i="18" l="1"/>
  <c r="G203" i="18"/>
  <c r="D193" i="18"/>
  <c r="K201" i="18"/>
  <c r="Q48" i="18"/>
  <c r="K200" i="18"/>
  <c r="I186" i="18"/>
  <c r="J186" i="18" s="1"/>
  <c r="I192" i="18"/>
  <c r="J192" i="18" s="1"/>
  <c r="J193" i="18" s="1"/>
  <c r="H83" i="18"/>
  <c r="I83" i="18"/>
  <c r="J83" i="18"/>
  <c r="K83" i="18"/>
  <c r="L83" i="18"/>
  <c r="M83" i="18"/>
  <c r="N83" i="18"/>
  <c r="O83" i="18"/>
  <c r="P83" i="18"/>
  <c r="G83" i="18"/>
  <c r="G122" i="18"/>
  <c r="G121" i="18"/>
  <c r="AD14" i="18"/>
  <c r="R14" i="18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Q14" i="18"/>
  <c r="T186" i="18"/>
  <c r="T185" i="18"/>
  <c r="O186" i="18"/>
  <c r="O189" i="18" s="1"/>
  <c r="O185" i="18"/>
  <c r="H89" i="18"/>
  <c r="I89" i="18"/>
  <c r="J89" i="18"/>
  <c r="K89" i="18"/>
  <c r="L89" i="18"/>
  <c r="M89" i="18"/>
  <c r="N89" i="18"/>
  <c r="O89" i="18"/>
  <c r="P89" i="18"/>
  <c r="G89" i="18"/>
  <c r="H86" i="18"/>
  <c r="I86" i="18"/>
  <c r="J86" i="18"/>
  <c r="K86" i="18"/>
  <c r="L86" i="18"/>
  <c r="M86" i="18"/>
  <c r="N86" i="18"/>
  <c r="O86" i="18"/>
  <c r="P86" i="18"/>
  <c r="G86" i="18"/>
  <c r="H87" i="18"/>
  <c r="I87" i="18"/>
  <c r="J87" i="18"/>
  <c r="K87" i="18"/>
  <c r="L87" i="18"/>
  <c r="M87" i="18"/>
  <c r="N87" i="18"/>
  <c r="O87" i="18"/>
  <c r="P87" i="18"/>
  <c r="G87" i="18"/>
  <c r="H117" i="18"/>
  <c r="H118" i="18" s="1"/>
  <c r="I117" i="18"/>
  <c r="I118" i="18" s="1"/>
  <c r="J117" i="18"/>
  <c r="J118" i="18" s="1"/>
  <c r="K117" i="18"/>
  <c r="K118" i="18" s="1"/>
  <c r="L117" i="18"/>
  <c r="L118" i="18" s="1"/>
  <c r="M117" i="18"/>
  <c r="M118" i="18" s="1"/>
  <c r="N117" i="18"/>
  <c r="N118" i="18" s="1"/>
  <c r="O117" i="18"/>
  <c r="O118" i="18" s="1"/>
  <c r="P117" i="18"/>
  <c r="P118" i="18" s="1"/>
  <c r="G117" i="18"/>
  <c r="G118" i="18" s="1"/>
  <c r="I187" i="18" l="1"/>
  <c r="J187" i="18" s="1"/>
  <c r="I188" i="18" s="1"/>
  <c r="J188" i="18" s="1"/>
  <c r="J189" i="18" s="1"/>
  <c r="Q121" i="18"/>
  <c r="Q122" i="18"/>
  <c r="Q83" i="18"/>
  <c r="Q89" i="18"/>
  <c r="AC14" i="18"/>
  <c r="AE14" i="18"/>
  <c r="Q86" i="18"/>
  <c r="Q118" i="18"/>
  <c r="Q117" i="18"/>
  <c r="Q87" i="18"/>
  <c r="P82" i="18"/>
  <c r="P81" i="18"/>
  <c r="E82" i="18"/>
  <c r="F82" i="18"/>
  <c r="H82" i="18"/>
  <c r="I82" i="18"/>
  <c r="J82" i="18"/>
  <c r="K82" i="18"/>
  <c r="L82" i="18"/>
  <c r="M82" i="18"/>
  <c r="N82" i="18"/>
  <c r="O82" i="18"/>
  <c r="G82" i="18"/>
  <c r="G81" i="18"/>
  <c r="H115" i="18"/>
  <c r="I115" i="18"/>
  <c r="J115" i="18"/>
  <c r="K115" i="18"/>
  <c r="L115" i="18"/>
  <c r="M115" i="18"/>
  <c r="N115" i="18"/>
  <c r="O115" i="18"/>
  <c r="P115" i="18"/>
  <c r="G115" i="18"/>
  <c r="H114" i="18"/>
  <c r="I114" i="18"/>
  <c r="J114" i="18"/>
  <c r="K114" i="18"/>
  <c r="L114" i="18"/>
  <c r="M114" i="18"/>
  <c r="N114" i="18"/>
  <c r="O114" i="18"/>
  <c r="P114" i="18"/>
  <c r="G114" i="18"/>
  <c r="H111" i="18"/>
  <c r="I111" i="18"/>
  <c r="J111" i="18"/>
  <c r="K111" i="18"/>
  <c r="L111" i="18"/>
  <c r="M111" i="18"/>
  <c r="N111" i="18"/>
  <c r="O111" i="18"/>
  <c r="P111" i="18"/>
  <c r="G111" i="18"/>
  <c r="H112" i="18"/>
  <c r="I112" i="18"/>
  <c r="J112" i="18"/>
  <c r="K112" i="18"/>
  <c r="L112" i="18"/>
  <c r="M112" i="18"/>
  <c r="N112" i="18"/>
  <c r="O112" i="18"/>
  <c r="P112" i="18"/>
  <c r="G112" i="18"/>
  <c r="H110" i="18"/>
  <c r="I110" i="18"/>
  <c r="J110" i="18"/>
  <c r="K110" i="18"/>
  <c r="L110" i="18"/>
  <c r="M110" i="18"/>
  <c r="N110" i="18"/>
  <c r="O110" i="18"/>
  <c r="P110" i="18"/>
  <c r="G110" i="18"/>
  <c r="H109" i="18"/>
  <c r="I109" i="18"/>
  <c r="J109" i="18"/>
  <c r="K109" i="18"/>
  <c r="L109" i="18"/>
  <c r="M109" i="18"/>
  <c r="N109" i="18"/>
  <c r="O109" i="18"/>
  <c r="P109" i="18"/>
  <c r="G109" i="18"/>
  <c r="R155" i="18"/>
  <c r="H106" i="18"/>
  <c r="I106" i="18"/>
  <c r="J106" i="18"/>
  <c r="K106" i="18"/>
  <c r="L106" i="18"/>
  <c r="M106" i="18"/>
  <c r="N106" i="18"/>
  <c r="O106" i="18"/>
  <c r="P106" i="18"/>
  <c r="G106" i="18"/>
  <c r="H105" i="18"/>
  <c r="I105" i="18"/>
  <c r="J105" i="18"/>
  <c r="K105" i="18"/>
  <c r="L105" i="18"/>
  <c r="M105" i="18"/>
  <c r="N105" i="18"/>
  <c r="O105" i="18"/>
  <c r="P105" i="18"/>
  <c r="G105" i="18"/>
  <c r="H104" i="18"/>
  <c r="I104" i="18"/>
  <c r="J104" i="18"/>
  <c r="K104" i="18"/>
  <c r="L104" i="18"/>
  <c r="M104" i="18"/>
  <c r="N104" i="18"/>
  <c r="O104" i="18"/>
  <c r="P104" i="18"/>
  <c r="G104" i="18"/>
  <c r="B106" i="18"/>
  <c r="B105" i="18"/>
  <c r="K170" i="18"/>
  <c r="K169" i="18"/>
  <c r="K168" i="18"/>
  <c r="AD32" i="18"/>
  <c r="R32" i="18"/>
  <c r="S32" i="18" s="1"/>
  <c r="T32" i="18" s="1"/>
  <c r="U32" i="18" s="1"/>
  <c r="V32" i="18" s="1"/>
  <c r="W32" i="18" s="1"/>
  <c r="X32" i="18" s="1"/>
  <c r="Y32" i="18" s="1"/>
  <c r="Z32" i="18" s="1"/>
  <c r="AA32" i="18" s="1"/>
  <c r="AB32" i="18" s="1"/>
  <c r="Q32" i="18"/>
  <c r="G94" i="18"/>
  <c r="H94" i="18"/>
  <c r="I94" i="18"/>
  <c r="J94" i="18"/>
  <c r="K94" i="18"/>
  <c r="L94" i="18"/>
  <c r="M94" i="18"/>
  <c r="N94" i="18"/>
  <c r="O94" i="18"/>
  <c r="P94" i="18"/>
  <c r="S190" i="18"/>
  <c r="N189" i="18"/>
  <c r="S187" i="18"/>
  <c r="T187" i="18" s="1"/>
  <c r="T192" i="18" s="1"/>
  <c r="N187" i="18"/>
  <c r="O187" i="18" s="1"/>
  <c r="O192" i="18" s="1"/>
  <c r="F102" i="18"/>
  <c r="H102" i="18"/>
  <c r="I102" i="18"/>
  <c r="J102" i="18"/>
  <c r="K102" i="18"/>
  <c r="L102" i="18"/>
  <c r="M102" i="18"/>
  <c r="N102" i="18"/>
  <c r="O102" i="18"/>
  <c r="P102" i="18"/>
  <c r="G102" i="18"/>
  <c r="F101" i="18"/>
  <c r="H101" i="18"/>
  <c r="I101" i="18"/>
  <c r="J101" i="18"/>
  <c r="K101" i="18"/>
  <c r="L101" i="18"/>
  <c r="M101" i="18"/>
  <c r="N101" i="18"/>
  <c r="O101" i="18"/>
  <c r="P101" i="18"/>
  <c r="G101" i="18"/>
  <c r="Q112" i="18" l="1"/>
  <c r="Q82" i="18"/>
  <c r="Q109" i="18"/>
  <c r="Q115" i="18"/>
  <c r="Q114" i="18"/>
  <c r="Q110" i="18"/>
  <c r="Q111" i="18"/>
  <c r="Q104" i="18"/>
  <c r="Q105" i="18"/>
  <c r="Q106" i="18"/>
  <c r="Q94" i="18"/>
  <c r="AC32" i="18"/>
  <c r="AE32" i="18"/>
  <c r="N192" i="18"/>
  <c r="S192" i="18"/>
  <c r="Q102" i="18"/>
  <c r="Q101" i="18"/>
  <c r="R9" i="18"/>
  <c r="R10" i="18"/>
  <c r="R12" i="18"/>
  <c r="R13" i="18"/>
  <c r="R15" i="18"/>
  <c r="R16" i="18"/>
  <c r="R18" i="18"/>
  <c r="R20" i="18"/>
  <c r="R21" i="18"/>
  <c r="R22" i="18"/>
  <c r="R23" i="18"/>
  <c r="R25" i="18"/>
  <c r="R27" i="18"/>
  <c r="R29" i="18"/>
  <c r="R31" i="18"/>
  <c r="S31" i="18" s="1"/>
  <c r="T31" i="18" s="1"/>
  <c r="U31" i="18" s="1"/>
  <c r="V31" i="18" s="1"/>
  <c r="W31" i="18" s="1"/>
  <c r="X31" i="18" s="1"/>
  <c r="Y31" i="18" s="1"/>
  <c r="Z31" i="18" s="1"/>
  <c r="AA31" i="18" s="1"/>
  <c r="AB31" i="18" s="1"/>
  <c r="R33" i="18"/>
  <c r="R34" i="18"/>
  <c r="R36" i="18"/>
  <c r="R38" i="18"/>
  <c r="R7" i="18"/>
  <c r="R6" i="18"/>
  <c r="AD9" i="18"/>
  <c r="AD10" i="18"/>
  <c r="AD11" i="18"/>
  <c r="AD12" i="18"/>
  <c r="AD13" i="18"/>
  <c r="AD15" i="18"/>
  <c r="AD16" i="18"/>
  <c r="AD18" i="18"/>
  <c r="AD20" i="18"/>
  <c r="AD21" i="18"/>
  <c r="AD22" i="18"/>
  <c r="AD23" i="18"/>
  <c r="AD25" i="18"/>
  <c r="AD27" i="18"/>
  <c r="AD29" i="18"/>
  <c r="AD31" i="18"/>
  <c r="AD33" i="18"/>
  <c r="AD34" i="18"/>
  <c r="AD36" i="18"/>
  <c r="AD38" i="18"/>
  <c r="AD40" i="18"/>
  <c r="AD41" i="18"/>
  <c r="AD44" i="18"/>
  <c r="AD45" i="18"/>
  <c r="AD47" i="18"/>
  <c r="AD49" i="18"/>
  <c r="AD50" i="18"/>
  <c r="AD51" i="18"/>
  <c r="AD53" i="18"/>
  <c r="AD54" i="18"/>
  <c r="AD55" i="18"/>
  <c r="AD57" i="18"/>
  <c r="AD58" i="18"/>
  <c r="AD59" i="18"/>
  <c r="AD60" i="18"/>
  <c r="AD62" i="18"/>
  <c r="AD63" i="18"/>
  <c r="AD65" i="18"/>
  <c r="AD67" i="18"/>
  <c r="AD68" i="18"/>
  <c r="AD69" i="18"/>
  <c r="AD70" i="18"/>
  <c r="AD71" i="18"/>
  <c r="AD73" i="18"/>
  <c r="AD74" i="18"/>
  <c r="AD75" i="18"/>
  <c r="AD7" i="18"/>
  <c r="AD6" i="18"/>
  <c r="Q91" i="18" l="1"/>
  <c r="H85" i="18"/>
  <c r="I85" i="18"/>
  <c r="J85" i="18"/>
  <c r="K85" i="18"/>
  <c r="L85" i="18"/>
  <c r="M85" i="18"/>
  <c r="N85" i="18"/>
  <c r="O85" i="18"/>
  <c r="P85" i="18"/>
  <c r="H88" i="18"/>
  <c r="I88" i="18"/>
  <c r="J88" i="18"/>
  <c r="K88" i="18"/>
  <c r="L88" i="18"/>
  <c r="M88" i="18"/>
  <c r="N88" i="18"/>
  <c r="O88" i="18"/>
  <c r="P88" i="18"/>
  <c r="G88" i="18"/>
  <c r="G85" i="18"/>
  <c r="S29" i="18"/>
  <c r="Q29" i="18"/>
  <c r="T29" i="18" l="1"/>
  <c r="Q88" i="18"/>
  <c r="Q85" i="18"/>
  <c r="H93" i="18"/>
  <c r="I93" i="18"/>
  <c r="J93" i="18"/>
  <c r="K93" i="18"/>
  <c r="L93" i="18"/>
  <c r="M93" i="18"/>
  <c r="N93" i="18"/>
  <c r="O93" i="18"/>
  <c r="P93" i="18"/>
  <c r="G93" i="18"/>
  <c r="H92" i="18"/>
  <c r="I92" i="18"/>
  <c r="J92" i="18"/>
  <c r="K92" i="18"/>
  <c r="L92" i="18"/>
  <c r="M92" i="18"/>
  <c r="N92" i="18"/>
  <c r="O92" i="18"/>
  <c r="P92" i="18"/>
  <c r="G92" i="18"/>
  <c r="U29" i="18" l="1"/>
  <c r="Q92" i="18"/>
  <c r="Q93" i="18"/>
  <c r="AE62" i="18"/>
  <c r="V29" i="18" l="1"/>
  <c r="C163" i="18"/>
  <c r="D163" i="18"/>
  <c r="E163" i="18"/>
  <c r="F163" i="18"/>
  <c r="G163" i="18"/>
  <c r="H163" i="18"/>
  <c r="I163" i="18"/>
  <c r="J163" i="18"/>
  <c r="K163" i="18"/>
  <c r="L163" i="18"/>
  <c r="M163" i="18"/>
  <c r="N163" i="18"/>
  <c r="O163" i="18"/>
  <c r="P163" i="18"/>
  <c r="C9" i="15"/>
  <c r="D63" i="18"/>
  <c r="E63" i="18"/>
  <c r="E96" i="18" s="1"/>
  <c r="E97" i="18" s="1"/>
  <c r="F63" i="18"/>
  <c r="F96" i="18" s="1"/>
  <c r="F97" i="18" s="1"/>
  <c r="G63" i="18"/>
  <c r="G96" i="18" s="1"/>
  <c r="G97" i="18" s="1"/>
  <c r="H63" i="18"/>
  <c r="H96" i="18" s="1"/>
  <c r="H97" i="18" s="1"/>
  <c r="I63" i="18"/>
  <c r="I96" i="18" s="1"/>
  <c r="I97" i="18" s="1"/>
  <c r="J63" i="18"/>
  <c r="J96" i="18" s="1"/>
  <c r="J97" i="18" s="1"/>
  <c r="K63" i="18"/>
  <c r="K96" i="18" s="1"/>
  <c r="K97" i="18" s="1"/>
  <c r="L63" i="18"/>
  <c r="L96" i="18" s="1"/>
  <c r="L97" i="18" s="1"/>
  <c r="M63" i="18"/>
  <c r="M96" i="18" s="1"/>
  <c r="M97" i="18" s="1"/>
  <c r="N63" i="18"/>
  <c r="N96" i="18" s="1"/>
  <c r="N97" i="18" s="1"/>
  <c r="O63" i="18"/>
  <c r="O96" i="18" s="1"/>
  <c r="O97" i="18" s="1"/>
  <c r="P63" i="18"/>
  <c r="P96" i="18" s="1"/>
  <c r="C63" i="18"/>
  <c r="S41" i="18"/>
  <c r="Q41" i="18"/>
  <c r="S63" i="18" l="1"/>
  <c r="S96" i="18" s="1"/>
  <c r="S97" i="18" s="1"/>
  <c r="W29" i="18"/>
  <c r="Q163" i="18"/>
  <c r="N98" i="18"/>
  <c r="N99" i="18" s="1"/>
  <c r="J98" i="18"/>
  <c r="J99" i="18" s="1"/>
  <c r="L98" i="18"/>
  <c r="L99" i="18" s="1"/>
  <c r="H98" i="18"/>
  <c r="H99" i="18" s="1"/>
  <c r="M98" i="18"/>
  <c r="M99" i="18" s="1"/>
  <c r="I98" i="18"/>
  <c r="I99" i="18" s="1"/>
  <c r="F98" i="18"/>
  <c r="F99" i="18" s="1"/>
  <c r="O98" i="18"/>
  <c r="O99" i="18" s="1"/>
  <c r="K98" i="18"/>
  <c r="K99" i="18" s="1"/>
  <c r="G98" i="18"/>
  <c r="G99" i="18" s="1"/>
  <c r="P97" i="18"/>
  <c r="Q96" i="18"/>
  <c r="T41" i="18"/>
  <c r="U41" i="18" l="1"/>
  <c r="X29" i="18"/>
  <c r="P98" i="18"/>
  <c r="Q97" i="18"/>
  <c r="T63" i="18"/>
  <c r="C73" i="18"/>
  <c r="D73" i="18"/>
  <c r="E73" i="18"/>
  <c r="F73" i="18"/>
  <c r="G73" i="18"/>
  <c r="G119" i="18" s="1"/>
  <c r="H73" i="18"/>
  <c r="H119" i="18" s="1"/>
  <c r="I73" i="18"/>
  <c r="I119" i="18" s="1"/>
  <c r="J73" i="18"/>
  <c r="J119" i="18" s="1"/>
  <c r="K73" i="18"/>
  <c r="K119" i="18" s="1"/>
  <c r="L73" i="18"/>
  <c r="L119" i="18" s="1"/>
  <c r="M73" i="18"/>
  <c r="M119" i="18" s="1"/>
  <c r="N73" i="18"/>
  <c r="N119" i="18" s="1"/>
  <c r="O73" i="18"/>
  <c r="O119" i="18" s="1"/>
  <c r="C74" i="18"/>
  <c r="D74" i="18"/>
  <c r="E74" i="18"/>
  <c r="F74" i="18"/>
  <c r="G74" i="18"/>
  <c r="H74" i="18"/>
  <c r="I74" i="18"/>
  <c r="J74" i="18"/>
  <c r="K74" i="18"/>
  <c r="L74" i="18"/>
  <c r="M74" i="18"/>
  <c r="N74" i="18"/>
  <c r="O74" i="18"/>
  <c r="C75" i="18"/>
  <c r="D75" i="18"/>
  <c r="E75" i="18"/>
  <c r="F75" i="18"/>
  <c r="G75" i="18"/>
  <c r="H75" i="18"/>
  <c r="I75" i="18"/>
  <c r="J75" i="18"/>
  <c r="K75" i="18"/>
  <c r="L75" i="18"/>
  <c r="M75" i="18"/>
  <c r="N75" i="18"/>
  <c r="O75" i="18"/>
  <c r="P75" i="18"/>
  <c r="P74" i="18"/>
  <c r="P73" i="18"/>
  <c r="P119" i="18" s="1"/>
  <c r="E81" i="18"/>
  <c r="F81" i="18"/>
  <c r="H81" i="18"/>
  <c r="I81" i="18"/>
  <c r="J81" i="18"/>
  <c r="K81" i="18"/>
  <c r="L81" i="18"/>
  <c r="M81" i="18"/>
  <c r="N81" i="18"/>
  <c r="O81" i="18"/>
  <c r="E79" i="18"/>
  <c r="E80" i="18"/>
  <c r="F80" i="18"/>
  <c r="G80" i="18"/>
  <c r="H80" i="18"/>
  <c r="I80" i="18"/>
  <c r="J80" i="18"/>
  <c r="K80" i="18"/>
  <c r="L80" i="18"/>
  <c r="M80" i="18"/>
  <c r="N80" i="18"/>
  <c r="O80" i="18"/>
  <c r="F79" i="18"/>
  <c r="G79" i="18"/>
  <c r="H79" i="18"/>
  <c r="I79" i="18"/>
  <c r="J79" i="18"/>
  <c r="K79" i="18"/>
  <c r="L79" i="18"/>
  <c r="M79" i="18"/>
  <c r="N79" i="18"/>
  <c r="O79" i="18"/>
  <c r="P80" i="18"/>
  <c r="V41" i="18" l="1"/>
  <c r="U63" i="18"/>
  <c r="Q119" i="18"/>
  <c r="Y29" i="18"/>
  <c r="Q75" i="18"/>
  <c r="Q73" i="18"/>
  <c r="Q74" i="18"/>
  <c r="Q80" i="18"/>
  <c r="Q81" i="18"/>
  <c r="P79" i="18"/>
  <c r="Q79" i="18" s="1"/>
  <c r="C178" i="18"/>
  <c r="D178" i="18"/>
  <c r="E178" i="18"/>
  <c r="F178" i="18"/>
  <c r="C179" i="18"/>
  <c r="D179" i="18"/>
  <c r="E179" i="18"/>
  <c r="F179" i="18"/>
  <c r="C180" i="18"/>
  <c r="D180" i="18"/>
  <c r="E180" i="18"/>
  <c r="F180" i="18"/>
  <c r="H180" i="18"/>
  <c r="I180" i="18"/>
  <c r="J180" i="18"/>
  <c r="K180" i="18"/>
  <c r="L180" i="18"/>
  <c r="M180" i="18"/>
  <c r="N180" i="18"/>
  <c r="O180" i="18"/>
  <c r="P180" i="18"/>
  <c r="G180" i="18"/>
  <c r="H179" i="18"/>
  <c r="I179" i="18"/>
  <c r="J179" i="18"/>
  <c r="K179" i="18"/>
  <c r="L179" i="18"/>
  <c r="M179" i="18"/>
  <c r="N179" i="18"/>
  <c r="O179" i="18"/>
  <c r="P179" i="18"/>
  <c r="G179" i="18"/>
  <c r="H178" i="18"/>
  <c r="I178" i="18"/>
  <c r="J178" i="18"/>
  <c r="K178" i="18"/>
  <c r="L178" i="18"/>
  <c r="M178" i="18"/>
  <c r="N178" i="18"/>
  <c r="O178" i="18"/>
  <c r="P178" i="18"/>
  <c r="G178" i="18"/>
  <c r="H45" i="18"/>
  <c r="I45" i="18"/>
  <c r="J45" i="18"/>
  <c r="K45" i="18"/>
  <c r="L45" i="18"/>
  <c r="M45" i="18"/>
  <c r="N45" i="18"/>
  <c r="O45" i="18"/>
  <c r="P45" i="18"/>
  <c r="C45" i="18"/>
  <c r="D45" i="18"/>
  <c r="E45" i="18"/>
  <c r="F45" i="18"/>
  <c r="G45" i="18"/>
  <c r="G47" i="18"/>
  <c r="G162" i="18" s="1"/>
  <c r="H44" i="18"/>
  <c r="H156" i="18" s="1"/>
  <c r="I44" i="18"/>
  <c r="I156" i="18" s="1"/>
  <c r="J44" i="18"/>
  <c r="J156" i="18" s="1"/>
  <c r="K44" i="18"/>
  <c r="K156" i="18" s="1"/>
  <c r="L44" i="18"/>
  <c r="L156" i="18" s="1"/>
  <c r="M44" i="18"/>
  <c r="M156" i="18" s="1"/>
  <c r="N44" i="18"/>
  <c r="N156" i="18" s="1"/>
  <c r="O44" i="18"/>
  <c r="O156" i="18" s="1"/>
  <c r="P44" i="18"/>
  <c r="P156" i="18" s="1"/>
  <c r="M171" i="18" s="1"/>
  <c r="C44" i="18"/>
  <c r="C156" i="18" s="1"/>
  <c r="D44" i="18"/>
  <c r="D156" i="18" s="1"/>
  <c r="E44" i="18"/>
  <c r="E156" i="18" s="1"/>
  <c r="F44" i="18"/>
  <c r="F156" i="18" s="1"/>
  <c r="G44" i="18"/>
  <c r="G156" i="18" s="1"/>
  <c r="Q40" i="18"/>
  <c r="S36" i="18"/>
  <c r="S86" i="18" s="1"/>
  <c r="Q36" i="18"/>
  <c r="W41" i="18" l="1"/>
  <c r="V63" i="18"/>
  <c r="Q156" i="18"/>
  <c r="Z29" i="18"/>
  <c r="T36" i="18"/>
  <c r="T86" i="18" s="1"/>
  <c r="Q180" i="18"/>
  <c r="Q45" i="18"/>
  <c r="Q44" i="18"/>
  <c r="Q179" i="18"/>
  <c r="Q178" i="18"/>
  <c r="Q31" i="18"/>
  <c r="Q34" i="18"/>
  <c r="X41" i="18" l="1"/>
  <c r="W63" i="18"/>
  <c r="AA29" i="18"/>
  <c r="U36" i="18"/>
  <c r="U86" i="18" s="1"/>
  <c r="I70" i="18"/>
  <c r="J70" i="18"/>
  <c r="K70" i="18"/>
  <c r="L70" i="18"/>
  <c r="M70" i="18"/>
  <c r="N70" i="18"/>
  <c r="O70" i="18"/>
  <c r="P70" i="18"/>
  <c r="I71" i="18"/>
  <c r="J71" i="18"/>
  <c r="K71" i="18"/>
  <c r="L71" i="18"/>
  <c r="M71" i="18"/>
  <c r="N71" i="18"/>
  <c r="O71" i="18"/>
  <c r="P71" i="18"/>
  <c r="I65" i="18"/>
  <c r="I67" i="18" s="1"/>
  <c r="J65" i="18"/>
  <c r="J67" i="18" s="1"/>
  <c r="K65" i="18"/>
  <c r="K67" i="18" s="1"/>
  <c r="L65" i="18"/>
  <c r="L67" i="18" s="1"/>
  <c r="M65" i="18"/>
  <c r="M67" i="18" s="1"/>
  <c r="N65" i="18"/>
  <c r="N67" i="18" s="1"/>
  <c r="O65" i="18"/>
  <c r="O67" i="18" s="1"/>
  <c r="P65" i="18"/>
  <c r="P67" i="18" s="1"/>
  <c r="I68" i="18"/>
  <c r="J68" i="18"/>
  <c r="K68" i="18"/>
  <c r="L68" i="18"/>
  <c r="M68" i="18"/>
  <c r="N68" i="18"/>
  <c r="O68" i="18"/>
  <c r="P68" i="18"/>
  <c r="I69" i="18"/>
  <c r="J69" i="18"/>
  <c r="K69" i="18"/>
  <c r="L69" i="18"/>
  <c r="M69" i="18"/>
  <c r="N69" i="18"/>
  <c r="O69" i="18"/>
  <c r="P69" i="18"/>
  <c r="C68" i="18"/>
  <c r="D68" i="18"/>
  <c r="E68" i="18"/>
  <c r="F68" i="18"/>
  <c r="G68" i="18"/>
  <c r="C69" i="18"/>
  <c r="D69" i="18"/>
  <c r="E69" i="18"/>
  <c r="F69" i="18"/>
  <c r="G69" i="18"/>
  <c r="C70" i="18"/>
  <c r="D70" i="18"/>
  <c r="E70" i="18"/>
  <c r="F70" i="18"/>
  <c r="G70" i="18"/>
  <c r="C71" i="18"/>
  <c r="D71" i="18"/>
  <c r="E71" i="18"/>
  <c r="F71" i="18"/>
  <c r="G71" i="18"/>
  <c r="H71" i="18"/>
  <c r="H70" i="18"/>
  <c r="S23" i="18"/>
  <c r="Q23" i="18"/>
  <c r="S22" i="18"/>
  <c r="T22" i="18" s="1"/>
  <c r="U22" i="18" s="1"/>
  <c r="V22" i="18" s="1"/>
  <c r="W22" i="18" s="1"/>
  <c r="X22" i="18" s="1"/>
  <c r="Y22" i="18" s="1"/>
  <c r="Z22" i="18" s="1"/>
  <c r="AA22" i="18" s="1"/>
  <c r="AB22" i="18" s="1"/>
  <c r="S21" i="18"/>
  <c r="Q20" i="18"/>
  <c r="C65" i="18"/>
  <c r="C67" i="18" s="1"/>
  <c r="D65" i="18"/>
  <c r="D67" i="18" s="1"/>
  <c r="E65" i="18"/>
  <c r="E67" i="18" s="1"/>
  <c r="F65" i="18"/>
  <c r="F67" i="18" s="1"/>
  <c r="G65" i="18"/>
  <c r="G67" i="18" s="1"/>
  <c r="H65" i="18"/>
  <c r="H67" i="18" s="1"/>
  <c r="H69" i="18"/>
  <c r="H68" i="18"/>
  <c r="Y41" i="18" l="1"/>
  <c r="X63" i="18"/>
  <c r="T23" i="18"/>
  <c r="S89" i="18"/>
  <c r="AB29" i="18"/>
  <c r="AE31" i="18"/>
  <c r="AC31" i="18"/>
  <c r="AC22" i="18"/>
  <c r="AE22" i="18"/>
  <c r="V36" i="18"/>
  <c r="V86" i="18" s="1"/>
  <c r="Q70" i="18"/>
  <c r="Q71" i="18"/>
  <c r="Q69" i="18"/>
  <c r="Q67" i="18"/>
  <c r="Q68" i="18"/>
  <c r="Q22" i="18"/>
  <c r="Q21" i="18"/>
  <c r="Q65" i="18"/>
  <c r="S20" i="18"/>
  <c r="S48" i="18" s="1"/>
  <c r="T21" i="18"/>
  <c r="Q63" i="18"/>
  <c r="Q155" i="18"/>
  <c r="Y63" i="18" l="1"/>
  <c r="Z41" i="18"/>
  <c r="U23" i="18"/>
  <c r="T89" i="18"/>
  <c r="AE29" i="18"/>
  <c r="AC29" i="18"/>
  <c r="T20" i="18"/>
  <c r="S65" i="18"/>
  <c r="U21" i="18"/>
  <c r="C19" i="15"/>
  <c r="S9" i="18"/>
  <c r="T9" i="18" s="1"/>
  <c r="U9" i="18" s="1"/>
  <c r="V9" i="18" s="1"/>
  <c r="W9" i="18" s="1"/>
  <c r="X9" i="18" s="1"/>
  <c r="Y9" i="18" s="1"/>
  <c r="Z9" i="18" s="1"/>
  <c r="AA9" i="18" s="1"/>
  <c r="AB9" i="18" s="1"/>
  <c r="AE9" i="18" s="1"/>
  <c r="Q38" i="18"/>
  <c r="Q33" i="18"/>
  <c r="Q27" i="18"/>
  <c r="Q25" i="18"/>
  <c r="Q18" i="18"/>
  <c r="Q16" i="18"/>
  <c r="Q15" i="18"/>
  <c r="Q13" i="18"/>
  <c r="Q12" i="18"/>
  <c r="Q10" i="18"/>
  <c r="Q9" i="18"/>
  <c r="Q7" i="18"/>
  <c r="Q6" i="18"/>
  <c r="S18" i="18"/>
  <c r="S25" i="18"/>
  <c r="S83" i="18" s="1"/>
  <c r="S27" i="18"/>
  <c r="S33" i="18"/>
  <c r="T33" i="18" s="1"/>
  <c r="U33" i="18" s="1"/>
  <c r="V33" i="18" s="1"/>
  <c r="W33" i="18" s="1"/>
  <c r="X33" i="18" s="1"/>
  <c r="Y33" i="18" s="1"/>
  <c r="Z33" i="18" s="1"/>
  <c r="AA33" i="18" s="1"/>
  <c r="AB33" i="18" s="1"/>
  <c r="AE33" i="18" s="1"/>
  <c r="S34" i="18"/>
  <c r="T34" i="18" s="1"/>
  <c r="U34" i="18" s="1"/>
  <c r="V34" i="18" s="1"/>
  <c r="W34" i="18" s="1"/>
  <c r="X34" i="18" s="1"/>
  <c r="Y34" i="18" s="1"/>
  <c r="Z34" i="18" s="1"/>
  <c r="AA34" i="18" s="1"/>
  <c r="AB34" i="18" s="1"/>
  <c r="AE34" i="18" s="1"/>
  <c r="W36" i="18"/>
  <c r="W86" i="18" s="1"/>
  <c r="O61" i="18"/>
  <c r="O160" i="18" s="1"/>
  <c r="O60" i="18"/>
  <c r="O58" i="18"/>
  <c r="O57" i="18"/>
  <c r="O55" i="18"/>
  <c r="O161" i="18" s="1"/>
  <c r="O54" i="18"/>
  <c r="O53" i="18"/>
  <c r="O51" i="18"/>
  <c r="O50" i="18"/>
  <c r="O158" i="18" s="1"/>
  <c r="O49" i="18"/>
  <c r="O47" i="18"/>
  <c r="Z63" i="18" l="1"/>
  <c r="AA41" i="18"/>
  <c r="T65" i="18"/>
  <c r="S111" i="18"/>
  <c r="S121" i="18"/>
  <c r="S112" i="18"/>
  <c r="S122" i="18"/>
  <c r="V23" i="18"/>
  <c r="U89" i="18"/>
  <c r="S105" i="18"/>
  <c r="S106" i="18"/>
  <c r="S104" i="18"/>
  <c r="S94" i="18"/>
  <c r="P99" i="18"/>
  <c r="Q99" i="18" s="1"/>
  <c r="Q98" i="18"/>
  <c r="S85" i="18"/>
  <c r="S102" i="18"/>
  <c r="S101" i="18"/>
  <c r="T18" i="18"/>
  <c r="O157" i="18"/>
  <c r="O162" i="18"/>
  <c r="U20" i="18"/>
  <c r="T27" i="18"/>
  <c r="X36" i="18"/>
  <c r="X86" i="18" s="1"/>
  <c r="T25" i="18"/>
  <c r="T83" i="18" s="1"/>
  <c r="S79" i="18"/>
  <c r="V21" i="18"/>
  <c r="AC33" i="18"/>
  <c r="AC34" i="18"/>
  <c r="AC9" i="18"/>
  <c r="O59" i="18"/>
  <c r="O159" i="18" s="1"/>
  <c r="D55" i="18"/>
  <c r="E55" i="18"/>
  <c r="F55" i="18"/>
  <c r="G55" i="18"/>
  <c r="G161" i="18" s="1"/>
  <c r="H55" i="18"/>
  <c r="H161" i="18" s="1"/>
  <c r="I55" i="18"/>
  <c r="I161" i="18" s="1"/>
  <c r="J55" i="18"/>
  <c r="J161" i="18" s="1"/>
  <c r="K55" i="18"/>
  <c r="K161" i="18" s="1"/>
  <c r="L55" i="18"/>
  <c r="L161" i="18" s="1"/>
  <c r="M55" i="18"/>
  <c r="M161" i="18" s="1"/>
  <c r="N55" i="18"/>
  <c r="N161" i="18" s="1"/>
  <c r="P55" i="18"/>
  <c r="C55" i="18"/>
  <c r="C54" i="18"/>
  <c r="AB41" i="18" l="1"/>
  <c r="AA63" i="18"/>
  <c r="T112" i="18"/>
  <c r="T122" i="18"/>
  <c r="T111" i="18"/>
  <c r="T121" i="18"/>
  <c r="W23" i="18"/>
  <c r="V89" i="18"/>
  <c r="T104" i="18"/>
  <c r="T106" i="18"/>
  <c r="T105" i="18"/>
  <c r="T94" i="18"/>
  <c r="T85" i="18"/>
  <c r="T102" i="18"/>
  <c r="T101" i="18"/>
  <c r="U18" i="18"/>
  <c r="V20" i="18"/>
  <c r="U65" i="18"/>
  <c r="U27" i="18"/>
  <c r="U25" i="18"/>
  <c r="T79" i="18"/>
  <c r="Y36" i="18"/>
  <c r="Y86" i="18" s="1"/>
  <c r="W21" i="18"/>
  <c r="P161" i="18"/>
  <c r="Q161" i="18" s="1"/>
  <c r="Q55" i="18"/>
  <c r="D54" i="18"/>
  <c r="E54" i="18"/>
  <c r="F54" i="18"/>
  <c r="G54" i="18"/>
  <c r="H54" i="18"/>
  <c r="I54" i="18"/>
  <c r="J54" i="18"/>
  <c r="K54" i="18"/>
  <c r="L54" i="18"/>
  <c r="M54" i="18"/>
  <c r="N54" i="18"/>
  <c r="P54" i="18"/>
  <c r="D53" i="18"/>
  <c r="E53" i="18"/>
  <c r="F53" i="18"/>
  <c r="G53" i="18"/>
  <c r="H53" i="18"/>
  <c r="I53" i="18"/>
  <c r="J53" i="18"/>
  <c r="K53" i="18"/>
  <c r="L53" i="18"/>
  <c r="M53" i="18"/>
  <c r="N53" i="18"/>
  <c r="P53" i="18"/>
  <c r="C53" i="18"/>
  <c r="AE41" i="18" l="1"/>
  <c r="AB63" i="18"/>
  <c r="AC41" i="18"/>
  <c r="U111" i="18"/>
  <c r="U121" i="18"/>
  <c r="U112" i="18"/>
  <c r="U122" i="18"/>
  <c r="U83" i="18"/>
  <c r="X23" i="18"/>
  <c r="W89" i="18"/>
  <c r="U106" i="18"/>
  <c r="U105" i="18"/>
  <c r="U104" i="18"/>
  <c r="U94" i="18"/>
  <c r="U85" i="18"/>
  <c r="U102" i="18"/>
  <c r="U101" i="18"/>
  <c r="V18" i="18"/>
  <c r="W20" i="18"/>
  <c r="V65" i="18"/>
  <c r="V27" i="18"/>
  <c r="V25" i="18"/>
  <c r="V83" i="18" s="1"/>
  <c r="U79" i="18"/>
  <c r="Z36" i="18"/>
  <c r="Z86" i="18" s="1"/>
  <c r="X21" i="18"/>
  <c r="Q53" i="18"/>
  <c r="Q54" i="18"/>
  <c r="C46" i="15"/>
  <c r="S143" i="18" l="1"/>
  <c r="AE63" i="18"/>
  <c r="T143" i="18" s="1"/>
  <c r="AC63" i="18"/>
  <c r="V112" i="18"/>
  <c r="V122" i="18"/>
  <c r="V111" i="18"/>
  <c r="V121" i="18"/>
  <c r="Y23" i="18"/>
  <c r="X89" i="18"/>
  <c r="V94" i="18"/>
  <c r="V106" i="18"/>
  <c r="V105" i="18"/>
  <c r="V104" i="18"/>
  <c r="V85" i="18"/>
  <c r="V102" i="18"/>
  <c r="V101" i="18"/>
  <c r="W18" i="18"/>
  <c r="X20" i="18"/>
  <c r="W65" i="18"/>
  <c r="W27" i="18"/>
  <c r="W25" i="18"/>
  <c r="V79" i="18"/>
  <c r="AA36" i="18"/>
  <c r="AA86" i="18" s="1"/>
  <c r="Y21" i="18"/>
  <c r="S155" i="18"/>
  <c r="S163" i="18" s="1"/>
  <c r="C47" i="18"/>
  <c r="D47" i="18"/>
  <c r="E47" i="18"/>
  <c r="F47" i="18"/>
  <c r="H47" i="18"/>
  <c r="I47" i="18"/>
  <c r="J47" i="18"/>
  <c r="K47" i="18"/>
  <c r="L47" i="18"/>
  <c r="L162" i="18" s="1"/>
  <c r="M47" i="18"/>
  <c r="N47" i="18"/>
  <c r="N162" i="18" s="1"/>
  <c r="P47" i="18"/>
  <c r="D61" i="18"/>
  <c r="D160" i="18" s="1"/>
  <c r="E61" i="18"/>
  <c r="E160" i="18" s="1"/>
  <c r="F61" i="18"/>
  <c r="F160" i="18" s="1"/>
  <c r="G61" i="18"/>
  <c r="H61" i="18"/>
  <c r="H160" i="18" s="1"/>
  <c r="I61" i="18"/>
  <c r="I160" i="18" s="1"/>
  <c r="J61" i="18"/>
  <c r="J160" i="18" s="1"/>
  <c r="K61" i="18"/>
  <c r="K160" i="18" s="1"/>
  <c r="L61" i="18"/>
  <c r="L160" i="18" s="1"/>
  <c r="M61" i="18"/>
  <c r="M160" i="18" s="1"/>
  <c r="N61" i="18"/>
  <c r="P61" i="18"/>
  <c r="D60" i="18"/>
  <c r="E60" i="18"/>
  <c r="F60" i="18"/>
  <c r="G60" i="18"/>
  <c r="H60" i="18"/>
  <c r="I60" i="18"/>
  <c r="J60" i="18"/>
  <c r="K60" i="18"/>
  <c r="L60" i="18"/>
  <c r="M60" i="18"/>
  <c r="N60" i="18"/>
  <c r="P60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D57" i="18"/>
  <c r="D59" i="18" s="1"/>
  <c r="D159" i="18" s="1"/>
  <c r="E57" i="18"/>
  <c r="E59" i="18" s="1"/>
  <c r="E159" i="18" s="1"/>
  <c r="F57" i="18"/>
  <c r="G57" i="18"/>
  <c r="H57" i="18"/>
  <c r="I57" i="18"/>
  <c r="J57" i="18"/>
  <c r="K57" i="18"/>
  <c r="L57" i="18"/>
  <c r="M57" i="18"/>
  <c r="N57" i="18"/>
  <c r="P57" i="18"/>
  <c r="D51" i="18"/>
  <c r="E51" i="18"/>
  <c r="F51" i="18"/>
  <c r="G51" i="18"/>
  <c r="H51" i="18"/>
  <c r="I51" i="18"/>
  <c r="J51" i="18"/>
  <c r="K51" i="18"/>
  <c r="L51" i="18"/>
  <c r="M51" i="18"/>
  <c r="N51" i="18"/>
  <c r="P51" i="18"/>
  <c r="D50" i="18"/>
  <c r="D158" i="18" s="1"/>
  <c r="E50" i="18"/>
  <c r="E158" i="18" s="1"/>
  <c r="F50" i="18"/>
  <c r="F158" i="18" s="1"/>
  <c r="G50" i="18"/>
  <c r="H50" i="18"/>
  <c r="H158" i="18" s="1"/>
  <c r="I50" i="18"/>
  <c r="I158" i="18" s="1"/>
  <c r="J50" i="18"/>
  <c r="J158" i="18" s="1"/>
  <c r="K50" i="18"/>
  <c r="K158" i="18" s="1"/>
  <c r="L50" i="18"/>
  <c r="L158" i="18" s="1"/>
  <c r="M50" i="18"/>
  <c r="M158" i="18" s="1"/>
  <c r="N50" i="18"/>
  <c r="P50" i="18"/>
  <c r="C61" i="18"/>
  <c r="C160" i="18" s="1"/>
  <c r="C60" i="18"/>
  <c r="C58" i="18"/>
  <c r="C57" i="18"/>
  <c r="C51" i="18"/>
  <c r="C50" i="18"/>
  <c r="C158" i="18" s="1"/>
  <c r="D49" i="18"/>
  <c r="E49" i="18"/>
  <c r="F49" i="18"/>
  <c r="G49" i="18"/>
  <c r="H49" i="18"/>
  <c r="I49" i="18"/>
  <c r="J49" i="18"/>
  <c r="K49" i="18"/>
  <c r="L49" i="18"/>
  <c r="M49" i="18"/>
  <c r="N49" i="18"/>
  <c r="P49" i="18"/>
  <c r="C49" i="18"/>
  <c r="S15" i="18"/>
  <c r="S109" i="18" s="1"/>
  <c r="S16" i="18"/>
  <c r="S117" i="18" s="1"/>
  <c r="S118" i="18" s="1"/>
  <c r="S38" i="18"/>
  <c r="S87" i="18" s="1"/>
  <c r="S10" i="18"/>
  <c r="S12" i="18"/>
  <c r="S13" i="18"/>
  <c r="S7" i="18"/>
  <c r="S6" i="18"/>
  <c r="P175" i="18" l="1"/>
  <c r="M175" i="18"/>
  <c r="S175" i="18"/>
  <c r="S91" i="18"/>
  <c r="R143" i="18"/>
  <c r="P167" i="18" s="1"/>
  <c r="W111" i="18"/>
  <c r="W121" i="18"/>
  <c r="W83" i="18"/>
  <c r="W112" i="18"/>
  <c r="W122" i="18"/>
  <c r="Z23" i="18"/>
  <c r="Y89" i="18"/>
  <c r="S81" i="18"/>
  <c r="S82" i="18"/>
  <c r="S115" i="18"/>
  <c r="S114" i="18"/>
  <c r="S88" i="18"/>
  <c r="S110" i="18"/>
  <c r="H162" i="18"/>
  <c r="H157" i="18"/>
  <c r="W94" i="18"/>
  <c r="W105" i="18"/>
  <c r="W104" i="18"/>
  <c r="W106" i="18"/>
  <c r="S93" i="18"/>
  <c r="S98" i="18"/>
  <c r="S99" i="18" s="1"/>
  <c r="W85" i="18"/>
  <c r="W102" i="18"/>
  <c r="W101" i="18"/>
  <c r="S92" i="18"/>
  <c r="X18" i="18"/>
  <c r="D157" i="18"/>
  <c r="D161" i="18" s="1"/>
  <c r="D162" i="18"/>
  <c r="E157" i="18"/>
  <c r="E161" i="18" s="1"/>
  <c r="E162" i="18"/>
  <c r="C157" i="18"/>
  <c r="C161" i="18" s="1"/>
  <c r="C162" i="18"/>
  <c r="P157" i="18"/>
  <c r="P162" i="18"/>
  <c r="Q162" i="18" s="1"/>
  <c r="K157" i="18"/>
  <c r="K162" i="18"/>
  <c r="F157" i="18"/>
  <c r="F161" i="18" s="1"/>
  <c r="F162" i="18"/>
  <c r="J157" i="18"/>
  <c r="J162" i="18"/>
  <c r="M157" i="18"/>
  <c r="M162" i="18"/>
  <c r="I157" i="18"/>
  <c r="I162" i="18"/>
  <c r="Q125" i="18"/>
  <c r="Y20" i="18"/>
  <c r="X65" i="18"/>
  <c r="H59" i="18"/>
  <c r="H159" i="18" s="1"/>
  <c r="X27" i="18"/>
  <c r="T12" i="18"/>
  <c r="T15" i="18"/>
  <c r="T109" i="18" s="1"/>
  <c r="T13" i="18"/>
  <c r="T10" i="18"/>
  <c r="T16" i="18"/>
  <c r="T117" i="18" s="1"/>
  <c r="T118" i="18" s="1"/>
  <c r="T6" i="18"/>
  <c r="T7" i="18"/>
  <c r="X25" i="18"/>
  <c r="X83" i="18" s="1"/>
  <c r="W79" i="18"/>
  <c r="T38" i="18"/>
  <c r="T87" i="18" s="1"/>
  <c r="S80" i="18"/>
  <c r="AB36" i="18"/>
  <c r="F59" i="18"/>
  <c r="F159" i="18" s="1"/>
  <c r="L59" i="18"/>
  <c r="L159" i="18" s="1"/>
  <c r="K59" i="18"/>
  <c r="K159" i="18" s="1"/>
  <c r="J59" i="18"/>
  <c r="J159" i="18" s="1"/>
  <c r="Z21" i="18"/>
  <c r="C59" i="18"/>
  <c r="C159" i="18" s="1"/>
  <c r="T155" i="18"/>
  <c r="T163" i="18" s="1"/>
  <c r="I59" i="18"/>
  <c r="I159" i="18" s="1"/>
  <c r="Q49" i="18"/>
  <c r="G158" i="18"/>
  <c r="Q50" i="18"/>
  <c r="Q51" i="18"/>
  <c r="Q58" i="18"/>
  <c r="Q60" i="18"/>
  <c r="G157" i="18"/>
  <c r="Q47" i="18"/>
  <c r="G160" i="18"/>
  <c r="Q61" i="18"/>
  <c r="G59" i="18"/>
  <c r="Q57" i="18"/>
  <c r="N158" i="18"/>
  <c r="N157" i="18"/>
  <c r="N160" i="18"/>
  <c r="P158" i="18"/>
  <c r="L157" i="18"/>
  <c r="N59" i="18"/>
  <c r="M59" i="18"/>
  <c r="M159" i="18" s="1"/>
  <c r="P160" i="18"/>
  <c r="P59" i="18"/>
  <c r="S58" i="18"/>
  <c r="C6" i="12"/>
  <c r="C26" i="15"/>
  <c r="C58" i="15"/>
  <c r="C57" i="15"/>
  <c r="C54" i="15"/>
  <c r="C53" i="15"/>
  <c r="C50" i="15"/>
  <c r="C49" i="15"/>
  <c r="C45" i="15"/>
  <c r="P174" i="18" l="1"/>
  <c r="M174" i="18"/>
  <c r="S174" i="18"/>
  <c r="T175" i="18"/>
  <c r="U175" i="18" s="1"/>
  <c r="V175" i="18" s="1"/>
  <c r="W175" i="18" s="1"/>
  <c r="X175" i="18" s="1"/>
  <c r="Y175" i="18" s="1"/>
  <c r="Z175" i="18" s="1"/>
  <c r="AA175" i="18" s="1"/>
  <c r="AB175" i="18" s="1"/>
  <c r="S176" i="18"/>
  <c r="T91" i="18"/>
  <c r="X111" i="18"/>
  <c r="X121" i="18"/>
  <c r="X112" i="18"/>
  <c r="X122" i="18"/>
  <c r="AE36" i="18"/>
  <c r="AB86" i="18"/>
  <c r="AC86" i="18" s="1"/>
  <c r="AA23" i="18"/>
  <c r="Z89" i="18"/>
  <c r="T115" i="18"/>
  <c r="T114" i="18"/>
  <c r="T88" i="18"/>
  <c r="T110" i="18"/>
  <c r="T82" i="18"/>
  <c r="X104" i="18"/>
  <c r="X105" i="18"/>
  <c r="X106" i="18"/>
  <c r="X94" i="18"/>
  <c r="X85" i="18"/>
  <c r="X102" i="18"/>
  <c r="X101" i="18"/>
  <c r="T92" i="18"/>
  <c r="T93" i="18"/>
  <c r="Y18" i="18"/>
  <c r="Z20" i="18"/>
  <c r="Y65" i="18"/>
  <c r="S57" i="18"/>
  <c r="S74" i="18"/>
  <c r="S53" i="18"/>
  <c r="S55" i="18"/>
  <c r="S161" i="18" s="1"/>
  <c r="S61" i="18"/>
  <c r="S160" i="18" s="1"/>
  <c r="S71" i="18"/>
  <c r="S73" i="18"/>
  <c r="S119" i="18" s="1"/>
  <c r="S45" i="18"/>
  <c r="S44" i="18"/>
  <c r="S156" i="18" s="1"/>
  <c r="S54" i="18"/>
  <c r="S50" i="18"/>
  <c r="S51" i="18"/>
  <c r="S60" i="18"/>
  <c r="S49" i="18"/>
  <c r="S75" i="18"/>
  <c r="S47" i="18"/>
  <c r="S162" i="18" s="1"/>
  <c r="Y27" i="18"/>
  <c r="U15" i="18"/>
  <c r="U109" i="18" s="1"/>
  <c r="U13" i="18"/>
  <c r="U12" i="18"/>
  <c r="S59" i="18"/>
  <c r="U16" i="18"/>
  <c r="U117" i="18" s="1"/>
  <c r="U118" i="18" s="1"/>
  <c r="U10" i="18"/>
  <c r="U7" i="18"/>
  <c r="U6" i="18"/>
  <c r="AC36" i="18"/>
  <c r="Y25" i="18"/>
  <c r="Y83" i="18" s="1"/>
  <c r="X79" i="18"/>
  <c r="U38" i="18"/>
  <c r="U87" i="18" s="1"/>
  <c r="T81" i="18"/>
  <c r="T80" i="18"/>
  <c r="T40" i="18"/>
  <c r="S68" i="18"/>
  <c r="S69" i="18"/>
  <c r="S70" i="18"/>
  <c r="S67" i="18"/>
  <c r="AA21" i="18"/>
  <c r="U155" i="18"/>
  <c r="U163" i="18" s="1"/>
  <c r="Q158" i="18"/>
  <c r="Q157" i="18"/>
  <c r="Q160" i="18"/>
  <c r="G159" i="18"/>
  <c r="Q59" i="18"/>
  <c r="N159" i="18"/>
  <c r="P159" i="18"/>
  <c r="C16" i="15"/>
  <c r="C21" i="15"/>
  <c r="C10" i="15"/>
  <c r="S173" i="18" l="1"/>
  <c r="T174" i="18"/>
  <c r="U174" i="18" s="1"/>
  <c r="V174" i="18" s="1"/>
  <c r="W174" i="18" s="1"/>
  <c r="X174" i="18" s="1"/>
  <c r="Y174" i="18" s="1"/>
  <c r="Z174" i="18" s="1"/>
  <c r="AA174" i="18" s="1"/>
  <c r="AB174" i="18" s="1"/>
  <c r="T176" i="18"/>
  <c r="U176" i="18" s="1"/>
  <c r="V176" i="18" s="1"/>
  <c r="W176" i="18" s="1"/>
  <c r="X176" i="18" s="1"/>
  <c r="Y176" i="18" s="1"/>
  <c r="Z176" i="18" s="1"/>
  <c r="AA176" i="18" s="1"/>
  <c r="AB176" i="18" s="1"/>
  <c r="U91" i="18"/>
  <c r="T96" i="18"/>
  <c r="T97" i="18" s="1"/>
  <c r="T98" i="18" s="1"/>
  <c r="T99" i="18" s="1"/>
  <c r="T48" i="18"/>
  <c r="Y111" i="18"/>
  <c r="Y121" i="18"/>
  <c r="Y112" i="18"/>
  <c r="Y122" i="18"/>
  <c r="AB23" i="18"/>
  <c r="AA89" i="18"/>
  <c r="U88" i="18"/>
  <c r="U110" i="18"/>
  <c r="U115" i="18"/>
  <c r="U114" i="18"/>
  <c r="U82" i="18"/>
  <c r="Y106" i="18"/>
  <c r="Y105" i="18"/>
  <c r="Y104" i="18"/>
  <c r="Y94" i="18"/>
  <c r="T57" i="18"/>
  <c r="Y85" i="18"/>
  <c r="Y102" i="18"/>
  <c r="Y101" i="18"/>
  <c r="U92" i="18"/>
  <c r="U93" i="18"/>
  <c r="T53" i="18"/>
  <c r="Z18" i="18"/>
  <c r="AA20" i="18"/>
  <c r="Z65" i="18"/>
  <c r="T55" i="18"/>
  <c r="T161" i="18" s="1"/>
  <c r="T61" i="18"/>
  <c r="T160" i="18" s="1"/>
  <c r="T71" i="18"/>
  <c r="T73" i="18"/>
  <c r="T119" i="18" s="1"/>
  <c r="T44" i="18"/>
  <c r="T156" i="18" s="1"/>
  <c r="T45" i="18"/>
  <c r="T50" i="18"/>
  <c r="T49" i="18"/>
  <c r="T60" i="18"/>
  <c r="T75" i="18"/>
  <c r="T54" i="18"/>
  <c r="T51" i="18"/>
  <c r="T47" i="18"/>
  <c r="T162" i="18" s="1"/>
  <c r="T58" i="18"/>
  <c r="T74" i="18"/>
  <c r="Z27" i="18"/>
  <c r="V13" i="18"/>
  <c r="V12" i="18"/>
  <c r="V15" i="18"/>
  <c r="V109" i="18" s="1"/>
  <c r="V10" i="18"/>
  <c r="V16" i="18"/>
  <c r="V117" i="18" s="1"/>
  <c r="V118" i="18" s="1"/>
  <c r="V6" i="18"/>
  <c r="V7" i="18"/>
  <c r="V38" i="18"/>
  <c r="V87" i="18" s="1"/>
  <c r="U81" i="18"/>
  <c r="U80" i="18"/>
  <c r="Z25" i="18"/>
  <c r="Z83" i="18" s="1"/>
  <c r="Y79" i="18"/>
  <c r="U40" i="18"/>
  <c r="T70" i="18"/>
  <c r="T69" i="18"/>
  <c r="T68" i="18"/>
  <c r="T67" i="18"/>
  <c r="AB21" i="18"/>
  <c r="AE21" i="18" s="1"/>
  <c r="S159" i="18"/>
  <c r="V155" i="18"/>
  <c r="V163" i="18" s="1"/>
  <c r="S157" i="18"/>
  <c r="S158" i="18"/>
  <c r="Q159" i="18"/>
  <c r="D31" i="8"/>
  <c r="D29" i="8"/>
  <c r="D28" i="8"/>
  <c r="D13" i="8"/>
  <c r="D30" i="8" s="1"/>
  <c r="E14" i="8"/>
  <c r="F14" i="8" s="1"/>
  <c r="G14" i="8" s="1"/>
  <c r="H14" i="8" s="1"/>
  <c r="I14" i="8" s="1"/>
  <c r="T173" i="18" l="1"/>
  <c r="U173" i="18" s="1"/>
  <c r="V173" i="18" s="1"/>
  <c r="W173" i="18" s="1"/>
  <c r="X173" i="18" s="1"/>
  <c r="Y173" i="18" s="1"/>
  <c r="Z173" i="18" s="1"/>
  <c r="AA173" i="18" s="1"/>
  <c r="AB173" i="18" s="1"/>
  <c r="V91" i="18"/>
  <c r="U96" i="18"/>
  <c r="U97" i="18" s="1"/>
  <c r="U98" i="18" s="1"/>
  <c r="U99" i="18" s="1"/>
  <c r="U48" i="18"/>
  <c r="Z111" i="18"/>
  <c r="Z121" i="18"/>
  <c r="Z112" i="18"/>
  <c r="Z122" i="18"/>
  <c r="AE23" i="18"/>
  <c r="AB89" i="18"/>
  <c r="AC89" i="18" s="1"/>
  <c r="AC23" i="18"/>
  <c r="V82" i="18"/>
  <c r="V114" i="18"/>
  <c r="V115" i="18"/>
  <c r="V88" i="18"/>
  <c r="V110" i="18"/>
  <c r="Z106" i="18"/>
  <c r="Z105" i="18"/>
  <c r="Z104" i="18"/>
  <c r="Z94" i="18"/>
  <c r="U57" i="18"/>
  <c r="T59" i="18"/>
  <c r="T159" i="18" s="1"/>
  <c r="Z85" i="18"/>
  <c r="Z102" i="18"/>
  <c r="Z101" i="18"/>
  <c r="V93" i="18"/>
  <c r="V92" i="18"/>
  <c r="AA18" i="18"/>
  <c r="AB20" i="18"/>
  <c r="AA65" i="18"/>
  <c r="U75" i="18"/>
  <c r="U74" i="18"/>
  <c r="U53" i="18"/>
  <c r="U61" i="18"/>
  <c r="U160" i="18" s="1"/>
  <c r="U60" i="18"/>
  <c r="U55" i="18"/>
  <c r="U161" i="18" s="1"/>
  <c r="U58" i="18"/>
  <c r="U49" i="18"/>
  <c r="U71" i="18"/>
  <c r="U73" i="18"/>
  <c r="U119" i="18" s="1"/>
  <c r="U45" i="18"/>
  <c r="U44" i="18"/>
  <c r="U156" i="18" s="1"/>
  <c r="U54" i="18"/>
  <c r="U50" i="18"/>
  <c r="U51" i="18"/>
  <c r="U47" i="18"/>
  <c r="U162" i="18" s="1"/>
  <c r="AA27" i="18"/>
  <c r="W12" i="18"/>
  <c r="W15" i="18"/>
  <c r="W109" i="18" s="1"/>
  <c r="W13" i="18"/>
  <c r="W16" i="18"/>
  <c r="W117" i="18" s="1"/>
  <c r="W118" i="18" s="1"/>
  <c r="W10" i="18"/>
  <c r="W7" i="18"/>
  <c r="W6" i="18"/>
  <c r="AA25" i="18"/>
  <c r="Z79" i="18"/>
  <c r="W38" i="18"/>
  <c r="W87" i="18" s="1"/>
  <c r="V80" i="18"/>
  <c r="V81" i="18"/>
  <c r="V40" i="18"/>
  <c r="U70" i="18"/>
  <c r="U68" i="18"/>
  <c r="U69" i="18"/>
  <c r="U67" i="18"/>
  <c r="AC21" i="18"/>
  <c r="W155" i="18"/>
  <c r="W163" i="18" s="1"/>
  <c r="T157" i="18"/>
  <c r="T158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W91" i="18" l="1"/>
  <c r="V96" i="18"/>
  <c r="V97" i="18" s="1"/>
  <c r="V98" i="18" s="1"/>
  <c r="V99" i="18" s="1"/>
  <c r="V48" i="18"/>
  <c r="AA111" i="18"/>
  <c r="AA121" i="18"/>
  <c r="AA112" i="18"/>
  <c r="AA122" i="18"/>
  <c r="AE20" i="18"/>
  <c r="AA83" i="18"/>
  <c r="W115" i="18"/>
  <c r="W114" i="18"/>
  <c r="W88" i="18"/>
  <c r="W110" i="18"/>
  <c r="W82" i="18"/>
  <c r="AA105" i="18"/>
  <c r="AA104" i="18"/>
  <c r="AA106" i="18"/>
  <c r="AA94" i="18"/>
  <c r="U59" i="18"/>
  <c r="U159" i="18" s="1"/>
  <c r="AA85" i="18"/>
  <c r="AA102" i="18"/>
  <c r="AA101" i="18"/>
  <c r="V60" i="18"/>
  <c r="W93" i="18"/>
  <c r="W92" i="18"/>
  <c r="AB18" i="18"/>
  <c r="V75" i="18"/>
  <c r="V51" i="18"/>
  <c r="V58" i="18"/>
  <c r="AC20" i="18"/>
  <c r="AB65" i="18"/>
  <c r="V49" i="18"/>
  <c r="V57" i="18"/>
  <c r="V54" i="18"/>
  <c r="V74" i="18"/>
  <c r="V50" i="18"/>
  <c r="V55" i="18"/>
  <c r="V161" i="18" s="1"/>
  <c r="V71" i="18"/>
  <c r="V73" i="18"/>
  <c r="V119" i="18" s="1"/>
  <c r="V44" i="18"/>
  <c r="V156" i="18" s="1"/>
  <c r="V45" i="18"/>
  <c r="V53" i="18"/>
  <c r="V61" i="18"/>
  <c r="V160" i="18" s="1"/>
  <c r="V47" i="18"/>
  <c r="V162" i="18" s="1"/>
  <c r="AB27" i="18"/>
  <c r="AB122" i="18" s="1"/>
  <c r="AC122" i="18" s="1"/>
  <c r="X15" i="18"/>
  <c r="X109" i="18" s="1"/>
  <c r="X13" i="18"/>
  <c r="X12" i="18"/>
  <c r="X10" i="18"/>
  <c r="X16" i="18"/>
  <c r="X117" i="18" s="1"/>
  <c r="X118" i="18" s="1"/>
  <c r="X6" i="18"/>
  <c r="X7" i="18"/>
  <c r="X38" i="18"/>
  <c r="X87" i="18" s="1"/>
  <c r="W81" i="18"/>
  <c r="W80" i="18"/>
  <c r="AB25" i="18"/>
  <c r="AB83" i="18" s="1"/>
  <c r="AC83" i="18" s="1"/>
  <c r="AA79" i="18"/>
  <c r="W40" i="18"/>
  <c r="V70" i="18"/>
  <c r="V68" i="18"/>
  <c r="V69" i="18"/>
  <c r="V67" i="18"/>
  <c r="X155" i="18"/>
  <c r="X163" i="18" s="1"/>
  <c r="U157" i="18"/>
  <c r="U158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X91" i="18" l="1"/>
  <c r="W96" i="18"/>
  <c r="W97" i="18" s="1"/>
  <c r="W98" i="18" s="1"/>
  <c r="W99" i="18" s="1"/>
  <c r="W48" i="18"/>
  <c r="AB111" i="18"/>
  <c r="AC111" i="18" s="1"/>
  <c r="AB121" i="18"/>
  <c r="AC121" i="18" s="1"/>
  <c r="X88" i="18"/>
  <c r="X110" i="18"/>
  <c r="X115" i="18"/>
  <c r="X114" i="18"/>
  <c r="AE27" i="18"/>
  <c r="AB112" i="18"/>
  <c r="AC112" i="18" s="1"/>
  <c r="X82" i="18"/>
  <c r="AB104" i="18"/>
  <c r="AC104" i="18" s="1"/>
  <c r="AB106" i="18"/>
  <c r="AC106" i="18" s="1"/>
  <c r="AB105" i="18"/>
  <c r="AC105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B94" i="18"/>
  <c r="AC94" i="18" s="1"/>
  <c r="V59" i="18"/>
  <c r="V159" i="18" s="1"/>
  <c r="W58" i="18"/>
  <c r="AB85" i="18"/>
  <c r="AC85" i="18" s="1"/>
  <c r="AB102" i="18"/>
  <c r="AC102" i="18" s="1"/>
  <c r="AB101" i="18"/>
  <c r="AC101" i="18" s="1"/>
  <c r="X93" i="18"/>
  <c r="X92" i="18"/>
  <c r="AE25" i="18"/>
  <c r="AE18" i="18"/>
  <c r="AC18" i="18"/>
  <c r="S145" i="18"/>
  <c r="AE65" i="18"/>
  <c r="AC65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W61" i="18"/>
  <c r="W160" i="18" s="1"/>
  <c r="W60" i="18"/>
  <c r="W55" i="18"/>
  <c r="W161" i="18" s="1"/>
  <c r="W57" i="18"/>
  <c r="W54" i="18"/>
  <c r="W74" i="18"/>
  <c r="W53" i="18"/>
  <c r="W75" i="18"/>
  <c r="W71" i="18"/>
  <c r="W73" i="18"/>
  <c r="W119" i="18" s="1"/>
  <c r="W45" i="18"/>
  <c r="W44" i="18"/>
  <c r="W156" i="18" s="1"/>
  <c r="W49" i="18"/>
  <c r="W50" i="18"/>
  <c r="W51" i="18"/>
  <c r="W47" i="18"/>
  <c r="W162" i="18" s="1"/>
  <c r="AC27" i="18"/>
  <c r="Y12" i="18"/>
  <c r="Y15" i="18"/>
  <c r="Y109" i="18" s="1"/>
  <c r="Y13" i="18"/>
  <c r="Y10" i="18"/>
  <c r="Y16" i="18"/>
  <c r="Y117" i="18" s="1"/>
  <c r="Y118" i="18" s="1"/>
  <c r="Y7" i="18"/>
  <c r="Y6" i="18"/>
  <c r="AC25" i="18"/>
  <c r="AB79" i="18"/>
  <c r="AC79" i="18" s="1"/>
  <c r="Y38" i="18"/>
  <c r="Y87" i="18" s="1"/>
  <c r="X81" i="18"/>
  <c r="X80" i="18"/>
  <c r="O31" i="9"/>
  <c r="O32" i="9" s="1"/>
  <c r="X40" i="18"/>
  <c r="W70" i="18"/>
  <c r="W68" i="18"/>
  <c r="W69" i="18"/>
  <c r="W67" i="18"/>
  <c r="Y155" i="18"/>
  <c r="Y163" i="18" s="1"/>
  <c r="V157" i="18"/>
  <c r="V158" i="18"/>
  <c r="P31" i="11"/>
  <c r="N32" i="11"/>
  <c r="T19" i="9"/>
  <c r="D22" i="9"/>
  <c r="Y91" i="18" l="1"/>
  <c r="X96" i="18"/>
  <c r="X97" i="18" s="1"/>
  <c r="X98" i="18" s="1"/>
  <c r="X99" i="18" s="1"/>
  <c r="X48" i="18"/>
  <c r="Y115" i="18"/>
  <c r="Y114" i="18"/>
  <c r="Y88" i="18"/>
  <c r="Y110" i="18"/>
  <c r="Y82" i="18"/>
  <c r="W59" i="18"/>
  <c r="W159" i="18" s="1"/>
  <c r="X51" i="18"/>
  <c r="Y92" i="18"/>
  <c r="Y93" i="18"/>
  <c r="T145" i="18"/>
  <c r="R145" i="18" s="1"/>
  <c r="X53" i="18"/>
  <c r="X60" i="18"/>
  <c r="X47" i="18"/>
  <c r="X162" i="18" s="1"/>
  <c r="X55" i="18"/>
  <c r="X161" i="18" s="1"/>
  <c r="X50" i="18"/>
  <c r="X49" i="18"/>
  <c r="X71" i="18"/>
  <c r="X73" i="18"/>
  <c r="X119" i="18" s="1"/>
  <c r="X45" i="18"/>
  <c r="X44" i="18"/>
  <c r="X156" i="18" s="1"/>
  <c r="X75" i="18"/>
  <c r="X54" i="18"/>
  <c r="X61" i="18"/>
  <c r="X160" i="18" s="1"/>
  <c r="X58" i="18"/>
  <c r="X57" i="18"/>
  <c r="X74" i="18"/>
  <c r="Z13" i="18"/>
  <c r="Z12" i="18"/>
  <c r="Z15" i="18"/>
  <c r="Z109" i="18" s="1"/>
  <c r="Z10" i="18"/>
  <c r="Z16" i="18"/>
  <c r="Z117" i="18" s="1"/>
  <c r="Z118" i="18" s="1"/>
  <c r="Z6" i="18"/>
  <c r="Z7" i="18"/>
  <c r="Z38" i="18"/>
  <c r="Z87" i="18" s="1"/>
  <c r="Y81" i="18"/>
  <c r="Y80" i="18"/>
  <c r="Y40" i="18"/>
  <c r="X70" i="18"/>
  <c r="X68" i="18"/>
  <c r="X69" i="18"/>
  <c r="X67" i="18"/>
  <c r="Z155" i="18"/>
  <c r="Z163" i="18" s="1"/>
  <c r="W157" i="18"/>
  <c r="W158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Z91" i="18" l="1"/>
  <c r="Y96" i="18"/>
  <c r="Y97" i="18" s="1"/>
  <c r="Y98" i="18" s="1"/>
  <c r="Y99" i="18" s="1"/>
  <c r="Y48" i="18"/>
  <c r="Z88" i="18"/>
  <c r="Z110" i="18"/>
  <c r="Z114" i="18"/>
  <c r="Z115" i="18"/>
  <c r="Z82" i="18"/>
  <c r="Z92" i="18"/>
  <c r="Z93" i="18"/>
  <c r="X59" i="18"/>
  <c r="X159" i="18" s="1"/>
  <c r="Y71" i="18"/>
  <c r="Y73" i="18"/>
  <c r="Y119" i="18" s="1"/>
  <c r="Y44" i="18"/>
  <c r="Y156" i="18" s="1"/>
  <c r="Y45" i="18"/>
  <c r="Y55" i="18"/>
  <c r="Y161" i="18" s="1"/>
  <c r="Y61" i="18"/>
  <c r="Y160" i="18" s="1"/>
  <c r="Y60" i="18"/>
  <c r="Y58" i="18"/>
  <c r="Y49" i="18"/>
  <c r="Y47" i="18"/>
  <c r="Y162" i="18" s="1"/>
  <c r="Y54" i="18"/>
  <c r="Y50" i="18"/>
  <c r="Y51" i="18"/>
  <c r="Y57" i="18"/>
  <c r="Y74" i="18"/>
  <c r="Y53" i="18"/>
  <c r="Y75" i="18"/>
  <c r="AA12" i="18"/>
  <c r="AA15" i="18"/>
  <c r="AA109" i="18" s="1"/>
  <c r="AA13" i="18"/>
  <c r="AA10" i="18"/>
  <c r="AA16" i="18"/>
  <c r="AA117" i="18" s="1"/>
  <c r="AA118" i="18" s="1"/>
  <c r="AA7" i="18"/>
  <c r="AA6" i="18"/>
  <c r="AA38" i="18"/>
  <c r="AA87" i="18" s="1"/>
  <c r="Z80" i="18"/>
  <c r="Z81" i="18"/>
  <c r="Z40" i="18"/>
  <c r="Y70" i="18"/>
  <c r="Y68" i="18"/>
  <c r="Y69" i="18"/>
  <c r="Y67" i="18"/>
  <c r="AA155" i="18"/>
  <c r="AA163" i="18" s="1"/>
  <c r="X157" i="18"/>
  <c r="X158" i="18"/>
  <c r="N34" i="11"/>
  <c r="O33" i="11"/>
  <c r="D25" i="8"/>
  <c r="D23" i="8"/>
  <c r="AA91" i="18" l="1"/>
  <c r="Z96" i="18"/>
  <c r="Z97" i="18" s="1"/>
  <c r="Z98" i="18" s="1"/>
  <c r="Z99" i="18" s="1"/>
  <c r="Z48" i="18"/>
  <c r="AA82" i="18"/>
  <c r="AA114" i="18"/>
  <c r="AA115" i="18"/>
  <c r="AA88" i="18"/>
  <c r="AA110" i="18"/>
  <c r="AA92" i="18"/>
  <c r="AA93" i="18"/>
  <c r="Y59" i="18"/>
  <c r="Y159" i="18" s="1"/>
  <c r="Z71" i="18"/>
  <c r="Z73" i="18"/>
  <c r="Z119" i="18" s="1"/>
  <c r="Z45" i="18"/>
  <c r="Z44" i="18"/>
  <c r="Z156" i="18" s="1"/>
  <c r="Z49" i="18"/>
  <c r="Z60" i="18"/>
  <c r="Z50" i="18"/>
  <c r="Z55" i="18"/>
  <c r="Z161" i="18" s="1"/>
  <c r="Z58" i="18"/>
  <c r="Z57" i="18"/>
  <c r="Z75" i="18"/>
  <c r="Z61" i="18"/>
  <c r="Z160" i="18" s="1"/>
  <c r="Z47" i="18"/>
  <c r="Z162" i="18" s="1"/>
  <c r="Z54" i="18"/>
  <c r="Z74" i="18"/>
  <c r="Z53" i="18"/>
  <c r="Z51" i="18"/>
  <c r="AB15" i="18"/>
  <c r="AB13" i="18"/>
  <c r="AE13" i="18" s="1"/>
  <c r="AB12" i="18"/>
  <c r="AB110" i="18" s="1"/>
  <c r="AC110" i="18" s="1"/>
  <c r="AB10" i="18"/>
  <c r="AB16" i="18"/>
  <c r="AB6" i="18"/>
  <c r="AE6" i="18" s="1"/>
  <c r="AB7" i="18"/>
  <c r="AE7" i="18" s="1"/>
  <c r="AB38" i="18"/>
  <c r="AB87" i="18" s="1"/>
  <c r="AC87" i="18" s="1"/>
  <c r="AA81" i="18"/>
  <c r="AA80" i="18"/>
  <c r="AA40" i="18"/>
  <c r="Z70" i="18"/>
  <c r="Z68" i="18"/>
  <c r="Z69" i="18"/>
  <c r="Z67" i="18"/>
  <c r="AB155" i="18"/>
  <c r="AB163" i="18" s="1"/>
  <c r="Y157" i="18"/>
  <c r="Y158" i="18"/>
  <c r="N35" i="11"/>
  <c r="O34" i="11"/>
  <c r="D35" i="8"/>
  <c r="E5" i="8"/>
  <c r="E18" i="8" s="1"/>
  <c r="D18" i="8"/>
  <c r="D19" i="8"/>
  <c r="D21" i="8"/>
  <c r="D20" i="8"/>
  <c r="AB91" i="18" l="1"/>
  <c r="AC163" i="18"/>
  <c r="AE163" i="18" s="1"/>
  <c r="AA96" i="18"/>
  <c r="AA97" i="18" s="1"/>
  <c r="AA98" i="18" s="1"/>
  <c r="AA99" i="18" s="1"/>
  <c r="AA48" i="18"/>
  <c r="AE16" i="18"/>
  <c r="AB117" i="18"/>
  <c r="AB115" i="18"/>
  <c r="AC115" i="18" s="1"/>
  <c r="AB114" i="18"/>
  <c r="AC114" i="18" s="1"/>
  <c r="AE15" i="18"/>
  <c r="AB109" i="18"/>
  <c r="AC109" i="18" s="1"/>
  <c r="AB82" i="18"/>
  <c r="AC82" i="18" s="1"/>
  <c r="AE10" i="18"/>
  <c r="AC91" i="18"/>
  <c r="AE12" i="18"/>
  <c r="AB88" i="18"/>
  <c r="AC88" i="18" s="1"/>
  <c r="AE38" i="18"/>
  <c r="AB92" i="18"/>
  <c r="AC92" i="18" s="1"/>
  <c r="AB93" i="18"/>
  <c r="AC93" i="18" s="1"/>
  <c r="Z59" i="18"/>
  <c r="Z159" i="18" s="1"/>
  <c r="AA71" i="18"/>
  <c r="AA73" i="18"/>
  <c r="AA119" i="18" s="1"/>
  <c r="AA44" i="18"/>
  <c r="AA156" i="18" s="1"/>
  <c r="AA45" i="18"/>
  <c r="AA53" i="18"/>
  <c r="AA61" i="18"/>
  <c r="AA160" i="18" s="1"/>
  <c r="AA47" i="18"/>
  <c r="AA162" i="18" s="1"/>
  <c r="AA55" i="18"/>
  <c r="AA161" i="18" s="1"/>
  <c r="AA58" i="18"/>
  <c r="AA74" i="18"/>
  <c r="AA49" i="18"/>
  <c r="AA50" i="18"/>
  <c r="AA51" i="18"/>
  <c r="AA54" i="18"/>
  <c r="AA75" i="18"/>
  <c r="AA57" i="18"/>
  <c r="AA60" i="18"/>
  <c r="AC15" i="18"/>
  <c r="AC13" i="18"/>
  <c r="S139" i="18"/>
  <c r="AC12" i="18"/>
  <c r="AC10" i="18"/>
  <c r="AC16" i="18"/>
  <c r="AC7" i="18"/>
  <c r="AC6" i="18"/>
  <c r="AB81" i="18"/>
  <c r="AC81" i="18" s="1"/>
  <c r="AB80" i="18"/>
  <c r="AC80" i="18" s="1"/>
  <c r="AC38" i="18"/>
  <c r="AB40" i="18"/>
  <c r="AA70" i="18"/>
  <c r="AA68" i="18"/>
  <c r="AA69" i="18"/>
  <c r="AA67" i="18"/>
  <c r="AC155" i="18"/>
  <c r="AE155" i="18" s="1"/>
  <c r="Z157" i="18"/>
  <c r="Z158" i="18"/>
  <c r="N36" i="11"/>
  <c r="O35" i="11"/>
  <c r="F5" i="8"/>
  <c r="G5" i="8" s="1"/>
  <c r="H5" i="8" s="1"/>
  <c r="I5" i="8" s="1"/>
  <c r="AB96" i="18" l="1"/>
  <c r="AB97" i="18" s="1"/>
  <c r="AB98" i="18" s="1"/>
  <c r="AB99" i="18" s="1"/>
  <c r="AB48" i="18"/>
  <c r="AC117" i="18"/>
  <c r="AB118" i="18"/>
  <c r="AC118" i="18" s="1"/>
  <c r="AE40" i="18"/>
  <c r="T139" i="18"/>
  <c r="T140" i="18" s="1"/>
  <c r="AA59" i="18"/>
  <c r="AA159" i="18" s="1"/>
  <c r="AB71" i="18"/>
  <c r="AB73" i="18"/>
  <c r="AB44" i="18"/>
  <c r="AB156" i="18" s="1"/>
  <c r="AC156" i="18" s="1"/>
  <c r="AE156" i="18" s="1"/>
  <c r="AB45" i="18"/>
  <c r="AB53" i="18"/>
  <c r="AB58" i="18"/>
  <c r="AB47" i="18"/>
  <c r="AB55" i="18"/>
  <c r="AB51" i="18"/>
  <c r="AB74" i="18"/>
  <c r="AB50" i="18"/>
  <c r="AE50" i="18" s="1"/>
  <c r="AB49" i="18"/>
  <c r="AB60" i="18"/>
  <c r="AB75" i="18"/>
  <c r="AB54" i="18"/>
  <c r="AB61" i="18"/>
  <c r="AB57" i="18"/>
  <c r="S140" i="18"/>
  <c r="AB70" i="18"/>
  <c r="AB68" i="18"/>
  <c r="AC40" i="18"/>
  <c r="AB69" i="18"/>
  <c r="AB67" i="18"/>
  <c r="AA157" i="18"/>
  <c r="AA158" i="18"/>
  <c r="N37" i="11"/>
  <c r="O36" i="11"/>
  <c r="F18" i="8"/>
  <c r="G18" i="8"/>
  <c r="AE47" i="18" l="1"/>
  <c r="AB162" i="18"/>
  <c r="AE48" i="18"/>
  <c r="AC48" i="18"/>
  <c r="AE73" i="18"/>
  <c r="AB119" i="18"/>
  <c r="AC119" i="18" s="1"/>
  <c r="AC96" i="18"/>
  <c r="R139" i="18"/>
  <c r="R140" i="18"/>
  <c r="AC74" i="18"/>
  <c r="AE74" i="18"/>
  <c r="AC45" i="18"/>
  <c r="AE45" i="18"/>
  <c r="S136" i="18"/>
  <c r="AE60" i="18"/>
  <c r="AB160" i="18"/>
  <c r="AC160" i="18" s="1"/>
  <c r="AE160" i="18" s="1"/>
  <c r="AE61" i="18"/>
  <c r="AC44" i="18"/>
  <c r="AE44" i="18"/>
  <c r="AC58" i="18"/>
  <c r="AE58" i="18"/>
  <c r="S130" i="18"/>
  <c r="AE57" i="18"/>
  <c r="S129" i="18"/>
  <c r="AE51" i="18"/>
  <c r="AB161" i="18"/>
  <c r="AC161" i="18" s="1"/>
  <c r="AE161" i="18" s="1"/>
  <c r="AE55" i="18"/>
  <c r="AC54" i="18"/>
  <c r="AE54" i="18"/>
  <c r="S127" i="18"/>
  <c r="AE49" i="18"/>
  <c r="S132" i="18"/>
  <c r="AE53" i="18"/>
  <c r="AC75" i="18"/>
  <c r="AE75" i="18"/>
  <c r="S152" i="18"/>
  <c r="AE71" i="18"/>
  <c r="S150" i="18"/>
  <c r="AE70" i="18"/>
  <c r="S149" i="18"/>
  <c r="AE69" i="18"/>
  <c r="S147" i="18"/>
  <c r="AE67" i="18"/>
  <c r="S148" i="18"/>
  <c r="AE68" i="18"/>
  <c r="AC60" i="18"/>
  <c r="S133" i="18"/>
  <c r="AC49" i="18"/>
  <c r="AC51" i="18"/>
  <c r="T129" i="18" s="1"/>
  <c r="AC53" i="18"/>
  <c r="S134" i="18"/>
  <c r="AC71" i="18"/>
  <c r="AC57" i="18"/>
  <c r="S137" i="18"/>
  <c r="AB59" i="18"/>
  <c r="AC55" i="18"/>
  <c r="AC61" i="18"/>
  <c r="AC73" i="18"/>
  <c r="AC69" i="18"/>
  <c r="AC68" i="18"/>
  <c r="AC67" i="18"/>
  <c r="AC70" i="18"/>
  <c r="S126" i="18"/>
  <c r="AC47" i="18"/>
  <c r="AB157" i="18"/>
  <c r="AC50" i="18"/>
  <c r="T128" i="18" s="1"/>
  <c r="AB158" i="18"/>
  <c r="S128" i="18"/>
  <c r="N38" i="11"/>
  <c r="O37" i="11"/>
  <c r="H18" i="8"/>
  <c r="AC162" i="18" l="1"/>
  <c r="AE162" i="18" s="1"/>
  <c r="T126" i="18"/>
  <c r="P170" i="18"/>
  <c r="M170" i="18"/>
  <c r="AC97" i="18"/>
  <c r="T137" i="18"/>
  <c r="R137" i="18" s="1"/>
  <c r="T127" i="18"/>
  <c r="R127" i="18" s="1"/>
  <c r="T136" i="18"/>
  <c r="R136" i="18" s="1"/>
  <c r="T132" i="18"/>
  <c r="R132" i="18" s="1"/>
  <c r="T134" i="18"/>
  <c r="R134" i="18" s="1"/>
  <c r="T152" i="18"/>
  <c r="R152" i="18" s="1"/>
  <c r="P171" i="18" s="1"/>
  <c r="T149" i="18"/>
  <c r="R149" i="18" s="1"/>
  <c r="AC59" i="18"/>
  <c r="AE59" i="18"/>
  <c r="T130" i="18"/>
  <c r="R130" i="18" s="1"/>
  <c r="R129" i="18"/>
  <c r="T133" i="18"/>
  <c r="R133" i="18" s="1"/>
  <c r="T147" i="18"/>
  <c r="R147" i="18" s="1"/>
  <c r="AB159" i="18"/>
  <c r="AC159" i="18" s="1"/>
  <c r="AE159" i="18" s="1"/>
  <c r="T150" i="18"/>
  <c r="R150" i="18" s="1"/>
  <c r="T148" i="18"/>
  <c r="R148" i="18" s="1"/>
  <c r="R126" i="18"/>
  <c r="P172" i="18" s="1"/>
  <c r="P173" i="18" s="1"/>
  <c r="AC158" i="18"/>
  <c r="AE158" i="18" s="1"/>
  <c r="AC157" i="18"/>
  <c r="AE157" i="18" s="1"/>
  <c r="R128" i="18"/>
  <c r="N39" i="11"/>
  <c r="O38" i="11"/>
  <c r="I18" i="8"/>
  <c r="P169" i="18" l="1"/>
  <c r="M169" i="18"/>
  <c r="P168" i="18"/>
  <c r="M168" i="18"/>
  <c r="AC99" i="18"/>
  <c r="AC98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1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5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</commentList>
</comments>
</file>

<file path=xl/sharedStrings.xml><?xml version="1.0" encoding="utf-8"?>
<sst xmlns="http://schemas.openxmlformats.org/spreadsheetml/2006/main" count="580" uniqueCount="401">
  <si>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</si>
  <si>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</si>
  <si>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</si>
  <si>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</si>
  <si>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</si>
  <si>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</si>
  <si>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</si>
  <si>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</si>
  <si>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</si>
  <si>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</si>
  <si>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</si>
  <si>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</si>
  <si>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</si>
  <si>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</si>
  <si>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</si>
  <si>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</si>
  <si>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</si>
  <si>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</si>
  <si>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</si>
  <si>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</si>
  <si>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</si>
  <si>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</si>
  <si>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</si>
  <si>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</si>
  <si>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</si>
  <si>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</si>
  <si>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</si>
  <si>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</si>
  <si>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</si>
  <si>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</si>
  <si>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</si>
  <si>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</si>
  <si>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</si>
  <si>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</si>
  <si>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</si>
  <si>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</si>
  <si>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</si>
  <si>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</si>
  <si>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</si>
  <si>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</si>
  <si>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</si>
  <si>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</si>
  <si>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</si>
  <si>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</si>
  <si>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</si>
  <si>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</si>
  <si>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</si>
  <si>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</si>
  <si>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</si>
  <si>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</si>
  <si>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</si>
  <si>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</si>
  <si>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</si>
  <si>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</si>
  <si>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</si>
  <si>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</si>
  <si>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</si>
  <si>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</si>
  <si>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</si>
  <si>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</si>
  <si>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</si>
  <si>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</si>
  <si>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</si>
  <si>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</si>
  <si>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</si>
  <si>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</si>
  <si>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</si>
  <si>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</si>
  <si>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</si>
  <si>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</si>
  <si>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</si>
  <si>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</si>
  <si>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</si>
  <si>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</si>
  <si>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</si>
  <si>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</si>
  <si>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</si>
  <si>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</si>
  <si>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</si>
  <si>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</si>
  <si>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</si>
  <si>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</si>
  <si>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</si>
  <si>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</si>
  <si>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</si>
  <si>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</si>
  <si>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</si>
  <si>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</si>
  <si>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</si>
  <si>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</si>
  <si>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</si>
  <si>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</si>
  <si>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</si>
  <si>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</si>
  <si>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</si>
  <si>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</si>
  <si>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</si>
  <si>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</si>
  <si>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</si>
  <si>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</si>
  <si>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</si>
  <si>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</si>
  <si>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</si>
  <si>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</si>
  <si>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</si>
  <si>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</si>
  <si>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</si>
  <si>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</si>
  <si>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</si>
  <si>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</si>
  <si>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</si>
  <si>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</si>
  <si>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</si>
  <si>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</si>
  <si>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</si>
  <si>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</si>
  <si>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</si>
  <si>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</si>
  <si>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</si>
  <si>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</si>
  <si>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</si>
  <si>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</si>
  <si>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</si>
  <si>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</si>
  <si>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</si>
  <si>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</si>
  <si>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</si>
  <si>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</si>
  <si>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</si>
  <si>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</si>
  <si>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</si>
  <si>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</si>
  <si>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</si>
  <si>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</si>
  <si>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</si>
  <si>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</si>
  <si>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</si>
  <si>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</si>
  <si>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</si>
  <si>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</si>
  <si>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</si>
  <si>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</si>
  <si>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</si>
  <si>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</si>
  <si>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</si>
  <si>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</si>
  <si>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</si>
  <si>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</si>
  <si>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</si>
  <si>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</si>
  <si>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</si>
  <si>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</si>
  <si>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</si>
  <si>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</si>
  <si>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</si>
  <si>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</si>
  <si>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</si>
  <si>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</si>
  <si>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</si>
  <si>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</si>
  <si>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</si>
  <si>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</si>
  <si>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</si>
  <si>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</si>
  <si>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</si>
  <si>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</si>
  <si>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</si>
  <si>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</si>
  <si>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</si>
  <si>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</si>
  <si>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</si>
  <si>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</si>
  <si>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</si>
  <si>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</si>
  <si>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</si>
  <si>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</si>
  <si>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</si>
  <si>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</si>
  <si>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</si>
  <si>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</si>
  <si>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</si>
  <si>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</si>
  <si>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</si>
  <si>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</si>
  <si>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</si>
  <si>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</si>
  <si>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</si>
  <si>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</si>
  <si>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</si>
  <si>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</si>
  <si>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</si>
  <si>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</si>
  <si>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</si>
  <si>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</si>
  <si>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</si>
  <si>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</si>
  <si>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</si>
  <si>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</si>
  <si>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</si>
  <si>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</si>
  <si>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</si>
  <si>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</si>
  <si>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</si>
  <si>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</si>
  <si>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</si>
  <si>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</si>
  <si>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</si>
  <si>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</si>
  <si>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</si>
  <si>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</si>
  <si>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</si>
  <si>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</si>
  <si>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</si>
  <si>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</si>
  <si>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</si>
  <si>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</si>
  <si>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</si>
  <si>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</si>
  <si>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</si>
  <si>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</si>
  <si>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</si>
  <si>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</si>
  <si>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</si>
  <si>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</si>
  <si>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</si>
  <si>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</si>
  <si>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</si>
  <si>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</si>
  <si>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</si>
  <si>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</si>
  <si>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</si>
  <si>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</si>
  <si>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</si>
  <si>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</si>
  <si>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</si>
  <si>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</si>
  <si>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</si>
  <si>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</si>
  <si>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</si>
  <si>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</si>
  <si>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</si>
  <si>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</si>
  <si>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</si>
  <si>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</si>
  <si>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</si>
  <si>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</si>
  <si>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</si>
  <si>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</si>
  <si>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</si>
  <si>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</si>
  <si>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</si>
  <si>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</si>
  <si>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</si>
  <si>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</si>
  <si>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</si>
  <si>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</si>
  <si>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</si>
  <si>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Net Earnings (Net Profit)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</si>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</sst>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7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8" fillId="5" borderId="1" xfId="2" applyNumberFormat="1" applyFont="1" applyFill="1" applyBorder="1"/>
    <xf numFmtId="178" fontId="8" fillId="5" borderId="1" xfId="2" applyNumberFormat="1" applyFont="1" applyFill="1" applyBorder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865152"/>
        <c:axId val="100866688"/>
      </c:lineChart>
      <c:catAx>
        <c:axId val="100865152"/>
        <c:scaling>
          <c:orientation val="minMax"/>
        </c:scaling>
        <c:delete val="0"/>
        <c:axPos val="b"/>
        <c:majorTickMark val="out"/>
        <c:minorTickMark val="none"/>
        <c:tickLblPos val="nextTo"/>
        <c:crossAx val="100866688"/>
        <c:crosses val="autoZero"/>
        <c:auto val="1"/>
        <c:lblAlgn val="ctr"/>
        <c:lblOffset val="100"/>
        <c:noMultiLvlLbl val="0"/>
      </c:catAx>
      <c:valAx>
        <c:axId val="1008666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0865152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280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320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269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269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269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268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267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263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264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265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266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E205"/>
  <sheetViews>
    <sheetView tabSelected="1" zoomScale="80" zoomScaleNormal="80" workbookViewId="0">
      <pane xSplit="2" ySplit="3" topLeftCell="G79" activePane="bottomRight" state="frozen"/>
      <selection pane="topRight" activeCell="C1" sqref="C1"/>
      <selection pane="bottomLeft" activeCell="A5" sqref="A5"/>
      <selection pane="bottomRight" activeCell="M101" sqref="M101"/>
    </sheetView>
  </sheetViews>
  <sheetFormatPr defaultRowHeight="12.75" x14ac:dyDescent="0.2"/>
  <cols>
    <col min="1" max="1" width="4.7109375" style="104" customWidth="1"/>
    <col min="2" max="2" width="46.7109375" style="104" bestFit="1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7" width="8" style="104" bestFit="1" customWidth="1"/>
    <col min="28" max="28" width="11.28515625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 x14ac:dyDescent="0.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328</v>
      </c>
      <c r="L1" s="164">
        <v>0.08</v>
      </c>
      <c r="N1" s="104" t="s">
        <v>399</v>
      </c>
      <c r="P1" s="164">
        <v>0.05</v>
      </c>
    </row>
    <row r="2" spans="2:31" x14ac:dyDescent="0.2">
      <c r="B2" s="153" t="s">
        <v>316</v>
      </c>
      <c r="C2" s="120"/>
      <c r="F2" s="104" t="s">
        <v>253</v>
      </c>
      <c r="H2" s="126">
        <v>2013</v>
      </c>
      <c r="J2" s="104" t="s">
        <v>329</v>
      </c>
      <c r="L2" s="164">
        <v>0.12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90" t="s">
        <v>292</v>
      </c>
      <c r="AE2" s="191"/>
    </row>
    <row r="3" spans="2:31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92" t="s">
        <v>293</v>
      </c>
      <c r="AE3" s="193"/>
    </row>
    <row r="4" spans="2:31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37"/>
      <c r="AD5" s="20"/>
      <c r="AE5" s="154"/>
    </row>
    <row r="6" spans="2:31" x14ac:dyDescent="0.2">
      <c r="B6" s="20" t="s">
        <v>16</v>
      </c>
      <c r="C6" s="141"/>
      <c r="D6" s="141"/>
      <c r="E6" s="147"/>
      <c r="F6" s="147">
        <v>4559</v>
      </c>
      <c r="G6" s="147">
        <v>5051</v>
      </c>
      <c r="H6" s="147">
        <v>5782</v>
      </c>
      <c r="I6" s="147">
        <v>7056</v>
      </c>
      <c r="J6" s="147">
        <v>8543</v>
      </c>
      <c r="K6" s="147">
        <v>10284</v>
      </c>
      <c r="L6" s="147">
        <v>12433.22</v>
      </c>
      <c r="M6" s="147">
        <v>15406.46</v>
      </c>
      <c r="N6" s="147">
        <v>19665.560000000001</v>
      </c>
      <c r="O6" s="147">
        <v>24913.54</v>
      </c>
      <c r="P6" s="147">
        <v>30043.200000000001</v>
      </c>
      <c r="Q6" s="118">
        <f>((P6/G6)^(1/($H$2-$H$1) ))-1</f>
        <v>0.2191046282636655</v>
      </c>
      <c r="R6" s="31">
        <f>$L$2</f>
        <v>0.12</v>
      </c>
      <c r="S6" s="154">
        <f>P6*(1+$R6)</f>
        <v>33648.384000000005</v>
      </c>
      <c r="T6" s="154">
        <f>S6*(1+$R6)</f>
        <v>37686.190080000008</v>
      </c>
      <c r="U6" s="154">
        <f t="shared" ref="U6:AB6" si="0">T6*(1+$R6)</f>
        <v>42208.532889600014</v>
      </c>
      <c r="V6" s="154">
        <f t="shared" si="0"/>
        <v>47273.556836352021</v>
      </c>
      <c r="W6" s="154">
        <f t="shared" si="0"/>
        <v>52946.383656714272</v>
      </c>
      <c r="X6" s="154">
        <f t="shared" si="0"/>
        <v>59299.949695519987</v>
      </c>
      <c r="Y6" s="154">
        <f t="shared" si="0"/>
        <v>66415.943658982389</v>
      </c>
      <c r="Z6" s="154">
        <f t="shared" si="0"/>
        <v>74385.856898060287</v>
      </c>
      <c r="AA6" s="154">
        <f t="shared" si="0"/>
        <v>83312.159725827529</v>
      </c>
      <c r="AB6" s="154">
        <f t="shared" si="0"/>
        <v>93309.618892926839</v>
      </c>
      <c r="AC6" s="138">
        <f>((AB6/G6)^(1/($AB$3-$H$1) ))-1</f>
        <v>0.16589778216916962</v>
      </c>
      <c r="AD6" s="31">
        <f>$L$1</f>
        <v>0.08</v>
      </c>
      <c r="AE6" s="146">
        <f t="shared" ref="AE6:AE41" si="1">(AB6*(1+AD6))/($C$1-AD6)</f>
        <v>719817.06003114989</v>
      </c>
    </row>
    <row r="7" spans="2:31" x14ac:dyDescent="0.2">
      <c r="B7" s="20" t="s">
        <v>240</v>
      </c>
      <c r="C7" s="141"/>
      <c r="D7" s="141"/>
      <c r="E7" s="147"/>
      <c r="F7" s="147">
        <v>4803</v>
      </c>
      <c r="G7" s="147">
        <v>5295</v>
      </c>
      <c r="H7" s="147">
        <v>6026</v>
      </c>
      <c r="I7" s="147">
        <v>7301</v>
      </c>
      <c r="J7" s="147">
        <v>8788</v>
      </c>
      <c r="K7" s="147">
        <v>10774</v>
      </c>
      <c r="L7" s="147">
        <v>12922.74</v>
      </c>
      <c r="M7" s="147">
        <v>15895.98</v>
      </c>
      <c r="N7" s="147">
        <v>20155.080000000002</v>
      </c>
      <c r="O7" s="147">
        <v>25403.06</v>
      </c>
      <c r="P7" s="147">
        <v>30532.7</v>
      </c>
      <c r="Q7" s="118">
        <f>((P7/G7)^(1/($H$2-$H$1) ))-1</f>
        <v>0.2149107102652168</v>
      </c>
      <c r="R7" s="31">
        <f>$L$2</f>
        <v>0.12</v>
      </c>
      <c r="S7" s="154">
        <f t="shared" ref="S7:S16" si="2">P7*(1+$R7)</f>
        <v>34196.624000000003</v>
      </c>
      <c r="T7" s="154">
        <f t="shared" ref="T7:AB7" si="3">S7*(1+$R7)</f>
        <v>38300.218880000008</v>
      </c>
      <c r="U7" s="154">
        <f t="shared" si="3"/>
        <v>42896.245145600013</v>
      </c>
      <c r="V7" s="154">
        <f t="shared" si="3"/>
        <v>48043.794563072021</v>
      </c>
      <c r="W7" s="154">
        <f t="shared" si="3"/>
        <v>53809.049910640671</v>
      </c>
      <c r="X7" s="154">
        <f t="shared" si="3"/>
        <v>60266.135899917557</v>
      </c>
      <c r="Y7" s="154">
        <f t="shared" si="3"/>
        <v>67498.072207907666</v>
      </c>
      <c r="Z7" s="154">
        <f t="shared" si="3"/>
        <v>75597.840872856599</v>
      </c>
      <c r="AA7" s="154">
        <f t="shared" si="3"/>
        <v>84669.581777599393</v>
      </c>
      <c r="AB7" s="154">
        <f t="shared" si="3"/>
        <v>94829.931590911336</v>
      </c>
      <c r="AC7" s="138">
        <f>((AB7/G7)^(1/($AB$3-$H$1) ))-1</f>
        <v>0.16399616968539887</v>
      </c>
      <c r="AD7" s="31">
        <f>$L$1</f>
        <v>0.08</v>
      </c>
      <c r="AE7" s="146">
        <f t="shared" si="1"/>
        <v>731545.18655845884</v>
      </c>
    </row>
    <row r="8" spans="2:31" x14ac:dyDescent="0.2">
      <c r="B8" s="20"/>
      <c r="C8" s="141"/>
      <c r="D8" s="141"/>
      <c r="E8" s="147"/>
      <c r="F8" s="147"/>
      <c r="G8" s="148">
        <f>(G7-F7)/G7</f>
        <v>9.2917847025495756E-2</v>
      </c>
      <c r="H8" s="151">
        <f>(H7-G7)/H7</f>
        <v>0.12130766677729837</v>
      </c>
      <c r="I8" s="151">
        <f t="shared" ref="I8:P8" si="4">(I7-H7)/I7</f>
        <v>0.17463361183399534</v>
      </c>
      <c r="J8" s="151">
        <f t="shared" si="4"/>
        <v>0.16920801092398727</v>
      </c>
      <c r="K8" s="151">
        <f t="shared" si="4"/>
        <v>0.18433265268238352</v>
      </c>
      <c r="L8" s="151">
        <f t="shared" si="4"/>
        <v>0.16627588266884577</v>
      </c>
      <c r="M8" s="151">
        <f t="shared" si="4"/>
        <v>0.18704351666270339</v>
      </c>
      <c r="N8" s="151">
        <f t="shared" si="4"/>
        <v>0.21131645222941323</v>
      </c>
      <c r="O8" s="151">
        <f t="shared" si="4"/>
        <v>0.20658849760619388</v>
      </c>
      <c r="P8" s="151">
        <f t="shared" si="4"/>
        <v>0.16800479485928199</v>
      </c>
      <c r="Q8" s="128"/>
      <c r="R8" s="20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37"/>
      <c r="AD8" s="137"/>
      <c r="AE8" s="146"/>
    </row>
    <row r="9" spans="2:31" x14ac:dyDescent="0.2">
      <c r="B9" s="20" t="s">
        <v>270</v>
      </c>
      <c r="C9" s="141"/>
      <c r="D9" s="141"/>
      <c r="E9" s="147"/>
      <c r="F9" s="147">
        <v>4094</v>
      </c>
      <c r="G9" s="147">
        <v>5339</v>
      </c>
      <c r="H9" s="147">
        <v>7248</v>
      </c>
      <c r="I9" s="147">
        <v>8905</v>
      </c>
      <c r="J9" s="147">
        <v>11957</v>
      </c>
      <c r="K9" s="147">
        <v>16632</v>
      </c>
      <c r="L9" s="147">
        <v>28622.45</v>
      </c>
      <c r="M9" s="147">
        <v>32730.02</v>
      </c>
      <c r="N9" s="147">
        <v>39311.33</v>
      </c>
      <c r="O9" s="147">
        <v>41653.43</v>
      </c>
      <c r="P9" s="147">
        <v>28208.3</v>
      </c>
      <c r="Q9" s="118">
        <f t="shared" ref="Q9:Q16" si="5">((P9/G9)^(1/($H$2-$H$1) ))-1</f>
        <v>0.20316200935132778</v>
      </c>
      <c r="R9" s="31">
        <f t="shared" ref="R9:R40" si="6">$L$2</f>
        <v>0.12</v>
      </c>
      <c r="S9" s="154">
        <f t="shared" ref="S9" si="7">P9*(1+$R9)</f>
        <v>31593.296000000002</v>
      </c>
      <c r="T9" s="154">
        <f t="shared" ref="T9" si="8">S9*(1+$R9)</f>
        <v>35384.491520000003</v>
      </c>
      <c r="U9" s="154">
        <f t="shared" ref="U9" si="9">T9*(1+$R9)</f>
        <v>39630.63050240001</v>
      </c>
      <c r="V9" s="154">
        <f t="shared" ref="V9" si="10">U9*(1+$R9)</f>
        <v>44386.306162688015</v>
      </c>
      <c r="W9" s="154">
        <f t="shared" ref="W9" si="11">V9*(1+$R9)</f>
        <v>49712.662902210584</v>
      </c>
      <c r="X9" s="154">
        <f t="shared" ref="X9" si="12">W9*(1+$R9)</f>
        <v>55678.182450475862</v>
      </c>
      <c r="Y9" s="154">
        <f t="shared" ref="Y9" si="13">X9*(1+$R9)</f>
        <v>62359.56434453297</v>
      </c>
      <c r="Z9" s="154">
        <f t="shared" ref="Z9" si="14">Y9*(1+$R9)</f>
        <v>69842.712065876927</v>
      </c>
      <c r="AA9" s="154">
        <f t="shared" ref="AA9" si="15">Z9*(1+$R9)</f>
        <v>78223.837513782171</v>
      </c>
      <c r="AB9" s="154">
        <f t="shared" ref="AB9" si="16">AA9*(1+$R9)</f>
        <v>87610.698015436035</v>
      </c>
      <c r="AC9" s="138">
        <f>((AB9/G9)^(1/($AB$3-$H$1) ))-1</f>
        <v>0.15865058500121632</v>
      </c>
      <c r="AD9" s="31">
        <f t="shared" ref="AD9:AD74" si="17">$L$1</f>
        <v>0.08</v>
      </c>
      <c r="AE9" s="146">
        <f t="shared" si="1"/>
        <v>675853.95611907798</v>
      </c>
    </row>
    <row r="10" spans="2:31" x14ac:dyDescent="0.2">
      <c r="B10" s="20" t="s">
        <v>4</v>
      </c>
      <c r="C10" s="141"/>
      <c r="D10" s="141"/>
      <c r="E10" s="147"/>
      <c r="F10" s="147">
        <v>531</v>
      </c>
      <c r="G10" s="147">
        <v>540</v>
      </c>
      <c r="H10" s="147">
        <v>536</v>
      </c>
      <c r="I10" s="147">
        <v>558</v>
      </c>
      <c r="J10" s="147">
        <v>89</v>
      </c>
      <c r="K10" s="147">
        <v>95</v>
      </c>
      <c r="L10" s="147">
        <v>167</v>
      </c>
      <c r="M10" s="147">
        <v>148</v>
      </c>
      <c r="N10" s="147">
        <v>270</v>
      </c>
      <c r="O10" s="147">
        <v>369</v>
      </c>
      <c r="P10" s="147">
        <v>1233</v>
      </c>
      <c r="Q10" s="118">
        <f t="shared" si="5"/>
        <v>9.6076925687655246E-2</v>
      </c>
      <c r="R10" s="31">
        <f t="shared" si="6"/>
        <v>0.12</v>
      </c>
      <c r="S10" s="154">
        <f t="shared" si="2"/>
        <v>1380.96</v>
      </c>
      <c r="T10" s="154">
        <f t="shared" ref="T10:AB10" si="18">S10*(1+$R10)</f>
        <v>1546.6752000000001</v>
      </c>
      <c r="U10" s="154">
        <f t="shared" si="18"/>
        <v>1732.2762240000004</v>
      </c>
      <c r="V10" s="154">
        <f t="shared" si="18"/>
        <v>1940.1493708800006</v>
      </c>
      <c r="W10" s="154">
        <f t="shared" si="18"/>
        <v>2172.9672953856007</v>
      </c>
      <c r="X10" s="154">
        <f t="shared" si="18"/>
        <v>2433.7233708318731</v>
      </c>
      <c r="Y10" s="154">
        <f t="shared" si="18"/>
        <v>2725.7701753316983</v>
      </c>
      <c r="Z10" s="154">
        <f t="shared" si="18"/>
        <v>3052.8625963715021</v>
      </c>
      <c r="AA10" s="154">
        <f t="shared" si="18"/>
        <v>3419.2061079360828</v>
      </c>
      <c r="AB10" s="154">
        <f t="shared" si="18"/>
        <v>3829.510840888413</v>
      </c>
      <c r="AC10" s="138">
        <f t="shared" ref="AC10:AC40" si="19">((AB10/G10)^(1/($AB$3-$H$1) ))-1</f>
        <v>0.1086036183951018</v>
      </c>
      <c r="AD10" s="31">
        <f t="shared" si="17"/>
        <v>0.08</v>
      </c>
      <c r="AE10" s="146">
        <f t="shared" si="1"/>
        <v>29541.940772567756</v>
      </c>
    </row>
    <row r="11" spans="2:31" x14ac:dyDescent="0.2">
      <c r="B11" s="20"/>
      <c r="C11" s="141"/>
      <c r="D11" s="141"/>
      <c r="E11" s="147"/>
      <c r="F11" s="147"/>
      <c r="G11" s="148">
        <f>(G10-F10)/G10</f>
        <v>1.6666666666666666E-2</v>
      </c>
      <c r="H11" s="148">
        <f t="shared" ref="H11:P11" si="20">(H10-G10)/H10</f>
        <v>-7.462686567164179E-3</v>
      </c>
      <c r="I11" s="148">
        <f t="shared" si="20"/>
        <v>3.9426523297491037E-2</v>
      </c>
      <c r="J11" s="148">
        <f t="shared" si="20"/>
        <v>-5.2696629213483144</v>
      </c>
      <c r="K11" s="148">
        <f t="shared" si="20"/>
        <v>6.3157894736842107E-2</v>
      </c>
      <c r="L11" s="148">
        <f t="shared" si="20"/>
        <v>0.43113772455089822</v>
      </c>
      <c r="M11" s="148">
        <f t="shared" si="20"/>
        <v>-0.12837837837837837</v>
      </c>
      <c r="N11" s="148">
        <f t="shared" si="20"/>
        <v>0.45185185185185184</v>
      </c>
      <c r="O11" s="148">
        <f t="shared" si="20"/>
        <v>0.26829268292682928</v>
      </c>
      <c r="P11" s="148">
        <f t="shared" si="20"/>
        <v>0.7007299270072993</v>
      </c>
      <c r="Q11" s="128"/>
      <c r="R11" s="20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19"/>
      <c r="AD11" s="31">
        <f t="shared" si="17"/>
        <v>0.08</v>
      </c>
      <c r="AE11" s="154"/>
    </row>
    <row r="12" spans="2:31" x14ac:dyDescent="0.2">
      <c r="B12" s="20" t="s">
        <v>2</v>
      </c>
      <c r="C12" s="141"/>
      <c r="D12" s="141"/>
      <c r="E12" s="147"/>
      <c r="F12" s="147">
        <f>1119+201</f>
        <v>1320</v>
      </c>
      <c r="G12" s="147">
        <f>1504+1155</f>
        <v>2659</v>
      </c>
      <c r="H12" s="147">
        <f>1392+1785</f>
        <v>3177</v>
      </c>
      <c r="I12" s="147">
        <f>1483+2650</f>
        <v>4133</v>
      </c>
      <c r="J12" s="147">
        <f>2068+3740</f>
        <v>5808</v>
      </c>
      <c r="K12" s="147">
        <f>1511+6875</f>
        <v>8386</v>
      </c>
      <c r="L12" s="147">
        <f>1956+8373</f>
        <v>10329</v>
      </c>
      <c r="M12" s="147">
        <f>889+8967</f>
        <v>9856</v>
      </c>
      <c r="N12" s="147">
        <f>1449+8256</f>
        <v>9705</v>
      </c>
      <c r="O12" s="147">
        <f>6734</f>
        <v>6734</v>
      </c>
      <c r="P12" s="147">
        <f>7845.1</f>
        <v>7845.1</v>
      </c>
      <c r="Q12" s="118">
        <f t="shared" si="5"/>
        <v>0.12773979328944707</v>
      </c>
      <c r="R12" s="31">
        <f t="shared" si="6"/>
        <v>0.12</v>
      </c>
      <c r="S12" s="154">
        <f t="shared" si="2"/>
        <v>8786.5120000000006</v>
      </c>
      <c r="T12" s="154">
        <f t="shared" ref="T12:AB12" si="21">S12*(1+$R12)</f>
        <v>9840.8934400000016</v>
      </c>
      <c r="U12" s="154">
        <f t="shared" si="21"/>
        <v>11021.800652800002</v>
      </c>
      <c r="V12" s="154">
        <f t="shared" si="21"/>
        <v>12344.416731136003</v>
      </c>
      <c r="W12" s="154">
        <f t="shared" si="21"/>
        <v>13825.746738872325</v>
      </c>
      <c r="X12" s="154">
        <f t="shared" si="21"/>
        <v>15484.836347537006</v>
      </c>
      <c r="Y12" s="154">
        <f t="shared" si="21"/>
        <v>17343.016709241449</v>
      </c>
      <c r="Z12" s="154">
        <f t="shared" si="21"/>
        <v>19424.178714350423</v>
      </c>
      <c r="AA12" s="154">
        <f t="shared" si="21"/>
        <v>21755.080160072474</v>
      </c>
      <c r="AB12" s="154">
        <f t="shared" si="21"/>
        <v>24365.689779281172</v>
      </c>
      <c r="AC12" s="138">
        <f t="shared" si="19"/>
        <v>0.12365957397453076</v>
      </c>
      <c r="AD12" s="31">
        <f t="shared" si="17"/>
        <v>0.08</v>
      </c>
      <c r="AE12" s="146">
        <f t="shared" si="1"/>
        <v>187963.89258302617</v>
      </c>
    </row>
    <row r="13" spans="2:31" x14ac:dyDescent="0.2">
      <c r="B13" s="20" t="s">
        <v>218</v>
      </c>
      <c r="C13" s="141"/>
      <c r="D13" s="141"/>
      <c r="E13" s="147"/>
      <c r="F13" s="147">
        <v>10.33</v>
      </c>
      <c r="G13" s="147">
        <v>29</v>
      </c>
      <c r="H13" s="147">
        <v>9</v>
      </c>
      <c r="I13" s="147">
        <v>8</v>
      </c>
      <c r="J13" s="147">
        <v>8</v>
      </c>
      <c r="K13" s="147">
        <v>8.2899999999999991</v>
      </c>
      <c r="L13" s="147">
        <v>5.94</v>
      </c>
      <c r="M13" s="147">
        <v>5.94</v>
      </c>
      <c r="N13" s="147">
        <v>5.94</v>
      </c>
      <c r="O13" s="147">
        <v>5.94</v>
      </c>
      <c r="P13" s="147">
        <v>5.94</v>
      </c>
      <c r="Q13" s="118">
        <f t="shared" si="5"/>
        <v>-0.16152985166567724</v>
      </c>
      <c r="R13" s="31">
        <f t="shared" si="6"/>
        <v>0.12</v>
      </c>
      <c r="S13" s="154">
        <f t="shared" si="2"/>
        <v>6.6528000000000009</v>
      </c>
      <c r="T13" s="154">
        <f t="shared" ref="T13:AB13" si="22">S13*(1+$R13)</f>
        <v>7.4511360000000018</v>
      </c>
      <c r="U13" s="154">
        <f t="shared" si="22"/>
        <v>8.345272320000003</v>
      </c>
      <c r="V13" s="154">
        <f t="shared" si="22"/>
        <v>9.3467049984000035</v>
      </c>
      <c r="W13" s="154">
        <f t="shared" si="22"/>
        <v>10.468309598208005</v>
      </c>
      <c r="X13" s="154">
        <f t="shared" si="22"/>
        <v>11.724506749992967</v>
      </c>
      <c r="Y13" s="154">
        <f t="shared" si="22"/>
        <v>13.131447559992125</v>
      </c>
      <c r="Z13" s="154">
        <f t="shared" si="22"/>
        <v>14.707221267191182</v>
      </c>
      <c r="AA13" s="154">
        <f t="shared" si="22"/>
        <v>16.472087819254124</v>
      </c>
      <c r="AB13" s="154">
        <f t="shared" si="22"/>
        <v>18.448738357564622</v>
      </c>
      <c r="AC13" s="138">
        <f t="shared" si="19"/>
        <v>-2.3524144892286603E-2</v>
      </c>
      <c r="AD13" s="31">
        <f t="shared" si="17"/>
        <v>0.08</v>
      </c>
      <c r="AE13" s="146">
        <f t="shared" si="1"/>
        <v>142.31883875835564</v>
      </c>
    </row>
    <row r="14" spans="2:31" x14ac:dyDescent="0.2">
      <c r="B14" s="20" t="s">
        <v>374</v>
      </c>
      <c r="C14" s="141"/>
      <c r="D14" s="141"/>
      <c r="E14" s="147"/>
      <c r="F14" s="147"/>
      <c r="G14" s="147">
        <v>2103.88</v>
      </c>
      <c r="H14" s="147">
        <v>2916.11</v>
      </c>
      <c r="I14" s="147">
        <v>3744.5</v>
      </c>
      <c r="J14" s="147">
        <v>4217</v>
      </c>
      <c r="K14" s="147">
        <v>5736</v>
      </c>
      <c r="L14" s="147">
        <v>7891</v>
      </c>
      <c r="M14" s="147">
        <v>9283</v>
      </c>
      <c r="N14" s="147">
        <v>11017</v>
      </c>
      <c r="O14" s="147">
        <v>13525</v>
      </c>
      <c r="P14" s="147">
        <v>11869</v>
      </c>
      <c r="Q14" s="118">
        <f t="shared" ref="Q14" si="23">((P14/G14)^(1/($H$2-$H$1) ))-1</f>
        <v>0.2119595617858312</v>
      </c>
      <c r="R14" s="31">
        <f t="shared" si="6"/>
        <v>0.12</v>
      </c>
      <c r="S14" s="154">
        <f t="shared" ref="S14" si="24">P14*(1+$R14)</f>
        <v>13293.28</v>
      </c>
      <c r="T14" s="154">
        <f t="shared" ref="T14" si="25">S14*(1+$R14)</f>
        <v>14888.473600000003</v>
      </c>
      <c r="U14" s="154">
        <f t="shared" ref="U14" si="26">T14*(1+$R14)</f>
        <v>16675.090432000005</v>
      </c>
      <c r="V14" s="154">
        <f t="shared" ref="V14" si="27">U14*(1+$R14)</f>
        <v>18676.101283840006</v>
      </c>
      <c r="W14" s="154">
        <f t="shared" ref="W14" si="28">V14*(1+$R14)</f>
        <v>20917.23343790081</v>
      </c>
      <c r="X14" s="154">
        <f t="shared" ref="X14" si="29">W14*(1+$R14)</f>
        <v>23427.301450448907</v>
      </c>
      <c r="Y14" s="154">
        <f t="shared" ref="Y14" si="30">X14*(1+$R14)</f>
        <v>26238.577624502777</v>
      </c>
      <c r="Z14" s="154">
        <f t="shared" ref="Z14" si="31">Y14*(1+$R14)</f>
        <v>29387.206939443113</v>
      </c>
      <c r="AA14" s="154">
        <f t="shared" ref="AA14" si="32">Z14*(1+$R14)</f>
        <v>32913.671772176291</v>
      </c>
      <c r="AB14" s="154">
        <f t="shared" ref="AB14" si="33">AA14*(1+$R14)</f>
        <v>36863.312384837453</v>
      </c>
      <c r="AC14" s="138">
        <f t="shared" ref="AC14" si="34">((AB14/G14)^(1/($AB$3-$H$1) ))-1</f>
        <v>0.16265598382368207</v>
      </c>
      <c r="AD14" s="31">
        <f t="shared" si="17"/>
        <v>0.08</v>
      </c>
      <c r="AE14" s="146">
        <f t="shared" ref="AE14" si="35">(AB14*(1+AD14))/($C$1-AD14)</f>
        <v>284374.12411160319</v>
      </c>
    </row>
    <row r="15" spans="2:31" x14ac:dyDescent="0.2">
      <c r="B15" s="20" t="s">
        <v>19</v>
      </c>
      <c r="C15" s="141"/>
      <c r="D15" s="141"/>
      <c r="E15" s="147"/>
      <c r="F15" s="147">
        <v>8893</v>
      </c>
      <c r="G15" s="147">
        <v>11065</v>
      </c>
      <c r="H15" s="147">
        <v>13987</v>
      </c>
      <c r="I15" s="147">
        <v>19232</v>
      </c>
      <c r="J15" s="147">
        <v>25239</v>
      </c>
      <c r="K15" s="147">
        <v>33463</v>
      </c>
      <c r="L15" s="147">
        <v>38884</v>
      </c>
      <c r="M15" s="147">
        <v>44604</v>
      </c>
      <c r="N15" s="147">
        <v>53908</v>
      </c>
      <c r="O15" s="147">
        <v>61142</v>
      </c>
      <c r="P15" s="147">
        <v>51410.8</v>
      </c>
      <c r="Q15" s="118">
        <f t="shared" si="5"/>
        <v>0.18610339582765878</v>
      </c>
      <c r="R15" s="31">
        <f t="shared" si="6"/>
        <v>0.12</v>
      </c>
      <c r="S15" s="154">
        <f t="shared" si="2"/>
        <v>57580.096000000012</v>
      </c>
      <c r="T15" s="154">
        <f t="shared" ref="T15:AB15" si="36">S15*(1+$R15)</f>
        <v>64489.707520000018</v>
      </c>
      <c r="U15" s="154">
        <f t="shared" si="36"/>
        <v>72228.472422400024</v>
      </c>
      <c r="V15" s="154">
        <f t="shared" si="36"/>
        <v>80895.889113088037</v>
      </c>
      <c r="W15" s="154">
        <f t="shared" si="36"/>
        <v>90603.395806658606</v>
      </c>
      <c r="X15" s="154">
        <f t="shared" si="36"/>
        <v>101475.80330345765</v>
      </c>
      <c r="Y15" s="154">
        <f t="shared" si="36"/>
        <v>113652.89969987258</v>
      </c>
      <c r="Z15" s="154">
        <f t="shared" si="36"/>
        <v>127291.2476638573</v>
      </c>
      <c r="AA15" s="154">
        <f t="shared" si="36"/>
        <v>142566.19738352019</v>
      </c>
      <c r="AB15" s="154">
        <f t="shared" si="36"/>
        <v>159674.14106954265</v>
      </c>
      <c r="AC15" s="138">
        <f t="shared" si="19"/>
        <v>0.15083988169402063</v>
      </c>
      <c r="AD15" s="31">
        <f t="shared" si="17"/>
        <v>0.08</v>
      </c>
      <c r="AE15" s="146">
        <f t="shared" si="1"/>
        <v>1231771.9453936147</v>
      </c>
    </row>
    <row r="16" spans="2:31" x14ac:dyDescent="0.2">
      <c r="B16" s="20" t="s">
        <v>23</v>
      </c>
      <c r="C16" s="141"/>
      <c r="D16" s="141"/>
      <c r="E16" s="147"/>
      <c r="F16" s="147">
        <v>3992</v>
      </c>
      <c r="G16" s="147">
        <v>4585</v>
      </c>
      <c r="H16" s="147">
        <v>5413</v>
      </c>
      <c r="I16" s="147">
        <v>6678</v>
      </c>
      <c r="J16" s="147">
        <v>7574</v>
      </c>
      <c r="K16" s="147">
        <v>9221</v>
      </c>
      <c r="L16" s="147">
        <v>10261</v>
      </c>
      <c r="M16" s="147">
        <v>11874</v>
      </c>
      <c r="N16" s="147">
        <v>14597</v>
      </c>
      <c r="O16" s="147">
        <v>19488</v>
      </c>
      <c r="P16" s="147">
        <f>P15-P10</f>
        <v>50177.8</v>
      </c>
      <c r="Q16" s="118">
        <f t="shared" si="5"/>
        <v>0.30455858231550148</v>
      </c>
      <c r="R16" s="31">
        <f t="shared" si="6"/>
        <v>0.12</v>
      </c>
      <c r="S16" s="154">
        <f t="shared" si="2"/>
        <v>56199.136000000006</v>
      </c>
      <c r="T16" s="154">
        <f t="shared" ref="T16:AB16" si="37">S16*(1+$R16)</f>
        <v>62943.032320000013</v>
      </c>
      <c r="U16" s="154">
        <f t="shared" si="37"/>
        <v>70496.196198400023</v>
      </c>
      <c r="V16" s="154">
        <f t="shared" si="37"/>
        <v>78955.739742208039</v>
      </c>
      <c r="W16" s="154">
        <f t="shared" si="37"/>
        <v>88430.428511273014</v>
      </c>
      <c r="X16" s="154">
        <f t="shared" si="37"/>
        <v>99042.079932625784</v>
      </c>
      <c r="Y16" s="154">
        <f t="shared" si="37"/>
        <v>110927.12952454088</v>
      </c>
      <c r="Z16" s="154">
        <f t="shared" si="37"/>
        <v>124238.3850674858</v>
      </c>
      <c r="AA16" s="154">
        <f t="shared" si="37"/>
        <v>139146.99127558409</v>
      </c>
      <c r="AB16" s="154">
        <f t="shared" si="37"/>
        <v>155844.63022865419</v>
      </c>
      <c r="AC16" s="138">
        <f t="shared" si="19"/>
        <v>0.20391964229263504</v>
      </c>
      <c r="AD16" s="31">
        <f t="shared" si="17"/>
        <v>0.08</v>
      </c>
      <c r="AE16" s="146">
        <f t="shared" si="1"/>
        <v>1202230.0046210466</v>
      </c>
    </row>
    <row r="17" spans="2:31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28"/>
      <c r="R17" s="20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39"/>
      <c r="AD17" s="137"/>
      <c r="AE17" s="154"/>
    </row>
    <row r="18" spans="2:31" x14ac:dyDescent="0.2">
      <c r="B18" s="20" t="s">
        <v>278</v>
      </c>
      <c r="C18" s="141"/>
      <c r="D18" s="141"/>
      <c r="E18" s="147"/>
      <c r="F18" s="147">
        <v>1169</v>
      </c>
      <c r="G18" s="147">
        <v>1093</v>
      </c>
      <c r="H18" s="147">
        <v>1043</v>
      </c>
      <c r="I18" s="147">
        <v>981</v>
      </c>
      <c r="J18" s="147">
        <v>988</v>
      </c>
      <c r="K18" s="147">
        <v>980</v>
      </c>
      <c r="L18" s="147">
        <v>1664</v>
      </c>
      <c r="M18" s="147">
        <v>2608</v>
      </c>
      <c r="N18" s="147">
        <v>3609</v>
      </c>
      <c r="O18" s="147">
        <v>4542</v>
      </c>
      <c r="P18" s="147">
        <f>6850.1-957.2</f>
        <v>5892.9000000000005</v>
      </c>
      <c r="Q18" s="118">
        <f>((P18/G18)^(1/($H$2-$H$1) ))-1</f>
        <v>0.20587138595175869</v>
      </c>
      <c r="R18" s="31">
        <f t="shared" si="6"/>
        <v>0.12</v>
      </c>
      <c r="S18" s="154">
        <f t="shared" ref="S18:S34" si="38">P18*(1+$R18)</f>
        <v>6600.0480000000016</v>
      </c>
      <c r="T18" s="154">
        <f t="shared" ref="T18:T34" si="39">S18*(1+$R18)</f>
        <v>7392.0537600000025</v>
      </c>
      <c r="U18" s="154">
        <f t="shared" ref="U18:U34" si="40">T18*(1+$R18)</f>
        <v>8279.1002112000042</v>
      </c>
      <c r="V18" s="154">
        <f t="shared" ref="V18:V34" si="41">U18*(1+$R18)</f>
        <v>9272.5922365440056</v>
      </c>
      <c r="W18" s="154">
        <f t="shared" ref="W18:W36" si="42">V18*(1+$R18)</f>
        <v>10385.303304929288</v>
      </c>
      <c r="X18" s="154">
        <f t="shared" ref="X18:X36" si="43">W18*(1+$R18)</f>
        <v>11631.539701520804</v>
      </c>
      <c r="Y18" s="154">
        <f t="shared" ref="Y18:Y36" si="44">X18*(1+$R18)</f>
        <v>13027.324465703301</v>
      </c>
      <c r="Z18" s="154">
        <f t="shared" ref="Z18:Z36" si="45">Y18*(1+$R18)</f>
        <v>14590.603401587699</v>
      </c>
      <c r="AA18" s="154">
        <f t="shared" ref="AA18:AA36" si="46">Z18*(1+$R18)</f>
        <v>16341.475809778225</v>
      </c>
      <c r="AB18" s="154">
        <f t="shared" ref="AB18:AB36" si="47">AA18*(1+$R18)</f>
        <v>18302.452906951614</v>
      </c>
      <c r="AC18" s="138">
        <f t="shared" si="19"/>
        <v>0.15988576290664902</v>
      </c>
      <c r="AD18" s="31">
        <f t="shared" si="17"/>
        <v>0.08</v>
      </c>
      <c r="AE18" s="146">
        <f t="shared" si="1"/>
        <v>141190.35099648387</v>
      </c>
    </row>
    <row r="19" spans="2:31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28"/>
      <c r="R19" s="20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39"/>
      <c r="AD19" s="137"/>
      <c r="AE19" s="154"/>
    </row>
    <row r="20" spans="2:31" x14ac:dyDescent="0.2">
      <c r="B20" s="20" t="s">
        <v>284</v>
      </c>
      <c r="C20" s="141"/>
      <c r="D20" s="141"/>
      <c r="E20" s="147"/>
      <c r="F20" s="147">
        <v>1243</v>
      </c>
      <c r="G20" s="147">
        <v>1695</v>
      </c>
      <c r="H20" s="147">
        <v>818</v>
      </c>
      <c r="I20" s="147">
        <v>1623</v>
      </c>
      <c r="J20" s="147">
        <v>2821</v>
      </c>
      <c r="K20" s="147">
        <v>3478</v>
      </c>
      <c r="L20" s="147">
        <v>3291</v>
      </c>
      <c r="M20" s="147">
        <v>1585</v>
      </c>
      <c r="N20" s="147">
        <v>2658</v>
      </c>
      <c r="O20" s="147">
        <v>-813</v>
      </c>
      <c r="P20" s="147">
        <v>1864</v>
      </c>
      <c r="Q20" s="118">
        <f>((P20/G20)^(1/($H$2-$H$1) ))-1</f>
        <v>1.0616175405645523E-2</v>
      </c>
      <c r="R20" s="31">
        <f t="shared" si="6"/>
        <v>0.12</v>
      </c>
      <c r="S20" s="154">
        <f t="shared" ref="S20:S22" si="48">P20*(1+$R20)</f>
        <v>2087.6800000000003</v>
      </c>
      <c r="T20" s="154">
        <f t="shared" ref="T20:T22" si="49">S20*(1+$R20)</f>
        <v>2338.2016000000003</v>
      </c>
      <c r="U20" s="154">
        <f t="shared" ref="U20:U22" si="50">T20*(1+$R20)</f>
        <v>2618.7857920000006</v>
      </c>
      <c r="V20" s="154">
        <f t="shared" ref="V20:V22" si="51">U20*(1+$R20)</f>
        <v>2933.0400870400008</v>
      </c>
      <c r="W20" s="154">
        <f t="shared" ref="W20:W22" si="52">V20*(1+$R20)</f>
        <v>3285.0048974848014</v>
      </c>
      <c r="X20" s="154">
        <f t="shared" ref="X20:X22" si="53">W20*(1+$R20)</f>
        <v>3679.205485182978</v>
      </c>
      <c r="Y20" s="154">
        <f t="shared" ref="Y20:Y22" si="54">X20*(1+$R20)</f>
        <v>4120.7101434049355</v>
      </c>
      <c r="Z20" s="154">
        <f t="shared" ref="Z20:Z22" si="55">Y20*(1+$R20)</f>
        <v>4615.1953606135285</v>
      </c>
      <c r="AA20" s="154">
        <f t="shared" ref="AA20:AA22" si="56">Z20*(1+$R20)</f>
        <v>5169.018803887152</v>
      </c>
      <c r="AB20" s="154">
        <f t="shared" ref="AB20:AB22" si="57">AA20*(1+$R20)</f>
        <v>5789.3010603536104</v>
      </c>
      <c r="AC20" s="138">
        <f t="shared" ref="AC20:AC22" si="58">((AB20/G20)^(1/($AB$3-$H$1) ))-1</f>
        <v>6.6784395374295702E-2</v>
      </c>
      <c r="AD20" s="31">
        <f t="shared" si="17"/>
        <v>0.08</v>
      </c>
      <c r="AE20" s="146">
        <f t="shared" si="1"/>
        <v>44660.322465584992</v>
      </c>
    </row>
    <row r="21" spans="2:31" x14ac:dyDescent="0.2">
      <c r="B21" s="20" t="s">
        <v>285</v>
      </c>
      <c r="C21" s="141"/>
      <c r="D21" s="141"/>
      <c r="E21" s="147"/>
      <c r="F21" s="147">
        <v>-110</v>
      </c>
      <c r="G21" s="147">
        <v>-109</v>
      </c>
      <c r="H21" s="147">
        <v>-35</v>
      </c>
      <c r="I21" s="147">
        <v>-156</v>
      </c>
      <c r="J21" s="147">
        <v>-212</v>
      </c>
      <c r="K21" s="147">
        <v>-12.54</v>
      </c>
      <c r="L21" s="147">
        <v>-512</v>
      </c>
      <c r="M21" s="147">
        <v>-966</v>
      </c>
      <c r="N21" s="147">
        <v>-1342</v>
      </c>
      <c r="O21" s="147">
        <v>-329</v>
      </c>
      <c r="P21" s="147">
        <v>-338</v>
      </c>
      <c r="Q21" s="118">
        <f>((P21/G21)^(1/($H$2-$H$1) ))-1</f>
        <v>0.13399208288112008</v>
      </c>
      <c r="R21" s="31">
        <f t="shared" si="6"/>
        <v>0.12</v>
      </c>
      <c r="S21" s="154">
        <f t="shared" si="48"/>
        <v>-378.56000000000006</v>
      </c>
      <c r="T21" s="154">
        <f t="shared" si="49"/>
        <v>-423.98720000000009</v>
      </c>
      <c r="U21" s="154">
        <f t="shared" si="50"/>
        <v>-474.86566400000015</v>
      </c>
      <c r="V21" s="154">
        <f t="shared" si="51"/>
        <v>-531.84954368000024</v>
      </c>
      <c r="W21" s="154">
        <f t="shared" si="52"/>
        <v>-595.67148892160037</v>
      </c>
      <c r="X21" s="154">
        <f t="shared" si="53"/>
        <v>-667.15206759219245</v>
      </c>
      <c r="Y21" s="154">
        <f t="shared" si="54"/>
        <v>-747.21031570325567</v>
      </c>
      <c r="Z21" s="154">
        <f t="shared" si="55"/>
        <v>-836.87555358764644</v>
      </c>
      <c r="AA21" s="154">
        <f t="shared" si="56"/>
        <v>-937.30062001816407</v>
      </c>
      <c r="AB21" s="154">
        <f t="shared" si="57"/>
        <v>-1049.7766944203438</v>
      </c>
      <c r="AC21" s="138">
        <f t="shared" si="58"/>
        <v>0.12660617640770599</v>
      </c>
      <c r="AD21" s="31">
        <f t="shared" si="17"/>
        <v>0.08</v>
      </c>
      <c r="AE21" s="146">
        <f t="shared" si="1"/>
        <v>-8098.2773569569381</v>
      </c>
    </row>
    <row r="22" spans="2:31" x14ac:dyDescent="0.2">
      <c r="B22" s="20" t="s">
        <v>286</v>
      </c>
      <c r="C22" s="141"/>
      <c r="D22" s="141"/>
      <c r="E22" s="147"/>
      <c r="F22" s="147">
        <v>-285</v>
      </c>
      <c r="G22" s="147">
        <v>-247</v>
      </c>
      <c r="H22" s="147">
        <v>-265</v>
      </c>
      <c r="I22" s="147">
        <v>-511</v>
      </c>
      <c r="J22" s="147">
        <v>-933</v>
      </c>
      <c r="K22" s="147">
        <v>-888</v>
      </c>
      <c r="L22" s="147">
        <v>-849</v>
      </c>
      <c r="M22" s="147">
        <v>-1143</v>
      </c>
      <c r="N22" s="147">
        <v>-1475</v>
      </c>
      <c r="O22" s="147">
        <v>-1814</v>
      </c>
      <c r="P22" s="147">
        <v>-466</v>
      </c>
      <c r="Q22" s="118">
        <f>((P22/G22)^(1/($H$2-$H$1) ))-1</f>
        <v>7.3080015956760835E-2</v>
      </c>
      <c r="R22" s="31">
        <f t="shared" si="6"/>
        <v>0.12</v>
      </c>
      <c r="S22" s="154">
        <f t="shared" si="48"/>
        <v>-521.92000000000007</v>
      </c>
      <c r="T22" s="154">
        <f t="shared" si="49"/>
        <v>-584.55040000000008</v>
      </c>
      <c r="U22" s="154">
        <f t="shared" si="50"/>
        <v>-654.69644800000015</v>
      </c>
      <c r="V22" s="154">
        <f t="shared" si="51"/>
        <v>-733.2600217600002</v>
      </c>
      <c r="W22" s="154">
        <f t="shared" si="52"/>
        <v>-821.25122437120035</v>
      </c>
      <c r="X22" s="154">
        <f t="shared" si="53"/>
        <v>-919.8013712957445</v>
      </c>
      <c r="Y22" s="154">
        <f t="shared" si="54"/>
        <v>-1030.1775358512339</v>
      </c>
      <c r="Z22" s="154">
        <f t="shared" si="55"/>
        <v>-1153.7988401533821</v>
      </c>
      <c r="AA22" s="154">
        <f t="shared" si="56"/>
        <v>-1292.254700971788</v>
      </c>
      <c r="AB22" s="154">
        <f t="shared" si="57"/>
        <v>-1447.3252650884026</v>
      </c>
      <c r="AC22" s="138">
        <f t="shared" si="58"/>
        <v>9.7524358831749591E-2</v>
      </c>
      <c r="AD22" s="31">
        <f t="shared" si="17"/>
        <v>0.08</v>
      </c>
      <c r="AE22" s="146">
        <f t="shared" si="1"/>
        <v>-11165.080616396248</v>
      </c>
    </row>
    <row r="23" spans="2:31" x14ac:dyDescent="0.2">
      <c r="B23" s="20" t="s">
        <v>296</v>
      </c>
      <c r="C23" s="141"/>
      <c r="D23" s="141"/>
      <c r="E23" s="147"/>
      <c r="F23" s="147">
        <v>1320</v>
      </c>
      <c r="G23" s="147">
        <v>2659</v>
      </c>
      <c r="H23" s="147">
        <v>3177</v>
      </c>
      <c r="I23" s="147">
        <v>4133</v>
      </c>
      <c r="J23" s="147">
        <v>5808</v>
      </c>
      <c r="K23" s="147">
        <v>5808</v>
      </c>
      <c r="L23" s="147">
        <v>10314</v>
      </c>
      <c r="M23" s="147">
        <v>9790</v>
      </c>
      <c r="N23" s="147">
        <v>9630</v>
      </c>
      <c r="O23" s="147">
        <v>6671</v>
      </c>
      <c r="P23" s="147">
        <v>7732</v>
      </c>
      <c r="Q23" s="118">
        <f>((P23/G23)^(1/($H$2-$H$1) ))-1</f>
        <v>0.125921643339022</v>
      </c>
      <c r="R23" s="31">
        <f t="shared" si="6"/>
        <v>0.12</v>
      </c>
      <c r="S23" s="154">
        <f t="shared" ref="S23" si="59">P23*(1+$R23)</f>
        <v>8659.84</v>
      </c>
      <c r="T23" s="154">
        <f t="shared" ref="T23" si="60">S23*(1+$R23)</f>
        <v>9699.0208000000002</v>
      </c>
      <c r="U23" s="154">
        <f t="shared" ref="U23" si="61">T23*(1+$R23)</f>
        <v>10862.903296</v>
      </c>
      <c r="V23" s="154">
        <f t="shared" ref="V23" si="62">U23*(1+$R23)</f>
        <v>12166.451691520002</v>
      </c>
      <c r="W23" s="154">
        <f t="shared" ref="W23" si="63">V23*(1+$R23)</f>
        <v>13626.425894502403</v>
      </c>
      <c r="X23" s="154">
        <f t="shared" ref="X23" si="64">W23*(1+$R23)</f>
        <v>15261.597001842692</v>
      </c>
      <c r="Y23" s="154">
        <f t="shared" ref="Y23" si="65">X23*(1+$R23)</f>
        <v>17092.988642063818</v>
      </c>
      <c r="Z23" s="154">
        <f t="shared" ref="Z23" si="66">Y23*(1+$R23)</f>
        <v>19144.147279111479</v>
      </c>
      <c r="AA23" s="154">
        <f t="shared" ref="AA23" si="67">Z23*(1+$R23)</f>
        <v>21441.444952604859</v>
      </c>
      <c r="AB23" s="154">
        <f t="shared" ref="AB23" si="68">AA23*(1+$R23)</f>
        <v>24014.418346917446</v>
      </c>
      <c r="AC23" s="138">
        <f t="shared" ref="AC23" si="69">((AB23/G23)^(1/($AB$3-$H$1) ))-1</f>
        <v>0.12280109665401118</v>
      </c>
      <c r="AD23" s="31">
        <f t="shared" si="17"/>
        <v>0.08</v>
      </c>
      <c r="AE23" s="146">
        <f t="shared" si="1"/>
        <v>185254.084390506</v>
      </c>
    </row>
    <row r="24" spans="2:31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28"/>
      <c r="R24" s="20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19"/>
      <c r="AD24" s="137"/>
      <c r="AE24" s="154"/>
    </row>
    <row r="25" spans="2:31" x14ac:dyDescent="0.2">
      <c r="B25" s="20" t="s">
        <v>89</v>
      </c>
      <c r="C25" s="141"/>
      <c r="D25" s="141"/>
      <c r="E25" s="147"/>
      <c r="F25" s="147">
        <v>7023</v>
      </c>
      <c r="G25" s="147">
        <v>8020</v>
      </c>
      <c r="H25" s="147">
        <v>10438</v>
      </c>
      <c r="I25" s="147">
        <v>14169</v>
      </c>
      <c r="J25" s="147">
        <v>18026</v>
      </c>
      <c r="K25" s="147">
        <v>21391</v>
      </c>
      <c r="L25" s="147">
        <v>29082</v>
      </c>
      <c r="M25" s="147">
        <v>35392</v>
      </c>
      <c r="N25" s="147">
        <v>43470</v>
      </c>
      <c r="O25" s="147">
        <v>50208</v>
      </c>
      <c r="P25" s="147">
        <f>48106.3+1128.8</f>
        <v>49235.100000000006</v>
      </c>
      <c r="Q25" s="118">
        <f>((P25/G25)^(1/($H$2-$H$1) ))-1</f>
        <v>0.22339504543819455</v>
      </c>
      <c r="R25" s="31">
        <f t="shared" si="6"/>
        <v>0.12</v>
      </c>
      <c r="S25" s="154">
        <f t="shared" si="38"/>
        <v>55143.312000000013</v>
      </c>
      <c r="T25" s="154">
        <f t="shared" si="39"/>
        <v>61760.509440000023</v>
      </c>
      <c r="U25" s="154">
        <f t="shared" si="40"/>
        <v>69171.770572800029</v>
      </c>
      <c r="V25" s="154">
        <f t="shared" si="41"/>
        <v>77472.383041536043</v>
      </c>
      <c r="W25" s="154">
        <f t="shared" si="42"/>
        <v>86769.069006520382</v>
      </c>
      <c r="X25" s="154">
        <f t="shared" si="43"/>
        <v>97181.357287302832</v>
      </c>
      <c r="Y25" s="154">
        <f t="shared" si="44"/>
        <v>108843.12016177918</v>
      </c>
      <c r="Z25" s="154">
        <f t="shared" si="45"/>
        <v>121904.29458119269</v>
      </c>
      <c r="AA25" s="154">
        <f t="shared" si="46"/>
        <v>136532.80993093582</v>
      </c>
      <c r="AB25" s="154">
        <f t="shared" si="47"/>
        <v>152916.74712264814</v>
      </c>
      <c r="AC25" s="138">
        <f t="shared" si="19"/>
        <v>0.16783958998142068</v>
      </c>
      <c r="AD25" s="31">
        <f t="shared" si="17"/>
        <v>0.08</v>
      </c>
      <c r="AE25" s="146">
        <f t="shared" si="1"/>
        <v>1179643.4778032857</v>
      </c>
    </row>
    <row r="26" spans="2:31" s="123" customFormat="1" x14ac:dyDescent="0.2">
      <c r="B26" s="23"/>
      <c r="C26" s="149"/>
      <c r="D26" s="149"/>
      <c r="E26" s="150"/>
      <c r="F26" s="150"/>
      <c r="G26" s="148">
        <f>(G25-F25)/G25</f>
        <v>0.1243142144638404</v>
      </c>
      <c r="H26" s="148">
        <f>(H25-G25)/H25</f>
        <v>0.23165357348150986</v>
      </c>
      <c r="I26" s="148">
        <f t="shared" ref="I26:P26" si="70">(I25-H25)/I25</f>
        <v>0.26332133530947843</v>
      </c>
      <c r="J26" s="148">
        <f t="shared" si="70"/>
        <v>0.21396871186064573</v>
      </c>
      <c r="K26" s="148">
        <f t="shared" si="70"/>
        <v>0.15730914870740031</v>
      </c>
      <c r="L26" s="148">
        <f t="shared" si="70"/>
        <v>0.26445911560415375</v>
      </c>
      <c r="M26" s="148">
        <f t="shared" si="70"/>
        <v>0.1782888788426763</v>
      </c>
      <c r="N26" s="148">
        <f t="shared" si="70"/>
        <v>0.18582930756843799</v>
      </c>
      <c r="O26" s="148">
        <f t="shared" si="70"/>
        <v>0.13420172084130019</v>
      </c>
      <c r="P26" s="148">
        <f t="shared" si="70"/>
        <v>-1.9760292961728404E-2</v>
      </c>
      <c r="Q26" s="128"/>
      <c r="R26" s="20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19"/>
      <c r="AD26" s="137"/>
      <c r="AE26" s="154"/>
    </row>
    <row r="27" spans="2:31" x14ac:dyDescent="0.2">
      <c r="B27" s="20" t="s">
        <v>262</v>
      </c>
      <c r="C27" s="141"/>
      <c r="D27" s="141"/>
      <c r="E27" s="147"/>
      <c r="F27" s="147">
        <v>5957</v>
      </c>
      <c r="G27" s="147">
        <v>7152</v>
      </c>
      <c r="H27" s="147">
        <v>8875</v>
      </c>
      <c r="I27" s="147">
        <v>11603</v>
      </c>
      <c r="J27" s="147">
        <v>14000</v>
      </c>
      <c r="K27" s="147">
        <v>16621</v>
      </c>
      <c r="L27" s="147">
        <v>23870</v>
      </c>
      <c r="M27" s="147">
        <v>28168</v>
      </c>
      <c r="N27" s="147">
        <v>33768</v>
      </c>
      <c r="O27" s="147">
        <v>38965</v>
      </c>
      <c r="P27" s="147">
        <f>40390-957.2</f>
        <v>39432.800000000003</v>
      </c>
      <c r="Q27" s="118">
        <f>((P27/G27)^(1/($H$2-$H$1) ))-1</f>
        <v>0.2088742402789896</v>
      </c>
      <c r="R27" s="31">
        <f t="shared" si="6"/>
        <v>0.12</v>
      </c>
      <c r="S27" s="154">
        <f t="shared" si="38"/>
        <v>44164.736000000004</v>
      </c>
      <c r="T27" s="154">
        <f t="shared" si="39"/>
        <v>49464.504320000007</v>
      </c>
      <c r="U27" s="154">
        <f t="shared" si="40"/>
        <v>55400.244838400016</v>
      </c>
      <c r="V27" s="154">
        <f t="shared" si="41"/>
        <v>62048.274219008024</v>
      </c>
      <c r="W27" s="154">
        <f t="shared" si="42"/>
        <v>69494.067125288988</v>
      </c>
      <c r="X27" s="154">
        <f t="shared" si="43"/>
        <v>77833.355180323677</v>
      </c>
      <c r="Y27" s="154">
        <f t="shared" si="44"/>
        <v>87173.357801962527</v>
      </c>
      <c r="Z27" s="154">
        <f t="shared" si="45"/>
        <v>97634.160738198043</v>
      </c>
      <c r="AA27" s="154">
        <f t="shared" si="46"/>
        <v>109350.26002678182</v>
      </c>
      <c r="AB27" s="154">
        <f t="shared" si="47"/>
        <v>122472.29122999565</v>
      </c>
      <c r="AC27" s="138">
        <f t="shared" si="19"/>
        <v>0.16125302907657768</v>
      </c>
      <c r="AD27" s="31">
        <f t="shared" si="17"/>
        <v>0.08</v>
      </c>
      <c r="AE27" s="146">
        <f t="shared" si="1"/>
        <v>944786.24663139507</v>
      </c>
    </row>
    <row r="28" spans="2:31" s="123" customFormat="1" x14ac:dyDescent="0.2">
      <c r="B28" s="23"/>
      <c r="C28" s="149"/>
      <c r="D28" s="149"/>
      <c r="E28" s="150"/>
      <c r="F28" s="150"/>
      <c r="G28" s="148">
        <f t="shared" ref="G28:P28" si="71">(G27-F27)/G27</f>
        <v>0.16708612975391499</v>
      </c>
      <c r="H28" s="148">
        <f t="shared" si="71"/>
        <v>0.19414084507042254</v>
      </c>
      <c r="I28" s="148">
        <f t="shared" si="71"/>
        <v>0.23511160906662071</v>
      </c>
      <c r="J28" s="148">
        <f t="shared" si="71"/>
        <v>0.17121428571428571</v>
      </c>
      <c r="K28" s="148">
        <f t="shared" si="71"/>
        <v>0.15769207628903195</v>
      </c>
      <c r="L28" s="148">
        <f t="shared" si="71"/>
        <v>0.30368663594470047</v>
      </c>
      <c r="M28" s="148">
        <f t="shared" si="71"/>
        <v>0.15258449304174951</v>
      </c>
      <c r="N28" s="148">
        <f t="shared" si="71"/>
        <v>0.16583747927031509</v>
      </c>
      <c r="O28" s="148">
        <f t="shared" si="71"/>
        <v>0.13337610676247916</v>
      </c>
      <c r="P28" s="148">
        <f t="shared" si="71"/>
        <v>1.1863220466210944E-2</v>
      </c>
      <c r="Q28" s="128"/>
      <c r="R28" s="20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19"/>
      <c r="AD28" s="137"/>
      <c r="AE28" s="154"/>
    </row>
    <row r="29" spans="2:31" s="123" customFormat="1" x14ac:dyDescent="0.2">
      <c r="B29" s="20" t="s">
        <v>325</v>
      </c>
      <c r="C29" s="149"/>
      <c r="D29" s="149"/>
      <c r="E29" s="150"/>
      <c r="F29" s="147"/>
      <c r="G29" s="147">
        <v>30.71</v>
      </c>
      <c r="H29" s="147">
        <v>33.5</v>
      </c>
      <c r="I29" s="147">
        <v>54.73</v>
      </c>
      <c r="J29" s="147">
        <v>51.28</v>
      </c>
      <c r="K29" s="147">
        <v>125.27</v>
      </c>
      <c r="L29" s="147">
        <v>35.090000000000003</v>
      </c>
      <c r="M29" s="147">
        <v>36.69</v>
      </c>
      <c r="N29" s="147">
        <v>56.13</v>
      </c>
      <c r="O29" s="147">
        <v>53.07</v>
      </c>
      <c r="P29" s="147">
        <v>127.61</v>
      </c>
      <c r="Q29" s="118">
        <f>((P29/G29)^(1/($H$2-$H$1) ))-1</f>
        <v>0.17147729819029101</v>
      </c>
      <c r="R29" s="31">
        <f t="shared" si="6"/>
        <v>0.12</v>
      </c>
      <c r="S29" s="154">
        <f t="shared" ref="S29" si="72">P29*(1+$R29)</f>
        <v>142.92320000000001</v>
      </c>
      <c r="T29" s="154">
        <f t="shared" ref="T29" si="73">S29*(1+$R29)</f>
        <v>160.07398400000002</v>
      </c>
      <c r="U29" s="154">
        <f t="shared" ref="U29" si="74">T29*(1+$R29)</f>
        <v>179.28286208000006</v>
      </c>
      <c r="V29" s="154">
        <f t="shared" ref="V29" si="75">U29*(1+$R29)</f>
        <v>200.79680552960008</v>
      </c>
      <c r="W29" s="154">
        <f t="shared" ref="W29" si="76">V29*(1+$R29)</f>
        <v>224.8924221931521</v>
      </c>
      <c r="X29" s="154">
        <f t="shared" ref="X29" si="77">W29*(1+$R29)</f>
        <v>251.87951285633036</v>
      </c>
      <c r="Y29" s="154">
        <f t="shared" ref="Y29" si="78">X29*(1+$R29)</f>
        <v>282.10505439909002</v>
      </c>
      <c r="Z29" s="154">
        <f t="shared" ref="Z29" si="79">Y29*(1+$R29)</f>
        <v>315.95766092698085</v>
      </c>
      <c r="AA29" s="154">
        <f t="shared" ref="AA29" si="80">Z29*(1+$R29)</f>
        <v>353.87258023821857</v>
      </c>
      <c r="AB29" s="154">
        <f t="shared" ref="AB29" si="81">AA29*(1+$R29)</f>
        <v>396.33728986680484</v>
      </c>
      <c r="AC29" s="138">
        <f t="shared" ref="AC29" si="82">((AB29/G29)^(1/($AB$3-$H$1) ))-1</f>
        <v>0.1440957562153673</v>
      </c>
      <c r="AD29" s="31">
        <f t="shared" si="17"/>
        <v>0.08</v>
      </c>
      <c r="AE29" s="146">
        <f t="shared" ref="AE29" si="83">(AB29*(1+AD29))/($C$1-AD29)</f>
        <v>3057.4590932582087</v>
      </c>
    </row>
    <row r="30" spans="2:31" s="123" customFormat="1" x14ac:dyDescent="0.2">
      <c r="B30" s="23"/>
      <c r="C30" s="149"/>
      <c r="D30" s="149"/>
      <c r="E30" s="150"/>
      <c r="F30" s="150"/>
      <c r="G30" s="148">
        <f t="shared" ref="G30:P30" si="84">(G29-F29)/G29</f>
        <v>1</v>
      </c>
      <c r="H30" s="148">
        <f t="shared" si="84"/>
        <v>8.3283582089552208E-2</v>
      </c>
      <c r="I30" s="148">
        <f t="shared" si="84"/>
        <v>0.38790425726292704</v>
      </c>
      <c r="J30" s="148">
        <f t="shared" si="84"/>
        <v>-6.7277691107644227E-2</v>
      </c>
      <c r="K30" s="148">
        <f t="shared" si="84"/>
        <v>0.59064420850961918</v>
      </c>
      <c r="L30" s="148">
        <f t="shared" si="84"/>
        <v>-2.5699629524080931</v>
      </c>
      <c r="M30" s="148">
        <f t="shared" si="84"/>
        <v>4.3608612701008298E-2</v>
      </c>
      <c r="N30" s="148">
        <f t="shared" si="84"/>
        <v>0.34633885622661686</v>
      </c>
      <c r="O30" s="148">
        <f t="shared" si="84"/>
        <v>-5.7659694742792582E-2</v>
      </c>
      <c r="P30" s="148">
        <f t="shared" si="84"/>
        <v>0.58412350129300206</v>
      </c>
      <c r="Q30" s="128"/>
      <c r="R30" s="20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62"/>
      <c r="AD30" s="137"/>
      <c r="AE30" s="154"/>
    </row>
    <row r="31" spans="2:31" x14ac:dyDescent="0.2">
      <c r="B31" s="20" t="s">
        <v>333</v>
      </c>
      <c r="C31" s="141"/>
      <c r="D31" s="141"/>
      <c r="E31" s="147"/>
      <c r="F31" s="147">
        <v>73.239999999999995</v>
      </c>
      <c r="G31" s="147">
        <v>90.02</v>
      </c>
      <c r="H31" s="147"/>
      <c r="I31" s="147"/>
      <c r="J31" s="147"/>
      <c r="K31" s="147"/>
      <c r="L31" s="147"/>
      <c r="M31" s="147">
        <v>23.79</v>
      </c>
      <c r="N31" s="147">
        <v>54.48</v>
      </c>
      <c r="O31" s="147">
        <v>61.37</v>
      </c>
      <c r="P31" s="147">
        <v>67.42</v>
      </c>
      <c r="Q31" s="118">
        <f>((P31/G31)^(1/($H$2-$H$1) ))-1</f>
        <v>-3.1610724733330153E-2</v>
      </c>
      <c r="R31" s="31">
        <f t="shared" si="6"/>
        <v>0.12</v>
      </c>
      <c r="S31" s="154">
        <f>P31*(1+$R31)</f>
        <v>75.510400000000004</v>
      </c>
      <c r="T31" s="154">
        <f>S31*(1+$R31)</f>
        <v>84.57164800000001</v>
      </c>
      <c r="U31" s="154">
        <f t="shared" ref="U31:AB32" si="85">T31*(1+$R31)</f>
        <v>94.720245760000026</v>
      </c>
      <c r="V31" s="154">
        <f t="shared" si="85"/>
        <v>106.08667525120003</v>
      </c>
      <c r="W31" s="154">
        <f t="shared" si="85"/>
        <v>118.81707628134404</v>
      </c>
      <c r="X31" s="154">
        <f t="shared" si="85"/>
        <v>133.07512543510535</v>
      </c>
      <c r="Y31" s="154">
        <f t="shared" si="85"/>
        <v>149.044140487318</v>
      </c>
      <c r="Z31" s="154">
        <f t="shared" si="85"/>
        <v>166.92943734579617</v>
      </c>
      <c r="AA31" s="154">
        <f t="shared" si="85"/>
        <v>186.96096982729173</v>
      </c>
      <c r="AB31" s="154">
        <f t="shared" si="85"/>
        <v>209.39628620656677</v>
      </c>
      <c r="AC31" s="138">
        <f t="shared" ref="AC31" si="86">((AB31/G31)^(1/($AB$3-$H$1) ))-1</f>
        <v>4.5433262756829684E-2</v>
      </c>
      <c r="AD31" s="31">
        <f t="shared" si="17"/>
        <v>0.08</v>
      </c>
      <c r="AE31" s="146">
        <f t="shared" si="1"/>
        <v>1615.3427793078008</v>
      </c>
    </row>
    <row r="32" spans="2:31" x14ac:dyDescent="0.2">
      <c r="B32" s="20" t="s">
        <v>332</v>
      </c>
      <c r="C32" s="141"/>
      <c r="D32" s="141"/>
      <c r="E32" s="147"/>
      <c r="F32" s="147">
        <v>0</v>
      </c>
      <c r="G32" s="147">
        <v>0</v>
      </c>
      <c r="H32" s="147"/>
      <c r="I32" s="147"/>
      <c r="J32" s="147"/>
      <c r="K32" s="147">
        <v>220.29</v>
      </c>
      <c r="L32" s="147">
        <v>295.56</v>
      </c>
      <c r="M32" s="147">
        <v>222.4</v>
      </c>
      <c r="N32" s="147">
        <v>239.7</v>
      </c>
      <c r="O32" s="147">
        <v>249.96</v>
      </c>
      <c r="P32" s="147">
        <v>277.94</v>
      </c>
      <c r="Q32" s="118" t="e">
        <f>((P32/G32)^(1/($H$2-$H$1) ))-1</f>
        <v>#DIV/0!</v>
      </c>
      <c r="R32" s="31">
        <f t="shared" si="6"/>
        <v>0.12</v>
      </c>
      <c r="S32" s="154">
        <f>P32*(1+$R32)</f>
        <v>311.2928</v>
      </c>
      <c r="T32" s="154">
        <f>S32*(1+$R32)</f>
        <v>348.64793600000002</v>
      </c>
      <c r="U32" s="154">
        <f t="shared" si="85"/>
        <v>390.48568832000007</v>
      </c>
      <c r="V32" s="154">
        <f t="shared" si="85"/>
        <v>437.34397091840009</v>
      </c>
      <c r="W32" s="154">
        <f t="shared" si="85"/>
        <v>489.82524742860812</v>
      </c>
      <c r="X32" s="154">
        <f t="shared" si="85"/>
        <v>548.60427712004116</v>
      </c>
      <c r="Y32" s="154">
        <f t="shared" si="85"/>
        <v>614.4367903744461</v>
      </c>
      <c r="Z32" s="154">
        <f t="shared" si="85"/>
        <v>688.16920521937971</v>
      </c>
      <c r="AA32" s="154">
        <f t="shared" si="85"/>
        <v>770.74950984570535</v>
      </c>
      <c r="AB32" s="154">
        <f t="shared" si="85"/>
        <v>863.23945102719006</v>
      </c>
      <c r="AC32" s="138" t="e">
        <f t="shared" ref="AC32" si="87">((AB32/G32)^(1/($AB$3-$H$1) ))-1</f>
        <v>#DIV/0!</v>
      </c>
      <c r="AD32" s="31">
        <f t="shared" si="17"/>
        <v>0.08</v>
      </c>
      <c r="AE32" s="146">
        <f t="shared" si="1"/>
        <v>6659.2757650668946</v>
      </c>
    </row>
    <row r="33" spans="2:31" x14ac:dyDescent="0.2">
      <c r="B33" s="20" t="s">
        <v>317</v>
      </c>
      <c r="C33" s="141"/>
      <c r="D33" s="141"/>
      <c r="E33" s="147"/>
      <c r="F33" s="147">
        <v>3160</v>
      </c>
      <c r="G33" s="147">
        <v>3634</v>
      </c>
      <c r="H33" s="147">
        <v>5097</v>
      </c>
      <c r="I33" s="147">
        <v>7100</v>
      </c>
      <c r="J33" s="147">
        <v>8561</v>
      </c>
      <c r="K33" s="147">
        <v>10400</v>
      </c>
      <c r="L33" s="147">
        <v>15746</v>
      </c>
      <c r="M33" s="147">
        <v>17915</v>
      </c>
      <c r="N33" s="147">
        <v>20016</v>
      </c>
      <c r="O33" s="147">
        <v>25266</v>
      </c>
      <c r="P33" s="147">
        <v>27505</v>
      </c>
      <c r="Q33" s="118">
        <f>((P33/G33)^(1/($H$2-$H$1) ))-1</f>
        <v>0.25218828466524723</v>
      </c>
      <c r="R33" s="31">
        <f t="shared" si="6"/>
        <v>0.12</v>
      </c>
      <c r="S33" s="154">
        <f t="shared" si="38"/>
        <v>30805.600000000002</v>
      </c>
      <c r="T33" s="154">
        <f t="shared" si="39"/>
        <v>34502.272000000004</v>
      </c>
      <c r="U33" s="154">
        <f t="shared" si="40"/>
        <v>38642.544640000007</v>
      </c>
      <c r="V33" s="154">
        <f t="shared" si="41"/>
        <v>43279.649996800013</v>
      </c>
      <c r="W33" s="154">
        <f t="shared" si="42"/>
        <v>48473.207996416022</v>
      </c>
      <c r="X33" s="154">
        <f t="shared" si="43"/>
        <v>54289.992955985952</v>
      </c>
      <c r="Y33" s="154">
        <f t="shared" si="44"/>
        <v>60804.792110704271</v>
      </c>
      <c r="Z33" s="154">
        <f t="shared" si="45"/>
        <v>68101.367163988791</v>
      </c>
      <c r="AA33" s="154">
        <f t="shared" si="46"/>
        <v>76273.531223667451</v>
      </c>
      <c r="AB33" s="154">
        <f t="shared" si="47"/>
        <v>85426.354970507557</v>
      </c>
      <c r="AC33" s="138">
        <f t="shared" si="19"/>
        <v>0.18077945220830172</v>
      </c>
      <c r="AD33" s="31">
        <f t="shared" si="17"/>
        <v>0.08</v>
      </c>
      <c r="AE33" s="146">
        <f t="shared" si="1"/>
        <v>659003.3097724868</v>
      </c>
    </row>
    <row r="34" spans="2:31" x14ac:dyDescent="0.2">
      <c r="B34" s="20" t="s">
        <v>309</v>
      </c>
      <c r="C34" s="141"/>
      <c r="D34" s="141"/>
      <c r="E34" s="147"/>
      <c r="F34" s="147">
        <v>1504</v>
      </c>
      <c r="G34" s="147">
        <v>1640</v>
      </c>
      <c r="H34" s="147">
        <v>1650</v>
      </c>
      <c r="I34" s="147">
        <v>1878</v>
      </c>
      <c r="J34" s="147">
        <v>2367</v>
      </c>
      <c r="K34" s="147">
        <v>2602</v>
      </c>
      <c r="L34" s="147">
        <v>3027</v>
      </c>
      <c r="M34" s="147">
        <v>6500</v>
      </c>
      <c r="N34" s="147">
        <v>5452</v>
      </c>
      <c r="O34" s="147">
        <v>5529</v>
      </c>
      <c r="P34" s="147">
        <v>5824</v>
      </c>
      <c r="Q34" s="118">
        <f>((P34/G34)^(1/($H$2-$H$1) ))-1</f>
        <v>0.15120603482866657</v>
      </c>
      <c r="R34" s="31">
        <f t="shared" si="6"/>
        <v>0.12</v>
      </c>
      <c r="S34" s="154">
        <f t="shared" si="38"/>
        <v>6522.880000000001</v>
      </c>
      <c r="T34" s="154">
        <f t="shared" si="39"/>
        <v>7305.6256000000021</v>
      </c>
      <c r="U34" s="154">
        <f t="shared" si="40"/>
        <v>8182.300672000003</v>
      </c>
      <c r="V34" s="154">
        <f t="shared" si="41"/>
        <v>9164.1767526400035</v>
      </c>
      <c r="W34" s="154">
        <f t="shared" si="42"/>
        <v>10263.877962956805</v>
      </c>
      <c r="X34" s="154">
        <f t="shared" si="43"/>
        <v>11495.543318511624</v>
      </c>
      <c r="Y34" s="154">
        <f t="shared" si="44"/>
        <v>12875.00851673302</v>
      </c>
      <c r="Z34" s="154">
        <f t="shared" si="45"/>
        <v>14420.009538740984</v>
      </c>
      <c r="AA34" s="154">
        <f t="shared" si="46"/>
        <v>16150.410683389904</v>
      </c>
      <c r="AB34" s="154">
        <f t="shared" si="47"/>
        <v>18088.459965396694</v>
      </c>
      <c r="AC34" s="138">
        <f t="shared" si="19"/>
        <v>0.13467493204537662</v>
      </c>
      <c r="AD34" s="31">
        <f t="shared" si="17"/>
        <v>0.08</v>
      </c>
      <c r="AE34" s="146">
        <f t="shared" si="1"/>
        <v>139539.5483044888</v>
      </c>
    </row>
    <row r="35" spans="2:31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28"/>
      <c r="R35" s="20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39"/>
      <c r="AD35" s="137"/>
      <c r="AE35" s="154"/>
    </row>
    <row r="36" spans="2:31" x14ac:dyDescent="0.2">
      <c r="B36" s="20" t="s">
        <v>279</v>
      </c>
      <c r="C36" s="141"/>
      <c r="D36" s="141"/>
      <c r="E36" s="147"/>
      <c r="F36" s="147">
        <v>996</v>
      </c>
      <c r="G36" s="147">
        <v>854</v>
      </c>
      <c r="H36" s="147">
        <v>1303</v>
      </c>
      <c r="I36" s="147">
        <v>2223</v>
      </c>
      <c r="J36" s="147">
        <v>3545</v>
      </c>
      <c r="K36" s="147">
        <v>3746</v>
      </c>
      <c r="L36" s="147">
        <v>3962</v>
      </c>
      <c r="M36" s="147">
        <v>5900</v>
      </c>
      <c r="N36" s="147">
        <v>8318</v>
      </c>
      <c r="O36" s="147">
        <v>9970</v>
      </c>
      <c r="P36" s="147">
        <v>9526.6</v>
      </c>
      <c r="Q36" s="118">
        <f>((P36/G36)^(1/($H$2-$H$1) ))-1</f>
        <v>0.30733435292992062</v>
      </c>
      <c r="R36" s="31">
        <f t="shared" si="6"/>
        <v>0.12</v>
      </c>
      <c r="S36" s="154">
        <f t="shared" ref="S36" si="88">P36*(1+$R36)</f>
        <v>10669.792000000001</v>
      </c>
      <c r="T36" s="154">
        <f t="shared" ref="T36" si="89">S36*(1+$R36)</f>
        <v>11950.167040000002</v>
      </c>
      <c r="U36" s="154">
        <f t="shared" ref="U36" si="90">T36*(1+$R36)</f>
        <v>13384.187084800004</v>
      </c>
      <c r="V36" s="154">
        <f t="shared" ref="V36" si="91">U36*(1+$R36)</f>
        <v>14990.289534976006</v>
      </c>
      <c r="W36" s="154">
        <f t="shared" si="42"/>
        <v>16789.124279173127</v>
      </c>
      <c r="X36" s="154">
        <f t="shared" si="43"/>
        <v>18803.819192673905</v>
      </c>
      <c r="Y36" s="154">
        <f t="shared" si="44"/>
        <v>21060.277495794777</v>
      </c>
      <c r="Z36" s="154">
        <f t="shared" si="45"/>
        <v>23587.510795290153</v>
      </c>
      <c r="AA36" s="154">
        <f t="shared" si="46"/>
        <v>26418.012090724973</v>
      </c>
      <c r="AB36" s="154">
        <f t="shared" si="47"/>
        <v>29588.173541611974</v>
      </c>
      <c r="AC36" s="138">
        <f t="shared" si="19"/>
        <v>0.20513237032134168</v>
      </c>
      <c r="AD36" s="31">
        <f t="shared" si="17"/>
        <v>0.08</v>
      </c>
      <c r="AE36" s="146">
        <f t="shared" si="1"/>
        <v>228251.62446386379</v>
      </c>
    </row>
    <row r="37" spans="2:31" s="123" customFormat="1" x14ac:dyDescent="0.2">
      <c r="B37" s="23"/>
      <c r="C37" s="149"/>
      <c r="D37" s="149"/>
      <c r="E37" s="150"/>
      <c r="F37" s="150"/>
      <c r="G37" s="148">
        <f t="shared" ref="G37:P37" si="92">(G36-F36)/G36</f>
        <v>-0.16627634660421545</v>
      </c>
      <c r="H37" s="148">
        <f t="shared" si="92"/>
        <v>0.34458940905602453</v>
      </c>
      <c r="I37" s="148">
        <f t="shared" si="92"/>
        <v>0.41385515069725598</v>
      </c>
      <c r="J37" s="148">
        <f t="shared" si="92"/>
        <v>0.37291960507757405</v>
      </c>
      <c r="K37" s="148">
        <f t="shared" si="92"/>
        <v>5.3657234383342231E-2</v>
      </c>
      <c r="L37" s="148">
        <f t="shared" si="92"/>
        <v>5.4517920242301871E-2</v>
      </c>
      <c r="M37" s="148">
        <f t="shared" si="92"/>
        <v>0.32847457627118642</v>
      </c>
      <c r="N37" s="148">
        <f t="shared" si="92"/>
        <v>0.29069487857658088</v>
      </c>
      <c r="O37" s="148">
        <f t="shared" si="92"/>
        <v>0.16569709127382146</v>
      </c>
      <c r="P37" s="148">
        <f t="shared" si="92"/>
        <v>-4.6543362794701115E-2</v>
      </c>
      <c r="Q37" s="128"/>
      <c r="R37" s="20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39"/>
      <c r="AD37" s="137"/>
      <c r="AE37" s="156"/>
    </row>
    <row r="38" spans="2:31" x14ac:dyDescent="0.2">
      <c r="B38" s="20" t="s">
        <v>257</v>
      </c>
      <c r="C38" s="141"/>
      <c r="D38" s="141"/>
      <c r="E38" s="147"/>
      <c r="F38" s="147">
        <v>444</v>
      </c>
      <c r="G38" s="147">
        <v>658</v>
      </c>
      <c r="H38" s="147">
        <v>953</v>
      </c>
      <c r="I38" s="147">
        <v>1679</v>
      </c>
      <c r="J38" s="147">
        <v>2414</v>
      </c>
      <c r="K38" s="147">
        <v>2859</v>
      </c>
      <c r="L38" s="147">
        <v>3115</v>
      </c>
      <c r="M38" s="147">
        <v>4326</v>
      </c>
      <c r="N38" s="147">
        <v>6053</v>
      </c>
      <c r="O38" s="147">
        <v>7087</v>
      </c>
      <c r="P38" s="147">
        <v>6693.1</v>
      </c>
      <c r="Q38" s="118">
        <f>((P38/G38)^(1/($H$2-$H$1) ))-1</f>
        <v>0.29399766044126507</v>
      </c>
      <c r="R38" s="31">
        <f t="shared" si="6"/>
        <v>0.12</v>
      </c>
      <c r="S38" s="154">
        <f>P38*(1+$R38)</f>
        <v>7496.2720000000008</v>
      </c>
      <c r="T38" s="154">
        <f t="shared" ref="T38:AB38" si="93">S38*(1+$R38)</f>
        <v>8395.8246400000025</v>
      </c>
      <c r="U38" s="154">
        <f t="shared" si="93"/>
        <v>9403.3235968000045</v>
      </c>
      <c r="V38" s="154">
        <f t="shared" si="93"/>
        <v>10531.722428416006</v>
      </c>
      <c r="W38" s="154">
        <f t="shared" si="93"/>
        <v>11795.529119825927</v>
      </c>
      <c r="X38" s="154">
        <f t="shared" si="93"/>
        <v>13210.992614205041</v>
      </c>
      <c r="Y38" s="154">
        <f t="shared" si="93"/>
        <v>14796.311727909648</v>
      </c>
      <c r="Z38" s="154">
        <f t="shared" si="93"/>
        <v>16571.869135258807</v>
      </c>
      <c r="AA38" s="154">
        <f t="shared" si="93"/>
        <v>18560.493431489864</v>
      </c>
      <c r="AB38" s="154">
        <f t="shared" si="93"/>
        <v>20787.75264326865</v>
      </c>
      <c r="AC38" s="138">
        <f t="shared" si="19"/>
        <v>0.19929314089857519</v>
      </c>
      <c r="AD38" s="31">
        <f t="shared" si="17"/>
        <v>0.08</v>
      </c>
      <c r="AE38" s="146">
        <f t="shared" si="1"/>
        <v>160362.66324807244</v>
      </c>
    </row>
    <row r="39" spans="2:31" s="123" customFormat="1" x14ac:dyDescent="0.2">
      <c r="B39" s="23"/>
      <c r="C39" s="149"/>
      <c r="D39" s="149"/>
      <c r="E39" s="150"/>
      <c r="F39" s="150"/>
      <c r="G39" s="148">
        <f>(G38-F38)/G38</f>
        <v>0.32522796352583588</v>
      </c>
      <c r="H39" s="148">
        <f t="shared" ref="H39:P39" si="94">(H38-G38)/H38</f>
        <v>0.30954879328436519</v>
      </c>
      <c r="I39" s="148">
        <f t="shared" si="94"/>
        <v>0.43240023823704588</v>
      </c>
      <c r="J39" s="148">
        <f t="shared" si="94"/>
        <v>0.30447390223695114</v>
      </c>
      <c r="K39" s="148">
        <f t="shared" si="94"/>
        <v>0.15564882826162993</v>
      </c>
      <c r="L39" s="148">
        <f t="shared" si="94"/>
        <v>8.218298555377207E-2</v>
      </c>
      <c r="M39" s="148">
        <f t="shared" si="94"/>
        <v>0.27993527508090615</v>
      </c>
      <c r="N39" s="148">
        <f t="shared" si="94"/>
        <v>0.28531306790021477</v>
      </c>
      <c r="O39" s="148">
        <f t="shared" si="94"/>
        <v>0.14590094539297305</v>
      </c>
      <c r="P39" s="148">
        <f t="shared" si="94"/>
        <v>-5.8851653195081441E-2</v>
      </c>
      <c r="Q39" s="128"/>
      <c r="R39" s="20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39"/>
      <c r="AD39" s="137"/>
      <c r="AE39" s="156"/>
    </row>
    <row r="40" spans="2:31" x14ac:dyDescent="0.2">
      <c r="B40" s="20" t="s">
        <v>239</v>
      </c>
      <c r="C40" s="142">
        <v>1</v>
      </c>
      <c r="D40" s="142">
        <v>1</v>
      </c>
      <c r="E40" s="143">
        <v>1</v>
      </c>
      <c r="F40" s="147">
        <v>24.47</v>
      </c>
      <c r="G40" s="147">
        <v>24.47</v>
      </c>
      <c r="H40" s="147">
        <v>24.47</v>
      </c>
      <c r="I40" s="147">
        <v>24.47</v>
      </c>
      <c r="J40" s="147">
        <v>24.47</v>
      </c>
      <c r="K40" s="147">
        <v>48.95</v>
      </c>
      <c r="L40" s="147">
        <v>48.95</v>
      </c>
      <c r="M40" s="147">
        <v>48.95</v>
      </c>
      <c r="N40" s="147">
        <v>48.95</v>
      </c>
      <c r="O40" s="147">
        <v>244.76</v>
      </c>
      <c r="P40" s="147">
        <v>244.76</v>
      </c>
      <c r="Q40" s="118">
        <f>((P40/G40)^(1/($H$2-$H$1) ))-1</f>
        <v>0.29158484847592625</v>
      </c>
      <c r="R40" s="31">
        <f t="shared" si="6"/>
        <v>0.12</v>
      </c>
      <c r="S40" s="154">
        <f>P40*(1.5)</f>
        <v>367.14</v>
      </c>
      <c r="T40" s="154">
        <f t="shared" ref="T40:AB40" si="95">S40*(1+$R40)</f>
        <v>411.1968</v>
      </c>
      <c r="U40" s="154">
        <f t="shared" si="95"/>
        <v>460.54041600000005</v>
      </c>
      <c r="V40" s="154">
        <f t="shared" si="95"/>
        <v>515.80526592000012</v>
      </c>
      <c r="W40" s="154">
        <f t="shared" si="95"/>
        <v>577.70189783040018</v>
      </c>
      <c r="X40" s="154">
        <f t="shared" si="95"/>
        <v>647.02612557004829</v>
      </c>
      <c r="Y40" s="154">
        <f t="shared" si="95"/>
        <v>724.66926063845415</v>
      </c>
      <c r="Z40" s="154">
        <f t="shared" si="95"/>
        <v>811.62957191506871</v>
      </c>
      <c r="AA40" s="154">
        <f t="shared" si="95"/>
        <v>909.02512054487704</v>
      </c>
      <c r="AB40" s="154">
        <f t="shared" si="95"/>
        <v>1018.1081350102623</v>
      </c>
      <c r="AC40" s="138">
        <f t="shared" si="19"/>
        <v>0.21679928014869643</v>
      </c>
      <c r="AD40" s="31">
        <f t="shared" si="17"/>
        <v>0.08</v>
      </c>
      <c r="AE40" s="146">
        <f t="shared" si="1"/>
        <v>7853.9770415077382</v>
      </c>
    </row>
    <row r="41" spans="2:31" x14ac:dyDescent="0.2">
      <c r="B41" s="20" t="s">
        <v>283</v>
      </c>
      <c r="C41" s="145"/>
      <c r="D41" s="145"/>
      <c r="E41" s="145"/>
      <c r="F41" s="147">
        <v>4</v>
      </c>
      <c r="G41" s="147">
        <v>6</v>
      </c>
      <c r="H41" s="147">
        <v>8</v>
      </c>
      <c r="I41" s="147">
        <v>14.5</v>
      </c>
      <c r="J41" s="147">
        <v>24.5</v>
      </c>
      <c r="K41" s="205">
        <v>15.25</v>
      </c>
      <c r="L41" s="205">
        <v>17</v>
      </c>
      <c r="M41" s="205">
        <v>23.3</v>
      </c>
      <c r="N41" s="205">
        <v>31.15</v>
      </c>
      <c r="O41" s="205">
        <v>6.4</v>
      </c>
      <c r="P41" s="206">
        <v>5.12</v>
      </c>
      <c r="Q41" s="118">
        <f>((P41/G41)^(1/($H$2-$H$1) ))-1</f>
        <v>-1.746840808100425E-2</v>
      </c>
      <c r="R41" s="31">
        <v>0.05</v>
      </c>
      <c r="S41" s="154">
        <f t="shared" ref="S41" si="96">P41*(1+$R41)</f>
        <v>5.3760000000000003</v>
      </c>
      <c r="T41" s="154">
        <f t="shared" ref="T41" si="97">S41*(1+$R41)</f>
        <v>5.6448000000000009</v>
      </c>
      <c r="U41" s="154">
        <f t="shared" ref="U41" si="98">T41*(1+$R41)</f>
        <v>5.9270400000000016</v>
      </c>
      <c r="V41" s="154">
        <f t="shared" ref="V41" si="99">U41*(1+$R41)</f>
        <v>6.2233920000000023</v>
      </c>
      <c r="W41" s="154">
        <f t="shared" ref="W41" si="100">V41*(1+$R41)</f>
        <v>6.5345616000000026</v>
      </c>
      <c r="X41" s="154">
        <f t="shared" ref="X41" si="101">W41*(1+$R41)</f>
        <v>6.8612896800000032</v>
      </c>
      <c r="Y41" s="154">
        <f t="shared" ref="Y41" si="102">X41*(1+$R41)</f>
        <v>7.2043541640000033</v>
      </c>
      <c r="Z41" s="154">
        <f t="shared" ref="Z41" si="103">Y41*(1+$R41)</f>
        <v>7.5645718722000037</v>
      </c>
      <c r="AA41" s="154">
        <f t="shared" ref="AA41" si="104">Z41*(1+$R41)</f>
        <v>7.942800465810004</v>
      </c>
      <c r="AB41" s="154">
        <f t="shared" ref="AB41" si="105">AA41*(1+$R41)</f>
        <v>8.3399404891005045</v>
      </c>
      <c r="AC41" s="138">
        <f t="shared" ref="AC41" si="106">((AB41/G41)^(1/($AB$3-$H$1) ))-1</f>
        <v>1.748246076250215E-2</v>
      </c>
      <c r="AD41" s="31">
        <f t="shared" si="17"/>
        <v>0.08</v>
      </c>
      <c r="AE41" s="146">
        <f t="shared" si="1"/>
        <v>64.33668377306104</v>
      </c>
    </row>
    <row r="42" spans="2:31" x14ac:dyDescent="0.2">
      <c r="B42" s="20"/>
      <c r="C42" s="20"/>
      <c r="D42" s="20"/>
      <c r="E42" s="127"/>
      <c r="F42" s="127"/>
      <c r="G42" s="127"/>
      <c r="H42" s="20"/>
      <c r="I42" s="20"/>
      <c r="J42" s="20"/>
      <c r="K42" s="20"/>
      <c r="L42" s="20"/>
      <c r="M42" s="20"/>
      <c r="N42" s="20"/>
      <c r="O42" s="20"/>
      <c r="P42" s="20"/>
      <c r="Q42" s="128"/>
      <c r="R42" s="128"/>
      <c r="S42" s="154"/>
      <c r="T42" s="154"/>
      <c r="U42" s="154"/>
      <c r="V42" s="154"/>
      <c r="W42" s="154"/>
      <c r="X42" s="154"/>
      <c r="Y42" s="154"/>
      <c r="Z42" s="154"/>
      <c r="AA42" s="154"/>
      <c r="AB42" s="154"/>
      <c r="AC42" s="139"/>
      <c r="AD42" s="137"/>
      <c r="AE42" s="154"/>
    </row>
    <row r="43" spans="2:31" x14ac:dyDescent="0.2">
      <c r="B43" s="108" t="s">
        <v>243</v>
      </c>
      <c r="C43" s="20"/>
      <c r="D43" s="20"/>
      <c r="E43" s="127"/>
      <c r="F43" s="127"/>
      <c r="G43" s="127"/>
      <c r="H43" s="20"/>
      <c r="I43" s="20"/>
      <c r="J43" s="20"/>
      <c r="K43" s="20"/>
      <c r="L43" s="20"/>
      <c r="M43" s="20"/>
      <c r="N43" s="20"/>
      <c r="O43" s="20"/>
      <c r="P43" s="20"/>
      <c r="Q43" s="128"/>
      <c r="R43" s="128"/>
      <c r="S43" s="154"/>
      <c r="T43" s="154"/>
      <c r="U43" s="154"/>
      <c r="V43" s="154"/>
      <c r="W43" s="154"/>
      <c r="X43" s="154"/>
      <c r="Y43" s="154"/>
      <c r="Z43" s="154"/>
      <c r="AA43" s="154"/>
      <c r="AB43" s="154"/>
      <c r="AC43" s="139"/>
      <c r="AD43" s="137"/>
      <c r="AE43" s="154"/>
    </row>
    <row r="44" spans="2:31" x14ac:dyDescent="0.2">
      <c r="B44" s="20" t="s">
        <v>304</v>
      </c>
      <c r="C44" s="133">
        <f t="shared" ref="C44:P44" si="107">C25/C40</f>
        <v>0</v>
      </c>
      <c r="D44" s="133">
        <f t="shared" si="107"/>
        <v>0</v>
      </c>
      <c r="E44" s="133">
        <f t="shared" si="107"/>
        <v>0</v>
      </c>
      <c r="F44" s="133">
        <f t="shared" si="107"/>
        <v>287.00449530036781</v>
      </c>
      <c r="G44" s="133">
        <f t="shared" si="107"/>
        <v>327.74826317940335</v>
      </c>
      <c r="H44" s="133">
        <f t="shared" si="107"/>
        <v>426.56313853698407</v>
      </c>
      <c r="I44" s="133">
        <f t="shared" si="107"/>
        <v>579.03555373927259</v>
      </c>
      <c r="J44" s="133">
        <f t="shared" si="107"/>
        <v>736.65713118103804</v>
      </c>
      <c r="K44" s="133">
        <f t="shared" si="107"/>
        <v>436.99693564862099</v>
      </c>
      <c r="L44" s="133">
        <f t="shared" si="107"/>
        <v>594.11644535240032</v>
      </c>
      <c r="M44" s="133">
        <f t="shared" si="107"/>
        <v>723.02349336057193</v>
      </c>
      <c r="N44" s="133">
        <f t="shared" si="107"/>
        <v>888.04902962206324</v>
      </c>
      <c r="O44" s="133">
        <f t="shared" si="107"/>
        <v>205.13155744402681</v>
      </c>
      <c r="P44" s="133">
        <f t="shared" si="107"/>
        <v>201.15664324235991</v>
      </c>
      <c r="Q44" s="118">
        <f>((P44/G44)^(1/($H$2-$H$1) ))-1</f>
        <v>-5.2795449805869032E-2</v>
      </c>
      <c r="R44" s="128"/>
      <c r="S44" s="158">
        <f t="shared" ref="S44:AB44" si="108">S25/S40</f>
        <v>150.19696028762874</v>
      </c>
      <c r="T44" s="158">
        <f t="shared" si="108"/>
        <v>150.19696028762877</v>
      </c>
      <c r="U44" s="158">
        <f t="shared" si="108"/>
        <v>150.19696028762874</v>
      </c>
      <c r="V44" s="158">
        <f t="shared" si="108"/>
        <v>150.19696028762874</v>
      </c>
      <c r="W44" s="158">
        <f t="shared" si="108"/>
        <v>150.19696028762877</v>
      </c>
      <c r="X44" s="158">
        <f t="shared" si="108"/>
        <v>150.19696028762874</v>
      </c>
      <c r="Y44" s="158">
        <f t="shared" si="108"/>
        <v>150.19696028762874</v>
      </c>
      <c r="Z44" s="158">
        <f t="shared" si="108"/>
        <v>150.19696028762874</v>
      </c>
      <c r="AA44" s="158">
        <f t="shared" si="108"/>
        <v>150.19696028762874</v>
      </c>
      <c r="AB44" s="158">
        <f t="shared" si="108"/>
        <v>150.19696028762874</v>
      </c>
      <c r="AC44" s="138">
        <f t="shared" ref="AC44" si="109">((AB44/G44)^(1/($AB$3-$H$1) ))-1</f>
        <v>-4.0236455565039964E-2</v>
      </c>
      <c r="AD44" s="31">
        <f t="shared" si="17"/>
        <v>0.08</v>
      </c>
      <c r="AE44" s="146">
        <f t="shared" ref="AE44:AE45" si="110">(AB44*(1+AD44))/($C$1-AD44)</f>
        <v>1158.6622650759932</v>
      </c>
    </row>
    <row r="45" spans="2:31" x14ac:dyDescent="0.2">
      <c r="B45" s="20" t="s">
        <v>305</v>
      </c>
      <c r="C45" s="133">
        <f t="shared" ref="C45:P45" si="111">C27/C40</f>
        <v>0</v>
      </c>
      <c r="D45" s="133">
        <f t="shared" si="111"/>
        <v>0</v>
      </c>
      <c r="E45" s="133">
        <f t="shared" si="111"/>
        <v>0</v>
      </c>
      <c r="F45" s="133">
        <f t="shared" si="111"/>
        <v>243.44094809971395</v>
      </c>
      <c r="G45" s="133">
        <f t="shared" si="111"/>
        <v>292.27625664078465</v>
      </c>
      <c r="H45" s="133">
        <f t="shared" si="111"/>
        <v>362.68900694728239</v>
      </c>
      <c r="I45" s="133">
        <f t="shared" si="111"/>
        <v>474.17245606865549</v>
      </c>
      <c r="J45" s="133">
        <f t="shared" si="111"/>
        <v>572.1291377196568</v>
      </c>
      <c r="K45" s="133">
        <f t="shared" si="111"/>
        <v>339.55056179775278</v>
      </c>
      <c r="L45" s="133">
        <f t="shared" si="111"/>
        <v>487.64044943820221</v>
      </c>
      <c r="M45" s="133">
        <f t="shared" si="111"/>
        <v>575.44433094994895</v>
      </c>
      <c r="N45" s="133">
        <f t="shared" si="111"/>
        <v>689.84678243105202</v>
      </c>
      <c r="O45" s="133">
        <f t="shared" si="111"/>
        <v>159.19676417715314</v>
      </c>
      <c r="P45" s="133">
        <f t="shared" si="111"/>
        <v>161.10802418695866</v>
      </c>
      <c r="Q45" s="118">
        <f>((P45/G45)^(1/($H$2-$H$1) ))-1</f>
        <v>-6.4038075620456048E-2</v>
      </c>
      <c r="R45" s="128"/>
      <c r="S45" s="158">
        <f t="shared" ref="S45:AB45" si="112">S27/S40</f>
        <v>120.29399139292914</v>
      </c>
      <c r="T45" s="158">
        <f t="shared" si="112"/>
        <v>120.29399139292914</v>
      </c>
      <c r="U45" s="158">
        <f t="shared" si="112"/>
        <v>120.29399139292914</v>
      </c>
      <c r="V45" s="158">
        <f t="shared" si="112"/>
        <v>120.29399139292914</v>
      </c>
      <c r="W45" s="158">
        <f t="shared" si="112"/>
        <v>120.29399139292914</v>
      </c>
      <c r="X45" s="158">
        <f t="shared" si="112"/>
        <v>120.29399139292914</v>
      </c>
      <c r="Y45" s="158">
        <f t="shared" si="112"/>
        <v>120.29399139292914</v>
      </c>
      <c r="Z45" s="158">
        <f t="shared" si="112"/>
        <v>120.29399139292914</v>
      </c>
      <c r="AA45" s="158">
        <f t="shared" si="112"/>
        <v>120.29399139292914</v>
      </c>
      <c r="AB45" s="158">
        <f t="shared" si="112"/>
        <v>120.29399139292916</v>
      </c>
      <c r="AC45" s="138">
        <f t="shared" ref="AC45" si="113">((AB45/G45)^(1/($AB$3-$H$1) ))-1</f>
        <v>-4.5649477262454274E-2</v>
      </c>
      <c r="AD45" s="31">
        <f t="shared" si="17"/>
        <v>0.08</v>
      </c>
      <c r="AE45" s="146">
        <f t="shared" si="110"/>
        <v>927.98221931688215</v>
      </c>
    </row>
    <row r="46" spans="2:31" x14ac:dyDescent="0.2">
      <c r="B46" s="20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28"/>
      <c r="R46" s="128"/>
      <c r="S46" s="158"/>
      <c r="T46" s="158"/>
      <c r="U46" s="158"/>
      <c r="V46" s="158"/>
      <c r="W46" s="158"/>
      <c r="X46" s="158"/>
      <c r="Y46" s="158"/>
      <c r="Z46" s="158"/>
      <c r="AA46" s="158"/>
      <c r="AB46" s="158"/>
      <c r="AC46" s="119"/>
      <c r="AD46" s="137"/>
      <c r="AE46" s="146"/>
    </row>
    <row r="47" spans="2:31" x14ac:dyDescent="0.2">
      <c r="B47" s="20" t="s">
        <v>258</v>
      </c>
      <c r="C47" s="25">
        <f t="shared" ref="C47:P47" si="114">C38/C40</f>
        <v>0</v>
      </c>
      <c r="D47" s="25">
        <f t="shared" si="114"/>
        <v>0</v>
      </c>
      <c r="E47" s="25">
        <f t="shared" si="114"/>
        <v>0</v>
      </c>
      <c r="F47" s="133">
        <f t="shared" si="114"/>
        <v>18.144666939109115</v>
      </c>
      <c r="G47" s="133">
        <f t="shared" si="114"/>
        <v>26.890069472823868</v>
      </c>
      <c r="H47" s="133">
        <f t="shared" si="114"/>
        <v>38.945647731916637</v>
      </c>
      <c r="I47" s="133">
        <f t="shared" si="114"/>
        <v>68.614630159378834</v>
      </c>
      <c r="J47" s="133">
        <f t="shared" si="114"/>
        <v>98.651409889660812</v>
      </c>
      <c r="K47" s="133">
        <f t="shared" si="114"/>
        <v>58.406537282941777</v>
      </c>
      <c r="L47" s="133">
        <f t="shared" si="114"/>
        <v>63.636363636363633</v>
      </c>
      <c r="M47" s="133">
        <f t="shared" si="114"/>
        <v>88.375893769152185</v>
      </c>
      <c r="N47" s="133">
        <f t="shared" si="114"/>
        <v>123.65679264555668</v>
      </c>
      <c r="O47" s="133">
        <f t="shared" si="114"/>
        <v>28.954894590619382</v>
      </c>
      <c r="P47" s="133">
        <f t="shared" si="114"/>
        <v>27.34556300049028</v>
      </c>
      <c r="Q47" s="118">
        <f>((P47/G47)^(1/($H$2-$H$1) ))-1</f>
        <v>1.8681017884236706E-3</v>
      </c>
      <c r="R47" s="128"/>
      <c r="S47" s="158">
        <f t="shared" ref="S47:AB47" si="115">S38/S40</f>
        <v>20.418020373699409</v>
      </c>
      <c r="T47" s="158">
        <f t="shared" si="115"/>
        <v>20.418020373699413</v>
      </c>
      <c r="U47" s="158">
        <f t="shared" si="115"/>
        <v>20.418020373699413</v>
      </c>
      <c r="V47" s="158">
        <f t="shared" si="115"/>
        <v>20.418020373699413</v>
      </c>
      <c r="W47" s="158">
        <f t="shared" si="115"/>
        <v>20.418020373699413</v>
      </c>
      <c r="X47" s="158">
        <f t="shared" si="115"/>
        <v>20.418020373699413</v>
      </c>
      <c r="Y47" s="158">
        <f t="shared" si="115"/>
        <v>20.418020373699413</v>
      </c>
      <c r="Z47" s="158">
        <f t="shared" si="115"/>
        <v>20.418020373699413</v>
      </c>
      <c r="AA47" s="158">
        <f t="shared" si="115"/>
        <v>20.418020373699413</v>
      </c>
      <c r="AB47" s="158">
        <f t="shared" si="115"/>
        <v>20.418020373699413</v>
      </c>
      <c r="AC47" s="138">
        <f t="shared" ref="AC47:AC61" si="116">((AB47/G47)^(1/($AB$3-$H$1) ))-1</f>
        <v>-1.4387039453197081E-2</v>
      </c>
      <c r="AD47" s="31">
        <f t="shared" si="17"/>
        <v>0.08</v>
      </c>
      <c r="AE47" s="146">
        <f t="shared" ref="AE47:AE75" si="117">(AB47*(1+AD47))/($C$1-AD47)</f>
        <v>157.51044288282404</v>
      </c>
    </row>
    <row r="48" spans="2:31" x14ac:dyDescent="0.2">
      <c r="B48" s="20" t="s">
        <v>389</v>
      </c>
      <c r="C48" s="133">
        <f t="shared" ref="C48:F48" si="118">C20/C40</f>
        <v>0</v>
      </c>
      <c r="D48" s="133">
        <f t="shared" si="118"/>
        <v>0</v>
      </c>
      <c r="E48" s="133">
        <f t="shared" si="118"/>
        <v>0</v>
      </c>
      <c r="F48" s="133">
        <f t="shared" si="118"/>
        <v>50.796894156109524</v>
      </c>
      <c r="G48" s="133">
        <f>G20/G40</f>
        <v>69.268492031058443</v>
      </c>
      <c r="H48" s="133">
        <f t="shared" ref="H48:P48" si="119">H20/H40</f>
        <v>33.428688189619947</v>
      </c>
      <c r="I48" s="133">
        <f t="shared" si="119"/>
        <v>66.326113608500208</v>
      </c>
      <c r="J48" s="133">
        <f t="shared" si="119"/>
        <v>115.28402125051083</v>
      </c>
      <c r="K48" s="133">
        <f t="shared" si="119"/>
        <v>71.052093973442283</v>
      </c>
      <c r="L48" s="133">
        <f t="shared" si="119"/>
        <v>67.231869254341163</v>
      </c>
      <c r="M48" s="133">
        <f t="shared" si="119"/>
        <v>32.379979570990805</v>
      </c>
      <c r="N48" s="133">
        <f t="shared" si="119"/>
        <v>54.300306435137891</v>
      </c>
      <c r="O48" s="133">
        <f t="shared" si="119"/>
        <v>-3.3216211799313613</v>
      </c>
      <c r="P48" s="133">
        <f t="shared" si="119"/>
        <v>7.6156234678869099</v>
      </c>
      <c r="Q48" s="118">
        <f>((P48/G48)^(1/($H$2-$H$1) ))-1</f>
        <v>-0.21753791351905727</v>
      </c>
      <c r="R48" s="128"/>
      <c r="S48" s="133">
        <f t="shared" ref="S48:AB48" si="120">S20/S40</f>
        <v>5.6863321893555598</v>
      </c>
      <c r="T48" s="133">
        <f t="shared" si="120"/>
        <v>5.6863321893555598</v>
      </c>
      <c r="U48" s="133">
        <f t="shared" si="120"/>
        <v>5.6863321893555598</v>
      </c>
      <c r="V48" s="133">
        <f t="shared" si="120"/>
        <v>5.686332189355559</v>
      </c>
      <c r="W48" s="133">
        <f t="shared" si="120"/>
        <v>5.6863321893555598</v>
      </c>
      <c r="X48" s="133">
        <f t="shared" si="120"/>
        <v>5.6863321893555598</v>
      </c>
      <c r="Y48" s="133">
        <f t="shared" si="120"/>
        <v>5.6863321893555598</v>
      </c>
      <c r="Z48" s="133">
        <f t="shared" si="120"/>
        <v>5.6863321893555598</v>
      </c>
      <c r="AA48" s="133">
        <f t="shared" si="120"/>
        <v>5.6863321893555598</v>
      </c>
      <c r="AB48" s="133">
        <f t="shared" si="120"/>
        <v>5.686332189355559</v>
      </c>
      <c r="AC48" s="138">
        <f t="shared" ref="AC48" si="121">((AB48/G48)^(1/($AB$3-$H$1) ))-1</f>
        <v>-0.12328646739178573</v>
      </c>
      <c r="AD48" s="31">
        <f t="shared" si="17"/>
        <v>0.08</v>
      </c>
      <c r="AE48" s="146">
        <f t="shared" si="117"/>
        <v>43.86599117502859</v>
      </c>
    </row>
    <row r="49" spans="2:31" x14ac:dyDescent="0.2">
      <c r="B49" s="20" t="s">
        <v>245</v>
      </c>
      <c r="C49" s="25">
        <f t="shared" ref="C49:P49" si="122">C7/C40</f>
        <v>0</v>
      </c>
      <c r="D49" s="25">
        <f t="shared" si="122"/>
        <v>0</v>
      </c>
      <c r="E49" s="25">
        <f t="shared" si="122"/>
        <v>0</v>
      </c>
      <c r="F49" s="133">
        <f t="shared" si="122"/>
        <v>196.28116060482225</v>
      </c>
      <c r="G49" s="133">
        <f t="shared" si="122"/>
        <v>216.38741315897019</v>
      </c>
      <c r="H49" s="133">
        <f t="shared" si="122"/>
        <v>246.26072742133226</v>
      </c>
      <c r="I49" s="133">
        <f t="shared" si="122"/>
        <v>298.365345320801</v>
      </c>
      <c r="J49" s="133">
        <f t="shared" si="122"/>
        <v>359.13363302002455</v>
      </c>
      <c r="K49" s="133">
        <f t="shared" si="122"/>
        <v>220.10214504596524</v>
      </c>
      <c r="L49" s="133">
        <f t="shared" si="122"/>
        <v>263.9987742594484</v>
      </c>
      <c r="M49" s="133">
        <f t="shared" si="122"/>
        <v>324.73912155260467</v>
      </c>
      <c r="N49" s="133">
        <f t="shared" si="122"/>
        <v>411.74831460674159</v>
      </c>
      <c r="O49" s="133">
        <f t="shared" si="122"/>
        <v>103.7876286974996</v>
      </c>
      <c r="P49" s="133">
        <f t="shared" si="122"/>
        <v>124.74546494525249</v>
      </c>
      <c r="Q49" s="118">
        <f>((P49/G49)^(1/($H$2-$H$1) ))-1</f>
        <v>-5.9364383455864478E-2</v>
      </c>
      <c r="R49" s="128"/>
      <c r="S49" s="158">
        <f t="shared" ref="S49:AB49" si="123">S7/S40</f>
        <v>93.143280492455204</v>
      </c>
      <c r="T49" s="158">
        <f t="shared" si="123"/>
        <v>93.143280492455219</v>
      </c>
      <c r="U49" s="158">
        <f t="shared" si="123"/>
        <v>93.143280492455204</v>
      </c>
      <c r="V49" s="158">
        <f t="shared" si="123"/>
        <v>93.143280492455204</v>
      </c>
      <c r="W49" s="158">
        <f t="shared" si="123"/>
        <v>93.143280492455219</v>
      </c>
      <c r="X49" s="158">
        <f t="shared" si="123"/>
        <v>93.143280492455219</v>
      </c>
      <c r="Y49" s="158">
        <f t="shared" si="123"/>
        <v>93.143280492455204</v>
      </c>
      <c r="Z49" s="158">
        <f t="shared" si="123"/>
        <v>93.143280492455219</v>
      </c>
      <c r="AA49" s="158">
        <f t="shared" si="123"/>
        <v>93.143280492455204</v>
      </c>
      <c r="AB49" s="158">
        <f t="shared" si="123"/>
        <v>93.143280492455219</v>
      </c>
      <c r="AC49" s="138">
        <f t="shared" si="116"/>
        <v>-4.3395086868267096E-2</v>
      </c>
      <c r="AD49" s="31">
        <f t="shared" si="17"/>
        <v>0.08</v>
      </c>
      <c r="AE49" s="146">
        <f t="shared" si="117"/>
        <v>718.53387808465448</v>
      </c>
    </row>
    <row r="50" spans="2:31" x14ac:dyDescent="0.2">
      <c r="B50" s="20" t="s">
        <v>246</v>
      </c>
      <c r="C50" s="127">
        <f t="shared" ref="C50:P50" si="124">C6/C40</f>
        <v>0</v>
      </c>
      <c r="D50" s="127">
        <f t="shared" si="124"/>
        <v>0</v>
      </c>
      <c r="E50" s="127">
        <f t="shared" si="124"/>
        <v>0</v>
      </c>
      <c r="F50" s="144">
        <f t="shared" si="124"/>
        <v>186.30976706170821</v>
      </c>
      <c r="G50" s="144">
        <f t="shared" si="124"/>
        <v>206.41601961585616</v>
      </c>
      <c r="H50" s="144">
        <f t="shared" si="124"/>
        <v>236.28933387821823</v>
      </c>
      <c r="I50" s="144">
        <f t="shared" si="124"/>
        <v>288.35308541070702</v>
      </c>
      <c r="J50" s="144">
        <f t="shared" si="124"/>
        <v>349.12137310993052</v>
      </c>
      <c r="K50" s="144">
        <f t="shared" si="124"/>
        <v>210.09193054136873</v>
      </c>
      <c r="L50" s="144">
        <f t="shared" si="124"/>
        <v>253.99836567926454</v>
      </c>
      <c r="M50" s="144">
        <f t="shared" si="124"/>
        <v>314.73871297242079</v>
      </c>
      <c r="N50" s="144">
        <f t="shared" si="124"/>
        <v>401.7479060265577</v>
      </c>
      <c r="O50" s="144">
        <f t="shared" si="124"/>
        <v>101.7876286974996</v>
      </c>
      <c r="P50" s="144">
        <f t="shared" si="124"/>
        <v>122.74554665795065</v>
      </c>
      <c r="Q50" s="118">
        <f>((P50/G50)^(1/($H$2-$H$1) ))-1</f>
        <v>-5.6117273516941291E-2</v>
      </c>
      <c r="R50" s="128"/>
      <c r="S50" s="157">
        <f t="shared" ref="S50:AB50" si="125">S6/S40</f>
        <v>91.650008171269832</v>
      </c>
      <c r="T50" s="157">
        <f t="shared" si="125"/>
        <v>91.650008171269832</v>
      </c>
      <c r="U50" s="157">
        <f t="shared" si="125"/>
        <v>91.650008171269832</v>
      </c>
      <c r="V50" s="157">
        <f t="shared" si="125"/>
        <v>91.650008171269832</v>
      </c>
      <c r="W50" s="157">
        <f t="shared" si="125"/>
        <v>91.650008171269846</v>
      </c>
      <c r="X50" s="157">
        <f t="shared" si="125"/>
        <v>91.650008171269832</v>
      </c>
      <c r="Y50" s="157">
        <f t="shared" si="125"/>
        <v>91.650008171269832</v>
      </c>
      <c r="Z50" s="157">
        <f t="shared" si="125"/>
        <v>91.650008171269832</v>
      </c>
      <c r="AA50" s="157">
        <f t="shared" si="125"/>
        <v>91.650008171269832</v>
      </c>
      <c r="AB50" s="157">
        <f t="shared" si="125"/>
        <v>91.650008171269832</v>
      </c>
      <c r="AC50" s="138">
        <f t="shared" si="116"/>
        <v>-4.1832288044505117E-2</v>
      </c>
      <c r="AD50" s="31">
        <f t="shared" si="17"/>
        <v>0.08</v>
      </c>
      <c r="AE50" s="146">
        <f t="shared" si="117"/>
        <v>707.01434874979589</v>
      </c>
    </row>
    <row r="51" spans="2:31" x14ac:dyDescent="0.2">
      <c r="B51" s="20" t="s">
        <v>247</v>
      </c>
      <c r="C51" s="127">
        <f t="shared" ref="C51:P51" si="126">C10/C40</f>
        <v>0</v>
      </c>
      <c r="D51" s="127">
        <f t="shared" si="126"/>
        <v>0</v>
      </c>
      <c r="E51" s="127">
        <f t="shared" si="126"/>
        <v>0</v>
      </c>
      <c r="F51" s="144">
        <f t="shared" si="126"/>
        <v>21.700040866366979</v>
      </c>
      <c r="G51" s="144">
        <f t="shared" si="126"/>
        <v>22.067838169186761</v>
      </c>
      <c r="H51" s="144">
        <f t="shared" si="126"/>
        <v>21.904372701266858</v>
      </c>
      <c r="I51" s="144">
        <f t="shared" si="126"/>
        <v>22.803432774826319</v>
      </c>
      <c r="J51" s="144">
        <f t="shared" si="126"/>
        <v>3.637106661217818</v>
      </c>
      <c r="K51" s="144">
        <f t="shared" si="126"/>
        <v>1.9407558733401429</v>
      </c>
      <c r="L51" s="144">
        <f t="shared" si="126"/>
        <v>3.4116445352400406</v>
      </c>
      <c r="M51" s="144">
        <f t="shared" si="126"/>
        <v>3.023493360572012</v>
      </c>
      <c r="N51" s="144">
        <f t="shared" si="126"/>
        <v>5.5158324821246163</v>
      </c>
      <c r="O51" s="144">
        <f t="shared" si="126"/>
        <v>1.5075992809282563</v>
      </c>
      <c r="P51" s="144">
        <f t="shared" si="126"/>
        <v>5.0375878411505148</v>
      </c>
      <c r="Q51" s="118">
        <f>((P51/G51)^(1/($H$2-$H$1) ))-1</f>
        <v>-0.15137056076414257</v>
      </c>
      <c r="R51" s="128"/>
      <c r="S51" s="157">
        <f t="shared" ref="S51:AB51" si="127">S10/S40</f>
        <v>3.7613989213923844</v>
      </c>
      <c r="T51" s="157">
        <f t="shared" si="127"/>
        <v>3.7613989213923849</v>
      </c>
      <c r="U51" s="157">
        <f t="shared" si="127"/>
        <v>3.7613989213923849</v>
      </c>
      <c r="V51" s="157">
        <f t="shared" si="127"/>
        <v>3.7613989213923844</v>
      </c>
      <c r="W51" s="157">
        <f t="shared" si="127"/>
        <v>3.7613989213923844</v>
      </c>
      <c r="X51" s="157">
        <f t="shared" si="127"/>
        <v>3.7613989213923844</v>
      </c>
      <c r="Y51" s="157">
        <f t="shared" si="127"/>
        <v>3.7613989213923849</v>
      </c>
      <c r="Z51" s="157">
        <f t="shared" si="127"/>
        <v>3.7613989213923844</v>
      </c>
      <c r="AA51" s="157">
        <f t="shared" si="127"/>
        <v>3.7613989213923844</v>
      </c>
      <c r="AB51" s="157">
        <f t="shared" si="127"/>
        <v>3.7613989213923844</v>
      </c>
      <c r="AC51" s="138">
        <f t="shared" si="116"/>
        <v>-8.8918249310907527E-2</v>
      </c>
      <c r="AD51" s="31">
        <f t="shared" si="17"/>
        <v>0.08</v>
      </c>
      <c r="AE51" s="146">
        <f t="shared" si="117"/>
        <v>29.016505965026965</v>
      </c>
    </row>
    <row r="52" spans="2:31" x14ac:dyDescent="0.2">
      <c r="B52" s="20"/>
      <c r="C52" s="127"/>
      <c r="D52" s="127"/>
      <c r="E52" s="127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28"/>
      <c r="R52" s="128"/>
      <c r="S52" s="157"/>
      <c r="T52" s="157"/>
      <c r="U52" s="157"/>
      <c r="V52" s="157"/>
      <c r="W52" s="157"/>
      <c r="X52" s="157"/>
      <c r="Y52" s="157"/>
      <c r="Z52" s="157"/>
      <c r="AA52" s="157"/>
      <c r="AB52" s="157"/>
      <c r="AC52" s="139"/>
      <c r="AD52" s="137"/>
      <c r="AE52" s="146"/>
    </row>
    <row r="53" spans="2:31" x14ac:dyDescent="0.2">
      <c r="B53" s="20" t="s">
        <v>271</v>
      </c>
      <c r="C53" s="127">
        <f t="shared" ref="C53:P53" si="128">(C7-C10)/C40</f>
        <v>0</v>
      </c>
      <c r="D53" s="127">
        <f t="shared" si="128"/>
        <v>0</v>
      </c>
      <c r="E53" s="127">
        <f t="shared" si="128"/>
        <v>0</v>
      </c>
      <c r="F53" s="144">
        <f t="shared" si="128"/>
        <v>174.58111973845527</v>
      </c>
      <c r="G53" s="144">
        <f t="shared" si="128"/>
        <v>194.3195749897834</v>
      </c>
      <c r="H53" s="144">
        <f t="shared" si="128"/>
        <v>224.35635472006538</v>
      </c>
      <c r="I53" s="144">
        <f t="shared" si="128"/>
        <v>275.56191254597468</v>
      </c>
      <c r="J53" s="144">
        <f t="shared" si="128"/>
        <v>355.4965263588067</v>
      </c>
      <c r="K53" s="144">
        <f t="shared" si="128"/>
        <v>218.16138917262512</v>
      </c>
      <c r="L53" s="144">
        <f t="shared" si="128"/>
        <v>260.58712972420835</v>
      </c>
      <c r="M53" s="144">
        <f t="shared" si="128"/>
        <v>321.71562819203268</v>
      </c>
      <c r="N53" s="144">
        <f t="shared" si="128"/>
        <v>406.23248212461698</v>
      </c>
      <c r="O53" s="144">
        <f t="shared" si="128"/>
        <v>102.28002941657134</v>
      </c>
      <c r="P53" s="144">
        <f t="shared" si="128"/>
        <v>119.70787710410198</v>
      </c>
      <c r="Q53" s="118">
        <f>((P53/G53)^(1/($H$2-$H$1) ))-1</f>
        <v>-5.2404676899508118E-2</v>
      </c>
      <c r="R53" s="128"/>
      <c r="S53" s="157">
        <f t="shared" ref="S53:AB53" si="129">(S7-S10)/S40</f>
        <v>89.38188157106282</v>
      </c>
      <c r="T53" s="157">
        <f t="shared" si="129"/>
        <v>89.381881571062834</v>
      </c>
      <c r="U53" s="157">
        <f t="shared" si="129"/>
        <v>89.38188157106282</v>
      </c>
      <c r="V53" s="157">
        <f t="shared" si="129"/>
        <v>89.381881571062834</v>
      </c>
      <c r="W53" s="157">
        <f t="shared" si="129"/>
        <v>89.381881571062834</v>
      </c>
      <c r="X53" s="157">
        <f t="shared" si="129"/>
        <v>89.381881571062834</v>
      </c>
      <c r="Y53" s="157">
        <f t="shared" si="129"/>
        <v>89.38188157106282</v>
      </c>
      <c r="Z53" s="157">
        <f t="shared" si="129"/>
        <v>89.381881571062834</v>
      </c>
      <c r="AA53" s="157">
        <f t="shared" si="129"/>
        <v>89.38188157106282</v>
      </c>
      <c r="AB53" s="157">
        <f t="shared" si="129"/>
        <v>89.381881571062834</v>
      </c>
      <c r="AC53" s="138">
        <f t="shared" si="116"/>
        <v>-4.0048918685744117E-2</v>
      </c>
      <c r="AD53" s="31">
        <f t="shared" si="17"/>
        <v>0.08</v>
      </c>
      <c r="AE53" s="146">
        <f t="shared" si="117"/>
        <v>689.51737211962757</v>
      </c>
    </row>
    <row r="54" spans="2:31" x14ac:dyDescent="0.2">
      <c r="B54" s="20" t="s">
        <v>272</v>
      </c>
      <c r="C54" s="127">
        <f t="shared" ref="C54:P54" si="130">(C7-C10-C9)/C40</f>
        <v>0</v>
      </c>
      <c r="D54" s="127">
        <f t="shared" si="130"/>
        <v>0</v>
      </c>
      <c r="E54" s="127">
        <f t="shared" si="130"/>
        <v>0</v>
      </c>
      <c r="F54" s="144">
        <f t="shared" si="130"/>
        <v>7.274213322435636</v>
      </c>
      <c r="G54" s="144">
        <f t="shared" si="130"/>
        <v>-23.865958316305683</v>
      </c>
      <c r="H54" s="144">
        <f t="shared" si="130"/>
        <v>-71.843073150796897</v>
      </c>
      <c r="I54" s="144">
        <f t="shared" si="130"/>
        <v>-88.353085410706996</v>
      </c>
      <c r="J54" s="144">
        <f t="shared" si="130"/>
        <v>-133.14262362076013</v>
      </c>
      <c r="K54" s="144">
        <f t="shared" si="130"/>
        <v>-121.61389172625127</v>
      </c>
      <c r="L54" s="144">
        <f t="shared" si="130"/>
        <v>-324.14116445352403</v>
      </c>
      <c r="M54" s="144">
        <f t="shared" si="130"/>
        <v>-346.92625127681305</v>
      </c>
      <c r="N54" s="144">
        <f t="shared" si="130"/>
        <v>-396.85903983656789</v>
      </c>
      <c r="O54" s="144">
        <f t="shared" si="130"/>
        <v>-67.900678215394677</v>
      </c>
      <c r="P54" s="144">
        <f t="shared" si="130"/>
        <v>4.4590619382252061</v>
      </c>
      <c r="Q54" s="118">
        <f>((P54/G54)^(1/($H$2-$H$1) ))-1</f>
        <v>-1.8299494189903238</v>
      </c>
      <c r="R54" s="128"/>
      <c r="S54" s="157">
        <f t="shared" ref="S54:AB54" si="131">(S7-S10-S9)/S40</f>
        <v>3.3294329138748222</v>
      </c>
      <c r="T54" s="157">
        <f t="shared" si="131"/>
        <v>3.329432913874832</v>
      </c>
      <c r="U54" s="157">
        <f t="shared" si="131"/>
        <v>3.3294329138748187</v>
      </c>
      <c r="V54" s="157">
        <f t="shared" si="131"/>
        <v>3.3294329138748311</v>
      </c>
      <c r="W54" s="157">
        <f t="shared" si="131"/>
        <v>3.3294329138748293</v>
      </c>
      <c r="X54" s="157">
        <f t="shared" si="131"/>
        <v>3.3294329138748187</v>
      </c>
      <c r="Y54" s="157">
        <f t="shared" si="131"/>
        <v>3.3294329138748129</v>
      </c>
      <c r="Z54" s="157">
        <f t="shared" si="131"/>
        <v>3.329432913874832</v>
      </c>
      <c r="AA54" s="157">
        <f t="shared" si="131"/>
        <v>3.3294329138748151</v>
      </c>
      <c r="AB54" s="157">
        <f t="shared" si="131"/>
        <v>3.329432913874832</v>
      </c>
      <c r="AC54" s="138">
        <f t="shared" si="116"/>
        <v>-1.9015264939758947</v>
      </c>
      <c r="AD54" s="31">
        <f t="shared" si="17"/>
        <v>0.08</v>
      </c>
      <c r="AE54" s="146">
        <f t="shared" si="117"/>
        <v>25.684196764177276</v>
      </c>
    </row>
    <row r="55" spans="2:31" x14ac:dyDescent="0.2">
      <c r="B55" s="20" t="s">
        <v>277</v>
      </c>
      <c r="C55" s="127">
        <f t="shared" ref="C55:P55" si="132">(C7+C15-C10-C9)/C40</f>
        <v>0</v>
      </c>
      <c r="D55" s="127">
        <f t="shared" si="132"/>
        <v>0</v>
      </c>
      <c r="E55" s="127">
        <f t="shared" si="132"/>
        <v>0</v>
      </c>
      <c r="F55" s="144">
        <f t="shared" si="132"/>
        <v>370.69881487535758</v>
      </c>
      <c r="G55" s="144">
        <f t="shared" si="132"/>
        <v>428.32039231712304</v>
      </c>
      <c r="H55" s="144">
        <f t="shared" si="132"/>
        <v>499.75480179812018</v>
      </c>
      <c r="I55" s="144">
        <f t="shared" si="132"/>
        <v>697.58888434818152</v>
      </c>
      <c r="J55" s="144">
        <f t="shared" si="132"/>
        <v>898.28361258684106</v>
      </c>
      <c r="K55" s="144">
        <f t="shared" si="132"/>
        <v>562.00204290091926</v>
      </c>
      <c r="L55" s="144">
        <f t="shared" si="132"/>
        <v>470.22042900919297</v>
      </c>
      <c r="M55" s="144">
        <f t="shared" si="132"/>
        <v>564.28927477017351</v>
      </c>
      <c r="N55" s="144">
        <f t="shared" si="132"/>
        <v>704.4279877425945</v>
      </c>
      <c r="O55" s="144">
        <f t="shared" si="132"/>
        <v>181.90321130903743</v>
      </c>
      <c r="P55" s="144">
        <f t="shared" si="132"/>
        <v>214.50482104919104</v>
      </c>
      <c r="Q55" s="118">
        <f>((P55/G55)^(1/($H$2-$H$1) ))-1</f>
        <v>-7.3959860407142641E-2</v>
      </c>
      <c r="R55" s="128"/>
      <c r="S55" s="157">
        <f t="shared" ref="S55:AB55" si="133">(S7+S15-S10-S9)/S40</f>
        <v>160.16359971672935</v>
      </c>
      <c r="T55" s="157">
        <f t="shared" si="133"/>
        <v>160.16359971672935</v>
      </c>
      <c r="U55" s="157">
        <f t="shared" si="133"/>
        <v>160.16359971672938</v>
      </c>
      <c r="V55" s="157">
        <f t="shared" si="133"/>
        <v>160.16359971672935</v>
      </c>
      <c r="W55" s="157">
        <f t="shared" si="133"/>
        <v>160.16359971672935</v>
      </c>
      <c r="X55" s="157">
        <f t="shared" si="133"/>
        <v>160.16359971672932</v>
      </c>
      <c r="Y55" s="157">
        <f t="shared" si="133"/>
        <v>160.16359971672932</v>
      </c>
      <c r="Z55" s="157">
        <f t="shared" si="133"/>
        <v>160.16359971672938</v>
      </c>
      <c r="AA55" s="157">
        <f t="shared" si="133"/>
        <v>160.16359971672938</v>
      </c>
      <c r="AB55" s="157">
        <f t="shared" si="133"/>
        <v>160.16359971672935</v>
      </c>
      <c r="AC55" s="138">
        <f t="shared" si="116"/>
        <v>-5.0455046546564963E-2</v>
      </c>
      <c r="AD55" s="31">
        <f t="shared" si="17"/>
        <v>0.08</v>
      </c>
      <c r="AE55" s="146">
        <f t="shared" si="117"/>
        <v>1235.5477692433408</v>
      </c>
    </row>
    <row r="56" spans="2:31" x14ac:dyDescent="0.2">
      <c r="B56" s="20"/>
      <c r="C56" s="127"/>
      <c r="D56" s="127"/>
      <c r="E56" s="127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28"/>
      <c r="R56" s="128"/>
      <c r="S56" s="154"/>
      <c r="T56" s="154"/>
      <c r="U56" s="154"/>
      <c r="V56" s="154"/>
      <c r="W56" s="154"/>
      <c r="X56" s="154"/>
      <c r="Y56" s="154"/>
      <c r="Z56" s="154"/>
      <c r="AA56" s="154"/>
      <c r="AB56" s="154"/>
      <c r="AC56" s="139"/>
      <c r="AD56" s="137"/>
      <c r="AE56" s="154"/>
    </row>
    <row r="57" spans="2:31" x14ac:dyDescent="0.2">
      <c r="B57" s="20" t="s">
        <v>248</v>
      </c>
      <c r="C57" s="127">
        <f t="shared" ref="C57:P57" si="134">C12/C40</f>
        <v>0</v>
      </c>
      <c r="D57" s="127">
        <f t="shared" si="134"/>
        <v>0</v>
      </c>
      <c r="E57" s="127">
        <f t="shared" si="134"/>
        <v>0</v>
      </c>
      <c r="F57" s="144">
        <f t="shared" si="134"/>
        <v>53.943604413567634</v>
      </c>
      <c r="G57" s="144">
        <f t="shared" si="134"/>
        <v>108.6636697997548</v>
      </c>
      <c r="H57" s="144">
        <f t="shared" si="134"/>
        <v>129.8324478953821</v>
      </c>
      <c r="I57" s="144">
        <f t="shared" si="134"/>
        <v>168.90069472823868</v>
      </c>
      <c r="J57" s="144">
        <f t="shared" si="134"/>
        <v>237.3518594196976</v>
      </c>
      <c r="K57" s="144">
        <f t="shared" si="134"/>
        <v>171.31767109295197</v>
      </c>
      <c r="L57" s="144">
        <f t="shared" si="134"/>
        <v>211.01123595505618</v>
      </c>
      <c r="M57" s="144">
        <f t="shared" si="134"/>
        <v>201.34831460674155</v>
      </c>
      <c r="N57" s="144">
        <f t="shared" si="134"/>
        <v>198.26353421859039</v>
      </c>
      <c r="O57" s="144">
        <f t="shared" si="134"/>
        <v>27.512665468213761</v>
      </c>
      <c r="P57" s="144">
        <f t="shared" si="134"/>
        <v>32.052214414119959</v>
      </c>
      <c r="Q57" s="118">
        <f>((P57/G57)^(1/($H$2-$H$1) ))-1</f>
        <v>-0.1268558201033535</v>
      </c>
      <c r="R57" s="128"/>
      <c r="S57" s="157">
        <f t="shared" ref="S57:AB57" si="135">S12/S40</f>
        <v>23.932320095876236</v>
      </c>
      <c r="T57" s="157">
        <f t="shared" si="135"/>
        <v>23.932320095876236</v>
      </c>
      <c r="U57" s="157">
        <f t="shared" si="135"/>
        <v>23.932320095876236</v>
      </c>
      <c r="V57" s="157">
        <f t="shared" si="135"/>
        <v>23.932320095876232</v>
      </c>
      <c r="W57" s="157">
        <f t="shared" si="135"/>
        <v>23.932320095876236</v>
      </c>
      <c r="X57" s="157">
        <f t="shared" si="135"/>
        <v>23.932320095876232</v>
      </c>
      <c r="Y57" s="157">
        <f t="shared" si="135"/>
        <v>23.932320095876236</v>
      </c>
      <c r="Z57" s="157">
        <f t="shared" si="135"/>
        <v>23.932320095876232</v>
      </c>
      <c r="AA57" s="157">
        <f t="shared" si="135"/>
        <v>23.932320095876229</v>
      </c>
      <c r="AB57" s="157">
        <f t="shared" si="135"/>
        <v>23.932320095876232</v>
      </c>
      <c r="AC57" s="138">
        <f t="shared" si="116"/>
        <v>-7.6544839969648559E-2</v>
      </c>
      <c r="AD57" s="31">
        <f t="shared" si="17"/>
        <v>0.08</v>
      </c>
      <c r="AE57" s="146">
        <f t="shared" si="117"/>
        <v>184.62075502533094</v>
      </c>
    </row>
    <row r="58" spans="2:31" x14ac:dyDescent="0.2">
      <c r="B58" s="20" t="s">
        <v>255</v>
      </c>
      <c r="C58" s="127">
        <f t="shared" ref="C58:P58" si="136">C13/C40</f>
        <v>0</v>
      </c>
      <c r="D58" s="127">
        <f t="shared" si="136"/>
        <v>0</v>
      </c>
      <c r="E58" s="127">
        <f t="shared" si="136"/>
        <v>0</v>
      </c>
      <c r="F58" s="144">
        <f t="shared" si="136"/>
        <v>0.42214957090314675</v>
      </c>
      <c r="G58" s="144">
        <f t="shared" si="136"/>
        <v>1.1851246424192889</v>
      </c>
      <c r="H58" s="144">
        <f t="shared" si="136"/>
        <v>0.36779730281977935</v>
      </c>
      <c r="I58" s="144">
        <f t="shared" si="136"/>
        <v>0.32693093583980387</v>
      </c>
      <c r="J58" s="144">
        <f t="shared" si="136"/>
        <v>0.32693093583980387</v>
      </c>
      <c r="K58" s="144">
        <f t="shared" si="136"/>
        <v>0.16935648621041877</v>
      </c>
      <c r="L58" s="144">
        <f t="shared" si="136"/>
        <v>0.12134831460674157</v>
      </c>
      <c r="M58" s="144">
        <f t="shared" si="136"/>
        <v>0.12134831460674157</v>
      </c>
      <c r="N58" s="144">
        <f t="shared" si="136"/>
        <v>0.12134831460674157</v>
      </c>
      <c r="O58" s="144">
        <f t="shared" si="136"/>
        <v>2.4268671351528031E-2</v>
      </c>
      <c r="P58" s="144">
        <f t="shared" si="136"/>
        <v>2.4268671351528031E-2</v>
      </c>
      <c r="Q58" s="118">
        <f>((P58/G58)^(1/($H$2-$H$1) ))-1</f>
        <v>-0.35082069960504725</v>
      </c>
      <c r="R58" s="128"/>
      <c r="S58" s="157">
        <f t="shared" ref="S58:AB58" si="137">S13/S40</f>
        <v>1.8120607942474262E-2</v>
      </c>
      <c r="T58" s="157">
        <f t="shared" si="137"/>
        <v>1.8120607942474266E-2</v>
      </c>
      <c r="U58" s="157">
        <f t="shared" si="137"/>
        <v>1.8120607942474266E-2</v>
      </c>
      <c r="V58" s="157">
        <f t="shared" si="137"/>
        <v>1.8120607942474262E-2</v>
      </c>
      <c r="W58" s="157">
        <f t="shared" si="137"/>
        <v>1.8120607942474266E-2</v>
      </c>
      <c r="X58" s="157">
        <f t="shared" si="137"/>
        <v>1.8120607942474262E-2</v>
      </c>
      <c r="Y58" s="157">
        <f t="shared" si="137"/>
        <v>1.8120607942474266E-2</v>
      </c>
      <c r="Z58" s="157">
        <f t="shared" si="137"/>
        <v>1.8120607942474266E-2</v>
      </c>
      <c r="AA58" s="157">
        <f t="shared" si="137"/>
        <v>1.8120607942474266E-2</v>
      </c>
      <c r="AB58" s="157">
        <f t="shared" si="137"/>
        <v>1.8120607942474266E-2</v>
      </c>
      <c r="AC58" s="138">
        <f t="shared" si="116"/>
        <v>-0.19750457529167398</v>
      </c>
      <c r="AD58" s="31">
        <f t="shared" si="17"/>
        <v>0.08</v>
      </c>
      <c r="AE58" s="146">
        <f t="shared" si="117"/>
        <v>0.13978754698480148</v>
      </c>
    </row>
    <row r="59" spans="2:31" x14ac:dyDescent="0.2">
      <c r="B59" s="20" t="s">
        <v>256</v>
      </c>
      <c r="C59" s="127">
        <f>(C57+C58)</f>
        <v>0</v>
      </c>
      <c r="D59" s="127">
        <f t="shared" ref="D59:P59" si="138">(D57+D58)</f>
        <v>0</v>
      </c>
      <c r="E59" s="127">
        <f t="shared" si="138"/>
        <v>0</v>
      </c>
      <c r="F59" s="144">
        <f t="shared" si="138"/>
        <v>54.365753984470778</v>
      </c>
      <c r="G59" s="144">
        <f t="shared" si="138"/>
        <v>109.84879444217408</v>
      </c>
      <c r="H59" s="144">
        <f t="shared" si="138"/>
        <v>130.20024519820188</v>
      </c>
      <c r="I59" s="144">
        <f t="shared" si="138"/>
        <v>169.22762566407849</v>
      </c>
      <c r="J59" s="144">
        <f t="shared" si="138"/>
        <v>237.67879035553742</v>
      </c>
      <c r="K59" s="144">
        <f t="shared" si="138"/>
        <v>171.4870275791624</v>
      </c>
      <c r="L59" s="144">
        <f t="shared" si="138"/>
        <v>211.13258426966291</v>
      </c>
      <c r="M59" s="144">
        <f t="shared" si="138"/>
        <v>201.46966292134829</v>
      </c>
      <c r="N59" s="144">
        <f t="shared" si="138"/>
        <v>198.38488253319713</v>
      </c>
      <c r="O59" s="144">
        <f t="shared" ref="O59" si="139">(O57+O58)</f>
        <v>27.53693413956529</v>
      </c>
      <c r="P59" s="144">
        <f t="shared" si="138"/>
        <v>32.076483085471487</v>
      </c>
      <c r="Q59" s="118">
        <f>((P59/G59)^(1/($H$2-$H$1) ))-1</f>
        <v>-0.12783420551538827</v>
      </c>
      <c r="R59" s="128"/>
      <c r="S59" s="157">
        <f t="shared" ref="S59:AB59" si="140">(S57+S58)</f>
        <v>23.95044070381871</v>
      </c>
      <c r="T59" s="157">
        <f t="shared" si="140"/>
        <v>23.95044070381871</v>
      </c>
      <c r="U59" s="157">
        <f t="shared" si="140"/>
        <v>23.95044070381871</v>
      </c>
      <c r="V59" s="157">
        <f t="shared" si="140"/>
        <v>23.950440703818707</v>
      </c>
      <c r="W59" s="157">
        <f t="shared" si="140"/>
        <v>23.95044070381871</v>
      </c>
      <c r="X59" s="157">
        <f t="shared" si="140"/>
        <v>23.950440703818707</v>
      </c>
      <c r="Y59" s="157">
        <f t="shared" si="140"/>
        <v>23.95044070381871</v>
      </c>
      <c r="Z59" s="157">
        <f t="shared" si="140"/>
        <v>23.950440703818707</v>
      </c>
      <c r="AA59" s="157">
        <f t="shared" si="140"/>
        <v>23.950440703818703</v>
      </c>
      <c r="AB59" s="157">
        <f t="shared" si="140"/>
        <v>23.950440703818707</v>
      </c>
      <c r="AC59" s="138">
        <f t="shared" si="116"/>
        <v>-7.7035134268711558E-2</v>
      </c>
      <c r="AD59" s="31">
        <f t="shared" si="17"/>
        <v>0.08</v>
      </c>
      <c r="AE59" s="146">
        <f t="shared" si="117"/>
        <v>184.76054257231573</v>
      </c>
    </row>
    <row r="60" spans="2:31" x14ac:dyDescent="0.2">
      <c r="B60" s="20" t="s">
        <v>249</v>
      </c>
      <c r="C60" s="127">
        <f t="shared" ref="C60:P60" si="141">C15/C40</f>
        <v>0</v>
      </c>
      <c r="D60" s="127">
        <f t="shared" si="141"/>
        <v>0</v>
      </c>
      <c r="E60" s="127">
        <f t="shared" si="141"/>
        <v>0</v>
      </c>
      <c r="F60" s="144">
        <f t="shared" si="141"/>
        <v>363.42460155292196</v>
      </c>
      <c r="G60" s="144">
        <f t="shared" si="141"/>
        <v>452.18635063342873</v>
      </c>
      <c r="H60" s="144">
        <f t="shared" si="141"/>
        <v>571.59787494891702</v>
      </c>
      <c r="I60" s="144">
        <f t="shared" si="141"/>
        <v>785.94196975888849</v>
      </c>
      <c r="J60" s="144">
        <f t="shared" si="141"/>
        <v>1031.4262362076013</v>
      </c>
      <c r="K60" s="144">
        <f t="shared" si="141"/>
        <v>683.61593462717053</v>
      </c>
      <c r="L60" s="144">
        <f t="shared" si="141"/>
        <v>794.361593462717</v>
      </c>
      <c r="M60" s="144">
        <f t="shared" si="141"/>
        <v>911.21552604698672</v>
      </c>
      <c r="N60" s="144">
        <f t="shared" si="141"/>
        <v>1101.2870275791624</v>
      </c>
      <c r="O60" s="144">
        <f t="shared" si="141"/>
        <v>249.80388952443209</v>
      </c>
      <c r="P60" s="144">
        <f t="shared" si="141"/>
        <v>210.04575911096586</v>
      </c>
      <c r="Q60" s="118">
        <f>((P60/G60)^(1/($H$2-$H$1) ))-1</f>
        <v>-8.1668233235111076E-2</v>
      </c>
      <c r="R60" s="128"/>
      <c r="S60" s="157">
        <f t="shared" ref="S60:AB60" si="142">S15/S40</f>
        <v>156.83416680285453</v>
      </c>
      <c r="T60" s="157">
        <f t="shared" si="142"/>
        <v>156.83416680285455</v>
      </c>
      <c r="U60" s="157">
        <f t="shared" si="142"/>
        <v>156.83416680285453</v>
      </c>
      <c r="V60" s="157">
        <f t="shared" si="142"/>
        <v>156.83416680285453</v>
      </c>
      <c r="W60" s="157">
        <f t="shared" si="142"/>
        <v>156.83416680285453</v>
      </c>
      <c r="X60" s="157">
        <f t="shared" si="142"/>
        <v>156.83416680285453</v>
      </c>
      <c r="Y60" s="157">
        <f t="shared" si="142"/>
        <v>156.83416680285453</v>
      </c>
      <c r="Z60" s="157">
        <f t="shared" si="142"/>
        <v>156.83416680285453</v>
      </c>
      <c r="AA60" s="157">
        <f t="shared" si="142"/>
        <v>156.83416680285453</v>
      </c>
      <c r="AB60" s="157">
        <f t="shared" si="142"/>
        <v>156.83416680285455</v>
      </c>
      <c r="AC60" s="138">
        <f t="shared" si="116"/>
        <v>-5.4207295755973273E-2</v>
      </c>
      <c r="AD60" s="31">
        <f t="shared" si="17"/>
        <v>0.08</v>
      </c>
      <c r="AE60" s="146">
        <f t="shared" si="117"/>
        <v>1209.8635724791638</v>
      </c>
    </row>
    <row r="61" spans="2:31" x14ac:dyDescent="0.2">
      <c r="B61" s="20" t="s">
        <v>250</v>
      </c>
      <c r="C61" s="127">
        <f t="shared" ref="C61:P61" si="143">C16/C40</f>
        <v>0</v>
      </c>
      <c r="D61" s="127">
        <f t="shared" si="143"/>
        <v>0</v>
      </c>
      <c r="E61" s="127">
        <f t="shared" si="143"/>
        <v>0</v>
      </c>
      <c r="F61" s="144">
        <f t="shared" si="143"/>
        <v>163.13853698406211</v>
      </c>
      <c r="G61" s="144">
        <f t="shared" si="143"/>
        <v>187.37229260318759</v>
      </c>
      <c r="H61" s="144">
        <f t="shared" si="143"/>
        <v>221.20964446260729</v>
      </c>
      <c r="I61" s="144">
        <f t="shared" si="143"/>
        <v>272.90559869227627</v>
      </c>
      <c r="J61" s="144">
        <f t="shared" si="143"/>
        <v>309.52186350633428</v>
      </c>
      <c r="K61" s="144">
        <f t="shared" si="143"/>
        <v>188.37589376915219</v>
      </c>
      <c r="L61" s="144">
        <f t="shared" si="143"/>
        <v>209.62206332992849</v>
      </c>
      <c r="M61" s="144">
        <f t="shared" si="143"/>
        <v>242.5740551583248</v>
      </c>
      <c r="N61" s="144">
        <f t="shared" si="143"/>
        <v>298.20224719101122</v>
      </c>
      <c r="O61" s="144">
        <f t="shared" si="143"/>
        <v>79.620853080568722</v>
      </c>
      <c r="P61" s="144">
        <f t="shared" si="143"/>
        <v>205.00817126981534</v>
      </c>
      <c r="Q61" s="118">
        <f>((P61/G61)^(1/($H$2-$H$1) ))-1</f>
        <v>1.0044817307112375E-2</v>
      </c>
      <c r="R61" s="128"/>
      <c r="S61" s="157">
        <f t="shared" ref="S61:AB61" si="144">S16/S40</f>
        <v>153.07276788146214</v>
      </c>
      <c r="T61" s="157">
        <f t="shared" si="144"/>
        <v>153.07276788146214</v>
      </c>
      <c r="U61" s="157">
        <f t="shared" si="144"/>
        <v>153.07276788146214</v>
      </c>
      <c r="V61" s="157">
        <f t="shared" si="144"/>
        <v>153.07276788146214</v>
      </c>
      <c r="W61" s="157">
        <f t="shared" si="144"/>
        <v>153.07276788146217</v>
      </c>
      <c r="X61" s="157">
        <f t="shared" si="144"/>
        <v>153.07276788146214</v>
      </c>
      <c r="Y61" s="157">
        <f t="shared" si="144"/>
        <v>153.07276788146214</v>
      </c>
      <c r="Z61" s="157">
        <f t="shared" si="144"/>
        <v>153.07276788146214</v>
      </c>
      <c r="AA61" s="157">
        <f t="shared" si="144"/>
        <v>153.07276788146211</v>
      </c>
      <c r="AB61" s="157">
        <f t="shared" si="144"/>
        <v>153.07276788146211</v>
      </c>
      <c r="AC61" s="138">
        <f t="shared" si="116"/>
        <v>-1.0584849996367107E-2</v>
      </c>
      <c r="AD61" s="137"/>
      <c r="AE61" s="146">
        <f t="shared" si="117"/>
        <v>695.78530855210056</v>
      </c>
    </row>
    <row r="62" spans="2:31" x14ac:dyDescent="0.2">
      <c r="B62" s="20"/>
      <c r="C62" s="127"/>
      <c r="D62" s="127"/>
      <c r="E62" s="127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28"/>
      <c r="R62" s="128"/>
      <c r="S62" s="154"/>
      <c r="T62" s="154"/>
      <c r="U62" s="154"/>
      <c r="V62" s="154"/>
      <c r="W62" s="154"/>
      <c r="X62" s="154"/>
      <c r="Y62" s="154"/>
      <c r="Z62" s="154"/>
      <c r="AA62" s="154"/>
      <c r="AB62" s="154"/>
      <c r="AC62" s="139"/>
      <c r="AD62" s="31">
        <f t="shared" si="17"/>
        <v>0.08</v>
      </c>
      <c r="AE62" s="146">
        <f t="shared" si="117"/>
        <v>0</v>
      </c>
    </row>
    <row r="63" spans="2:31" x14ac:dyDescent="0.2">
      <c r="B63" s="20" t="s">
        <v>283</v>
      </c>
      <c r="C63" s="159">
        <f>C41</f>
        <v>0</v>
      </c>
      <c r="D63" s="159">
        <f t="shared" ref="D63:P63" si="145">D41</f>
        <v>0</v>
      </c>
      <c r="E63" s="159">
        <f t="shared" si="145"/>
        <v>0</v>
      </c>
      <c r="F63" s="159">
        <f t="shared" si="145"/>
        <v>4</v>
      </c>
      <c r="G63" s="159">
        <f t="shared" si="145"/>
        <v>6</v>
      </c>
      <c r="H63" s="159">
        <f t="shared" si="145"/>
        <v>8</v>
      </c>
      <c r="I63" s="159">
        <f t="shared" si="145"/>
        <v>14.5</v>
      </c>
      <c r="J63" s="159">
        <f t="shared" si="145"/>
        <v>24.5</v>
      </c>
      <c r="K63" s="159">
        <f t="shared" si="145"/>
        <v>15.25</v>
      </c>
      <c r="L63" s="159">
        <f t="shared" si="145"/>
        <v>17</v>
      </c>
      <c r="M63" s="159">
        <f t="shared" si="145"/>
        <v>23.3</v>
      </c>
      <c r="N63" s="159">
        <f t="shared" si="145"/>
        <v>31.15</v>
      </c>
      <c r="O63" s="159">
        <f t="shared" si="145"/>
        <v>6.4</v>
      </c>
      <c r="P63" s="159">
        <f t="shared" si="145"/>
        <v>5.12</v>
      </c>
      <c r="Q63" s="118">
        <f>((P63/G63)^(1/($H$2-$H$1) ))-1</f>
        <v>-1.746840808100425E-2</v>
      </c>
      <c r="R63" s="128"/>
      <c r="S63" s="159">
        <f t="shared" ref="S63:AB63" si="146">S41</f>
        <v>5.3760000000000003</v>
      </c>
      <c r="T63" s="159">
        <f t="shared" si="146"/>
        <v>5.6448000000000009</v>
      </c>
      <c r="U63" s="159">
        <f t="shared" si="146"/>
        <v>5.9270400000000016</v>
      </c>
      <c r="V63" s="159">
        <f t="shared" si="146"/>
        <v>6.2233920000000023</v>
      </c>
      <c r="W63" s="159">
        <f t="shared" si="146"/>
        <v>6.5345616000000026</v>
      </c>
      <c r="X63" s="159">
        <f t="shared" si="146"/>
        <v>6.8612896800000032</v>
      </c>
      <c r="Y63" s="159">
        <f t="shared" si="146"/>
        <v>7.2043541640000033</v>
      </c>
      <c r="Z63" s="159">
        <f t="shared" si="146"/>
        <v>7.5645718722000037</v>
      </c>
      <c r="AA63" s="159">
        <f t="shared" si="146"/>
        <v>7.942800465810004</v>
      </c>
      <c r="AB63" s="159">
        <f t="shared" si="146"/>
        <v>8.3399404891005045</v>
      </c>
      <c r="AC63" s="138">
        <f t="shared" ref="AC63" si="147">((AB63/G63)^(1/($AB$3-$H$1) ))-1</f>
        <v>1.748246076250215E-2</v>
      </c>
      <c r="AD63" s="31">
        <f t="shared" si="17"/>
        <v>0.08</v>
      </c>
      <c r="AE63" s="146">
        <f t="shared" si="117"/>
        <v>64.33668377306104</v>
      </c>
    </row>
    <row r="64" spans="2:31" x14ac:dyDescent="0.2">
      <c r="B64" s="20"/>
      <c r="C64" s="127"/>
      <c r="D64" s="127"/>
      <c r="E64" s="127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28"/>
      <c r="R64" s="128"/>
      <c r="S64" s="154"/>
      <c r="T64" s="154"/>
      <c r="U64" s="154"/>
      <c r="V64" s="154"/>
      <c r="W64" s="154"/>
      <c r="X64" s="154"/>
      <c r="Y64" s="154"/>
      <c r="Z64" s="154"/>
      <c r="AA64" s="154"/>
      <c r="AB64" s="154"/>
      <c r="AC64" s="139"/>
      <c r="AD64" s="137"/>
      <c r="AE64" s="154"/>
    </row>
    <row r="65" spans="2:31" x14ac:dyDescent="0.2">
      <c r="B65" s="20" t="s">
        <v>318</v>
      </c>
      <c r="C65" s="127">
        <f t="shared" ref="C65:P65" si="148">C20+C21</f>
        <v>0</v>
      </c>
      <c r="D65" s="127">
        <f t="shared" si="148"/>
        <v>0</v>
      </c>
      <c r="E65" s="127">
        <f t="shared" si="148"/>
        <v>0</v>
      </c>
      <c r="F65" s="144">
        <f t="shared" si="148"/>
        <v>1133</v>
      </c>
      <c r="G65" s="144">
        <f t="shared" si="148"/>
        <v>1586</v>
      </c>
      <c r="H65" s="144">
        <f t="shared" si="148"/>
        <v>783</v>
      </c>
      <c r="I65" s="144">
        <f t="shared" si="148"/>
        <v>1467</v>
      </c>
      <c r="J65" s="144">
        <f t="shared" si="148"/>
        <v>2609</v>
      </c>
      <c r="K65" s="144">
        <f t="shared" si="148"/>
        <v>3465.46</v>
      </c>
      <c r="L65" s="144">
        <f t="shared" si="148"/>
        <v>2779</v>
      </c>
      <c r="M65" s="144">
        <f t="shared" si="148"/>
        <v>619</v>
      </c>
      <c r="N65" s="144">
        <f t="shared" si="148"/>
        <v>1316</v>
      </c>
      <c r="O65" s="144">
        <f t="shared" si="148"/>
        <v>-1142</v>
      </c>
      <c r="P65" s="144">
        <f t="shared" si="148"/>
        <v>1526</v>
      </c>
      <c r="Q65" s="118">
        <f>((P65/G65)^(1/($H$2-$H$1) ))-1</f>
        <v>-4.2758535460487579E-3</v>
      </c>
      <c r="R65" s="128"/>
      <c r="S65" s="144">
        <f t="shared" ref="S65:AB65" si="149">S20+S21</f>
        <v>1709.1200000000003</v>
      </c>
      <c r="T65" s="144">
        <f t="shared" si="149"/>
        <v>1914.2144000000003</v>
      </c>
      <c r="U65" s="144">
        <f t="shared" si="149"/>
        <v>2143.9201280000007</v>
      </c>
      <c r="V65" s="144">
        <f t="shared" si="149"/>
        <v>2401.1905433600004</v>
      </c>
      <c r="W65" s="144">
        <f t="shared" si="149"/>
        <v>2689.3334085632009</v>
      </c>
      <c r="X65" s="144">
        <f t="shared" si="149"/>
        <v>3012.0534175907856</v>
      </c>
      <c r="Y65" s="144">
        <f t="shared" si="149"/>
        <v>3373.4998277016798</v>
      </c>
      <c r="Z65" s="144">
        <f t="shared" si="149"/>
        <v>3778.3198070258823</v>
      </c>
      <c r="AA65" s="144">
        <f t="shared" si="149"/>
        <v>4231.7181838689876</v>
      </c>
      <c r="AB65" s="144">
        <f t="shared" si="149"/>
        <v>4739.5243659332664</v>
      </c>
      <c r="AC65" s="138">
        <f t="shared" ref="AC65:AC70" si="150">((AB65/G65)^(1/($AB$3-$H$1) ))-1</f>
        <v>5.9309128023731006E-2</v>
      </c>
      <c r="AD65" s="31">
        <f t="shared" si="17"/>
        <v>0.08</v>
      </c>
      <c r="AE65" s="146">
        <f t="shared" si="117"/>
        <v>36562.045108628052</v>
      </c>
    </row>
    <row r="66" spans="2:31" x14ac:dyDescent="0.2">
      <c r="B66" s="20"/>
      <c r="C66" s="127"/>
      <c r="D66" s="127"/>
      <c r="E66" s="127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28"/>
      <c r="R66" s="128"/>
      <c r="S66" s="146"/>
      <c r="T66" s="146"/>
      <c r="U66" s="146"/>
      <c r="V66" s="146"/>
      <c r="W66" s="146"/>
      <c r="X66" s="146"/>
      <c r="Y66" s="146"/>
      <c r="Z66" s="146"/>
      <c r="AA66" s="146"/>
      <c r="AB66" s="146"/>
      <c r="AC66" s="139"/>
      <c r="AD66" s="137"/>
      <c r="AE66" s="146"/>
    </row>
    <row r="67" spans="2:31" x14ac:dyDescent="0.2">
      <c r="B67" s="20" t="s">
        <v>319</v>
      </c>
      <c r="C67" s="127">
        <f t="shared" ref="C67:P67" si="151">C65/C40</f>
        <v>0</v>
      </c>
      <c r="D67" s="127">
        <f t="shared" si="151"/>
        <v>0</v>
      </c>
      <c r="E67" s="127">
        <f t="shared" si="151"/>
        <v>0</v>
      </c>
      <c r="F67" s="144">
        <f t="shared" si="151"/>
        <v>46.301593788312218</v>
      </c>
      <c r="G67" s="144">
        <f t="shared" si="151"/>
        <v>64.814058030241114</v>
      </c>
      <c r="H67" s="144">
        <f t="shared" si="151"/>
        <v>31.998365345320803</v>
      </c>
      <c r="I67" s="144">
        <f t="shared" si="151"/>
        <v>59.950960359624034</v>
      </c>
      <c r="J67" s="144">
        <f t="shared" si="151"/>
        <v>106.62035145075603</v>
      </c>
      <c r="K67" s="144">
        <f t="shared" si="151"/>
        <v>70.795914198161384</v>
      </c>
      <c r="L67" s="144">
        <f t="shared" si="151"/>
        <v>56.772216547497443</v>
      </c>
      <c r="M67" s="144">
        <f t="shared" si="151"/>
        <v>12.645556690500509</v>
      </c>
      <c r="N67" s="144">
        <f t="shared" si="151"/>
        <v>26.884576098059242</v>
      </c>
      <c r="O67" s="144">
        <f t="shared" si="151"/>
        <v>-4.6657950645530315</v>
      </c>
      <c r="P67" s="144">
        <f t="shared" si="151"/>
        <v>6.2346788690962578</v>
      </c>
      <c r="Q67" s="118">
        <f>((P67/G67)^(1/($H$2-$H$1) ))-1</f>
        <v>-0.22906795660470269</v>
      </c>
      <c r="R67" s="128"/>
      <c r="S67" s="146">
        <f t="shared" ref="S67:AB67" si="152">S65/S40</f>
        <v>4.6552268889252071</v>
      </c>
      <c r="T67" s="146">
        <f t="shared" si="152"/>
        <v>4.6552268889252062</v>
      </c>
      <c r="U67" s="146">
        <f t="shared" si="152"/>
        <v>4.6552268889252062</v>
      </c>
      <c r="V67" s="146">
        <f t="shared" si="152"/>
        <v>4.6552268889252053</v>
      </c>
      <c r="W67" s="146">
        <f t="shared" si="152"/>
        <v>4.6552268889252053</v>
      </c>
      <c r="X67" s="146">
        <f t="shared" si="152"/>
        <v>4.6552268889252062</v>
      </c>
      <c r="Y67" s="146">
        <f t="shared" si="152"/>
        <v>4.6552268889252053</v>
      </c>
      <c r="Z67" s="146">
        <f t="shared" si="152"/>
        <v>4.6552268889252062</v>
      </c>
      <c r="AA67" s="146">
        <f t="shared" si="152"/>
        <v>4.6552268889252053</v>
      </c>
      <c r="AB67" s="146">
        <f t="shared" si="152"/>
        <v>4.6552268889252053</v>
      </c>
      <c r="AC67" s="138">
        <f t="shared" si="150"/>
        <v>-0.12942985313544875</v>
      </c>
      <c r="AD67" s="31">
        <f t="shared" si="17"/>
        <v>0.08</v>
      </c>
      <c r="AE67" s="146">
        <f t="shared" si="117"/>
        <v>35.911750285994444</v>
      </c>
    </row>
    <row r="68" spans="2:31" x14ac:dyDescent="0.2">
      <c r="B68" s="20" t="s">
        <v>288</v>
      </c>
      <c r="C68" s="127">
        <f t="shared" ref="C68:P68" si="153">C20/C40</f>
        <v>0</v>
      </c>
      <c r="D68" s="127">
        <f t="shared" si="153"/>
        <v>0</v>
      </c>
      <c r="E68" s="127">
        <f t="shared" si="153"/>
        <v>0</v>
      </c>
      <c r="F68" s="144">
        <f t="shared" si="153"/>
        <v>50.796894156109524</v>
      </c>
      <c r="G68" s="144">
        <f t="shared" si="153"/>
        <v>69.268492031058443</v>
      </c>
      <c r="H68" s="144">
        <f t="shared" si="153"/>
        <v>33.428688189619947</v>
      </c>
      <c r="I68" s="144">
        <f t="shared" si="153"/>
        <v>66.326113608500208</v>
      </c>
      <c r="J68" s="144">
        <f t="shared" si="153"/>
        <v>115.28402125051083</v>
      </c>
      <c r="K68" s="144">
        <f t="shared" si="153"/>
        <v>71.052093973442283</v>
      </c>
      <c r="L68" s="144">
        <f t="shared" si="153"/>
        <v>67.231869254341163</v>
      </c>
      <c r="M68" s="144">
        <f t="shared" si="153"/>
        <v>32.379979570990805</v>
      </c>
      <c r="N68" s="144">
        <f t="shared" si="153"/>
        <v>54.300306435137891</v>
      </c>
      <c r="O68" s="144">
        <f t="shared" si="153"/>
        <v>-3.3216211799313613</v>
      </c>
      <c r="P68" s="144">
        <f t="shared" si="153"/>
        <v>7.6156234678869099</v>
      </c>
      <c r="Q68" s="118">
        <f>((P68/G68)^(1/($H$2-$H$1) ))-1</f>
        <v>-0.21753791351905727</v>
      </c>
      <c r="R68" s="128"/>
      <c r="S68" s="146">
        <f t="shared" ref="S68:AB68" si="154">S20/S40</f>
        <v>5.6863321893555598</v>
      </c>
      <c r="T68" s="146">
        <f t="shared" si="154"/>
        <v>5.6863321893555598</v>
      </c>
      <c r="U68" s="146">
        <f t="shared" si="154"/>
        <v>5.6863321893555598</v>
      </c>
      <c r="V68" s="146">
        <f t="shared" si="154"/>
        <v>5.686332189355559</v>
      </c>
      <c r="W68" s="146">
        <f t="shared" si="154"/>
        <v>5.6863321893555598</v>
      </c>
      <c r="X68" s="146">
        <f t="shared" si="154"/>
        <v>5.6863321893555598</v>
      </c>
      <c r="Y68" s="146">
        <f t="shared" si="154"/>
        <v>5.6863321893555598</v>
      </c>
      <c r="Z68" s="146">
        <f t="shared" si="154"/>
        <v>5.6863321893555598</v>
      </c>
      <c r="AA68" s="146">
        <f t="shared" si="154"/>
        <v>5.6863321893555598</v>
      </c>
      <c r="AB68" s="146">
        <f t="shared" si="154"/>
        <v>5.686332189355559</v>
      </c>
      <c r="AC68" s="138">
        <f t="shared" si="150"/>
        <v>-0.12328646739178573</v>
      </c>
      <c r="AD68" s="31">
        <f t="shared" si="17"/>
        <v>0.08</v>
      </c>
      <c r="AE68" s="146">
        <f t="shared" si="117"/>
        <v>43.86599117502859</v>
      </c>
    </row>
    <row r="69" spans="2:31" x14ac:dyDescent="0.2">
      <c r="B69" s="20" t="s">
        <v>289</v>
      </c>
      <c r="C69" s="127">
        <f t="shared" ref="C69:P69" si="155">C21/C40</f>
        <v>0</v>
      </c>
      <c r="D69" s="127">
        <f t="shared" si="155"/>
        <v>0</v>
      </c>
      <c r="E69" s="127">
        <f t="shared" si="155"/>
        <v>0</v>
      </c>
      <c r="F69" s="144">
        <f t="shared" si="155"/>
        <v>-4.4953003677973031</v>
      </c>
      <c r="G69" s="144">
        <f t="shared" si="155"/>
        <v>-4.4544340008173275</v>
      </c>
      <c r="H69" s="144">
        <f t="shared" si="155"/>
        <v>-1.4303228442991418</v>
      </c>
      <c r="I69" s="144">
        <f t="shared" si="155"/>
        <v>-6.3751532488761748</v>
      </c>
      <c r="J69" s="144">
        <f t="shared" si="155"/>
        <v>-8.6636697997548016</v>
      </c>
      <c r="K69" s="144">
        <f t="shared" si="155"/>
        <v>-0.25617977528089886</v>
      </c>
      <c r="L69" s="144">
        <f t="shared" si="155"/>
        <v>-10.459652706843718</v>
      </c>
      <c r="M69" s="144">
        <f t="shared" si="155"/>
        <v>-19.734422880490296</v>
      </c>
      <c r="N69" s="144">
        <f t="shared" si="155"/>
        <v>-27.415730337078649</v>
      </c>
      <c r="O69" s="144">
        <f t="shared" si="155"/>
        <v>-1.3441738846216702</v>
      </c>
      <c r="P69" s="144">
        <f t="shared" si="155"/>
        <v>-1.3809445987906521</v>
      </c>
      <c r="Q69" s="118">
        <f>((P69/G69)^(1/($H$2-$H$1) ))-1</f>
        <v>-0.1220150312081828</v>
      </c>
      <c r="R69" s="128"/>
      <c r="S69" s="146">
        <f t="shared" ref="S69:AB69" si="156">S21/S40</f>
        <v>-1.0311053004303536</v>
      </c>
      <c r="T69" s="146">
        <f t="shared" si="156"/>
        <v>-1.0311053004303539</v>
      </c>
      <c r="U69" s="146">
        <f t="shared" si="156"/>
        <v>-1.0311053004303539</v>
      </c>
      <c r="V69" s="146">
        <f t="shared" si="156"/>
        <v>-1.0311053004303539</v>
      </c>
      <c r="W69" s="146">
        <f t="shared" si="156"/>
        <v>-1.0311053004303539</v>
      </c>
      <c r="X69" s="146">
        <f t="shared" si="156"/>
        <v>-1.0311053004303539</v>
      </c>
      <c r="Y69" s="146">
        <f t="shared" si="156"/>
        <v>-1.0311053004303539</v>
      </c>
      <c r="Z69" s="146">
        <f t="shared" si="156"/>
        <v>-1.0311053004303539</v>
      </c>
      <c r="AA69" s="146">
        <f t="shared" si="156"/>
        <v>-1.0311053004303539</v>
      </c>
      <c r="AB69" s="146">
        <f t="shared" si="156"/>
        <v>-1.0311053004303539</v>
      </c>
      <c r="AC69" s="138">
        <f t="shared" si="150"/>
        <v>-7.4123238904257538E-2</v>
      </c>
      <c r="AD69" s="31">
        <f t="shared" si="17"/>
        <v>0.08</v>
      </c>
      <c r="AE69" s="146">
        <f t="shared" si="117"/>
        <v>-7.9542408890341578</v>
      </c>
    </row>
    <row r="70" spans="2:31" x14ac:dyDescent="0.2">
      <c r="B70" s="20" t="s">
        <v>290</v>
      </c>
      <c r="C70" s="127">
        <f t="shared" ref="C70:P70" si="157">C22/C40</f>
        <v>0</v>
      </c>
      <c r="D70" s="127">
        <f t="shared" si="157"/>
        <v>0</v>
      </c>
      <c r="E70" s="127">
        <f t="shared" si="157"/>
        <v>0</v>
      </c>
      <c r="F70" s="144">
        <f t="shared" si="157"/>
        <v>-11.646914589293013</v>
      </c>
      <c r="G70" s="144">
        <f t="shared" si="157"/>
        <v>-10.093992644053944</v>
      </c>
      <c r="H70" s="144">
        <f t="shared" si="157"/>
        <v>-10.829587249693503</v>
      </c>
      <c r="I70" s="144">
        <f t="shared" si="157"/>
        <v>-20.882713526767471</v>
      </c>
      <c r="J70" s="144">
        <f t="shared" si="157"/>
        <v>-38.128320392317121</v>
      </c>
      <c r="K70" s="144">
        <f t="shared" si="157"/>
        <v>-18.140960163432073</v>
      </c>
      <c r="L70" s="144">
        <f t="shared" si="157"/>
        <v>-17.344228804902961</v>
      </c>
      <c r="M70" s="144">
        <f t="shared" si="157"/>
        <v>-23.350357507660878</v>
      </c>
      <c r="N70" s="144">
        <f t="shared" si="157"/>
        <v>-30.13278855975485</v>
      </c>
      <c r="O70" s="144">
        <f t="shared" si="157"/>
        <v>-7.4113417225036775</v>
      </c>
      <c r="P70" s="144">
        <f t="shared" si="157"/>
        <v>-1.9039058669717275</v>
      </c>
      <c r="Q70" s="118">
        <f>((P70/G70)^(1/($H$2-$H$1) ))-1</f>
        <v>-0.16917574774665534</v>
      </c>
      <c r="R70" s="128"/>
      <c r="S70" s="146">
        <f t="shared" ref="S70:AB70" si="158">S22/S40</f>
        <v>-1.42158304733889</v>
      </c>
      <c r="T70" s="146">
        <f t="shared" si="158"/>
        <v>-1.42158304733889</v>
      </c>
      <c r="U70" s="146">
        <f t="shared" si="158"/>
        <v>-1.42158304733889</v>
      </c>
      <c r="V70" s="146">
        <f t="shared" si="158"/>
        <v>-1.4215830473388897</v>
      </c>
      <c r="W70" s="146">
        <f t="shared" si="158"/>
        <v>-1.42158304733889</v>
      </c>
      <c r="X70" s="146">
        <f t="shared" si="158"/>
        <v>-1.42158304733889</v>
      </c>
      <c r="Y70" s="146">
        <f t="shared" si="158"/>
        <v>-1.42158304733889</v>
      </c>
      <c r="Z70" s="146">
        <f t="shared" si="158"/>
        <v>-1.42158304733889</v>
      </c>
      <c r="AA70" s="146">
        <f t="shared" si="158"/>
        <v>-1.42158304733889</v>
      </c>
      <c r="AB70" s="146">
        <f t="shared" si="158"/>
        <v>-1.4215830473388897</v>
      </c>
      <c r="AC70" s="138">
        <f t="shared" si="150"/>
        <v>-9.8023497599678877E-2</v>
      </c>
      <c r="AD70" s="31">
        <f t="shared" si="17"/>
        <v>0.08</v>
      </c>
      <c r="AE70" s="146">
        <f t="shared" si="117"/>
        <v>-10.966497793757148</v>
      </c>
    </row>
    <row r="71" spans="2:31" x14ac:dyDescent="0.2">
      <c r="B71" s="20" t="s">
        <v>297</v>
      </c>
      <c r="C71" s="127">
        <f t="shared" ref="C71:P71" si="159">C23/C40</f>
        <v>0</v>
      </c>
      <c r="D71" s="127">
        <f t="shared" si="159"/>
        <v>0</v>
      </c>
      <c r="E71" s="127">
        <f t="shared" si="159"/>
        <v>0</v>
      </c>
      <c r="F71" s="144">
        <f t="shared" si="159"/>
        <v>53.943604413567634</v>
      </c>
      <c r="G71" s="144">
        <f t="shared" si="159"/>
        <v>108.6636697997548</v>
      </c>
      <c r="H71" s="144">
        <f t="shared" si="159"/>
        <v>129.8324478953821</v>
      </c>
      <c r="I71" s="144">
        <f t="shared" si="159"/>
        <v>168.90069472823868</v>
      </c>
      <c r="J71" s="144">
        <f t="shared" si="159"/>
        <v>237.3518594196976</v>
      </c>
      <c r="K71" s="144">
        <f t="shared" si="159"/>
        <v>118.65168539325842</v>
      </c>
      <c r="L71" s="144">
        <f t="shared" si="159"/>
        <v>210.70480081716036</v>
      </c>
      <c r="M71" s="144">
        <f t="shared" si="159"/>
        <v>200</v>
      </c>
      <c r="N71" s="144">
        <f t="shared" si="159"/>
        <v>196.73135852911133</v>
      </c>
      <c r="O71" s="144">
        <f t="shared" si="159"/>
        <v>27.25527046903089</v>
      </c>
      <c r="P71" s="144">
        <f t="shared" si="159"/>
        <v>31.590129106063085</v>
      </c>
      <c r="Q71" s="118">
        <f>((P71/G71)^(1/($H$2-$H$1) ))-1</f>
        <v>-0.12826350923238783</v>
      </c>
      <c r="R71" s="128"/>
      <c r="S71" s="146">
        <f t="shared" ref="S71:AB71" si="160">S23/S40</f>
        <v>23.587296399193768</v>
      </c>
      <c r="T71" s="146">
        <f t="shared" si="160"/>
        <v>23.587296399193768</v>
      </c>
      <c r="U71" s="146">
        <f t="shared" si="160"/>
        <v>23.587296399193768</v>
      </c>
      <c r="V71" s="146">
        <f t="shared" si="160"/>
        <v>23.587296399193765</v>
      </c>
      <c r="W71" s="146">
        <f t="shared" si="160"/>
        <v>23.587296399193765</v>
      </c>
      <c r="X71" s="146">
        <f t="shared" si="160"/>
        <v>23.587296399193765</v>
      </c>
      <c r="Y71" s="146">
        <f t="shared" si="160"/>
        <v>23.587296399193765</v>
      </c>
      <c r="Z71" s="146">
        <f t="shared" si="160"/>
        <v>23.587296399193768</v>
      </c>
      <c r="AA71" s="146">
        <f t="shared" si="160"/>
        <v>23.587296399193768</v>
      </c>
      <c r="AB71" s="146">
        <f t="shared" si="160"/>
        <v>23.587296399193772</v>
      </c>
      <c r="AC71" s="138">
        <f t="shared" ref="AC71" si="161">((AB71/G71)^(1/($AB$3-$H$1) ))-1</f>
        <v>-7.7250360867404777E-2</v>
      </c>
      <c r="AD71" s="31">
        <f t="shared" si="17"/>
        <v>0.08</v>
      </c>
      <c r="AE71" s="146">
        <f t="shared" si="117"/>
        <v>181.95914365092338</v>
      </c>
    </row>
    <row r="72" spans="2:31" x14ac:dyDescent="0.2">
      <c r="B72" s="20"/>
      <c r="C72" s="127"/>
      <c r="D72" s="127"/>
      <c r="E72" s="127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28"/>
      <c r="R72" s="128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  <c r="AC72" s="139"/>
      <c r="AD72" s="137"/>
      <c r="AE72" s="154"/>
    </row>
    <row r="73" spans="2:31" x14ac:dyDescent="0.2">
      <c r="B73" s="20" t="s">
        <v>312</v>
      </c>
      <c r="C73" s="144">
        <f t="shared" ref="C73:P73" si="162">C36/C40</f>
        <v>0</v>
      </c>
      <c r="D73" s="144">
        <f t="shared" si="162"/>
        <v>0</v>
      </c>
      <c r="E73" s="144">
        <f t="shared" si="162"/>
        <v>0</v>
      </c>
      <c r="F73" s="144">
        <f t="shared" si="162"/>
        <v>40.702901512055583</v>
      </c>
      <c r="G73" s="144">
        <f t="shared" si="162"/>
        <v>34.899877400899065</v>
      </c>
      <c r="H73" s="144">
        <f t="shared" si="162"/>
        <v>53.248876174908055</v>
      </c>
      <c r="I73" s="144">
        <f t="shared" si="162"/>
        <v>90.845933796485497</v>
      </c>
      <c r="J73" s="144">
        <f t="shared" si="162"/>
        <v>144.87127094401308</v>
      </c>
      <c r="K73" s="144">
        <f t="shared" si="162"/>
        <v>76.527068437180787</v>
      </c>
      <c r="L73" s="144">
        <f t="shared" si="162"/>
        <v>80.939734422880491</v>
      </c>
      <c r="M73" s="144">
        <f t="shared" si="162"/>
        <v>120.5311542390194</v>
      </c>
      <c r="N73" s="144">
        <f t="shared" si="162"/>
        <v>169.92849846782431</v>
      </c>
      <c r="O73" s="144">
        <f t="shared" si="162"/>
        <v>40.733780029416572</v>
      </c>
      <c r="P73" s="144">
        <f t="shared" si="162"/>
        <v>38.922209511358069</v>
      </c>
      <c r="Q73" s="118">
        <f>((P73/G73)^(1/($H$2-$H$1) ))-1</f>
        <v>1.2193937140543953E-2</v>
      </c>
      <c r="R73" s="128"/>
      <c r="S73" s="144">
        <f t="shared" ref="S73:AB73" si="163">S36/S40</f>
        <v>29.06191643514736</v>
      </c>
      <c r="T73" s="144">
        <f t="shared" si="163"/>
        <v>29.06191643514736</v>
      </c>
      <c r="U73" s="144">
        <f t="shared" si="163"/>
        <v>29.06191643514736</v>
      </c>
      <c r="V73" s="144">
        <f t="shared" si="163"/>
        <v>29.06191643514736</v>
      </c>
      <c r="W73" s="144">
        <f t="shared" si="163"/>
        <v>29.06191643514736</v>
      </c>
      <c r="X73" s="144">
        <f t="shared" si="163"/>
        <v>29.06191643514736</v>
      </c>
      <c r="Y73" s="144">
        <f t="shared" si="163"/>
        <v>29.06191643514736</v>
      </c>
      <c r="Z73" s="144">
        <f t="shared" si="163"/>
        <v>29.06191643514736</v>
      </c>
      <c r="AA73" s="144">
        <f t="shared" si="163"/>
        <v>29.06191643514736</v>
      </c>
      <c r="AB73" s="144">
        <f t="shared" si="163"/>
        <v>29.061916435147364</v>
      </c>
      <c r="AC73" s="138">
        <f t="shared" ref="AC73:AC75" si="164">((AB73/G73)^(1/($AB$3-$H$1) ))-1</f>
        <v>-9.5881958657381139E-3</v>
      </c>
      <c r="AD73" s="31">
        <f t="shared" si="17"/>
        <v>0.08</v>
      </c>
      <c r="AE73" s="146">
        <f t="shared" si="117"/>
        <v>224.19192678542251</v>
      </c>
    </row>
    <row r="74" spans="2:31" x14ac:dyDescent="0.2">
      <c r="B74" s="20" t="s">
        <v>313</v>
      </c>
      <c r="C74" s="144">
        <f t="shared" ref="C74:P74" si="165">C38/C40</f>
        <v>0</v>
      </c>
      <c r="D74" s="144">
        <f t="shared" si="165"/>
        <v>0</v>
      </c>
      <c r="E74" s="144">
        <f t="shared" si="165"/>
        <v>0</v>
      </c>
      <c r="F74" s="144">
        <f t="shared" si="165"/>
        <v>18.144666939109115</v>
      </c>
      <c r="G74" s="144">
        <f t="shared" si="165"/>
        <v>26.890069472823868</v>
      </c>
      <c r="H74" s="144">
        <f t="shared" si="165"/>
        <v>38.945647731916637</v>
      </c>
      <c r="I74" s="144">
        <f t="shared" si="165"/>
        <v>68.614630159378834</v>
      </c>
      <c r="J74" s="144">
        <f t="shared" si="165"/>
        <v>98.651409889660812</v>
      </c>
      <c r="K74" s="144">
        <f t="shared" si="165"/>
        <v>58.406537282941777</v>
      </c>
      <c r="L74" s="144">
        <f t="shared" si="165"/>
        <v>63.636363636363633</v>
      </c>
      <c r="M74" s="144">
        <f t="shared" si="165"/>
        <v>88.375893769152185</v>
      </c>
      <c r="N74" s="144">
        <f t="shared" si="165"/>
        <v>123.65679264555668</v>
      </c>
      <c r="O74" s="144">
        <f t="shared" si="165"/>
        <v>28.954894590619382</v>
      </c>
      <c r="P74" s="144">
        <f t="shared" si="165"/>
        <v>27.34556300049028</v>
      </c>
      <c r="Q74" s="118">
        <f>((P74/G74)^(1/($H$2-$H$1) ))-1</f>
        <v>1.8681017884236706E-3</v>
      </c>
      <c r="R74" s="128"/>
      <c r="S74" s="144">
        <f t="shared" ref="S74:AB74" si="166">S38/S40</f>
        <v>20.418020373699409</v>
      </c>
      <c r="T74" s="144">
        <f t="shared" si="166"/>
        <v>20.418020373699413</v>
      </c>
      <c r="U74" s="144">
        <f t="shared" si="166"/>
        <v>20.418020373699413</v>
      </c>
      <c r="V74" s="144">
        <f t="shared" si="166"/>
        <v>20.418020373699413</v>
      </c>
      <c r="W74" s="144">
        <f t="shared" si="166"/>
        <v>20.418020373699413</v>
      </c>
      <c r="X74" s="144">
        <f t="shared" si="166"/>
        <v>20.418020373699413</v>
      </c>
      <c r="Y74" s="144">
        <f t="shared" si="166"/>
        <v>20.418020373699413</v>
      </c>
      <c r="Z74" s="144">
        <f t="shared" si="166"/>
        <v>20.418020373699413</v>
      </c>
      <c r="AA74" s="144">
        <f t="shared" si="166"/>
        <v>20.418020373699413</v>
      </c>
      <c r="AB74" s="144">
        <f t="shared" si="166"/>
        <v>20.418020373699413</v>
      </c>
      <c r="AC74" s="138">
        <f t="shared" si="164"/>
        <v>-1.4387039453197081E-2</v>
      </c>
      <c r="AD74" s="31">
        <f t="shared" si="17"/>
        <v>0.08</v>
      </c>
      <c r="AE74" s="146">
        <f t="shared" si="117"/>
        <v>157.51044288282404</v>
      </c>
    </row>
    <row r="75" spans="2:31" x14ac:dyDescent="0.2">
      <c r="B75" s="20" t="s">
        <v>314</v>
      </c>
      <c r="C75" s="144">
        <f t="shared" ref="C75:P75" si="167">C6/C40</f>
        <v>0</v>
      </c>
      <c r="D75" s="144">
        <f t="shared" si="167"/>
        <v>0</v>
      </c>
      <c r="E75" s="144">
        <f t="shared" si="167"/>
        <v>0</v>
      </c>
      <c r="F75" s="144">
        <f t="shared" si="167"/>
        <v>186.30976706170821</v>
      </c>
      <c r="G75" s="144">
        <f t="shared" si="167"/>
        <v>206.41601961585616</v>
      </c>
      <c r="H75" s="144">
        <f t="shared" si="167"/>
        <v>236.28933387821823</v>
      </c>
      <c r="I75" s="144">
        <f t="shared" si="167"/>
        <v>288.35308541070702</v>
      </c>
      <c r="J75" s="144">
        <f t="shared" si="167"/>
        <v>349.12137310993052</v>
      </c>
      <c r="K75" s="144">
        <f t="shared" si="167"/>
        <v>210.09193054136873</v>
      </c>
      <c r="L75" s="144">
        <f t="shared" si="167"/>
        <v>253.99836567926454</v>
      </c>
      <c r="M75" s="144">
        <f t="shared" si="167"/>
        <v>314.73871297242079</v>
      </c>
      <c r="N75" s="144">
        <f t="shared" si="167"/>
        <v>401.7479060265577</v>
      </c>
      <c r="O75" s="144">
        <f t="shared" si="167"/>
        <v>101.7876286974996</v>
      </c>
      <c r="P75" s="144">
        <f t="shared" si="167"/>
        <v>122.74554665795065</v>
      </c>
      <c r="Q75" s="118">
        <f>((P75/G75)^(1/($H$2-$H$1) ))-1</f>
        <v>-5.6117273516941291E-2</v>
      </c>
      <c r="R75" s="128"/>
      <c r="S75" s="144">
        <f t="shared" ref="S75:AB75" si="168">S6/S40</f>
        <v>91.650008171269832</v>
      </c>
      <c r="T75" s="144">
        <f t="shared" si="168"/>
        <v>91.650008171269832</v>
      </c>
      <c r="U75" s="144">
        <f t="shared" si="168"/>
        <v>91.650008171269832</v>
      </c>
      <c r="V75" s="144">
        <f t="shared" si="168"/>
        <v>91.650008171269832</v>
      </c>
      <c r="W75" s="144">
        <f t="shared" si="168"/>
        <v>91.650008171269846</v>
      </c>
      <c r="X75" s="144">
        <f t="shared" si="168"/>
        <v>91.650008171269832</v>
      </c>
      <c r="Y75" s="144">
        <f t="shared" si="168"/>
        <v>91.650008171269832</v>
      </c>
      <c r="Z75" s="144">
        <f t="shared" si="168"/>
        <v>91.650008171269832</v>
      </c>
      <c r="AA75" s="144">
        <f t="shared" si="168"/>
        <v>91.650008171269832</v>
      </c>
      <c r="AB75" s="144">
        <f t="shared" si="168"/>
        <v>91.650008171269832</v>
      </c>
      <c r="AC75" s="138">
        <f t="shared" si="164"/>
        <v>-4.1832288044505117E-2</v>
      </c>
      <c r="AD75" s="31">
        <f t="shared" ref="AD75" si="169">$L$1</f>
        <v>0.08</v>
      </c>
      <c r="AE75" s="146">
        <f t="shared" si="117"/>
        <v>707.01434874979589</v>
      </c>
    </row>
    <row r="76" spans="2:31" x14ac:dyDescent="0.2">
      <c r="B76" s="20"/>
      <c r="C76" s="127"/>
      <c r="D76" s="127"/>
      <c r="E76" s="127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28"/>
      <c r="R76" s="128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39"/>
      <c r="AD76" s="20"/>
      <c r="AE76" s="154"/>
    </row>
    <row r="77" spans="2:31" x14ac:dyDescent="0.2">
      <c r="B77" s="20"/>
      <c r="C77" s="127"/>
      <c r="D77" s="127"/>
      <c r="E77" s="127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28"/>
      <c r="R77" s="128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39"/>
      <c r="AD77" s="20"/>
      <c r="AE77" s="154"/>
    </row>
    <row r="78" spans="2:31" x14ac:dyDescent="0.2">
      <c r="B78" s="108" t="s">
        <v>311</v>
      </c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</row>
    <row r="79" spans="2:31" x14ac:dyDescent="0.2">
      <c r="B79" s="20" t="s">
        <v>310</v>
      </c>
      <c r="C79" s="152"/>
      <c r="D79" s="152"/>
      <c r="E79" s="152" t="e">
        <f t="shared" ref="E79:P79" si="170">E36/E25</f>
        <v>#DIV/0!</v>
      </c>
      <c r="F79" s="152">
        <f t="shared" si="170"/>
        <v>0.14181973515591628</v>
      </c>
      <c r="G79" s="152">
        <f t="shared" si="170"/>
        <v>0.10648379052369077</v>
      </c>
      <c r="H79" s="152">
        <f t="shared" si="170"/>
        <v>0.12483234336079709</v>
      </c>
      <c r="I79" s="152">
        <f t="shared" si="170"/>
        <v>0.1568918060554732</v>
      </c>
      <c r="J79" s="152">
        <f t="shared" si="170"/>
        <v>0.19666037945190282</v>
      </c>
      <c r="K79" s="152">
        <f t="shared" si="170"/>
        <v>0.17512037772895142</v>
      </c>
      <c r="L79" s="152">
        <f t="shared" si="170"/>
        <v>0.1362354721133347</v>
      </c>
      <c r="M79" s="152">
        <f t="shared" si="170"/>
        <v>0.16670433996383363</v>
      </c>
      <c r="N79" s="152">
        <f t="shared" si="170"/>
        <v>0.19135035656774788</v>
      </c>
      <c r="O79" s="152">
        <f t="shared" si="170"/>
        <v>0.19857393244104526</v>
      </c>
      <c r="P79" s="152">
        <f t="shared" si="170"/>
        <v>0.19349204124699654</v>
      </c>
      <c r="Q79" s="118">
        <f t="shared" ref="Q79:Q122" si="171">((P79/G79)^(1/($H$2-$H$1) ))-1</f>
        <v>6.8611776551425363E-2</v>
      </c>
      <c r="R79" s="152"/>
      <c r="S79" s="152">
        <f t="shared" ref="S79:AB79" si="172">S36/S25</f>
        <v>0.19349204124699654</v>
      </c>
      <c r="T79" s="152">
        <f t="shared" si="172"/>
        <v>0.19349204124699651</v>
      </c>
      <c r="U79" s="152">
        <f t="shared" si="172"/>
        <v>0.19349204124699651</v>
      </c>
      <c r="V79" s="152">
        <f t="shared" si="172"/>
        <v>0.19349204124699651</v>
      </c>
      <c r="W79" s="152">
        <f t="shared" si="172"/>
        <v>0.19349204124699651</v>
      </c>
      <c r="X79" s="152">
        <f t="shared" si="172"/>
        <v>0.19349204124699651</v>
      </c>
      <c r="Y79" s="152">
        <f t="shared" si="172"/>
        <v>0.19349204124699654</v>
      </c>
      <c r="Z79" s="152">
        <f t="shared" si="172"/>
        <v>0.19349204124699654</v>
      </c>
      <c r="AA79" s="152">
        <f t="shared" si="172"/>
        <v>0.19349204124699654</v>
      </c>
      <c r="AB79" s="152">
        <f t="shared" si="172"/>
        <v>0.19349204124699654</v>
      </c>
      <c r="AC79" s="138">
        <f t="shared" ref="AC79:AC109" si="173">((AB79/G79)^(1/($AB$3-$H$1) ))-1</f>
        <v>3.1933135903120302E-2</v>
      </c>
      <c r="AD79" s="146"/>
      <c r="AE79" s="146"/>
    </row>
    <row r="80" spans="2:31" x14ac:dyDescent="0.2">
      <c r="B80" s="20" t="s">
        <v>267</v>
      </c>
      <c r="C80" s="152"/>
      <c r="D80" s="152"/>
      <c r="E80" s="152" t="e">
        <f t="shared" ref="E80:P80" si="174">E38/E25</f>
        <v>#DIV/0!</v>
      </c>
      <c r="F80" s="152">
        <f t="shared" si="174"/>
        <v>6.322084579239641E-2</v>
      </c>
      <c r="G80" s="152">
        <f t="shared" si="174"/>
        <v>8.2044887780548623E-2</v>
      </c>
      <c r="H80" s="152">
        <f t="shared" si="174"/>
        <v>9.1301015520214607E-2</v>
      </c>
      <c r="I80" s="152">
        <f t="shared" si="174"/>
        <v>0.11849812971981086</v>
      </c>
      <c r="J80" s="152">
        <f t="shared" si="174"/>
        <v>0.13391767447020969</v>
      </c>
      <c r="K80" s="152">
        <f t="shared" si="174"/>
        <v>0.13365434061053713</v>
      </c>
      <c r="L80" s="152">
        <f t="shared" si="174"/>
        <v>0.10711092772161475</v>
      </c>
      <c r="M80" s="152">
        <f t="shared" si="174"/>
        <v>0.12223101265822785</v>
      </c>
      <c r="N80" s="152">
        <f t="shared" si="174"/>
        <v>0.13924545663676099</v>
      </c>
      <c r="O80" s="152">
        <f t="shared" si="174"/>
        <v>0.14115280433397068</v>
      </c>
      <c r="P80" s="152">
        <f t="shared" si="174"/>
        <v>0.13594163513428428</v>
      </c>
      <c r="Q80" s="118">
        <f t="shared" si="171"/>
        <v>5.7710398016024511E-2</v>
      </c>
      <c r="R80" s="152"/>
      <c r="S80" s="152">
        <f t="shared" ref="S80:AB80" si="175">S38/S25</f>
        <v>0.13594163513428426</v>
      </c>
      <c r="T80" s="152">
        <f t="shared" si="175"/>
        <v>0.13594163513428428</v>
      </c>
      <c r="U80" s="152">
        <f t="shared" si="175"/>
        <v>0.13594163513428428</v>
      </c>
      <c r="V80" s="152">
        <f t="shared" si="175"/>
        <v>0.13594163513428428</v>
      </c>
      <c r="W80" s="152">
        <f t="shared" si="175"/>
        <v>0.13594163513428428</v>
      </c>
      <c r="X80" s="152">
        <f t="shared" si="175"/>
        <v>0.13594163513428428</v>
      </c>
      <c r="Y80" s="152">
        <f t="shared" si="175"/>
        <v>0.13594163513428428</v>
      </c>
      <c r="Z80" s="152">
        <f t="shared" si="175"/>
        <v>0.13594163513428428</v>
      </c>
      <c r="AA80" s="152">
        <f t="shared" si="175"/>
        <v>0.13594163513428428</v>
      </c>
      <c r="AB80" s="152">
        <f t="shared" si="175"/>
        <v>0.13594163513428428</v>
      </c>
      <c r="AC80" s="138">
        <f t="shared" si="173"/>
        <v>2.6933108953477891E-2</v>
      </c>
      <c r="AD80" s="146"/>
      <c r="AE80" s="146"/>
    </row>
    <row r="81" spans="2:31" x14ac:dyDescent="0.2">
      <c r="B81" s="20" t="s">
        <v>360</v>
      </c>
      <c r="C81" s="152"/>
      <c r="D81" s="152"/>
      <c r="E81" s="152" t="e">
        <f t="shared" ref="E81:O81" si="176">E38/E7</f>
        <v>#DIV/0!</v>
      </c>
      <c r="F81" s="152">
        <f t="shared" si="176"/>
        <v>9.2442223610243596E-2</v>
      </c>
      <c r="G81" s="152">
        <f>G38/G7</f>
        <v>0.12426817752596789</v>
      </c>
      <c r="H81" s="152">
        <f t="shared" si="176"/>
        <v>0.15814802522402921</v>
      </c>
      <c r="I81" s="152">
        <f t="shared" si="176"/>
        <v>0.22996849746610054</v>
      </c>
      <c r="J81" s="152">
        <f t="shared" si="176"/>
        <v>0.27469276285844335</v>
      </c>
      <c r="K81" s="152">
        <f t="shared" si="176"/>
        <v>0.26536105439019864</v>
      </c>
      <c r="L81" s="152">
        <f t="shared" si="176"/>
        <v>0.24104795113110689</v>
      </c>
      <c r="M81" s="152">
        <f t="shared" si="176"/>
        <v>0.2721442779872647</v>
      </c>
      <c r="N81" s="152">
        <f t="shared" si="176"/>
        <v>0.30032130857332245</v>
      </c>
      <c r="O81" s="152">
        <f t="shared" si="176"/>
        <v>0.27898213837230629</v>
      </c>
      <c r="P81" s="152">
        <f t="shared" ref="P81" si="177">P38/P7</f>
        <v>0.21921087882827264</v>
      </c>
      <c r="Q81" s="118">
        <f t="shared" si="171"/>
        <v>6.5096924002574275E-2</v>
      </c>
      <c r="R81" s="20"/>
      <c r="S81" s="152">
        <f t="shared" ref="S81" si="178">S38/S7</f>
        <v>0.21921087882827264</v>
      </c>
      <c r="T81" s="152">
        <f t="shared" ref="T81:AB81" si="179">T38/T7</f>
        <v>0.21921087882827267</v>
      </c>
      <c r="U81" s="152">
        <f t="shared" si="179"/>
        <v>0.21921087882827267</v>
      </c>
      <c r="V81" s="152">
        <f t="shared" si="179"/>
        <v>0.21921087882827267</v>
      </c>
      <c r="W81" s="152">
        <f t="shared" si="179"/>
        <v>0.21921087882827264</v>
      </c>
      <c r="X81" s="152">
        <f t="shared" si="179"/>
        <v>0.21921087882827267</v>
      </c>
      <c r="Y81" s="152">
        <f t="shared" si="179"/>
        <v>0.2192108788282727</v>
      </c>
      <c r="Z81" s="152">
        <f t="shared" si="179"/>
        <v>0.21921087882827267</v>
      </c>
      <c r="AA81" s="152">
        <f t="shared" si="179"/>
        <v>0.21921087882827267</v>
      </c>
      <c r="AB81" s="152">
        <f t="shared" si="179"/>
        <v>0.21921087882827264</v>
      </c>
      <c r="AC81" s="138">
        <f t="shared" si="173"/>
        <v>3.0323958216045055E-2</v>
      </c>
      <c r="AD81" s="146"/>
      <c r="AE81" s="146"/>
    </row>
    <row r="82" spans="2:31" x14ac:dyDescent="0.2">
      <c r="B82" s="20" t="s">
        <v>361</v>
      </c>
      <c r="C82" s="152"/>
      <c r="D82" s="152"/>
      <c r="E82" s="152" t="e">
        <f t="shared" ref="E82:F82" si="180">(E38)/(E7+E10)</f>
        <v>#DIV/0!</v>
      </c>
      <c r="F82" s="152">
        <f t="shared" si="180"/>
        <v>8.3239595050618675E-2</v>
      </c>
      <c r="G82" s="152">
        <f>(G38)/(G7+G10)</f>
        <v>0.11276778063410454</v>
      </c>
      <c r="H82" s="152">
        <f t="shared" ref="H82:O82" si="181">(H38)/(H7+H10)</f>
        <v>0.1452301127704968</v>
      </c>
      <c r="I82" s="152">
        <f t="shared" si="181"/>
        <v>0.21364041226619163</v>
      </c>
      <c r="J82" s="152">
        <f t="shared" si="181"/>
        <v>0.27193871803537228</v>
      </c>
      <c r="K82" s="152">
        <f t="shared" si="181"/>
        <v>0.2630416781672647</v>
      </c>
      <c r="L82" s="152">
        <f t="shared" si="181"/>
        <v>0.23797264116781541</v>
      </c>
      <c r="M82" s="152">
        <f t="shared" si="181"/>
        <v>0.26963384397138368</v>
      </c>
      <c r="N82" s="152">
        <f t="shared" si="181"/>
        <v>0.29635134844025091</v>
      </c>
      <c r="O82" s="152">
        <f t="shared" si="181"/>
        <v>0.27498771925876314</v>
      </c>
      <c r="P82" s="152">
        <f t="shared" ref="P82" si="182">(P38)/(P7+P10)</f>
        <v>0.21070210950805429</v>
      </c>
      <c r="Q82" s="118">
        <f t="shared" si="171"/>
        <v>7.192616595082213E-2</v>
      </c>
      <c r="R82" s="20"/>
      <c r="S82" s="152">
        <f t="shared" ref="S82:AB82" si="183">(S38)/(S7+S10)</f>
        <v>0.21070210950805429</v>
      </c>
      <c r="T82" s="152">
        <f t="shared" si="183"/>
        <v>0.21070210950805432</v>
      </c>
      <c r="U82" s="152">
        <f t="shared" si="183"/>
        <v>0.21070210950805432</v>
      </c>
      <c r="V82" s="152">
        <f t="shared" si="183"/>
        <v>0.21070210950805432</v>
      </c>
      <c r="W82" s="152">
        <f t="shared" si="183"/>
        <v>0.21070210950805429</v>
      </c>
      <c r="X82" s="152">
        <f t="shared" si="183"/>
        <v>0.21070210950805432</v>
      </c>
      <c r="Y82" s="152">
        <f t="shared" si="183"/>
        <v>0.21070210950805435</v>
      </c>
      <c r="Z82" s="152">
        <f t="shared" si="183"/>
        <v>0.21070210950805432</v>
      </c>
      <c r="AA82" s="152">
        <f t="shared" si="183"/>
        <v>0.21070210950805429</v>
      </c>
      <c r="AB82" s="152">
        <f t="shared" si="183"/>
        <v>0.21070210950805432</v>
      </c>
      <c r="AC82" s="138">
        <f t="shared" si="173"/>
        <v>3.3447987126277834E-2</v>
      </c>
      <c r="AD82" s="146"/>
      <c r="AE82" s="146"/>
    </row>
    <row r="83" spans="2:31" x14ac:dyDescent="0.2">
      <c r="B83" s="20" t="s">
        <v>377</v>
      </c>
      <c r="C83" s="152"/>
      <c r="D83" s="152"/>
      <c r="E83" s="152"/>
      <c r="F83" s="152"/>
      <c r="G83" s="152">
        <f>G20/G25</f>
        <v>0.21134663341645885</v>
      </c>
      <c r="H83" s="152">
        <f t="shared" ref="H83:P83" si="184">H20/H25</f>
        <v>7.8367503353132778E-2</v>
      </c>
      <c r="I83" s="152">
        <f t="shared" si="184"/>
        <v>0.11454583950878679</v>
      </c>
      <c r="J83" s="152">
        <f t="shared" si="184"/>
        <v>0.15649617219571729</v>
      </c>
      <c r="K83" s="152">
        <f t="shared" si="184"/>
        <v>0.1625917441914824</v>
      </c>
      <c r="L83" s="152">
        <f t="shared" si="184"/>
        <v>0.11316278110171241</v>
      </c>
      <c r="M83" s="152">
        <f t="shared" si="184"/>
        <v>4.4784132007233274E-2</v>
      </c>
      <c r="N83" s="152">
        <f t="shared" si="184"/>
        <v>6.1145617667356801E-2</v>
      </c>
      <c r="O83" s="152">
        <f t="shared" si="184"/>
        <v>-1.6192638623326958E-2</v>
      </c>
      <c r="P83" s="152">
        <f t="shared" si="184"/>
        <v>3.7859169576176341E-2</v>
      </c>
      <c r="Q83" s="118">
        <f t="shared" si="171"/>
        <v>-0.17392490743358857</v>
      </c>
      <c r="R83" s="20"/>
      <c r="S83" s="152">
        <f t="shared" ref="S83:AB83" si="185">S20/S25</f>
        <v>3.7859169576176341E-2</v>
      </c>
      <c r="T83" s="152">
        <f t="shared" si="185"/>
        <v>3.7859169576176334E-2</v>
      </c>
      <c r="U83" s="152">
        <f t="shared" si="185"/>
        <v>3.7859169576176341E-2</v>
      </c>
      <c r="V83" s="152">
        <f t="shared" si="185"/>
        <v>3.7859169576176334E-2</v>
      </c>
      <c r="W83" s="152">
        <f t="shared" si="185"/>
        <v>3.7859169576176334E-2</v>
      </c>
      <c r="X83" s="152">
        <f t="shared" si="185"/>
        <v>3.7859169576176341E-2</v>
      </c>
      <c r="Y83" s="152">
        <f t="shared" si="185"/>
        <v>3.7859169576176334E-2</v>
      </c>
      <c r="Z83" s="152">
        <f t="shared" si="185"/>
        <v>3.7859169576176341E-2</v>
      </c>
      <c r="AA83" s="152">
        <f t="shared" si="185"/>
        <v>3.7859169576176341E-2</v>
      </c>
      <c r="AB83" s="152">
        <f t="shared" si="185"/>
        <v>3.7859169576176334E-2</v>
      </c>
      <c r="AC83" s="138">
        <f t="shared" si="173"/>
        <v>-8.6531742436247283E-2</v>
      </c>
      <c r="AD83" s="146"/>
      <c r="AE83" s="146"/>
    </row>
    <row r="84" spans="2:31" x14ac:dyDescent="0.2">
      <c r="B84" s="20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20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3"/>
      <c r="AD84" s="146"/>
      <c r="AE84" s="146"/>
    </row>
    <row r="85" spans="2:31" x14ac:dyDescent="0.2">
      <c r="B85" s="20" t="s">
        <v>324</v>
      </c>
      <c r="C85" s="152"/>
      <c r="D85" s="152"/>
      <c r="E85" s="152"/>
      <c r="F85" s="152"/>
      <c r="G85" s="152">
        <f>G29/G25</f>
        <v>3.8291770573566086E-3</v>
      </c>
      <c r="H85" s="152">
        <f t="shared" ref="H85:P85" si="186">H29/H25</f>
        <v>3.2094270933128951E-3</v>
      </c>
      <c r="I85" s="152">
        <f t="shared" si="186"/>
        <v>3.8626579151669134E-3</v>
      </c>
      <c r="J85" s="152">
        <f t="shared" si="186"/>
        <v>2.8447797625651837E-3</v>
      </c>
      <c r="K85" s="152">
        <f t="shared" si="186"/>
        <v>5.8562012061147209E-3</v>
      </c>
      <c r="L85" s="152">
        <f t="shared" si="186"/>
        <v>1.2065882676569701E-3</v>
      </c>
      <c r="M85" s="152">
        <f t="shared" si="186"/>
        <v>1.0366749547920434E-3</v>
      </c>
      <c r="N85" s="152">
        <f t="shared" si="186"/>
        <v>1.2912353347135956E-3</v>
      </c>
      <c r="O85" s="152">
        <f t="shared" si="186"/>
        <v>1.0570028680688336E-3</v>
      </c>
      <c r="P85" s="152">
        <f t="shared" si="186"/>
        <v>2.5918501231844758E-3</v>
      </c>
      <c r="Q85" s="118">
        <f t="shared" si="171"/>
        <v>-4.2437434614023273E-2</v>
      </c>
      <c r="R85" s="20"/>
      <c r="S85" s="152">
        <f t="shared" ref="S85:AB85" si="187">S29/S25</f>
        <v>2.5918501231844758E-3</v>
      </c>
      <c r="T85" s="152">
        <f t="shared" si="187"/>
        <v>2.5918501231844754E-3</v>
      </c>
      <c r="U85" s="152">
        <f t="shared" si="187"/>
        <v>2.5918501231844758E-3</v>
      </c>
      <c r="V85" s="152">
        <f t="shared" si="187"/>
        <v>2.5918501231844758E-3</v>
      </c>
      <c r="W85" s="152">
        <f t="shared" si="187"/>
        <v>2.5918501231844754E-3</v>
      </c>
      <c r="X85" s="152">
        <f t="shared" si="187"/>
        <v>2.5918501231844754E-3</v>
      </c>
      <c r="Y85" s="152">
        <f t="shared" si="187"/>
        <v>2.5918501231844754E-3</v>
      </c>
      <c r="Z85" s="152">
        <f t="shared" si="187"/>
        <v>2.5918501231844754E-3</v>
      </c>
      <c r="AA85" s="152">
        <f t="shared" si="187"/>
        <v>2.5918501231844754E-3</v>
      </c>
      <c r="AB85" s="152">
        <f t="shared" si="187"/>
        <v>2.5918501231844754E-3</v>
      </c>
      <c r="AC85" s="138">
        <f t="shared" si="173"/>
        <v>-2.033141706253605E-2</v>
      </c>
      <c r="AD85" s="146"/>
      <c r="AE85" s="146"/>
    </row>
    <row r="86" spans="2:31" x14ac:dyDescent="0.2">
      <c r="B86" s="20" t="s">
        <v>370</v>
      </c>
      <c r="C86" s="152"/>
      <c r="D86" s="152"/>
      <c r="E86" s="152"/>
      <c r="F86" s="152"/>
      <c r="G86" s="152">
        <f>G29/G36</f>
        <v>3.5960187353629977E-2</v>
      </c>
      <c r="H86" s="152">
        <f t="shared" ref="H86:P86" si="188">H29/H36</f>
        <v>2.5709900230237913E-2</v>
      </c>
      <c r="I86" s="152">
        <f t="shared" si="188"/>
        <v>2.461988304093567E-2</v>
      </c>
      <c r="J86" s="152">
        <f t="shared" si="188"/>
        <v>1.4465444287729196E-2</v>
      </c>
      <c r="K86" s="152">
        <f t="shared" si="188"/>
        <v>3.3441003737319806E-2</v>
      </c>
      <c r="L86" s="152">
        <f t="shared" si="188"/>
        <v>8.8566380615850582E-3</v>
      </c>
      <c r="M86" s="152">
        <f t="shared" si="188"/>
        <v>6.2186440677966101E-3</v>
      </c>
      <c r="N86" s="152">
        <f t="shared" si="188"/>
        <v>6.7480163500841552E-3</v>
      </c>
      <c r="O86" s="152">
        <f t="shared" si="188"/>
        <v>5.3229689067201607E-3</v>
      </c>
      <c r="P86" s="152">
        <f t="shared" si="188"/>
        <v>1.3395125228308106E-2</v>
      </c>
      <c r="Q86" s="118">
        <f t="shared" ref="Q86" si="189">((P86/G86)^(1/($H$2-$H$1) ))-1</f>
        <v>-0.10391913471496772</v>
      </c>
      <c r="R86" s="20"/>
      <c r="S86" s="152">
        <f t="shared" ref="S86:AB86" si="190">S29/S36</f>
        <v>1.3395125228308104E-2</v>
      </c>
      <c r="T86" s="152">
        <f t="shared" si="190"/>
        <v>1.3395125228308106E-2</v>
      </c>
      <c r="U86" s="152">
        <f t="shared" si="190"/>
        <v>1.3395125228308106E-2</v>
      </c>
      <c r="V86" s="152">
        <f t="shared" si="190"/>
        <v>1.3395125228308106E-2</v>
      </c>
      <c r="W86" s="152">
        <f t="shared" si="190"/>
        <v>1.3395125228308106E-2</v>
      </c>
      <c r="X86" s="152">
        <f t="shared" si="190"/>
        <v>1.3395125228308104E-2</v>
      </c>
      <c r="Y86" s="152">
        <f t="shared" si="190"/>
        <v>1.3395125228308104E-2</v>
      </c>
      <c r="Z86" s="152">
        <f t="shared" si="190"/>
        <v>1.3395125228308102E-2</v>
      </c>
      <c r="AA86" s="152">
        <f t="shared" si="190"/>
        <v>1.3395125228308102E-2</v>
      </c>
      <c r="AB86" s="152">
        <f t="shared" si="190"/>
        <v>1.3395125228308102E-2</v>
      </c>
      <c r="AC86" s="138">
        <f t="shared" ref="AC86" si="191">((AB86/G86)^(1/($AB$3-$H$1) ))-1</f>
        <v>-5.064722814614897E-2</v>
      </c>
      <c r="AD86" s="146"/>
      <c r="AE86" s="146"/>
    </row>
    <row r="87" spans="2:31" ht="12" customHeight="1" x14ac:dyDescent="0.2">
      <c r="B87" s="20" t="s">
        <v>369</v>
      </c>
      <c r="C87" s="152"/>
      <c r="D87" s="152"/>
      <c r="E87" s="152"/>
      <c r="F87" s="152"/>
      <c r="G87" s="171">
        <f t="shared" ref="G87:P87" si="192">G29/G38</f>
        <v>4.6671732522796355E-2</v>
      </c>
      <c r="H87" s="171">
        <f t="shared" si="192"/>
        <v>3.5152151101783838E-2</v>
      </c>
      <c r="I87" s="171">
        <f t="shared" si="192"/>
        <v>3.2596783799880881E-2</v>
      </c>
      <c r="J87" s="171">
        <f t="shared" si="192"/>
        <v>2.124275062137531E-2</v>
      </c>
      <c r="K87" s="171">
        <f t="shared" si="192"/>
        <v>4.3816019587268273E-2</v>
      </c>
      <c r="L87" s="171">
        <f t="shared" si="192"/>
        <v>1.1264847512038524E-2</v>
      </c>
      <c r="M87" s="171">
        <f t="shared" si="192"/>
        <v>8.4812760055478498E-3</v>
      </c>
      <c r="N87" s="171">
        <f t="shared" si="192"/>
        <v>9.2730877250949955E-3</v>
      </c>
      <c r="O87" s="171">
        <f t="shared" si="192"/>
        <v>7.4883589671229014E-3</v>
      </c>
      <c r="P87" s="171">
        <f t="shared" si="192"/>
        <v>1.9065903691861768E-2</v>
      </c>
      <c r="Q87" s="118">
        <f t="shared" ref="Q87" si="193">((P87/G87)^(1/($H$2-$H$1) ))-1</f>
        <v>-9.4683604149016221E-2</v>
      </c>
      <c r="R87" s="20"/>
      <c r="S87" s="171">
        <f t="shared" ref="S87:AB87" si="194">S29/S38</f>
        <v>1.9065903691861768E-2</v>
      </c>
      <c r="T87" s="171">
        <f t="shared" si="194"/>
        <v>1.9065903691861764E-2</v>
      </c>
      <c r="U87" s="171">
        <f t="shared" si="194"/>
        <v>1.9065903691861764E-2</v>
      </c>
      <c r="V87" s="171">
        <f t="shared" si="194"/>
        <v>1.9065903691861764E-2</v>
      </c>
      <c r="W87" s="171">
        <f t="shared" si="194"/>
        <v>1.9065903691861764E-2</v>
      </c>
      <c r="X87" s="171">
        <f t="shared" si="194"/>
        <v>1.9065903691861761E-2</v>
      </c>
      <c r="Y87" s="171">
        <f t="shared" si="194"/>
        <v>1.9065903691861761E-2</v>
      </c>
      <c r="Z87" s="171">
        <f t="shared" si="194"/>
        <v>1.9065903691861761E-2</v>
      </c>
      <c r="AA87" s="171">
        <f t="shared" si="194"/>
        <v>1.9065903691861761E-2</v>
      </c>
      <c r="AB87" s="171">
        <f t="shared" si="194"/>
        <v>1.9065903691861761E-2</v>
      </c>
      <c r="AC87" s="138">
        <f t="shared" ref="AC87" si="195">((AB87/G87)^(1/($AB$3-$H$1) ))-1</f>
        <v>-4.6024931520788237E-2</v>
      </c>
      <c r="AD87" s="146"/>
      <c r="AE87" s="146"/>
    </row>
    <row r="88" spans="2:31" ht="12" customHeight="1" x14ac:dyDescent="0.2">
      <c r="B88" s="20" t="s">
        <v>326</v>
      </c>
      <c r="C88" s="152"/>
      <c r="D88" s="152"/>
      <c r="E88" s="152"/>
      <c r="F88" s="152"/>
      <c r="G88" s="171">
        <f t="shared" ref="G88:P88" si="196">G29/G12</f>
        <v>1.1549454682211358E-2</v>
      </c>
      <c r="H88" s="171">
        <f t="shared" si="196"/>
        <v>1.0544538873150771E-2</v>
      </c>
      <c r="I88" s="171">
        <f t="shared" si="196"/>
        <v>1.3242196951367045E-2</v>
      </c>
      <c r="J88" s="171">
        <f t="shared" si="196"/>
        <v>8.8292011019283755E-3</v>
      </c>
      <c r="K88" s="171">
        <f t="shared" si="196"/>
        <v>1.4937991891247317E-2</v>
      </c>
      <c r="L88" s="171">
        <f t="shared" si="196"/>
        <v>3.3972310969116086E-3</v>
      </c>
      <c r="M88" s="171">
        <f t="shared" si="196"/>
        <v>3.7226055194805193E-3</v>
      </c>
      <c r="N88" s="171">
        <f t="shared" si="196"/>
        <v>5.7836166924265849E-3</v>
      </c>
      <c r="O88" s="171">
        <f t="shared" si="196"/>
        <v>7.8809028809028805E-3</v>
      </c>
      <c r="P88" s="171">
        <f t="shared" si="196"/>
        <v>1.6266204382353315E-2</v>
      </c>
      <c r="Q88" s="118">
        <f t="shared" si="171"/>
        <v>3.878333030465142E-2</v>
      </c>
      <c r="R88" s="20"/>
      <c r="S88" s="152">
        <f t="shared" ref="S88:AB88" si="197">S29/S12</f>
        <v>1.6266204382353315E-2</v>
      </c>
      <c r="T88" s="152">
        <f t="shared" si="197"/>
        <v>1.6266204382353315E-2</v>
      </c>
      <c r="U88" s="152">
        <f t="shared" si="197"/>
        <v>1.6266204382353319E-2</v>
      </c>
      <c r="V88" s="152">
        <f t="shared" si="197"/>
        <v>1.6266204382353319E-2</v>
      </c>
      <c r="W88" s="152">
        <f t="shared" si="197"/>
        <v>1.6266204382353319E-2</v>
      </c>
      <c r="X88" s="152">
        <f t="shared" si="197"/>
        <v>1.6266204382353315E-2</v>
      </c>
      <c r="Y88" s="152">
        <f t="shared" si="197"/>
        <v>1.6266204382353315E-2</v>
      </c>
      <c r="Z88" s="152">
        <f t="shared" si="197"/>
        <v>1.6266204382353315E-2</v>
      </c>
      <c r="AA88" s="152">
        <f t="shared" si="197"/>
        <v>1.6266204382353319E-2</v>
      </c>
      <c r="AB88" s="152">
        <f t="shared" si="197"/>
        <v>1.6266204382353319E-2</v>
      </c>
      <c r="AC88" s="138">
        <f t="shared" si="173"/>
        <v>1.8187165146959172E-2</v>
      </c>
      <c r="AD88" s="146"/>
      <c r="AE88" s="146"/>
    </row>
    <row r="89" spans="2:31" ht="12" customHeight="1" x14ac:dyDescent="0.2">
      <c r="B89" s="20" t="s">
        <v>371</v>
      </c>
      <c r="C89" s="152"/>
      <c r="D89" s="152"/>
      <c r="E89" s="152"/>
      <c r="F89" s="152"/>
      <c r="G89" s="171">
        <f>G29/G23</f>
        <v>1.1549454682211358E-2</v>
      </c>
      <c r="H89" s="171">
        <f t="shared" ref="H89:P89" si="198">H29/H23</f>
        <v>1.0544538873150771E-2</v>
      </c>
      <c r="I89" s="171">
        <f t="shared" si="198"/>
        <v>1.3242196951367045E-2</v>
      </c>
      <c r="J89" s="171">
        <f t="shared" si="198"/>
        <v>8.8292011019283755E-3</v>
      </c>
      <c r="K89" s="171">
        <f t="shared" si="198"/>
        <v>2.1568526170798897E-2</v>
      </c>
      <c r="L89" s="171">
        <f t="shared" si="198"/>
        <v>3.4021718053131667E-3</v>
      </c>
      <c r="M89" s="171">
        <f t="shared" si="198"/>
        <v>3.7477017364657811E-3</v>
      </c>
      <c r="N89" s="171">
        <f t="shared" si="198"/>
        <v>5.828660436137072E-3</v>
      </c>
      <c r="O89" s="171">
        <f t="shared" si="198"/>
        <v>7.9553290361265173E-3</v>
      </c>
      <c r="P89" s="171">
        <f t="shared" si="198"/>
        <v>1.6504138644593897E-2</v>
      </c>
      <c r="Q89" s="118">
        <f t="shared" ref="Q89" si="199">((P89/G89)^(1/($H$2-$H$1) ))-1</f>
        <v>4.0460768403181024E-2</v>
      </c>
      <c r="R89" s="20"/>
      <c r="S89" s="171">
        <f t="shared" ref="S89:AB89" si="200">S29/S23</f>
        <v>1.6504138644593897E-2</v>
      </c>
      <c r="T89" s="171">
        <f t="shared" si="200"/>
        <v>1.6504138644593897E-2</v>
      </c>
      <c r="U89" s="171">
        <f t="shared" si="200"/>
        <v>1.6504138644593901E-2</v>
      </c>
      <c r="V89" s="171">
        <f t="shared" si="200"/>
        <v>1.6504138644593901E-2</v>
      </c>
      <c r="W89" s="171">
        <f t="shared" si="200"/>
        <v>1.6504138644593901E-2</v>
      </c>
      <c r="X89" s="171">
        <f t="shared" si="200"/>
        <v>1.6504138644593901E-2</v>
      </c>
      <c r="Y89" s="171">
        <f t="shared" si="200"/>
        <v>1.6504138644593897E-2</v>
      </c>
      <c r="Z89" s="171">
        <f t="shared" si="200"/>
        <v>1.6504138644593897E-2</v>
      </c>
      <c r="AA89" s="171">
        <f t="shared" si="200"/>
        <v>1.6504138644593894E-2</v>
      </c>
      <c r="AB89" s="171">
        <f t="shared" si="200"/>
        <v>1.6504138644593894E-2</v>
      </c>
      <c r="AC89" s="138">
        <f t="shared" ref="AC89" si="201">((AB89/G89)^(1/($AB$3-$H$1) ))-1</f>
        <v>1.8965656183285828E-2</v>
      </c>
      <c r="AD89" s="146"/>
      <c r="AE89" s="146"/>
    </row>
    <row r="90" spans="2:31" ht="12" customHeight="1" x14ac:dyDescent="0.2">
      <c r="B90" s="20"/>
      <c r="C90" s="152"/>
      <c r="D90" s="152"/>
      <c r="E90" s="152"/>
      <c r="F90" s="152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20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38"/>
      <c r="AD90" s="146"/>
      <c r="AE90" s="146"/>
    </row>
    <row r="91" spans="2:31" x14ac:dyDescent="0.2">
      <c r="B91" s="20" t="s">
        <v>327</v>
      </c>
      <c r="C91" s="152"/>
      <c r="D91" s="152"/>
      <c r="E91" s="152"/>
      <c r="F91" s="163">
        <f t="shared" ref="F91:O91" si="202">F10-(F12+F13)</f>
        <v>-799.32999999999993</v>
      </c>
      <c r="G91" s="163">
        <f t="shared" si="202"/>
        <v>-2148</v>
      </c>
      <c r="H91" s="163">
        <f t="shared" si="202"/>
        <v>-2650</v>
      </c>
      <c r="I91" s="163">
        <f t="shared" si="202"/>
        <v>-3583</v>
      </c>
      <c r="J91" s="163">
        <f t="shared" si="202"/>
        <v>-5727</v>
      </c>
      <c r="K91" s="163">
        <f t="shared" si="202"/>
        <v>-8299.2900000000009</v>
      </c>
      <c r="L91" s="163">
        <f t="shared" si="202"/>
        <v>-10167.94</v>
      </c>
      <c r="M91" s="163">
        <f t="shared" si="202"/>
        <v>-9713.94</v>
      </c>
      <c r="N91" s="163">
        <f t="shared" si="202"/>
        <v>-9440.94</v>
      </c>
      <c r="O91" s="163">
        <f t="shared" si="202"/>
        <v>-6370.94</v>
      </c>
      <c r="P91" s="163">
        <f>P10-(P12+P13)</f>
        <v>-6618.04</v>
      </c>
      <c r="Q91" s="118">
        <f t="shared" si="171"/>
        <v>0.13318145044703655</v>
      </c>
      <c r="R91" s="20"/>
      <c r="S91" s="163">
        <f>S10-(S12+S13)</f>
        <v>-7412.2048000000004</v>
      </c>
      <c r="T91" s="163">
        <f t="shared" ref="T91:AB91" si="203">T10-(T12+T13)</f>
        <v>-8301.6693760000016</v>
      </c>
      <c r="U91" s="163">
        <f t="shared" si="203"/>
        <v>-9297.869701120002</v>
      </c>
      <c r="V91" s="163">
        <f t="shared" si="203"/>
        <v>-10413.614065254402</v>
      </c>
      <c r="W91" s="163">
        <f t="shared" si="203"/>
        <v>-11663.247753084932</v>
      </c>
      <c r="X91" s="163">
        <f t="shared" si="203"/>
        <v>-13062.837483455127</v>
      </c>
      <c r="Y91" s="163">
        <f t="shared" si="203"/>
        <v>-14630.377981469745</v>
      </c>
      <c r="Z91" s="163">
        <f t="shared" si="203"/>
        <v>-16386.023339246112</v>
      </c>
      <c r="AA91" s="163">
        <f t="shared" si="203"/>
        <v>-18352.346139955644</v>
      </c>
      <c r="AB91" s="163">
        <f t="shared" si="203"/>
        <v>-20554.627676750326</v>
      </c>
      <c r="AC91" s="138">
        <f t="shared" si="173"/>
        <v>0.12622462179278338</v>
      </c>
      <c r="AD91" s="146"/>
      <c r="AE91" s="146"/>
    </row>
    <row r="92" spans="2:31" ht="12" customHeight="1" x14ac:dyDescent="0.2">
      <c r="B92" s="20" t="s">
        <v>322</v>
      </c>
      <c r="C92" s="20"/>
      <c r="D92" s="20"/>
      <c r="E92" s="20"/>
      <c r="F92" s="20"/>
      <c r="G92" s="152">
        <f t="shared" ref="G92:P92" si="204">G38/G18</f>
        <v>0.60201280878316565</v>
      </c>
      <c r="H92" s="152">
        <f t="shared" si="204"/>
        <v>0.91371045062320233</v>
      </c>
      <c r="I92" s="152">
        <f t="shared" si="204"/>
        <v>1.7115188583078491</v>
      </c>
      <c r="J92" s="152">
        <f t="shared" si="204"/>
        <v>2.4433198380566803</v>
      </c>
      <c r="K92" s="152">
        <f t="shared" si="204"/>
        <v>2.91734693877551</v>
      </c>
      <c r="L92" s="152">
        <f t="shared" si="204"/>
        <v>1.8719951923076923</v>
      </c>
      <c r="M92" s="152">
        <f t="shared" si="204"/>
        <v>1.6587423312883436</v>
      </c>
      <c r="N92" s="152">
        <f t="shared" si="204"/>
        <v>1.6771958991410363</v>
      </c>
      <c r="O92" s="152">
        <f t="shared" si="204"/>
        <v>1.5603258476442097</v>
      </c>
      <c r="P92" s="152">
        <f t="shared" si="204"/>
        <v>1.1357905275840419</v>
      </c>
      <c r="Q92" s="118">
        <f t="shared" si="171"/>
        <v>7.3080989827079001E-2</v>
      </c>
      <c r="R92" s="20"/>
      <c r="S92" s="152">
        <f t="shared" ref="S92:AB92" si="205">S38/S18</f>
        <v>1.1357905275840416</v>
      </c>
      <c r="T92" s="152">
        <f t="shared" si="205"/>
        <v>1.1357905275840419</v>
      </c>
      <c r="U92" s="152">
        <f t="shared" si="205"/>
        <v>1.1357905275840419</v>
      </c>
      <c r="V92" s="152">
        <f t="shared" si="205"/>
        <v>1.1357905275840416</v>
      </c>
      <c r="W92" s="152">
        <f t="shared" si="205"/>
        <v>1.1357905275840416</v>
      </c>
      <c r="X92" s="152">
        <f t="shared" si="205"/>
        <v>1.1357905275840416</v>
      </c>
      <c r="Y92" s="152">
        <f t="shared" si="205"/>
        <v>1.1357905275840419</v>
      </c>
      <c r="Z92" s="152">
        <f t="shared" si="205"/>
        <v>1.1357905275840416</v>
      </c>
      <c r="AA92" s="152">
        <f t="shared" si="205"/>
        <v>1.1357905275840416</v>
      </c>
      <c r="AB92" s="152">
        <f t="shared" si="205"/>
        <v>1.1357905275840416</v>
      </c>
      <c r="AC92" s="138">
        <f t="shared" si="173"/>
        <v>3.3975223467845872E-2</v>
      </c>
      <c r="AD92" s="20"/>
      <c r="AE92" s="20"/>
    </row>
    <row r="93" spans="2:31" x14ac:dyDescent="0.2">
      <c r="B93" s="20" t="s">
        <v>323</v>
      </c>
      <c r="C93" s="20"/>
      <c r="D93" s="20"/>
      <c r="E93" s="20"/>
      <c r="F93" s="20"/>
      <c r="G93" s="152">
        <f t="shared" ref="G93:P93" si="206">G38/G25</f>
        <v>8.2044887780548623E-2</v>
      </c>
      <c r="H93" s="152">
        <f t="shared" si="206"/>
        <v>9.1301015520214607E-2</v>
      </c>
      <c r="I93" s="152">
        <f t="shared" si="206"/>
        <v>0.11849812971981086</v>
      </c>
      <c r="J93" s="152">
        <f t="shared" si="206"/>
        <v>0.13391767447020969</v>
      </c>
      <c r="K93" s="152">
        <f t="shared" si="206"/>
        <v>0.13365434061053713</v>
      </c>
      <c r="L93" s="152">
        <f t="shared" si="206"/>
        <v>0.10711092772161475</v>
      </c>
      <c r="M93" s="152">
        <f t="shared" si="206"/>
        <v>0.12223101265822785</v>
      </c>
      <c r="N93" s="152">
        <f t="shared" si="206"/>
        <v>0.13924545663676099</v>
      </c>
      <c r="O93" s="152">
        <f t="shared" si="206"/>
        <v>0.14115280433397068</v>
      </c>
      <c r="P93" s="152">
        <f t="shared" si="206"/>
        <v>0.13594163513428428</v>
      </c>
      <c r="Q93" s="118">
        <f t="shared" si="171"/>
        <v>5.7710398016024511E-2</v>
      </c>
      <c r="R93" s="20"/>
      <c r="S93" s="152">
        <f t="shared" ref="S93:AB93" si="207">S38/S25</f>
        <v>0.13594163513428426</v>
      </c>
      <c r="T93" s="152">
        <f t="shared" si="207"/>
        <v>0.13594163513428428</v>
      </c>
      <c r="U93" s="152">
        <f t="shared" si="207"/>
        <v>0.13594163513428428</v>
      </c>
      <c r="V93" s="152">
        <f t="shared" si="207"/>
        <v>0.13594163513428428</v>
      </c>
      <c r="W93" s="152">
        <f t="shared" si="207"/>
        <v>0.13594163513428428</v>
      </c>
      <c r="X93" s="152">
        <f t="shared" si="207"/>
        <v>0.13594163513428428</v>
      </c>
      <c r="Y93" s="152">
        <f t="shared" si="207"/>
        <v>0.13594163513428428</v>
      </c>
      <c r="Z93" s="152">
        <f t="shared" si="207"/>
        <v>0.13594163513428428</v>
      </c>
      <c r="AA93" s="152">
        <f t="shared" si="207"/>
        <v>0.13594163513428428</v>
      </c>
      <c r="AB93" s="152">
        <f t="shared" si="207"/>
        <v>0.13594163513428428</v>
      </c>
      <c r="AC93" s="138">
        <f t="shared" si="173"/>
        <v>2.6933108953477891E-2</v>
      </c>
      <c r="AD93" s="20"/>
      <c r="AE93" s="20"/>
    </row>
    <row r="94" spans="2:31" x14ac:dyDescent="0.2">
      <c r="B94" s="20" t="s">
        <v>349</v>
      </c>
      <c r="C94" s="20"/>
      <c r="D94" s="20"/>
      <c r="E94" s="152"/>
      <c r="F94" s="152"/>
      <c r="G94" s="152">
        <f t="shared" ref="G94:O94" si="208">G25/G18</f>
        <v>7.3376029277218668</v>
      </c>
      <c r="H94" s="152">
        <f t="shared" si="208"/>
        <v>10.007670182166827</v>
      </c>
      <c r="I94" s="152">
        <f t="shared" si="208"/>
        <v>14.4434250764526</v>
      </c>
      <c r="J94" s="152">
        <f t="shared" si="208"/>
        <v>18.24493927125506</v>
      </c>
      <c r="K94" s="152">
        <f t="shared" si="208"/>
        <v>21.827551020408162</v>
      </c>
      <c r="L94" s="152">
        <f t="shared" si="208"/>
        <v>17.47716346153846</v>
      </c>
      <c r="M94" s="152">
        <f t="shared" si="208"/>
        <v>13.570552147239264</v>
      </c>
      <c r="N94" s="152">
        <f t="shared" si="208"/>
        <v>12.044887780548628</v>
      </c>
      <c r="O94" s="152">
        <f t="shared" si="208"/>
        <v>11.054161162483487</v>
      </c>
      <c r="P94" s="152">
        <f>P25/P18</f>
        <v>8.3549865091890236</v>
      </c>
      <c r="Q94" s="118">
        <f t="shared" si="171"/>
        <v>1.4531947345781671E-2</v>
      </c>
      <c r="R94" s="20"/>
      <c r="S94" s="152">
        <f>S25/S18</f>
        <v>8.3549865091890236</v>
      </c>
      <c r="T94" s="152">
        <f t="shared" ref="T94:AB94" si="209">T25/T18</f>
        <v>8.3549865091890236</v>
      </c>
      <c r="U94" s="152">
        <f t="shared" si="209"/>
        <v>8.3549865091890236</v>
      </c>
      <c r="V94" s="152">
        <f t="shared" si="209"/>
        <v>8.3549865091890236</v>
      </c>
      <c r="W94" s="152">
        <f t="shared" si="209"/>
        <v>8.3549865091890236</v>
      </c>
      <c r="X94" s="152">
        <f t="shared" si="209"/>
        <v>8.3549865091890236</v>
      </c>
      <c r="Y94" s="152">
        <f t="shared" si="209"/>
        <v>8.3549865091890236</v>
      </c>
      <c r="Z94" s="152">
        <f t="shared" si="209"/>
        <v>8.3549865091890219</v>
      </c>
      <c r="AA94" s="152">
        <f t="shared" si="209"/>
        <v>8.3549865091890219</v>
      </c>
      <c r="AB94" s="152">
        <f t="shared" si="209"/>
        <v>8.3549865091890219</v>
      </c>
      <c r="AC94" s="138">
        <f t="shared" si="173"/>
        <v>6.8574227989828263E-3</v>
      </c>
      <c r="AD94" s="20"/>
      <c r="AE94" s="20"/>
    </row>
    <row r="95" spans="2:31" x14ac:dyDescent="0.2">
      <c r="B95" s="20"/>
      <c r="C95" s="20"/>
      <c r="D95" s="20"/>
      <c r="E95" s="20"/>
      <c r="F95" s="20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28"/>
      <c r="R95" s="20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28"/>
      <c r="AD95" s="20"/>
      <c r="AE95" s="20"/>
    </row>
    <row r="96" spans="2:31" x14ac:dyDescent="0.2">
      <c r="B96" s="20" t="s">
        <v>335</v>
      </c>
      <c r="C96" s="20"/>
      <c r="D96" s="20"/>
      <c r="E96" s="165">
        <f t="shared" ref="E96:F96" si="210">E63*E40</f>
        <v>0</v>
      </c>
      <c r="F96" s="165">
        <f t="shared" si="210"/>
        <v>97.88</v>
      </c>
      <c r="G96" s="165">
        <f>G63*G40</f>
        <v>146.82</v>
      </c>
      <c r="H96" s="165">
        <f t="shared" ref="H96:P96" si="211">H63*H40</f>
        <v>195.76</v>
      </c>
      <c r="I96" s="165">
        <f t="shared" si="211"/>
        <v>354.815</v>
      </c>
      <c r="J96" s="165">
        <f t="shared" si="211"/>
        <v>599.51499999999999</v>
      </c>
      <c r="K96" s="165">
        <f t="shared" si="211"/>
        <v>746.48750000000007</v>
      </c>
      <c r="L96" s="165">
        <f t="shared" si="211"/>
        <v>832.15000000000009</v>
      </c>
      <c r="M96" s="165">
        <f t="shared" si="211"/>
        <v>1140.5350000000001</v>
      </c>
      <c r="N96" s="165">
        <f t="shared" si="211"/>
        <v>1524.7925</v>
      </c>
      <c r="O96" s="165">
        <f t="shared" si="211"/>
        <v>1566.4639999999999</v>
      </c>
      <c r="P96" s="165">
        <f t="shared" si="211"/>
        <v>1253.1712</v>
      </c>
      <c r="Q96" s="118">
        <f t="shared" si="171"/>
        <v>0.26902291727150662</v>
      </c>
      <c r="R96" s="20"/>
      <c r="S96" s="165">
        <f t="shared" ref="S96:AB96" si="212">S63*S40</f>
        <v>1973.7446400000001</v>
      </c>
      <c r="T96" s="165">
        <f t="shared" si="212"/>
        <v>2321.1236966400002</v>
      </c>
      <c r="U96" s="165">
        <f t="shared" si="212"/>
        <v>2729.6414672486412</v>
      </c>
      <c r="V96" s="165">
        <f t="shared" si="212"/>
        <v>3210.0583654844027</v>
      </c>
      <c r="W96" s="165">
        <f t="shared" si="212"/>
        <v>3775.028637809658</v>
      </c>
      <c r="X96" s="165">
        <f t="shared" si="212"/>
        <v>4439.4336780641588</v>
      </c>
      <c r="Y96" s="165">
        <f t="shared" si="212"/>
        <v>5220.7740054034512</v>
      </c>
      <c r="Z96" s="165">
        <f t="shared" si="212"/>
        <v>6139.6302303544589</v>
      </c>
      <c r="AA96" s="165">
        <f t="shared" si="212"/>
        <v>7220.2051508968443</v>
      </c>
      <c r="AB96" s="165">
        <f t="shared" si="212"/>
        <v>8490.96125745469</v>
      </c>
      <c r="AC96" s="138">
        <f t="shared" si="173"/>
        <v>0.2380719258197368</v>
      </c>
      <c r="AD96" s="20"/>
      <c r="AE96" s="20"/>
    </row>
    <row r="97" spans="2:31" x14ac:dyDescent="0.2">
      <c r="B97" s="20" t="s">
        <v>336</v>
      </c>
      <c r="C97" s="20"/>
      <c r="D97" s="20"/>
      <c r="E97" s="165">
        <f>(E96*0.17)+E96</f>
        <v>0</v>
      </c>
      <c r="F97" s="165">
        <f>(F96*0.17)+F96</f>
        <v>114.5196</v>
      </c>
      <c r="G97" s="165">
        <f t="shared" ref="G97:P97" si="213">(G96*0.17)+G96</f>
        <v>171.77940000000001</v>
      </c>
      <c r="H97" s="165">
        <f t="shared" si="213"/>
        <v>229.03919999999999</v>
      </c>
      <c r="I97" s="165">
        <f t="shared" si="213"/>
        <v>415.13355000000001</v>
      </c>
      <c r="J97" s="165">
        <f t="shared" si="213"/>
        <v>701.43254999999999</v>
      </c>
      <c r="K97" s="165">
        <f t="shared" si="213"/>
        <v>873.39037500000006</v>
      </c>
      <c r="L97" s="165">
        <f t="shared" si="213"/>
        <v>973.61550000000011</v>
      </c>
      <c r="M97" s="165">
        <f t="shared" si="213"/>
        <v>1334.4259500000001</v>
      </c>
      <c r="N97" s="165">
        <f t="shared" si="213"/>
        <v>1784.0072250000001</v>
      </c>
      <c r="O97" s="165">
        <f t="shared" si="213"/>
        <v>1832.76288</v>
      </c>
      <c r="P97" s="165">
        <f t="shared" si="213"/>
        <v>1466.210304</v>
      </c>
      <c r="Q97" s="118">
        <f t="shared" si="171"/>
        <v>0.26902291727150662</v>
      </c>
      <c r="R97" s="20"/>
      <c r="S97" s="165">
        <f t="shared" ref="S97:AB97" si="214">(S96*0.17)+S96</f>
        <v>2309.2812288</v>
      </c>
      <c r="T97" s="165">
        <f t="shared" si="214"/>
        <v>2715.7147250688004</v>
      </c>
      <c r="U97" s="165">
        <f t="shared" si="214"/>
        <v>3193.6805166809104</v>
      </c>
      <c r="V97" s="165">
        <f t="shared" si="214"/>
        <v>3755.768287616751</v>
      </c>
      <c r="W97" s="165">
        <f t="shared" si="214"/>
        <v>4416.7835062372997</v>
      </c>
      <c r="X97" s="165">
        <f t="shared" si="214"/>
        <v>5194.1374033350658</v>
      </c>
      <c r="Y97" s="165">
        <f t="shared" si="214"/>
        <v>6108.3055863220379</v>
      </c>
      <c r="Z97" s="165">
        <f t="shared" si="214"/>
        <v>7183.3673695147172</v>
      </c>
      <c r="AA97" s="165">
        <f t="shared" si="214"/>
        <v>8447.6400265493085</v>
      </c>
      <c r="AB97" s="165">
        <f t="shared" si="214"/>
        <v>9934.4246712219865</v>
      </c>
      <c r="AC97" s="138">
        <f t="shared" si="173"/>
        <v>0.2380719258197368</v>
      </c>
      <c r="AD97" s="20"/>
      <c r="AE97" s="20"/>
    </row>
    <row r="98" spans="2:31" x14ac:dyDescent="0.2">
      <c r="B98" s="20" t="s">
        <v>337</v>
      </c>
      <c r="C98" s="20"/>
      <c r="D98" s="20"/>
      <c r="E98" s="20"/>
      <c r="F98" s="152">
        <f t="shared" ref="F98:P98" si="215">F97/F38</f>
        <v>0.25792702702702702</v>
      </c>
      <c r="G98" s="152">
        <f t="shared" si="215"/>
        <v>0.26106291793313069</v>
      </c>
      <c r="H98" s="152">
        <f t="shared" si="215"/>
        <v>0.24033494228751312</v>
      </c>
      <c r="I98" s="152">
        <f t="shared" si="215"/>
        <v>0.24725047647409173</v>
      </c>
      <c r="J98" s="152">
        <f t="shared" si="215"/>
        <v>0.29056857912178957</v>
      </c>
      <c r="K98" s="152">
        <f t="shared" si="215"/>
        <v>0.30548806400839457</v>
      </c>
      <c r="L98" s="152">
        <f t="shared" si="215"/>
        <v>0.31255714285714287</v>
      </c>
      <c r="M98" s="152">
        <f t="shared" si="215"/>
        <v>0.30846647018030515</v>
      </c>
      <c r="N98" s="152">
        <f t="shared" si="215"/>
        <v>0.29473107962993556</v>
      </c>
      <c r="O98" s="152">
        <f t="shared" si="215"/>
        <v>0.25860912656977564</v>
      </c>
      <c r="P98" s="152">
        <f t="shared" si="215"/>
        <v>0.21906296095979438</v>
      </c>
      <c r="Q98" s="118">
        <f t="shared" si="171"/>
        <v>-1.9300454655568511E-2</v>
      </c>
      <c r="R98" s="20"/>
      <c r="S98" s="152">
        <f t="shared" ref="S98:AB98" si="216">S97/S38</f>
        <v>0.30805728884971084</v>
      </c>
      <c r="T98" s="152">
        <f t="shared" si="216"/>
        <v>0.32346015329219641</v>
      </c>
      <c r="U98" s="152">
        <f t="shared" si="216"/>
        <v>0.33963316095680629</v>
      </c>
      <c r="V98" s="152">
        <f t="shared" si="216"/>
        <v>0.35661481900464659</v>
      </c>
      <c r="W98" s="152">
        <f t="shared" si="216"/>
        <v>0.37444555995487894</v>
      </c>
      <c r="X98" s="152">
        <f t="shared" si="216"/>
        <v>0.39316783795262294</v>
      </c>
      <c r="Y98" s="152">
        <f t="shared" si="216"/>
        <v>0.41282622985025408</v>
      </c>
      <c r="Z98" s="152">
        <f t="shared" si="216"/>
        <v>0.43346754134276677</v>
      </c>
      <c r="AA98" s="152">
        <f t="shared" si="216"/>
        <v>0.45514091840990517</v>
      </c>
      <c r="AB98" s="152">
        <f t="shared" si="216"/>
        <v>0.47789796433040033</v>
      </c>
      <c r="AC98" s="138">
        <f t="shared" si="173"/>
        <v>3.2334700832280516E-2</v>
      </c>
      <c r="AD98" s="20"/>
      <c r="AE98" s="20"/>
    </row>
    <row r="99" spans="2:31" x14ac:dyDescent="0.2">
      <c r="B99" s="20" t="s">
        <v>330</v>
      </c>
      <c r="C99" s="20"/>
      <c r="D99" s="20"/>
      <c r="E99" s="20"/>
      <c r="F99" s="152">
        <f>1-F98</f>
        <v>0.74207297297297292</v>
      </c>
      <c r="G99" s="152">
        <f>1-G98</f>
        <v>0.73893708206686926</v>
      </c>
      <c r="H99" s="152">
        <f t="shared" ref="H99:P99" si="217">1-H98</f>
        <v>0.75966505771248682</v>
      </c>
      <c r="I99" s="152">
        <f t="shared" si="217"/>
        <v>0.75274952352590829</v>
      </c>
      <c r="J99" s="152">
        <f t="shared" si="217"/>
        <v>0.70943142087821043</v>
      </c>
      <c r="K99" s="152">
        <f t="shared" si="217"/>
        <v>0.69451193599160543</v>
      </c>
      <c r="L99" s="152">
        <f t="shared" si="217"/>
        <v>0.68744285714285713</v>
      </c>
      <c r="M99" s="152">
        <f t="shared" si="217"/>
        <v>0.69153352981969485</v>
      </c>
      <c r="N99" s="152">
        <f t="shared" si="217"/>
        <v>0.70526892037006439</v>
      </c>
      <c r="O99" s="152">
        <f t="shared" si="217"/>
        <v>0.74139087343022436</v>
      </c>
      <c r="P99" s="152">
        <f t="shared" si="217"/>
        <v>0.78093703904020562</v>
      </c>
      <c r="Q99" s="118">
        <f t="shared" si="171"/>
        <v>6.1613202970973724E-3</v>
      </c>
      <c r="R99" s="20"/>
      <c r="S99" s="152">
        <f t="shared" ref="S99:AB99" si="218">1-S98</f>
        <v>0.69194271115028916</v>
      </c>
      <c r="T99" s="152">
        <f t="shared" si="218"/>
        <v>0.67653984670780365</v>
      </c>
      <c r="U99" s="152">
        <f t="shared" si="218"/>
        <v>0.66036683904319371</v>
      </c>
      <c r="V99" s="152">
        <f t="shared" si="218"/>
        <v>0.64338518099535347</v>
      </c>
      <c r="W99" s="152">
        <f t="shared" si="218"/>
        <v>0.62555444004512106</v>
      </c>
      <c r="X99" s="152">
        <f t="shared" si="218"/>
        <v>0.60683216204737711</v>
      </c>
      <c r="Y99" s="152">
        <f t="shared" si="218"/>
        <v>0.58717377014974592</v>
      </c>
      <c r="Z99" s="152">
        <f t="shared" si="218"/>
        <v>0.56653245865723323</v>
      </c>
      <c r="AA99" s="152">
        <f t="shared" si="218"/>
        <v>0.54485908159009488</v>
      </c>
      <c r="AB99" s="152">
        <f t="shared" si="218"/>
        <v>0.52210203566959967</v>
      </c>
      <c r="AC99" s="138">
        <f t="shared" si="173"/>
        <v>-1.8115471071434852E-2</v>
      </c>
      <c r="AD99" s="20"/>
      <c r="AE99" s="20"/>
    </row>
    <row r="100" spans="2:31" x14ac:dyDescent="0.2">
      <c r="B100" s="20"/>
      <c r="C100" s="20"/>
      <c r="D100" s="20"/>
      <c r="E100" s="20"/>
      <c r="F100" s="20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28"/>
      <c r="R100" s="20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28"/>
      <c r="AD100" s="20"/>
      <c r="AE100" s="20"/>
    </row>
    <row r="101" spans="2:31" x14ac:dyDescent="0.2">
      <c r="B101" s="20" t="s">
        <v>334</v>
      </c>
      <c r="C101" s="152"/>
      <c r="D101" s="152"/>
      <c r="E101" s="152"/>
      <c r="F101" s="152">
        <f>F31/F25</f>
        <v>1.0428591769898903E-2</v>
      </c>
      <c r="G101" s="152">
        <f>G31/G25</f>
        <v>1.1224438902743142E-2</v>
      </c>
      <c r="H101" s="152">
        <f t="shared" ref="H101:P101" si="219">H31/H25</f>
        <v>0</v>
      </c>
      <c r="I101" s="152">
        <f t="shared" si="219"/>
        <v>0</v>
      </c>
      <c r="J101" s="152">
        <f t="shared" si="219"/>
        <v>0</v>
      </c>
      <c r="K101" s="152">
        <f t="shared" si="219"/>
        <v>0</v>
      </c>
      <c r="L101" s="152">
        <f t="shared" si="219"/>
        <v>0</v>
      </c>
      <c r="M101" s="152">
        <f t="shared" si="219"/>
        <v>6.7218580470162744E-4</v>
      </c>
      <c r="N101" s="152">
        <f t="shared" si="219"/>
        <v>1.2532781228433401E-3</v>
      </c>
      <c r="O101" s="152">
        <f t="shared" si="219"/>
        <v>1.2223151688973868E-3</v>
      </c>
      <c r="P101" s="152">
        <f t="shared" si="219"/>
        <v>1.3693482901426014E-3</v>
      </c>
      <c r="Q101" s="118">
        <f t="shared" si="171"/>
        <v>-0.20844106825705422</v>
      </c>
      <c r="R101" s="20"/>
      <c r="S101" s="152">
        <f t="shared" ref="S101:AB101" si="220">S31/S25</f>
        <v>1.3693482901426012E-3</v>
      </c>
      <c r="T101" s="152">
        <f t="shared" si="220"/>
        <v>1.3693482901426012E-3</v>
      </c>
      <c r="U101" s="152">
        <f t="shared" si="220"/>
        <v>1.3693482901426014E-3</v>
      </c>
      <c r="V101" s="152">
        <f t="shared" si="220"/>
        <v>1.3693482901426012E-3</v>
      </c>
      <c r="W101" s="152">
        <f t="shared" si="220"/>
        <v>1.369348290142601E-3</v>
      </c>
      <c r="X101" s="152">
        <f t="shared" si="220"/>
        <v>1.3693482901426012E-3</v>
      </c>
      <c r="Y101" s="152">
        <f t="shared" si="220"/>
        <v>1.3693482901426012E-3</v>
      </c>
      <c r="Z101" s="152">
        <f t="shared" si="220"/>
        <v>1.3693482901426012E-3</v>
      </c>
      <c r="AA101" s="152">
        <f t="shared" si="220"/>
        <v>1.3693482901426012E-3</v>
      </c>
      <c r="AB101" s="152">
        <f t="shared" si="220"/>
        <v>1.3693482901426012E-3</v>
      </c>
      <c r="AC101" s="138">
        <f t="shared" si="173"/>
        <v>-0.10481433261441186</v>
      </c>
      <c r="AD101" s="20"/>
      <c r="AE101" s="20"/>
    </row>
    <row r="102" spans="2:31" x14ac:dyDescent="0.2">
      <c r="B102" s="20" t="s">
        <v>331</v>
      </c>
      <c r="C102" s="152"/>
      <c r="D102" s="152"/>
      <c r="E102" s="152"/>
      <c r="F102" s="152">
        <f>F32/F25</f>
        <v>0</v>
      </c>
      <c r="G102" s="152">
        <f>G32/G25</f>
        <v>0</v>
      </c>
      <c r="H102" s="152">
        <f t="shared" ref="H102:P102" si="221">H32/H25</f>
        <v>0</v>
      </c>
      <c r="I102" s="152">
        <f t="shared" si="221"/>
        <v>0</v>
      </c>
      <c r="J102" s="152">
        <f t="shared" si="221"/>
        <v>0</v>
      </c>
      <c r="K102" s="152">
        <f t="shared" si="221"/>
        <v>1.0298256276003927E-2</v>
      </c>
      <c r="L102" s="152">
        <f t="shared" si="221"/>
        <v>1.0162987414895812E-2</v>
      </c>
      <c r="M102" s="152">
        <f t="shared" si="221"/>
        <v>6.2839059674502712E-3</v>
      </c>
      <c r="N102" s="152">
        <f t="shared" si="221"/>
        <v>5.5141476880607313E-3</v>
      </c>
      <c r="O102" s="152">
        <f t="shared" si="221"/>
        <v>4.9784894837476097E-3</v>
      </c>
      <c r="P102" s="152">
        <f t="shared" si="221"/>
        <v>5.6451596523618306E-3</v>
      </c>
      <c r="Q102" s="118" t="e">
        <f t="shared" si="171"/>
        <v>#DIV/0!</v>
      </c>
      <c r="R102" s="20"/>
      <c r="S102" s="152">
        <f t="shared" ref="S102:AB102" si="222">S32/S25</f>
        <v>5.6451596523618298E-3</v>
      </c>
      <c r="T102" s="152">
        <f t="shared" si="222"/>
        <v>5.6451596523618298E-3</v>
      </c>
      <c r="U102" s="152">
        <f t="shared" si="222"/>
        <v>5.6451596523618298E-3</v>
      </c>
      <c r="V102" s="152">
        <f t="shared" si="222"/>
        <v>5.6451596523618298E-3</v>
      </c>
      <c r="W102" s="152">
        <f t="shared" si="222"/>
        <v>5.6451596523618289E-3</v>
      </c>
      <c r="X102" s="152">
        <f t="shared" si="222"/>
        <v>5.6451596523618289E-3</v>
      </c>
      <c r="Y102" s="152">
        <f t="shared" si="222"/>
        <v>5.6451596523618289E-3</v>
      </c>
      <c r="Z102" s="152">
        <f t="shared" si="222"/>
        <v>5.6451596523618289E-3</v>
      </c>
      <c r="AA102" s="152">
        <f t="shared" si="222"/>
        <v>5.6451596523618289E-3</v>
      </c>
      <c r="AB102" s="152">
        <f t="shared" si="222"/>
        <v>5.6451596523618289E-3</v>
      </c>
      <c r="AC102" s="138" t="e">
        <f t="shared" si="173"/>
        <v>#DIV/0!</v>
      </c>
      <c r="AD102" s="20"/>
      <c r="AE102" s="20"/>
    </row>
    <row r="103" spans="2:31" x14ac:dyDescent="0.2">
      <c r="B103" s="20"/>
      <c r="C103" s="20"/>
      <c r="D103" s="20"/>
      <c r="E103" s="20"/>
      <c r="F103" s="20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28"/>
      <c r="R103" s="20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28"/>
      <c r="AD103" s="20"/>
      <c r="AE103" s="20"/>
    </row>
    <row r="104" spans="2:31" x14ac:dyDescent="0.2">
      <c r="B104" s="20" t="s">
        <v>355</v>
      </c>
      <c r="C104" s="20"/>
      <c r="D104" s="20"/>
      <c r="E104" s="20"/>
      <c r="F104" s="20"/>
      <c r="G104" s="152">
        <f>G27/G25</f>
        <v>0.8917705735660848</v>
      </c>
      <c r="H104" s="152">
        <f t="shared" ref="H104:P104" si="223">H27/H25</f>
        <v>0.85025867024334167</v>
      </c>
      <c r="I104" s="152">
        <f t="shared" si="223"/>
        <v>0.81890041640200439</v>
      </c>
      <c r="J104" s="152">
        <f t="shared" si="223"/>
        <v>0.7766559414179518</v>
      </c>
      <c r="K104" s="152">
        <f t="shared" si="223"/>
        <v>0.77700902248609227</v>
      </c>
      <c r="L104" s="152">
        <f t="shared" si="223"/>
        <v>0.82078261467574443</v>
      </c>
      <c r="M104" s="152">
        <f t="shared" si="223"/>
        <v>0.79588607594936711</v>
      </c>
      <c r="N104" s="152">
        <f t="shared" si="223"/>
        <v>0.77681159420289858</v>
      </c>
      <c r="O104" s="152">
        <f t="shared" si="223"/>
        <v>0.77607154238368392</v>
      </c>
      <c r="P104" s="152">
        <f t="shared" si="223"/>
        <v>0.80090829509841555</v>
      </c>
      <c r="Q104" s="118">
        <f t="shared" si="171"/>
        <v>-1.186926922203102E-2</v>
      </c>
      <c r="R104" s="20"/>
      <c r="S104" s="152">
        <f t="shared" ref="S104:AB104" si="224">S27/S25</f>
        <v>0.80090829509841543</v>
      </c>
      <c r="T104" s="152">
        <f t="shared" si="224"/>
        <v>0.80090829509841532</v>
      </c>
      <c r="U104" s="152">
        <f t="shared" si="224"/>
        <v>0.80090829509841543</v>
      </c>
      <c r="V104" s="152">
        <f t="shared" si="224"/>
        <v>0.80090829509841543</v>
      </c>
      <c r="W104" s="152">
        <f t="shared" si="224"/>
        <v>0.80090829509841532</v>
      </c>
      <c r="X104" s="152">
        <f t="shared" si="224"/>
        <v>0.80090829509841543</v>
      </c>
      <c r="Y104" s="152">
        <f t="shared" si="224"/>
        <v>0.80090829509841543</v>
      </c>
      <c r="Z104" s="152">
        <f t="shared" si="224"/>
        <v>0.80090829509841543</v>
      </c>
      <c r="AA104" s="152">
        <f t="shared" si="224"/>
        <v>0.80090829509841543</v>
      </c>
      <c r="AB104" s="152">
        <f t="shared" si="224"/>
        <v>0.80090829509841543</v>
      </c>
      <c r="AC104" s="138">
        <f t="shared" si="173"/>
        <v>-5.6399534331147416E-3</v>
      </c>
      <c r="AD104" s="20"/>
      <c r="AE104" s="20"/>
    </row>
    <row r="105" spans="2:31" x14ac:dyDescent="0.2">
      <c r="B105" s="20" t="str">
        <f>B33</f>
        <v>Top Expenses ( Raw material )</v>
      </c>
      <c r="C105" s="20"/>
      <c r="D105" s="20"/>
      <c r="E105" s="20"/>
      <c r="F105" s="20"/>
      <c r="G105" s="152">
        <f>G33/G25</f>
        <v>0.45311720698254365</v>
      </c>
      <c r="H105" s="152">
        <f t="shared" ref="H105:P105" si="225">H33/H25</f>
        <v>0.48831193715271126</v>
      </c>
      <c r="I105" s="152">
        <f t="shared" si="225"/>
        <v>0.50109393746912279</v>
      </c>
      <c r="J105" s="152">
        <f t="shared" si="225"/>
        <v>0.47492510817707756</v>
      </c>
      <c r="K105" s="152">
        <f t="shared" si="225"/>
        <v>0.48618577906596233</v>
      </c>
      <c r="L105" s="152">
        <f t="shared" si="225"/>
        <v>0.54143456433532766</v>
      </c>
      <c r="M105" s="152">
        <f t="shared" si="225"/>
        <v>0.50618783905967446</v>
      </c>
      <c r="N105" s="152">
        <f t="shared" si="225"/>
        <v>0.46045548654244306</v>
      </c>
      <c r="O105" s="152">
        <f t="shared" si="225"/>
        <v>0.50322657743785848</v>
      </c>
      <c r="P105" s="152">
        <f t="shared" si="225"/>
        <v>0.55864616909481235</v>
      </c>
      <c r="Q105" s="118">
        <f t="shared" si="171"/>
        <v>2.3535520545401312E-2</v>
      </c>
      <c r="R105" s="20"/>
      <c r="S105" s="152">
        <f t="shared" ref="S105:AB105" si="226">S33/S25</f>
        <v>0.55864616909481235</v>
      </c>
      <c r="T105" s="152">
        <f t="shared" si="226"/>
        <v>0.55864616909481235</v>
      </c>
      <c r="U105" s="152">
        <f t="shared" si="226"/>
        <v>0.55864616909481235</v>
      </c>
      <c r="V105" s="152">
        <f t="shared" si="226"/>
        <v>0.55864616909481235</v>
      </c>
      <c r="W105" s="152">
        <f t="shared" si="226"/>
        <v>0.55864616909481235</v>
      </c>
      <c r="X105" s="152">
        <f t="shared" si="226"/>
        <v>0.55864616909481235</v>
      </c>
      <c r="Y105" s="152">
        <f t="shared" si="226"/>
        <v>0.55864616909481235</v>
      </c>
      <c r="Z105" s="152">
        <f t="shared" si="226"/>
        <v>0.55864616909481235</v>
      </c>
      <c r="AA105" s="152">
        <f t="shared" si="226"/>
        <v>0.55864616909481235</v>
      </c>
      <c r="AB105" s="152">
        <f t="shared" si="226"/>
        <v>0.55864616909481235</v>
      </c>
      <c r="AC105" s="138">
        <f t="shared" si="173"/>
        <v>1.1080170888098539E-2</v>
      </c>
      <c r="AD105" s="20"/>
      <c r="AE105" s="20"/>
    </row>
    <row r="106" spans="2:31" x14ac:dyDescent="0.2">
      <c r="B106" s="20" t="str">
        <f>B34</f>
        <v>2nd highest Expenses Comp. ( Empl )</v>
      </c>
      <c r="C106" s="20"/>
      <c r="D106" s="20"/>
      <c r="E106" s="20"/>
      <c r="F106" s="20"/>
      <c r="G106" s="152">
        <f>G34/G25</f>
        <v>0.20448877805486285</v>
      </c>
      <c r="H106" s="152">
        <f t="shared" ref="H106:P106" si="227">H34/H25</f>
        <v>0.15807625981988888</v>
      </c>
      <c r="I106" s="152">
        <f t="shared" si="227"/>
        <v>0.13254287529112851</v>
      </c>
      <c r="J106" s="152">
        <f t="shared" si="227"/>
        <v>0.13131032952402086</v>
      </c>
      <c r="K106" s="152">
        <f t="shared" si="227"/>
        <v>0.12163994203169558</v>
      </c>
      <c r="L106" s="152">
        <f t="shared" si="227"/>
        <v>0.10408500103156591</v>
      </c>
      <c r="M106" s="152">
        <f t="shared" si="227"/>
        <v>0.18365732368896925</v>
      </c>
      <c r="N106" s="152">
        <f t="shared" si="227"/>
        <v>0.12541982976765587</v>
      </c>
      <c r="O106" s="152">
        <f t="shared" si="227"/>
        <v>0.1101218929254302</v>
      </c>
      <c r="P106" s="152">
        <f t="shared" si="227"/>
        <v>0.11828959421225912</v>
      </c>
      <c r="Q106" s="118">
        <f t="shared" si="171"/>
        <v>-5.9007113751773699E-2</v>
      </c>
      <c r="R106" s="20"/>
      <c r="S106" s="152">
        <f t="shared" ref="S106:AB106" si="228">S34/S25</f>
        <v>0.11828959421225912</v>
      </c>
      <c r="T106" s="152">
        <f t="shared" si="228"/>
        <v>0.11828959421225912</v>
      </c>
      <c r="U106" s="152">
        <f t="shared" si="228"/>
        <v>0.11828959421225914</v>
      </c>
      <c r="V106" s="152">
        <f t="shared" si="228"/>
        <v>0.11828959421225912</v>
      </c>
      <c r="W106" s="152">
        <f t="shared" si="228"/>
        <v>0.11828959421225911</v>
      </c>
      <c r="X106" s="152">
        <f t="shared" si="228"/>
        <v>0.11828959421225912</v>
      </c>
      <c r="Y106" s="152">
        <f t="shared" si="228"/>
        <v>0.11828959421225914</v>
      </c>
      <c r="Z106" s="152">
        <f t="shared" si="228"/>
        <v>0.11828959421225914</v>
      </c>
      <c r="AA106" s="152">
        <f t="shared" si="228"/>
        <v>0.11828959421225915</v>
      </c>
      <c r="AB106" s="152">
        <f t="shared" si="228"/>
        <v>0.11828959421225914</v>
      </c>
      <c r="AC106" s="138">
        <f t="shared" si="173"/>
        <v>-2.839829906483271E-2</v>
      </c>
      <c r="AD106" s="20"/>
      <c r="AE106" s="20"/>
    </row>
    <row r="107" spans="2:31" x14ac:dyDescent="0.2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128"/>
      <c r="R107" s="128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139"/>
      <c r="AD107" s="20"/>
      <c r="AE107" s="20"/>
    </row>
    <row r="108" spans="2:31" x14ac:dyDescent="0.2">
      <c r="B108" s="108" t="s">
        <v>363</v>
      </c>
      <c r="C108" s="20"/>
      <c r="D108" s="20"/>
      <c r="E108" s="20"/>
      <c r="F108" s="20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118"/>
      <c r="R108" s="128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138"/>
      <c r="AD108" s="20"/>
      <c r="AE108" s="20"/>
    </row>
    <row r="109" spans="2:31" x14ac:dyDescent="0.2">
      <c r="B109" s="20" t="s">
        <v>366</v>
      </c>
      <c r="C109" s="20"/>
      <c r="D109" s="20"/>
      <c r="E109" s="20"/>
      <c r="F109" s="20"/>
      <c r="G109" s="25">
        <f>G15/G9</f>
        <v>2.072485484173066</v>
      </c>
      <c r="H109" s="25">
        <f t="shared" ref="H109:AB109" si="229">H15/H9</f>
        <v>1.9297737306843268</v>
      </c>
      <c r="I109" s="25">
        <f t="shared" si="229"/>
        <v>2.1596855699045481</v>
      </c>
      <c r="J109" s="25">
        <f t="shared" si="229"/>
        <v>2.1108137492682113</v>
      </c>
      <c r="K109" s="25">
        <f t="shared" si="229"/>
        <v>2.0119648869648872</v>
      </c>
      <c r="L109" s="25">
        <f t="shared" si="229"/>
        <v>1.358514033564562</v>
      </c>
      <c r="M109" s="25">
        <f t="shared" si="229"/>
        <v>1.3627856017197668</v>
      </c>
      <c r="N109" s="25">
        <f t="shared" si="229"/>
        <v>1.3713094927085905</v>
      </c>
      <c r="O109" s="25">
        <f t="shared" si="229"/>
        <v>1.4678743143121706</v>
      </c>
      <c r="P109" s="25">
        <f t="shared" si="229"/>
        <v>1.8225415923682038</v>
      </c>
      <c r="Q109" s="118">
        <f t="shared" si="171"/>
        <v>-1.4178151729429933E-2</v>
      </c>
      <c r="R109" s="20"/>
      <c r="S109" s="20">
        <f t="shared" si="229"/>
        <v>1.822541592368204</v>
      </c>
      <c r="T109" s="20">
        <f t="shared" si="229"/>
        <v>1.822541592368204</v>
      </c>
      <c r="U109" s="20">
        <f t="shared" si="229"/>
        <v>1.8225415923682038</v>
      </c>
      <c r="V109" s="20">
        <f t="shared" si="229"/>
        <v>1.8225415923682038</v>
      </c>
      <c r="W109" s="20">
        <f t="shared" si="229"/>
        <v>1.8225415923682038</v>
      </c>
      <c r="X109" s="20">
        <f t="shared" si="229"/>
        <v>1.8225415923682038</v>
      </c>
      <c r="Y109" s="20">
        <f t="shared" si="229"/>
        <v>1.8225415923682038</v>
      </c>
      <c r="Z109" s="20">
        <f t="shared" si="229"/>
        <v>1.8225415923682038</v>
      </c>
      <c r="AA109" s="20">
        <f t="shared" si="229"/>
        <v>1.8225415923682038</v>
      </c>
      <c r="AB109" s="20">
        <f t="shared" si="229"/>
        <v>1.822541592368204</v>
      </c>
      <c r="AC109" s="138">
        <f t="shared" si="173"/>
        <v>-6.7412068904167954E-3</v>
      </c>
      <c r="AD109" s="20"/>
      <c r="AE109" s="20"/>
    </row>
    <row r="110" spans="2:31" x14ac:dyDescent="0.2">
      <c r="B110" s="20" t="s">
        <v>356</v>
      </c>
      <c r="C110" s="20"/>
      <c r="D110" s="20"/>
      <c r="E110" s="20"/>
      <c r="F110" s="20"/>
      <c r="G110" s="25">
        <f>G12/G9</f>
        <v>0.49803333957669976</v>
      </c>
      <c r="H110" s="25">
        <f t="shared" ref="H110:P110" si="230">H12/H9</f>
        <v>0.4383278145695364</v>
      </c>
      <c r="I110" s="25">
        <f t="shared" si="230"/>
        <v>0.46412128017967436</v>
      </c>
      <c r="J110" s="25">
        <f t="shared" si="230"/>
        <v>0.48574057037718493</v>
      </c>
      <c r="K110" s="25">
        <f t="shared" si="230"/>
        <v>0.50420875420875422</v>
      </c>
      <c r="L110" s="25">
        <f t="shared" si="230"/>
        <v>0.36087057537003298</v>
      </c>
      <c r="M110" s="25">
        <f t="shared" si="230"/>
        <v>0.30113027734171871</v>
      </c>
      <c r="N110" s="25">
        <f t="shared" si="230"/>
        <v>0.24687539190355554</v>
      </c>
      <c r="O110" s="25">
        <f t="shared" si="230"/>
        <v>0.16166735848644398</v>
      </c>
      <c r="P110" s="25">
        <f t="shared" si="230"/>
        <v>0.27811317945427411</v>
      </c>
      <c r="Q110" s="118">
        <f t="shared" si="171"/>
        <v>-6.2686666862548091E-2</v>
      </c>
      <c r="R110" s="128"/>
      <c r="S110" s="20">
        <f t="shared" ref="S110:AB110" si="231">S12/S9</f>
        <v>0.27811317945427411</v>
      </c>
      <c r="T110" s="20">
        <f t="shared" si="231"/>
        <v>0.27811317945427411</v>
      </c>
      <c r="U110" s="20">
        <f t="shared" si="231"/>
        <v>0.27811317945427411</v>
      </c>
      <c r="V110" s="20">
        <f t="shared" si="231"/>
        <v>0.27811317945427405</v>
      </c>
      <c r="W110" s="20">
        <f t="shared" si="231"/>
        <v>0.27811317945427405</v>
      </c>
      <c r="X110" s="20">
        <f t="shared" si="231"/>
        <v>0.27811317945427405</v>
      </c>
      <c r="Y110" s="20">
        <f t="shared" si="231"/>
        <v>0.27811317945427405</v>
      </c>
      <c r="Z110" s="20">
        <f t="shared" si="231"/>
        <v>0.27811317945427405</v>
      </c>
      <c r="AA110" s="20">
        <f t="shared" si="231"/>
        <v>0.27811317945427405</v>
      </c>
      <c r="AB110" s="20">
        <f t="shared" si="231"/>
        <v>0.27811317945427405</v>
      </c>
      <c r="AC110" s="118">
        <f t="shared" ref="AC110" si="232">((AB110/S110)^(1/($H$2-$H$1) ))-1</f>
        <v>0</v>
      </c>
      <c r="AD110" s="20"/>
      <c r="AE110" s="20"/>
    </row>
    <row r="111" spans="2:31" x14ac:dyDescent="0.2">
      <c r="B111" s="20" t="s">
        <v>358</v>
      </c>
      <c r="C111" s="20"/>
      <c r="D111" s="20"/>
      <c r="E111" s="20"/>
      <c r="F111" s="20"/>
      <c r="G111" s="25">
        <f>G25/360</f>
        <v>22.277777777777779</v>
      </c>
      <c r="H111" s="25">
        <f t="shared" ref="H111:P111" si="233">H25/360</f>
        <v>28.994444444444444</v>
      </c>
      <c r="I111" s="25">
        <f t="shared" si="233"/>
        <v>39.358333333333334</v>
      </c>
      <c r="J111" s="25">
        <f t="shared" si="233"/>
        <v>50.072222222222223</v>
      </c>
      <c r="K111" s="25">
        <f t="shared" si="233"/>
        <v>59.419444444444444</v>
      </c>
      <c r="L111" s="25">
        <f t="shared" si="233"/>
        <v>80.783333333333331</v>
      </c>
      <c r="M111" s="25">
        <f t="shared" si="233"/>
        <v>98.311111111111117</v>
      </c>
      <c r="N111" s="25">
        <f t="shared" si="233"/>
        <v>120.75</v>
      </c>
      <c r="O111" s="25">
        <f t="shared" si="233"/>
        <v>139.46666666666667</v>
      </c>
      <c r="P111" s="25">
        <f t="shared" si="233"/>
        <v>136.76416666666668</v>
      </c>
      <c r="Q111" s="118">
        <f t="shared" si="171"/>
        <v>0.22339504543819455</v>
      </c>
      <c r="R111" s="128"/>
      <c r="S111" s="25">
        <f t="shared" ref="S111:AB111" si="234">S25/360</f>
        <v>153.17586666666671</v>
      </c>
      <c r="T111" s="25">
        <f t="shared" si="234"/>
        <v>171.55697066666673</v>
      </c>
      <c r="U111" s="25">
        <f t="shared" si="234"/>
        <v>192.14380714666675</v>
      </c>
      <c r="V111" s="25">
        <f t="shared" si="234"/>
        <v>215.20106400426678</v>
      </c>
      <c r="W111" s="25">
        <f t="shared" si="234"/>
        <v>241.02519168477883</v>
      </c>
      <c r="X111" s="25">
        <f t="shared" si="234"/>
        <v>269.94821468695233</v>
      </c>
      <c r="Y111" s="25">
        <f t="shared" si="234"/>
        <v>302.3420004493866</v>
      </c>
      <c r="Z111" s="25">
        <f t="shared" si="234"/>
        <v>338.62304050331301</v>
      </c>
      <c r="AA111" s="25">
        <f t="shared" si="234"/>
        <v>379.25780536371064</v>
      </c>
      <c r="AB111" s="25">
        <f t="shared" si="234"/>
        <v>424.76874200735597</v>
      </c>
      <c r="AC111" s="118">
        <f t="shared" ref="AC111:AC122" si="235">((AB111/S111)^(1/($H$2-$H$1) ))-1</f>
        <v>0.12000000000000011</v>
      </c>
      <c r="AD111" s="20"/>
      <c r="AE111" s="20"/>
    </row>
    <row r="112" spans="2:31" x14ac:dyDescent="0.2">
      <c r="B112" s="20" t="s">
        <v>357</v>
      </c>
      <c r="C112" s="20"/>
      <c r="D112" s="20"/>
      <c r="E112" s="20"/>
      <c r="F112" s="20"/>
      <c r="G112" s="25">
        <f>G27/360</f>
        <v>19.866666666666667</v>
      </c>
      <c r="H112" s="25">
        <f t="shared" ref="H112:P112" si="236">H27/360</f>
        <v>24.652777777777779</v>
      </c>
      <c r="I112" s="25">
        <f t="shared" si="236"/>
        <v>32.230555555555554</v>
      </c>
      <c r="J112" s="25">
        <f t="shared" si="236"/>
        <v>38.888888888888886</v>
      </c>
      <c r="K112" s="25">
        <f t="shared" si="236"/>
        <v>46.169444444444444</v>
      </c>
      <c r="L112" s="25">
        <f t="shared" si="236"/>
        <v>66.305555555555557</v>
      </c>
      <c r="M112" s="25">
        <f t="shared" si="236"/>
        <v>78.24444444444444</v>
      </c>
      <c r="N112" s="25">
        <f t="shared" si="236"/>
        <v>93.8</v>
      </c>
      <c r="O112" s="25">
        <f t="shared" si="236"/>
        <v>108.23611111111111</v>
      </c>
      <c r="P112" s="25">
        <f t="shared" si="236"/>
        <v>109.53555555555556</v>
      </c>
      <c r="Q112" s="118">
        <f t="shared" si="171"/>
        <v>0.2088742402789896</v>
      </c>
      <c r="R112" s="128"/>
      <c r="S112" s="25">
        <f t="shared" ref="S112:AB112" si="237">S27/360</f>
        <v>122.67982222222223</v>
      </c>
      <c r="T112" s="25">
        <f t="shared" si="237"/>
        <v>137.4014008888889</v>
      </c>
      <c r="U112" s="25">
        <f t="shared" si="237"/>
        <v>153.88956899555561</v>
      </c>
      <c r="V112" s="25">
        <f t="shared" si="237"/>
        <v>172.35631727502229</v>
      </c>
      <c r="W112" s="25">
        <f t="shared" si="237"/>
        <v>193.03907534802497</v>
      </c>
      <c r="X112" s="25">
        <f t="shared" si="237"/>
        <v>216.20376438978798</v>
      </c>
      <c r="Y112" s="25">
        <f t="shared" si="237"/>
        <v>242.14821611656257</v>
      </c>
      <c r="Z112" s="25">
        <f t="shared" si="237"/>
        <v>271.20600205055013</v>
      </c>
      <c r="AA112" s="25">
        <f t="shared" si="237"/>
        <v>303.75072229661617</v>
      </c>
      <c r="AB112" s="25">
        <f t="shared" si="237"/>
        <v>340.20080897221015</v>
      </c>
      <c r="AC112" s="118">
        <f t="shared" si="235"/>
        <v>0.12000000000000011</v>
      </c>
      <c r="AD112" s="20"/>
      <c r="AE112" s="20"/>
    </row>
    <row r="113" spans="2:31" x14ac:dyDescent="0.2">
      <c r="B113" s="20"/>
      <c r="C113" s="20"/>
      <c r="D113" s="20"/>
      <c r="E113" s="20"/>
      <c r="F113" s="20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128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128"/>
      <c r="AD113" s="20"/>
      <c r="AE113" s="20"/>
    </row>
    <row r="114" spans="2:31" x14ac:dyDescent="0.2">
      <c r="B114" s="20" t="s">
        <v>367</v>
      </c>
      <c r="C114" s="20"/>
      <c r="D114" s="20"/>
      <c r="E114" s="20"/>
      <c r="F114" s="20"/>
      <c r="G114" s="25">
        <f>G10/G7</f>
        <v>0.10198300283286119</v>
      </c>
      <c r="H114" s="25">
        <f t="shared" ref="H114:P114" si="238">H10/H7</f>
        <v>8.8947892465980755E-2</v>
      </c>
      <c r="I114" s="25">
        <f t="shared" si="238"/>
        <v>7.6427886590877958E-2</v>
      </c>
      <c r="J114" s="25">
        <f t="shared" si="238"/>
        <v>1.0127446517979062E-2</v>
      </c>
      <c r="K114" s="25">
        <f t="shared" si="238"/>
        <v>8.8175236680898463E-3</v>
      </c>
      <c r="L114" s="25">
        <f t="shared" si="238"/>
        <v>1.2922955967542487E-2</v>
      </c>
      <c r="M114" s="25">
        <f t="shared" si="238"/>
        <v>9.3105300837066987E-3</v>
      </c>
      <c r="N114" s="25">
        <f t="shared" si="238"/>
        <v>1.3396126435618215E-2</v>
      </c>
      <c r="O114" s="25">
        <f t="shared" si="238"/>
        <v>1.4525809095439683E-2</v>
      </c>
      <c r="P114" s="25">
        <f t="shared" si="238"/>
        <v>4.038293370714021E-2</v>
      </c>
      <c r="Q114" s="118">
        <f t="shared" si="171"/>
        <v>-9.7812772225557176E-2</v>
      </c>
      <c r="R114" s="128"/>
      <c r="S114" s="25">
        <f t="shared" ref="S114:AB114" si="239">S10/S7</f>
        <v>4.038293370714021E-2</v>
      </c>
      <c r="T114" s="25">
        <f t="shared" si="239"/>
        <v>4.038293370714021E-2</v>
      </c>
      <c r="U114" s="25">
        <f t="shared" si="239"/>
        <v>4.038293370714021E-2</v>
      </c>
      <c r="V114" s="25">
        <f t="shared" si="239"/>
        <v>4.038293370714021E-2</v>
      </c>
      <c r="W114" s="25">
        <f t="shared" si="239"/>
        <v>4.0382933707140203E-2</v>
      </c>
      <c r="X114" s="25">
        <f t="shared" si="239"/>
        <v>4.0382933707140203E-2</v>
      </c>
      <c r="Y114" s="25">
        <f t="shared" si="239"/>
        <v>4.038293370714021E-2</v>
      </c>
      <c r="Z114" s="25">
        <f t="shared" si="239"/>
        <v>4.0382933707140203E-2</v>
      </c>
      <c r="AA114" s="25">
        <f t="shared" si="239"/>
        <v>4.038293370714021E-2</v>
      </c>
      <c r="AB114" s="25">
        <f t="shared" si="239"/>
        <v>4.0382933707140203E-2</v>
      </c>
      <c r="AC114" s="118">
        <f t="shared" si="235"/>
        <v>0</v>
      </c>
      <c r="AD114" s="20"/>
      <c r="AE114" s="20"/>
    </row>
    <row r="115" spans="2:31" x14ac:dyDescent="0.2">
      <c r="B115" s="20" t="s">
        <v>359</v>
      </c>
      <c r="C115" s="20"/>
      <c r="D115" s="20"/>
      <c r="E115" s="20"/>
      <c r="F115" s="20"/>
      <c r="G115" s="25">
        <f>G10/(G10+G7)</f>
        <v>9.2544987146529561E-2</v>
      </c>
      <c r="H115" s="25">
        <f t="shared" ref="H115:P115" si="240">H10/(H10+H7)</f>
        <v>8.1682413898201772E-2</v>
      </c>
      <c r="I115" s="25">
        <f t="shared" si="240"/>
        <v>7.1001399669169102E-2</v>
      </c>
      <c r="J115" s="25">
        <f t="shared" si="240"/>
        <v>1.0025909654162442E-2</v>
      </c>
      <c r="K115" s="25">
        <f t="shared" si="240"/>
        <v>8.7404545036341898E-3</v>
      </c>
      <c r="L115" s="25">
        <f t="shared" si="240"/>
        <v>1.2758083812207117E-2</v>
      </c>
      <c r="M115" s="25">
        <f t="shared" si="240"/>
        <v>9.224643760463426E-3</v>
      </c>
      <c r="N115" s="25">
        <f t="shared" si="240"/>
        <v>1.3219042471314677E-2</v>
      </c>
      <c r="O115" s="25">
        <f t="shared" si="240"/>
        <v>1.4317831015448512E-2</v>
      </c>
      <c r="P115" s="25">
        <f t="shared" si="240"/>
        <v>3.8815451886783543E-2</v>
      </c>
      <c r="Q115" s="118">
        <f t="shared" si="171"/>
        <v>-9.2028082849179071E-2</v>
      </c>
      <c r="R115" s="128"/>
      <c r="S115" s="25">
        <f t="shared" ref="S115:AB115" si="241">S10/(S10+S7)</f>
        <v>3.8815451886783543E-2</v>
      </c>
      <c r="T115" s="25">
        <f t="shared" si="241"/>
        <v>3.8815451886783543E-2</v>
      </c>
      <c r="U115" s="25">
        <f t="shared" si="241"/>
        <v>3.8815451886783543E-2</v>
      </c>
      <c r="V115" s="25">
        <f t="shared" si="241"/>
        <v>3.8815451886783543E-2</v>
      </c>
      <c r="W115" s="25">
        <f t="shared" si="241"/>
        <v>3.8815451886783536E-2</v>
      </c>
      <c r="X115" s="25">
        <f t="shared" si="241"/>
        <v>3.8815451886783536E-2</v>
      </c>
      <c r="Y115" s="25">
        <f t="shared" si="241"/>
        <v>3.8815451886783543E-2</v>
      </c>
      <c r="Z115" s="25">
        <f t="shared" si="241"/>
        <v>3.8815451886783536E-2</v>
      </c>
      <c r="AA115" s="25">
        <f t="shared" si="241"/>
        <v>3.8815451886783536E-2</v>
      </c>
      <c r="AB115" s="25">
        <f t="shared" si="241"/>
        <v>3.8815451886783536E-2</v>
      </c>
      <c r="AC115" s="118">
        <f t="shared" si="235"/>
        <v>0</v>
      </c>
      <c r="AD115" s="20"/>
      <c r="AE115" s="20"/>
    </row>
    <row r="116" spans="2:31" x14ac:dyDescent="0.2">
      <c r="B116" s="20"/>
      <c r="C116" s="20"/>
      <c r="D116" s="20"/>
      <c r="E116" s="20"/>
      <c r="F116" s="20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128"/>
      <c r="R116" s="128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137"/>
      <c r="AD116" s="20"/>
      <c r="AE116" s="20"/>
    </row>
    <row r="117" spans="2:31" x14ac:dyDescent="0.2">
      <c r="B117" s="20" t="s">
        <v>364</v>
      </c>
      <c r="C117" s="20"/>
      <c r="D117" s="20"/>
      <c r="E117" s="20"/>
      <c r="F117" s="20"/>
      <c r="G117" s="25">
        <f>G16</f>
        <v>4585</v>
      </c>
      <c r="H117" s="25">
        <f t="shared" ref="H117:P117" si="242">H16</f>
        <v>5413</v>
      </c>
      <c r="I117" s="25">
        <f t="shared" si="242"/>
        <v>6678</v>
      </c>
      <c r="J117" s="25">
        <f t="shared" si="242"/>
        <v>7574</v>
      </c>
      <c r="K117" s="25">
        <f t="shared" si="242"/>
        <v>9221</v>
      </c>
      <c r="L117" s="25">
        <f t="shared" si="242"/>
        <v>10261</v>
      </c>
      <c r="M117" s="25">
        <f t="shared" si="242"/>
        <v>11874</v>
      </c>
      <c r="N117" s="25">
        <f t="shared" si="242"/>
        <v>14597</v>
      </c>
      <c r="O117" s="25">
        <f t="shared" si="242"/>
        <v>19488</v>
      </c>
      <c r="P117" s="25">
        <f t="shared" si="242"/>
        <v>50177.8</v>
      </c>
      <c r="Q117" s="118">
        <f t="shared" si="171"/>
        <v>0.30455858231550148</v>
      </c>
      <c r="R117" s="128"/>
      <c r="S117" s="25">
        <f t="shared" ref="S117:AB117" si="243">S16</f>
        <v>56199.136000000006</v>
      </c>
      <c r="T117" s="25">
        <f t="shared" si="243"/>
        <v>62943.032320000013</v>
      </c>
      <c r="U117" s="25">
        <f t="shared" si="243"/>
        <v>70496.196198400023</v>
      </c>
      <c r="V117" s="25">
        <f t="shared" si="243"/>
        <v>78955.739742208039</v>
      </c>
      <c r="W117" s="25">
        <f t="shared" si="243"/>
        <v>88430.428511273014</v>
      </c>
      <c r="X117" s="25">
        <f t="shared" si="243"/>
        <v>99042.079932625784</v>
      </c>
      <c r="Y117" s="25">
        <f t="shared" si="243"/>
        <v>110927.12952454088</v>
      </c>
      <c r="Z117" s="25">
        <f t="shared" si="243"/>
        <v>124238.3850674858</v>
      </c>
      <c r="AA117" s="25">
        <f t="shared" si="243"/>
        <v>139146.99127558409</v>
      </c>
      <c r="AB117" s="25">
        <f t="shared" si="243"/>
        <v>155844.63022865419</v>
      </c>
      <c r="AC117" s="118">
        <f t="shared" si="235"/>
        <v>0.12000000000000011</v>
      </c>
      <c r="AD117" s="20"/>
      <c r="AE117" s="20"/>
    </row>
    <row r="118" spans="2:31" x14ac:dyDescent="0.2">
      <c r="B118" s="20" t="s">
        <v>365</v>
      </c>
      <c r="C118" s="20"/>
      <c r="D118" s="20"/>
      <c r="E118" s="20"/>
      <c r="F118" s="20"/>
      <c r="G118" s="119">
        <f t="shared" ref="G118:P118" si="244">G117*365/G25</f>
        <v>208.66895261845386</v>
      </c>
      <c r="H118" s="119">
        <f t="shared" si="244"/>
        <v>189.28386664111898</v>
      </c>
      <c r="I118" s="119">
        <f t="shared" si="244"/>
        <v>172.02837179758629</v>
      </c>
      <c r="J118" s="119">
        <f t="shared" si="244"/>
        <v>153.36236547209586</v>
      </c>
      <c r="K118" s="119">
        <f t="shared" si="244"/>
        <v>157.34023654808098</v>
      </c>
      <c r="L118" s="119">
        <f t="shared" si="244"/>
        <v>128.78292414551956</v>
      </c>
      <c r="M118" s="119">
        <f t="shared" si="244"/>
        <v>122.45733499095842</v>
      </c>
      <c r="N118" s="119">
        <f t="shared" si="244"/>
        <v>122.5651023694502</v>
      </c>
      <c r="O118" s="119">
        <f t="shared" si="244"/>
        <v>141.67304015296367</v>
      </c>
      <c r="P118" s="119">
        <f t="shared" si="244"/>
        <v>371.98862193841381</v>
      </c>
      <c r="Q118" s="118">
        <f t="shared" si="171"/>
        <v>6.6342868707822689E-2</v>
      </c>
      <c r="R118" s="128"/>
      <c r="S118" s="119">
        <f t="shared" ref="S118:AB118" si="245">S117*365/S25</f>
        <v>371.98862193841376</v>
      </c>
      <c r="T118" s="119">
        <f t="shared" si="245"/>
        <v>371.98862193841381</v>
      </c>
      <c r="U118" s="119">
        <f t="shared" si="245"/>
        <v>371.98862193841381</v>
      </c>
      <c r="V118" s="119">
        <f t="shared" si="245"/>
        <v>371.98862193841381</v>
      </c>
      <c r="W118" s="119">
        <f t="shared" si="245"/>
        <v>371.98862193841381</v>
      </c>
      <c r="X118" s="119">
        <f t="shared" si="245"/>
        <v>371.98862193841381</v>
      </c>
      <c r="Y118" s="119">
        <f t="shared" si="245"/>
        <v>371.98862193841381</v>
      </c>
      <c r="Z118" s="119">
        <f t="shared" si="245"/>
        <v>371.98862193841381</v>
      </c>
      <c r="AA118" s="119">
        <f t="shared" si="245"/>
        <v>371.98862193841376</v>
      </c>
      <c r="AB118" s="119">
        <f t="shared" si="245"/>
        <v>371.98862193841376</v>
      </c>
      <c r="AC118" s="118">
        <f t="shared" si="235"/>
        <v>0</v>
      </c>
      <c r="AD118" s="20"/>
      <c r="AE118" s="20"/>
    </row>
    <row r="119" spans="2:31" x14ac:dyDescent="0.2">
      <c r="B119" s="20" t="s">
        <v>368</v>
      </c>
      <c r="C119" s="20"/>
      <c r="D119" s="20"/>
      <c r="E119" s="20"/>
      <c r="F119" s="20"/>
      <c r="G119" s="133">
        <f>G73/G29</f>
        <v>1.1364336503060588</v>
      </c>
      <c r="H119" s="133">
        <f t="shared" ref="H119:P119" si="246">H73/H29</f>
        <v>1.5895186917883002</v>
      </c>
      <c r="I119" s="133">
        <f t="shared" si="246"/>
        <v>1.6598928155762014</v>
      </c>
      <c r="J119" s="133">
        <f t="shared" si="246"/>
        <v>2.8251027875197559</v>
      </c>
      <c r="K119" s="133">
        <f t="shared" si="246"/>
        <v>0.61089700995594154</v>
      </c>
      <c r="L119" s="133">
        <f t="shared" si="246"/>
        <v>2.3066324999395977</v>
      </c>
      <c r="M119" s="133">
        <f t="shared" si="246"/>
        <v>3.2851227647593189</v>
      </c>
      <c r="N119" s="133">
        <f t="shared" si="246"/>
        <v>3.0274095575953019</v>
      </c>
      <c r="O119" s="133">
        <f t="shared" si="246"/>
        <v>0.767548144515104</v>
      </c>
      <c r="P119" s="133">
        <f t="shared" si="246"/>
        <v>0.30500908636751095</v>
      </c>
      <c r="Q119" s="118">
        <f t="shared" si="171"/>
        <v>-0.13596794517128885</v>
      </c>
      <c r="R119" s="128"/>
      <c r="S119" s="133">
        <f t="shared" ref="S119:AB119" si="247">S73/S29</f>
        <v>0.20333939091167394</v>
      </c>
      <c r="T119" s="133">
        <f t="shared" si="247"/>
        <v>0.18155302759970887</v>
      </c>
      <c r="U119" s="133">
        <f t="shared" si="247"/>
        <v>0.16210091749974004</v>
      </c>
      <c r="V119" s="133">
        <f t="shared" si="247"/>
        <v>0.1447329620533393</v>
      </c>
      <c r="W119" s="133">
        <f t="shared" si="247"/>
        <v>0.12922585897619579</v>
      </c>
      <c r="X119" s="133">
        <f t="shared" si="247"/>
        <v>0.11538023122874624</v>
      </c>
      <c r="Y119" s="133">
        <f t="shared" si="247"/>
        <v>0.10301806359709485</v>
      </c>
      <c r="Z119" s="133">
        <f t="shared" si="247"/>
        <v>9.1980413925977542E-2</v>
      </c>
      <c r="AA119" s="133">
        <f t="shared" si="247"/>
        <v>8.2125369576765653E-2</v>
      </c>
      <c r="AB119" s="133">
        <f t="shared" si="247"/>
        <v>7.3326222836397906E-2</v>
      </c>
      <c r="AC119" s="118">
        <f t="shared" si="235"/>
        <v>-0.10714285714285721</v>
      </c>
      <c r="AD119" s="20"/>
      <c r="AE119" s="20"/>
    </row>
    <row r="120" spans="2:31" x14ac:dyDescent="0.2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128"/>
      <c r="R120" s="128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137"/>
      <c r="AD120" s="20"/>
      <c r="AE120" s="20"/>
    </row>
    <row r="121" spans="2:31" x14ac:dyDescent="0.2">
      <c r="B121" s="20" t="s">
        <v>375</v>
      </c>
      <c r="C121" s="20"/>
      <c r="D121" s="20"/>
      <c r="E121" s="20"/>
      <c r="F121" s="20"/>
      <c r="G121" s="180">
        <f>G25/G14</f>
        <v>3.8120044869479246</v>
      </c>
      <c r="H121" s="180">
        <f t="shared" ref="H121:P121" si="248">H25/H14</f>
        <v>3.579426016165371</v>
      </c>
      <c r="I121" s="180">
        <f t="shared" si="248"/>
        <v>3.7839497930297772</v>
      </c>
      <c r="J121" s="180">
        <f t="shared" si="248"/>
        <v>4.2746027981977708</v>
      </c>
      <c r="K121" s="180">
        <f t="shared" si="248"/>
        <v>3.7292538354253835</v>
      </c>
      <c r="L121" s="180">
        <f t="shared" si="248"/>
        <v>3.6854644531745024</v>
      </c>
      <c r="M121" s="180">
        <f t="shared" si="248"/>
        <v>3.8125605946353551</v>
      </c>
      <c r="N121" s="180">
        <f t="shared" si="248"/>
        <v>3.9457202505219207</v>
      </c>
      <c r="O121" s="180">
        <f t="shared" si="248"/>
        <v>3.7122365988909425</v>
      </c>
      <c r="P121" s="180">
        <f t="shared" si="248"/>
        <v>4.1482096217035984</v>
      </c>
      <c r="Q121" s="118">
        <f t="shared" si="171"/>
        <v>9.4355323501988941E-3</v>
      </c>
      <c r="R121" s="128"/>
      <c r="S121" s="20">
        <f t="shared" ref="S121" si="249">S25/S14</f>
        <v>4.1482096217035984</v>
      </c>
      <c r="T121" s="20">
        <f t="shared" ref="T121:AB121" si="250">T25/T14</f>
        <v>4.1482096217035984</v>
      </c>
      <c r="U121" s="20">
        <f t="shared" si="250"/>
        <v>4.1482096217035984</v>
      </c>
      <c r="V121" s="20">
        <f t="shared" si="250"/>
        <v>4.1482096217035984</v>
      </c>
      <c r="W121" s="20">
        <f t="shared" si="250"/>
        <v>4.1482096217035984</v>
      </c>
      <c r="X121" s="20">
        <f t="shared" si="250"/>
        <v>4.1482096217035984</v>
      </c>
      <c r="Y121" s="20">
        <f t="shared" si="250"/>
        <v>4.1482096217035993</v>
      </c>
      <c r="Z121" s="20">
        <f t="shared" si="250"/>
        <v>4.1482096217035993</v>
      </c>
      <c r="AA121" s="20">
        <f t="shared" si="250"/>
        <v>4.1482096217035984</v>
      </c>
      <c r="AB121" s="20">
        <f t="shared" si="250"/>
        <v>4.1482096217035984</v>
      </c>
      <c r="AC121" s="118">
        <f t="shared" si="235"/>
        <v>0</v>
      </c>
      <c r="AD121" s="20"/>
      <c r="AE121" s="20"/>
    </row>
    <row r="122" spans="2:31" x14ac:dyDescent="0.2">
      <c r="B122" s="20" t="s">
        <v>376</v>
      </c>
      <c r="C122" s="20"/>
      <c r="D122" s="20"/>
      <c r="E122" s="20"/>
      <c r="F122" s="20"/>
      <c r="G122" s="180">
        <f>G27/G14</f>
        <v>3.3994334277620393</v>
      </c>
      <c r="H122" s="180">
        <f t="shared" ref="H122:P122" si="251">H27/H14</f>
        <v>3.04343800473919</v>
      </c>
      <c r="I122" s="180">
        <f t="shared" si="251"/>
        <v>3.0986780611563627</v>
      </c>
      <c r="J122" s="180">
        <f t="shared" si="251"/>
        <v>3.3198956604221008</v>
      </c>
      <c r="K122" s="180">
        <f t="shared" si="251"/>
        <v>2.8976638772663876</v>
      </c>
      <c r="L122" s="180">
        <f t="shared" si="251"/>
        <v>3.0249651501710808</v>
      </c>
      <c r="M122" s="180">
        <f t="shared" si="251"/>
        <v>3.0343638909835184</v>
      </c>
      <c r="N122" s="180">
        <f t="shared" si="251"/>
        <v>3.0650812380865933</v>
      </c>
      <c r="O122" s="180">
        <f t="shared" si="251"/>
        <v>2.8809611829944548</v>
      </c>
      <c r="P122" s="180">
        <f t="shared" si="251"/>
        <v>3.322335495829472</v>
      </c>
      <c r="Q122" s="118">
        <f t="shared" si="171"/>
        <v>-2.5457297455497852E-3</v>
      </c>
      <c r="R122" s="128"/>
      <c r="S122" s="20">
        <f t="shared" ref="S122:AB122" si="252">S27/S14</f>
        <v>3.322335495829472</v>
      </c>
      <c r="T122" s="20">
        <f t="shared" si="252"/>
        <v>3.3223354958294715</v>
      </c>
      <c r="U122" s="20">
        <f t="shared" si="252"/>
        <v>3.322335495829472</v>
      </c>
      <c r="V122" s="20">
        <f t="shared" si="252"/>
        <v>3.322335495829472</v>
      </c>
      <c r="W122" s="20">
        <f t="shared" si="252"/>
        <v>3.3223354958294715</v>
      </c>
      <c r="X122" s="20">
        <f t="shared" si="252"/>
        <v>3.322335495829472</v>
      </c>
      <c r="Y122" s="20">
        <f t="shared" si="252"/>
        <v>3.322335495829472</v>
      </c>
      <c r="Z122" s="20">
        <f t="shared" si="252"/>
        <v>3.3223354958294724</v>
      </c>
      <c r="AA122" s="20">
        <f t="shared" si="252"/>
        <v>3.3223354958294724</v>
      </c>
      <c r="AB122" s="20">
        <f t="shared" si="252"/>
        <v>3.322335495829472</v>
      </c>
      <c r="AC122" s="118">
        <f t="shared" si="235"/>
        <v>0</v>
      </c>
      <c r="AD122" s="20"/>
      <c r="AE122" s="20"/>
    </row>
    <row r="123" spans="2:31" x14ac:dyDescent="0.2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128"/>
      <c r="R123" s="128"/>
      <c r="S123" s="119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37"/>
      <c r="AD123" s="20"/>
      <c r="AE123" s="20"/>
    </row>
    <row r="124" spans="2:31" x14ac:dyDescent="0.2">
      <c r="B124" s="108" t="s">
        <v>244</v>
      </c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3"/>
      <c r="R124" s="23"/>
      <c r="S124" s="122" t="s">
        <v>66</v>
      </c>
      <c r="T124" s="20"/>
      <c r="U124" s="20"/>
      <c r="V124" s="20"/>
      <c r="W124" s="20"/>
      <c r="X124" s="20"/>
      <c r="Y124" s="20"/>
      <c r="Z124" s="20"/>
      <c r="AA124" s="20"/>
      <c r="AB124" s="20"/>
      <c r="AC124" s="137"/>
      <c r="AD124" s="20"/>
      <c r="AE124" s="20"/>
    </row>
    <row r="125" spans="2:31" x14ac:dyDescent="0.2">
      <c r="B125" s="23" t="s">
        <v>281</v>
      </c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5"/>
      <c r="Q125" s="160">
        <f>AVERAGE(G47:P47)</f>
        <v>62.34778021789041</v>
      </c>
      <c r="R125" s="23"/>
      <c r="S125" s="134"/>
      <c r="T125" s="20"/>
      <c r="U125" s="20"/>
      <c r="V125" s="20"/>
      <c r="W125" s="20"/>
      <c r="X125" s="20"/>
      <c r="Y125" s="20"/>
      <c r="Z125" s="20"/>
      <c r="AA125" s="20"/>
      <c r="AB125" s="20"/>
      <c r="AC125" s="137"/>
      <c r="AD125" s="20"/>
      <c r="AE125" s="20"/>
    </row>
    <row r="126" spans="2:31" x14ac:dyDescent="0.2">
      <c r="B126" s="20" t="s">
        <v>25</v>
      </c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140">
        <f>S126+T126</f>
        <v>29.717135996004554</v>
      </c>
      <c r="S126" s="133">
        <f>PV($C$1, ($AB$3-$S$3), 0, -AB47)</f>
        <v>3.41016314708249</v>
      </c>
      <c r="T126" s="133">
        <f>PV($C$1, ($AB$3-$S$3), 0, -AE47)</f>
        <v>26.306972848922065</v>
      </c>
      <c r="U126" s="20"/>
      <c r="V126" s="20"/>
      <c r="W126" s="20"/>
      <c r="X126" s="20"/>
      <c r="Y126" s="20"/>
      <c r="Z126" s="20"/>
      <c r="AA126" s="20"/>
      <c r="AB126" s="20"/>
      <c r="AC126" s="137"/>
      <c r="AD126" s="20"/>
      <c r="AE126" s="20"/>
    </row>
    <row r="127" spans="2:31" x14ac:dyDescent="0.2">
      <c r="B127" s="20" t="s">
        <v>273</v>
      </c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140">
        <f t="shared" ref="R127:R145" si="253">S127+T127</f>
        <v>135.56414788740764</v>
      </c>
      <c r="S127" s="133">
        <f>PV($C$1, ($AB$3-$S$3), 0, -AB49)</f>
        <v>15.556541560850061</v>
      </c>
      <c r="T127" s="133">
        <f>PV($C$1, ($AB$3-$S$3), 0, -AE49)</f>
        <v>120.00760632655759</v>
      </c>
      <c r="U127" s="20"/>
      <c r="V127" s="20"/>
      <c r="W127" s="20"/>
      <c r="X127" s="20"/>
      <c r="Y127" s="20"/>
      <c r="Z127" s="20"/>
      <c r="AA127" s="20"/>
      <c r="AB127" s="20"/>
      <c r="AC127" s="137"/>
      <c r="AD127" s="20"/>
      <c r="AE127" s="20"/>
    </row>
    <row r="128" spans="2:31" x14ac:dyDescent="0.2">
      <c r="B128" s="20" t="s">
        <v>274</v>
      </c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140">
        <f t="shared" si="253"/>
        <v>133.39078456248436</v>
      </c>
      <c r="S128" s="133">
        <f>PV($C$1, ($AB$3-$S$3), 0, -AB50)</f>
        <v>15.307139212088368</v>
      </c>
      <c r="T128" s="133">
        <f>PV($C$1, ($AB$3-$S$3), 0, -AE50)</f>
        <v>118.08364535039598</v>
      </c>
      <c r="U128" s="20"/>
      <c r="V128" s="20"/>
      <c r="W128" s="20"/>
      <c r="X128" s="20"/>
      <c r="Y128" s="20"/>
      <c r="Z128" s="20"/>
      <c r="AA128" s="20"/>
      <c r="AB128" s="20"/>
      <c r="AC128" s="137"/>
      <c r="AD128" s="20"/>
      <c r="AE128" s="20"/>
    </row>
    <row r="129" spans="2:31" x14ac:dyDescent="0.2">
      <c r="B129" s="20" t="s">
        <v>275</v>
      </c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140">
        <f t="shared" si="253"/>
        <v>5.4744779972021345</v>
      </c>
      <c r="S129" s="133">
        <f>PV($C$1, ($AB$3-$S$3), 0, -AB51)</f>
        <v>0.6282187865641794</v>
      </c>
      <c r="T129" s="133">
        <f>PV($C$1, ($AB$3-$S$3), 0, -AE51)</f>
        <v>4.846259210637955</v>
      </c>
      <c r="U129" s="20"/>
      <c r="V129" s="20"/>
      <c r="W129" s="20"/>
      <c r="X129" s="20"/>
      <c r="Y129" s="20"/>
      <c r="Z129" s="20"/>
      <c r="AA129" s="20"/>
      <c r="AB129" s="20"/>
      <c r="AC129" s="137"/>
      <c r="AD129" s="20"/>
      <c r="AE129" s="20"/>
    </row>
    <row r="130" spans="2:31" x14ac:dyDescent="0.2">
      <c r="B130" s="20" t="s">
        <v>276</v>
      </c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140">
        <f t="shared" si="253"/>
        <v>34.831976752514571</v>
      </c>
      <c r="S130" s="133">
        <f>PV($C$1, ($AB$3-$S$3), 0, -AB57)</f>
        <v>3.997112086354131</v>
      </c>
      <c r="T130" s="133">
        <f>PV($C$1, ($AB$3-$S$3), 0, -AE57)</f>
        <v>30.834864666160438</v>
      </c>
      <c r="U130" s="20"/>
      <c r="V130" s="20"/>
      <c r="W130" s="20"/>
      <c r="X130" s="20"/>
      <c r="Y130" s="20"/>
      <c r="Z130" s="20"/>
      <c r="AA130" s="20"/>
      <c r="AB130" s="20"/>
      <c r="AC130" s="137"/>
      <c r="AD130" s="20"/>
      <c r="AE130" s="20"/>
    </row>
    <row r="131" spans="2:31" x14ac:dyDescent="0.2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140"/>
      <c r="S131" s="133"/>
      <c r="T131" s="20"/>
      <c r="U131" s="20"/>
      <c r="V131" s="20"/>
      <c r="W131" s="20"/>
      <c r="X131" s="20"/>
      <c r="Y131" s="20"/>
      <c r="Z131" s="20"/>
      <c r="AA131" s="20"/>
      <c r="AB131" s="20"/>
      <c r="AC131" s="137"/>
      <c r="AD131" s="20"/>
      <c r="AE131" s="20"/>
    </row>
    <row r="132" spans="2:31" x14ac:dyDescent="0.2">
      <c r="B132" s="20" t="s">
        <v>271</v>
      </c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140">
        <f t="shared" si="253"/>
        <v>130.08966989020553</v>
      </c>
      <c r="S132" s="133">
        <f>PV($C$1, ($AB$3-$S$3), 0, -AB53)</f>
        <v>14.928322774285881</v>
      </c>
      <c r="T132" s="133">
        <f>PV($C$1, ($AB$3-$S$3), 0, -$AE$53)</f>
        <v>115.16134711591965</v>
      </c>
      <c r="U132" s="20"/>
      <c r="V132" s="20"/>
      <c r="W132" s="20"/>
      <c r="X132" s="20"/>
      <c r="Y132" s="20"/>
      <c r="Z132" s="20"/>
      <c r="AA132" s="20"/>
      <c r="AB132" s="20"/>
      <c r="AC132" s="137"/>
      <c r="AD132" s="20"/>
      <c r="AE132" s="20"/>
    </row>
    <row r="133" spans="2:31" x14ac:dyDescent="0.2">
      <c r="B133" s="20" t="s">
        <v>272</v>
      </c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140">
        <f t="shared" si="253"/>
        <v>4.8457788208811339</v>
      </c>
      <c r="S133" s="133">
        <f>PV($C$1, ($AB$3-$S$3), 0, -AB54)</f>
        <v>0.55607297944537604</v>
      </c>
      <c r="T133" s="133">
        <f>PV($C$1, ($AB$3-$S$3), 0, -$AE$54)</f>
        <v>4.2897058414357581</v>
      </c>
      <c r="U133" s="20"/>
      <c r="V133" s="20"/>
      <c r="W133" s="20"/>
      <c r="X133" s="20"/>
      <c r="Y133" s="20"/>
      <c r="Z133" s="20"/>
      <c r="AA133" s="20"/>
      <c r="AB133" s="20"/>
      <c r="AC133" s="137"/>
      <c r="AD133" s="20"/>
      <c r="AE133" s="20"/>
    </row>
    <row r="134" spans="2:31" x14ac:dyDescent="0.2">
      <c r="B134" s="20" t="s">
        <v>277</v>
      </c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140">
        <f t="shared" si="253"/>
        <v>233.10797948475749</v>
      </c>
      <c r="S134" s="133">
        <f>PV($C$1, ($AB$3-$S$3), 0, -AB55)</f>
        <v>26.750096006447581</v>
      </c>
      <c r="T134" s="133">
        <f>PV($C$1, ($AB$3-$S$3), 0, -$AE$55)</f>
        <v>206.3578834783099</v>
      </c>
      <c r="U134" s="20"/>
      <c r="V134" s="20"/>
      <c r="W134" s="20"/>
      <c r="X134" s="20"/>
      <c r="Y134" s="20"/>
      <c r="Z134" s="20"/>
      <c r="AA134" s="20"/>
      <c r="AB134" s="20"/>
      <c r="AC134" s="137"/>
      <c r="AD134" s="20"/>
      <c r="AE134" s="20"/>
    </row>
    <row r="135" spans="2:31" x14ac:dyDescent="0.2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140"/>
      <c r="S135" s="133"/>
      <c r="T135" s="20"/>
      <c r="U135" s="20"/>
      <c r="V135" s="20"/>
      <c r="W135" s="20"/>
      <c r="X135" s="20"/>
      <c r="Y135" s="20"/>
      <c r="Z135" s="20"/>
      <c r="AA135" s="20"/>
      <c r="AB135" s="20"/>
      <c r="AC135" s="137"/>
      <c r="AD135" s="20"/>
      <c r="AE135" s="20"/>
    </row>
    <row r="136" spans="2:31" x14ac:dyDescent="0.2">
      <c r="B136" s="20" t="s">
        <v>249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140">
        <f t="shared" si="253"/>
        <v>228.26220066387643</v>
      </c>
      <c r="S136" s="133">
        <f>PV($C$1, ($AB$3-$S$3), 0, -AB60)</f>
        <v>26.19402302700221</v>
      </c>
      <c r="T136" s="133">
        <f>PV($C$1, ($AB$3-$S$3), 0, -AE60)</f>
        <v>202.06817763687422</v>
      </c>
      <c r="U136" s="20"/>
      <c r="V136" s="20"/>
      <c r="W136" s="20"/>
      <c r="X136" s="20"/>
      <c r="Y136" s="20"/>
      <c r="Z136" s="20"/>
      <c r="AA136" s="20"/>
      <c r="AB136" s="20"/>
      <c r="AC136" s="137"/>
      <c r="AD136" s="20"/>
      <c r="AE136" s="20"/>
    </row>
    <row r="137" spans="2:31" x14ac:dyDescent="0.2">
      <c r="B137" s="20" t="s">
        <v>250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140">
        <f t="shared" si="253"/>
        <v>141.77400533333812</v>
      </c>
      <c r="S137" s="133">
        <f>PV($C$1, ($AB$3-$S$3), 0, -AB61)</f>
        <v>25.56580424043802</v>
      </c>
      <c r="T137" s="133">
        <f>PV($C$1, ($AB$3-$S$3), 0, -AE61)</f>
        <v>116.2082010929001</v>
      </c>
      <c r="U137" s="20"/>
      <c r="V137" s="20"/>
      <c r="W137" s="20"/>
      <c r="X137" s="20"/>
      <c r="Y137" s="20"/>
      <c r="Z137" s="20"/>
      <c r="AA137" s="20"/>
      <c r="AB137" s="20"/>
      <c r="AC137" s="137"/>
      <c r="AD137" s="20"/>
      <c r="AE137" s="20"/>
    </row>
    <row r="138" spans="2:31" x14ac:dyDescent="0.2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140"/>
      <c r="S138" s="133"/>
      <c r="T138" s="133"/>
      <c r="U138" s="20"/>
      <c r="V138" s="20"/>
      <c r="W138" s="20"/>
      <c r="X138" s="20"/>
      <c r="Y138" s="20"/>
      <c r="Z138" s="20"/>
      <c r="AA138" s="20"/>
      <c r="AB138" s="20"/>
      <c r="AC138" s="137"/>
      <c r="AD138" s="20"/>
      <c r="AE138" s="20"/>
    </row>
    <row r="139" spans="2:31" x14ac:dyDescent="0.2">
      <c r="B139" s="20" t="s">
        <v>294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40">
        <f t="shared" ref="R139" si="254">S139+T139</f>
        <v>35462.718890223419</v>
      </c>
      <c r="S139" s="133">
        <f>PV($C$1, ($AB$3-$S$3), 0, -AB12)</f>
        <v>4069.4923316649829</v>
      </c>
      <c r="T139" s="133">
        <f>PV($C$1, ($AB$3-$S$3), 0, -AE12)</f>
        <v>31393.226558558435</v>
      </c>
      <c r="U139" s="20"/>
      <c r="V139" s="20"/>
      <c r="W139" s="20"/>
      <c r="X139" s="20"/>
      <c r="Y139" s="20"/>
      <c r="Z139" s="20"/>
      <c r="AA139" s="20"/>
      <c r="AB139" s="20"/>
      <c r="AC139" s="137"/>
      <c r="AD139" s="20"/>
      <c r="AE139" s="20"/>
    </row>
    <row r="140" spans="2:31" x14ac:dyDescent="0.2">
      <c r="B140" s="20" t="s">
        <v>295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140">
        <f>S140+T140</f>
        <v>144.88772221859543</v>
      </c>
      <c r="S140" s="140">
        <f>S139/P40</f>
        <v>16.626459926724067</v>
      </c>
      <c r="T140" s="140">
        <f>T139/P40</f>
        <v>128.26126229187136</v>
      </c>
      <c r="U140" s="20"/>
      <c r="V140" s="20"/>
      <c r="W140" s="20"/>
      <c r="X140" s="20"/>
      <c r="Y140" s="20"/>
      <c r="Z140" s="20"/>
      <c r="AA140" s="20"/>
      <c r="AB140" s="20"/>
      <c r="AC140" s="137"/>
      <c r="AD140" s="20"/>
      <c r="AE140" s="20"/>
    </row>
    <row r="141" spans="2:31" x14ac:dyDescent="0.2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140"/>
      <c r="S141" s="140"/>
      <c r="T141" s="140"/>
      <c r="U141" s="20"/>
      <c r="V141" s="20"/>
      <c r="W141" s="20"/>
      <c r="X141" s="20"/>
      <c r="Y141" s="20"/>
      <c r="Z141" s="20"/>
      <c r="AA141" s="20"/>
      <c r="AB141" s="20"/>
      <c r="AC141" s="137"/>
      <c r="AD141" s="20"/>
      <c r="AE141" s="20"/>
    </row>
    <row r="142" spans="2:31" x14ac:dyDescent="0.2">
      <c r="B142" s="108" t="s">
        <v>298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140"/>
      <c r="S142" s="133"/>
      <c r="T142" s="133"/>
      <c r="U142" s="20"/>
      <c r="V142" s="20"/>
      <c r="W142" s="20"/>
      <c r="X142" s="20"/>
      <c r="Y142" s="20"/>
      <c r="Z142" s="20"/>
      <c r="AA142" s="20"/>
      <c r="AB142" s="20"/>
      <c r="AC142" s="137"/>
      <c r="AD142" s="20"/>
      <c r="AE142" s="20"/>
    </row>
    <row r="143" spans="2:31" x14ac:dyDescent="0.2">
      <c r="B143" s="20" t="s">
        <v>283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140">
        <f t="shared" ref="R143" si="255">S143+T143</f>
        <v>50.662671942500708</v>
      </c>
      <c r="S143" s="133">
        <f>PV($C$1, ($AB$3-$S$3), 0, -AB63)+PV($C$1, ($AA$3-$S$3), 0, -AB63)+PV($C$1, ($Z$3-$S$3), 0, -AB63)+PV($C$1, ($Y$3-$S$3), 0, -AB63)+PV($C$1, ($X$3-$S$3), 0, -AB63)+PV($C$1, ($W$3-$S$3), 0, -AB63)+PV($C$1, ($V$3-$S$3), 0, -AB63)+PV($C$1, ($U$3-$S$3), 0, -AB63)+PV($C$1, ($T$3-$S$3), 0, -AB63)+PV($C$1, ($S$3-$S$3), 0, -AB63)</f>
        <v>39.917331111564835</v>
      </c>
      <c r="T143" s="133">
        <f>PV($C$1, ($AB$3-$S$3), 0, -AE63)</f>
        <v>10.745340830935872</v>
      </c>
      <c r="U143" s="20"/>
      <c r="V143" s="20"/>
      <c r="W143" s="20"/>
      <c r="X143" s="20"/>
      <c r="Y143" s="20"/>
      <c r="Z143" s="20"/>
      <c r="AA143" s="20"/>
      <c r="AB143" s="20"/>
      <c r="AC143" s="137"/>
      <c r="AD143" s="20"/>
      <c r="AE143" s="20"/>
    </row>
    <row r="144" spans="2:31" x14ac:dyDescent="0.2">
      <c r="B144" s="23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140"/>
      <c r="S144" s="133"/>
      <c r="T144" s="133"/>
      <c r="U144" s="20"/>
      <c r="V144" s="20"/>
      <c r="W144" s="20"/>
      <c r="X144" s="20"/>
      <c r="Y144" s="20"/>
      <c r="Z144" s="20"/>
      <c r="AA144" s="20"/>
      <c r="AB144" s="20"/>
      <c r="AC144" s="137"/>
      <c r="AD144" s="20"/>
      <c r="AE144" s="20"/>
    </row>
    <row r="145" spans="2:31" x14ac:dyDescent="0.2">
      <c r="B145" s="20" t="s">
        <v>291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140">
        <f t="shared" si="253"/>
        <v>28791.208813609086</v>
      </c>
      <c r="S145" s="133">
        <f>PV($C$1, ($AB$3-$S$3), 0, -AB65)+PV($C$1, ($AA$3-$S$3), 0, -AB65)+PV($C$1, ($Z$3-$S$3), 0, -AB65)+PV($C$1, ($Y$3-$S$3), 0, -AB65)+PV($C$1, ($X$3-$S$3), 0, -AB65)+PV($C$1, ($W$3-$S$3), 0, -AB65)+PV($C$1, ($V$3-$S$3), 0, -AB65)+PV($C$1, ($U$3-$S$3), 0, -AB65)+PV($C$1, ($T$3-$S$3), 0, -AB65)+PV($C$1, ($S$3-$S$3), 0, -AB65)</f>
        <v>22684.713838610656</v>
      </c>
      <c r="T145" s="133">
        <f>PV($C$1, ($AB$3-$S$3), 0, -AE65)</f>
        <v>6106.4949749984289</v>
      </c>
      <c r="U145" s="20"/>
      <c r="V145" s="20"/>
      <c r="W145" s="20"/>
      <c r="X145" s="20"/>
      <c r="Y145" s="20"/>
      <c r="Z145" s="20"/>
      <c r="AA145" s="20"/>
      <c r="AB145" s="20"/>
      <c r="AC145" s="137"/>
      <c r="AD145" s="20"/>
      <c r="AE145" s="20"/>
    </row>
    <row r="146" spans="2:31" x14ac:dyDescent="0.2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140"/>
      <c r="S146" s="133"/>
      <c r="T146" s="133"/>
      <c r="U146" s="20"/>
      <c r="V146" s="20"/>
      <c r="W146" s="20"/>
      <c r="X146" s="20"/>
      <c r="Y146" s="20"/>
      <c r="Z146" s="20"/>
      <c r="AA146" s="20"/>
      <c r="AB146" s="20"/>
      <c r="AC146" s="137"/>
      <c r="AD146" s="20"/>
      <c r="AE146" s="20"/>
    </row>
    <row r="147" spans="2:31" x14ac:dyDescent="0.2">
      <c r="B147" s="20" t="s">
        <v>287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140">
        <f t="shared" ref="R147:R150" si="256">S147+T147</f>
        <v>28.279126571676869</v>
      </c>
      <c r="S147" s="133">
        <f>PV($C$1, ($AB$3-$S$3), 0, -AB67)+PV($C$1, ($AA$3-$S$3), 0, -AB67)+PV($C$1, ($Z$3-$S$3), 0, -AB67)+PV($C$1, ($Y$3-$S$3), 0, -AB67)+PV($C$1, ($X$3-$S$3), 0, -AB67)+PV($C$1, ($W$3-$S$3), 0, -AB67)+PV($C$1, ($V$3-$S$3), 0, -AB67)+PV($C$1, ($U$3-$S$3), 0, -AB67)+PV($C$1, ($T$3-$S$3), 0, -AB67)+PV($C$1, ($S$3-$S$3), 0, -AB67)</f>
        <v>22.281242098494776</v>
      </c>
      <c r="T147" s="133">
        <f>PV($C$1, ($AB$3-$S$3), 0, -AE67)</f>
        <v>5.9978844731820917</v>
      </c>
      <c r="U147" s="20"/>
      <c r="V147" s="20"/>
      <c r="W147" s="20"/>
      <c r="X147" s="20"/>
      <c r="Y147" s="20"/>
      <c r="Z147" s="20"/>
      <c r="AA147" s="20"/>
      <c r="AB147" s="20"/>
      <c r="AC147" s="137"/>
      <c r="AD147" s="20"/>
      <c r="AE147" s="20"/>
    </row>
    <row r="148" spans="2:31" x14ac:dyDescent="0.2">
      <c r="B148" s="20" t="s">
        <v>288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140">
        <f t="shared" si="256"/>
        <v>34.542786323463744</v>
      </c>
      <c r="S148" s="133">
        <f>PV($C$1, ($AB$3-$S$3), 0, -AB68)+PV($C$1, ($AA$3-$S$3), 0, -AB68)+PV($C$1, ($Z$3-$S$3), 0, -AB68)+PV($C$1, ($Y$3-$S$3), 0, -AB68)+PV($C$1, ($X$3-$S$3), 0, -AB68)+PV($C$1, ($W$3-$S$3), 0, -AB68)+PV($C$1, ($V$3-$S$3), 0, -AB68)+PV($C$1, ($U$3-$S$3), 0, -AB68)+PV($C$1, ($T$3-$S$3), 0, -AB68)+PV($C$1, ($S$3-$S$3), 0, -AB68)</f>
        <v>27.216405813626643</v>
      </c>
      <c r="T148" s="133">
        <f>PV($C$1, ($AB$3-$S$3), 0, -AE68)</f>
        <v>7.3263805098371018</v>
      </c>
      <c r="U148" s="20"/>
      <c r="V148" s="20"/>
      <c r="W148" s="20"/>
      <c r="X148" s="20"/>
      <c r="Y148" s="20"/>
      <c r="Z148" s="20"/>
      <c r="AA148" s="20"/>
      <c r="AB148" s="20"/>
      <c r="AC148" s="137"/>
      <c r="AD148" s="20"/>
      <c r="AE148" s="20"/>
    </row>
    <row r="149" spans="2:31" x14ac:dyDescent="0.2">
      <c r="B149" s="20" t="s">
        <v>289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140">
        <f t="shared" si="256"/>
        <v>-6.2636597517868839</v>
      </c>
      <c r="S149" s="133">
        <f>PV($C$1, ($AB$3-$S$3), 0, -AB69)+PV($C$1, ($AA$3-$S$3), 0, -AB69)+PV($C$1, ($Z$3-$S$3), 0, -AB69)+PV($C$1, ($Y$3-$S$3), 0, -AB69)+PV($C$1, ($X$3-$S$3), 0, -AB69)+PV($C$1, ($W$3-$S$3), 0, -AB69)+PV($C$1, ($V$3-$S$3), 0, -AB69)+PV($C$1, ($U$3-$S$3), 0, -AB69)+PV($C$1, ($T$3-$S$3), 0, -AB69)+PV($C$1, ($S$3-$S$3), 0, -AB69)</f>
        <v>-4.9351637151318721</v>
      </c>
      <c r="T149" s="133">
        <f>PV($C$1, ($AB$3-$S$3), 0, -AE69)</f>
        <v>-1.3284960366550116</v>
      </c>
      <c r="U149" s="20"/>
      <c r="V149" s="20"/>
      <c r="W149" s="20"/>
      <c r="X149" s="20"/>
      <c r="Y149" s="20"/>
      <c r="Z149" s="20"/>
      <c r="AA149" s="20"/>
      <c r="AB149" s="20"/>
      <c r="AC149" s="137"/>
      <c r="AD149" s="20"/>
      <c r="AE149" s="20"/>
    </row>
    <row r="150" spans="2:31" x14ac:dyDescent="0.2">
      <c r="B150" s="20" t="s">
        <v>290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140">
        <f t="shared" si="256"/>
        <v>-8.6356965808659361</v>
      </c>
      <c r="S150" s="133">
        <f>PV($C$1, ($AB$3-$S$3), 0, -AB70)+PV($C$1, ($AA$3-$S$3), 0, -AB70)+PV($C$1, ($Z$3-$S$3), 0, -AB70)+PV($C$1, ($Y$3-$S$3), 0, -AB70)+PV($C$1, ($X$3-$S$3), 0, -AB70)+PV($C$1, ($W$3-$S$3), 0, -AB70)+PV($C$1, ($V$3-$S$3), 0, -AB70)+PV($C$1, ($U$3-$S$3), 0, -AB70)+PV($C$1, ($T$3-$S$3), 0, -AB70)+PV($C$1, ($S$3-$S$3), 0, -AB70)</f>
        <v>-6.8041014534066608</v>
      </c>
      <c r="T150" s="133">
        <f>PV($C$1, ($AB$3-$S$3), 0, -AE70)</f>
        <v>-1.8315951274592754</v>
      </c>
      <c r="U150" s="20"/>
      <c r="V150" s="20"/>
      <c r="W150" s="20"/>
      <c r="X150" s="20"/>
      <c r="Y150" s="20"/>
      <c r="Z150" s="20"/>
      <c r="AA150" s="20"/>
      <c r="AB150" s="20"/>
      <c r="AC150" s="137"/>
      <c r="AD150" s="20"/>
      <c r="AE150" s="20"/>
    </row>
    <row r="151" spans="2:31" x14ac:dyDescent="0.2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140"/>
      <c r="S151" s="133"/>
      <c r="T151" s="133"/>
      <c r="U151" s="20"/>
      <c r="V151" s="20"/>
      <c r="W151" s="20"/>
      <c r="X151" s="20"/>
      <c r="Y151" s="20"/>
      <c r="Z151" s="20"/>
      <c r="AA151" s="20"/>
      <c r="AB151" s="20"/>
      <c r="AC151" s="137"/>
      <c r="AD151" s="20"/>
      <c r="AE151" s="20"/>
    </row>
    <row r="152" spans="2:31" x14ac:dyDescent="0.2">
      <c r="B152" s="20" t="s">
        <v>299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140">
        <f>S152+T152</f>
        <v>143.28584970655675</v>
      </c>
      <c r="S152" s="133">
        <f>PV($C$1, ($AB$3-$S$3), 0, -AB71)+PV($C$1, ($AA$3-$S$3), 0, -AB71)+PV($C$1, ($Z$3-$S$3), 0, -AB71)+PV($C$1, ($Y$3-$S$3), 0, -AB71)+PV($C$1, ($X$3-$S$3), 0, -AB71)+PV($C$1, ($W$3-$S$3), 0, -AB71)+PV($C$1, ($V$3-$S$3), 0, -AB71)+PV($C$1, ($U$3-$S$3), 0, -AB71)+PV($C$1, ($T$3-$S$3), 0, -AB71)+PV($C$1, ($S$3-$S$3), 0, -AB71)</f>
        <v>112.89552025266163</v>
      </c>
      <c r="T152" s="133">
        <f>PV($C$1, ($AB$3-$S$3), 0, -AE71)</f>
        <v>30.390329453895113</v>
      </c>
      <c r="U152" s="20"/>
      <c r="V152" s="20"/>
      <c r="W152" s="20"/>
      <c r="X152" s="20"/>
      <c r="Y152" s="20"/>
      <c r="Z152" s="20"/>
      <c r="AA152" s="20"/>
      <c r="AB152" s="20"/>
      <c r="AC152" s="137"/>
      <c r="AD152" s="20"/>
      <c r="AE152" s="20"/>
    </row>
    <row r="153" spans="2:31" x14ac:dyDescent="0.2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183">
        <v>41729</v>
      </c>
      <c r="P153" s="20">
        <v>100</v>
      </c>
      <c r="Q153" s="20"/>
      <c r="R153" s="20"/>
      <c r="S153" s="121"/>
      <c r="T153" s="20"/>
      <c r="U153" s="20"/>
      <c r="V153" s="20"/>
      <c r="W153" s="20"/>
      <c r="X153" s="20"/>
      <c r="Y153" s="20"/>
      <c r="Z153" s="20"/>
      <c r="AA153" s="20"/>
      <c r="AB153" s="20"/>
      <c r="AC153" s="137"/>
      <c r="AD153" s="20"/>
      <c r="AE153" s="20"/>
    </row>
    <row r="154" spans="2:31" x14ac:dyDescent="0.2">
      <c r="B154" s="108" t="s">
        <v>251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3" t="s">
        <v>391</v>
      </c>
      <c r="P154" s="20">
        <v>150</v>
      </c>
      <c r="Q154" s="20">
        <v>135</v>
      </c>
      <c r="R154" s="23" t="s">
        <v>392</v>
      </c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137"/>
      <c r="AD154" s="20"/>
      <c r="AE154" s="20"/>
    </row>
    <row r="155" spans="2:31" x14ac:dyDescent="0.2">
      <c r="B155" s="20" t="s">
        <v>204</v>
      </c>
      <c r="C155" s="22">
        <v>0</v>
      </c>
      <c r="D155" s="22">
        <v>0</v>
      </c>
      <c r="E155" s="22">
        <v>0</v>
      </c>
      <c r="F155" s="22">
        <v>200</v>
      </c>
      <c r="G155" s="22">
        <v>520</v>
      </c>
      <c r="H155" s="22">
        <v>750</v>
      </c>
      <c r="I155" s="22">
        <v>2000</v>
      </c>
      <c r="J155" s="22">
        <v>2000</v>
      </c>
      <c r="K155" s="22">
        <v>1800</v>
      </c>
      <c r="L155" s="22">
        <v>1300</v>
      </c>
      <c r="M155" s="22">
        <v>2300</v>
      </c>
      <c r="N155" s="22">
        <v>2000</v>
      </c>
      <c r="O155" s="22">
        <v>250</v>
      </c>
      <c r="P155" s="22">
        <v>150</v>
      </c>
      <c r="Q155" s="118">
        <f t="shared" ref="Q155:Q160" si="257">((P155/G155)^(1/($H$2-$H$1) ))-1</f>
        <v>-0.12901681965206413</v>
      </c>
      <c r="R155" s="31">
        <f>L2-3%</f>
        <v>0.09</v>
      </c>
      <c r="S155" s="119">
        <f t="shared" ref="S155" si="258">P155*(1+$R155)</f>
        <v>163.5</v>
      </c>
      <c r="T155" s="119">
        <f t="shared" ref="T155:AB155" si="259">S155*(1+$R155)</f>
        <v>178.215</v>
      </c>
      <c r="U155" s="119">
        <f t="shared" si="259"/>
        <v>194.25435000000002</v>
      </c>
      <c r="V155" s="119">
        <f t="shared" si="259"/>
        <v>211.73724150000004</v>
      </c>
      <c r="W155" s="119">
        <f t="shared" si="259"/>
        <v>230.79359323500006</v>
      </c>
      <c r="X155" s="119">
        <f t="shared" si="259"/>
        <v>251.56501662615008</v>
      </c>
      <c r="Y155" s="119">
        <f t="shared" si="259"/>
        <v>274.2058681225036</v>
      </c>
      <c r="Z155" s="119">
        <f t="shared" si="259"/>
        <v>298.88439625352896</v>
      </c>
      <c r="AA155" s="119">
        <f t="shared" si="259"/>
        <v>325.78399191634657</v>
      </c>
      <c r="AB155" s="119">
        <f t="shared" si="259"/>
        <v>355.10455118881777</v>
      </c>
      <c r="AC155" s="138">
        <f t="shared" ref="AC155:AC160" si="260">((AB155/G155)^(1/($AB$3-$H$1) ))-1</f>
        <v>-1.9874403200608293E-2</v>
      </c>
      <c r="AD155" s="31">
        <v>0.08</v>
      </c>
      <c r="AE155" s="127">
        <f t="shared" ref="AE155:AE163" si="261">(AB155*(1+AC155))/($C$1-AD155)</f>
        <v>2486.0504297151438</v>
      </c>
    </row>
    <row r="156" spans="2:31" x14ac:dyDescent="0.2">
      <c r="B156" s="20" t="s">
        <v>362</v>
      </c>
      <c r="C156" s="25" t="e">
        <f t="shared" ref="C156:P156" si="262">C155/C44</f>
        <v>#DIV/0!</v>
      </c>
      <c r="D156" s="25" t="e">
        <f t="shared" si="262"/>
        <v>#DIV/0!</v>
      </c>
      <c r="E156" s="25" t="e">
        <f t="shared" si="262"/>
        <v>#DIV/0!</v>
      </c>
      <c r="F156" s="25">
        <f t="shared" si="262"/>
        <v>0.69685319663961265</v>
      </c>
      <c r="G156" s="25">
        <f t="shared" si="262"/>
        <v>1.5865835411471321</v>
      </c>
      <c r="H156" s="25">
        <f t="shared" si="262"/>
        <v>1.7582391262694002</v>
      </c>
      <c r="I156" s="25">
        <f t="shared" si="262"/>
        <v>3.4540193379913897</v>
      </c>
      <c r="J156" s="25">
        <f t="shared" si="262"/>
        <v>2.7149672694996116</v>
      </c>
      <c r="K156" s="25">
        <f t="shared" si="262"/>
        <v>4.1190220186059561</v>
      </c>
      <c r="L156" s="25">
        <f t="shared" si="262"/>
        <v>2.1881232377415585</v>
      </c>
      <c r="M156" s="25">
        <f t="shared" si="262"/>
        <v>3.1810861211573243</v>
      </c>
      <c r="N156" s="25">
        <f t="shared" si="262"/>
        <v>2.2521279043018176</v>
      </c>
      <c r="O156" s="25">
        <f t="shared" si="262"/>
        <v>1.2187300828553218</v>
      </c>
      <c r="P156" s="25">
        <f t="shared" si="262"/>
        <v>0.74568752780028869</v>
      </c>
      <c r="Q156" s="118">
        <f t="shared" ref="Q156" si="263">((P156/G156)^(1/($H$2-$H$1) ))-1</f>
        <v>-8.0469809642039203E-2</v>
      </c>
      <c r="R156" s="128"/>
      <c r="S156" s="25">
        <f t="shared" ref="S156:AB156" si="264">S155/S44</f>
        <v>1.0885706321013142</v>
      </c>
      <c r="T156" s="25">
        <f t="shared" si="264"/>
        <v>1.1865419889904323</v>
      </c>
      <c r="U156" s="25">
        <f t="shared" si="264"/>
        <v>1.2933307679995714</v>
      </c>
      <c r="V156" s="25">
        <f t="shared" si="264"/>
        <v>1.409730537119533</v>
      </c>
      <c r="W156" s="25">
        <f t="shared" si="264"/>
        <v>1.5366062854602909</v>
      </c>
      <c r="X156" s="25">
        <f t="shared" si="264"/>
        <v>1.6749008511517174</v>
      </c>
      <c r="Y156" s="25">
        <f t="shared" si="264"/>
        <v>1.8256419277553722</v>
      </c>
      <c r="Z156" s="25">
        <f t="shared" si="264"/>
        <v>1.9899497012533558</v>
      </c>
      <c r="AA156" s="25">
        <f t="shared" si="264"/>
        <v>2.1690451743661576</v>
      </c>
      <c r="AB156" s="25">
        <f t="shared" si="264"/>
        <v>2.3642592400591123</v>
      </c>
      <c r="AC156" s="138">
        <f t="shared" ref="AC156" si="265">((AB156/G156)^(1/($AB$3-$H$1) ))-1</f>
        <v>2.1215696806258233E-2</v>
      </c>
      <c r="AD156" s="31">
        <v>0.08</v>
      </c>
      <c r="AE156" s="127">
        <f t="shared" ref="AE156" si="266">(AB156*(1+AC156))/($C$1-AD156)</f>
        <v>17.245847480482862</v>
      </c>
    </row>
    <row r="157" spans="2:31" x14ac:dyDescent="0.2">
      <c r="B157" s="20" t="s">
        <v>390</v>
      </c>
      <c r="C157" s="25" t="e">
        <f t="shared" ref="C157:P157" si="267">C155/C47</f>
        <v>#DIV/0!</v>
      </c>
      <c r="D157" s="25" t="e">
        <f t="shared" si="267"/>
        <v>#DIV/0!</v>
      </c>
      <c r="E157" s="25" t="e">
        <f t="shared" si="267"/>
        <v>#DIV/0!</v>
      </c>
      <c r="F157" s="25">
        <f t="shared" si="267"/>
        <v>11.022522522522522</v>
      </c>
      <c r="G157" s="25">
        <f t="shared" si="267"/>
        <v>19.337993920972643</v>
      </c>
      <c r="H157" s="25">
        <f t="shared" si="267"/>
        <v>19.257607555089191</v>
      </c>
      <c r="I157" s="25">
        <f t="shared" si="267"/>
        <v>29.148302561048244</v>
      </c>
      <c r="J157" s="25">
        <f t="shared" si="267"/>
        <v>20.273405136702568</v>
      </c>
      <c r="K157" s="25">
        <f t="shared" si="267"/>
        <v>30.818467995802727</v>
      </c>
      <c r="L157" s="25">
        <f t="shared" si="267"/>
        <v>20.428571428571431</v>
      </c>
      <c r="M157" s="25">
        <f t="shared" si="267"/>
        <v>26.025196486361537</v>
      </c>
      <c r="N157" s="25">
        <f t="shared" si="267"/>
        <v>16.17379811663638</v>
      </c>
      <c r="O157" s="25">
        <f t="shared" si="267"/>
        <v>8.6341188090870613</v>
      </c>
      <c r="P157" s="25">
        <f t="shared" si="267"/>
        <v>5.4853505849307487</v>
      </c>
      <c r="Q157" s="118">
        <f t="shared" si="257"/>
        <v>-0.1306408709957394</v>
      </c>
      <c r="R157" s="128"/>
      <c r="S157" s="119">
        <f t="shared" ref="S157:AB157" si="268">S155/S47</f>
        <v>8.0076323271087269</v>
      </c>
      <c r="T157" s="119">
        <f t="shared" si="268"/>
        <v>8.7283192365485114</v>
      </c>
      <c r="U157" s="119">
        <f t="shared" si="268"/>
        <v>9.5138679678378768</v>
      </c>
      <c r="V157" s="119">
        <f t="shared" si="268"/>
        <v>10.370116084943287</v>
      </c>
      <c r="W157" s="119">
        <f t="shared" si="268"/>
        <v>11.303426532588185</v>
      </c>
      <c r="X157" s="119">
        <f t="shared" si="268"/>
        <v>12.320734920521122</v>
      </c>
      <c r="Y157" s="119">
        <f t="shared" si="268"/>
        <v>13.429601063368024</v>
      </c>
      <c r="Z157" s="119">
        <f t="shared" si="268"/>
        <v>14.638265159071148</v>
      </c>
      <c r="AA157" s="119">
        <f t="shared" si="268"/>
        <v>15.95570902338755</v>
      </c>
      <c r="AB157" s="119">
        <f t="shared" si="268"/>
        <v>17.39172283549243</v>
      </c>
      <c r="AC157" s="138">
        <f t="shared" si="260"/>
        <v>-5.5674630580819784E-3</v>
      </c>
      <c r="AD157" s="31">
        <v>0.08</v>
      </c>
      <c r="AE157" s="127">
        <f t="shared" si="261"/>
        <v>123.53496472206733</v>
      </c>
    </row>
    <row r="158" spans="2:31" x14ac:dyDescent="0.2">
      <c r="B158" s="20" t="s">
        <v>259</v>
      </c>
      <c r="C158" s="25" t="e">
        <f t="shared" ref="C158:P158" si="269">C155/C50</f>
        <v>#DIV/0!</v>
      </c>
      <c r="D158" s="25" t="e">
        <f t="shared" si="269"/>
        <v>#DIV/0!</v>
      </c>
      <c r="E158" s="25" t="e">
        <f t="shared" si="269"/>
        <v>#DIV/0!</v>
      </c>
      <c r="F158" s="25">
        <f t="shared" si="269"/>
        <v>1.073481026540908</v>
      </c>
      <c r="G158" s="25">
        <f t="shared" si="269"/>
        <v>2.5191843199366462</v>
      </c>
      <c r="H158" s="25">
        <f t="shared" si="269"/>
        <v>3.1740747146316153</v>
      </c>
      <c r="I158" s="25">
        <f t="shared" si="269"/>
        <v>6.9359410430838997</v>
      </c>
      <c r="J158" s="25">
        <f t="shared" si="269"/>
        <v>5.7286667447032658</v>
      </c>
      <c r="K158" s="25">
        <f t="shared" si="269"/>
        <v>8.5676779463243875</v>
      </c>
      <c r="L158" s="25">
        <f t="shared" si="269"/>
        <v>5.1181431680610494</v>
      </c>
      <c r="M158" s="25">
        <f t="shared" si="269"/>
        <v>7.3076488693703823</v>
      </c>
      <c r="N158" s="25">
        <f t="shared" si="269"/>
        <v>4.9782462335168693</v>
      </c>
      <c r="O158" s="25">
        <f t="shared" si="269"/>
        <v>2.4560941560292111</v>
      </c>
      <c r="P158" s="25">
        <f t="shared" si="269"/>
        <v>1.2220402620226873</v>
      </c>
      <c r="Q158" s="118">
        <f t="shared" si="257"/>
        <v>-7.723369025593807E-2</v>
      </c>
      <c r="R158" s="128"/>
      <c r="S158" s="119">
        <f t="shared" ref="S158:AB158" si="270">S155/S50</f>
        <v>1.783960561077762</v>
      </c>
      <c r="T158" s="119">
        <f t="shared" si="270"/>
        <v>1.9445170115747605</v>
      </c>
      <c r="U158" s="119">
        <f t="shared" si="270"/>
        <v>2.1195235426164891</v>
      </c>
      <c r="V158" s="119">
        <f t="shared" si="270"/>
        <v>2.3102806614519733</v>
      </c>
      <c r="W158" s="119">
        <f t="shared" si="270"/>
        <v>2.5182059209826511</v>
      </c>
      <c r="X158" s="119">
        <f t="shared" si="270"/>
        <v>2.7448444538710901</v>
      </c>
      <c r="Y158" s="119">
        <f t="shared" si="270"/>
        <v>2.9918804547194884</v>
      </c>
      <c r="Z158" s="119">
        <f t="shared" si="270"/>
        <v>3.2611496956442427</v>
      </c>
      <c r="AA158" s="119">
        <f t="shared" si="270"/>
        <v>3.5546531682522242</v>
      </c>
      <c r="AB158" s="119">
        <f t="shared" si="270"/>
        <v>3.8745719533949248</v>
      </c>
      <c r="AC158" s="138">
        <f t="shared" si="260"/>
        <v>2.2916535977906882E-2</v>
      </c>
      <c r="AD158" s="31">
        <v>0.08</v>
      </c>
      <c r="AE158" s="127">
        <f t="shared" si="261"/>
        <v>28.30974086402777</v>
      </c>
    </row>
    <row r="159" spans="2:31" x14ac:dyDescent="0.2">
      <c r="B159" s="20" t="s">
        <v>260</v>
      </c>
      <c r="C159" s="25" t="e">
        <f t="shared" ref="C159:P159" si="271">C155/C59</f>
        <v>#DIV/0!</v>
      </c>
      <c r="D159" s="25" t="e">
        <f t="shared" si="271"/>
        <v>#DIV/0!</v>
      </c>
      <c r="E159" s="25" t="e">
        <f t="shared" si="271"/>
        <v>#DIV/0!</v>
      </c>
      <c r="F159" s="25">
        <f t="shared" si="271"/>
        <v>3.678786466515827</v>
      </c>
      <c r="G159" s="25">
        <f t="shared" si="271"/>
        <v>4.7337797619047626</v>
      </c>
      <c r="H159" s="25">
        <f t="shared" si="271"/>
        <v>5.7603578154425614</v>
      </c>
      <c r="I159" s="25">
        <f t="shared" si="271"/>
        <v>11.818401352330353</v>
      </c>
      <c r="J159" s="25">
        <f t="shared" si="271"/>
        <v>8.4147180192572204</v>
      </c>
      <c r="K159" s="25">
        <f t="shared" si="271"/>
        <v>10.496420781269173</v>
      </c>
      <c r="L159" s="25">
        <f t="shared" si="271"/>
        <v>6.1572684505183393</v>
      </c>
      <c r="M159" s="25">
        <f t="shared" si="271"/>
        <v>11.416110826064649</v>
      </c>
      <c r="N159" s="25">
        <f t="shared" si="271"/>
        <v>10.081413333827621</v>
      </c>
      <c r="O159" s="25">
        <f t="shared" si="271"/>
        <v>9.0787158342655871</v>
      </c>
      <c r="P159" s="25">
        <f t="shared" si="271"/>
        <v>4.6763231368073521</v>
      </c>
      <c r="Q159" s="118">
        <f t="shared" si="257"/>
        <v>-1.3559510636101946E-3</v>
      </c>
      <c r="R159" s="128"/>
      <c r="S159" s="119">
        <f t="shared" ref="S159:AB159" si="272">S155/S59</f>
        <v>6.8265967220357329</v>
      </c>
      <c r="T159" s="119">
        <f t="shared" si="272"/>
        <v>7.4409904270189493</v>
      </c>
      <c r="U159" s="119">
        <f t="shared" si="272"/>
        <v>8.1106795654506545</v>
      </c>
      <c r="V159" s="119">
        <f t="shared" si="272"/>
        <v>8.8406407263412152</v>
      </c>
      <c r="W159" s="119">
        <f t="shared" si="272"/>
        <v>9.6362983917119251</v>
      </c>
      <c r="X159" s="119">
        <f t="shared" si="272"/>
        <v>10.503565246966</v>
      </c>
      <c r="Y159" s="119">
        <f t="shared" si="272"/>
        <v>11.44888611919294</v>
      </c>
      <c r="Z159" s="119">
        <f t="shared" si="272"/>
        <v>12.479285869920307</v>
      </c>
      <c r="AA159" s="119">
        <f t="shared" si="272"/>
        <v>13.602421598213137</v>
      </c>
      <c r="AB159" s="119">
        <f t="shared" si="272"/>
        <v>14.826639542052318</v>
      </c>
      <c r="AC159" s="138">
        <f t="shared" si="260"/>
        <v>6.1931643543997161E-2</v>
      </c>
      <c r="AD159" s="31">
        <v>0.08</v>
      </c>
      <c r="AE159" s="127">
        <f t="shared" si="261"/>
        <v>112.46341212232882</v>
      </c>
    </row>
    <row r="160" spans="2:31" x14ac:dyDescent="0.2">
      <c r="B160" s="20" t="s">
        <v>261</v>
      </c>
      <c r="C160" s="25" t="e">
        <f t="shared" ref="C160:P160" si="273">C155/C61</f>
        <v>#DIV/0!</v>
      </c>
      <c r="D160" s="25" t="e">
        <f t="shared" si="273"/>
        <v>#DIV/0!</v>
      </c>
      <c r="E160" s="25" t="e">
        <f t="shared" si="273"/>
        <v>#DIV/0!</v>
      </c>
      <c r="F160" s="25">
        <f t="shared" si="273"/>
        <v>1.2259519038076152</v>
      </c>
      <c r="G160" s="25">
        <f t="shared" si="273"/>
        <v>2.775223555070883</v>
      </c>
      <c r="H160" s="25">
        <f t="shared" si="273"/>
        <v>3.3904489192684277</v>
      </c>
      <c r="I160" s="25">
        <f t="shared" si="273"/>
        <v>7.3285414794848753</v>
      </c>
      <c r="J160" s="25">
        <f t="shared" si="273"/>
        <v>6.4615790863480331</v>
      </c>
      <c r="K160" s="25">
        <f t="shared" si="273"/>
        <v>9.5553627589198573</v>
      </c>
      <c r="L160" s="25">
        <f t="shared" si="273"/>
        <v>6.201637267322873</v>
      </c>
      <c r="M160" s="25">
        <f t="shared" si="273"/>
        <v>9.4816405592049868</v>
      </c>
      <c r="N160" s="25">
        <f t="shared" si="273"/>
        <v>6.7068575734740019</v>
      </c>
      <c r="O160" s="25">
        <f t="shared" si="273"/>
        <v>3.1398809523809521</v>
      </c>
      <c r="P160" s="25">
        <f t="shared" si="273"/>
        <v>0.73167815248974644</v>
      </c>
      <c r="Q160" s="118">
        <f t="shared" si="257"/>
        <v>-0.13767867977376458</v>
      </c>
      <c r="R160" s="128"/>
      <c r="S160" s="119">
        <f t="shared" ref="S160:AB160" si="274">S155/S61</f>
        <v>1.0681194458220851</v>
      </c>
      <c r="T160" s="119">
        <f t="shared" si="274"/>
        <v>1.1642501959460727</v>
      </c>
      <c r="U160" s="119">
        <f t="shared" si="274"/>
        <v>1.2690327135812194</v>
      </c>
      <c r="V160" s="119">
        <f t="shared" si="274"/>
        <v>1.3832456578035293</v>
      </c>
      <c r="W160" s="119">
        <f t="shared" si="274"/>
        <v>1.5077377670058467</v>
      </c>
      <c r="X160" s="119">
        <f t="shared" si="274"/>
        <v>1.6434341660363734</v>
      </c>
      <c r="Y160" s="119">
        <f t="shared" si="274"/>
        <v>1.791343240979647</v>
      </c>
      <c r="Z160" s="119">
        <f t="shared" si="274"/>
        <v>1.9525641326678154</v>
      </c>
      <c r="AA160" s="119">
        <f t="shared" si="274"/>
        <v>2.1282949046079191</v>
      </c>
      <c r="AB160" s="119">
        <f t="shared" si="274"/>
        <v>2.319841446022632</v>
      </c>
      <c r="AC160" s="138">
        <f t="shared" si="260"/>
        <v>-9.3889336586437944E-3</v>
      </c>
      <c r="AD160" s="31">
        <v>0.08</v>
      </c>
      <c r="AE160" s="127">
        <f t="shared" si="261"/>
        <v>16.414718632766807</v>
      </c>
    </row>
    <row r="161" spans="2:31" x14ac:dyDescent="0.2">
      <c r="B161" s="20" t="s">
        <v>282</v>
      </c>
      <c r="C161" s="25" t="e">
        <f>C157/C107</f>
        <v>#DIV/0!</v>
      </c>
      <c r="D161" s="25" t="e">
        <f>D157/D107</f>
        <v>#DIV/0!</v>
      </c>
      <c r="E161" s="25" t="e">
        <f>E157/E107</f>
        <v>#DIV/0!</v>
      </c>
      <c r="F161" s="25" t="e">
        <f>F157/F107</f>
        <v>#DIV/0!</v>
      </c>
      <c r="G161" s="182">
        <f t="shared" ref="G161:P161" si="275">G155/G55</f>
        <v>1.2140444614063544</v>
      </c>
      <c r="H161" s="182">
        <f t="shared" si="275"/>
        <v>1.5007359555155777</v>
      </c>
      <c r="I161" s="182">
        <f t="shared" si="275"/>
        <v>2.8670181605155238</v>
      </c>
      <c r="J161" s="182">
        <f t="shared" si="275"/>
        <v>2.2264683135435148</v>
      </c>
      <c r="K161" s="182">
        <f t="shared" si="275"/>
        <v>3.202835332606325</v>
      </c>
      <c r="L161" s="182">
        <f t="shared" si="275"/>
        <v>2.7646608267089658</v>
      </c>
      <c r="M161" s="182">
        <f t="shared" si="275"/>
        <v>4.0759236491545145</v>
      </c>
      <c r="N161" s="182">
        <f t="shared" si="275"/>
        <v>2.8391830461040986</v>
      </c>
      <c r="O161" s="182">
        <f t="shared" si="275"/>
        <v>1.3743572650582412</v>
      </c>
      <c r="P161" s="182">
        <f t="shared" si="275"/>
        <v>0.69928498234359704</v>
      </c>
      <c r="Q161" s="118">
        <f t="shared" ref="Q161:Q163" si="276">((P161/G161)^(1/($H$2-$H$1) ))-1</f>
        <v>-5.9454182265930466E-2</v>
      </c>
      <c r="R161" s="128"/>
      <c r="S161" s="135">
        <f t="shared" ref="S161:AB161" si="277">S155/S55</f>
        <v>1.0208312019033758</v>
      </c>
      <c r="T161" s="135">
        <f t="shared" si="277"/>
        <v>1.1127060100746797</v>
      </c>
      <c r="U161" s="135">
        <f t="shared" si="277"/>
        <v>1.2128495509814006</v>
      </c>
      <c r="V161" s="135">
        <f t="shared" si="277"/>
        <v>1.3220060105697271</v>
      </c>
      <c r="W161" s="135">
        <f t="shared" si="277"/>
        <v>1.4409865515210025</v>
      </c>
      <c r="X161" s="135">
        <f t="shared" si="277"/>
        <v>1.5706753411578933</v>
      </c>
      <c r="Y161" s="135">
        <f t="shared" si="277"/>
        <v>1.7120361218621036</v>
      </c>
      <c r="Z161" s="135">
        <f t="shared" si="277"/>
        <v>1.8661193728296925</v>
      </c>
      <c r="AA161" s="135">
        <f t="shared" si="277"/>
        <v>2.0340701163843651</v>
      </c>
      <c r="AB161" s="135">
        <f t="shared" si="277"/>
        <v>2.2171364268589584</v>
      </c>
      <c r="AC161" s="138">
        <f t="shared" ref="AC161" si="278">((AB161/G161)^(1/($AB$3-$H$1) ))-1</f>
        <v>3.2205577244907468E-2</v>
      </c>
      <c r="AD161" s="31">
        <v>0.08</v>
      </c>
      <c r="AE161" s="127">
        <f t="shared" si="261"/>
        <v>16.346718466547589</v>
      </c>
    </row>
    <row r="162" spans="2:31" x14ac:dyDescent="0.2">
      <c r="B162" s="20" t="s">
        <v>372</v>
      </c>
      <c r="C162" s="161" t="e">
        <f t="shared" ref="C162:P162" si="279">C47/C155</f>
        <v>#DIV/0!</v>
      </c>
      <c r="D162" s="161" t="e">
        <f t="shared" si="279"/>
        <v>#DIV/0!</v>
      </c>
      <c r="E162" s="161" t="e">
        <f t="shared" si="279"/>
        <v>#DIV/0!</v>
      </c>
      <c r="F162" s="161">
        <f t="shared" si="279"/>
        <v>9.0723334695545568E-2</v>
      </c>
      <c r="G162" s="161">
        <f t="shared" si="279"/>
        <v>5.171167206312282E-2</v>
      </c>
      <c r="H162" s="161">
        <f t="shared" si="279"/>
        <v>5.1927530309222182E-2</v>
      </c>
      <c r="I162" s="161">
        <f t="shared" si="279"/>
        <v>3.430731507968942E-2</v>
      </c>
      <c r="J162" s="161">
        <f t="shared" si="279"/>
        <v>4.9325704944830406E-2</v>
      </c>
      <c r="K162" s="161">
        <f t="shared" si="279"/>
        <v>3.2448076268300985E-2</v>
      </c>
      <c r="L162" s="161">
        <f t="shared" si="279"/>
        <v>4.8951048951048952E-2</v>
      </c>
      <c r="M162" s="161">
        <f t="shared" si="279"/>
        <v>3.8424301638761822E-2</v>
      </c>
      <c r="N162" s="161">
        <f t="shared" si="279"/>
        <v>6.182839632277834E-2</v>
      </c>
      <c r="O162" s="161">
        <f t="shared" si="279"/>
        <v>0.11581957836247753</v>
      </c>
      <c r="P162" s="161">
        <f t="shared" si="279"/>
        <v>0.18230375333660187</v>
      </c>
      <c r="Q162" s="118">
        <f t="shared" si="276"/>
        <v>0.15027261650242485</v>
      </c>
      <c r="R162" s="128"/>
      <c r="S162" s="161">
        <f t="shared" ref="S162:AB162" si="280">S47/S155</f>
        <v>0.12488085855473645</v>
      </c>
      <c r="T162" s="161">
        <f t="shared" si="280"/>
        <v>0.11456959500434538</v>
      </c>
      <c r="U162" s="161">
        <f t="shared" si="280"/>
        <v>0.10510972018747282</v>
      </c>
      <c r="V162" s="161">
        <f t="shared" si="280"/>
        <v>9.6430935951809918E-2</v>
      </c>
      <c r="W162" s="161">
        <f t="shared" si="280"/>
        <v>8.8468748579642126E-2</v>
      </c>
      <c r="X162" s="161">
        <f t="shared" si="280"/>
        <v>8.1163989522607449E-2</v>
      </c>
      <c r="Y162" s="161">
        <f t="shared" si="280"/>
        <v>7.4462375708814171E-2</v>
      </c>
      <c r="Z162" s="161">
        <f t="shared" si="280"/>
        <v>6.8314106154875376E-2</v>
      </c>
      <c r="AA162" s="161">
        <f t="shared" si="280"/>
        <v>6.2673491885206767E-2</v>
      </c>
      <c r="AB162" s="161">
        <f t="shared" si="280"/>
        <v>5.7498616408446571E-2</v>
      </c>
      <c r="AC162" s="138">
        <f t="shared" ref="AC162:AC163" si="281">((AB162/G162)^(1/($AB$3-$H$1) ))-1</f>
        <v>5.5986332418316298E-3</v>
      </c>
      <c r="AD162" s="31">
        <v>0.08</v>
      </c>
      <c r="AE162" s="127">
        <f t="shared" si="261"/>
        <v>0.41300378624021583</v>
      </c>
    </row>
    <row r="163" spans="2:31" x14ac:dyDescent="0.2">
      <c r="B163" s="20" t="s">
        <v>321</v>
      </c>
      <c r="C163" s="152" t="e">
        <f t="shared" ref="C163:P163" si="282">C41/C155</f>
        <v>#DIV/0!</v>
      </c>
      <c r="D163" s="152" t="e">
        <f t="shared" si="282"/>
        <v>#DIV/0!</v>
      </c>
      <c r="E163" s="152" t="e">
        <f t="shared" si="282"/>
        <v>#DIV/0!</v>
      </c>
      <c r="F163" s="152">
        <f t="shared" si="282"/>
        <v>0.02</v>
      </c>
      <c r="G163" s="152">
        <f t="shared" si="282"/>
        <v>1.1538461538461539E-2</v>
      </c>
      <c r="H163" s="152">
        <f t="shared" si="282"/>
        <v>1.0666666666666666E-2</v>
      </c>
      <c r="I163" s="152">
        <f t="shared" si="282"/>
        <v>7.2500000000000004E-3</v>
      </c>
      <c r="J163" s="152">
        <f t="shared" si="282"/>
        <v>1.225E-2</v>
      </c>
      <c r="K163" s="152">
        <f t="shared" si="282"/>
        <v>8.472222222222223E-3</v>
      </c>
      <c r="L163" s="152">
        <f t="shared" si="282"/>
        <v>1.3076923076923076E-2</v>
      </c>
      <c r="M163" s="152">
        <f t="shared" si="282"/>
        <v>1.0130434782608696E-2</v>
      </c>
      <c r="N163" s="152">
        <f t="shared" si="282"/>
        <v>1.5574999999999999E-2</v>
      </c>
      <c r="O163" s="152">
        <f t="shared" si="282"/>
        <v>2.5600000000000001E-2</v>
      </c>
      <c r="P163" s="152">
        <f t="shared" si="282"/>
        <v>3.4133333333333335E-2</v>
      </c>
      <c r="Q163" s="118">
        <f t="shared" si="276"/>
        <v>0.12807183202607764</v>
      </c>
      <c r="R163" s="128"/>
      <c r="S163" s="152">
        <f t="shared" ref="S163:AB163" si="283">S41/S155</f>
        <v>3.2880733944954131E-2</v>
      </c>
      <c r="T163" s="152">
        <f t="shared" si="283"/>
        <v>3.167410150660719E-2</v>
      </c>
      <c r="U163" s="152">
        <f t="shared" si="283"/>
        <v>3.0511749157740874E-2</v>
      </c>
      <c r="V163" s="152">
        <f t="shared" si="283"/>
        <v>2.9392051940943045E-2</v>
      </c>
      <c r="W163" s="152">
        <f t="shared" si="283"/>
        <v>2.8313444530266234E-2</v>
      </c>
      <c r="X163" s="152">
        <f t="shared" si="283"/>
        <v>2.7274419042917015E-2</v>
      </c>
      <c r="Y163" s="152">
        <f t="shared" si="283"/>
        <v>2.6273522931250334E-2</v>
      </c>
      <c r="Z163" s="152">
        <f t="shared" si="283"/>
        <v>2.5309356952121879E-2</v>
      </c>
      <c r="AA163" s="152">
        <f t="shared" si="283"/>
        <v>2.438057321075961E-2</v>
      </c>
      <c r="AB163" s="152">
        <f t="shared" si="283"/>
        <v>2.3485873276419808E-2</v>
      </c>
      <c r="AC163" s="138">
        <f t="shared" si="281"/>
        <v>3.8114364205056539E-2</v>
      </c>
      <c r="AD163" s="31">
        <v>0.08</v>
      </c>
      <c r="AE163" s="127">
        <f t="shared" si="261"/>
        <v>0.17415016002965053</v>
      </c>
    </row>
    <row r="164" spans="2:31" x14ac:dyDescent="0.2">
      <c r="B164" s="20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28"/>
      <c r="R164" s="128"/>
      <c r="S164" s="135"/>
      <c r="T164" s="135"/>
      <c r="U164" s="135"/>
      <c r="V164" s="135"/>
      <c r="W164" s="135"/>
      <c r="X164" s="135"/>
      <c r="Y164" s="135"/>
      <c r="Z164" s="135"/>
      <c r="AA164" s="135"/>
      <c r="AB164" s="135"/>
      <c r="AC164" s="137"/>
      <c r="AD164" s="20"/>
      <c r="AE164" s="127"/>
    </row>
    <row r="165" spans="2:31" x14ac:dyDescent="0.2">
      <c r="B165" s="20"/>
      <c r="C165" s="129"/>
      <c r="D165" s="129"/>
      <c r="E165" s="129"/>
      <c r="F165" s="129"/>
      <c r="G165" s="135"/>
      <c r="H165" s="135"/>
      <c r="I165" s="135"/>
      <c r="J165" s="135"/>
      <c r="K165" s="135"/>
      <c r="L165" s="135"/>
      <c r="M165" s="135"/>
      <c r="N165" s="135"/>
      <c r="O165" s="135"/>
      <c r="P165" s="135"/>
      <c r="Q165" s="128"/>
      <c r="R165" s="128"/>
      <c r="S165" s="135"/>
      <c r="T165" s="135"/>
      <c r="U165" s="135"/>
      <c r="V165" s="135"/>
      <c r="W165" s="135"/>
      <c r="X165" s="135"/>
      <c r="Y165" s="135"/>
      <c r="Z165" s="135"/>
      <c r="AA165" s="135"/>
      <c r="AB165" s="135"/>
      <c r="AC165" s="137"/>
      <c r="AD165" s="20"/>
      <c r="AE165" s="20"/>
    </row>
    <row r="166" spans="2:31" x14ac:dyDescent="0.2">
      <c r="B166" s="108" t="s">
        <v>302</v>
      </c>
      <c r="C166" s="20"/>
      <c r="D166" s="20"/>
      <c r="E166" s="20"/>
      <c r="F166" s="20"/>
      <c r="G166" s="20"/>
      <c r="H166" s="20"/>
      <c r="I166" s="20"/>
      <c r="J166" s="20"/>
      <c r="K166" s="197" t="s">
        <v>352</v>
      </c>
      <c r="L166" s="198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137"/>
      <c r="AD166" s="20"/>
      <c r="AE166" s="20"/>
    </row>
    <row r="167" spans="2:31" x14ac:dyDescent="0.2">
      <c r="B167" s="20" t="s">
        <v>300</v>
      </c>
      <c r="C167" s="20" t="s">
        <v>315</v>
      </c>
      <c r="D167" s="20"/>
      <c r="E167" s="20"/>
      <c r="F167" s="20"/>
      <c r="G167" s="20"/>
      <c r="H167" s="20"/>
      <c r="I167" s="20"/>
      <c r="J167" s="20"/>
      <c r="K167" s="20" t="s">
        <v>353</v>
      </c>
      <c r="L167" s="22">
        <v>1</v>
      </c>
      <c r="M167" s="20"/>
      <c r="N167" s="20"/>
      <c r="O167" s="20"/>
      <c r="P167" s="128">
        <f>(P155-R143)/P155</f>
        <v>0.66224885371666198</v>
      </c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137"/>
      <c r="AD167" s="20"/>
      <c r="AE167" s="20"/>
    </row>
    <row r="168" spans="2:31" x14ac:dyDescent="0.2">
      <c r="B168" s="20" t="s">
        <v>350</v>
      </c>
      <c r="C168" s="20" t="s">
        <v>315</v>
      </c>
      <c r="D168" s="20"/>
      <c r="E168" s="20"/>
      <c r="F168" s="20"/>
      <c r="G168" s="20"/>
      <c r="H168" s="20"/>
      <c r="I168" s="20"/>
      <c r="J168" s="20"/>
      <c r="K168" s="172">
        <f>L167</f>
        <v>1</v>
      </c>
      <c r="L168" s="20"/>
      <c r="M168" s="128">
        <f>(P155-(K168*R134))/P155</f>
        <v>-0.55405319656504992</v>
      </c>
      <c r="N168" s="20"/>
      <c r="O168" s="20"/>
      <c r="P168" s="128">
        <f>(P155-R134)/P155</f>
        <v>-0.55405319656504992</v>
      </c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137"/>
      <c r="AD168" s="20"/>
      <c r="AE168" s="20"/>
    </row>
    <row r="169" spans="2:31" x14ac:dyDescent="0.2">
      <c r="B169" s="20" t="s">
        <v>351</v>
      </c>
      <c r="C169" s="20" t="s">
        <v>315</v>
      </c>
      <c r="D169" s="20"/>
      <c r="E169" s="20"/>
      <c r="F169" s="20"/>
      <c r="G169" s="20"/>
      <c r="H169" s="20"/>
      <c r="I169" s="20"/>
      <c r="J169" s="20"/>
      <c r="K169" s="172">
        <f>L167</f>
        <v>1</v>
      </c>
      <c r="L169" s="20"/>
      <c r="M169" s="128">
        <f>(P155-(K168*R127))/P155</f>
        <v>9.6239014083949054E-2</v>
      </c>
      <c r="N169" s="20"/>
      <c r="O169" s="20"/>
      <c r="P169" s="128">
        <f>(P155-R127)/P155</f>
        <v>9.6239014083949054E-2</v>
      </c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137"/>
      <c r="AD169" s="20"/>
      <c r="AE169" s="20"/>
    </row>
    <row r="170" spans="2:31" x14ac:dyDescent="0.2">
      <c r="B170" s="20" t="s">
        <v>354</v>
      </c>
      <c r="C170" s="20" t="s">
        <v>315</v>
      </c>
      <c r="D170" s="20"/>
      <c r="E170" s="20"/>
      <c r="F170" s="20"/>
      <c r="G170" s="20"/>
      <c r="H170" s="20"/>
      <c r="I170" s="20"/>
      <c r="J170" s="20"/>
      <c r="K170" s="172">
        <f>L167</f>
        <v>1</v>
      </c>
      <c r="L170" s="20"/>
      <c r="M170" s="128">
        <f>(P155-(K168*R140))/P155</f>
        <v>3.4081851876030481E-2</v>
      </c>
      <c r="N170" s="20"/>
      <c r="O170" s="20"/>
      <c r="P170" s="128">
        <f>(P155-R140)/P155</f>
        <v>3.4081851876030481E-2</v>
      </c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137"/>
      <c r="AD170" s="20"/>
      <c r="AE170" s="20"/>
    </row>
    <row r="171" spans="2:31" x14ac:dyDescent="0.2">
      <c r="B171" s="20" t="s">
        <v>400</v>
      </c>
      <c r="C171" s="20" t="s">
        <v>315</v>
      </c>
      <c r="D171" s="20"/>
      <c r="E171" s="20"/>
      <c r="F171" s="20"/>
      <c r="G171" s="20"/>
      <c r="H171" s="20"/>
      <c r="I171" s="20"/>
      <c r="J171" s="20"/>
      <c r="K171" s="172">
        <v>1</v>
      </c>
      <c r="L171" s="20"/>
      <c r="M171" s="128">
        <f>(P156-(K169*R141))/P156</f>
        <v>1</v>
      </c>
      <c r="N171" s="20"/>
      <c r="O171" s="20"/>
      <c r="P171" s="128">
        <f>(P155-R152)/P155</f>
        <v>4.4761001956288356E-2</v>
      </c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137"/>
      <c r="AD171" s="20"/>
      <c r="AE171" s="20"/>
    </row>
    <row r="172" spans="2:31" x14ac:dyDescent="0.2">
      <c r="B172" s="20" t="s">
        <v>301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5">
        <f>P155/R126</f>
        <v>5.047592743128658</v>
      </c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137"/>
      <c r="AD172" s="20"/>
      <c r="AE172" s="20"/>
    </row>
    <row r="173" spans="2:31" x14ac:dyDescent="0.2">
      <c r="B173" s="20" t="s">
        <v>372</v>
      </c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152">
        <f>1/P172</f>
        <v>0.19811423997336366</v>
      </c>
      <c r="Q173" s="20"/>
      <c r="R173" s="20"/>
      <c r="S173" s="185">
        <f>P155-S174</f>
        <v>84.53483077121507</v>
      </c>
      <c r="T173" s="185">
        <f>S173-T174</f>
        <v>15.796403080990885</v>
      </c>
      <c r="U173" s="185">
        <f t="shared" ref="U173:W173" si="284">T173-U174</f>
        <v>-56.378945993744509</v>
      </c>
      <c r="V173" s="185">
        <f t="shared" si="284"/>
        <v>-132.16306252221668</v>
      </c>
      <c r="W173" s="185">
        <f t="shared" si="284"/>
        <v>-211.73638487711247</v>
      </c>
      <c r="X173" s="185">
        <f>W173-X174</f>
        <v>-295.28837334975304</v>
      </c>
      <c r="Y173" s="185">
        <f t="shared" ref="Y173:AB173" si="285">X173-Y174</f>
        <v>-383.01796124602566</v>
      </c>
      <c r="Z173" s="185">
        <f t="shared" si="285"/>
        <v>-475.13402853711193</v>
      </c>
      <c r="AA173" s="185">
        <f t="shared" si="285"/>
        <v>-571.85589919275253</v>
      </c>
      <c r="AB173" s="185">
        <f t="shared" si="285"/>
        <v>-673.41386338117513</v>
      </c>
      <c r="AC173" s="137"/>
      <c r="AD173" s="20"/>
      <c r="AE173" s="20"/>
    </row>
    <row r="174" spans="2:31" x14ac:dyDescent="0.2">
      <c r="B174" s="20" t="s">
        <v>397</v>
      </c>
      <c r="C174" s="20"/>
      <c r="D174" s="20"/>
      <c r="E174" s="20"/>
      <c r="F174" s="20"/>
      <c r="G174" s="20"/>
      <c r="H174" s="20"/>
      <c r="I174" s="20"/>
      <c r="J174" s="20"/>
      <c r="K174" s="184">
        <f>P1</f>
        <v>0.05</v>
      </c>
      <c r="L174" s="20"/>
      <c r="M174" s="181">
        <f>P155/(Q125*(1+K174)^L174)</f>
        <v>2.4058595105677587</v>
      </c>
      <c r="N174" s="20"/>
      <c r="O174" s="20"/>
      <c r="P174" s="181">
        <f>P155/Q125</f>
        <v>2.4058595105677587</v>
      </c>
      <c r="Q174" s="20"/>
      <c r="R174" s="20"/>
      <c r="S174" s="186">
        <f>Q125*(1+$K$174)</f>
        <v>65.46516922878493</v>
      </c>
      <c r="T174" s="186">
        <f>S174*(1+$K$174)</f>
        <v>68.738427690224185</v>
      </c>
      <c r="U174" s="186">
        <f t="shared" ref="U174:AB174" si="286">T174*(1+$K$174)</f>
        <v>72.175349074735394</v>
      </c>
      <c r="V174" s="186">
        <f t="shared" si="286"/>
        <v>75.784116528472168</v>
      </c>
      <c r="W174" s="186">
        <f t="shared" si="286"/>
        <v>79.57332235489578</v>
      </c>
      <c r="X174" s="186">
        <f t="shared" si="286"/>
        <v>83.551988472640573</v>
      </c>
      <c r="Y174" s="186">
        <f t="shared" si="286"/>
        <v>87.729587896272605</v>
      </c>
      <c r="Z174" s="186">
        <f t="shared" si="286"/>
        <v>92.116067291086239</v>
      </c>
      <c r="AA174" s="186">
        <f t="shared" si="286"/>
        <v>96.721870655640558</v>
      </c>
      <c r="AB174" s="186">
        <f t="shared" si="286"/>
        <v>101.55796418842259</v>
      </c>
      <c r="AC174" s="137"/>
      <c r="AD174" s="20"/>
      <c r="AE174" s="20"/>
    </row>
    <row r="175" spans="2:31" x14ac:dyDescent="0.2">
      <c r="B175" s="20" t="s">
        <v>396</v>
      </c>
      <c r="C175" s="20"/>
      <c r="D175" s="20"/>
      <c r="E175" s="20"/>
      <c r="F175" s="20"/>
      <c r="G175" s="20"/>
      <c r="H175" s="20"/>
      <c r="I175" s="20"/>
      <c r="J175" s="20"/>
      <c r="K175" s="184">
        <f>P1</f>
        <v>0.05</v>
      </c>
      <c r="L175" s="20"/>
      <c r="M175" s="181">
        <f>P155/(P47*(1+K175)^L175)</f>
        <v>5.4853505849307487</v>
      </c>
      <c r="N175" s="20"/>
      <c r="O175" s="20"/>
      <c r="P175" s="181">
        <f>P155/P47</f>
        <v>5.4853505849307487</v>
      </c>
      <c r="Q175" s="20"/>
      <c r="R175" s="20"/>
      <c r="S175" s="186">
        <f>P47*(1+$K$175)</f>
        <v>28.712841150514794</v>
      </c>
      <c r="T175" s="186">
        <f>S175*(1+$K$175)</f>
        <v>30.148483208040535</v>
      </c>
      <c r="U175" s="186">
        <f t="shared" ref="U175:AB175" si="287">T175*(1+$K$175)</f>
        <v>31.655907368442563</v>
      </c>
      <c r="V175" s="186">
        <f t="shared" si="287"/>
        <v>33.238702736864695</v>
      </c>
      <c r="W175" s="186">
        <f t="shared" si="287"/>
        <v>34.900637873707929</v>
      </c>
      <c r="X175" s="186">
        <f t="shared" si="287"/>
        <v>36.645669767393329</v>
      </c>
      <c r="Y175" s="186">
        <f t="shared" si="287"/>
        <v>38.477953255762998</v>
      </c>
      <c r="Z175" s="186">
        <f t="shared" si="287"/>
        <v>40.401850918551148</v>
      </c>
      <c r="AA175" s="186">
        <f t="shared" si="287"/>
        <v>42.421943464478709</v>
      </c>
      <c r="AB175" s="186">
        <f t="shared" si="287"/>
        <v>44.543040637702646</v>
      </c>
      <c r="AC175" s="137"/>
      <c r="AD175" s="20"/>
      <c r="AE175" s="20"/>
    </row>
    <row r="176" spans="2:31" x14ac:dyDescent="0.2"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185">
        <f>P155-S175</f>
        <v>121.28715884948521</v>
      </c>
      <c r="T176" s="185">
        <f>S176-T175</f>
        <v>91.138675641444678</v>
      </c>
      <c r="U176" s="185">
        <f t="shared" ref="U176:Z176" si="288">T176-U175</f>
        <v>59.482768273002115</v>
      </c>
      <c r="V176" s="185">
        <f t="shared" si="288"/>
        <v>26.24406553613742</v>
      </c>
      <c r="W176" s="185">
        <f t="shared" si="288"/>
        <v>-8.656572337570509</v>
      </c>
      <c r="X176" s="185">
        <f t="shared" si="288"/>
        <v>-45.302242104963838</v>
      </c>
      <c r="Y176" s="185">
        <f t="shared" si="288"/>
        <v>-83.780195360726836</v>
      </c>
      <c r="Z176" s="185">
        <f t="shared" si="288"/>
        <v>-124.18204627927798</v>
      </c>
      <c r="AA176" s="185">
        <f>Z176-AA175</f>
        <v>-166.6039897437567</v>
      </c>
      <c r="AB176" s="185">
        <f t="shared" ref="AB176" si="289">AA176-AB175</f>
        <v>-211.14703038145933</v>
      </c>
      <c r="AC176" s="20"/>
      <c r="AD176" s="20"/>
      <c r="AE176" s="20"/>
    </row>
    <row r="177" spans="2:31" x14ac:dyDescent="0.2">
      <c r="B177" s="108" t="s">
        <v>303</v>
      </c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</row>
    <row r="178" spans="2:31" x14ac:dyDescent="0.2">
      <c r="B178" s="20" t="s">
        <v>306</v>
      </c>
      <c r="C178" s="25" t="e">
        <f t="shared" ref="C178:P178" si="290">C10/C7</f>
        <v>#DIV/0!</v>
      </c>
      <c r="D178" s="25" t="e">
        <f t="shared" si="290"/>
        <v>#DIV/0!</v>
      </c>
      <c r="E178" s="25" t="e">
        <f t="shared" si="290"/>
        <v>#DIV/0!</v>
      </c>
      <c r="F178" s="25">
        <f t="shared" si="290"/>
        <v>0.11055590256089944</v>
      </c>
      <c r="G178" s="25">
        <f t="shared" si="290"/>
        <v>0.10198300283286119</v>
      </c>
      <c r="H178" s="25">
        <f t="shared" si="290"/>
        <v>8.8947892465980755E-2</v>
      </c>
      <c r="I178" s="25">
        <f t="shared" si="290"/>
        <v>7.6427886590877958E-2</v>
      </c>
      <c r="J178" s="25">
        <f t="shared" si="290"/>
        <v>1.0127446517979062E-2</v>
      </c>
      <c r="K178" s="25">
        <f t="shared" si="290"/>
        <v>8.8175236680898463E-3</v>
      </c>
      <c r="L178" s="25">
        <f t="shared" si="290"/>
        <v>1.2922955967542487E-2</v>
      </c>
      <c r="M178" s="25">
        <f t="shared" si="290"/>
        <v>9.3105300837066987E-3</v>
      </c>
      <c r="N178" s="25">
        <f t="shared" si="290"/>
        <v>1.3396126435618215E-2</v>
      </c>
      <c r="O178" s="25">
        <f t="shared" si="290"/>
        <v>1.4525809095439683E-2</v>
      </c>
      <c r="P178" s="25">
        <f t="shared" si="290"/>
        <v>4.038293370714021E-2</v>
      </c>
      <c r="Q178" s="118">
        <f t="shared" ref="Q178:Q180" si="291">((P178/G178)^(1/($H$2-$H$1) ))-1</f>
        <v>-9.7812772225557176E-2</v>
      </c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</row>
    <row r="179" spans="2:31" x14ac:dyDescent="0.2">
      <c r="B179" s="20" t="s">
        <v>307</v>
      </c>
      <c r="C179" s="112" t="e">
        <f>C10/C12</f>
        <v>#DIV/0!</v>
      </c>
      <c r="D179" s="112" t="e">
        <f>D10/D12</f>
        <v>#DIV/0!</v>
      </c>
      <c r="E179" s="112" t="e">
        <f>E10/E12</f>
        <v>#DIV/0!</v>
      </c>
      <c r="F179" s="112">
        <f>F10/F12</f>
        <v>0.40227272727272728</v>
      </c>
      <c r="G179" s="112">
        <f>G10/G12</f>
        <v>0.20308386611508086</v>
      </c>
      <c r="H179" s="112">
        <f t="shared" ref="H179:P179" si="292">H10/H12</f>
        <v>0.16871262197041234</v>
      </c>
      <c r="I179" s="112">
        <f t="shared" si="292"/>
        <v>0.13501088797483668</v>
      </c>
      <c r="J179" s="112">
        <f t="shared" si="292"/>
        <v>1.5323691460055097E-2</v>
      </c>
      <c r="K179" s="112">
        <f t="shared" si="292"/>
        <v>1.1328404483663249E-2</v>
      </c>
      <c r="L179" s="112">
        <f t="shared" si="292"/>
        <v>1.6168070481169524E-2</v>
      </c>
      <c r="M179" s="112">
        <f t="shared" si="292"/>
        <v>1.5016233766233766E-2</v>
      </c>
      <c r="N179" s="112">
        <f t="shared" si="292"/>
        <v>2.7820710973724884E-2</v>
      </c>
      <c r="O179" s="112">
        <f t="shared" si="292"/>
        <v>5.4796554796554799E-2</v>
      </c>
      <c r="P179" s="112">
        <f t="shared" si="292"/>
        <v>0.15716816866579139</v>
      </c>
      <c r="Q179" s="118">
        <f t="shared" si="291"/>
        <v>-2.8076394741233801E-2</v>
      </c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</row>
    <row r="180" spans="2:31" x14ac:dyDescent="0.2">
      <c r="B180" s="20" t="s">
        <v>308</v>
      </c>
      <c r="C180" s="25" t="e">
        <f>C10/(C12+C13)</f>
        <v>#DIV/0!</v>
      </c>
      <c r="D180" s="25" t="e">
        <f>D10/(D12+D13)</f>
        <v>#DIV/0!</v>
      </c>
      <c r="E180" s="25" t="e">
        <f>E10/(E12+E13)</f>
        <v>#DIV/0!</v>
      </c>
      <c r="F180" s="25">
        <f>F10/(F12+F13)</f>
        <v>0.39914908331015614</v>
      </c>
      <c r="G180" s="25">
        <f>G10/(G12+G13)</f>
        <v>0.20089285714285715</v>
      </c>
      <c r="H180" s="25">
        <f t="shared" ref="H180:P180" si="293">H10/(H12+H13)</f>
        <v>0.16823603264281231</v>
      </c>
      <c r="I180" s="25">
        <f t="shared" si="293"/>
        <v>0.13475006037189086</v>
      </c>
      <c r="J180" s="25">
        <f t="shared" si="293"/>
        <v>1.5302613480055021E-2</v>
      </c>
      <c r="K180" s="25">
        <f t="shared" si="293"/>
        <v>1.1317216822387599E-2</v>
      </c>
      <c r="L180" s="25">
        <f t="shared" si="293"/>
        <v>1.6158777893243693E-2</v>
      </c>
      <c r="M180" s="25">
        <f t="shared" si="293"/>
        <v>1.5007189254852492E-2</v>
      </c>
      <c r="N180" s="25">
        <f t="shared" si="293"/>
        <v>2.7803693566225307E-2</v>
      </c>
      <c r="O180" s="25">
        <f t="shared" si="293"/>
        <v>5.4748261853963094E-2</v>
      </c>
      <c r="P180" s="25">
        <f t="shared" si="293"/>
        <v>0.15704925716847704</v>
      </c>
      <c r="Q180" s="118">
        <f t="shared" si="291"/>
        <v>-2.6986102181022265E-2</v>
      </c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</row>
    <row r="181" spans="2:31" x14ac:dyDescent="0.2"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</row>
    <row r="182" spans="2:31" x14ac:dyDescent="0.2"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</row>
    <row r="183" spans="2:31" x14ac:dyDescent="0.2">
      <c r="B183" s="20"/>
      <c r="C183" s="174" t="s">
        <v>378</v>
      </c>
      <c r="D183" s="175"/>
      <c r="E183" s="175"/>
      <c r="F183" s="175"/>
      <c r="G183" s="175"/>
      <c r="H183" s="175"/>
      <c r="I183" s="175"/>
      <c r="J183" s="175"/>
      <c r="K183" s="20"/>
      <c r="L183" s="194" t="s">
        <v>338</v>
      </c>
      <c r="M183" s="195"/>
      <c r="N183" s="196"/>
      <c r="O183" s="23" t="s">
        <v>341</v>
      </c>
      <c r="P183" s="20"/>
      <c r="Q183" s="194" t="s">
        <v>339</v>
      </c>
      <c r="R183" s="195"/>
      <c r="S183" s="196"/>
      <c r="T183" s="23" t="s">
        <v>341</v>
      </c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</row>
    <row r="184" spans="2:31" x14ac:dyDescent="0.2">
      <c r="B184" s="20"/>
      <c r="C184" s="166" t="s">
        <v>340</v>
      </c>
      <c r="D184" s="166" t="s">
        <v>0</v>
      </c>
      <c r="E184" s="166" t="s">
        <v>379</v>
      </c>
      <c r="F184" s="166" t="s">
        <v>380</v>
      </c>
      <c r="G184" s="166" t="s">
        <v>381</v>
      </c>
      <c r="H184" s="166" t="s">
        <v>382</v>
      </c>
      <c r="I184" s="166" t="s">
        <v>383</v>
      </c>
      <c r="J184" s="166" t="s">
        <v>384</v>
      </c>
      <c r="K184" s="20"/>
      <c r="L184" s="166" t="s">
        <v>340</v>
      </c>
      <c r="M184" s="166"/>
      <c r="N184" s="166" t="s">
        <v>0</v>
      </c>
      <c r="O184" s="166" t="s">
        <v>373</v>
      </c>
      <c r="P184" s="20"/>
      <c r="Q184" s="166" t="s">
        <v>340</v>
      </c>
      <c r="R184" s="166"/>
      <c r="S184" s="166" t="s">
        <v>0</v>
      </c>
      <c r="T184" s="166" t="s">
        <v>373</v>
      </c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</row>
    <row r="185" spans="2:31" x14ac:dyDescent="0.2">
      <c r="B185" s="20"/>
      <c r="C185" s="167" t="s">
        <v>342</v>
      </c>
      <c r="D185" s="21">
        <v>200</v>
      </c>
      <c r="E185" s="176" t="s">
        <v>385</v>
      </c>
      <c r="F185" s="22">
        <v>1</v>
      </c>
      <c r="G185" s="22">
        <v>1</v>
      </c>
      <c r="H185" s="167">
        <f>F185/G185</f>
        <v>1</v>
      </c>
      <c r="I185" s="167">
        <f>H185*D186</f>
        <v>1</v>
      </c>
      <c r="J185" s="177">
        <f>I185+D186</f>
        <v>2</v>
      </c>
      <c r="K185" s="20"/>
      <c r="L185" s="167" t="s">
        <v>342</v>
      </c>
      <c r="M185" s="167"/>
      <c r="N185" s="21">
        <v>50</v>
      </c>
      <c r="O185" s="173">
        <f>N185</f>
        <v>50</v>
      </c>
      <c r="P185" s="20"/>
      <c r="Q185" s="167" t="s">
        <v>342</v>
      </c>
      <c r="R185" s="167"/>
      <c r="S185" s="21">
        <v>200</v>
      </c>
      <c r="T185" s="173">
        <f>S185</f>
        <v>200</v>
      </c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</row>
    <row r="186" spans="2:31" x14ac:dyDescent="0.2">
      <c r="B186" s="20"/>
      <c r="C186" s="167" t="s">
        <v>343</v>
      </c>
      <c r="D186" s="21">
        <v>1</v>
      </c>
      <c r="E186" s="176" t="s">
        <v>386</v>
      </c>
      <c r="F186" s="22">
        <v>0</v>
      </c>
      <c r="G186" s="22">
        <v>1</v>
      </c>
      <c r="H186" s="167">
        <f>F186/G186</f>
        <v>0</v>
      </c>
      <c r="I186" s="167">
        <f>H186*J185</f>
        <v>0</v>
      </c>
      <c r="J186" s="167">
        <f>I186+J185</f>
        <v>2</v>
      </c>
      <c r="K186" s="20"/>
      <c r="L186" s="167" t="s">
        <v>343</v>
      </c>
      <c r="M186" s="167"/>
      <c r="N186" s="21">
        <v>1</v>
      </c>
      <c r="O186" s="173">
        <f>N186</f>
        <v>1</v>
      </c>
      <c r="P186" s="20"/>
      <c r="Q186" s="167" t="s">
        <v>343</v>
      </c>
      <c r="R186" s="167"/>
      <c r="S186" s="21">
        <v>1</v>
      </c>
      <c r="T186" s="173">
        <f>S186</f>
        <v>1</v>
      </c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</row>
    <row r="187" spans="2:31" x14ac:dyDescent="0.2">
      <c r="B187" s="20"/>
      <c r="C187" s="167" t="s">
        <v>345</v>
      </c>
      <c r="D187" s="168">
        <f>D185*D186</f>
        <v>200</v>
      </c>
      <c r="E187" s="176" t="s">
        <v>398</v>
      </c>
      <c r="F187" s="22">
        <v>0</v>
      </c>
      <c r="G187" s="22">
        <v>2</v>
      </c>
      <c r="H187" s="167">
        <f>F187/G187</f>
        <v>0</v>
      </c>
      <c r="I187" s="167">
        <f>H187*J186</f>
        <v>0</v>
      </c>
      <c r="J187" s="167">
        <f>I187+J186</f>
        <v>2</v>
      </c>
      <c r="K187" s="20"/>
      <c r="L187" s="167" t="s">
        <v>344</v>
      </c>
      <c r="M187" s="167"/>
      <c r="N187" s="168">
        <f>N185*N186</f>
        <v>50</v>
      </c>
      <c r="O187" s="173">
        <f>N187</f>
        <v>50</v>
      </c>
      <c r="P187" s="20"/>
      <c r="Q187" s="167" t="s">
        <v>345</v>
      </c>
      <c r="R187" s="167"/>
      <c r="S187" s="168">
        <f>S185*S186</f>
        <v>200</v>
      </c>
      <c r="T187" s="173">
        <f>S187</f>
        <v>200</v>
      </c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</row>
    <row r="188" spans="2:31" x14ac:dyDescent="0.2">
      <c r="B188" s="20"/>
      <c r="C188" s="167"/>
      <c r="D188" s="168"/>
      <c r="E188" s="176" t="s">
        <v>387</v>
      </c>
      <c r="F188" s="22">
        <v>10</v>
      </c>
      <c r="G188" s="22">
        <v>2</v>
      </c>
      <c r="H188" s="167">
        <f>F188/G188</f>
        <v>5</v>
      </c>
      <c r="I188" s="167">
        <f>H188*J187</f>
        <v>10</v>
      </c>
      <c r="J188" s="167">
        <f>I188</f>
        <v>10</v>
      </c>
      <c r="K188" s="20"/>
      <c r="L188" s="167" t="s">
        <v>346</v>
      </c>
      <c r="M188" s="167"/>
      <c r="N188" s="21">
        <v>135</v>
      </c>
      <c r="O188" s="21">
        <v>585</v>
      </c>
      <c r="P188" s="20"/>
      <c r="Q188" s="167" t="s">
        <v>346</v>
      </c>
      <c r="R188" s="167"/>
      <c r="S188" s="21">
        <v>150</v>
      </c>
      <c r="T188" s="21">
        <v>165</v>
      </c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</row>
    <row r="189" spans="2:31" x14ac:dyDescent="0.2">
      <c r="B189" s="20"/>
      <c r="C189" s="167" t="s">
        <v>346</v>
      </c>
      <c r="D189" s="21">
        <v>130</v>
      </c>
      <c r="E189" s="176"/>
      <c r="F189" s="167"/>
      <c r="G189" s="167"/>
      <c r="H189" s="169" t="s">
        <v>388</v>
      </c>
      <c r="I189" s="167"/>
      <c r="J189" s="167">
        <f>J188</f>
        <v>10</v>
      </c>
      <c r="K189" s="20"/>
      <c r="L189" s="167" t="s">
        <v>347</v>
      </c>
      <c r="M189" s="167"/>
      <c r="N189" s="168">
        <f>N188*N186</f>
        <v>135</v>
      </c>
      <c r="O189" s="168">
        <f>O188*O186</f>
        <v>585</v>
      </c>
      <c r="P189" s="20"/>
      <c r="Q189" s="167" t="s">
        <v>343</v>
      </c>
      <c r="R189" s="167"/>
      <c r="S189" s="21">
        <v>10</v>
      </c>
      <c r="T189" s="127">
        <f>S189</f>
        <v>10</v>
      </c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</row>
    <row r="190" spans="2:31" x14ac:dyDescent="0.2">
      <c r="B190" s="20"/>
      <c r="C190" s="167" t="s">
        <v>343</v>
      </c>
      <c r="D190" s="21">
        <v>10</v>
      </c>
      <c r="E190" s="176" t="s">
        <v>387</v>
      </c>
      <c r="F190" s="22">
        <v>10</v>
      </c>
      <c r="G190" s="22">
        <v>2</v>
      </c>
      <c r="H190" s="167">
        <f>F190/G190</f>
        <v>5</v>
      </c>
      <c r="I190" s="177">
        <f>H190*D186</f>
        <v>5</v>
      </c>
      <c r="J190" s="177">
        <f>I190</f>
        <v>5</v>
      </c>
      <c r="K190" s="20"/>
      <c r="L190" s="167"/>
      <c r="M190" s="167"/>
      <c r="N190" s="168"/>
      <c r="O190" s="168"/>
      <c r="P190" s="20"/>
      <c r="Q190" s="167" t="s">
        <v>345</v>
      </c>
      <c r="R190" s="167"/>
      <c r="S190" s="168">
        <f>S189*S188</f>
        <v>1500</v>
      </c>
      <c r="T190" s="168">
        <f>T189*T188</f>
        <v>1650</v>
      </c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</row>
    <row r="191" spans="2:31" x14ac:dyDescent="0.2">
      <c r="B191" s="20"/>
      <c r="C191" s="167" t="s">
        <v>345</v>
      </c>
      <c r="D191" s="168">
        <f>D190*D189</f>
        <v>1300</v>
      </c>
      <c r="E191" s="167"/>
      <c r="F191" s="167"/>
      <c r="G191" s="167"/>
      <c r="H191" s="169" t="s">
        <v>388</v>
      </c>
      <c r="I191" s="167"/>
      <c r="J191" s="167">
        <f>J190</f>
        <v>5</v>
      </c>
      <c r="K191" s="20"/>
      <c r="L191" s="167"/>
      <c r="M191" s="167"/>
      <c r="N191" s="168"/>
      <c r="O191" s="168"/>
      <c r="P191" s="20"/>
      <c r="Q191" s="167"/>
      <c r="R191" s="167"/>
      <c r="S191" s="168"/>
      <c r="T191" s="168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</row>
    <row r="192" spans="2:31" x14ac:dyDescent="0.2">
      <c r="B192" s="20"/>
      <c r="C192" s="167"/>
      <c r="D192" s="168"/>
      <c r="E192" s="176" t="s">
        <v>387</v>
      </c>
      <c r="F192" s="22">
        <v>10</v>
      </c>
      <c r="G192" s="22">
        <v>2</v>
      </c>
      <c r="H192" s="167">
        <f>F192/G192</f>
        <v>5</v>
      </c>
      <c r="I192" s="167">
        <f>H192*J191</f>
        <v>25</v>
      </c>
      <c r="J192" s="167">
        <f>I192</f>
        <v>25</v>
      </c>
      <c r="K192" s="20"/>
      <c r="L192" s="169" t="s">
        <v>348</v>
      </c>
      <c r="M192" s="169"/>
      <c r="N192" s="170">
        <f>N189/N187</f>
        <v>2.7</v>
      </c>
      <c r="O192" s="170">
        <f>O189/O187</f>
        <v>11.7</v>
      </c>
      <c r="P192" s="20"/>
      <c r="Q192" s="169" t="s">
        <v>348</v>
      </c>
      <c r="R192" s="169"/>
      <c r="S192" s="170">
        <f>S190/S187</f>
        <v>7.5</v>
      </c>
      <c r="T192" s="170">
        <f>T190/T187</f>
        <v>8.25</v>
      </c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</row>
    <row r="193" spans="2:31" x14ac:dyDescent="0.2">
      <c r="B193" s="20"/>
      <c r="C193" s="169" t="s">
        <v>348</v>
      </c>
      <c r="D193" s="170">
        <f>D191/D187</f>
        <v>6.5</v>
      </c>
      <c r="E193" s="176"/>
      <c r="F193" s="167"/>
      <c r="G193" s="167"/>
      <c r="H193" s="169" t="s">
        <v>388</v>
      </c>
      <c r="I193" s="167"/>
      <c r="J193" s="167">
        <f>J192</f>
        <v>25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</row>
    <row r="194" spans="2:31" x14ac:dyDescent="0.2"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</row>
    <row r="195" spans="2:31" x14ac:dyDescent="0.2">
      <c r="B195" s="20"/>
      <c r="C195" s="20"/>
      <c r="D195" s="137"/>
      <c r="E195" s="178"/>
      <c r="F195" s="178"/>
      <c r="G195" s="179"/>
      <c r="H195" s="20"/>
      <c r="I195" s="137"/>
      <c r="J195" s="178"/>
      <c r="K195" s="179"/>
      <c r="L195" s="20"/>
      <c r="M195" s="20">
        <v>8</v>
      </c>
      <c r="N195" s="20">
        <v>12</v>
      </c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</row>
    <row r="196" spans="2:31" ht="14.25" x14ac:dyDescent="0.2">
      <c r="B196" s="20"/>
      <c r="C196" s="20"/>
      <c r="D196" s="187" t="s">
        <v>27</v>
      </c>
      <c r="E196" s="188"/>
      <c r="F196" s="188"/>
      <c r="G196" s="189"/>
      <c r="H196" s="20"/>
      <c r="I196" s="187" t="s">
        <v>393</v>
      </c>
      <c r="J196" s="188"/>
      <c r="K196" s="189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</row>
    <row r="197" spans="2:31" x14ac:dyDescent="0.2">
      <c r="B197" s="20"/>
      <c r="C197" s="20"/>
      <c r="D197" s="20" t="s">
        <v>28</v>
      </c>
      <c r="E197" s="127"/>
      <c r="F197" s="127"/>
      <c r="G197" s="21">
        <f>D187</f>
        <v>200</v>
      </c>
      <c r="H197" s="20"/>
      <c r="I197" s="20" t="s">
        <v>28</v>
      </c>
      <c r="J197" s="127"/>
      <c r="K197" s="21">
        <f>G197</f>
        <v>200</v>
      </c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</row>
    <row r="198" spans="2:31" x14ac:dyDescent="0.2">
      <c r="B198" s="20"/>
      <c r="C198" s="20"/>
      <c r="D198" s="20" t="s">
        <v>29</v>
      </c>
      <c r="E198" s="127"/>
      <c r="F198" s="127"/>
      <c r="G198" s="21">
        <f>D191</f>
        <v>1300</v>
      </c>
      <c r="H198" s="20"/>
      <c r="I198" s="20" t="s">
        <v>29</v>
      </c>
      <c r="J198" s="20"/>
      <c r="K198" s="21">
        <f>G198</f>
        <v>1300</v>
      </c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</row>
    <row r="199" spans="2:31" x14ac:dyDescent="0.2">
      <c r="B199" s="20"/>
      <c r="C199" s="20"/>
      <c r="D199" s="20" t="s">
        <v>30</v>
      </c>
      <c r="E199" s="20"/>
      <c r="F199" s="20"/>
      <c r="G199" s="22">
        <v>10</v>
      </c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</row>
    <row r="200" spans="2:31" x14ac:dyDescent="0.2">
      <c r="B200" s="20"/>
      <c r="C200" s="20"/>
      <c r="D200" s="23" t="s">
        <v>31</v>
      </c>
      <c r="E200" s="3"/>
      <c r="F200" s="3"/>
      <c r="G200" s="3">
        <f>((G198/G197)^(1/G199))-1</f>
        <v>0.2058445799940376</v>
      </c>
      <c r="H200" s="20"/>
      <c r="I200" s="23" t="s">
        <v>394</v>
      </c>
      <c r="J200" s="23"/>
      <c r="K200" s="23">
        <f>(K198-K197)/K197</f>
        <v>5.5</v>
      </c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</row>
    <row r="201" spans="2:31" x14ac:dyDescent="0.2">
      <c r="B201" s="20"/>
      <c r="C201" s="20"/>
      <c r="D201" s="23" t="s">
        <v>32</v>
      </c>
      <c r="E201" s="165"/>
      <c r="F201" s="165"/>
      <c r="G201" s="24">
        <f>G199*12</f>
        <v>120</v>
      </c>
      <c r="H201" s="20"/>
      <c r="I201" s="23" t="s">
        <v>395</v>
      </c>
      <c r="J201" s="23"/>
      <c r="K201" s="23">
        <f>K198/K197</f>
        <v>6.5</v>
      </c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</row>
    <row r="202" spans="2:31" x14ac:dyDescent="0.2">
      <c r="B202" s="20"/>
      <c r="C202" s="20"/>
      <c r="D202" s="20" t="s">
        <v>30</v>
      </c>
      <c r="E202" s="25"/>
      <c r="F202" s="25"/>
      <c r="G202" s="25">
        <f>G201/12</f>
        <v>10</v>
      </c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</row>
    <row r="203" spans="2:31" x14ac:dyDescent="0.2">
      <c r="B203" s="20"/>
      <c r="C203" s="20"/>
      <c r="D203" s="23" t="s">
        <v>33</v>
      </c>
      <c r="E203" s="3"/>
      <c r="F203" s="3"/>
      <c r="G203" s="3">
        <f>((G198/G197)^(1/G202))-1</f>
        <v>0.2058445799940376</v>
      </c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</row>
    <row r="204" spans="2:31" x14ac:dyDescent="0.2"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</row>
    <row r="205" spans="2:31" x14ac:dyDescent="0.2">
      <c r="C205" s="20"/>
      <c r="D205" s="20"/>
      <c r="E205" s="20"/>
      <c r="F205" s="20"/>
      <c r="G205" s="20"/>
      <c r="H205" s="20"/>
      <c r="I205" s="20"/>
      <c r="J205" s="20"/>
      <c r="K205" s="20"/>
    </row>
  </sheetData>
  <mergeCells count="7">
    <mergeCell ref="D196:G196"/>
    <mergeCell ref="I196:K196"/>
    <mergeCell ref="AD2:AE2"/>
    <mergeCell ref="AD3:AE3"/>
    <mergeCell ref="L183:N183"/>
    <mergeCell ref="Q183:S183"/>
    <mergeCell ref="K166:L166"/>
  </mergeCells>
  <pageMargins left="0.7" right="0.7" top="0.75" bottom="0.75" header="0.3" footer="0.3"/>
  <pageSetup orientation="portrait" r:id="rId1"/>
  <ignoredErrors>
    <ignoredError sqref="C157" evalError="1"/>
    <ignoredError sqref="T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199" t="s">
        <v>27</v>
      </c>
      <c r="K5" s="199"/>
      <c r="M5" s="199" t="s">
        <v>65</v>
      </c>
      <c r="N5" s="199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199" t="s">
        <v>36</v>
      </c>
      <c r="K14" s="199"/>
      <c r="L14" s="199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199" t="s">
        <v>27</v>
      </c>
      <c r="S5" s="199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199" t="s">
        <v>36</v>
      </c>
      <c r="S14" s="199"/>
      <c r="T14" s="199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199" t="s">
        <v>27</v>
      </c>
      <c r="C2" s="199"/>
      <c r="E2" s="199" t="s">
        <v>65</v>
      </c>
      <c r="F2" s="199"/>
      <c r="H2" s="203" t="s">
        <v>36</v>
      </c>
      <c r="I2" s="204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00" t="s">
        <v>68</v>
      </c>
      <c r="E10" s="201"/>
      <c r="F10" s="201"/>
      <c r="G10" s="201"/>
      <c r="H10" s="202"/>
      <c r="I10" s="200" t="s">
        <v>72</v>
      </c>
      <c r="J10" s="201"/>
      <c r="K10" s="201"/>
      <c r="L10" s="202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2014-02-21T11:44:34Z</dcterms:modified>
</cp:coreProperties>
</file>
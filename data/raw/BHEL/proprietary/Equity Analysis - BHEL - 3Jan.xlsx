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C9" i="15"/>
  <c r="P26" i="18" l="1"/>
  <c r="P24"/>
  <c r="P17"/>
  <c r="P15"/>
  <c r="P12"/>
  <c r="O12"/>
  <c r="N12"/>
  <c r="M12"/>
  <c r="L12"/>
  <c r="K12"/>
  <c r="J12"/>
  <c r="I12"/>
  <c r="H12"/>
  <c r="G12"/>
  <c r="F12"/>
  <c r="H86" l="1"/>
  <c r="I86"/>
  <c r="J86"/>
  <c r="K86"/>
  <c r="L86"/>
  <c r="M86"/>
  <c r="N86"/>
  <c r="O86"/>
  <c r="P86"/>
  <c r="G86"/>
  <c r="H83"/>
  <c r="I83"/>
  <c r="J83"/>
  <c r="K83"/>
  <c r="L83"/>
  <c r="M83"/>
  <c r="N83"/>
  <c r="O83"/>
  <c r="P83"/>
  <c r="G83"/>
  <c r="H84"/>
  <c r="I84"/>
  <c r="J84"/>
  <c r="K84"/>
  <c r="L84"/>
  <c r="M84"/>
  <c r="N84"/>
  <c r="O84"/>
  <c r="P84"/>
  <c r="G84"/>
  <c r="H115"/>
  <c r="P115"/>
  <c r="H114"/>
  <c r="I114"/>
  <c r="I115" s="1"/>
  <c r="J114"/>
  <c r="J115" s="1"/>
  <c r="K114"/>
  <c r="K115" s="1"/>
  <c r="L114"/>
  <c r="L115" s="1"/>
  <c r="M114"/>
  <c r="M115" s="1"/>
  <c r="N114"/>
  <c r="N115" s="1"/>
  <c r="O114"/>
  <c r="O115" s="1"/>
  <c r="P114"/>
  <c r="G114"/>
  <c r="G115" s="1"/>
  <c r="Q86" l="1"/>
  <c r="Q83"/>
  <c r="Q115"/>
  <c r="Q114"/>
  <c r="Q84"/>
  <c r="P80"/>
  <c r="P79"/>
  <c r="C80"/>
  <c r="D80"/>
  <c r="E80"/>
  <c r="F80"/>
  <c r="H80"/>
  <c r="I80"/>
  <c r="J80"/>
  <c r="K80"/>
  <c r="L80"/>
  <c r="M80"/>
  <c r="N80"/>
  <c r="O80"/>
  <c r="G80"/>
  <c r="G79"/>
  <c r="H112"/>
  <c r="I112"/>
  <c r="J112"/>
  <c r="K112"/>
  <c r="L112"/>
  <c r="M112"/>
  <c r="N112"/>
  <c r="O112"/>
  <c r="P112"/>
  <c r="G112"/>
  <c r="H111"/>
  <c r="I111"/>
  <c r="J111"/>
  <c r="K111"/>
  <c r="L111"/>
  <c r="M111"/>
  <c r="N111"/>
  <c r="O111"/>
  <c r="P111"/>
  <c r="G111"/>
  <c r="H108"/>
  <c r="I108"/>
  <c r="J108"/>
  <c r="K108"/>
  <c r="L108"/>
  <c r="M108"/>
  <c r="N108"/>
  <c r="O108"/>
  <c r="P108"/>
  <c r="G108"/>
  <c r="H109"/>
  <c r="I109"/>
  <c r="J109"/>
  <c r="K109"/>
  <c r="L109"/>
  <c r="M109"/>
  <c r="N109"/>
  <c r="O109"/>
  <c r="P109"/>
  <c r="Q109" s="1"/>
  <c r="G109"/>
  <c r="H107"/>
  <c r="I107"/>
  <c r="J107"/>
  <c r="K107"/>
  <c r="L107"/>
  <c r="M107"/>
  <c r="N107"/>
  <c r="O107"/>
  <c r="P107"/>
  <c r="G107"/>
  <c r="H106"/>
  <c r="I106"/>
  <c r="J106"/>
  <c r="K106"/>
  <c r="L106"/>
  <c r="M106"/>
  <c r="N106"/>
  <c r="O106"/>
  <c r="P106"/>
  <c r="G106"/>
  <c r="R150"/>
  <c r="H103"/>
  <c r="I103"/>
  <c r="J103"/>
  <c r="K103"/>
  <c r="L103"/>
  <c r="M103"/>
  <c r="N103"/>
  <c r="O103"/>
  <c r="P103"/>
  <c r="G103"/>
  <c r="H102"/>
  <c r="I102"/>
  <c r="J102"/>
  <c r="K102"/>
  <c r="L102"/>
  <c r="M102"/>
  <c r="N102"/>
  <c r="O102"/>
  <c r="P102"/>
  <c r="G102"/>
  <c r="H101"/>
  <c r="I101"/>
  <c r="J101"/>
  <c r="K101"/>
  <c r="L101"/>
  <c r="M101"/>
  <c r="N101"/>
  <c r="O101"/>
  <c r="P101"/>
  <c r="G101"/>
  <c r="B103"/>
  <c r="B102"/>
  <c r="K165"/>
  <c r="K164"/>
  <c r="K163"/>
  <c r="S39"/>
  <c r="AD31"/>
  <c r="R31"/>
  <c r="S31" s="1"/>
  <c r="T31" s="1"/>
  <c r="U31" s="1"/>
  <c r="V31" s="1"/>
  <c r="W31" s="1"/>
  <c r="X31" s="1"/>
  <c r="Y31" s="1"/>
  <c r="Z31" s="1"/>
  <c r="AA31" s="1"/>
  <c r="AB31" s="1"/>
  <c r="Q31"/>
  <c r="G91"/>
  <c r="H91"/>
  <c r="I91"/>
  <c r="J91"/>
  <c r="K91"/>
  <c r="L91"/>
  <c r="M91"/>
  <c r="N91"/>
  <c r="O91"/>
  <c r="P91"/>
  <c r="Q182"/>
  <c r="K181"/>
  <c r="Q179"/>
  <c r="K179"/>
  <c r="F99"/>
  <c r="H99"/>
  <c r="I99"/>
  <c r="J99"/>
  <c r="K99"/>
  <c r="L99"/>
  <c r="M99"/>
  <c r="N99"/>
  <c r="O99"/>
  <c r="P99"/>
  <c r="G99"/>
  <c r="F98"/>
  <c r="H98"/>
  <c r="I98"/>
  <c r="J98"/>
  <c r="K98"/>
  <c r="L98"/>
  <c r="M98"/>
  <c r="N98"/>
  <c r="O98"/>
  <c r="P98"/>
  <c r="G98"/>
  <c r="Q80" l="1"/>
  <c r="Q106"/>
  <c r="Q112"/>
  <c r="Q111"/>
  <c r="Q107"/>
  <c r="Q108"/>
  <c r="Q101"/>
  <c r="Q102"/>
  <c r="Q103"/>
  <c r="Q91"/>
  <c r="AC31"/>
  <c r="AE31"/>
  <c r="K184"/>
  <c r="Q184"/>
  <c r="Q99"/>
  <c r="Q98"/>
  <c r="R9"/>
  <c r="R10"/>
  <c r="R12"/>
  <c r="R13"/>
  <c r="R14"/>
  <c r="R15"/>
  <c r="R17"/>
  <c r="R19"/>
  <c r="R20"/>
  <c r="R21"/>
  <c r="R22"/>
  <c r="R24"/>
  <c r="R26"/>
  <c r="R28"/>
  <c r="R30"/>
  <c r="S30" s="1"/>
  <c r="T30" s="1"/>
  <c r="U30" s="1"/>
  <c r="V30" s="1"/>
  <c r="W30" s="1"/>
  <c r="X30" s="1"/>
  <c r="Y30" s="1"/>
  <c r="Z30" s="1"/>
  <c r="AA30" s="1"/>
  <c r="AB30" s="1"/>
  <c r="R32"/>
  <c r="R33"/>
  <c r="R35"/>
  <c r="R37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2"/>
  <c r="AD33"/>
  <c r="AD35"/>
  <c r="AD37"/>
  <c r="AD39"/>
  <c r="AD40"/>
  <c r="AD43"/>
  <c r="AD44"/>
  <c r="AD46"/>
  <c r="AD47"/>
  <c r="AD48"/>
  <c r="AD49"/>
  <c r="AD51"/>
  <c r="AD52"/>
  <c r="AD53"/>
  <c r="AD55"/>
  <c r="AD56"/>
  <c r="AD57"/>
  <c r="AD58"/>
  <c r="AD60"/>
  <c r="AD61"/>
  <c r="AD63"/>
  <c r="AD65"/>
  <c r="AD66"/>
  <c r="AD67"/>
  <c r="AD68"/>
  <c r="AD69"/>
  <c r="AD71"/>
  <c r="AD72"/>
  <c r="AD73"/>
  <c r="AD7"/>
  <c r="AD6"/>
  <c r="G88" l="1"/>
  <c r="F88"/>
  <c r="H88"/>
  <c r="I88"/>
  <c r="J88"/>
  <c r="K88"/>
  <c r="L88"/>
  <c r="M88"/>
  <c r="N88"/>
  <c r="O88"/>
  <c r="P88"/>
  <c r="Q88" l="1"/>
  <c r="H82"/>
  <c r="I82"/>
  <c r="J82"/>
  <c r="K82"/>
  <c r="L82"/>
  <c r="M82"/>
  <c r="N82"/>
  <c r="O82"/>
  <c r="P82"/>
  <c r="H85"/>
  <c r="I85"/>
  <c r="J85"/>
  <c r="K85"/>
  <c r="L85"/>
  <c r="M85"/>
  <c r="N85"/>
  <c r="O85"/>
  <c r="P85"/>
  <c r="G85"/>
  <c r="G82"/>
  <c r="S28"/>
  <c r="Q28"/>
  <c r="P29"/>
  <c r="O29"/>
  <c r="N29"/>
  <c r="M29"/>
  <c r="L29"/>
  <c r="K29"/>
  <c r="J29"/>
  <c r="I29"/>
  <c r="H29"/>
  <c r="G29"/>
  <c r="Q81"/>
  <c r="T28" l="1"/>
  <c r="Q85"/>
  <c r="Q82"/>
  <c r="H90"/>
  <c r="I90"/>
  <c r="J90"/>
  <c r="K90"/>
  <c r="L90"/>
  <c r="M90"/>
  <c r="N90"/>
  <c r="O90"/>
  <c r="P90"/>
  <c r="G90"/>
  <c r="H89"/>
  <c r="I89"/>
  <c r="J89"/>
  <c r="K89"/>
  <c r="L89"/>
  <c r="M89"/>
  <c r="N89"/>
  <c r="O89"/>
  <c r="P89"/>
  <c r="G89"/>
  <c r="U28" l="1"/>
  <c r="Q89"/>
  <c r="Q90"/>
  <c r="AE60"/>
  <c r="V28" l="1"/>
  <c r="C158"/>
  <c r="D158"/>
  <c r="E158"/>
  <c r="F158"/>
  <c r="G158"/>
  <c r="H158"/>
  <c r="I158"/>
  <c r="J158"/>
  <c r="K158"/>
  <c r="L158"/>
  <c r="M158"/>
  <c r="N158"/>
  <c r="O158"/>
  <c r="P158"/>
  <c r="D61"/>
  <c r="E61"/>
  <c r="E93" s="1"/>
  <c r="E94" s="1"/>
  <c r="F61"/>
  <c r="F93" s="1"/>
  <c r="F94" s="1"/>
  <c r="G61"/>
  <c r="G93" s="1"/>
  <c r="G94" s="1"/>
  <c r="H61"/>
  <c r="H93" s="1"/>
  <c r="H94" s="1"/>
  <c r="I61"/>
  <c r="I93" s="1"/>
  <c r="I94" s="1"/>
  <c r="J61"/>
  <c r="J93" s="1"/>
  <c r="J94" s="1"/>
  <c r="K61"/>
  <c r="K93" s="1"/>
  <c r="K94" s="1"/>
  <c r="L61"/>
  <c r="L93" s="1"/>
  <c r="L94" s="1"/>
  <c r="M61"/>
  <c r="M93" s="1"/>
  <c r="M94" s="1"/>
  <c r="N61"/>
  <c r="N93" s="1"/>
  <c r="N94" s="1"/>
  <c r="O61"/>
  <c r="O93" s="1"/>
  <c r="O94" s="1"/>
  <c r="P61"/>
  <c r="P93" s="1"/>
  <c r="C61"/>
  <c r="S40"/>
  <c r="S61" s="1"/>
  <c r="S93" s="1"/>
  <c r="S94" s="1"/>
  <c r="Q40"/>
  <c r="W28" l="1"/>
  <c r="Q158"/>
  <c r="N95"/>
  <c r="N96" s="1"/>
  <c r="J95"/>
  <c r="J96" s="1"/>
  <c r="L95"/>
  <c r="L96" s="1"/>
  <c r="H95"/>
  <c r="H96" s="1"/>
  <c r="M95"/>
  <c r="M96" s="1"/>
  <c r="I95"/>
  <c r="I96" s="1"/>
  <c r="F95"/>
  <c r="F96" s="1"/>
  <c r="O95"/>
  <c r="O96" s="1"/>
  <c r="K95"/>
  <c r="K96" s="1"/>
  <c r="G95"/>
  <c r="G96" s="1"/>
  <c r="P94"/>
  <c r="Q93"/>
  <c r="T40"/>
  <c r="U40" s="1"/>
  <c r="V40" s="1"/>
  <c r="W40" s="1"/>
  <c r="X28" l="1"/>
  <c r="P95"/>
  <c r="Q94"/>
  <c r="U61"/>
  <c r="X40"/>
  <c r="W61"/>
  <c r="V61"/>
  <c r="T61"/>
  <c r="C71"/>
  <c r="D71"/>
  <c r="E71"/>
  <c r="F71"/>
  <c r="G71"/>
  <c r="G116" s="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C73"/>
  <c r="D73"/>
  <c r="E73"/>
  <c r="F73"/>
  <c r="G73"/>
  <c r="H73"/>
  <c r="I73"/>
  <c r="J73"/>
  <c r="K73"/>
  <c r="L73"/>
  <c r="M73"/>
  <c r="N73"/>
  <c r="O73"/>
  <c r="P73"/>
  <c r="P72"/>
  <c r="P71"/>
  <c r="C79"/>
  <c r="D79"/>
  <c r="E79"/>
  <c r="F79"/>
  <c r="H79"/>
  <c r="I79"/>
  <c r="J79"/>
  <c r="K79"/>
  <c r="L79"/>
  <c r="M79"/>
  <c r="N79"/>
  <c r="O79"/>
  <c r="C77"/>
  <c r="D77"/>
  <c r="E77"/>
  <c r="C78"/>
  <c r="D78"/>
  <c r="E78"/>
  <c r="F78"/>
  <c r="G78"/>
  <c r="H78"/>
  <c r="I78"/>
  <c r="J78"/>
  <c r="K78"/>
  <c r="L78"/>
  <c r="M78"/>
  <c r="N78"/>
  <c r="O78"/>
  <c r="F77"/>
  <c r="G77"/>
  <c r="H77"/>
  <c r="I77"/>
  <c r="J77"/>
  <c r="K77"/>
  <c r="L77"/>
  <c r="M77"/>
  <c r="N77"/>
  <c r="O77"/>
  <c r="P78"/>
  <c r="G38"/>
  <c r="G36"/>
  <c r="G27"/>
  <c r="G11"/>
  <c r="G8"/>
  <c r="G25"/>
  <c r="Y28" l="1"/>
  <c r="Q73"/>
  <c r="Y40"/>
  <c r="X61"/>
  <c r="Q71"/>
  <c r="Q72"/>
  <c r="Q78"/>
  <c r="Q79"/>
  <c r="P77"/>
  <c r="Q77" s="1"/>
  <c r="C170"/>
  <c r="D170"/>
  <c r="E170"/>
  <c r="F170"/>
  <c r="C171"/>
  <c r="D171"/>
  <c r="E171"/>
  <c r="F171"/>
  <c r="C172"/>
  <c r="D172"/>
  <c r="E172"/>
  <c r="F172"/>
  <c r="H172"/>
  <c r="I172"/>
  <c r="J172"/>
  <c r="K172"/>
  <c r="L172"/>
  <c r="M172"/>
  <c r="N172"/>
  <c r="O172"/>
  <c r="P172"/>
  <c r="G172"/>
  <c r="H171"/>
  <c r="I171"/>
  <c r="J171"/>
  <c r="K171"/>
  <c r="L171"/>
  <c r="M171"/>
  <c r="N171"/>
  <c r="O171"/>
  <c r="P171"/>
  <c r="G171"/>
  <c r="H170"/>
  <c r="I170"/>
  <c r="J170"/>
  <c r="K170"/>
  <c r="L170"/>
  <c r="M170"/>
  <c r="N170"/>
  <c r="O170"/>
  <c r="P170"/>
  <c r="G170"/>
  <c r="H44"/>
  <c r="I44"/>
  <c r="J44"/>
  <c r="K44"/>
  <c r="L44"/>
  <c r="M44"/>
  <c r="N44"/>
  <c r="O44"/>
  <c r="P44"/>
  <c r="C44"/>
  <c r="D44"/>
  <c r="E44"/>
  <c r="F44"/>
  <c r="G44"/>
  <c r="G46"/>
  <c r="G157" s="1"/>
  <c r="H43"/>
  <c r="H151" s="1"/>
  <c r="I43"/>
  <c r="I151" s="1"/>
  <c r="J43"/>
  <c r="J151" s="1"/>
  <c r="K43"/>
  <c r="K151" s="1"/>
  <c r="L43"/>
  <c r="L151" s="1"/>
  <c r="M43"/>
  <c r="M151" s="1"/>
  <c r="N43"/>
  <c r="N151" s="1"/>
  <c r="O43"/>
  <c r="O151" s="1"/>
  <c r="P43"/>
  <c r="P151" s="1"/>
  <c r="C43"/>
  <c r="C151" s="1"/>
  <c r="D43"/>
  <c r="D151" s="1"/>
  <c r="E43"/>
  <c r="E151" s="1"/>
  <c r="F43"/>
  <c r="F151" s="1"/>
  <c r="G43"/>
  <c r="G151" s="1"/>
  <c r="P38"/>
  <c r="O38"/>
  <c r="N38"/>
  <c r="M38"/>
  <c r="L38"/>
  <c r="K38"/>
  <c r="J38"/>
  <c r="I38"/>
  <c r="H38"/>
  <c r="P36"/>
  <c r="O36"/>
  <c r="N36"/>
  <c r="M36"/>
  <c r="L36"/>
  <c r="K36"/>
  <c r="J36"/>
  <c r="I36"/>
  <c r="H36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9"/>
  <c r="S35"/>
  <c r="S83" s="1"/>
  <c r="Q35"/>
  <c r="Q151" l="1"/>
  <c r="Z28"/>
  <c r="Z40"/>
  <c r="Y61"/>
  <c r="T35"/>
  <c r="T83" s="1"/>
  <c r="Q172"/>
  <c r="Q44"/>
  <c r="Q43"/>
  <c r="Q171"/>
  <c r="Q170"/>
  <c r="Q30"/>
  <c r="Q33"/>
  <c r="AA28" l="1"/>
  <c r="AA40"/>
  <c r="Z61"/>
  <c r="U35"/>
  <c r="U83" s="1"/>
  <c r="I68"/>
  <c r="J68"/>
  <c r="K68"/>
  <c r="L68"/>
  <c r="M68"/>
  <c r="N68"/>
  <c r="O68"/>
  <c r="P68"/>
  <c r="I69"/>
  <c r="J69"/>
  <c r="K69"/>
  <c r="L69"/>
  <c r="M69"/>
  <c r="N69"/>
  <c r="O69"/>
  <c r="P69"/>
  <c r="I63"/>
  <c r="I65" s="1"/>
  <c r="J63"/>
  <c r="J65" s="1"/>
  <c r="K63"/>
  <c r="K65" s="1"/>
  <c r="L63"/>
  <c r="L65" s="1"/>
  <c r="M63"/>
  <c r="M65" s="1"/>
  <c r="N63"/>
  <c r="N65" s="1"/>
  <c r="O63"/>
  <c r="O65" s="1"/>
  <c r="P63"/>
  <c r="P65" s="1"/>
  <c r="I66"/>
  <c r="J66"/>
  <c r="K66"/>
  <c r="L66"/>
  <c r="M66"/>
  <c r="N66"/>
  <c r="O66"/>
  <c r="P66"/>
  <c r="I67"/>
  <c r="J67"/>
  <c r="K67"/>
  <c r="L67"/>
  <c r="M67"/>
  <c r="N67"/>
  <c r="O67"/>
  <c r="P67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H69"/>
  <c r="H68"/>
  <c r="S22"/>
  <c r="Q22"/>
  <c r="S21"/>
  <c r="T21" s="1"/>
  <c r="U21" s="1"/>
  <c r="V21" s="1"/>
  <c r="W21" s="1"/>
  <c r="X21" s="1"/>
  <c r="Y21" s="1"/>
  <c r="Z21" s="1"/>
  <c r="AA21" s="1"/>
  <c r="AB21" s="1"/>
  <c r="S20"/>
  <c r="Q19"/>
  <c r="C63"/>
  <c r="C65" s="1"/>
  <c r="D63"/>
  <c r="D65" s="1"/>
  <c r="E63"/>
  <c r="E65" s="1"/>
  <c r="F63"/>
  <c r="F65" s="1"/>
  <c r="G63"/>
  <c r="G65" s="1"/>
  <c r="H63"/>
  <c r="H65" s="1"/>
  <c r="H67"/>
  <c r="H66"/>
  <c r="T22" l="1"/>
  <c r="S86"/>
  <c r="AB28"/>
  <c r="AE30"/>
  <c r="AC30"/>
  <c r="AC21"/>
  <c r="AE21"/>
  <c r="AB40"/>
  <c r="AE40" s="1"/>
  <c r="AA61"/>
  <c r="V35"/>
  <c r="V83" s="1"/>
  <c r="Q68"/>
  <c r="Q69"/>
  <c r="Q67"/>
  <c r="Q65"/>
  <c r="Q66"/>
  <c r="Q21"/>
  <c r="Q20"/>
  <c r="Q63"/>
  <c r="S19"/>
  <c r="T20"/>
  <c r="Q61"/>
  <c r="Q150"/>
  <c r="U22" l="1"/>
  <c r="T86"/>
  <c r="AE28"/>
  <c r="AC28"/>
  <c r="T19"/>
  <c r="T63" s="1"/>
  <c r="S63"/>
  <c r="AB61"/>
  <c r="AC40"/>
  <c r="U20"/>
  <c r="C19" i="15"/>
  <c r="S9" i="18"/>
  <c r="T9" s="1"/>
  <c r="U9" s="1"/>
  <c r="V9" s="1"/>
  <c r="W9" s="1"/>
  <c r="X9" s="1"/>
  <c r="Y9" s="1"/>
  <c r="Z9" s="1"/>
  <c r="AA9" s="1"/>
  <c r="AB9" s="1"/>
  <c r="AE9" s="1"/>
  <c r="Q37"/>
  <c r="Q32"/>
  <c r="Q26"/>
  <c r="Q24"/>
  <c r="Q17"/>
  <c r="Q15"/>
  <c r="Q14"/>
  <c r="Q13"/>
  <c r="Q12"/>
  <c r="Q10"/>
  <c r="Q9"/>
  <c r="Q7"/>
  <c r="Q6"/>
  <c r="S17"/>
  <c r="S24"/>
  <c r="S108" s="1"/>
  <c r="S26"/>
  <c r="S109" s="1"/>
  <c r="S32"/>
  <c r="T32" s="1"/>
  <c r="U32" s="1"/>
  <c r="V32" s="1"/>
  <c r="W32" s="1"/>
  <c r="X32" s="1"/>
  <c r="Y32" s="1"/>
  <c r="Z32" s="1"/>
  <c r="AA32" s="1"/>
  <c r="AB32" s="1"/>
  <c r="AE32" s="1"/>
  <c r="S33"/>
  <c r="T33" s="1"/>
  <c r="U33" s="1"/>
  <c r="V33" s="1"/>
  <c r="W33" s="1"/>
  <c r="X33" s="1"/>
  <c r="Y33" s="1"/>
  <c r="Z33" s="1"/>
  <c r="AA33" s="1"/>
  <c r="AB33" s="1"/>
  <c r="AE33" s="1"/>
  <c r="W35"/>
  <c r="W83" s="1"/>
  <c r="O59"/>
  <c r="O155" s="1"/>
  <c r="O58"/>
  <c r="O56"/>
  <c r="O55"/>
  <c r="O53"/>
  <c r="O156" s="1"/>
  <c r="O52"/>
  <c r="O51"/>
  <c r="O49"/>
  <c r="O48"/>
  <c r="O153" s="1"/>
  <c r="O47"/>
  <c r="O46"/>
  <c r="V22" l="1"/>
  <c r="U86"/>
  <c r="S102"/>
  <c r="S103"/>
  <c r="S101"/>
  <c r="S91"/>
  <c r="P96"/>
  <c r="Q96" s="1"/>
  <c r="Q95"/>
  <c r="S82"/>
  <c r="S99"/>
  <c r="S98"/>
  <c r="T17"/>
  <c r="S138"/>
  <c r="AE61"/>
  <c r="O152"/>
  <c r="O157"/>
  <c r="U19"/>
  <c r="AC61"/>
  <c r="T26"/>
  <c r="T109" s="1"/>
  <c r="X35"/>
  <c r="X83" s="1"/>
  <c r="T24"/>
  <c r="T108" s="1"/>
  <c r="S77"/>
  <c r="V20"/>
  <c r="AC32"/>
  <c r="AC33"/>
  <c r="AC9"/>
  <c r="O57"/>
  <c r="O154" s="1"/>
  <c r="D53"/>
  <c r="E53"/>
  <c r="F53"/>
  <c r="G53"/>
  <c r="G156" s="1"/>
  <c r="H53"/>
  <c r="H156" s="1"/>
  <c r="I53"/>
  <c r="I156" s="1"/>
  <c r="J53"/>
  <c r="J156" s="1"/>
  <c r="K53"/>
  <c r="K156" s="1"/>
  <c r="L53"/>
  <c r="L156" s="1"/>
  <c r="M53"/>
  <c r="M156" s="1"/>
  <c r="N53"/>
  <c r="N156" s="1"/>
  <c r="P53"/>
  <c r="C53"/>
  <c r="C52"/>
  <c r="W22" l="1"/>
  <c r="V86"/>
  <c r="T138"/>
  <c r="R138" s="1"/>
  <c r="P162" s="1"/>
  <c r="T101"/>
  <c r="T103"/>
  <c r="T102"/>
  <c r="T91"/>
  <c r="T82"/>
  <c r="T99"/>
  <c r="T98"/>
  <c r="U17"/>
  <c r="V19"/>
  <c r="U63"/>
  <c r="U26"/>
  <c r="U109" s="1"/>
  <c r="U24"/>
  <c r="U108" s="1"/>
  <c r="T77"/>
  <c r="Y35"/>
  <c r="Y83" s="1"/>
  <c r="W20"/>
  <c r="P156"/>
  <c r="Q156" s="1"/>
  <c r="Q53"/>
  <c r="D52"/>
  <c r="E52"/>
  <c r="F52"/>
  <c r="G52"/>
  <c r="H52"/>
  <c r="I52"/>
  <c r="J52"/>
  <c r="K52"/>
  <c r="L52"/>
  <c r="M52"/>
  <c r="N52"/>
  <c r="P52"/>
  <c r="D51"/>
  <c r="E51"/>
  <c r="F51"/>
  <c r="G51"/>
  <c r="H51"/>
  <c r="I51"/>
  <c r="J51"/>
  <c r="K51"/>
  <c r="L51"/>
  <c r="M51"/>
  <c r="N51"/>
  <c r="P51"/>
  <c r="C51"/>
  <c r="X22" l="1"/>
  <c r="W86"/>
  <c r="U103"/>
  <c r="U102"/>
  <c r="U101"/>
  <c r="U91"/>
  <c r="U82"/>
  <c r="U99"/>
  <c r="U98"/>
  <c r="V17"/>
  <c r="W19"/>
  <c r="V63"/>
  <c r="V26"/>
  <c r="V109" s="1"/>
  <c r="V24"/>
  <c r="V108" s="1"/>
  <c r="U77"/>
  <c r="Z35"/>
  <c r="Z83" s="1"/>
  <c r="X20"/>
  <c r="Q51"/>
  <c r="Q52"/>
  <c r="C46" i="15"/>
  <c r="Y22" i="18" l="1"/>
  <c r="X86"/>
  <c r="V91"/>
  <c r="V103"/>
  <c r="V102"/>
  <c r="V101"/>
  <c r="V82"/>
  <c r="V99"/>
  <c r="V98"/>
  <c r="W17"/>
  <c r="X19"/>
  <c r="W63"/>
  <c r="W26"/>
  <c r="W109" s="1"/>
  <c r="W24"/>
  <c r="W108" s="1"/>
  <c r="V77"/>
  <c r="AA35"/>
  <c r="AA83" s="1"/>
  <c r="Y20"/>
  <c r="S150"/>
  <c r="C46"/>
  <c r="D46"/>
  <c r="E46"/>
  <c r="F46"/>
  <c r="H46"/>
  <c r="I46"/>
  <c r="J46"/>
  <c r="K46"/>
  <c r="L46"/>
  <c r="L157" s="1"/>
  <c r="M46"/>
  <c r="N46"/>
  <c r="N157" s="1"/>
  <c r="P46"/>
  <c r="D59"/>
  <c r="D155" s="1"/>
  <c r="E59"/>
  <c r="E155" s="1"/>
  <c r="F59"/>
  <c r="F155" s="1"/>
  <c r="G59"/>
  <c r="H59"/>
  <c r="H155" s="1"/>
  <c r="I59"/>
  <c r="I155" s="1"/>
  <c r="J59"/>
  <c r="J155" s="1"/>
  <c r="K59"/>
  <c r="K155" s="1"/>
  <c r="L59"/>
  <c r="L155" s="1"/>
  <c r="M59"/>
  <c r="M155" s="1"/>
  <c r="N59"/>
  <c r="P59"/>
  <c r="D58"/>
  <c r="E58"/>
  <c r="F58"/>
  <c r="G58"/>
  <c r="H58"/>
  <c r="I58"/>
  <c r="J58"/>
  <c r="K58"/>
  <c r="L58"/>
  <c r="M58"/>
  <c r="N58"/>
  <c r="P58"/>
  <c r="D56"/>
  <c r="E56"/>
  <c r="F56"/>
  <c r="G56"/>
  <c r="H56"/>
  <c r="I56"/>
  <c r="J56"/>
  <c r="K56"/>
  <c r="L56"/>
  <c r="M56"/>
  <c r="N56"/>
  <c r="P56"/>
  <c r="D55"/>
  <c r="D57" s="1"/>
  <c r="D154" s="1"/>
  <c r="E55"/>
  <c r="E57" s="1"/>
  <c r="E154" s="1"/>
  <c r="F55"/>
  <c r="G55"/>
  <c r="H55"/>
  <c r="I55"/>
  <c r="J55"/>
  <c r="K55"/>
  <c r="L55"/>
  <c r="M55"/>
  <c r="N55"/>
  <c r="P55"/>
  <c r="D49"/>
  <c r="E49"/>
  <c r="F49"/>
  <c r="G49"/>
  <c r="H49"/>
  <c r="I49"/>
  <c r="J49"/>
  <c r="K49"/>
  <c r="L49"/>
  <c r="M49"/>
  <c r="N49"/>
  <c r="P49"/>
  <c r="D48"/>
  <c r="D153" s="1"/>
  <c r="E48"/>
  <c r="E153" s="1"/>
  <c r="F48"/>
  <c r="F153" s="1"/>
  <c r="G48"/>
  <c r="H48"/>
  <c r="H153" s="1"/>
  <c r="I48"/>
  <c r="I153" s="1"/>
  <c r="J48"/>
  <c r="J153" s="1"/>
  <c r="K48"/>
  <c r="K153" s="1"/>
  <c r="L48"/>
  <c r="L153" s="1"/>
  <c r="M48"/>
  <c r="M153" s="1"/>
  <c r="N48"/>
  <c r="P48"/>
  <c r="C59"/>
  <c r="C155" s="1"/>
  <c r="C58"/>
  <c r="C56"/>
  <c r="C55"/>
  <c r="C49"/>
  <c r="C48"/>
  <c r="C153" s="1"/>
  <c r="D47"/>
  <c r="E47"/>
  <c r="F47"/>
  <c r="G47"/>
  <c r="H47"/>
  <c r="I47"/>
  <c r="J47"/>
  <c r="K47"/>
  <c r="L47"/>
  <c r="M47"/>
  <c r="N47"/>
  <c r="P47"/>
  <c r="C47"/>
  <c r="S14"/>
  <c r="S106" s="1"/>
  <c r="S15"/>
  <c r="S114" s="1"/>
  <c r="S115" s="1"/>
  <c r="S37"/>
  <c r="S84" s="1"/>
  <c r="S10"/>
  <c r="S12"/>
  <c r="S13"/>
  <c r="S7"/>
  <c r="S6"/>
  <c r="Z22" l="1"/>
  <c r="Y86"/>
  <c r="S79"/>
  <c r="S80"/>
  <c r="S112"/>
  <c r="S111"/>
  <c r="S85"/>
  <c r="S107"/>
  <c r="H157"/>
  <c r="H152"/>
  <c r="W91"/>
  <c r="W102"/>
  <c r="W101"/>
  <c r="W103"/>
  <c r="S90"/>
  <c r="S95"/>
  <c r="S96" s="1"/>
  <c r="W82"/>
  <c r="W99"/>
  <c r="W98"/>
  <c r="S88"/>
  <c r="S89"/>
  <c r="X17"/>
  <c r="D152"/>
  <c r="D156" s="1"/>
  <c r="D157"/>
  <c r="E152"/>
  <c r="E156" s="1"/>
  <c r="E157"/>
  <c r="C152"/>
  <c r="C156" s="1"/>
  <c r="C157"/>
  <c r="P152"/>
  <c r="P157"/>
  <c r="Q157" s="1"/>
  <c r="K152"/>
  <c r="K157"/>
  <c r="F152"/>
  <c r="F156" s="1"/>
  <c r="F157"/>
  <c r="J152"/>
  <c r="J157"/>
  <c r="M152"/>
  <c r="M157"/>
  <c r="I152"/>
  <c r="I157"/>
  <c r="Q120"/>
  <c r="Y19"/>
  <c r="X63"/>
  <c r="H57"/>
  <c r="H154" s="1"/>
  <c r="X26"/>
  <c r="X109" s="1"/>
  <c r="T12"/>
  <c r="T14"/>
  <c r="T106" s="1"/>
  <c r="T13"/>
  <c r="T10"/>
  <c r="T15"/>
  <c r="T114" s="1"/>
  <c r="T115" s="1"/>
  <c r="T6"/>
  <c r="T7"/>
  <c r="X24"/>
  <c r="X108" s="1"/>
  <c r="W77"/>
  <c r="T37"/>
  <c r="T84" s="1"/>
  <c r="S78"/>
  <c r="AB35"/>
  <c r="F57"/>
  <c r="F154" s="1"/>
  <c r="L57"/>
  <c r="L154" s="1"/>
  <c r="K57"/>
  <c r="K154" s="1"/>
  <c r="J57"/>
  <c r="J154" s="1"/>
  <c r="Z20"/>
  <c r="C57"/>
  <c r="C154" s="1"/>
  <c r="T150"/>
  <c r="I57"/>
  <c r="I154" s="1"/>
  <c r="Q47"/>
  <c r="G153"/>
  <c r="Q48"/>
  <c r="Q49"/>
  <c r="Q56"/>
  <c r="Q58"/>
  <c r="G152"/>
  <c r="Q46"/>
  <c r="G155"/>
  <c r="Q59"/>
  <c r="G57"/>
  <c r="Q55"/>
  <c r="N153"/>
  <c r="N152"/>
  <c r="N155"/>
  <c r="P153"/>
  <c r="L152"/>
  <c r="N57"/>
  <c r="M57"/>
  <c r="M154" s="1"/>
  <c r="P155"/>
  <c r="P57"/>
  <c r="S56"/>
  <c r="C6" i="12"/>
  <c r="C26" i="15"/>
  <c r="C58"/>
  <c r="C57"/>
  <c r="C54"/>
  <c r="C53"/>
  <c r="C50"/>
  <c r="C49"/>
  <c r="C45"/>
  <c r="AE35" i="18" l="1"/>
  <c r="AB83"/>
  <c r="AC83" s="1"/>
  <c r="AA22"/>
  <c r="Z86"/>
  <c r="T112"/>
  <c r="T111"/>
  <c r="T85"/>
  <c r="T107"/>
  <c r="T80"/>
  <c r="X101"/>
  <c r="X102"/>
  <c r="X103"/>
  <c r="X91"/>
  <c r="X82"/>
  <c r="X99"/>
  <c r="X98"/>
  <c r="T88"/>
  <c r="T89"/>
  <c r="T90"/>
  <c r="Y17"/>
  <c r="Z19"/>
  <c r="Y63"/>
  <c r="S55"/>
  <c r="S72"/>
  <c r="S51"/>
  <c r="S53"/>
  <c r="S156" s="1"/>
  <c r="S59"/>
  <c r="S155" s="1"/>
  <c r="S69"/>
  <c r="S71"/>
  <c r="S44"/>
  <c r="S43"/>
  <c r="S151" s="1"/>
  <c r="S52"/>
  <c r="S48"/>
  <c r="S49"/>
  <c r="S58"/>
  <c r="S47"/>
  <c r="S73"/>
  <c r="S46"/>
  <c r="Y26"/>
  <c r="Y109" s="1"/>
  <c r="U14"/>
  <c r="U106" s="1"/>
  <c r="U13"/>
  <c r="U12"/>
  <c r="S57"/>
  <c r="U15"/>
  <c r="U114" s="1"/>
  <c r="U115" s="1"/>
  <c r="U10"/>
  <c r="U7"/>
  <c r="U6"/>
  <c r="AC35"/>
  <c r="Y24"/>
  <c r="Y108" s="1"/>
  <c r="X77"/>
  <c r="U37"/>
  <c r="U84" s="1"/>
  <c r="T79"/>
  <c r="T78"/>
  <c r="T39"/>
  <c r="T93" s="1"/>
  <c r="T94" s="1"/>
  <c r="T95" s="1"/>
  <c r="T96" s="1"/>
  <c r="S66"/>
  <c r="S67"/>
  <c r="S68"/>
  <c r="S65"/>
  <c r="AA20"/>
  <c r="U150"/>
  <c r="Q153"/>
  <c r="Q152"/>
  <c r="Q155"/>
  <c r="G154"/>
  <c r="Q57"/>
  <c r="N154"/>
  <c r="P154"/>
  <c r="C16" i="15"/>
  <c r="C21"/>
  <c r="C10"/>
  <c r="AB22" i="18" l="1"/>
  <c r="AA86"/>
  <c r="U85"/>
  <c r="U107"/>
  <c r="U112"/>
  <c r="U111"/>
  <c r="U80"/>
  <c r="Y103"/>
  <c r="Y102"/>
  <c r="Y101"/>
  <c r="Y91"/>
  <c r="T55"/>
  <c r="Y82"/>
  <c r="Y99"/>
  <c r="Y98"/>
  <c r="U88"/>
  <c r="U89"/>
  <c r="U90"/>
  <c r="T51"/>
  <c r="Z17"/>
  <c r="AA19"/>
  <c r="Z63"/>
  <c r="T53"/>
  <c r="T156" s="1"/>
  <c r="T59"/>
  <c r="T155" s="1"/>
  <c r="T69"/>
  <c r="T71"/>
  <c r="T43"/>
  <c r="T151" s="1"/>
  <c r="T44"/>
  <c r="T48"/>
  <c r="T47"/>
  <c r="T58"/>
  <c r="T73"/>
  <c r="T52"/>
  <c r="T49"/>
  <c r="T46"/>
  <c r="T56"/>
  <c r="T72"/>
  <c r="Z26"/>
  <c r="Z109" s="1"/>
  <c r="V13"/>
  <c r="V12"/>
  <c r="V14"/>
  <c r="V106" s="1"/>
  <c r="V10"/>
  <c r="V15"/>
  <c r="V114" s="1"/>
  <c r="V115" s="1"/>
  <c r="V6"/>
  <c r="V7"/>
  <c r="V37"/>
  <c r="V84" s="1"/>
  <c r="U79"/>
  <c r="U78"/>
  <c r="Z24"/>
  <c r="Z108" s="1"/>
  <c r="Y77"/>
  <c r="U39"/>
  <c r="U93" s="1"/>
  <c r="U94" s="1"/>
  <c r="U95" s="1"/>
  <c r="U96" s="1"/>
  <c r="T68"/>
  <c r="T67"/>
  <c r="T66"/>
  <c r="T65"/>
  <c r="AB20"/>
  <c r="AE20" s="1"/>
  <c r="S154"/>
  <c r="V150"/>
  <c r="S152"/>
  <c r="S153"/>
  <c r="Q154"/>
  <c r="D31" i="8"/>
  <c r="D29"/>
  <c r="D28"/>
  <c r="D13"/>
  <c r="D30" s="1"/>
  <c r="E14"/>
  <c r="F14" s="1"/>
  <c r="G14" s="1"/>
  <c r="H14" s="1"/>
  <c r="I14" s="1"/>
  <c r="AE22" i="18" l="1"/>
  <c r="AB86"/>
  <c r="AC86" s="1"/>
  <c r="AC22"/>
  <c r="V80"/>
  <c r="V111"/>
  <c r="V112"/>
  <c r="V85"/>
  <c r="V107"/>
  <c r="Z103"/>
  <c r="Z102"/>
  <c r="Z101"/>
  <c r="Z91"/>
  <c r="U55"/>
  <c r="T57"/>
  <c r="T154" s="1"/>
  <c r="Z82"/>
  <c r="Z99"/>
  <c r="Z98"/>
  <c r="V88"/>
  <c r="V90"/>
  <c r="V89"/>
  <c r="AA17"/>
  <c r="AB19"/>
  <c r="AE19" s="1"/>
  <c r="AA63"/>
  <c r="U73"/>
  <c r="U72"/>
  <c r="U51"/>
  <c r="U59"/>
  <c r="U155" s="1"/>
  <c r="U58"/>
  <c r="U53"/>
  <c r="U156" s="1"/>
  <c r="U56"/>
  <c r="U47"/>
  <c r="U69"/>
  <c r="U71"/>
  <c r="U44"/>
  <c r="U43"/>
  <c r="U151" s="1"/>
  <c r="U52"/>
  <c r="U48"/>
  <c r="U49"/>
  <c r="U46"/>
  <c r="AA26"/>
  <c r="AA109" s="1"/>
  <c r="W12"/>
  <c r="W14"/>
  <c r="W106" s="1"/>
  <c r="W13"/>
  <c r="W15"/>
  <c r="W114" s="1"/>
  <c r="W115" s="1"/>
  <c r="W10"/>
  <c r="W7"/>
  <c r="W6"/>
  <c r="AA24"/>
  <c r="AA108" s="1"/>
  <c r="Z77"/>
  <c r="W37"/>
  <c r="W84" s="1"/>
  <c r="V78"/>
  <c r="V79"/>
  <c r="V39"/>
  <c r="V93" s="1"/>
  <c r="V94" s="1"/>
  <c r="V95" s="1"/>
  <c r="V96" s="1"/>
  <c r="U68"/>
  <c r="U66"/>
  <c r="U67"/>
  <c r="U65"/>
  <c r="AC20"/>
  <c r="W150"/>
  <c r="T152"/>
  <c r="T15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112" i="18" l="1"/>
  <c r="W111"/>
  <c r="W85"/>
  <c r="W107"/>
  <c r="W80"/>
  <c r="AA102"/>
  <c r="AA101"/>
  <c r="AA103"/>
  <c r="AA91"/>
  <c r="U57"/>
  <c r="U154" s="1"/>
  <c r="AA82"/>
  <c r="AA99"/>
  <c r="AA98"/>
  <c r="V58"/>
  <c r="W88"/>
  <c r="W90"/>
  <c r="W89"/>
  <c r="AB17"/>
  <c r="V73"/>
  <c r="V49"/>
  <c r="V56"/>
  <c r="AC19"/>
  <c r="AB63"/>
  <c r="V47"/>
  <c r="V55"/>
  <c r="V52"/>
  <c r="V72"/>
  <c r="V48"/>
  <c r="V53"/>
  <c r="V156" s="1"/>
  <c r="V69"/>
  <c r="V71"/>
  <c r="V43"/>
  <c r="V151" s="1"/>
  <c r="V44"/>
  <c r="V51"/>
  <c r="V59"/>
  <c r="V155" s="1"/>
  <c r="V46"/>
  <c r="AB26"/>
  <c r="X14"/>
  <c r="X106" s="1"/>
  <c r="X13"/>
  <c r="X12"/>
  <c r="X10"/>
  <c r="X15"/>
  <c r="X114" s="1"/>
  <c r="X115" s="1"/>
  <c r="X6"/>
  <c r="X7"/>
  <c r="X37"/>
  <c r="X84" s="1"/>
  <c r="W79"/>
  <c r="W78"/>
  <c r="AB24"/>
  <c r="AB108" s="1"/>
  <c r="AC108" s="1"/>
  <c r="AA77"/>
  <c r="W39"/>
  <c r="W93" s="1"/>
  <c r="W94" s="1"/>
  <c r="W95" s="1"/>
  <c r="W96" s="1"/>
  <c r="V68"/>
  <c r="V66"/>
  <c r="V67"/>
  <c r="V65"/>
  <c r="X150"/>
  <c r="U152"/>
  <c r="U15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85" i="18" l="1"/>
  <c r="X107"/>
  <c r="X112"/>
  <c r="X111"/>
  <c r="AE26"/>
  <c r="AB109"/>
  <c r="AC109" s="1"/>
  <c r="X80"/>
  <c r="AB101"/>
  <c r="AC101" s="1"/>
  <c r="AB103"/>
  <c r="AC103" s="1"/>
  <c r="AB102"/>
  <c r="AC102" s="1"/>
  <c r="N32" i="9"/>
  <c r="N33" s="1"/>
  <c r="N34" s="1"/>
  <c r="N35" s="1"/>
  <c r="N36" s="1"/>
  <c r="N37" s="1"/>
  <c r="N38" s="1"/>
  <c r="N39" s="1"/>
  <c r="N40" s="1"/>
  <c r="N41" s="1"/>
  <c r="N42" s="1"/>
  <c r="M45"/>
  <c r="AB91" i="18"/>
  <c r="AC91" s="1"/>
  <c r="V57"/>
  <c r="V154" s="1"/>
  <c r="W56"/>
  <c r="AB82"/>
  <c r="AC82" s="1"/>
  <c r="AB99"/>
  <c r="AC99" s="1"/>
  <c r="AB98"/>
  <c r="AC98" s="1"/>
  <c r="X88"/>
  <c r="X90"/>
  <c r="X89"/>
  <c r="AE24"/>
  <c r="AE17"/>
  <c r="AC17"/>
  <c r="S140"/>
  <c r="AE63"/>
  <c r="AC63"/>
  <c r="M32" i="9"/>
  <c r="M33" s="1"/>
  <c r="M34" s="1"/>
  <c r="M35" s="1"/>
  <c r="M36" s="1"/>
  <c r="M37" s="1"/>
  <c r="M38" s="1"/>
  <c r="M39" s="1"/>
  <c r="M40" s="1"/>
  <c r="M41" s="1"/>
  <c r="P32"/>
  <c r="W59" i="18"/>
  <c r="W155" s="1"/>
  <c r="W58"/>
  <c r="W53"/>
  <c r="W156" s="1"/>
  <c r="W55"/>
  <c r="W52"/>
  <c r="W72"/>
  <c r="W51"/>
  <c r="W73"/>
  <c r="W69"/>
  <c r="W71"/>
  <c r="W44"/>
  <c r="W43"/>
  <c r="W151" s="1"/>
  <c r="W47"/>
  <c r="W48"/>
  <c r="W49"/>
  <c r="W46"/>
  <c r="AC26"/>
  <c r="Y12"/>
  <c r="Y14"/>
  <c r="Y106" s="1"/>
  <c r="Y13"/>
  <c r="Y10"/>
  <c r="Y15"/>
  <c r="Y114" s="1"/>
  <c r="Y115" s="1"/>
  <c r="Y7"/>
  <c r="Y6"/>
  <c r="AC24"/>
  <c r="AB77"/>
  <c r="AC77" s="1"/>
  <c r="Y37"/>
  <c r="Y84" s="1"/>
  <c r="X79"/>
  <c r="X78"/>
  <c r="O31" i="9"/>
  <c r="O32" s="1"/>
  <c r="X39" i="18"/>
  <c r="X93" s="1"/>
  <c r="X94" s="1"/>
  <c r="X95" s="1"/>
  <c r="X96" s="1"/>
  <c r="W68"/>
  <c r="W66"/>
  <c r="W67"/>
  <c r="W65"/>
  <c r="Y150"/>
  <c r="V152"/>
  <c r="V153"/>
  <c r="P31" i="11"/>
  <c r="N32"/>
  <c r="T19" i="9"/>
  <c r="D22"/>
  <c r="Y112" i="18" l="1"/>
  <c r="Y111"/>
  <c r="Y85"/>
  <c r="Y107"/>
  <c r="Y80"/>
  <c r="W57"/>
  <c r="W154" s="1"/>
  <c r="X49"/>
  <c r="Y88"/>
  <c r="Y89"/>
  <c r="Y90"/>
  <c r="T140"/>
  <c r="R140" s="1"/>
  <c r="X51"/>
  <c r="X58"/>
  <c r="X46"/>
  <c r="X53"/>
  <c r="X156" s="1"/>
  <c r="X48"/>
  <c r="X47"/>
  <c r="X69"/>
  <c r="X71"/>
  <c r="X44"/>
  <c r="X43"/>
  <c r="X151" s="1"/>
  <c r="X73"/>
  <c r="X52"/>
  <c r="X59"/>
  <c r="X155" s="1"/>
  <c r="X56"/>
  <c r="X55"/>
  <c r="X72"/>
  <c r="Z13"/>
  <c r="Z12"/>
  <c r="Z14"/>
  <c r="Z106" s="1"/>
  <c r="Z10"/>
  <c r="Z15"/>
  <c r="Z114" s="1"/>
  <c r="Z115" s="1"/>
  <c r="Z6"/>
  <c r="Z7"/>
  <c r="Z37"/>
  <c r="Z84" s="1"/>
  <c r="Y79"/>
  <c r="Y78"/>
  <c r="Y39"/>
  <c r="Y93" s="1"/>
  <c r="Y94" s="1"/>
  <c r="Y95" s="1"/>
  <c r="Y96" s="1"/>
  <c r="X68"/>
  <c r="X66"/>
  <c r="X67"/>
  <c r="X65"/>
  <c r="Z150"/>
  <c r="W152"/>
  <c r="W15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5" i="18" l="1"/>
  <c r="Z107"/>
  <c r="Z111"/>
  <c r="Z112"/>
  <c r="Z80"/>
  <c r="Z88"/>
  <c r="Z89"/>
  <c r="Z90"/>
  <c r="X57"/>
  <c r="X154" s="1"/>
  <c r="Y69"/>
  <c r="Y71"/>
  <c r="Y43"/>
  <c r="Y151" s="1"/>
  <c r="Y44"/>
  <c r="Y53"/>
  <c r="Y156" s="1"/>
  <c r="Y59"/>
  <c r="Y155" s="1"/>
  <c r="Y58"/>
  <c r="Y56"/>
  <c r="Y47"/>
  <c r="Y46"/>
  <c r="Y52"/>
  <c r="Y48"/>
  <c r="Y49"/>
  <c r="Y55"/>
  <c r="Y72"/>
  <c r="Y51"/>
  <c r="Y73"/>
  <c r="AA12"/>
  <c r="AA14"/>
  <c r="AA106" s="1"/>
  <c r="AA13"/>
  <c r="AA10"/>
  <c r="AA15"/>
  <c r="AA114" s="1"/>
  <c r="AA115" s="1"/>
  <c r="AA7"/>
  <c r="AA6"/>
  <c r="AA37"/>
  <c r="AA84" s="1"/>
  <c r="Z78"/>
  <c r="Z79"/>
  <c r="Z39"/>
  <c r="Z93" s="1"/>
  <c r="Z94" s="1"/>
  <c r="Z95" s="1"/>
  <c r="Z96" s="1"/>
  <c r="Y68"/>
  <c r="Y66"/>
  <c r="Y67"/>
  <c r="Y65"/>
  <c r="AA150"/>
  <c r="X152"/>
  <c r="X153"/>
  <c r="N34" i="11"/>
  <c r="O33"/>
  <c r="D25" i="8"/>
  <c r="D23"/>
  <c r="AA80" i="18" l="1"/>
  <c r="AA111"/>
  <c r="AA112"/>
  <c r="AA85"/>
  <c r="AA107"/>
  <c r="AA88"/>
  <c r="AA89"/>
  <c r="AA90"/>
  <c r="Y57"/>
  <c r="Y154" s="1"/>
  <c r="Z69"/>
  <c r="Z71"/>
  <c r="Z44"/>
  <c r="Z43"/>
  <c r="Z151" s="1"/>
  <c r="Z47"/>
  <c r="Z58"/>
  <c r="Z48"/>
  <c r="Z53"/>
  <c r="Z156" s="1"/>
  <c r="Z56"/>
  <c r="Z55"/>
  <c r="Z73"/>
  <c r="Z59"/>
  <c r="Z155" s="1"/>
  <c r="Z46"/>
  <c r="Z52"/>
  <c r="Z72"/>
  <c r="Z51"/>
  <c r="Z49"/>
  <c r="AB14"/>
  <c r="AB13"/>
  <c r="AE13" s="1"/>
  <c r="AB12"/>
  <c r="AB107" s="1"/>
  <c r="AC107" s="1"/>
  <c r="AB10"/>
  <c r="AB15"/>
  <c r="AB6"/>
  <c r="AE6" s="1"/>
  <c r="AB7"/>
  <c r="AE7" s="1"/>
  <c r="AB37"/>
  <c r="AB84" s="1"/>
  <c r="AC84" s="1"/>
  <c r="AA79"/>
  <c r="AA78"/>
  <c r="AA39"/>
  <c r="AA93" s="1"/>
  <c r="AA94" s="1"/>
  <c r="AA95" s="1"/>
  <c r="AA96" s="1"/>
  <c r="Z68"/>
  <c r="Z66"/>
  <c r="Z67"/>
  <c r="Z65"/>
  <c r="AB150"/>
  <c r="Y152"/>
  <c r="Y153"/>
  <c r="N35" i="11"/>
  <c r="O34"/>
  <c r="D35" i="8"/>
  <c r="E5"/>
  <c r="E18" s="1"/>
  <c r="D18"/>
  <c r="D19"/>
  <c r="D21"/>
  <c r="D20"/>
  <c r="AE15" i="18" l="1"/>
  <c r="AB114"/>
  <c r="AB112"/>
  <c r="AC112" s="1"/>
  <c r="AB111"/>
  <c r="AC111" s="1"/>
  <c r="AE14"/>
  <c r="AB106"/>
  <c r="AC106" s="1"/>
  <c r="AB80"/>
  <c r="AC80" s="1"/>
  <c r="AE10"/>
  <c r="AB88"/>
  <c r="AC88" s="1"/>
  <c r="AE12"/>
  <c r="AB85"/>
  <c r="AC85" s="1"/>
  <c r="AE37"/>
  <c r="AB89"/>
  <c r="AC89" s="1"/>
  <c r="AB90"/>
  <c r="AC90" s="1"/>
  <c r="Z57"/>
  <c r="Z154" s="1"/>
  <c r="AA69"/>
  <c r="AA71"/>
  <c r="AA43"/>
  <c r="AA151" s="1"/>
  <c r="AA44"/>
  <c r="AA51"/>
  <c r="AA59"/>
  <c r="AA155" s="1"/>
  <c r="AA46"/>
  <c r="AA53"/>
  <c r="AA156" s="1"/>
  <c r="AA56"/>
  <c r="AA72"/>
  <c r="AA47"/>
  <c r="AA48"/>
  <c r="AA49"/>
  <c r="AA52"/>
  <c r="AA73"/>
  <c r="AA55"/>
  <c r="AA58"/>
  <c r="AC14"/>
  <c r="AC13"/>
  <c r="S134"/>
  <c r="AC12"/>
  <c r="AC10"/>
  <c r="AC15"/>
  <c r="AC7"/>
  <c r="AC6"/>
  <c r="AB79"/>
  <c r="AC79" s="1"/>
  <c r="AB78"/>
  <c r="AC78" s="1"/>
  <c r="AC37"/>
  <c r="AB39"/>
  <c r="AB93" s="1"/>
  <c r="AB94" s="1"/>
  <c r="AB95" s="1"/>
  <c r="AB96" s="1"/>
  <c r="AA68"/>
  <c r="AA66"/>
  <c r="AA67"/>
  <c r="AA65"/>
  <c r="AC150"/>
  <c r="AE150" s="1"/>
  <c r="Z152"/>
  <c r="Z153"/>
  <c r="N36" i="11"/>
  <c r="O35"/>
  <c r="F5" i="8"/>
  <c r="G5" s="1"/>
  <c r="H5" s="1"/>
  <c r="I5" s="1"/>
  <c r="AC114" i="18" l="1"/>
  <c r="AB115"/>
  <c r="AC115" s="1"/>
  <c r="AE39"/>
  <c r="T134"/>
  <c r="T135" s="1"/>
  <c r="AA57"/>
  <c r="AA154" s="1"/>
  <c r="AB69"/>
  <c r="AB71"/>
  <c r="AE71" s="1"/>
  <c r="AB43"/>
  <c r="AB151" s="1"/>
  <c r="AC151" s="1"/>
  <c r="AE151" s="1"/>
  <c r="AB44"/>
  <c r="AB51"/>
  <c r="AB56"/>
  <c r="AB46"/>
  <c r="AE46" s="1"/>
  <c r="AB53"/>
  <c r="AB49"/>
  <c r="AB72"/>
  <c r="AB48"/>
  <c r="AE48" s="1"/>
  <c r="AB47"/>
  <c r="AB58"/>
  <c r="AB73"/>
  <c r="AB52"/>
  <c r="AB59"/>
  <c r="AB55"/>
  <c r="S135"/>
  <c r="AB68"/>
  <c r="AB66"/>
  <c r="AC39"/>
  <c r="AB67"/>
  <c r="AB65"/>
  <c r="AA152"/>
  <c r="AA153"/>
  <c r="N37" i="11"/>
  <c r="O36"/>
  <c r="F18" i="8"/>
  <c r="G18"/>
  <c r="AC93" i="18" l="1"/>
  <c r="R134"/>
  <c r="R135"/>
  <c r="AC72"/>
  <c r="AE72"/>
  <c r="AC44"/>
  <c r="AE44"/>
  <c r="S131"/>
  <c r="AE58"/>
  <c r="AB155"/>
  <c r="AC155" s="1"/>
  <c r="AE155" s="1"/>
  <c r="AE59"/>
  <c r="AC43"/>
  <c r="AE43"/>
  <c r="AC56"/>
  <c r="AE56"/>
  <c r="S125"/>
  <c r="AE55"/>
  <c r="S124"/>
  <c r="AE49"/>
  <c r="AB156"/>
  <c r="AC156" s="1"/>
  <c r="AE156" s="1"/>
  <c r="AE53"/>
  <c r="AC52"/>
  <c r="AE52"/>
  <c r="S122"/>
  <c r="AE47"/>
  <c r="S127"/>
  <c r="AE51"/>
  <c r="AC73"/>
  <c r="AE73"/>
  <c r="S147"/>
  <c r="AE69"/>
  <c r="S145"/>
  <c r="AE68"/>
  <c r="S144"/>
  <c r="AE67"/>
  <c r="S142"/>
  <c r="AE65"/>
  <c r="S143"/>
  <c r="AE66"/>
  <c r="AC58"/>
  <c r="S128"/>
  <c r="AC47"/>
  <c r="AC49"/>
  <c r="T124" s="1"/>
  <c r="AC51"/>
  <c r="S129"/>
  <c r="AC69"/>
  <c r="AC55"/>
  <c r="S132"/>
  <c r="AB57"/>
  <c r="AC53"/>
  <c r="AC59"/>
  <c r="AC71"/>
  <c r="AC67"/>
  <c r="AC66"/>
  <c r="AC65"/>
  <c r="AC68"/>
  <c r="S121"/>
  <c r="AC46"/>
  <c r="T121" s="1"/>
  <c r="AB152"/>
  <c r="AC48"/>
  <c r="T123" s="1"/>
  <c r="AB153"/>
  <c r="S123"/>
  <c r="N38" i="11"/>
  <c r="O37"/>
  <c r="H18" i="8"/>
  <c r="P165" i="18" l="1"/>
  <c r="M165"/>
  <c r="AC94"/>
  <c r="T132"/>
  <c r="R132" s="1"/>
  <c r="T122"/>
  <c r="R122" s="1"/>
  <c r="T131"/>
  <c r="R131" s="1"/>
  <c r="T127"/>
  <c r="R127" s="1"/>
  <c r="T129"/>
  <c r="R129" s="1"/>
  <c r="T147"/>
  <c r="R147" s="1"/>
  <c r="T144"/>
  <c r="R144" s="1"/>
  <c r="AC57"/>
  <c r="AE57"/>
  <c r="T125"/>
  <c r="R125" s="1"/>
  <c r="R124"/>
  <c r="T128"/>
  <c r="R128" s="1"/>
  <c r="T142"/>
  <c r="R142" s="1"/>
  <c r="AB154"/>
  <c r="AC154" s="1"/>
  <c r="AE154" s="1"/>
  <c r="T145"/>
  <c r="R145" s="1"/>
  <c r="T143"/>
  <c r="R143" s="1"/>
  <c r="R121"/>
  <c r="P166" s="1"/>
  <c r="P167" s="1"/>
  <c r="AC153"/>
  <c r="AE153" s="1"/>
  <c r="AC152"/>
  <c r="AE152" s="1"/>
  <c r="R123"/>
  <c r="N39" i="11"/>
  <c r="O38"/>
  <c r="I18" i="8"/>
  <c r="P164" i="18" l="1"/>
  <c r="M164"/>
  <c r="P163"/>
  <c r="M163"/>
  <c r="AC96"/>
  <c r="AC95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<sst xmlns="http://schemas.openxmlformats.org/spreadsheetml/2006/main" count="527" uniqueCount="373">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</sst>
</file>

<file path=xl/styles.xml><?xml version="1.0" encoding="utf-8"?>
<styleSheet xmlns="http://schemas.openxmlformats.org/spreadsheetml/2006/main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  <numFmt numFmtId="179" formatCode="#,##0.0_ ;[Red]\-#,##0.0\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10"/>
      <color rgb="FFFF9966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7" fontId="13" fillId="5" borderId="1" xfId="2" applyNumberFormat="1" applyFont="1" applyFill="1" applyBorder="1"/>
    <xf numFmtId="179" fontId="8" fillId="5" borderId="1" xfId="2" applyNumberFormat="1" applyFont="1" applyFill="1" applyBorder="1"/>
    <xf numFmtId="0" fontId="4" fillId="5" borderId="1" xfId="0" applyFont="1" applyFill="1" applyBorder="1" applyAlignment="1">
      <alignment horizontal="right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8080384"/>
        <c:axId val="48081920"/>
      </c:lineChart>
      <c:catAx>
        <c:axId val="48080384"/>
        <c:scaling>
          <c:orientation val="minMax"/>
        </c:scaling>
        <c:axPos val="b"/>
        <c:tickLblPos val="nextTo"/>
        <c:crossAx val="48081920"/>
        <c:crosses val="autoZero"/>
        <c:auto val="1"/>
        <c:lblAlgn val="ctr"/>
        <c:lblOffset val="100"/>
      </c:catAx>
      <c:valAx>
        <c:axId val="48081920"/>
        <c:scaling>
          <c:orientation val="minMax"/>
        </c:scaling>
        <c:axPos val="l"/>
        <c:majorGridlines/>
        <c:numFmt formatCode="General" sourceLinked="1"/>
        <c:tickLblPos val="nextTo"/>
        <c:crossAx val="4808038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topLeftCell="A22" zoomScale="80" zoomScaleNormal="80" workbookViewId="0">
      <selection activeCell="C21" sqref="C21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85"/>
  <sheetViews>
    <sheetView tabSelected="1" zoomScale="80" zoomScaleNormal="80" workbookViewId="0">
      <pane xSplit="2" ySplit="3" topLeftCell="C28" activePane="bottomRight" state="frozen"/>
      <selection pane="topRight" activeCell="C1" sqref="C1"/>
      <selection pane="bottomLeft" activeCell="A5" sqref="A5"/>
      <selection pane="bottomRight" activeCell="A167" sqref="A167:XFD167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5">
        <v>0.08</v>
      </c>
    </row>
    <row r="2" spans="2:31">
      <c r="B2" s="154" t="s">
        <v>316</v>
      </c>
      <c r="C2" s="120"/>
      <c r="F2" s="104" t="s">
        <v>253</v>
      </c>
      <c r="H2" s="126">
        <v>2013</v>
      </c>
      <c r="J2" s="104" t="s">
        <v>329</v>
      </c>
      <c r="L2" s="165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5" t="s">
        <v>292</v>
      </c>
      <c r="AE2" s="176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7" t="s">
        <v>293</v>
      </c>
      <c r="AE3" s="178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>
        <v>4559</v>
      </c>
      <c r="G6" s="147">
        <v>5051</v>
      </c>
      <c r="H6" s="147">
        <v>5782</v>
      </c>
      <c r="I6" s="147">
        <v>7056</v>
      </c>
      <c r="J6" s="147">
        <v>8543</v>
      </c>
      <c r="K6" s="147">
        <v>10284</v>
      </c>
      <c r="L6" s="147">
        <v>12433.22</v>
      </c>
      <c r="M6" s="147">
        <v>15406.46</v>
      </c>
      <c r="N6" s="147">
        <v>19665.560000000001</v>
      </c>
      <c r="O6" s="147">
        <v>24913.54</v>
      </c>
      <c r="P6" s="147">
        <v>30043.200000000001</v>
      </c>
      <c r="Q6" s="118">
        <f>((P6/G6)^(1/($H$2-$H$1) ))-1</f>
        <v>0.2191046282636655</v>
      </c>
      <c r="R6" s="31">
        <f>$L$2</f>
        <v>0.12</v>
      </c>
      <c r="S6" s="155">
        <f>P6*(1+$R6)</f>
        <v>33648.384000000005</v>
      </c>
      <c r="T6" s="155">
        <f>S6*(1+$R6)</f>
        <v>37686.190080000008</v>
      </c>
      <c r="U6" s="155">
        <f t="shared" ref="U6:AB6" si="0">T6*(1+$R6)</f>
        <v>42208.532889600014</v>
      </c>
      <c r="V6" s="155">
        <f t="shared" si="0"/>
        <v>47273.556836352021</v>
      </c>
      <c r="W6" s="155">
        <f t="shared" si="0"/>
        <v>52946.383656714272</v>
      </c>
      <c r="X6" s="155">
        <f t="shared" si="0"/>
        <v>59299.949695519987</v>
      </c>
      <c r="Y6" s="155">
        <f t="shared" si="0"/>
        <v>66415.943658982389</v>
      </c>
      <c r="Z6" s="155">
        <f t="shared" si="0"/>
        <v>74385.856898060287</v>
      </c>
      <c r="AA6" s="155">
        <f t="shared" si="0"/>
        <v>83312.159725827529</v>
      </c>
      <c r="AB6" s="155">
        <f t="shared" si="0"/>
        <v>93309.618892926839</v>
      </c>
      <c r="AC6" s="138">
        <f>((AB6/G6)^(1/($AB$3-$H$1) ))-1</f>
        <v>0.16589778216916962</v>
      </c>
      <c r="AD6" s="31">
        <f>$L$1</f>
        <v>0.08</v>
      </c>
      <c r="AE6" s="146">
        <f t="shared" ref="AE6:AE40" si="1">(AB6*(1+AD6))/($C$1-AD6)</f>
        <v>719817.06003114989</v>
      </c>
    </row>
    <row r="7" spans="2:31">
      <c r="B7" s="20" t="s">
        <v>240</v>
      </c>
      <c r="C7" s="141"/>
      <c r="D7" s="141"/>
      <c r="E7" s="147"/>
      <c r="F7" s="147">
        <v>4803</v>
      </c>
      <c r="G7" s="147">
        <v>5295</v>
      </c>
      <c r="H7" s="147">
        <v>6026</v>
      </c>
      <c r="I7" s="147">
        <v>7301</v>
      </c>
      <c r="J7" s="147">
        <v>8788</v>
      </c>
      <c r="K7" s="147">
        <v>10774</v>
      </c>
      <c r="L7" s="147">
        <v>12922.74</v>
      </c>
      <c r="M7" s="147">
        <v>15895.98</v>
      </c>
      <c r="N7" s="147">
        <v>20155.080000000002</v>
      </c>
      <c r="O7" s="147">
        <v>25403.06</v>
      </c>
      <c r="P7" s="147">
        <v>30532.7</v>
      </c>
      <c r="Q7" s="118">
        <f>((P7/G7)^(1/($H$2-$H$1) ))-1</f>
        <v>0.2149107102652168</v>
      </c>
      <c r="R7" s="31">
        <f>$L$2</f>
        <v>0.12</v>
      </c>
      <c r="S7" s="155">
        <f t="shared" ref="S7:S15" si="2">P7*(1+$R7)</f>
        <v>34196.624000000003</v>
      </c>
      <c r="T7" s="155">
        <f t="shared" ref="T7:AB7" si="3">S7*(1+$R7)</f>
        <v>38300.218880000008</v>
      </c>
      <c r="U7" s="155">
        <f t="shared" si="3"/>
        <v>42896.245145600013</v>
      </c>
      <c r="V7" s="155">
        <f t="shared" si="3"/>
        <v>48043.794563072021</v>
      </c>
      <c r="W7" s="155">
        <f t="shared" si="3"/>
        <v>53809.049910640671</v>
      </c>
      <c r="X7" s="155">
        <f t="shared" si="3"/>
        <v>60266.135899917557</v>
      </c>
      <c r="Y7" s="155">
        <f t="shared" si="3"/>
        <v>67498.072207907666</v>
      </c>
      <c r="Z7" s="155">
        <f t="shared" si="3"/>
        <v>75597.840872856599</v>
      </c>
      <c r="AA7" s="155">
        <f t="shared" si="3"/>
        <v>84669.581777599393</v>
      </c>
      <c r="AB7" s="155">
        <f t="shared" si="3"/>
        <v>94829.931590911336</v>
      </c>
      <c r="AC7" s="138">
        <f>((AB7/G7)^(1/($AB$3-$H$1) ))-1</f>
        <v>0.16399616968539887</v>
      </c>
      <c r="AD7" s="31">
        <f>$L$1</f>
        <v>0.08</v>
      </c>
      <c r="AE7" s="146">
        <f t="shared" si="1"/>
        <v>731545.18655845884</v>
      </c>
    </row>
    <row r="8" spans="2:31">
      <c r="B8" s="20"/>
      <c r="C8" s="141"/>
      <c r="D8" s="141"/>
      <c r="E8" s="147"/>
      <c r="F8" s="147"/>
      <c r="G8" s="149">
        <f>(G7-F7)/G7</f>
        <v>9.2917847025495756E-2</v>
      </c>
      <c r="H8" s="152">
        <f>(H7-G7)/H7</f>
        <v>0.12130766677729837</v>
      </c>
      <c r="I8" s="152">
        <f t="shared" ref="I8:P8" si="4">(I7-H7)/I7</f>
        <v>0.17463361183399534</v>
      </c>
      <c r="J8" s="152">
        <f t="shared" si="4"/>
        <v>0.16920801092398727</v>
      </c>
      <c r="K8" s="152">
        <f t="shared" si="4"/>
        <v>0.18433265268238352</v>
      </c>
      <c r="L8" s="152">
        <f t="shared" si="4"/>
        <v>0.16627588266884577</v>
      </c>
      <c r="M8" s="152">
        <f t="shared" si="4"/>
        <v>0.18704351666270339</v>
      </c>
      <c r="N8" s="152">
        <f t="shared" si="4"/>
        <v>0.21131645222941323</v>
      </c>
      <c r="O8" s="152">
        <f t="shared" si="4"/>
        <v>0.20658849760619388</v>
      </c>
      <c r="P8" s="152">
        <f t="shared" si="4"/>
        <v>0.16800479485928199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>
        <v>4094</v>
      </c>
      <c r="G9" s="147">
        <v>5339</v>
      </c>
      <c r="H9" s="147">
        <v>7248</v>
      </c>
      <c r="I9" s="147">
        <v>8905</v>
      </c>
      <c r="J9" s="147">
        <v>11957</v>
      </c>
      <c r="K9" s="147">
        <v>16632</v>
      </c>
      <c r="L9" s="147">
        <v>28622.45</v>
      </c>
      <c r="M9" s="147">
        <v>32730.02</v>
      </c>
      <c r="N9" s="147">
        <v>39311.33</v>
      </c>
      <c r="O9" s="147">
        <v>41653.43</v>
      </c>
      <c r="P9" s="147">
        <v>28208.3</v>
      </c>
      <c r="Q9" s="118">
        <f t="shared" ref="Q9:Q15" si="5">((P9/G9)^(1/($H$2-$H$1) ))-1</f>
        <v>0.20316200935132778</v>
      </c>
      <c r="R9" s="31">
        <f t="shared" ref="R9:R37" si="6">$L$2</f>
        <v>0.12</v>
      </c>
      <c r="S9" s="155">
        <f t="shared" ref="S9" si="7">P9*(1+$R9)</f>
        <v>31593.296000000002</v>
      </c>
      <c r="T9" s="155">
        <f t="shared" ref="T9" si="8">S9*(1+$R9)</f>
        <v>35384.491520000003</v>
      </c>
      <c r="U9" s="155">
        <f t="shared" ref="U9" si="9">T9*(1+$R9)</f>
        <v>39630.63050240001</v>
      </c>
      <c r="V9" s="155">
        <f t="shared" ref="V9" si="10">U9*(1+$R9)</f>
        <v>44386.306162688015</v>
      </c>
      <c r="W9" s="155">
        <f t="shared" ref="W9" si="11">V9*(1+$R9)</f>
        <v>49712.662902210584</v>
      </c>
      <c r="X9" s="155">
        <f t="shared" ref="X9" si="12">W9*(1+$R9)</f>
        <v>55678.182450475862</v>
      </c>
      <c r="Y9" s="155">
        <f t="shared" ref="Y9" si="13">X9*(1+$R9)</f>
        <v>62359.56434453297</v>
      </c>
      <c r="Z9" s="155">
        <f t="shared" ref="Z9" si="14">Y9*(1+$R9)</f>
        <v>69842.712065876927</v>
      </c>
      <c r="AA9" s="155">
        <f t="shared" ref="AA9" si="15">Z9*(1+$R9)</f>
        <v>78223.837513782171</v>
      </c>
      <c r="AB9" s="155">
        <f t="shared" ref="AB9" si="16">AA9*(1+$R9)</f>
        <v>87610.698015436035</v>
      </c>
      <c r="AC9" s="138">
        <f>((AB9/G9)^(1/($AB$3-$H$1) ))-1</f>
        <v>0.15865058500121632</v>
      </c>
      <c r="AD9" s="31">
        <f t="shared" ref="AD9:AD72" si="17">$L$1</f>
        <v>0.08</v>
      </c>
      <c r="AE9" s="146">
        <f t="shared" si="1"/>
        <v>675853.95611907798</v>
      </c>
    </row>
    <row r="10" spans="2:31">
      <c r="B10" s="20" t="s">
        <v>4</v>
      </c>
      <c r="C10" s="141"/>
      <c r="D10" s="141"/>
      <c r="E10" s="147"/>
      <c r="F10" s="147">
        <v>531</v>
      </c>
      <c r="G10" s="147">
        <v>540</v>
      </c>
      <c r="H10" s="147">
        <v>536</v>
      </c>
      <c r="I10" s="147">
        <v>558</v>
      </c>
      <c r="J10" s="147">
        <v>89</v>
      </c>
      <c r="K10" s="147">
        <v>95</v>
      </c>
      <c r="L10" s="147">
        <v>167</v>
      </c>
      <c r="M10" s="147">
        <v>148</v>
      </c>
      <c r="N10" s="147">
        <v>270</v>
      </c>
      <c r="O10" s="147">
        <v>369</v>
      </c>
      <c r="P10" s="147">
        <v>1233</v>
      </c>
      <c r="Q10" s="118">
        <f t="shared" si="5"/>
        <v>9.6076925687655246E-2</v>
      </c>
      <c r="R10" s="31">
        <f t="shared" si="6"/>
        <v>0.12</v>
      </c>
      <c r="S10" s="155">
        <f t="shared" si="2"/>
        <v>1380.96</v>
      </c>
      <c r="T10" s="155">
        <f t="shared" ref="T10:AB10" si="18">S10*(1+$R10)</f>
        <v>1546.6752000000001</v>
      </c>
      <c r="U10" s="155">
        <f t="shared" si="18"/>
        <v>1732.2762240000004</v>
      </c>
      <c r="V10" s="155">
        <f t="shared" si="18"/>
        <v>1940.1493708800006</v>
      </c>
      <c r="W10" s="155">
        <f t="shared" si="18"/>
        <v>2172.9672953856007</v>
      </c>
      <c r="X10" s="155">
        <f t="shared" si="18"/>
        <v>2433.7233708318731</v>
      </c>
      <c r="Y10" s="155">
        <f t="shared" si="18"/>
        <v>2725.7701753316983</v>
      </c>
      <c r="Z10" s="155">
        <f t="shared" si="18"/>
        <v>3052.8625963715021</v>
      </c>
      <c r="AA10" s="155">
        <f t="shared" si="18"/>
        <v>3419.2061079360828</v>
      </c>
      <c r="AB10" s="155">
        <f t="shared" si="18"/>
        <v>3829.510840888413</v>
      </c>
      <c r="AC10" s="138">
        <f t="shared" ref="AC10:AC39" si="19">((AB10/G10)^(1/($AB$3-$H$1) ))-1</f>
        <v>0.1086036183951018</v>
      </c>
      <c r="AD10" s="31">
        <f t="shared" si="17"/>
        <v>0.08</v>
      </c>
      <c r="AE10" s="146">
        <f t="shared" si="1"/>
        <v>29541.940772567756</v>
      </c>
    </row>
    <row r="11" spans="2:31">
      <c r="B11" s="20"/>
      <c r="C11" s="141"/>
      <c r="D11" s="141"/>
      <c r="E11" s="147"/>
      <c r="F11" s="147"/>
      <c r="G11" s="149">
        <f>(G10-F10)/G10</f>
        <v>1.6666666666666666E-2</v>
      </c>
      <c r="H11" s="148">
        <f>(H10-G10)/H10</f>
        <v>-7.462686567164179E-3</v>
      </c>
      <c r="I11" s="148">
        <f t="shared" ref="I11" si="20">(I10-H10)/I10</f>
        <v>3.9426523297491037E-2</v>
      </c>
      <c r="J11" s="148">
        <f t="shared" ref="J11" si="21">(J10-I10)/J10</f>
        <v>-5.2696629213483144</v>
      </c>
      <c r="K11" s="148">
        <f t="shared" ref="K11" si="22">(K10-J10)/K10</f>
        <v>6.3157894736842107E-2</v>
      </c>
      <c r="L11" s="148">
        <f t="shared" ref="L11" si="23">(L10-K10)/L10</f>
        <v>0.43113772455089822</v>
      </c>
      <c r="M11" s="148">
        <f t="shared" ref="M11" si="24">(M10-L10)/M10</f>
        <v>-0.12837837837837837</v>
      </c>
      <c r="N11" s="148">
        <f t="shared" ref="N11" si="25">(N10-M10)/N10</f>
        <v>0.45185185185185184</v>
      </c>
      <c r="O11" s="148">
        <f t="shared" ref="O11" si="26">(O10-N10)/O10</f>
        <v>0.26829268292682928</v>
      </c>
      <c r="P11" s="148">
        <f t="shared" ref="P11" si="27">(P10-O10)/P10</f>
        <v>0.7007299270072993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>
        <f>1119+201</f>
        <v>1320</v>
      </c>
      <c r="G12" s="147">
        <f>1504+1155</f>
        <v>2659</v>
      </c>
      <c r="H12" s="147">
        <f>1392+1785</f>
        <v>3177</v>
      </c>
      <c r="I12" s="147">
        <f>1483+2650</f>
        <v>4133</v>
      </c>
      <c r="J12" s="147">
        <f>2068+3740</f>
        <v>5808</v>
      </c>
      <c r="K12" s="147">
        <f>1511+6875</f>
        <v>8386</v>
      </c>
      <c r="L12" s="147">
        <f>1956+8373</f>
        <v>10329</v>
      </c>
      <c r="M12" s="147">
        <f>889+8967</f>
        <v>9856</v>
      </c>
      <c r="N12" s="147">
        <f>1449+8256</f>
        <v>9705</v>
      </c>
      <c r="O12" s="147">
        <f>6734</f>
        <v>6734</v>
      </c>
      <c r="P12" s="147">
        <f>7845.1</f>
        <v>7845.1</v>
      </c>
      <c r="Q12" s="118">
        <f t="shared" si="5"/>
        <v>0.12773979328944707</v>
      </c>
      <c r="R12" s="31">
        <f t="shared" si="6"/>
        <v>0.12</v>
      </c>
      <c r="S12" s="155">
        <f t="shared" si="2"/>
        <v>8786.5120000000006</v>
      </c>
      <c r="T12" s="155">
        <f t="shared" ref="T12:AB12" si="28">S12*(1+$R12)</f>
        <v>9840.8934400000016</v>
      </c>
      <c r="U12" s="155">
        <f t="shared" si="28"/>
        <v>11021.800652800002</v>
      </c>
      <c r="V12" s="155">
        <f t="shared" si="28"/>
        <v>12344.416731136003</v>
      </c>
      <c r="W12" s="155">
        <f t="shared" si="28"/>
        <v>13825.746738872325</v>
      </c>
      <c r="X12" s="155">
        <f t="shared" si="28"/>
        <v>15484.836347537006</v>
      </c>
      <c r="Y12" s="155">
        <f t="shared" si="28"/>
        <v>17343.016709241449</v>
      </c>
      <c r="Z12" s="155">
        <f t="shared" si="28"/>
        <v>19424.178714350423</v>
      </c>
      <c r="AA12" s="155">
        <f t="shared" si="28"/>
        <v>21755.080160072474</v>
      </c>
      <c r="AB12" s="155">
        <f t="shared" si="28"/>
        <v>24365.689779281172</v>
      </c>
      <c r="AC12" s="138">
        <f t="shared" si="19"/>
        <v>0.12365957397453076</v>
      </c>
      <c r="AD12" s="31">
        <f t="shared" si="17"/>
        <v>0.08</v>
      </c>
      <c r="AE12" s="146">
        <f t="shared" si="1"/>
        <v>187963.89258302617</v>
      </c>
    </row>
    <row r="13" spans="2:31">
      <c r="B13" s="20" t="s">
        <v>218</v>
      </c>
      <c r="C13" s="141"/>
      <c r="D13" s="141"/>
      <c r="E13" s="147"/>
      <c r="F13" s="147">
        <v>10.33</v>
      </c>
      <c r="G13" s="147">
        <v>29</v>
      </c>
      <c r="H13" s="147">
        <v>9</v>
      </c>
      <c r="I13" s="147">
        <v>8</v>
      </c>
      <c r="J13" s="147">
        <v>8</v>
      </c>
      <c r="K13" s="147">
        <v>980</v>
      </c>
      <c r="L13" s="147">
        <v>1664</v>
      </c>
      <c r="M13" s="147">
        <v>2608</v>
      </c>
      <c r="N13" s="147">
        <v>3609</v>
      </c>
      <c r="O13" s="147">
        <v>4542</v>
      </c>
      <c r="P13" s="190">
        <v>5000</v>
      </c>
      <c r="Q13" s="118">
        <f t="shared" si="5"/>
        <v>0.77218069252771548</v>
      </c>
      <c r="R13" s="31">
        <f t="shared" si="6"/>
        <v>0.12</v>
      </c>
      <c r="S13" s="155">
        <f t="shared" si="2"/>
        <v>5600.0000000000009</v>
      </c>
      <c r="T13" s="155">
        <f t="shared" ref="T13:AB13" si="29">S13*(1+$R13)</f>
        <v>6272.0000000000018</v>
      </c>
      <c r="U13" s="155">
        <f t="shared" si="29"/>
        <v>7024.6400000000031</v>
      </c>
      <c r="V13" s="155">
        <f t="shared" si="29"/>
        <v>7867.5968000000039</v>
      </c>
      <c r="W13" s="155">
        <f t="shared" si="29"/>
        <v>8811.7084160000049</v>
      </c>
      <c r="X13" s="155">
        <f t="shared" si="29"/>
        <v>9869.1134259200062</v>
      </c>
      <c r="Y13" s="155">
        <f t="shared" si="29"/>
        <v>11053.407037030407</v>
      </c>
      <c r="Z13" s="155">
        <f t="shared" si="29"/>
        <v>12379.815881474056</v>
      </c>
      <c r="AA13" s="155">
        <f t="shared" si="29"/>
        <v>13865.393787250945</v>
      </c>
      <c r="AB13" s="155">
        <f t="shared" si="29"/>
        <v>15529.241041721059</v>
      </c>
      <c r="AC13" s="138">
        <f t="shared" si="19"/>
        <v>0.39193366458744427</v>
      </c>
      <c r="AD13" s="31">
        <f t="shared" si="17"/>
        <v>0.08</v>
      </c>
      <c r="AE13" s="146">
        <f t="shared" si="1"/>
        <v>119797.00232184817</v>
      </c>
    </row>
    <row r="14" spans="2:31">
      <c r="B14" s="20" t="s">
        <v>19</v>
      </c>
      <c r="C14" s="141"/>
      <c r="D14" s="141"/>
      <c r="E14" s="147"/>
      <c r="F14" s="147">
        <v>8893</v>
      </c>
      <c r="G14" s="147">
        <v>11065</v>
      </c>
      <c r="H14" s="147">
        <v>13987</v>
      </c>
      <c r="I14" s="147">
        <v>19232</v>
      </c>
      <c r="J14" s="147">
        <v>25239</v>
      </c>
      <c r="K14" s="147">
        <v>33463</v>
      </c>
      <c r="L14" s="147">
        <v>38884</v>
      </c>
      <c r="M14" s="147">
        <v>44604</v>
      </c>
      <c r="N14" s="147">
        <v>53908</v>
      </c>
      <c r="O14" s="147">
        <v>61142</v>
      </c>
      <c r="P14" s="147">
        <v>51410.8</v>
      </c>
      <c r="Q14" s="118">
        <f t="shared" si="5"/>
        <v>0.18610339582765878</v>
      </c>
      <c r="R14" s="31">
        <f t="shared" si="6"/>
        <v>0.12</v>
      </c>
      <c r="S14" s="155">
        <f t="shared" si="2"/>
        <v>57580.096000000012</v>
      </c>
      <c r="T14" s="155">
        <f t="shared" ref="T14:AB14" si="30">S14*(1+$R14)</f>
        <v>64489.707520000018</v>
      </c>
      <c r="U14" s="155">
        <f t="shared" si="30"/>
        <v>72228.472422400024</v>
      </c>
      <c r="V14" s="155">
        <f t="shared" si="30"/>
        <v>80895.889113088037</v>
      </c>
      <c r="W14" s="155">
        <f t="shared" si="30"/>
        <v>90603.395806658606</v>
      </c>
      <c r="X14" s="155">
        <f t="shared" si="30"/>
        <v>101475.80330345765</v>
      </c>
      <c r="Y14" s="155">
        <f t="shared" si="30"/>
        <v>113652.89969987258</v>
      </c>
      <c r="Z14" s="155">
        <f t="shared" si="30"/>
        <v>127291.2476638573</v>
      </c>
      <c r="AA14" s="155">
        <f t="shared" si="30"/>
        <v>142566.19738352019</v>
      </c>
      <c r="AB14" s="155">
        <f t="shared" si="30"/>
        <v>159674.14106954265</v>
      </c>
      <c r="AC14" s="138">
        <f t="shared" si="19"/>
        <v>0.15083988169402063</v>
      </c>
      <c r="AD14" s="31">
        <f t="shared" si="17"/>
        <v>0.08</v>
      </c>
      <c r="AE14" s="146">
        <f t="shared" si="1"/>
        <v>1231771.9453936147</v>
      </c>
    </row>
    <row r="15" spans="2:31">
      <c r="B15" s="20" t="s">
        <v>23</v>
      </c>
      <c r="C15" s="141"/>
      <c r="D15" s="141"/>
      <c r="E15" s="147"/>
      <c r="F15" s="147">
        <v>3992</v>
      </c>
      <c r="G15" s="147">
        <v>4585</v>
      </c>
      <c r="H15" s="147">
        <v>5413</v>
      </c>
      <c r="I15" s="147">
        <v>6678</v>
      </c>
      <c r="J15" s="147">
        <v>7574</v>
      </c>
      <c r="K15" s="147">
        <v>9221</v>
      </c>
      <c r="L15" s="147">
        <v>10261</v>
      </c>
      <c r="M15" s="147">
        <v>11874</v>
      </c>
      <c r="N15" s="147">
        <v>14597</v>
      </c>
      <c r="O15" s="147">
        <v>19488</v>
      </c>
      <c r="P15" s="147">
        <f>P14-P9</f>
        <v>23202.500000000004</v>
      </c>
      <c r="Q15" s="118">
        <f t="shared" si="5"/>
        <v>0.19741291472007161</v>
      </c>
      <c r="R15" s="31">
        <f t="shared" si="6"/>
        <v>0.12</v>
      </c>
      <c r="S15" s="155">
        <f t="shared" si="2"/>
        <v>25986.800000000007</v>
      </c>
      <c r="T15" s="155">
        <f t="shared" ref="T15:AB15" si="31">S15*(1+$R15)</f>
        <v>29105.216000000011</v>
      </c>
      <c r="U15" s="155">
        <f t="shared" si="31"/>
        <v>32597.841920000017</v>
      </c>
      <c r="V15" s="155">
        <f t="shared" si="31"/>
        <v>36509.582950400021</v>
      </c>
      <c r="W15" s="155">
        <f t="shared" si="31"/>
        <v>40890.732904448028</v>
      </c>
      <c r="X15" s="155">
        <f t="shared" si="31"/>
        <v>45797.620852981796</v>
      </c>
      <c r="Y15" s="155">
        <f t="shared" si="31"/>
        <v>51293.335355339615</v>
      </c>
      <c r="Z15" s="155">
        <f t="shared" si="31"/>
        <v>57448.535597980372</v>
      </c>
      <c r="AA15" s="155">
        <f t="shared" si="31"/>
        <v>64342.359869738022</v>
      </c>
      <c r="AB15" s="155">
        <f t="shared" si="31"/>
        <v>72063.443054106596</v>
      </c>
      <c r="AC15" s="138">
        <f t="shared" si="19"/>
        <v>0.15602477176932661</v>
      </c>
      <c r="AD15" s="31">
        <f t="shared" si="17"/>
        <v>0.08</v>
      </c>
      <c r="AE15" s="146">
        <f t="shared" si="1"/>
        <v>555917.98927453649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>
        <v>1169</v>
      </c>
      <c r="G17" s="147">
        <v>1093</v>
      </c>
      <c r="H17" s="147">
        <v>1043</v>
      </c>
      <c r="I17" s="147">
        <v>981</v>
      </c>
      <c r="J17" s="147">
        <v>988</v>
      </c>
      <c r="K17" s="147">
        <v>980</v>
      </c>
      <c r="L17" s="147">
        <v>1664</v>
      </c>
      <c r="M17" s="147">
        <v>2608</v>
      </c>
      <c r="N17" s="147">
        <v>3609</v>
      </c>
      <c r="O17" s="147">
        <v>4542</v>
      </c>
      <c r="P17" s="147">
        <f>6850.1-957.2</f>
        <v>5892.9000000000005</v>
      </c>
      <c r="Q17" s="118">
        <f>((P17/G17)^(1/($H$2-$H$1) ))-1</f>
        <v>0.20587138595175869</v>
      </c>
      <c r="R17" s="31">
        <f t="shared" si="6"/>
        <v>0.12</v>
      </c>
      <c r="S17" s="155">
        <f t="shared" ref="S17:S33" si="32">P17*(1+$R17)</f>
        <v>6600.0480000000016</v>
      </c>
      <c r="T17" s="155">
        <f t="shared" ref="T17:T33" si="33">S17*(1+$R17)</f>
        <v>7392.0537600000025</v>
      </c>
      <c r="U17" s="155">
        <f t="shared" ref="U17:U33" si="34">T17*(1+$R17)</f>
        <v>8279.1002112000042</v>
      </c>
      <c r="V17" s="155">
        <f t="shared" ref="V17:V33" si="35">U17*(1+$R17)</f>
        <v>9272.5922365440056</v>
      </c>
      <c r="W17" s="155">
        <f t="shared" ref="W17:W35" si="36">V17*(1+$R17)</f>
        <v>10385.303304929288</v>
      </c>
      <c r="X17" s="155">
        <f t="shared" ref="X17:X35" si="37">W17*(1+$R17)</f>
        <v>11631.539701520804</v>
      </c>
      <c r="Y17" s="155">
        <f t="shared" ref="Y17:Y35" si="38">X17*(1+$R17)</f>
        <v>13027.324465703301</v>
      </c>
      <c r="Z17" s="155">
        <f t="shared" ref="Z17:Z35" si="39">Y17*(1+$R17)</f>
        <v>14590.603401587699</v>
      </c>
      <c r="AA17" s="155">
        <f t="shared" ref="AA17:AA35" si="40">Z17*(1+$R17)</f>
        <v>16341.475809778225</v>
      </c>
      <c r="AB17" s="155">
        <f t="shared" ref="AB17:AB35" si="41">AA17*(1+$R17)</f>
        <v>18302.452906951614</v>
      </c>
      <c r="AC17" s="138">
        <f t="shared" si="19"/>
        <v>0.15988576290664902</v>
      </c>
      <c r="AD17" s="31">
        <f t="shared" si="17"/>
        <v>0.08</v>
      </c>
      <c r="AE17" s="146">
        <f t="shared" si="1"/>
        <v>141190.35099648387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>
        <v>1243</v>
      </c>
      <c r="G19" s="147">
        <v>1695</v>
      </c>
      <c r="H19" s="147">
        <v>818</v>
      </c>
      <c r="I19" s="147">
        <v>1623</v>
      </c>
      <c r="J19" s="147">
        <v>2821</v>
      </c>
      <c r="K19" s="147">
        <v>3478</v>
      </c>
      <c r="L19" s="147">
        <v>3291</v>
      </c>
      <c r="M19" s="147">
        <v>1585</v>
      </c>
      <c r="N19" s="147">
        <v>2658</v>
      </c>
      <c r="O19" s="147">
        <v>-813</v>
      </c>
      <c r="P19" s="190">
        <v>2000</v>
      </c>
      <c r="Q19" s="118">
        <f>((P19/G19)^(1/($H$2-$H$1) ))-1</f>
        <v>1.8554981196399867E-2</v>
      </c>
      <c r="R19" s="31">
        <f t="shared" si="6"/>
        <v>0.12</v>
      </c>
      <c r="S19" s="155">
        <f t="shared" ref="S19:S21" si="42">P19*(1+$R19)</f>
        <v>2240</v>
      </c>
      <c r="T19" s="155">
        <f t="shared" ref="T19:T21" si="43">S19*(1+$R19)</f>
        <v>2508.8000000000002</v>
      </c>
      <c r="U19" s="155">
        <f t="shared" ref="U19:U21" si="44">T19*(1+$R19)</f>
        <v>2809.8560000000007</v>
      </c>
      <c r="V19" s="155">
        <f t="shared" ref="V19:V21" si="45">U19*(1+$R19)</f>
        <v>3147.0387200000009</v>
      </c>
      <c r="W19" s="155">
        <f t="shared" ref="W19:W21" si="46">V19*(1+$R19)</f>
        <v>3524.6833664000014</v>
      </c>
      <c r="X19" s="155">
        <f t="shared" ref="X19:X21" si="47">W19*(1+$R19)</f>
        <v>3947.6453703680022</v>
      </c>
      <c r="Y19" s="155">
        <f t="shared" ref="Y19:Y21" si="48">X19*(1+$R19)</f>
        <v>4421.3628148121625</v>
      </c>
      <c r="Z19" s="155">
        <f t="shared" ref="Z19:Z21" si="49">Y19*(1+$R19)</f>
        <v>4951.9263525896222</v>
      </c>
      <c r="AA19" s="155">
        <f t="shared" ref="AA19:AA21" si="50">Z19*(1+$R19)</f>
        <v>5546.1575149003775</v>
      </c>
      <c r="AB19" s="155">
        <f t="shared" ref="AB19:AB21" si="51">AA19*(1+$R19)</f>
        <v>6211.6964166884236</v>
      </c>
      <c r="AC19" s="138">
        <f t="shared" ref="AC19:AC21" si="52">((AB19/G19)^(1/($AB$3-$H$1) ))-1</f>
        <v>7.074571024844345E-2</v>
      </c>
      <c r="AD19" s="31">
        <f t="shared" si="17"/>
        <v>0.08</v>
      </c>
      <c r="AE19" s="146">
        <f t="shared" si="1"/>
        <v>47918.800928739263</v>
      </c>
    </row>
    <row r="20" spans="2:31">
      <c r="B20" s="20" t="s">
        <v>285</v>
      </c>
      <c r="C20" s="141"/>
      <c r="D20" s="141"/>
      <c r="E20" s="147"/>
      <c r="F20" s="147">
        <v>-110</v>
      </c>
      <c r="G20" s="147">
        <v>-109</v>
      </c>
      <c r="H20" s="147">
        <v>-35</v>
      </c>
      <c r="I20" s="147">
        <v>-156</v>
      </c>
      <c r="J20" s="147">
        <v>-212</v>
      </c>
      <c r="K20" s="147">
        <v>-12.54</v>
      </c>
      <c r="L20" s="147">
        <v>-512</v>
      </c>
      <c r="M20" s="147">
        <v>-966</v>
      </c>
      <c r="N20" s="147">
        <v>-1342</v>
      </c>
      <c r="O20" s="147">
        <v>-329</v>
      </c>
      <c r="P20" s="190">
        <v>100</v>
      </c>
      <c r="Q20" s="118">
        <f>((P20/G20)^(1/($H$2-$H$1) ))-1</f>
        <v>-1.9904703976275724</v>
      </c>
      <c r="R20" s="31">
        <f t="shared" si="6"/>
        <v>0.12</v>
      </c>
      <c r="S20" s="155">
        <f t="shared" si="42"/>
        <v>112.00000000000001</v>
      </c>
      <c r="T20" s="155">
        <f t="shared" si="43"/>
        <v>125.44000000000003</v>
      </c>
      <c r="U20" s="155">
        <f t="shared" si="44"/>
        <v>140.49280000000005</v>
      </c>
      <c r="V20" s="155">
        <f t="shared" si="45"/>
        <v>157.35193600000005</v>
      </c>
      <c r="W20" s="155">
        <f t="shared" si="46"/>
        <v>176.23416832000007</v>
      </c>
      <c r="X20" s="155">
        <f t="shared" si="47"/>
        <v>197.38226851840008</v>
      </c>
      <c r="Y20" s="155">
        <f t="shared" si="48"/>
        <v>221.0681407406081</v>
      </c>
      <c r="Z20" s="155">
        <f t="shared" si="49"/>
        <v>247.59631762948109</v>
      </c>
      <c r="AA20" s="155">
        <f t="shared" si="50"/>
        <v>277.30787574501886</v>
      </c>
      <c r="AB20" s="155">
        <f t="shared" si="51"/>
        <v>310.58482083442118</v>
      </c>
      <c r="AC20" s="138">
        <f t="shared" si="52"/>
        <v>-2.0566579059146024</v>
      </c>
      <c r="AD20" s="31">
        <f t="shared" si="17"/>
        <v>0.08</v>
      </c>
      <c r="AE20" s="146">
        <f t="shared" si="1"/>
        <v>2395.9400464369633</v>
      </c>
    </row>
    <row r="21" spans="2:31">
      <c r="B21" s="20" t="s">
        <v>286</v>
      </c>
      <c r="C21" s="141"/>
      <c r="D21" s="141"/>
      <c r="E21" s="147"/>
      <c r="F21" s="147">
        <v>-285</v>
      </c>
      <c r="G21" s="147">
        <v>-247</v>
      </c>
      <c r="H21" s="147">
        <v>-265</v>
      </c>
      <c r="I21" s="147">
        <v>-511</v>
      </c>
      <c r="J21" s="147">
        <v>-933</v>
      </c>
      <c r="K21" s="147">
        <v>-888</v>
      </c>
      <c r="L21" s="147">
        <v>-849</v>
      </c>
      <c r="M21" s="147">
        <v>-1143</v>
      </c>
      <c r="N21" s="147">
        <v>-1475</v>
      </c>
      <c r="O21" s="147">
        <v>-1814</v>
      </c>
      <c r="P21" s="190">
        <v>1000</v>
      </c>
      <c r="Q21" s="118">
        <f>((P21/G21)^(1/($H$2-$H$1) ))-1</f>
        <v>-2.168094869162978</v>
      </c>
      <c r="R21" s="31">
        <f t="shared" si="6"/>
        <v>0.12</v>
      </c>
      <c r="S21" s="155">
        <f t="shared" si="42"/>
        <v>1120</v>
      </c>
      <c r="T21" s="155">
        <f t="shared" si="43"/>
        <v>1254.4000000000001</v>
      </c>
      <c r="U21" s="155">
        <f t="shared" si="44"/>
        <v>1404.9280000000003</v>
      </c>
      <c r="V21" s="155">
        <f t="shared" si="45"/>
        <v>1573.5193600000005</v>
      </c>
      <c r="W21" s="155">
        <f t="shared" si="46"/>
        <v>1762.3416832000007</v>
      </c>
      <c r="X21" s="155">
        <f t="shared" si="47"/>
        <v>1973.8226851840011</v>
      </c>
      <c r="Y21" s="155">
        <f t="shared" si="48"/>
        <v>2210.6814074060812</v>
      </c>
      <c r="Z21" s="155">
        <f t="shared" si="49"/>
        <v>2475.9631762948111</v>
      </c>
      <c r="AA21" s="155">
        <f t="shared" si="50"/>
        <v>2773.0787574501887</v>
      </c>
      <c r="AB21" s="155">
        <f t="shared" si="51"/>
        <v>3105.8482083442118</v>
      </c>
      <c r="AC21" s="138">
        <f t="shared" si="52"/>
        <v>-2.1425298114301254</v>
      </c>
      <c r="AD21" s="31">
        <f t="shared" si="17"/>
        <v>0.08</v>
      </c>
      <c r="AE21" s="146">
        <f t="shared" si="1"/>
        <v>23959.400464369632</v>
      </c>
    </row>
    <row r="22" spans="2:31">
      <c r="B22" s="20" t="s">
        <v>296</v>
      </c>
      <c r="C22" s="141"/>
      <c r="D22" s="141"/>
      <c r="E22" s="147"/>
      <c r="F22" s="147">
        <v>1320</v>
      </c>
      <c r="G22" s="147">
        <v>2659</v>
      </c>
      <c r="H22" s="147">
        <v>3177</v>
      </c>
      <c r="I22" s="147">
        <v>4133</v>
      </c>
      <c r="J22" s="147">
        <v>5808</v>
      </c>
      <c r="K22" s="147">
        <v>5808</v>
      </c>
      <c r="L22" s="147">
        <v>10314</v>
      </c>
      <c r="M22" s="147">
        <v>9790</v>
      </c>
      <c r="N22" s="147">
        <v>9630</v>
      </c>
      <c r="O22" s="147">
        <v>6671</v>
      </c>
      <c r="P22" s="190">
        <v>7000</v>
      </c>
      <c r="Q22" s="118">
        <f>((P22/G22)^(1/($H$2-$H$1) ))-1</f>
        <v>0.11354777850856124</v>
      </c>
      <c r="R22" s="31">
        <f t="shared" si="6"/>
        <v>0.12</v>
      </c>
      <c r="S22" s="155">
        <f t="shared" ref="S22" si="53">P22*(1+$R22)</f>
        <v>7840.0000000000009</v>
      </c>
      <c r="T22" s="155">
        <f t="shared" ref="T22" si="54">S22*(1+$R22)</f>
        <v>8780.8000000000011</v>
      </c>
      <c r="U22" s="155">
        <f t="shared" ref="U22" si="55">T22*(1+$R22)</f>
        <v>9834.4960000000028</v>
      </c>
      <c r="V22" s="155">
        <f t="shared" ref="V22" si="56">U22*(1+$R22)</f>
        <v>11014.635520000003</v>
      </c>
      <c r="W22" s="155">
        <f t="shared" ref="W22" si="57">V22*(1+$R22)</f>
        <v>12336.391782400005</v>
      </c>
      <c r="X22" s="155">
        <f t="shared" ref="X22" si="58">W22*(1+$R22)</f>
        <v>13816.758796288008</v>
      </c>
      <c r="Y22" s="155">
        <f t="shared" ref="Y22" si="59">X22*(1+$R22)</f>
        <v>15474.76985184257</v>
      </c>
      <c r="Z22" s="155">
        <f t="shared" ref="Z22" si="60">Y22*(1+$R22)</f>
        <v>17331.74223406368</v>
      </c>
      <c r="AA22" s="155">
        <f t="shared" ref="AA22" si="61">Z22*(1+$R22)</f>
        <v>19411.551302151325</v>
      </c>
      <c r="AB22" s="155">
        <f t="shared" ref="AB22" si="62">AA22*(1+$R22)</f>
        <v>21740.937458409488</v>
      </c>
      <c r="AC22" s="138">
        <f t="shared" ref="AC22" si="63">((AB22/G22)^(1/($AB$3-$H$1) ))-1</f>
        <v>0.11693903746210355</v>
      </c>
      <c r="AD22" s="31">
        <f t="shared" si="17"/>
        <v>0.08</v>
      </c>
      <c r="AE22" s="146">
        <f t="shared" si="1"/>
        <v>167715.80325058746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>
        <v>7023</v>
      </c>
      <c r="G24" s="147">
        <v>8020</v>
      </c>
      <c r="H24" s="147">
        <v>10438</v>
      </c>
      <c r="I24" s="147">
        <v>14169</v>
      </c>
      <c r="J24" s="147">
        <v>18026</v>
      </c>
      <c r="K24" s="147">
        <v>21391</v>
      </c>
      <c r="L24" s="147">
        <v>29082</v>
      </c>
      <c r="M24" s="147">
        <v>35392</v>
      </c>
      <c r="N24" s="147">
        <v>43470</v>
      </c>
      <c r="O24" s="147">
        <v>50208</v>
      </c>
      <c r="P24" s="147">
        <f>48106.3+1128.8</f>
        <v>49235.100000000006</v>
      </c>
      <c r="Q24" s="118">
        <f>((P24/G24)^(1/($H$2-$H$1) ))-1</f>
        <v>0.22339504543819455</v>
      </c>
      <c r="R24" s="31">
        <f t="shared" si="6"/>
        <v>0.12</v>
      </c>
      <c r="S24" s="155">
        <f t="shared" si="32"/>
        <v>55143.312000000013</v>
      </c>
      <c r="T24" s="155">
        <f t="shared" si="33"/>
        <v>61760.509440000023</v>
      </c>
      <c r="U24" s="155">
        <f t="shared" si="34"/>
        <v>69171.770572800029</v>
      </c>
      <c r="V24" s="155">
        <f t="shared" si="35"/>
        <v>77472.383041536043</v>
      </c>
      <c r="W24" s="155">
        <f t="shared" si="36"/>
        <v>86769.069006520382</v>
      </c>
      <c r="X24" s="155">
        <f t="shared" si="37"/>
        <v>97181.357287302832</v>
      </c>
      <c r="Y24" s="155">
        <f t="shared" si="38"/>
        <v>108843.12016177918</v>
      </c>
      <c r="Z24" s="155">
        <f t="shared" si="39"/>
        <v>121904.29458119269</v>
      </c>
      <c r="AA24" s="155">
        <f t="shared" si="40"/>
        <v>136532.80993093582</v>
      </c>
      <c r="AB24" s="155">
        <f t="shared" si="41"/>
        <v>152916.74712264814</v>
      </c>
      <c r="AC24" s="138">
        <f t="shared" si="19"/>
        <v>0.16783958998142068</v>
      </c>
      <c r="AD24" s="31">
        <f t="shared" si="17"/>
        <v>0.08</v>
      </c>
      <c r="AE24" s="146">
        <f t="shared" si="1"/>
        <v>1179643.4778032857</v>
      </c>
    </row>
    <row r="25" spans="2:31" s="123" customFormat="1">
      <c r="B25" s="23"/>
      <c r="C25" s="150"/>
      <c r="D25" s="150"/>
      <c r="E25" s="151"/>
      <c r="F25" s="151"/>
      <c r="G25" s="149">
        <f>(G24-F24)/G24</f>
        <v>0.1243142144638404</v>
      </c>
      <c r="H25" s="149">
        <f>(H24-G24)/H24</f>
        <v>0.23165357348150986</v>
      </c>
      <c r="I25" s="149">
        <f t="shared" ref="I25" si="64">(I24-H24)/I24</f>
        <v>0.26332133530947843</v>
      </c>
      <c r="J25" s="149">
        <f t="shared" ref="J25" si="65">(J24-I24)/J24</f>
        <v>0.21396871186064573</v>
      </c>
      <c r="K25" s="149">
        <f t="shared" ref="K25" si="66">(K24-J24)/K24</f>
        <v>0.15730914870740031</v>
      </c>
      <c r="L25" s="149">
        <f t="shared" ref="L25" si="67">(L24-K24)/L24</f>
        <v>0.26445911560415375</v>
      </c>
      <c r="M25" s="149">
        <f t="shared" ref="M25" si="68">(M24-L24)/M24</f>
        <v>0.1782888788426763</v>
      </c>
      <c r="N25" s="149">
        <f t="shared" ref="N25" si="69">(N24-M24)/N24</f>
        <v>0.18582930756843799</v>
      </c>
      <c r="O25" s="149">
        <f t="shared" ref="O25" si="70">(O24-N24)/O24</f>
        <v>0.13420172084130019</v>
      </c>
      <c r="P25" s="149">
        <f t="shared" ref="P25" si="71">(P24-O24)/P24</f>
        <v>-1.9760292961728404E-2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>
        <v>5957</v>
      </c>
      <c r="G26" s="147">
        <v>7152</v>
      </c>
      <c r="H26" s="147">
        <v>8875</v>
      </c>
      <c r="I26" s="147">
        <v>11603</v>
      </c>
      <c r="J26" s="147">
        <v>14000</v>
      </c>
      <c r="K26" s="147">
        <v>16621</v>
      </c>
      <c r="L26" s="147">
        <v>23870</v>
      </c>
      <c r="M26" s="147">
        <v>28168</v>
      </c>
      <c r="N26" s="147">
        <v>33768</v>
      </c>
      <c r="O26" s="147">
        <v>38965</v>
      </c>
      <c r="P26" s="147">
        <f>40390-957.2</f>
        <v>39432.800000000003</v>
      </c>
      <c r="Q26" s="118">
        <f>((P26/G26)^(1/($H$2-$H$1) ))-1</f>
        <v>0.2088742402789896</v>
      </c>
      <c r="R26" s="31">
        <f t="shared" si="6"/>
        <v>0.12</v>
      </c>
      <c r="S26" s="155">
        <f t="shared" si="32"/>
        <v>44164.736000000004</v>
      </c>
      <c r="T26" s="155">
        <f t="shared" si="33"/>
        <v>49464.504320000007</v>
      </c>
      <c r="U26" s="155">
        <f t="shared" si="34"/>
        <v>55400.244838400016</v>
      </c>
      <c r="V26" s="155">
        <f t="shared" si="35"/>
        <v>62048.274219008024</v>
      </c>
      <c r="W26" s="155">
        <f t="shared" si="36"/>
        <v>69494.067125288988</v>
      </c>
      <c r="X26" s="155">
        <f t="shared" si="37"/>
        <v>77833.355180323677</v>
      </c>
      <c r="Y26" s="155">
        <f t="shared" si="38"/>
        <v>87173.357801962527</v>
      </c>
      <c r="Z26" s="155">
        <f t="shared" si="39"/>
        <v>97634.160738198043</v>
      </c>
      <c r="AA26" s="155">
        <f t="shared" si="40"/>
        <v>109350.26002678182</v>
      </c>
      <c r="AB26" s="155">
        <f t="shared" si="41"/>
        <v>122472.29122999565</v>
      </c>
      <c r="AC26" s="138">
        <f t="shared" si="19"/>
        <v>0.16125302907657768</v>
      </c>
      <c r="AD26" s="31">
        <f t="shared" si="17"/>
        <v>0.08</v>
      </c>
      <c r="AE26" s="146">
        <f t="shared" si="1"/>
        <v>944786.24663139507</v>
      </c>
    </row>
    <row r="27" spans="2:31" s="123" customFormat="1">
      <c r="B27" s="23"/>
      <c r="C27" s="150"/>
      <c r="D27" s="150"/>
      <c r="E27" s="151"/>
      <c r="F27" s="151"/>
      <c r="G27" s="149">
        <f t="shared" ref="G27:P27" si="72">(G26-F26)/G26</f>
        <v>0.16708612975391499</v>
      </c>
      <c r="H27" s="149">
        <f t="shared" si="72"/>
        <v>0.19414084507042254</v>
      </c>
      <c r="I27" s="149">
        <f t="shared" si="72"/>
        <v>0.23511160906662071</v>
      </c>
      <c r="J27" s="149">
        <f t="shared" si="72"/>
        <v>0.17121428571428571</v>
      </c>
      <c r="K27" s="149">
        <f t="shared" si="72"/>
        <v>0.15769207628903195</v>
      </c>
      <c r="L27" s="149">
        <f t="shared" si="72"/>
        <v>0.30368663594470047</v>
      </c>
      <c r="M27" s="149">
        <f t="shared" si="72"/>
        <v>0.15258449304174951</v>
      </c>
      <c r="N27" s="149">
        <f t="shared" si="72"/>
        <v>0.16583747927031509</v>
      </c>
      <c r="O27" s="149">
        <f t="shared" si="72"/>
        <v>0.13337610676247916</v>
      </c>
      <c r="P27" s="149">
        <f t="shared" si="72"/>
        <v>1.1863220466210944E-2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325</v>
      </c>
      <c r="C28" s="150"/>
      <c r="D28" s="150"/>
      <c r="E28" s="151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f t="shared" si="6"/>
        <v>0.12</v>
      </c>
      <c r="S28" s="155">
        <f t="shared" ref="S28" si="73">P28*(1+$R28)</f>
        <v>0</v>
      </c>
      <c r="T28" s="155">
        <f t="shared" ref="T28" si="74">S28*(1+$R28)</f>
        <v>0</v>
      </c>
      <c r="U28" s="155">
        <f t="shared" ref="U28" si="75">T28*(1+$R28)</f>
        <v>0</v>
      </c>
      <c r="V28" s="155">
        <f t="shared" ref="V28" si="76">U28*(1+$R28)</f>
        <v>0</v>
      </c>
      <c r="W28" s="155">
        <f t="shared" ref="W28" si="77">V28*(1+$R28)</f>
        <v>0</v>
      </c>
      <c r="X28" s="155">
        <f t="shared" ref="X28" si="78">W28*(1+$R28)</f>
        <v>0</v>
      </c>
      <c r="Y28" s="155">
        <f t="shared" ref="Y28" si="79">X28*(1+$R28)</f>
        <v>0</v>
      </c>
      <c r="Z28" s="155">
        <f t="shared" ref="Z28" si="80">Y28*(1+$R28)</f>
        <v>0</v>
      </c>
      <c r="AA28" s="155">
        <f t="shared" ref="AA28" si="81">Z28*(1+$R28)</f>
        <v>0</v>
      </c>
      <c r="AB28" s="155">
        <f t="shared" ref="AB28" si="82">AA28*(1+$R28)</f>
        <v>0</v>
      </c>
      <c r="AC28" s="138" t="e">
        <f t="shared" ref="AC28" si="83">((AB28/G28)^(1/($AB$3-$H$1) ))-1</f>
        <v>#DIV/0!</v>
      </c>
      <c r="AD28" s="31">
        <f t="shared" si="17"/>
        <v>0.08</v>
      </c>
      <c r="AE28" s="146">
        <f t="shared" ref="AE28" si="84">(AB28*(1+AD28))/($C$1-AD28)</f>
        <v>0</v>
      </c>
    </row>
    <row r="29" spans="2:31" s="123" customFormat="1">
      <c r="B29" s="23"/>
      <c r="C29" s="150"/>
      <c r="D29" s="150"/>
      <c r="E29" s="151"/>
      <c r="F29" s="151"/>
      <c r="G29" s="149" t="e">
        <f t="shared" ref="G29:P29" si="85">(G28-F28)/G28</f>
        <v>#DIV/0!</v>
      </c>
      <c r="H29" s="149" t="e">
        <f t="shared" si="85"/>
        <v>#DIV/0!</v>
      </c>
      <c r="I29" s="149" t="e">
        <f t="shared" si="85"/>
        <v>#DIV/0!</v>
      </c>
      <c r="J29" s="149" t="e">
        <f t="shared" si="85"/>
        <v>#DIV/0!</v>
      </c>
      <c r="K29" s="149" t="e">
        <f t="shared" si="85"/>
        <v>#DIV/0!</v>
      </c>
      <c r="L29" s="149" t="e">
        <f t="shared" si="85"/>
        <v>#DIV/0!</v>
      </c>
      <c r="M29" s="149" t="e">
        <f t="shared" si="85"/>
        <v>#DIV/0!</v>
      </c>
      <c r="N29" s="149" t="e">
        <f t="shared" si="85"/>
        <v>#DIV/0!</v>
      </c>
      <c r="O29" s="149" t="e">
        <f t="shared" si="85"/>
        <v>#DIV/0!</v>
      </c>
      <c r="P29" s="149" t="e">
        <f t="shared" si="85"/>
        <v>#DIV/0!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3"/>
      <c r="AD29" s="137"/>
      <c r="AE29" s="155"/>
    </row>
    <row r="30" spans="2:31">
      <c r="B30" s="20" t="s">
        <v>333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0.12</v>
      </c>
      <c r="S30" s="155">
        <f>P30*(1+$R30)</f>
        <v>0</v>
      </c>
      <c r="T30" s="155">
        <f>S30*(1+$R30)</f>
        <v>0</v>
      </c>
      <c r="U30" s="155">
        <f t="shared" ref="U30:AB31" si="86">T30*(1+$R30)</f>
        <v>0</v>
      </c>
      <c r="V30" s="155">
        <f t="shared" si="86"/>
        <v>0</v>
      </c>
      <c r="W30" s="155">
        <f t="shared" si="86"/>
        <v>0</v>
      </c>
      <c r="X30" s="155">
        <f t="shared" si="86"/>
        <v>0</v>
      </c>
      <c r="Y30" s="155">
        <f t="shared" si="86"/>
        <v>0</v>
      </c>
      <c r="Z30" s="155">
        <f t="shared" si="86"/>
        <v>0</v>
      </c>
      <c r="AA30" s="155">
        <f t="shared" si="86"/>
        <v>0</v>
      </c>
      <c r="AB30" s="155">
        <f t="shared" si="86"/>
        <v>0</v>
      </c>
      <c r="AC30" s="138" t="e">
        <f t="shared" ref="AC30" si="87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5">
        <f>P31*(1+$R31)</f>
        <v>0</v>
      </c>
      <c r="T31" s="155">
        <f>S31*(1+$R31)</f>
        <v>0</v>
      </c>
      <c r="U31" s="155">
        <f t="shared" si="86"/>
        <v>0</v>
      </c>
      <c r="V31" s="155">
        <f t="shared" si="86"/>
        <v>0</v>
      </c>
      <c r="W31" s="155">
        <f t="shared" si="86"/>
        <v>0</v>
      </c>
      <c r="X31" s="155">
        <f t="shared" si="86"/>
        <v>0</v>
      </c>
      <c r="Y31" s="155">
        <f t="shared" si="86"/>
        <v>0</v>
      </c>
      <c r="Z31" s="155">
        <f t="shared" si="86"/>
        <v>0</v>
      </c>
      <c r="AA31" s="155">
        <f t="shared" si="86"/>
        <v>0</v>
      </c>
      <c r="AB31" s="155">
        <f t="shared" si="86"/>
        <v>0</v>
      </c>
      <c r="AC31" s="138" t="e">
        <f t="shared" ref="AC31" si="88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317</v>
      </c>
      <c r="C32" s="141"/>
      <c r="D32" s="141"/>
      <c r="E32" s="147"/>
      <c r="F32" s="147">
        <v>3160</v>
      </c>
      <c r="G32" s="147">
        <v>3634</v>
      </c>
      <c r="H32" s="147">
        <v>5097</v>
      </c>
      <c r="I32" s="147">
        <v>7100</v>
      </c>
      <c r="J32" s="147">
        <v>8561</v>
      </c>
      <c r="K32" s="147">
        <v>10400</v>
      </c>
      <c r="L32" s="147">
        <v>15746</v>
      </c>
      <c r="M32" s="147">
        <v>17915</v>
      </c>
      <c r="N32" s="147">
        <v>20016</v>
      </c>
      <c r="O32" s="147">
        <v>25266</v>
      </c>
      <c r="P32" s="147">
        <v>27505</v>
      </c>
      <c r="Q32" s="118">
        <f>((P32/G32)^(1/($H$2-$H$1) ))-1</f>
        <v>0.25218828466524723</v>
      </c>
      <c r="R32" s="31">
        <f t="shared" si="6"/>
        <v>0.12</v>
      </c>
      <c r="S32" s="155">
        <f t="shared" si="32"/>
        <v>30805.600000000002</v>
      </c>
      <c r="T32" s="155">
        <f t="shared" si="33"/>
        <v>34502.272000000004</v>
      </c>
      <c r="U32" s="155">
        <f t="shared" si="34"/>
        <v>38642.544640000007</v>
      </c>
      <c r="V32" s="155">
        <f t="shared" si="35"/>
        <v>43279.649996800013</v>
      </c>
      <c r="W32" s="155">
        <f t="shared" si="36"/>
        <v>48473.207996416022</v>
      </c>
      <c r="X32" s="155">
        <f t="shared" si="37"/>
        <v>54289.992955985952</v>
      </c>
      <c r="Y32" s="155">
        <f t="shared" si="38"/>
        <v>60804.792110704271</v>
      </c>
      <c r="Z32" s="155">
        <f t="shared" si="39"/>
        <v>68101.367163988791</v>
      </c>
      <c r="AA32" s="155">
        <f t="shared" si="40"/>
        <v>76273.531223667451</v>
      </c>
      <c r="AB32" s="155">
        <f t="shared" si="41"/>
        <v>85426.354970507557</v>
      </c>
      <c r="AC32" s="138">
        <f t="shared" si="19"/>
        <v>0.18077945220830172</v>
      </c>
      <c r="AD32" s="31">
        <f t="shared" si="17"/>
        <v>0.08</v>
      </c>
      <c r="AE32" s="146">
        <f t="shared" si="1"/>
        <v>659003.3097724868</v>
      </c>
    </row>
    <row r="33" spans="2:31">
      <c r="B33" s="20" t="s">
        <v>309</v>
      </c>
      <c r="C33" s="141"/>
      <c r="D33" s="141"/>
      <c r="E33" s="147"/>
      <c r="F33" s="147">
        <v>1504</v>
      </c>
      <c r="G33" s="147">
        <v>1640</v>
      </c>
      <c r="H33" s="147">
        <v>1650</v>
      </c>
      <c r="I33" s="147">
        <v>1878</v>
      </c>
      <c r="J33" s="147">
        <v>2367</v>
      </c>
      <c r="K33" s="147">
        <v>2602</v>
      </c>
      <c r="L33" s="147">
        <v>3027</v>
      </c>
      <c r="M33" s="147">
        <v>6500</v>
      </c>
      <c r="N33" s="147">
        <v>5452</v>
      </c>
      <c r="O33" s="147">
        <v>5529</v>
      </c>
      <c r="P33" s="147">
        <v>5824</v>
      </c>
      <c r="Q33" s="118">
        <f>((P33/G33)^(1/($H$2-$H$1) ))-1</f>
        <v>0.15120603482866657</v>
      </c>
      <c r="R33" s="31">
        <f t="shared" si="6"/>
        <v>0.12</v>
      </c>
      <c r="S33" s="155">
        <f t="shared" si="32"/>
        <v>6522.880000000001</v>
      </c>
      <c r="T33" s="155">
        <f t="shared" si="33"/>
        <v>7305.6256000000021</v>
      </c>
      <c r="U33" s="155">
        <f t="shared" si="34"/>
        <v>8182.300672000003</v>
      </c>
      <c r="V33" s="155">
        <f t="shared" si="35"/>
        <v>9164.1767526400035</v>
      </c>
      <c r="W33" s="155">
        <f t="shared" si="36"/>
        <v>10263.877962956805</v>
      </c>
      <c r="X33" s="155">
        <f t="shared" si="37"/>
        <v>11495.543318511624</v>
      </c>
      <c r="Y33" s="155">
        <f t="shared" si="38"/>
        <v>12875.00851673302</v>
      </c>
      <c r="Z33" s="155">
        <f t="shared" si="39"/>
        <v>14420.009538740984</v>
      </c>
      <c r="AA33" s="155">
        <f t="shared" si="40"/>
        <v>16150.410683389904</v>
      </c>
      <c r="AB33" s="155">
        <f t="shared" si="41"/>
        <v>18088.459965396694</v>
      </c>
      <c r="AC33" s="138">
        <f t="shared" si="19"/>
        <v>0.13467493204537662</v>
      </c>
      <c r="AD33" s="31">
        <f t="shared" si="17"/>
        <v>0.08</v>
      </c>
      <c r="AE33" s="146">
        <f t="shared" si="1"/>
        <v>139539.5483044888</v>
      </c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39"/>
      <c r="AD34" s="137"/>
      <c r="AE34" s="155"/>
    </row>
    <row r="35" spans="2:31">
      <c r="B35" s="20" t="s">
        <v>279</v>
      </c>
      <c r="C35" s="141"/>
      <c r="D35" s="141"/>
      <c r="E35" s="147"/>
      <c r="F35" s="147">
        <v>996</v>
      </c>
      <c r="G35" s="147">
        <v>854</v>
      </c>
      <c r="H35" s="147">
        <v>1303</v>
      </c>
      <c r="I35" s="147">
        <v>2223</v>
      </c>
      <c r="J35" s="147">
        <v>3545</v>
      </c>
      <c r="K35" s="147">
        <v>3746</v>
      </c>
      <c r="L35" s="147">
        <v>3962</v>
      </c>
      <c r="M35" s="147">
        <v>5900</v>
      </c>
      <c r="N35" s="147">
        <v>8318</v>
      </c>
      <c r="O35" s="147">
        <v>9970</v>
      </c>
      <c r="P35" s="147">
        <v>9526.6</v>
      </c>
      <c r="Q35" s="118">
        <f>((P35/G35)^(1/($H$2-$H$1) ))-1</f>
        <v>0.30733435292992062</v>
      </c>
      <c r="R35" s="31">
        <f t="shared" si="6"/>
        <v>0.12</v>
      </c>
      <c r="S35" s="155">
        <f t="shared" ref="S35" si="89">P35*(1+$R35)</f>
        <v>10669.792000000001</v>
      </c>
      <c r="T35" s="155">
        <f t="shared" ref="T35" si="90">S35*(1+$R35)</f>
        <v>11950.167040000002</v>
      </c>
      <c r="U35" s="155">
        <f t="shared" ref="U35" si="91">T35*(1+$R35)</f>
        <v>13384.187084800004</v>
      </c>
      <c r="V35" s="155">
        <f t="shared" ref="V35" si="92">U35*(1+$R35)</f>
        <v>14990.289534976006</v>
      </c>
      <c r="W35" s="155">
        <f t="shared" si="36"/>
        <v>16789.124279173127</v>
      </c>
      <c r="X35" s="155">
        <f t="shared" si="37"/>
        <v>18803.819192673905</v>
      </c>
      <c r="Y35" s="155">
        <f t="shared" si="38"/>
        <v>21060.277495794777</v>
      </c>
      <c r="Z35" s="155">
        <f t="shared" si="39"/>
        <v>23587.510795290153</v>
      </c>
      <c r="AA35" s="155">
        <f t="shared" si="40"/>
        <v>26418.012090724973</v>
      </c>
      <c r="AB35" s="155">
        <f t="shared" si="41"/>
        <v>29588.173541611974</v>
      </c>
      <c r="AC35" s="138">
        <f t="shared" si="19"/>
        <v>0.20513237032134168</v>
      </c>
      <c r="AD35" s="31">
        <f t="shared" si="17"/>
        <v>0.08</v>
      </c>
      <c r="AE35" s="146">
        <f t="shared" si="1"/>
        <v>228251.62446386379</v>
      </c>
    </row>
    <row r="36" spans="2:31" s="123" customFormat="1">
      <c r="B36" s="23"/>
      <c r="C36" s="150"/>
      <c r="D36" s="150"/>
      <c r="E36" s="151"/>
      <c r="F36" s="151"/>
      <c r="G36" s="149">
        <f>(G35-F35)/G35</f>
        <v>-0.16627634660421545</v>
      </c>
      <c r="H36" s="149">
        <f>(H35-G35)/H35</f>
        <v>0.34458940905602453</v>
      </c>
      <c r="I36" s="149">
        <f t="shared" ref="I36" si="93">(I35-H35)/I35</f>
        <v>0.41385515069725598</v>
      </c>
      <c r="J36" s="149">
        <f t="shared" ref="J36" si="94">(J35-I35)/J35</f>
        <v>0.37291960507757405</v>
      </c>
      <c r="K36" s="149">
        <f t="shared" ref="K36" si="95">(K35-J35)/K35</f>
        <v>5.3657234383342231E-2</v>
      </c>
      <c r="L36" s="149">
        <f t="shared" ref="L36" si="96">(L35-K35)/L35</f>
        <v>5.4517920242301871E-2</v>
      </c>
      <c r="M36" s="149">
        <f t="shared" ref="M36" si="97">(M35-L35)/M35</f>
        <v>0.32847457627118642</v>
      </c>
      <c r="N36" s="149">
        <f t="shared" ref="N36" si="98">(N35-M35)/N35</f>
        <v>0.29069487857658088</v>
      </c>
      <c r="O36" s="149">
        <f t="shared" ref="O36" si="99">(O35-N35)/O35</f>
        <v>0.16569709127382146</v>
      </c>
      <c r="P36" s="149">
        <f t="shared" ref="P36" si="100">(P35-O35)/P35</f>
        <v>-4.6543362794701115E-2</v>
      </c>
      <c r="Q36" s="128"/>
      <c r="R36" s="20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39"/>
      <c r="AD36" s="137"/>
      <c r="AE36" s="157"/>
    </row>
    <row r="37" spans="2:31">
      <c r="B37" s="20" t="s">
        <v>257</v>
      </c>
      <c r="C37" s="141"/>
      <c r="D37" s="141"/>
      <c r="E37" s="147"/>
      <c r="F37" s="147">
        <v>444</v>
      </c>
      <c r="G37" s="147">
        <v>658</v>
      </c>
      <c r="H37" s="147">
        <v>953</v>
      </c>
      <c r="I37" s="147">
        <v>1679</v>
      </c>
      <c r="J37" s="147">
        <v>2414</v>
      </c>
      <c r="K37" s="147">
        <v>2859</v>
      </c>
      <c r="L37" s="147">
        <v>3115</v>
      </c>
      <c r="M37" s="147">
        <v>4326</v>
      </c>
      <c r="N37" s="147">
        <v>6053</v>
      </c>
      <c r="O37" s="147">
        <v>7087</v>
      </c>
      <c r="P37" s="147">
        <v>6693.1</v>
      </c>
      <c r="Q37" s="118">
        <f>((P37/G37)^(1/($H$2-$H$1) ))-1</f>
        <v>0.29399766044126507</v>
      </c>
      <c r="R37" s="31">
        <f t="shared" si="6"/>
        <v>0.12</v>
      </c>
      <c r="S37" s="155">
        <f>P37*(1+$R37)</f>
        <v>7496.2720000000008</v>
      </c>
      <c r="T37" s="155">
        <f t="shared" ref="T37:AB37" si="101">S37*(1+$R37)</f>
        <v>8395.8246400000025</v>
      </c>
      <c r="U37" s="155">
        <f t="shared" si="101"/>
        <v>9403.3235968000045</v>
      </c>
      <c r="V37" s="155">
        <f t="shared" si="101"/>
        <v>10531.722428416006</v>
      </c>
      <c r="W37" s="155">
        <f t="shared" si="101"/>
        <v>11795.529119825927</v>
      </c>
      <c r="X37" s="155">
        <f t="shared" si="101"/>
        <v>13210.992614205041</v>
      </c>
      <c r="Y37" s="155">
        <f t="shared" si="101"/>
        <v>14796.311727909648</v>
      </c>
      <c r="Z37" s="155">
        <f t="shared" si="101"/>
        <v>16571.869135258807</v>
      </c>
      <c r="AA37" s="155">
        <f t="shared" si="101"/>
        <v>18560.493431489864</v>
      </c>
      <c r="AB37" s="155">
        <f t="shared" si="101"/>
        <v>20787.75264326865</v>
      </c>
      <c r="AC37" s="138">
        <f t="shared" si="19"/>
        <v>0.19929314089857519</v>
      </c>
      <c r="AD37" s="31">
        <f t="shared" si="17"/>
        <v>0.08</v>
      </c>
      <c r="AE37" s="146">
        <f t="shared" si="1"/>
        <v>160362.66324807244</v>
      </c>
    </row>
    <row r="38" spans="2:31" s="123" customFormat="1">
      <c r="B38" s="23"/>
      <c r="C38" s="150"/>
      <c r="D38" s="150"/>
      <c r="E38" s="151"/>
      <c r="F38" s="151"/>
      <c r="G38" s="149">
        <f>(G37-F37)/G37</f>
        <v>0.32522796352583588</v>
      </c>
      <c r="H38" s="149">
        <f>(H37-G37)/H37</f>
        <v>0.30954879328436519</v>
      </c>
      <c r="I38" s="149">
        <f t="shared" ref="I38" si="102">(I37-H37)/I37</f>
        <v>0.43240023823704588</v>
      </c>
      <c r="J38" s="149">
        <f t="shared" ref="J38" si="103">(J37-I37)/J37</f>
        <v>0.30447390223695114</v>
      </c>
      <c r="K38" s="149">
        <f t="shared" ref="K38" si="104">(K37-J37)/K37</f>
        <v>0.15564882826162993</v>
      </c>
      <c r="L38" s="149">
        <f t="shared" ref="L38" si="105">(L37-K37)/L37</f>
        <v>8.218298555377207E-2</v>
      </c>
      <c r="M38" s="149">
        <f t="shared" ref="M38" si="106">(M37-L37)/M37</f>
        <v>0.27993527508090615</v>
      </c>
      <c r="N38" s="149">
        <f t="shared" ref="N38" si="107">(N37-M37)/N37</f>
        <v>0.28531306790021477</v>
      </c>
      <c r="O38" s="149">
        <f t="shared" ref="O38" si="108">(O37-N37)/O37</f>
        <v>0.14590094539297305</v>
      </c>
      <c r="P38" s="149">
        <f t="shared" ref="P38" si="109">(P37-O37)/P37</f>
        <v>-5.8851653195081441E-2</v>
      </c>
      <c r="Q38" s="128"/>
      <c r="R38" s="20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39"/>
      <c r="AD38" s="137"/>
      <c r="AE38" s="157"/>
    </row>
    <row r="39" spans="2:31">
      <c r="B39" s="20" t="s">
        <v>239</v>
      </c>
      <c r="C39" s="142">
        <v>1</v>
      </c>
      <c r="D39" s="142">
        <v>1</v>
      </c>
      <c r="E39" s="143">
        <v>1</v>
      </c>
      <c r="F39" s="147">
        <v>24.47</v>
      </c>
      <c r="G39" s="147">
        <v>24.47</v>
      </c>
      <c r="H39" s="147">
        <v>24.47</v>
      </c>
      <c r="I39" s="147">
        <v>24.47</v>
      </c>
      <c r="J39" s="147">
        <v>24.47</v>
      </c>
      <c r="K39" s="147">
        <v>48.95</v>
      </c>
      <c r="L39" s="147">
        <v>48.95</v>
      </c>
      <c r="M39" s="147">
        <v>48.95</v>
      </c>
      <c r="N39" s="147">
        <v>48.95</v>
      </c>
      <c r="O39" s="147">
        <v>244.76</v>
      </c>
      <c r="P39" s="147">
        <v>244.76</v>
      </c>
      <c r="Q39" s="118">
        <f>((P39/G39)^(1/($H$2-$H$1) ))-1</f>
        <v>0.29158484847592625</v>
      </c>
      <c r="R39" s="31">
        <v>0.15</v>
      </c>
      <c r="S39" s="155">
        <f>P39*(1+$R39)</f>
        <v>281.47399999999999</v>
      </c>
      <c r="T39" s="155">
        <f t="shared" ref="T39:AB39" si="110">S39*(1+$R39)</f>
        <v>323.69509999999997</v>
      </c>
      <c r="U39" s="155">
        <f t="shared" si="110"/>
        <v>372.24936499999995</v>
      </c>
      <c r="V39" s="155">
        <f t="shared" si="110"/>
        <v>428.08676974999992</v>
      </c>
      <c r="W39" s="155">
        <f t="shared" si="110"/>
        <v>492.29978521249984</v>
      </c>
      <c r="X39" s="155">
        <f t="shared" si="110"/>
        <v>566.14475299437481</v>
      </c>
      <c r="Y39" s="155">
        <f t="shared" si="110"/>
        <v>651.06646594353094</v>
      </c>
      <c r="Z39" s="155">
        <f t="shared" si="110"/>
        <v>748.72643583506056</v>
      </c>
      <c r="AA39" s="155">
        <f t="shared" si="110"/>
        <v>861.03540121031961</v>
      </c>
      <c r="AB39" s="155">
        <f t="shared" si="110"/>
        <v>990.19071139186747</v>
      </c>
      <c r="AC39" s="138">
        <f t="shared" si="19"/>
        <v>0.21501996618446428</v>
      </c>
      <c r="AD39" s="31">
        <f t="shared" si="17"/>
        <v>0.08</v>
      </c>
      <c r="AE39" s="146">
        <f t="shared" si="1"/>
        <v>7638.6140593086911</v>
      </c>
    </row>
    <row r="40" spans="2:31">
      <c r="B40" s="20" t="s">
        <v>283</v>
      </c>
      <c r="C40" s="145"/>
      <c r="D40" s="145"/>
      <c r="E40" s="145"/>
      <c r="F40" s="147">
        <v>4</v>
      </c>
      <c r="G40" s="147">
        <v>6</v>
      </c>
      <c r="H40" s="147">
        <v>8</v>
      </c>
      <c r="I40" s="147">
        <v>14.5</v>
      </c>
      <c r="J40" s="147">
        <v>24.5</v>
      </c>
      <c r="K40" s="174">
        <v>15.25</v>
      </c>
      <c r="L40" s="174">
        <v>17</v>
      </c>
      <c r="M40" s="174">
        <v>23.3</v>
      </c>
      <c r="N40" s="174">
        <v>31.15</v>
      </c>
      <c r="O40" s="174">
        <v>6.4</v>
      </c>
      <c r="P40" s="191">
        <v>5.12</v>
      </c>
      <c r="Q40" s="118">
        <f>((P40/G40)^(1/($H$2-$H$1) ))-1</f>
        <v>-1.746840808100425E-2</v>
      </c>
      <c r="R40" s="31">
        <v>0.05</v>
      </c>
      <c r="S40" s="155">
        <f t="shared" ref="S40" si="111">P40*(1+$R40)</f>
        <v>5.3760000000000003</v>
      </c>
      <c r="T40" s="155">
        <f t="shared" ref="T40" si="112">S40*(1+$R40)</f>
        <v>5.6448000000000009</v>
      </c>
      <c r="U40" s="155">
        <f t="shared" ref="U40" si="113">T40*(1+$R40)</f>
        <v>5.9270400000000016</v>
      </c>
      <c r="V40" s="155">
        <f t="shared" ref="V40" si="114">U40*(1+$R40)</f>
        <v>6.2233920000000023</v>
      </c>
      <c r="W40" s="155">
        <f t="shared" ref="W40" si="115">V40*(1+$R40)</f>
        <v>6.5345616000000026</v>
      </c>
      <c r="X40" s="155">
        <f t="shared" ref="X40" si="116">W40*(1+$R40)</f>
        <v>6.8612896800000032</v>
      </c>
      <c r="Y40" s="155">
        <f t="shared" ref="Y40" si="117">X40*(1+$R40)</f>
        <v>7.2043541640000033</v>
      </c>
      <c r="Z40" s="155">
        <f t="shared" ref="Z40" si="118">Y40*(1+$R40)</f>
        <v>7.5645718722000037</v>
      </c>
      <c r="AA40" s="155">
        <f t="shared" ref="AA40" si="119">Z40*(1+$R40)</f>
        <v>7.942800465810004</v>
      </c>
      <c r="AB40" s="155">
        <f t="shared" ref="AB40" si="120">AA40*(1+$R40)</f>
        <v>8.3399404891005045</v>
      </c>
      <c r="AC40" s="138">
        <f t="shared" ref="AC40" si="121">((AB40/G40)^(1/($AB$3-$H$1) ))-1</f>
        <v>1.748246076250215E-2</v>
      </c>
      <c r="AD40" s="31">
        <f t="shared" si="17"/>
        <v>0.08</v>
      </c>
      <c r="AE40" s="146">
        <f t="shared" si="1"/>
        <v>64.33668377306104</v>
      </c>
    </row>
    <row r="41" spans="2:31">
      <c r="B41" s="20"/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108" t="s">
        <v>243</v>
      </c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9"/>
      <c r="AD42" s="137"/>
      <c r="AE42" s="155"/>
    </row>
    <row r="43" spans="2:31">
      <c r="B43" s="20" t="s">
        <v>304</v>
      </c>
      <c r="C43" s="133">
        <f t="shared" ref="C43:P43" si="122">C24/C39</f>
        <v>0</v>
      </c>
      <c r="D43" s="133">
        <f t="shared" si="122"/>
        <v>0</v>
      </c>
      <c r="E43" s="133">
        <f t="shared" si="122"/>
        <v>0</v>
      </c>
      <c r="F43" s="133">
        <f t="shared" si="122"/>
        <v>287.00449530036781</v>
      </c>
      <c r="G43" s="133">
        <f t="shared" si="122"/>
        <v>327.74826317940335</v>
      </c>
      <c r="H43" s="133">
        <f t="shared" si="122"/>
        <v>426.56313853698407</v>
      </c>
      <c r="I43" s="133">
        <f t="shared" si="122"/>
        <v>579.03555373927259</v>
      </c>
      <c r="J43" s="133">
        <f t="shared" si="122"/>
        <v>736.65713118103804</v>
      </c>
      <c r="K43" s="133">
        <f t="shared" si="122"/>
        <v>436.99693564862099</v>
      </c>
      <c r="L43" s="133">
        <f t="shared" si="122"/>
        <v>594.11644535240032</v>
      </c>
      <c r="M43" s="133">
        <f t="shared" si="122"/>
        <v>723.02349336057193</v>
      </c>
      <c r="N43" s="133">
        <f t="shared" si="122"/>
        <v>888.04902962206324</v>
      </c>
      <c r="O43" s="133">
        <f t="shared" si="122"/>
        <v>205.13155744402681</v>
      </c>
      <c r="P43" s="133">
        <f t="shared" si="122"/>
        <v>201.15664324235991</v>
      </c>
      <c r="Q43" s="118">
        <f>((P43/G43)^(1/($H$2-$H$1) ))-1</f>
        <v>-5.2795449805869032E-2</v>
      </c>
      <c r="R43" s="128"/>
      <c r="S43" s="159">
        <f t="shared" ref="S43:AB43" si="123">S24/S39</f>
        <v>195.90907863603749</v>
      </c>
      <c r="T43" s="159">
        <f t="shared" si="123"/>
        <v>190.79840701944525</v>
      </c>
      <c r="U43" s="159">
        <f t="shared" si="123"/>
        <v>185.8210572711119</v>
      </c>
      <c r="V43" s="159">
        <f t="shared" si="123"/>
        <v>180.97355142925684</v>
      </c>
      <c r="W43" s="159">
        <f t="shared" si="123"/>
        <v>176.25250226153716</v>
      </c>
      <c r="X43" s="159">
        <f t="shared" si="123"/>
        <v>171.65461089819271</v>
      </c>
      <c r="Y43" s="159">
        <f t="shared" si="123"/>
        <v>167.17666452693555</v>
      </c>
      <c r="Z43" s="159">
        <f t="shared" si="123"/>
        <v>162.81553414797202</v>
      </c>
      <c r="AA43" s="159">
        <f t="shared" si="123"/>
        <v>158.56817238759018</v>
      </c>
      <c r="AB43" s="159">
        <f t="shared" si="123"/>
        <v>154.43161136878351</v>
      </c>
      <c r="AC43" s="138">
        <f t="shared" ref="AC43" si="124">((AB43/G43)^(1/($AB$3-$H$1) ))-1</f>
        <v>-3.8830947240483971E-2</v>
      </c>
      <c r="AD43" s="31">
        <f t="shared" si="17"/>
        <v>0.08</v>
      </c>
      <c r="AE43" s="146">
        <f t="shared" ref="AE43:AE44" si="125">(AB43*(1+AD43))/($C$1-AD43)</f>
        <v>1191.32957341633</v>
      </c>
    </row>
    <row r="44" spans="2:31">
      <c r="B44" s="20" t="s">
        <v>305</v>
      </c>
      <c r="C44" s="133">
        <f t="shared" ref="C44:P44" si="126">C26/C39</f>
        <v>0</v>
      </c>
      <c r="D44" s="133">
        <f t="shared" si="126"/>
        <v>0</v>
      </c>
      <c r="E44" s="133">
        <f t="shared" si="126"/>
        <v>0</v>
      </c>
      <c r="F44" s="133">
        <f t="shared" si="126"/>
        <v>243.44094809971395</v>
      </c>
      <c r="G44" s="133">
        <f t="shared" si="126"/>
        <v>292.27625664078465</v>
      </c>
      <c r="H44" s="133">
        <f t="shared" si="126"/>
        <v>362.68900694728239</v>
      </c>
      <c r="I44" s="133">
        <f t="shared" si="126"/>
        <v>474.17245606865549</v>
      </c>
      <c r="J44" s="133">
        <f t="shared" si="126"/>
        <v>572.1291377196568</v>
      </c>
      <c r="K44" s="133">
        <f t="shared" si="126"/>
        <v>339.55056179775278</v>
      </c>
      <c r="L44" s="133">
        <f t="shared" si="126"/>
        <v>487.64044943820221</v>
      </c>
      <c r="M44" s="133">
        <f t="shared" si="126"/>
        <v>575.44433094994895</v>
      </c>
      <c r="N44" s="133">
        <f t="shared" si="126"/>
        <v>689.84678243105202</v>
      </c>
      <c r="O44" s="133">
        <f t="shared" si="126"/>
        <v>159.19676417715314</v>
      </c>
      <c r="P44" s="133">
        <f t="shared" si="126"/>
        <v>161.10802418695866</v>
      </c>
      <c r="Q44" s="118">
        <f>((P44/G44)^(1/($H$2-$H$1) ))-1</f>
        <v>-6.4038075620456048E-2</v>
      </c>
      <c r="R44" s="128"/>
      <c r="S44" s="159">
        <f t="shared" ref="S44:AB44" si="127">S26/S39</f>
        <v>156.90520616469018</v>
      </c>
      <c r="T44" s="159">
        <f t="shared" si="127"/>
        <v>152.81202687343742</v>
      </c>
      <c r="U44" s="159">
        <f t="shared" si="127"/>
        <v>148.82562617239125</v>
      </c>
      <c r="V44" s="159">
        <f t="shared" si="127"/>
        <v>144.94321853311149</v>
      </c>
      <c r="W44" s="159">
        <f t="shared" si="127"/>
        <v>141.16209109311731</v>
      </c>
      <c r="X44" s="159">
        <f t="shared" si="127"/>
        <v>137.47960176025339</v>
      </c>
      <c r="Y44" s="159">
        <f t="shared" si="127"/>
        <v>133.8931773665077</v>
      </c>
      <c r="Z44" s="159">
        <f t="shared" si="127"/>
        <v>130.40031186999013</v>
      </c>
      <c r="AA44" s="159">
        <f t="shared" si="127"/>
        <v>126.99856460381649</v>
      </c>
      <c r="AB44" s="159">
        <f t="shared" si="127"/>
        <v>123.68555857067346</v>
      </c>
      <c r="AC44" s="138">
        <f t="shared" ref="AC44" si="128">((AB44/G44)^(1/($AB$3-$H$1) ))-1</f>
        <v>-4.4251895939398711E-2</v>
      </c>
      <c r="AD44" s="31">
        <f t="shared" si="17"/>
        <v>0.08</v>
      </c>
      <c r="AE44" s="146">
        <f t="shared" si="125"/>
        <v>954.14573754519517</v>
      </c>
    </row>
    <row r="45" spans="2:31">
      <c r="B45" s="20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28"/>
      <c r="R45" s="128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19"/>
      <c r="AD45" s="137"/>
      <c r="AE45" s="146"/>
    </row>
    <row r="46" spans="2:31">
      <c r="B46" s="20" t="s">
        <v>258</v>
      </c>
      <c r="C46" s="25">
        <f t="shared" ref="C46:P46" si="129">C37/C39</f>
        <v>0</v>
      </c>
      <c r="D46" s="25">
        <f t="shared" si="129"/>
        <v>0</v>
      </c>
      <c r="E46" s="25">
        <f t="shared" si="129"/>
        <v>0</v>
      </c>
      <c r="F46" s="133">
        <f t="shared" si="129"/>
        <v>18.144666939109115</v>
      </c>
      <c r="G46" s="133">
        <f t="shared" si="129"/>
        <v>26.890069472823868</v>
      </c>
      <c r="H46" s="133">
        <f t="shared" si="129"/>
        <v>38.945647731916637</v>
      </c>
      <c r="I46" s="133">
        <f t="shared" si="129"/>
        <v>68.614630159378834</v>
      </c>
      <c r="J46" s="133">
        <f t="shared" si="129"/>
        <v>98.651409889660812</v>
      </c>
      <c r="K46" s="133">
        <f t="shared" si="129"/>
        <v>58.406537282941777</v>
      </c>
      <c r="L46" s="133">
        <f t="shared" si="129"/>
        <v>63.636363636363633</v>
      </c>
      <c r="M46" s="133">
        <f t="shared" si="129"/>
        <v>88.375893769152185</v>
      </c>
      <c r="N46" s="133">
        <f t="shared" si="129"/>
        <v>123.65679264555668</v>
      </c>
      <c r="O46" s="133">
        <f t="shared" si="129"/>
        <v>28.954894590619382</v>
      </c>
      <c r="P46" s="133">
        <f t="shared" si="129"/>
        <v>27.34556300049028</v>
      </c>
      <c r="Q46" s="118">
        <f>((P46/G46)^(1/($H$2-$H$1) ))-1</f>
        <v>1.8681017884236706E-3</v>
      </c>
      <c r="R46" s="128"/>
      <c r="S46" s="159">
        <f t="shared" ref="S46:AB46" si="130">S37/S39</f>
        <v>26.632200487434012</v>
      </c>
      <c r="T46" s="159">
        <f t="shared" si="130"/>
        <v>25.937447431240088</v>
      </c>
      <c r="U46" s="159">
        <f t="shared" si="130"/>
        <v>25.260818367816437</v>
      </c>
      <c r="V46" s="159">
        <f t="shared" si="130"/>
        <v>24.601840497351667</v>
      </c>
      <c r="W46" s="159">
        <f t="shared" si="130"/>
        <v>23.960053353942495</v>
      </c>
      <c r="X46" s="159">
        <f t="shared" si="130"/>
        <v>23.335008483839651</v>
      </c>
      <c r="Y46" s="159">
        <f t="shared" si="130"/>
        <v>22.726269132087321</v>
      </c>
      <c r="Z46" s="159">
        <f t="shared" si="130"/>
        <v>22.13340993733722</v>
      </c>
      <c r="AA46" s="159">
        <f t="shared" si="130"/>
        <v>21.556016634624076</v>
      </c>
      <c r="AB46" s="159">
        <f t="shared" si="130"/>
        <v>20.993685765894757</v>
      </c>
      <c r="AC46" s="138">
        <f t="shared" ref="AC46:AC59" si="131">((AB46/G46)^(1/($AB$3-$H$1) ))-1</f>
        <v>-1.2943676419800765E-2</v>
      </c>
      <c r="AD46" s="31">
        <f t="shared" si="17"/>
        <v>0.08</v>
      </c>
      <c r="AE46" s="146">
        <f t="shared" ref="AE46:AE73" si="132">(AB46*(1+AD46))/($C$1-AD46)</f>
        <v>161.95129019404527</v>
      </c>
    </row>
    <row r="47" spans="2:31">
      <c r="B47" s="20" t="s">
        <v>245</v>
      </c>
      <c r="C47" s="25">
        <f t="shared" ref="C47:P47" si="133">C7/C39</f>
        <v>0</v>
      </c>
      <c r="D47" s="25">
        <f t="shared" si="133"/>
        <v>0</v>
      </c>
      <c r="E47" s="25">
        <f t="shared" si="133"/>
        <v>0</v>
      </c>
      <c r="F47" s="133">
        <f t="shared" si="133"/>
        <v>196.28116060482225</v>
      </c>
      <c r="G47" s="133">
        <f t="shared" si="133"/>
        <v>216.38741315897019</v>
      </c>
      <c r="H47" s="133">
        <f t="shared" si="133"/>
        <v>246.26072742133226</v>
      </c>
      <c r="I47" s="133">
        <f t="shared" si="133"/>
        <v>298.365345320801</v>
      </c>
      <c r="J47" s="133">
        <f t="shared" si="133"/>
        <v>359.13363302002455</v>
      </c>
      <c r="K47" s="133">
        <f t="shared" si="133"/>
        <v>220.10214504596524</v>
      </c>
      <c r="L47" s="133">
        <f t="shared" si="133"/>
        <v>263.9987742594484</v>
      </c>
      <c r="M47" s="133">
        <f t="shared" si="133"/>
        <v>324.73912155260467</v>
      </c>
      <c r="N47" s="133">
        <f t="shared" si="133"/>
        <v>411.74831460674159</v>
      </c>
      <c r="O47" s="133">
        <f t="shared" si="133"/>
        <v>103.7876286974996</v>
      </c>
      <c r="P47" s="133">
        <f t="shared" si="133"/>
        <v>124.74546494525249</v>
      </c>
      <c r="Q47" s="118">
        <f>((P47/G47)^(1/($H$2-$H$1) ))-1</f>
        <v>-5.9364383455864478E-2</v>
      </c>
      <c r="R47" s="128"/>
      <c r="S47" s="159">
        <f t="shared" ref="S47:AB47" si="134">S7/S39</f>
        <v>121.49123542494158</v>
      </c>
      <c r="T47" s="159">
        <f t="shared" si="134"/>
        <v>118.32189884863877</v>
      </c>
      <c r="U47" s="159">
        <f t="shared" si="134"/>
        <v>115.23524061780473</v>
      </c>
      <c r="V47" s="159">
        <f t="shared" si="134"/>
        <v>112.22910390603593</v>
      </c>
      <c r="W47" s="159">
        <f t="shared" si="134"/>
        <v>109.30138815196545</v>
      </c>
      <c r="X47" s="159">
        <f t="shared" si="134"/>
        <v>106.45004759147942</v>
      </c>
      <c r="Y47" s="159">
        <f t="shared" si="134"/>
        <v>103.67308982822345</v>
      </c>
      <c r="Z47" s="159">
        <f t="shared" si="134"/>
        <v>100.96857444140025</v>
      </c>
      <c r="AA47" s="159">
        <f t="shared" si="134"/>
        <v>98.334611629885472</v>
      </c>
      <c r="AB47" s="159">
        <f t="shared" si="134"/>
        <v>95.76936089171457</v>
      </c>
      <c r="AC47" s="138">
        <f t="shared" si="131"/>
        <v>-4.1994204144065073E-2</v>
      </c>
      <c r="AD47" s="31">
        <f t="shared" si="17"/>
        <v>0.08</v>
      </c>
      <c r="AE47" s="146">
        <f t="shared" si="132"/>
        <v>738.79221259322662</v>
      </c>
    </row>
    <row r="48" spans="2:31">
      <c r="B48" s="20" t="s">
        <v>246</v>
      </c>
      <c r="C48" s="127">
        <f t="shared" ref="C48:P48" si="135">C6/C39</f>
        <v>0</v>
      </c>
      <c r="D48" s="127">
        <f t="shared" si="135"/>
        <v>0</v>
      </c>
      <c r="E48" s="127">
        <f t="shared" si="135"/>
        <v>0</v>
      </c>
      <c r="F48" s="144">
        <f t="shared" si="135"/>
        <v>186.30976706170821</v>
      </c>
      <c r="G48" s="144">
        <f t="shared" si="135"/>
        <v>206.41601961585616</v>
      </c>
      <c r="H48" s="144">
        <f t="shared" si="135"/>
        <v>236.28933387821823</v>
      </c>
      <c r="I48" s="144">
        <f t="shared" si="135"/>
        <v>288.35308541070702</v>
      </c>
      <c r="J48" s="144">
        <f t="shared" si="135"/>
        <v>349.12137310993052</v>
      </c>
      <c r="K48" s="144">
        <f t="shared" si="135"/>
        <v>210.09193054136873</v>
      </c>
      <c r="L48" s="144">
        <f t="shared" si="135"/>
        <v>253.99836567926454</v>
      </c>
      <c r="M48" s="144">
        <f t="shared" si="135"/>
        <v>314.73871297242079</v>
      </c>
      <c r="N48" s="144">
        <f t="shared" si="135"/>
        <v>401.7479060265577</v>
      </c>
      <c r="O48" s="144">
        <f t="shared" si="135"/>
        <v>101.7876286974996</v>
      </c>
      <c r="P48" s="144">
        <f t="shared" si="135"/>
        <v>122.74554665795065</v>
      </c>
      <c r="Q48" s="118">
        <f>((P48/G48)^(1/($H$2-$H$1) ))-1</f>
        <v>-5.6117273516941291E-2</v>
      </c>
      <c r="R48" s="128"/>
      <c r="S48" s="158">
        <f t="shared" ref="S48:AB48" si="136">S6/S39</f>
        <v>119.5434889190476</v>
      </c>
      <c r="T48" s="158">
        <f t="shared" si="136"/>
        <v>116.42496312115942</v>
      </c>
      <c r="U48" s="158">
        <f t="shared" si="136"/>
        <v>113.38779017017268</v>
      </c>
      <c r="V48" s="158">
        <f t="shared" si="136"/>
        <v>110.42984781790732</v>
      </c>
      <c r="W48" s="158">
        <f t="shared" si="136"/>
        <v>107.54906917917933</v>
      </c>
      <c r="X48" s="158">
        <f t="shared" si="136"/>
        <v>104.74344128754858</v>
      </c>
      <c r="Y48" s="158">
        <f t="shared" si="136"/>
        <v>102.01100368874297</v>
      </c>
      <c r="Z48" s="158">
        <f t="shared" si="136"/>
        <v>99.349847070775795</v>
      </c>
      <c r="AA48" s="158">
        <f t="shared" si="136"/>
        <v>96.758111929799043</v>
      </c>
      <c r="AB48" s="158">
        <f t="shared" si="136"/>
        <v>94.233987270760821</v>
      </c>
      <c r="AC48" s="138">
        <f t="shared" si="131"/>
        <v>-4.0429116707895285E-2</v>
      </c>
      <c r="AD48" s="31">
        <f t="shared" si="17"/>
        <v>0.08</v>
      </c>
      <c r="AE48" s="146">
        <f t="shared" si="132"/>
        <v>726.94790180301209</v>
      </c>
    </row>
    <row r="49" spans="2:31">
      <c r="B49" s="20" t="s">
        <v>247</v>
      </c>
      <c r="C49" s="127">
        <f t="shared" ref="C49:P49" si="137">C10/C39</f>
        <v>0</v>
      </c>
      <c r="D49" s="127">
        <f t="shared" si="137"/>
        <v>0</v>
      </c>
      <c r="E49" s="127">
        <f t="shared" si="137"/>
        <v>0</v>
      </c>
      <c r="F49" s="144">
        <f t="shared" si="137"/>
        <v>21.700040866366979</v>
      </c>
      <c r="G49" s="144">
        <f t="shared" si="137"/>
        <v>22.067838169186761</v>
      </c>
      <c r="H49" s="144">
        <f t="shared" si="137"/>
        <v>21.904372701266858</v>
      </c>
      <c r="I49" s="144">
        <f t="shared" si="137"/>
        <v>22.803432774826319</v>
      </c>
      <c r="J49" s="144">
        <f t="shared" si="137"/>
        <v>3.637106661217818</v>
      </c>
      <c r="K49" s="144">
        <f t="shared" si="137"/>
        <v>1.9407558733401429</v>
      </c>
      <c r="L49" s="144">
        <f t="shared" si="137"/>
        <v>3.4116445352400406</v>
      </c>
      <c r="M49" s="144">
        <f t="shared" si="137"/>
        <v>3.023493360572012</v>
      </c>
      <c r="N49" s="144">
        <f t="shared" si="137"/>
        <v>5.5158324821246163</v>
      </c>
      <c r="O49" s="144">
        <f t="shared" si="137"/>
        <v>1.5075992809282563</v>
      </c>
      <c r="P49" s="144">
        <f t="shared" si="137"/>
        <v>5.0375878411505148</v>
      </c>
      <c r="Q49" s="118">
        <f>((P49/G49)^(1/($H$2-$H$1) ))-1</f>
        <v>-0.15137056076414257</v>
      </c>
      <c r="R49" s="128"/>
      <c r="S49" s="158">
        <f t="shared" ref="S49:AB49" si="138">S10/S39</f>
        <v>4.9061725061639798</v>
      </c>
      <c r="T49" s="158">
        <f t="shared" si="138"/>
        <v>4.7781853973075288</v>
      </c>
      <c r="U49" s="158">
        <f t="shared" si="138"/>
        <v>4.6535370825951592</v>
      </c>
      <c r="V49" s="158">
        <f t="shared" si="138"/>
        <v>4.532140463049199</v>
      </c>
      <c r="W49" s="158">
        <f t="shared" si="138"/>
        <v>4.4139107118392209</v>
      </c>
      <c r="X49" s="158">
        <f t="shared" si="138"/>
        <v>4.2987652150086335</v>
      </c>
      <c r="Y49" s="158">
        <f t="shared" si="138"/>
        <v>4.1866235137475396</v>
      </c>
      <c r="Z49" s="158">
        <f t="shared" si="138"/>
        <v>4.0774072481715171</v>
      </c>
      <c r="AA49" s="158">
        <f t="shared" si="138"/>
        <v>3.9710401025670432</v>
      </c>
      <c r="AB49" s="158">
        <f t="shared" si="138"/>
        <v>3.8674477520652948</v>
      </c>
      <c r="AC49" s="138">
        <f t="shared" si="131"/>
        <v>-8.7584032156724501E-2</v>
      </c>
      <c r="AD49" s="31">
        <f t="shared" si="17"/>
        <v>0.08</v>
      </c>
      <c r="AE49" s="146">
        <f t="shared" si="132"/>
        <v>29.834596944503701</v>
      </c>
    </row>
    <row r="50" spans="2:31">
      <c r="B50" s="20"/>
      <c r="C50" s="127"/>
      <c r="D50" s="127"/>
      <c r="E50" s="12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28"/>
      <c r="R50" s="12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39"/>
      <c r="AD50" s="137"/>
      <c r="AE50" s="146"/>
    </row>
    <row r="51" spans="2:31">
      <c r="B51" s="20" t="s">
        <v>271</v>
      </c>
      <c r="C51" s="127">
        <f t="shared" ref="C51:P51" si="139">(C7-C10)/C39</f>
        <v>0</v>
      </c>
      <c r="D51" s="127">
        <f t="shared" si="139"/>
        <v>0</v>
      </c>
      <c r="E51" s="127">
        <f t="shared" si="139"/>
        <v>0</v>
      </c>
      <c r="F51" s="144">
        <f t="shared" si="139"/>
        <v>174.58111973845527</v>
      </c>
      <c r="G51" s="144">
        <f t="shared" si="139"/>
        <v>194.3195749897834</v>
      </c>
      <c r="H51" s="144">
        <f t="shared" si="139"/>
        <v>224.35635472006538</v>
      </c>
      <c r="I51" s="144">
        <f t="shared" si="139"/>
        <v>275.56191254597468</v>
      </c>
      <c r="J51" s="144">
        <f t="shared" si="139"/>
        <v>355.4965263588067</v>
      </c>
      <c r="K51" s="144">
        <f t="shared" si="139"/>
        <v>218.16138917262512</v>
      </c>
      <c r="L51" s="144">
        <f t="shared" si="139"/>
        <v>260.58712972420835</v>
      </c>
      <c r="M51" s="144">
        <f t="shared" si="139"/>
        <v>321.71562819203268</v>
      </c>
      <c r="N51" s="144">
        <f t="shared" si="139"/>
        <v>406.23248212461698</v>
      </c>
      <c r="O51" s="144">
        <f t="shared" si="139"/>
        <v>102.28002941657134</v>
      </c>
      <c r="P51" s="144">
        <f t="shared" si="139"/>
        <v>119.70787710410198</v>
      </c>
      <c r="Q51" s="118">
        <f>((P51/G51)^(1/($H$2-$H$1) ))-1</f>
        <v>-5.2404676899508118E-2</v>
      </c>
      <c r="R51" s="128"/>
      <c r="S51" s="158">
        <f t="shared" ref="S51:AB51" si="140">(S7-S10)/S39</f>
        <v>116.5850629187776</v>
      </c>
      <c r="T51" s="158">
        <f t="shared" si="140"/>
        <v>113.54371345133124</v>
      </c>
      <c r="U51" s="158">
        <f t="shared" si="140"/>
        <v>110.58170353520957</v>
      </c>
      <c r="V51" s="158">
        <f t="shared" si="140"/>
        <v>107.69696344298674</v>
      </c>
      <c r="W51" s="158">
        <f t="shared" si="140"/>
        <v>104.88747744012625</v>
      </c>
      <c r="X51" s="158">
        <f t="shared" si="140"/>
        <v>102.15128237647077</v>
      </c>
      <c r="Y51" s="158">
        <f t="shared" si="140"/>
        <v>99.486466314475905</v>
      </c>
      <c r="Z51" s="158">
        <f t="shared" si="140"/>
        <v>96.891167193228739</v>
      </c>
      <c r="AA51" s="158">
        <f t="shared" si="140"/>
        <v>94.363571527318413</v>
      </c>
      <c r="AB51" s="158">
        <f t="shared" si="140"/>
        <v>91.901913139649267</v>
      </c>
      <c r="AC51" s="138">
        <f t="shared" si="131"/>
        <v>-3.8643135726204814E-2</v>
      </c>
      <c r="AD51" s="31">
        <f t="shared" si="17"/>
        <v>0.08</v>
      </c>
      <c r="AE51" s="146">
        <f t="shared" si="132"/>
        <v>708.95761564872294</v>
      </c>
    </row>
    <row r="52" spans="2:31">
      <c r="B52" s="20" t="s">
        <v>272</v>
      </c>
      <c r="C52" s="127">
        <f t="shared" ref="C52:P52" si="141">(C7-C10-C9)/C39</f>
        <v>0</v>
      </c>
      <c r="D52" s="127">
        <f t="shared" si="141"/>
        <v>0</v>
      </c>
      <c r="E52" s="127">
        <f t="shared" si="141"/>
        <v>0</v>
      </c>
      <c r="F52" s="144">
        <f t="shared" si="141"/>
        <v>7.274213322435636</v>
      </c>
      <c r="G52" s="144">
        <f t="shared" si="141"/>
        <v>-23.865958316305683</v>
      </c>
      <c r="H52" s="144">
        <f t="shared" si="141"/>
        <v>-71.843073150796897</v>
      </c>
      <c r="I52" s="144">
        <f t="shared" si="141"/>
        <v>-88.353085410706996</v>
      </c>
      <c r="J52" s="144">
        <f t="shared" si="141"/>
        <v>-133.14262362076013</v>
      </c>
      <c r="K52" s="144">
        <f t="shared" si="141"/>
        <v>-121.61389172625127</v>
      </c>
      <c r="L52" s="144">
        <f t="shared" si="141"/>
        <v>-324.14116445352403</v>
      </c>
      <c r="M52" s="144">
        <f t="shared" si="141"/>
        <v>-346.92625127681305</v>
      </c>
      <c r="N52" s="144">
        <f t="shared" si="141"/>
        <v>-396.85903983656789</v>
      </c>
      <c r="O52" s="144">
        <f t="shared" si="141"/>
        <v>-67.900678215394677</v>
      </c>
      <c r="P52" s="144">
        <f t="shared" si="141"/>
        <v>4.4590619382252061</v>
      </c>
      <c r="Q52" s="118">
        <f>((P52/G52)^(1/($H$2-$H$1) ))-1</f>
        <v>-1.8299494189903238</v>
      </c>
      <c r="R52" s="128"/>
      <c r="S52" s="158">
        <f t="shared" ref="S52:AB52" si="142">(S7-S10-S9)/S39</f>
        <v>4.3427385833149854</v>
      </c>
      <c r="T52" s="158">
        <f t="shared" si="142"/>
        <v>4.2294497507067819</v>
      </c>
      <c r="U52" s="158">
        <f t="shared" si="142"/>
        <v>4.1191162789491971</v>
      </c>
      <c r="V52" s="158">
        <f t="shared" si="142"/>
        <v>4.0116610716722771</v>
      </c>
      <c r="W52" s="158">
        <f t="shared" si="142"/>
        <v>3.907009043715608</v>
      </c>
      <c r="X52" s="158">
        <f t="shared" si="142"/>
        <v>3.8050870686621461</v>
      </c>
      <c r="Y52" s="158">
        <f t="shared" si="142"/>
        <v>3.7058239277405192</v>
      </c>
      <c r="Z52" s="158">
        <f t="shared" si="142"/>
        <v>3.6091502600603529</v>
      </c>
      <c r="AA52" s="158">
        <f t="shared" si="142"/>
        <v>3.5149985141457174</v>
      </c>
      <c r="AB52" s="158">
        <f t="shared" si="142"/>
        <v>3.4233029007332383</v>
      </c>
      <c r="AC52" s="138">
        <f t="shared" si="131"/>
        <v>-1.9028467181075968</v>
      </c>
      <c r="AD52" s="31">
        <f t="shared" si="17"/>
        <v>0.08</v>
      </c>
      <c r="AE52" s="146">
        <f t="shared" si="132"/>
        <v>26.408336662799268</v>
      </c>
    </row>
    <row r="53" spans="2:31">
      <c r="B53" s="20" t="s">
        <v>277</v>
      </c>
      <c r="C53" s="127">
        <f t="shared" ref="C53:P53" si="143">(C7+C14-C10-C9)/C39</f>
        <v>0</v>
      </c>
      <c r="D53" s="127">
        <f t="shared" si="143"/>
        <v>0</v>
      </c>
      <c r="E53" s="127">
        <f t="shared" si="143"/>
        <v>0</v>
      </c>
      <c r="F53" s="144">
        <f t="shared" si="143"/>
        <v>370.69881487535758</v>
      </c>
      <c r="G53" s="144">
        <f t="shared" si="143"/>
        <v>428.32039231712304</v>
      </c>
      <c r="H53" s="144">
        <f t="shared" si="143"/>
        <v>499.75480179812018</v>
      </c>
      <c r="I53" s="144">
        <f t="shared" si="143"/>
        <v>697.58888434818152</v>
      </c>
      <c r="J53" s="144">
        <f t="shared" si="143"/>
        <v>898.28361258684106</v>
      </c>
      <c r="K53" s="144">
        <f t="shared" si="143"/>
        <v>562.00204290091926</v>
      </c>
      <c r="L53" s="144">
        <f t="shared" si="143"/>
        <v>470.22042900919297</v>
      </c>
      <c r="M53" s="144">
        <f t="shared" si="143"/>
        <v>564.28927477017351</v>
      </c>
      <c r="N53" s="144">
        <f t="shared" si="143"/>
        <v>704.4279877425945</v>
      </c>
      <c r="O53" s="144">
        <f t="shared" si="143"/>
        <v>181.90321130903743</v>
      </c>
      <c r="P53" s="144">
        <f t="shared" si="143"/>
        <v>214.50482104919104</v>
      </c>
      <c r="Q53" s="118">
        <f>((P53/G53)^(1/($H$2-$H$1) ))-1</f>
        <v>-7.3959860407142641E-2</v>
      </c>
      <c r="R53" s="128"/>
      <c r="S53" s="158">
        <f t="shared" ref="S53:AB53" si="144">(S7+S14-S10-S9)/S39</f>
        <v>208.90904310877741</v>
      </c>
      <c r="T53" s="158">
        <f t="shared" si="144"/>
        <v>203.45924198420064</v>
      </c>
      <c r="U53" s="158">
        <f t="shared" si="144"/>
        <v>198.15160958461283</v>
      </c>
      <c r="V53" s="158">
        <f t="shared" si="144"/>
        <v>192.98243716066642</v>
      </c>
      <c r="W53" s="158">
        <f t="shared" si="144"/>
        <v>187.9481127129969</v>
      </c>
      <c r="X53" s="158">
        <f t="shared" si="144"/>
        <v>183.04511846831002</v>
      </c>
      <c r="Y53" s="158">
        <f t="shared" si="144"/>
        <v>178.27002842131068</v>
      </c>
      <c r="Z53" s="158">
        <f t="shared" si="144"/>
        <v>173.61950594075483</v>
      </c>
      <c r="AA53" s="158">
        <f t="shared" si="144"/>
        <v>169.09030143795255</v>
      </c>
      <c r="AB53" s="158">
        <f t="shared" si="144"/>
        <v>164.67925009609291</v>
      </c>
      <c r="AC53" s="138">
        <f t="shared" si="131"/>
        <v>-4.9064502652334641E-2</v>
      </c>
      <c r="AD53" s="31">
        <f t="shared" si="17"/>
        <v>0.08</v>
      </c>
      <c r="AE53" s="146">
        <f t="shared" si="132"/>
        <v>1270.382786455574</v>
      </c>
    </row>
    <row r="54" spans="2:31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39"/>
      <c r="AD54" s="137"/>
      <c r="AE54" s="155"/>
    </row>
    <row r="55" spans="2:31">
      <c r="B55" s="20" t="s">
        <v>248</v>
      </c>
      <c r="C55" s="127">
        <f t="shared" ref="C55:P55" si="145">C12/C39</f>
        <v>0</v>
      </c>
      <c r="D55" s="127">
        <f t="shared" si="145"/>
        <v>0</v>
      </c>
      <c r="E55" s="127">
        <f t="shared" si="145"/>
        <v>0</v>
      </c>
      <c r="F55" s="144">
        <f t="shared" si="145"/>
        <v>53.943604413567634</v>
      </c>
      <c r="G55" s="144">
        <f t="shared" si="145"/>
        <v>108.6636697997548</v>
      </c>
      <c r="H55" s="144">
        <f t="shared" si="145"/>
        <v>129.8324478953821</v>
      </c>
      <c r="I55" s="144">
        <f t="shared" si="145"/>
        <v>168.90069472823868</v>
      </c>
      <c r="J55" s="144">
        <f t="shared" si="145"/>
        <v>237.3518594196976</v>
      </c>
      <c r="K55" s="144">
        <f t="shared" si="145"/>
        <v>171.31767109295197</v>
      </c>
      <c r="L55" s="144">
        <f t="shared" si="145"/>
        <v>211.01123595505618</v>
      </c>
      <c r="M55" s="144">
        <f t="shared" si="145"/>
        <v>201.34831460674155</v>
      </c>
      <c r="N55" s="144">
        <f t="shared" si="145"/>
        <v>198.26353421859039</v>
      </c>
      <c r="O55" s="144">
        <f t="shared" si="145"/>
        <v>27.512665468213761</v>
      </c>
      <c r="P55" s="144">
        <f t="shared" si="145"/>
        <v>32.052214414119959</v>
      </c>
      <c r="Q55" s="118">
        <f>((P55/G55)^(1/($H$2-$H$1) ))-1</f>
        <v>-0.1268558201033535</v>
      </c>
      <c r="R55" s="128"/>
      <c r="S55" s="158">
        <f t="shared" ref="S55:AB55" si="146">S12/S39</f>
        <v>31.216069690273351</v>
      </c>
      <c r="T55" s="158">
        <f t="shared" si="146"/>
        <v>30.401737437483614</v>
      </c>
      <c r="U55" s="158">
        <f t="shared" si="146"/>
        <v>29.608648634766652</v>
      </c>
      <c r="V55" s="158">
        <f t="shared" si="146"/>
        <v>28.83624910516405</v>
      </c>
      <c r="W55" s="158">
        <f t="shared" si="146"/>
        <v>28.083999128507603</v>
      </c>
      <c r="X55" s="158">
        <f t="shared" si="146"/>
        <v>27.351373064285667</v>
      </c>
      <c r="Y55" s="158">
        <f t="shared" si="146"/>
        <v>26.637858984347787</v>
      </c>
      <c r="Z55" s="158">
        <f t="shared" si="146"/>
        <v>25.942958315190889</v>
      </c>
      <c r="AA55" s="158">
        <f t="shared" si="146"/>
        <v>25.266185489577214</v>
      </c>
      <c r="AB55" s="158">
        <f t="shared" si="146"/>
        <v>24.607067607240424</v>
      </c>
      <c r="AC55" s="138">
        <f t="shared" si="131"/>
        <v>-7.519250280045453E-2</v>
      </c>
      <c r="AD55" s="31">
        <f t="shared" si="17"/>
        <v>0.08</v>
      </c>
      <c r="AE55" s="146">
        <f t="shared" si="132"/>
        <v>189.82595011299753</v>
      </c>
    </row>
    <row r="56" spans="2:31">
      <c r="B56" s="20" t="s">
        <v>255</v>
      </c>
      <c r="C56" s="127">
        <f t="shared" ref="C56:P56" si="147">C13/C39</f>
        <v>0</v>
      </c>
      <c r="D56" s="127">
        <f t="shared" si="147"/>
        <v>0</v>
      </c>
      <c r="E56" s="127">
        <f t="shared" si="147"/>
        <v>0</v>
      </c>
      <c r="F56" s="144">
        <f t="shared" si="147"/>
        <v>0.42214957090314675</v>
      </c>
      <c r="G56" s="144">
        <f t="shared" si="147"/>
        <v>1.1851246424192889</v>
      </c>
      <c r="H56" s="144">
        <f t="shared" si="147"/>
        <v>0.36779730281977935</v>
      </c>
      <c r="I56" s="144">
        <f t="shared" si="147"/>
        <v>0.32693093583980387</v>
      </c>
      <c r="J56" s="144">
        <f t="shared" si="147"/>
        <v>0.32693093583980387</v>
      </c>
      <c r="K56" s="144">
        <f t="shared" si="147"/>
        <v>20.020429009193052</v>
      </c>
      <c r="L56" s="144">
        <f t="shared" si="147"/>
        <v>33.99387129724208</v>
      </c>
      <c r="M56" s="144">
        <f t="shared" si="147"/>
        <v>53.278855975485186</v>
      </c>
      <c r="N56" s="144">
        <f t="shared" si="147"/>
        <v>73.72829417773238</v>
      </c>
      <c r="O56" s="144">
        <f t="shared" si="147"/>
        <v>18.556953750612845</v>
      </c>
      <c r="P56" s="144">
        <f t="shared" si="147"/>
        <v>20.428174538323255</v>
      </c>
      <c r="Q56" s="118">
        <f>((P56/G56)^(1/($H$2-$H$1) ))-1</f>
        <v>0.37209777167864244</v>
      </c>
      <c r="R56" s="128"/>
      <c r="S56" s="158">
        <f t="shared" ref="S56:AB56" si="148">S13/S39</f>
        <v>19.895265637323522</v>
      </c>
      <c r="T56" s="158">
        <f t="shared" si="148"/>
        <v>19.376258707654216</v>
      </c>
      <c r="U56" s="158">
        <f t="shared" si="148"/>
        <v>18.870791089193673</v>
      </c>
      <c r="V56" s="158">
        <f t="shared" si="148"/>
        <v>18.378509582519062</v>
      </c>
      <c r="W56" s="158">
        <f t="shared" si="148"/>
        <v>17.899070202105523</v>
      </c>
      <c r="X56" s="158">
        <f t="shared" si="148"/>
        <v>17.432137935963642</v>
      </c>
      <c r="Y56" s="158">
        <f t="shared" si="148"/>
        <v>16.977386511547202</v>
      </c>
      <c r="Z56" s="158">
        <f t="shared" si="148"/>
        <v>16.534498167767708</v>
      </c>
      <c r="AA56" s="158">
        <f t="shared" si="148"/>
        <v>16.103163432956382</v>
      </c>
      <c r="AB56" s="158">
        <f t="shared" si="148"/>
        <v>15.68308090861839</v>
      </c>
      <c r="AC56" s="138">
        <f t="shared" si="131"/>
        <v>0.14560558947730162</v>
      </c>
      <c r="AD56" s="31">
        <f t="shared" si="17"/>
        <v>0.08</v>
      </c>
      <c r="AE56" s="146">
        <f t="shared" si="132"/>
        <v>120.98376700934186</v>
      </c>
    </row>
    <row r="57" spans="2:31">
      <c r="B57" s="20" t="s">
        <v>256</v>
      </c>
      <c r="C57" s="127">
        <f>(C55+C56)</f>
        <v>0</v>
      </c>
      <c r="D57" s="127">
        <f t="shared" ref="D57:P57" si="149">(D55+D56)</f>
        <v>0</v>
      </c>
      <c r="E57" s="127">
        <f t="shared" si="149"/>
        <v>0</v>
      </c>
      <c r="F57" s="144">
        <f t="shared" si="149"/>
        <v>54.365753984470778</v>
      </c>
      <c r="G57" s="144">
        <f t="shared" si="149"/>
        <v>109.84879444217408</v>
      </c>
      <c r="H57" s="144">
        <f t="shared" si="149"/>
        <v>130.20024519820188</v>
      </c>
      <c r="I57" s="144">
        <f t="shared" si="149"/>
        <v>169.22762566407849</v>
      </c>
      <c r="J57" s="144">
        <f t="shared" si="149"/>
        <v>237.67879035553742</v>
      </c>
      <c r="K57" s="144">
        <f t="shared" si="149"/>
        <v>191.33810010214501</v>
      </c>
      <c r="L57" s="144">
        <f t="shared" si="149"/>
        <v>245.00510725229827</v>
      </c>
      <c r="M57" s="144">
        <f t="shared" si="149"/>
        <v>254.62717058222674</v>
      </c>
      <c r="N57" s="144">
        <f t="shared" si="149"/>
        <v>271.99182839632277</v>
      </c>
      <c r="O57" s="144">
        <f t="shared" ref="O57" si="150">(O55+O56)</f>
        <v>46.069619218826602</v>
      </c>
      <c r="P57" s="144">
        <f t="shared" si="149"/>
        <v>52.480388952443214</v>
      </c>
      <c r="Q57" s="118">
        <f>((P57/G57)^(1/($H$2-$H$1) ))-1</f>
        <v>-7.8796137995835402E-2</v>
      </c>
      <c r="R57" s="128"/>
      <c r="S57" s="158">
        <f t="shared" ref="S57:AB57" si="151">(S55+S56)</f>
        <v>51.111335327596876</v>
      </c>
      <c r="T57" s="158">
        <f t="shared" si="151"/>
        <v>49.777996145137834</v>
      </c>
      <c r="U57" s="158">
        <f t="shared" si="151"/>
        <v>48.479439723960326</v>
      </c>
      <c r="V57" s="158">
        <f t="shared" si="151"/>
        <v>47.214758687683116</v>
      </c>
      <c r="W57" s="158">
        <f t="shared" si="151"/>
        <v>45.983069330613127</v>
      </c>
      <c r="X57" s="158">
        <f t="shared" si="151"/>
        <v>44.783511000249305</v>
      </c>
      <c r="Y57" s="158">
        <f t="shared" si="151"/>
        <v>43.615245495894989</v>
      </c>
      <c r="Z57" s="158">
        <f t="shared" si="151"/>
        <v>42.477456482958601</v>
      </c>
      <c r="AA57" s="158">
        <f t="shared" si="151"/>
        <v>41.369348922533597</v>
      </c>
      <c r="AB57" s="158">
        <f t="shared" si="151"/>
        <v>40.290148515858817</v>
      </c>
      <c r="AC57" s="138">
        <f t="shared" si="131"/>
        <v>-5.1420199652061238E-2</v>
      </c>
      <c r="AD57" s="31">
        <f t="shared" si="17"/>
        <v>0.08</v>
      </c>
      <c r="AE57" s="146">
        <f t="shared" si="132"/>
        <v>310.80971712233946</v>
      </c>
    </row>
    <row r="58" spans="2:31">
      <c r="B58" s="20" t="s">
        <v>249</v>
      </c>
      <c r="C58" s="127">
        <f t="shared" ref="C58:P58" si="152">C14/C39</f>
        <v>0</v>
      </c>
      <c r="D58" s="127">
        <f t="shared" si="152"/>
        <v>0</v>
      </c>
      <c r="E58" s="127">
        <f t="shared" si="152"/>
        <v>0</v>
      </c>
      <c r="F58" s="144">
        <f t="shared" si="152"/>
        <v>363.42460155292196</v>
      </c>
      <c r="G58" s="144">
        <f t="shared" si="152"/>
        <v>452.18635063342873</v>
      </c>
      <c r="H58" s="144">
        <f t="shared" si="152"/>
        <v>571.59787494891702</v>
      </c>
      <c r="I58" s="144">
        <f t="shared" si="152"/>
        <v>785.94196975888849</v>
      </c>
      <c r="J58" s="144">
        <f t="shared" si="152"/>
        <v>1031.4262362076013</v>
      </c>
      <c r="K58" s="144">
        <f t="shared" si="152"/>
        <v>683.61593462717053</v>
      </c>
      <c r="L58" s="144">
        <f t="shared" si="152"/>
        <v>794.361593462717</v>
      </c>
      <c r="M58" s="144">
        <f t="shared" si="152"/>
        <v>911.21552604698672</v>
      </c>
      <c r="N58" s="144">
        <f t="shared" si="152"/>
        <v>1101.2870275791624</v>
      </c>
      <c r="O58" s="144">
        <f t="shared" si="152"/>
        <v>249.80388952443209</v>
      </c>
      <c r="P58" s="144">
        <f t="shared" si="152"/>
        <v>210.04575911096586</v>
      </c>
      <c r="Q58" s="118">
        <f>((P58/G58)^(1/($H$2-$H$1) ))-1</f>
        <v>-8.1668233235111076E-2</v>
      </c>
      <c r="R58" s="128"/>
      <c r="S58" s="158">
        <f t="shared" ref="S58:AB58" si="153">S14/S39</f>
        <v>204.56630452546244</v>
      </c>
      <c r="T58" s="158">
        <f t="shared" si="153"/>
        <v>199.22979223349387</v>
      </c>
      <c r="U58" s="158">
        <f t="shared" si="153"/>
        <v>194.03249330566362</v>
      </c>
      <c r="V58" s="158">
        <f t="shared" si="153"/>
        <v>188.97077608899417</v>
      </c>
      <c r="W58" s="158">
        <f t="shared" si="153"/>
        <v>184.04110366928131</v>
      </c>
      <c r="X58" s="158">
        <f t="shared" si="153"/>
        <v>179.2400313996479</v>
      </c>
      <c r="Y58" s="158">
        <f t="shared" si="153"/>
        <v>174.56420449357017</v>
      </c>
      <c r="Z58" s="158">
        <f t="shared" si="153"/>
        <v>170.01035568069446</v>
      </c>
      <c r="AA58" s="158">
        <f t="shared" si="153"/>
        <v>165.57530292380679</v>
      </c>
      <c r="AB58" s="158">
        <f t="shared" si="153"/>
        <v>161.25594719535971</v>
      </c>
      <c r="AC58" s="138">
        <f t="shared" si="131"/>
        <v>-5.2822246775078852E-2</v>
      </c>
      <c r="AD58" s="31">
        <f t="shared" si="17"/>
        <v>0.08</v>
      </c>
      <c r="AE58" s="146">
        <f t="shared" si="132"/>
        <v>1243.974449792775</v>
      </c>
    </row>
    <row r="59" spans="2:31">
      <c r="B59" s="20" t="s">
        <v>250</v>
      </c>
      <c r="C59" s="127">
        <f t="shared" ref="C59:P59" si="154">C15/C39</f>
        <v>0</v>
      </c>
      <c r="D59" s="127">
        <f t="shared" si="154"/>
        <v>0</v>
      </c>
      <c r="E59" s="127">
        <f t="shared" si="154"/>
        <v>0</v>
      </c>
      <c r="F59" s="144">
        <f t="shared" si="154"/>
        <v>163.13853698406211</v>
      </c>
      <c r="G59" s="144">
        <f t="shared" si="154"/>
        <v>187.37229260318759</v>
      </c>
      <c r="H59" s="144">
        <f t="shared" si="154"/>
        <v>221.20964446260729</v>
      </c>
      <c r="I59" s="144">
        <f t="shared" si="154"/>
        <v>272.90559869227627</v>
      </c>
      <c r="J59" s="144">
        <f t="shared" si="154"/>
        <v>309.52186350633428</v>
      </c>
      <c r="K59" s="144">
        <f t="shared" si="154"/>
        <v>188.37589376915219</v>
      </c>
      <c r="L59" s="144">
        <f t="shared" si="154"/>
        <v>209.62206332992849</v>
      </c>
      <c r="M59" s="144">
        <f t="shared" si="154"/>
        <v>242.5740551583248</v>
      </c>
      <c r="N59" s="144">
        <f t="shared" si="154"/>
        <v>298.20224719101122</v>
      </c>
      <c r="O59" s="144">
        <f t="shared" si="154"/>
        <v>79.620853080568722</v>
      </c>
      <c r="P59" s="144">
        <f t="shared" si="154"/>
        <v>94.796943945089083</v>
      </c>
      <c r="Q59" s="118">
        <f>((P59/G59)^(1/($H$2-$H$1) ))-1</f>
        <v>-7.2911922021211106E-2</v>
      </c>
      <c r="R59" s="128"/>
      <c r="S59" s="158">
        <f t="shared" ref="S59:AB59" si="155">S15/S39</f>
        <v>92.323980189999816</v>
      </c>
      <c r="T59" s="158">
        <f t="shared" si="155"/>
        <v>89.915528532869402</v>
      </c>
      <c r="U59" s="158">
        <f t="shared" si="155"/>
        <v>87.569906049403258</v>
      </c>
      <c r="V59" s="158">
        <f t="shared" si="155"/>
        <v>85.285473717679707</v>
      </c>
      <c r="W59" s="158">
        <f t="shared" si="155"/>
        <v>83.060635272870684</v>
      </c>
      <c r="X59" s="158">
        <f t="shared" si="155"/>
        <v>80.89383609183929</v>
      </c>
      <c r="Y59" s="158">
        <f t="shared" si="155"/>
        <v>78.783562106834808</v>
      </c>
      <c r="Z59" s="158">
        <f t="shared" si="155"/>
        <v>76.728338747526081</v>
      </c>
      <c r="AA59" s="158">
        <f t="shared" si="155"/>
        <v>74.726729910634106</v>
      </c>
      <c r="AB59" s="158">
        <f t="shared" si="155"/>
        <v>72.777336956443662</v>
      </c>
      <c r="AC59" s="138">
        <f t="shared" si="131"/>
        <v>-4.8554917661477459E-2</v>
      </c>
      <c r="AD59" s="137"/>
      <c r="AE59" s="146">
        <f t="shared" si="132"/>
        <v>330.80607707474394</v>
      </c>
    </row>
    <row r="60" spans="2:31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31">
        <f t="shared" si="17"/>
        <v>0.08</v>
      </c>
      <c r="AE60" s="146">
        <f t="shared" si="132"/>
        <v>0</v>
      </c>
    </row>
    <row r="61" spans="2:31">
      <c r="B61" s="20" t="s">
        <v>283</v>
      </c>
      <c r="C61" s="160">
        <f>C40</f>
        <v>0</v>
      </c>
      <c r="D61" s="160">
        <f t="shared" ref="D61:P61" si="156">D40</f>
        <v>0</v>
      </c>
      <c r="E61" s="160">
        <f t="shared" si="156"/>
        <v>0</v>
      </c>
      <c r="F61" s="160">
        <f t="shared" si="156"/>
        <v>4</v>
      </c>
      <c r="G61" s="160">
        <f t="shared" si="156"/>
        <v>6</v>
      </c>
      <c r="H61" s="160">
        <f t="shared" si="156"/>
        <v>8</v>
      </c>
      <c r="I61" s="160">
        <f t="shared" si="156"/>
        <v>14.5</v>
      </c>
      <c r="J61" s="160">
        <f t="shared" si="156"/>
        <v>24.5</v>
      </c>
      <c r="K61" s="160">
        <f t="shared" si="156"/>
        <v>15.25</v>
      </c>
      <c r="L61" s="160">
        <f t="shared" si="156"/>
        <v>17</v>
      </c>
      <c r="M61" s="160">
        <f t="shared" si="156"/>
        <v>23.3</v>
      </c>
      <c r="N61" s="160">
        <f t="shared" si="156"/>
        <v>31.15</v>
      </c>
      <c r="O61" s="160">
        <f t="shared" si="156"/>
        <v>6.4</v>
      </c>
      <c r="P61" s="160">
        <f t="shared" si="156"/>
        <v>5.12</v>
      </c>
      <c r="Q61" s="118">
        <f>((P61/G61)^(1/($H$2-$H$1) ))-1</f>
        <v>-1.746840808100425E-2</v>
      </c>
      <c r="R61" s="128"/>
      <c r="S61" s="160">
        <f t="shared" ref="S61:AB61" si="157">S40</f>
        <v>5.3760000000000003</v>
      </c>
      <c r="T61" s="160">
        <f t="shared" si="157"/>
        <v>5.6448000000000009</v>
      </c>
      <c r="U61" s="160">
        <f t="shared" si="157"/>
        <v>5.9270400000000016</v>
      </c>
      <c r="V61" s="160">
        <f t="shared" si="157"/>
        <v>6.2233920000000023</v>
      </c>
      <c r="W61" s="160">
        <f t="shared" si="157"/>
        <v>6.5345616000000026</v>
      </c>
      <c r="X61" s="160">
        <f t="shared" si="157"/>
        <v>6.8612896800000032</v>
      </c>
      <c r="Y61" s="160">
        <f t="shared" si="157"/>
        <v>7.2043541640000033</v>
      </c>
      <c r="Z61" s="160">
        <f t="shared" si="157"/>
        <v>7.5645718722000037</v>
      </c>
      <c r="AA61" s="160">
        <f t="shared" si="157"/>
        <v>7.942800465810004</v>
      </c>
      <c r="AB61" s="160">
        <f t="shared" si="157"/>
        <v>8.3399404891005045</v>
      </c>
      <c r="AC61" s="138">
        <f t="shared" ref="AC61" si="158">((AB61/G61)^(1/($AB$3-$H$1) ))-1</f>
        <v>1.748246076250215E-2</v>
      </c>
      <c r="AD61" s="31">
        <f t="shared" si="17"/>
        <v>0.08</v>
      </c>
      <c r="AE61" s="146">
        <f t="shared" si="132"/>
        <v>64.33668377306104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39"/>
      <c r="AD62" s="137"/>
      <c r="AE62" s="155"/>
    </row>
    <row r="63" spans="2:31">
      <c r="B63" s="20" t="s">
        <v>318</v>
      </c>
      <c r="C63" s="127">
        <f t="shared" ref="C63:P63" si="159">C19+C20</f>
        <v>0</v>
      </c>
      <c r="D63" s="127">
        <f t="shared" si="159"/>
        <v>0</v>
      </c>
      <c r="E63" s="127">
        <f t="shared" si="159"/>
        <v>0</v>
      </c>
      <c r="F63" s="144">
        <f t="shared" si="159"/>
        <v>1133</v>
      </c>
      <c r="G63" s="144">
        <f t="shared" si="159"/>
        <v>1586</v>
      </c>
      <c r="H63" s="144">
        <f t="shared" si="159"/>
        <v>783</v>
      </c>
      <c r="I63" s="144">
        <f t="shared" si="159"/>
        <v>1467</v>
      </c>
      <c r="J63" s="144">
        <f t="shared" si="159"/>
        <v>2609</v>
      </c>
      <c r="K63" s="144">
        <f t="shared" si="159"/>
        <v>3465.46</v>
      </c>
      <c r="L63" s="144">
        <f t="shared" si="159"/>
        <v>2779</v>
      </c>
      <c r="M63" s="144">
        <f t="shared" si="159"/>
        <v>619</v>
      </c>
      <c r="N63" s="144">
        <f t="shared" si="159"/>
        <v>1316</v>
      </c>
      <c r="O63" s="144">
        <f t="shared" si="159"/>
        <v>-1142</v>
      </c>
      <c r="P63" s="144">
        <f t="shared" si="159"/>
        <v>2100</v>
      </c>
      <c r="Q63" s="118">
        <f>((P63/G63)^(1/($H$2-$H$1) ))-1</f>
        <v>3.1682905720789467E-2</v>
      </c>
      <c r="R63" s="128"/>
      <c r="S63" s="144">
        <f t="shared" ref="S63:AB63" si="160">S19+S20</f>
        <v>2352</v>
      </c>
      <c r="T63" s="144">
        <f t="shared" si="160"/>
        <v>2634.2400000000002</v>
      </c>
      <c r="U63" s="144">
        <f t="shared" si="160"/>
        <v>2950.3488000000007</v>
      </c>
      <c r="V63" s="144">
        <f t="shared" si="160"/>
        <v>3304.3906560000009</v>
      </c>
      <c r="W63" s="144">
        <f t="shared" si="160"/>
        <v>3700.9175347200016</v>
      </c>
      <c r="X63" s="144">
        <f t="shared" si="160"/>
        <v>4145.0276388864022</v>
      </c>
      <c r="Y63" s="144">
        <f t="shared" si="160"/>
        <v>4642.4309555527707</v>
      </c>
      <c r="Z63" s="144">
        <f t="shared" si="160"/>
        <v>5199.522670219103</v>
      </c>
      <c r="AA63" s="144">
        <f t="shared" si="160"/>
        <v>5823.4653906453959</v>
      </c>
      <c r="AB63" s="144">
        <f t="shared" si="160"/>
        <v>6522.281237522845</v>
      </c>
      <c r="AC63" s="138">
        <f t="shared" ref="AC63:AC68" si="161">((AB63/G63)^(1/($AB$3-$H$1) ))-1</f>
        <v>7.7260807810020538E-2</v>
      </c>
      <c r="AD63" s="31">
        <f t="shared" si="17"/>
        <v>0.08</v>
      </c>
      <c r="AE63" s="146">
        <f t="shared" si="132"/>
        <v>50314.740975176232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39"/>
      <c r="AD64" s="137"/>
      <c r="AE64" s="146"/>
    </row>
    <row r="65" spans="2:31">
      <c r="B65" s="20" t="s">
        <v>319</v>
      </c>
      <c r="C65" s="127">
        <f t="shared" ref="C65:P65" si="162">C63/C39</f>
        <v>0</v>
      </c>
      <c r="D65" s="127">
        <f t="shared" si="162"/>
        <v>0</v>
      </c>
      <c r="E65" s="127">
        <f t="shared" si="162"/>
        <v>0</v>
      </c>
      <c r="F65" s="144">
        <f t="shared" si="162"/>
        <v>46.301593788312218</v>
      </c>
      <c r="G65" s="144">
        <f t="shared" si="162"/>
        <v>64.814058030241114</v>
      </c>
      <c r="H65" s="144">
        <f t="shared" si="162"/>
        <v>31.998365345320803</v>
      </c>
      <c r="I65" s="144">
        <f t="shared" si="162"/>
        <v>59.950960359624034</v>
      </c>
      <c r="J65" s="144">
        <f t="shared" si="162"/>
        <v>106.62035145075603</v>
      </c>
      <c r="K65" s="144">
        <f t="shared" si="162"/>
        <v>70.795914198161384</v>
      </c>
      <c r="L65" s="144">
        <f t="shared" si="162"/>
        <v>56.772216547497443</v>
      </c>
      <c r="M65" s="144">
        <f t="shared" si="162"/>
        <v>12.645556690500509</v>
      </c>
      <c r="N65" s="144">
        <f t="shared" si="162"/>
        <v>26.884576098059242</v>
      </c>
      <c r="O65" s="144">
        <f t="shared" si="162"/>
        <v>-4.6657950645530315</v>
      </c>
      <c r="P65" s="144">
        <f t="shared" si="162"/>
        <v>8.5798333060957681</v>
      </c>
      <c r="Q65" s="118">
        <f>((P65/G65)^(1/($H$2-$H$1) ))-1</f>
        <v>-0.20122715364911703</v>
      </c>
      <c r="R65" s="128"/>
      <c r="S65" s="146">
        <f t="shared" ref="S65:AB65" si="163">S63/S39</f>
        <v>8.3560115676758784</v>
      </c>
      <c r="T65" s="146">
        <f t="shared" si="163"/>
        <v>8.13802865721477</v>
      </c>
      <c r="U65" s="146">
        <f t="shared" si="163"/>
        <v>7.925732257461342</v>
      </c>
      <c r="V65" s="146">
        <f t="shared" si="163"/>
        <v>7.7189740246580039</v>
      </c>
      <c r="W65" s="146">
        <f t="shared" si="163"/>
        <v>7.5176094848843187</v>
      </c>
      <c r="X65" s="146">
        <f t="shared" si="163"/>
        <v>7.3214979331047285</v>
      </c>
      <c r="Y65" s="146">
        <f t="shared" si="163"/>
        <v>7.1305023348498242</v>
      </c>
      <c r="Z65" s="146">
        <f t="shared" si="163"/>
        <v>6.9444892304624375</v>
      </c>
      <c r="AA65" s="146">
        <f t="shared" si="163"/>
        <v>6.7633286418416789</v>
      </c>
      <c r="AB65" s="146">
        <f t="shared" si="163"/>
        <v>6.5868939816197241</v>
      </c>
      <c r="AC65" s="138">
        <f t="shared" si="161"/>
        <v>-0.11338016016893104</v>
      </c>
      <c r="AD65" s="31">
        <f t="shared" si="17"/>
        <v>0.08</v>
      </c>
      <c r="AE65" s="146">
        <f t="shared" si="132"/>
        <v>50.813182143923584</v>
      </c>
    </row>
    <row r="66" spans="2:31">
      <c r="B66" s="20" t="s">
        <v>288</v>
      </c>
      <c r="C66" s="127">
        <f t="shared" ref="C66:P66" si="164">C19/C39</f>
        <v>0</v>
      </c>
      <c r="D66" s="127">
        <f t="shared" si="164"/>
        <v>0</v>
      </c>
      <c r="E66" s="127">
        <f t="shared" si="164"/>
        <v>0</v>
      </c>
      <c r="F66" s="144">
        <f t="shared" si="164"/>
        <v>50.796894156109524</v>
      </c>
      <c r="G66" s="144">
        <f t="shared" si="164"/>
        <v>69.268492031058443</v>
      </c>
      <c r="H66" s="144">
        <f t="shared" si="164"/>
        <v>33.428688189619947</v>
      </c>
      <c r="I66" s="144">
        <f t="shared" si="164"/>
        <v>66.326113608500208</v>
      </c>
      <c r="J66" s="144">
        <f t="shared" si="164"/>
        <v>115.28402125051083</v>
      </c>
      <c r="K66" s="144">
        <f t="shared" si="164"/>
        <v>71.052093973442283</v>
      </c>
      <c r="L66" s="144">
        <f t="shared" si="164"/>
        <v>67.231869254341163</v>
      </c>
      <c r="M66" s="144">
        <f t="shared" si="164"/>
        <v>32.379979570990805</v>
      </c>
      <c r="N66" s="144">
        <f t="shared" si="164"/>
        <v>54.300306435137891</v>
      </c>
      <c r="O66" s="144">
        <f t="shared" si="164"/>
        <v>-3.3216211799313613</v>
      </c>
      <c r="P66" s="144">
        <f t="shared" si="164"/>
        <v>8.1712698153293033</v>
      </c>
      <c r="Q66" s="118">
        <f>((P66/G66)^(1/($H$2-$H$1) ))-1</f>
        <v>-0.21139135195159831</v>
      </c>
      <c r="R66" s="128"/>
      <c r="S66" s="146">
        <f t="shared" ref="S66:AB66" si="165">S19/S39</f>
        <v>7.9581062549294073</v>
      </c>
      <c r="T66" s="146">
        <f t="shared" si="165"/>
        <v>7.750503483061685</v>
      </c>
      <c r="U66" s="146">
        <f t="shared" si="165"/>
        <v>7.5483164356774681</v>
      </c>
      <c r="V66" s="146">
        <f t="shared" si="165"/>
        <v>7.3514038330076223</v>
      </c>
      <c r="W66" s="146">
        <f t="shared" si="165"/>
        <v>7.1596280808422081</v>
      </c>
      <c r="X66" s="146">
        <f t="shared" si="165"/>
        <v>6.9728551743854554</v>
      </c>
      <c r="Y66" s="146">
        <f t="shared" si="165"/>
        <v>6.7909546046188796</v>
      </c>
      <c r="Z66" s="146">
        <f t="shared" si="165"/>
        <v>6.6137992671070833</v>
      </c>
      <c r="AA66" s="146">
        <f t="shared" si="165"/>
        <v>6.441265373182552</v>
      </c>
      <c r="AB66" s="146">
        <f t="shared" si="165"/>
        <v>6.2732323634473559</v>
      </c>
      <c r="AC66" s="138">
        <f t="shared" si="161"/>
        <v>-0.11874229226790922</v>
      </c>
      <c r="AD66" s="31">
        <f t="shared" si="17"/>
        <v>0.08</v>
      </c>
      <c r="AE66" s="146">
        <f t="shared" si="132"/>
        <v>48.393506803736742</v>
      </c>
    </row>
    <row r="67" spans="2:31">
      <c r="B67" s="20" t="s">
        <v>289</v>
      </c>
      <c r="C67" s="127">
        <f t="shared" ref="C67:P67" si="166">C20/C39</f>
        <v>0</v>
      </c>
      <c r="D67" s="127">
        <f t="shared" si="166"/>
        <v>0</v>
      </c>
      <c r="E67" s="127">
        <f t="shared" si="166"/>
        <v>0</v>
      </c>
      <c r="F67" s="144">
        <f t="shared" si="166"/>
        <v>-4.4953003677973031</v>
      </c>
      <c r="G67" s="144">
        <f t="shared" si="166"/>
        <v>-4.4544340008173275</v>
      </c>
      <c r="H67" s="144">
        <f t="shared" si="166"/>
        <v>-1.4303228442991418</v>
      </c>
      <c r="I67" s="144">
        <f t="shared" si="166"/>
        <v>-6.3751532488761748</v>
      </c>
      <c r="J67" s="144">
        <f t="shared" si="166"/>
        <v>-8.6636697997548016</v>
      </c>
      <c r="K67" s="144">
        <f t="shared" si="166"/>
        <v>-0.25617977528089886</v>
      </c>
      <c r="L67" s="144">
        <f t="shared" si="166"/>
        <v>-10.459652706843718</v>
      </c>
      <c r="M67" s="144">
        <f t="shared" si="166"/>
        <v>-19.734422880490296</v>
      </c>
      <c r="N67" s="144">
        <f t="shared" si="166"/>
        <v>-27.415730337078649</v>
      </c>
      <c r="O67" s="144">
        <f t="shared" si="166"/>
        <v>-1.3441738846216702</v>
      </c>
      <c r="P67" s="144">
        <f t="shared" si="166"/>
        <v>0.40856349076646514</v>
      </c>
      <c r="Q67" s="118">
        <f>((P67/G67)^(1/($H$2-$H$1) ))-1</f>
        <v>-1.7668643672897915</v>
      </c>
      <c r="R67" s="128"/>
      <c r="S67" s="146">
        <f t="shared" ref="S67:AB67" si="167">S20/S39</f>
        <v>0.39790531274647045</v>
      </c>
      <c r="T67" s="146">
        <f t="shared" si="167"/>
        <v>0.3875251741530843</v>
      </c>
      <c r="U67" s="146">
        <f t="shared" si="167"/>
        <v>0.37741582178387345</v>
      </c>
      <c r="V67" s="146">
        <f t="shared" si="167"/>
        <v>0.36757019165038113</v>
      </c>
      <c r="W67" s="146">
        <f t="shared" si="167"/>
        <v>0.35798140404211037</v>
      </c>
      <c r="X67" s="146">
        <f t="shared" si="167"/>
        <v>0.34864275871927275</v>
      </c>
      <c r="Y67" s="146">
        <f t="shared" si="167"/>
        <v>0.33954773023094392</v>
      </c>
      <c r="Z67" s="146">
        <f t="shared" si="167"/>
        <v>0.33068996335535417</v>
      </c>
      <c r="AA67" s="146">
        <f t="shared" si="167"/>
        <v>0.3220632686591276</v>
      </c>
      <c r="AB67" s="146">
        <f t="shared" si="167"/>
        <v>0.31366161817236782</v>
      </c>
      <c r="AC67" s="138">
        <f t="shared" si="161"/>
        <v>-1.8696629975825276</v>
      </c>
      <c r="AD67" s="31">
        <f t="shared" si="17"/>
        <v>0.08</v>
      </c>
      <c r="AE67" s="146">
        <f t="shared" si="132"/>
        <v>2.4196753401868372</v>
      </c>
    </row>
    <row r="68" spans="2:31">
      <c r="B68" s="20" t="s">
        <v>290</v>
      </c>
      <c r="C68" s="127">
        <f t="shared" ref="C68:P68" si="168">C21/C39</f>
        <v>0</v>
      </c>
      <c r="D68" s="127">
        <f t="shared" si="168"/>
        <v>0</v>
      </c>
      <c r="E68" s="127">
        <f t="shared" si="168"/>
        <v>0</v>
      </c>
      <c r="F68" s="144">
        <f t="shared" si="168"/>
        <v>-11.646914589293013</v>
      </c>
      <c r="G68" s="144">
        <f t="shared" si="168"/>
        <v>-10.093992644053944</v>
      </c>
      <c r="H68" s="144">
        <f t="shared" si="168"/>
        <v>-10.829587249693503</v>
      </c>
      <c r="I68" s="144">
        <f t="shared" si="168"/>
        <v>-20.882713526767471</v>
      </c>
      <c r="J68" s="144">
        <f t="shared" si="168"/>
        <v>-38.128320392317121</v>
      </c>
      <c r="K68" s="144">
        <f t="shared" si="168"/>
        <v>-18.140960163432073</v>
      </c>
      <c r="L68" s="144">
        <f t="shared" si="168"/>
        <v>-17.344228804902961</v>
      </c>
      <c r="M68" s="144">
        <f t="shared" si="168"/>
        <v>-23.350357507660878</v>
      </c>
      <c r="N68" s="144">
        <f t="shared" si="168"/>
        <v>-30.13278855975485</v>
      </c>
      <c r="O68" s="144">
        <f t="shared" si="168"/>
        <v>-7.4113417225036775</v>
      </c>
      <c r="P68" s="144">
        <f t="shared" si="168"/>
        <v>4.0856349076646516</v>
      </c>
      <c r="Q68" s="118">
        <f>((P68/G68)^(1/($H$2-$H$1) ))-1</f>
        <v>-1.9043887984140828</v>
      </c>
      <c r="R68" s="128"/>
      <c r="S68" s="146">
        <f t="shared" ref="S68:AB68" si="169">S21/S39</f>
        <v>3.9790531274647036</v>
      </c>
      <c r="T68" s="146">
        <f t="shared" si="169"/>
        <v>3.8752517415308425</v>
      </c>
      <c r="U68" s="146">
        <f t="shared" si="169"/>
        <v>3.7741582178387341</v>
      </c>
      <c r="V68" s="146">
        <f t="shared" si="169"/>
        <v>3.6757019165038112</v>
      </c>
      <c r="W68" s="146">
        <f t="shared" si="169"/>
        <v>3.5798140404211041</v>
      </c>
      <c r="X68" s="146">
        <f t="shared" si="169"/>
        <v>3.4864275871927277</v>
      </c>
      <c r="Y68" s="146">
        <f t="shared" si="169"/>
        <v>3.3954773023094398</v>
      </c>
      <c r="Z68" s="146">
        <f t="shared" si="169"/>
        <v>3.3068996335535417</v>
      </c>
      <c r="AA68" s="146">
        <f t="shared" si="169"/>
        <v>3.220632686591276</v>
      </c>
      <c r="AB68" s="146">
        <f t="shared" si="169"/>
        <v>3.136616181723678</v>
      </c>
      <c r="AC68" s="138">
        <f t="shared" si="161"/>
        <v>-1.9403383016149274</v>
      </c>
      <c r="AD68" s="31">
        <f t="shared" si="17"/>
        <v>0.08</v>
      </c>
      <c r="AE68" s="146">
        <f t="shared" si="132"/>
        <v>24.196753401868371</v>
      </c>
    </row>
    <row r="69" spans="2:31">
      <c r="B69" s="20" t="s">
        <v>297</v>
      </c>
      <c r="C69" s="127">
        <f t="shared" ref="C69:P69" si="170">C22/C39</f>
        <v>0</v>
      </c>
      <c r="D69" s="127">
        <f t="shared" si="170"/>
        <v>0</v>
      </c>
      <c r="E69" s="127">
        <f t="shared" si="170"/>
        <v>0</v>
      </c>
      <c r="F69" s="144">
        <f t="shared" si="170"/>
        <v>53.943604413567634</v>
      </c>
      <c r="G69" s="144">
        <f t="shared" si="170"/>
        <v>108.6636697997548</v>
      </c>
      <c r="H69" s="144">
        <f t="shared" si="170"/>
        <v>129.8324478953821</v>
      </c>
      <c r="I69" s="144">
        <f t="shared" si="170"/>
        <v>168.90069472823868</v>
      </c>
      <c r="J69" s="144">
        <f t="shared" si="170"/>
        <v>237.3518594196976</v>
      </c>
      <c r="K69" s="144">
        <f t="shared" si="170"/>
        <v>118.65168539325842</v>
      </c>
      <c r="L69" s="144">
        <f t="shared" si="170"/>
        <v>210.70480081716036</v>
      </c>
      <c r="M69" s="144">
        <f t="shared" si="170"/>
        <v>200</v>
      </c>
      <c r="N69" s="144">
        <f t="shared" si="170"/>
        <v>196.73135852911133</v>
      </c>
      <c r="O69" s="144">
        <f t="shared" si="170"/>
        <v>27.25527046903089</v>
      </c>
      <c r="P69" s="144">
        <f t="shared" si="170"/>
        <v>28.599444353652558</v>
      </c>
      <c r="Q69" s="118">
        <f>((P69/G69)^(1/($H$2-$H$1) ))-1</f>
        <v>-0.13784388240342804</v>
      </c>
      <c r="R69" s="128"/>
      <c r="S69" s="146">
        <f t="shared" ref="S69:AB69" si="171">S22/S39</f>
        <v>27.85337189225293</v>
      </c>
      <c r="T69" s="146">
        <f t="shared" si="171"/>
        <v>27.126762190715898</v>
      </c>
      <c r="U69" s="146">
        <f t="shared" si="171"/>
        <v>26.419107524871141</v>
      </c>
      <c r="V69" s="146">
        <f t="shared" si="171"/>
        <v>25.729913415526678</v>
      </c>
      <c r="W69" s="146">
        <f t="shared" si="171"/>
        <v>25.058698282947727</v>
      </c>
      <c r="X69" s="146">
        <f t="shared" si="171"/>
        <v>24.404993110349096</v>
      </c>
      <c r="Y69" s="146">
        <f t="shared" si="171"/>
        <v>23.768341116166081</v>
      </c>
      <c r="Z69" s="146">
        <f t="shared" si="171"/>
        <v>23.148297434874795</v>
      </c>
      <c r="AA69" s="146">
        <f t="shared" si="171"/>
        <v>22.544428806138935</v>
      </c>
      <c r="AB69" s="146">
        <f t="shared" si="171"/>
        <v>21.956313272065753</v>
      </c>
      <c r="AC69" s="138">
        <f t="shared" ref="AC69" si="172">((AB69/G69)^(1/($AB$3-$H$1) ))-1</f>
        <v>-8.0723717677138263E-2</v>
      </c>
      <c r="AD69" s="31">
        <f t="shared" si="17"/>
        <v>0.08</v>
      </c>
      <c r="AE69" s="146">
        <f t="shared" si="132"/>
        <v>169.37727381307866</v>
      </c>
    </row>
    <row r="70" spans="2:31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39"/>
      <c r="AD70" s="137"/>
      <c r="AE70" s="155"/>
    </row>
    <row r="71" spans="2:31">
      <c r="B71" s="20" t="s">
        <v>312</v>
      </c>
      <c r="C71" s="144">
        <f t="shared" ref="C71:P71" si="173">C35/C39</f>
        <v>0</v>
      </c>
      <c r="D71" s="144">
        <f t="shared" si="173"/>
        <v>0</v>
      </c>
      <c r="E71" s="144">
        <f t="shared" si="173"/>
        <v>0</v>
      </c>
      <c r="F71" s="144">
        <f t="shared" si="173"/>
        <v>40.702901512055583</v>
      </c>
      <c r="G71" s="144">
        <f t="shared" si="173"/>
        <v>34.899877400899065</v>
      </c>
      <c r="H71" s="144">
        <f t="shared" si="173"/>
        <v>53.248876174908055</v>
      </c>
      <c r="I71" s="144">
        <f t="shared" si="173"/>
        <v>90.845933796485497</v>
      </c>
      <c r="J71" s="144">
        <f t="shared" si="173"/>
        <v>144.87127094401308</v>
      </c>
      <c r="K71" s="144">
        <f t="shared" si="173"/>
        <v>76.527068437180787</v>
      </c>
      <c r="L71" s="144">
        <f t="shared" si="173"/>
        <v>80.939734422880491</v>
      </c>
      <c r="M71" s="144">
        <f t="shared" si="173"/>
        <v>120.5311542390194</v>
      </c>
      <c r="N71" s="144">
        <f t="shared" si="173"/>
        <v>169.92849846782431</v>
      </c>
      <c r="O71" s="144">
        <f t="shared" si="173"/>
        <v>40.733780029416572</v>
      </c>
      <c r="P71" s="144">
        <f t="shared" si="173"/>
        <v>38.922209511358069</v>
      </c>
      <c r="Q71" s="118">
        <f>((P71/G71)^(1/($H$2-$H$1) ))-1</f>
        <v>1.2193937140543953E-2</v>
      </c>
      <c r="R71" s="128"/>
      <c r="S71" s="144">
        <f t="shared" ref="S71:AB71" si="174">S35/S39</f>
        <v>37.906847524105252</v>
      </c>
      <c r="T71" s="144">
        <f t="shared" si="174"/>
        <v>36.917973240867731</v>
      </c>
      <c r="U71" s="144">
        <f t="shared" si="174"/>
        <v>35.954895678062485</v>
      </c>
      <c r="V71" s="144">
        <f t="shared" si="174"/>
        <v>35.016941877765213</v>
      </c>
      <c r="W71" s="144">
        <f t="shared" si="174"/>
        <v>34.103456437475693</v>
      </c>
      <c r="X71" s="144">
        <f t="shared" si="174"/>
        <v>33.213801052150245</v>
      </c>
      <c r="Y71" s="144">
        <f t="shared" si="174"/>
        <v>32.347354068181112</v>
      </c>
      <c r="Z71" s="144">
        <f t="shared" si="174"/>
        <v>31.503510049011176</v>
      </c>
      <c r="AA71" s="144">
        <f t="shared" si="174"/>
        <v>30.681679352080454</v>
      </c>
      <c r="AB71" s="144">
        <f t="shared" si="174"/>
        <v>29.881287716808796</v>
      </c>
      <c r="AC71" s="138">
        <f t="shared" ref="AC71:AC73" si="175">((AB71/G71)^(1/($AB$3-$H$1) ))-1</f>
        <v>-8.1378052528410239E-3</v>
      </c>
      <c r="AD71" s="31">
        <f t="shared" si="17"/>
        <v>0.08</v>
      </c>
      <c r="AE71" s="146">
        <f t="shared" si="132"/>
        <v>230.51279095823926</v>
      </c>
    </row>
    <row r="72" spans="2:31">
      <c r="B72" s="20" t="s">
        <v>313</v>
      </c>
      <c r="C72" s="144">
        <f t="shared" ref="C72:P72" si="176">C37/C39</f>
        <v>0</v>
      </c>
      <c r="D72" s="144">
        <f t="shared" si="176"/>
        <v>0</v>
      </c>
      <c r="E72" s="144">
        <f t="shared" si="176"/>
        <v>0</v>
      </c>
      <c r="F72" s="144">
        <f t="shared" si="176"/>
        <v>18.144666939109115</v>
      </c>
      <c r="G72" s="144">
        <f t="shared" si="176"/>
        <v>26.890069472823868</v>
      </c>
      <c r="H72" s="144">
        <f t="shared" si="176"/>
        <v>38.945647731916637</v>
      </c>
      <c r="I72" s="144">
        <f t="shared" si="176"/>
        <v>68.614630159378834</v>
      </c>
      <c r="J72" s="144">
        <f t="shared" si="176"/>
        <v>98.651409889660812</v>
      </c>
      <c r="K72" s="144">
        <f t="shared" si="176"/>
        <v>58.406537282941777</v>
      </c>
      <c r="L72" s="144">
        <f t="shared" si="176"/>
        <v>63.636363636363633</v>
      </c>
      <c r="M72" s="144">
        <f t="shared" si="176"/>
        <v>88.375893769152185</v>
      </c>
      <c r="N72" s="144">
        <f t="shared" si="176"/>
        <v>123.65679264555668</v>
      </c>
      <c r="O72" s="144">
        <f t="shared" si="176"/>
        <v>28.954894590619382</v>
      </c>
      <c r="P72" s="144">
        <f t="shared" si="176"/>
        <v>27.34556300049028</v>
      </c>
      <c r="Q72" s="118">
        <f>((P72/G72)^(1/($H$2-$H$1) ))-1</f>
        <v>1.8681017884236706E-3</v>
      </c>
      <c r="R72" s="128"/>
      <c r="S72" s="144">
        <f t="shared" ref="S72:AB72" si="177">S37/S39</f>
        <v>26.632200487434012</v>
      </c>
      <c r="T72" s="144">
        <f t="shared" si="177"/>
        <v>25.937447431240088</v>
      </c>
      <c r="U72" s="144">
        <f t="shared" si="177"/>
        <v>25.260818367816437</v>
      </c>
      <c r="V72" s="144">
        <f t="shared" si="177"/>
        <v>24.601840497351667</v>
      </c>
      <c r="W72" s="144">
        <f t="shared" si="177"/>
        <v>23.960053353942495</v>
      </c>
      <c r="X72" s="144">
        <f t="shared" si="177"/>
        <v>23.335008483839651</v>
      </c>
      <c r="Y72" s="144">
        <f t="shared" si="177"/>
        <v>22.726269132087321</v>
      </c>
      <c r="Z72" s="144">
        <f t="shared" si="177"/>
        <v>22.13340993733722</v>
      </c>
      <c r="AA72" s="144">
        <f t="shared" si="177"/>
        <v>21.556016634624076</v>
      </c>
      <c r="AB72" s="144">
        <f t="shared" si="177"/>
        <v>20.993685765894757</v>
      </c>
      <c r="AC72" s="138">
        <f t="shared" si="175"/>
        <v>-1.2943676419800765E-2</v>
      </c>
      <c r="AD72" s="31">
        <f t="shared" si="17"/>
        <v>0.08</v>
      </c>
      <c r="AE72" s="146">
        <f t="shared" si="132"/>
        <v>161.95129019404527</v>
      </c>
    </row>
    <row r="73" spans="2:31">
      <c r="B73" s="20" t="s">
        <v>314</v>
      </c>
      <c r="C73" s="144">
        <f t="shared" ref="C73:P73" si="178">C6/C39</f>
        <v>0</v>
      </c>
      <c r="D73" s="144">
        <f t="shared" si="178"/>
        <v>0</v>
      </c>
      <c r="E73" s="144">
        <f t="shared" si="178"/>
        <v>0</v>
      </c>
      <c r="F73" s="144">
        <f t="shared" si="178"/>
        <v>186.30976706170821</v>
      </c>
      <c r="G73" s="144">
        <f t="shared" si="178"/>
        <v>206.41601961585616</v>
      </c>
      <c r="H73" s="144">
        <f t="shared" si="178"/>
        <v>236.28933387821823</v>
      </c>
      <c r="I73" s="144">
        <f t="shared" si="178"/>
        <v>288.35308541070702</v>
      </c>
      <c r="J73" s="144">
        <f t="shared" si="178"/>
        <v>349.12137310993052</v>
      </c>
      <c r="K73" s="144">
        <f t="shared" si="178"/>
        <v>210.09193054136873</v>
      </c>
      <c r="L73" s="144">
        <f t="shared" si="178"/>
        <v>253.99836567926454</v>
      </c>
      <c r="M73" s="144">
        <f t="shared" si="178"/>
        <v>314.73871297242079</v>
      </c>
      <c r="N73" s="144">
        <f t="shared" si="178"/>
        <v>401.7479060265577</v>
      </c>
      <c r="O73" s="144">
        <f t="shared" si="178"/>
        <v>101.7876286974996</v>
      </c>
      <c r="P73" s="144">
        <f t="shared" si="178"/>
        <v>122.74554665795065</v>
      </c>
      <c r="Q73" s="118">
        <f>((P73/G73)^(1/($H$2-$H$1) ))-1</f>
        <v>-5.6117273516941291E-2</v>
      </c>
      <c r="R73" s="128"/>
      <c r="S73" s="144">
        <f t="shared" ref="S73:AB73" si="179">S6/S39</f>
        <v>119.5434889190476</v>
      </c>
      <c r="T73" s="144">
        <f t="shared" si="179"/>
        <v>116.42496312115942</v>
      </c>
      <c r="U73" s="144">
        <f t="shared" si="179"/>
        <v>113.38779017017268</v>
      </c>
      <c r="V73" s="144">
        <f t="shared" si="179"/>
        <v>110.42984781790732</v>
      </c>
      <c r="W73" s="144">
        <f t="shared" si="179"/>
        <v>107.54906917917933</v>
      </c>
      <c r="X73" s="144">
        <f t="shared" si="179"/>
        <v>104.74344128754858</v>
      </c>
      <c r="Y73" s="144">
        <f t="shared" si="179"/>
        <v>102.01100368874297</v>
      </c>
      <c r="Z73" s="144">
        <f t="shared" si="179"/>
        <v>99.349847070775795</v>
      </c>
      <c r="AA73" s="144">
        <f t="shared" si="179"/>
        <v>96.758111929799043</v>
      </c>
      <c r="AB73" s="144">
        <f t="shared" si="179"/>
        <v>94.233987270760821</v>
      </c>
      <c r="AC73" s="138">
        <f t="shared" si="175"/>
        <v>-4.0429116707895285E-2</v>
      </c>
      <c r="AD73" s="31">
        <f t="shared" ref="AD73" si="180">$L$1</f>
        <v>0.08</v>
      </c>
      <c r="AE73" s="146">
        <f t="shared" si="132"/>
        <v>726.94790180301209</v>
      </c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20"/>
      <c r="C75" s="127"/>
      <c r="D75" s="127"/>
      <c r="E75" s="12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28"/>
      <c r="R75" s="128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39"/>
      <c r="AD75" s="20"/>
      <c r="AE75" s="155"/>
    </row>
    <row r="76" spans="2:31">
      <c r="B76" s="108" t="s">
        <v>311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 t="s">
        <v>310</v>
      </c>
      <c r="C77" s="153" t="e">
        <f t="shared" ref="C77:P77" si="181">C35/C24</f>
        <v>#DIV/0!</v>
      </c>
      <c r="D77" s="153" t="e">
        <f t="shared" si="181"/>
        <v>#DIV/0!</v>
      </c>
      <c r="E77" s="153" t="e">
        <f t="shared" si="181"/>
        <v>#DIV/0!</v>
      </c>
      <c r="F77" s="153">
        <f t="shared" si="181"/>
        <v>0.14181973515591628</v>
      </c>
      <c r="G77" s="153">
        <f t="shared" si="181"/>
        <v>0.10648379052369077</v>
      </c>
      <c r="H77" s="153">
        <f t="shared" si="181"/>
        <v>0.12483234336079709</v>
      </c>
      <c r="I77" s="153">
        <f t="shared" si="181"/>
        <v>0.1568918060554732</v>
      </c>
      <c r="J77" s="153">
        <f t="shared" si="181"/>
        <v>0.19666037945190282</v>
      </c>
      <c r="K77" s="153">
        <f t="shared" si="181"/>
        <v>0.17512037772895142</v>
      </c>
      <c r="L77" s="153">
        <f t="shared" si="181"/>
        <v>0.1362354721133347</v>
      </c>
      <c r="M77" s="153">
        <f t="shared" si="181"/>
        <v>0.16670433996383363</v>
      </c>
      <c r="N77" s="153">
        <f t="shared" si="181"/>
        <v>0.19135035656774788</v>
      </c>
      <c r="O77" s="153">
        <f t="shared" si="181"/>
        <v>0.19857393244104526</v>
      </c>
      <c r="P77" s="153">
        <f t="shared" si="181"/>
        <v>0.19349204124699654</v>
      </c>
      <c r="Q77" s="118">
        <f t="shared" ref="Q77:Q115" si="182">((P77/G77)^(1/($H$2-$H$1) ))-1</f>
        <v>6.8611776551425363E-2</v>
      </c>
      <c r="R77" s="153"/>
      <c r="S77" s="153">
        <f t="shared" ref="S77:AB77" si="183">S35/S24</f>
        <v>0.19349204124699654</v>
      </c>
      <c r="T77" s="153">
        <f t="shared" si="183"/>
        <v>0.19349204124699651</v>
      </c>
      <c r="U77" s="153">
        <f t="shared" si="183"/>
        <v>0.19349204124699651</v>
      </c>
      <c r="V77" s="153">
        <f t="shared" si="183"/>
        <v>0.19349204124699651</v>
      </c>
      <c r="W77" s="153">
        <f t="shared" si="183"/>
        <v>0.19349204124699651</v>
      </c>
      <c r="X77" s="153">
        <f t="shared" si="183"/>
        <v>0.19349204124699651</v>
      </c>
      <c r="Y77" s="153">
        <f t="shared" si="183"/>
        <v>0.19349204124699654</v>
      </c>
      <c r="Z77" s="153">
        <f t="shared" si="183"/>
        <v>0.19349204124699654</v>
      </c>
      <c r="AA77" s="153">
        <f t="shared" si="183"/>
        <v>0.19349204124699654</v>
      </c>
      <c r="AB77" s="153">
        <f t="shared" si="183"/>
        <v>0.19349204124699654</v>
      </c>
      <c r="AC77" s="138">
        <f t="shared" ref="AC77:AC106" si="184">((AB77/G77)^(1/($AB$3-$H$1) ))-1</f>
        <v>3.1933135903120302E-2</v>
      </c>
      <c r="AD77" s="146"/>
      <c r="AE77" s="146"/>
    </row>
    <row r="78" spans="2:31">
      <c r="B78" s="20" t="s">
        <v>267</v>
      </c>
      <c r="C78" s="153" t="e">
        <f t="shared" ref="C78:P78" si="185">C37/C24</f>
        <v>#DIV/0!</v>
      </c>
      <c r="D78" s="153" t="e">
        <f t="shared" si="185"/>
        <v>#DIV/0!</v>
      </c>
      <c r="E78" s="153" t="e">
        <f t="shared" si="185"/>
        <v>#DIV/0!</v>
      </c>
      <c r="F78" s="153">
        <f t="shared" si="185"/>
        <v>6.322084579239641E-2</v>
      </c>
      <c r="G78" s="153">
        <f t="shared" si="185"/>
        <v>8.2044887780548623E-2</v>
      </c>
      <c r="H78" s="153">
        <f t="shared" si="185"/>
        <v>9.1301015520214607E-2</v>
      </c>
      <c r="I78" s="153">
        <f t="shared" si="185"/>
        <v>0.11849812971981086</v>
      </c>
      <c r="J78" s="153">
        <f t="shared" si="185"/>
        <v>0.13391767447020969</v>
      </c>
      <c r="K78" s="153">
        <f t="shared" si="185"/>
        <v>0.13365434061053713</v>
      </c>
      <c r="L78" s="153">
        <f t="shared" si="185"/>
        <v>0.10711092772161475</v>
      </c>
      <c r="M78" s="153">
        <f t="shared" si="185"/>
        <v>0.12223101265822785</v>
      </c>
      <c r="N78" s="153">
        <f t="shared" si="185"/>
        <v>0.13924545663676099</v>
      </c>
      <c r="O78" s="153">
        <f t="shared" si="185"/>
        <v>0.14115280433397068</v>
      </c>
      <c r="P78" s="153">
        <f t="shared" si="185"/>
        <v>0.13594163513428428</v>
      </c>
      <c r="Q78" s="118">
        <f t="shared" si="182"/>
        <v>5.7710398016024511E-2</v>
      </c>
      <c r="R78" s="153"/>
      <c r="S78" s="153">
        <f t="shared" ref="S78:AB78" si="186">S37/S24</f>
        <v>0.13594163513428426</v>
      </c>
      <c r="T78" s="153">
        <f t="shared" si="186"/>
        <v>0.13594163513428428</v>
      </c>
      <c r="U78" s="153">
        <f t="shared" si="186"/>
        <v>0.13594163513428428</v>
      </c>
      <c r="V78" s="153">
        <f t="shared" si="186"/>
        <v>0.13594163513428428</v>
      </c>
      <c r="W78" s="153">
        <f t="shared" si="186"/>
        <v>0.13594163513428428</v>
      </c>
      <c r="X78" s="153">
        <f t="shared" si="186"/>
        <v>0.13594163513428428</v>
      </c>
      <c r="Y78" s="153">
        <f t="shared" si="186"/>
        <v>0.13594163513428428</v>
      </c>
      <c r="Z78" s="153">
        <f t="shared" si="186"/>
        <v>0.13594163513428428</v>
      </c>
      <c r="AA78" s="153">
        <f t="shared" si="186"/>
        <v>0.13594163513428428</v>
      </c>
      <c r="AB78" s="153">
        <f t="shared" si="186"/>
        <v>0.13594163513428428</v>
      </c>
      <c r="AC78" s="138">
        <f t="shared" si="184"/>
        <v>2.6933108953477891E-2</v>
      </c>
      <c r="AD78" s="146"/>
      <c r="AE78" s="146"/>
    </row>
    <row r="79" spans="2:31">
      <c r="B79" s="20" t="s">
        <v>360</v>
      </c>
      <c r="C79" s="153" t="e">
        <f t="shared" ref="C79:O79" si="187">C37/C7</f>
        <v>#DIV/0!</v>
      </c>
      <c r="D79" s="153" t="e">
        <f t="shared" si="187"/>
        <v>#DIV/0!</v>
      </c>
      <c r="E79" s="153" t="e">
        <f t="shared" si="187"/>
        <v>#DIV/0!</v>
      </c>
      <c r="F79" s="153">
        <f t="shared" si="187"/>
        <v>9.2442223610243596E-2</v>
      </c>
      <c r="G79" s="153">
        <f>G37/G7</f>
        <v>0.12426817752596789</v>
      </c>
      <c r="H79" s="153">
        <f t="shared" si="187"/>
        <v>0.15814802522402921</v>
      </c>
      <c r="I79" s="153">
        <f t="shared" si="187"/>
        <v>0.22996849746610054</v>
      </c>
      <c r="J79" s="153">
        <f t="shared" si="187"/>
        <v>0.27469276285844335</v>
      </c>
      <c r="K79" s="153">
        <f t="shared" si="187"/>
        <v>0.26536105439019864</v>
      </c>
      <c r="L79" s="153">
        <f t="shared" si="187"/>
        <v>0.24104795113110689</v>
      </c>
      <c r="M79" s="153">
        <f t="shared" si="187"/>
        <v>0.2721442779872647</v>
      </c>
      <c r="N79" s="153">
        <f t="shared" si="187"/>
        <v>0.30032130857332245</v>
      </c>
      <c r="O79" s="153">
        <f t="shared" si="187"/>
        <v>0.27898213837230629</v>
      </c>
      <c r="P79" s="153">
        <f t="shared" ref="P79" si="188">P37/P7</f>
        <v>0.21921087882827264</v>
      </c>
      <c r="Q79" s="118">
        <f t="shared" si="182"/>
        <v>6.5096924002574275E-2</v>
      </c>
      <c r="R79" s="20"/>
      <c r="S79" s="153">
        <f t="shared" ref="S79" si="189">S37/S7</f>
        <v>0.21921087882827264</v>
      </c>
      <c r="T79" s="153">
        <f t="shared" ref="T79:AB79" si="190">T37/T7</f>
        <v>0.21921087882827267</v>
      </c>
      <c r="U79" s="153">
        <f t="shared" si="190"/>
        <v>0.21921087882827267</v>
      </c>
      <c r="V79" s="153">
        <f t="shared" si="190"/>
        <v>0.21921087882827267</v>
      </c>
      <c r="W79" s="153">
        <f t="shared" si="190"/>
        <v>0.21921087882827264</v>
      </c>
      <c r="X79" s="153">
        <f t="shared" si="190"/>
        <v>0.21921087882827267</v>
      </c>
      <c r="Y79" s="153">
        <f t="shared" si="190"/>
        <v>0.2192108788282727</v>
      </c>
      <c r="Z79" s="153">
        <f t="shared" si="190"/>
        <v>0.21921087882827267</v>
      </c>
      <c r="AA79" s="153">
        <f t="shared" si="190"/>
        <v>0.21921087882827267</v>
      </c>
      <c r="AB79" s="153">
        <f t="shared" si="190"/>
        <v>0.21921087882827264</v>
      </c>
      <c r="AC79" s="138">
        <f t="shared" si="184"/>
        <v>3.0323958216045055E-2</v>
      </c>
      <c r="AD79" s="146"/>
      <c r="AE79" s="146"/>
    </row>
    <row r="80" spans="2:31">
      <c r="B80" s="20" t="s">
        <v>361</v>
      </c>
      <c r="C80" s="153" t="e">
        <f t="shared" ref="C80:F80" si="191">(C37)/(C7+C10)</f>
        <v>#DIV/0!</v>
      </c>
      <c r="D80" s="153" t="e">
        <f t="shared" si="191"/>
        <v>#DIV/0!</v>
      </c>
      <c r="E80" s="153" t="e">
        <f t="shared" si="191"/>
        <v>#DIV/0!</v>
      </c>
      <c r="F80" s="153">
        <f t="shared" si="191"/>
        <v>8.3239595050618675E-2</v>
      </c>
      <c r="G80" s="153">
        <f>(G37)/(G7+G10)</f>
        <v>0.11276778063410454</v>
      </c>
      <c r="H80" s="153">
        <f t="shared" ref="H80:O80" si="192">(H37)/(H7+H10)</f>
        <v>0.1452301127704968</v>
      </c>
      <c r="I80" s="153">
        <f t="shared" si="192"/>
        <v>0.21364041226619163</v>
      </c>
      <c r="J80" s="153">
        <f t="shared" si="192"/>
        <v>0.27193871803537228</v>
      </c>
      <c r="K80" s="153">
        <f t="shared" si="192"/>
        <v>0.2630416781672647</v>
      </c>
      <c r="L80" s="153">
        <f t="shared" si="192"/>
        <v>0.23797264116781541</v>
      </c>
      <c r="M80" s="153">
        <f t="shared" si="192"/>
        <v>0.26963384397138368</v>
      </c>
      <c r="N80" s="153">
        <f t="shared" si="192"/>
        <v>0.29635134844025091</v>
      </c>
      <c r="O80" s="153">
        <f t="shared" si="192"/>
        <v>0.27498771925876314</v>
      </c>
      <c r="P80" s="153">
        <f t="shared" ref="P80" si="193">(P37)/(P7+P10)</f>
        <v>0.21070210950805429</v>
      </c>
      <c r="Q80" s="118">
        <f t="shared" si="182"/>
        <v>7.192616595082213E-2</v>
      </c>
      <c r="R80" s="20"/>
      <c r="S80" s="153">
        <f t="shared" ref="S80:AB80" si="194">(S37)/(S7+S10)</f>
        <v>0.21070210950805429</v>
      </c>
      <c r="T80" s="153">
        <f t="shared" si="194"/>
        <v>0.21070210950805432</v>
      </c>
      <c r="U80" s="153">
        <f t="shared" si="194"/>
        <v>0.21070210950805432</v>
      </c>
      <c r="V80" s="153">
        <f t="shared" si="194"/>
        <v>0.21070210950805432</v>
      </c>
      <c r="W80" s="153">
        <f t="shared" si="194"/>
        <v>0.21070210950805429</v>
      </c>
      <c r="X80" s="153">
        <f t="shared" si="194"/>
        <v>0.21070210950805432</v>
      </c>
      <c r="Y80" s="153">
        <f t="shared" si="194"/>
        <v>0.21070210950805435</v>
      </c>
      <c r="Z80" s="153">
        <f t="shared" si="194"/>
        <v>0.21070210950805432</v>
      </c>
      <c r="AA80" s="153">
        <f t="shared" si="194"/>
        <v>0.21070210950805429</v>
      </c>
      <c r="AB80" s="153">
        <f t="shared" si="194"/>
        <v>0.21070210950805432</v>
      </c>
      <c r="AC80" s="138">
        <f t="shared" si="184"/>
        <v>3.3447987126277834E-2</v>
      </c>
      <c r="AD80" s="146"/>
      <c r="AE80" s="146"/>
    </row>
    <row r="81" spans="2:31">
      <c r="B81" s="20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18" t="e">
        <f t="shared" si="182"/>
        <v>#DIV/0!</v>
      </c>
      <c r="R81" s="20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3"/>
      <c r="AD81" s="146"/>
      <c r="AE81" s="146"/>
    </row>
    <row r="82" spans="2:31">
      <c r="B82" s="20" t="s">
        <v>324</v>
      </c>
      <c r="C82" s="153"/>
      <c r="D82" s="153"/>
      <c r="E82" s="153"/>
      <c r="F82" s="153"/>
      <c r="G82" s="153">
        <f>G28/G24</f>
        <v>0</v>
      </c>
      <c r="H82" s="153">
        <f t="shared" ref="H82:P82" si="195">H28/H24</f>
        <v>0</v>
      </c>
      <c r="I82" s="153">
        <f t="shared" si="195"/>
        <v>0</v>
      </c>
      <c r="J82" s="153">
        <f t="shared" si="195"/>
        <v>0</v>
      </c>
      <c r="K82" s="153">
        <f t="shared" si="195"/>
        <v>0</v>
      </c>
      <c r="L82" s="153">
        <f t="shared" si="195"/>
        <v>0</v>
      </c>
      <c r="M82" s="153">
        <f t="shared" si="195"/>
        <v>0</v>
      </c>
      <c r="N82" s="153">
        <f t="shared" si="195"/>
        <v>0</v>
      </c>
      <c r="O82" s="153">
        <f t="shared" si="195"/>
        <v>0</v>
      </c>
      <c r="P82" s="153">
        <f t="shared" si="195"/>
        <v>0</v>
      </c>
      <c r="Q82" s="118" t="e">
        <f t="shared" si="182"/>
        <v>#DIV/0!</v>
      </c>
      <c r="R82" s="20"/>
      <c r="S82" s="153">
        <f t="shared" ref="S82:AB82" si="196">S28/S24</f>
        <v>0</v>
      </c>
      <c r="T82" s="153">
        <f t="shared" si="196"/>
        <v>0</v>
      </c>
      <c r="U82" s="153">
        <f t="shared" si="196"/>
        <v>0</v>
      </c>
      <c r="V82" s="153">
        <f t="shared" si="196"/>
        <v>0</v>
      </c>
      <c r="W82" s="153">
        <f t="shared" si="196"/>
        <v>0</v>
      </c>
      <c r="X82" s="153">
        <f t="shared" si="196"/>
        <v>0</v>
      </c>
      <c r="Y82" s="153">
        <f t="shared" si="196"/>
        <v>0</v>
      </c>
      <c r="Z82" s="153">
        <f t="shared" si="196"/>
        <v>0</v>
      </c>
      <c r="AA82" s="153">
        <f t="shared" si="196"/>
        <v>0</v>
      </c>
      <c r="AB82" s="153">
        <f t="shared" si="196"/>
        <v>0</v>
      </c>
      <c r="AC82" s="138" t="e">
        <f t="shared" si="184"/>
        <v>#DIV/0!</v>
      </c>
      <c r="AD82" s="146"/>
      <c r="AE82" s="146"/>
    </row>
    <row r="83" spans="2:31">
      <c r="B83" s="20" t="s">
        <v>370</v>
      </c>
      <c r="C83" s="153"/>
      <c r="D83" s="153"/>
      <c r="E83" s="153"/>
      <c r="F83" s="153"/>
      <c r="G83" s="153">
        <f>G28/G35</f>
        <v>0</v>
      </c>
      <c r="H83" s="153">
        <f t="shared" ref="H83:P83" si="197">H28/H35</f>
        <v>0</v>
      </c>
      <c r="I83" s="153">
        <f t="shared" si="197"/>
        <v>0</v>
      </c>
      <c r="J83" s="153">
        <f t="shared" si="197"/>
        <v>0</v>
      </c>
      <c r="K83" s="153">
        <f t="shared" si="197"/>
        <v>0</v>
      </c>
      <c r="L83" s="153">
        <f t="shared" si="197"/>
        <v>0</v>
      </c>
      <c r="M83" s="153">
        <f t="shared" si="197"/>
        <v>0</v>
      </c>
      <c r="N83" s="153">
        <f t="shared" si="197"/>
        <v>0</v>
      </c>
      <c r="O83" s="153">
        <f t="shared" si="197"/>
        <v>0</v>
      </c>
      <c r="P83" s="153">
        <f t="shared" si="197"/>
        <v>0</v>
      </c>
      <c r="Q83" s="118" t="e">
        <f t="shared" ref="Q83" si="198">((P83/G83)^(1/($H$2-$H$1) ))-1</f>
        <v>#DIV/0!</v>
      </c>
      <c r="R83" s="20"/>
      <c r="S83" s="153">
        <f t="shared" ref="S83:AB83" si="199">S28/S35</f>
        <v>0</v>
      </c>
      <c r="T83" s="153">
        <f t="shared" si="199"/>
        <v>0</v>
      </c>
      <c r="U83" s="153">
        <f t="shared" si="199"/>
        <v>0</v>
      </c>
      <c r="V83" s="153">
        <f t="shared" si="199"/>
        <v>0</v>
      </c>
      <c r="W83" s="153">
        <f t="shared" si="199"/>
        <v>0</v>
      </c>
      <c r="X83" s="153">
        <f t="shared" si="199"/>
        <v>0</v>
      </c>
      <c r="Y83" s="153">
        <f t="shared" si="199"/>
        <v>0</v>
      </c>
      <c r="Z83" s="153">
        <f t="shared" si="199"/>
        <v>0</v>
      </c>
      <c r="AA83" s="153">
        <f t="shared" si="199"/>
        <v>0</v>
      </c>
      <c r="AB83" s="153">
        <f t="shared" si="199"/>
        <v>0</v>
      </c>
      <c r="AC83" s="138" t="e">
        <f t="shared" ref="AC83" si="200">((AB83/G83)^(1/($AB$3-$H$1) ))-1</f>
        <v>#DIV/0!</v>
      </c>
      <c r="AD83" s="146"/>
      <c r="AE83" s="146"/>
    </row>
    <row r="84" spans="2:31" ht="12" customHeight="1">
      <c r="B84" s="20" t="s">
        <v>369</v>
      </c>
      <c r="C84" s="153"/>
      <c r="D84" s="153"/>
      <c r="E84" s="153"/>
      <c r="F84" s="153"/>
      <c r="G84" s="172">
        <f t="shared" ref="G84:P84" si="201">G28/G37</f>
        <v>0</v>
      </c>
      <c r="H84" s="172">
        <f t="shared" si="201"/>
        <v>0</v>
      </c>
      <c r="I84" s="172">
        <f t="shared" si="201"/>
        <v>0</v>
      </c>
      <c r="J84" s="172">
        <f t="shared" si="201"/>
        <v>0</v>
      </c>
      <c r="K84" s="172">
        <f t="shared" si="201"/>
        <v>0</v>
      </c>
      <c r="L84" s="172">
        <f t="shared" si="201"/>
        <v>0</v>
      </c>
      <c r="M84" s="172">
        <f t="shared" si="201"/>
        <v>0</v>
      </c>
      <c r="N84" s="172">
        <f t="shared" si="201"/>
        <v>0</v>
      </c>
      <c r="O84" s="172">
        <f t="shared" si="201"/>
        <v>0</v>
      </c>
      <c r="P84" s="172">
        <f t="shared" si="201"/>
        <v>0</v>
      </c>
      <c r="Q84" s="118" t="e">
        <f t="shared" ref="Q84" si="202">((P84/G84)^(1/($H$2-$H$1) ))-1</f>
        <v>#DIV/0!</v>
      </c>
      <c r="R84" s="20"/>
      <c r="S84" s="172">
        <f t="shared" ref="S84:AB84" si="203">S28/S37</f>
        <v>0</v>
      </c>
      <c r="T84" s="172">
        <f t="shared" si="203"/>
        <v>0</v>
      </c>
      <c r="U84" s="172">
        <f t="shared" si="203"/>
        <v>0</v>
      </c>
      <c r="V84" s="172">
        <f t="shared" si="203"/>
        <v>0</v>
      </c>
      <c r="W84" s="172">
        <f t="shared" si="203"/>
        <v>0</v>
      </c>
      <c r="X84" s="172">
        <f t="shared" si="203"/>
        <v>0</v>
      </c>
      <c r="Y84" s="172">
        <f t="shared" si="203"/>
        <v>0</v>
      </c>
      <c r="Z84" s="172">
        <f t="shared" si="203"/>
        <v>0</v>
      </c>
      <c r="AA84" s="172">
        <f t="shared" si="203"/>
        <v>0</v>
      </c>
      <c r="AB84" s="172">
        <f t="shared" si="203"/>
        <v>0</v>
      </c>
      <c r="AC84" s="138" t="e">
        <f t="shared" ref="AC84" si="204">((AB84/G84)^(1/($AB$3-$H$1) ))-1</f>
        <v>#DIV/0!</v>
      </c>
      <c r="AD84" s="146"/>
      <c r="AE84" s="146"/>
    </row>
    <row r="85" spans="2:31" ht="12" customHeight="1">
      <c r="B85" s="20" t="s">
        <v>326</v>
      </c>
      <c r="C85" s="153"/>
      <c r="D85" s="153"/>
      <c r="E85" s="153"/>
      <c r="F85" s="153"/>
      <c r="G85" s="172">
        <f t="shared" ref="G85:P85" si="205">G28/G12</f>
        <v>0</v>
      </c>
      <c r="H85" s="172">
        <f t="shared" si="205"/>
        <v>0</v>
      </c>
      <c r="I85" s="172">
        <f t="shared" si="205"/>
        <v>0</v>
      </c>
      <c r="J85" s="172">
        <f t="shared" si="205"/>
        <v>0</v>
      </c>
      <c r="K85" s="172">
        <f t="shared" si="205"/>
        <v>0</v>
      </c>
      <c r="L85" s="172">
        <f t="shared" si="205"/>
        <v>0</v>
      </c>
      <c r="M85" s="172">
        <f t="shared" si="205"/>
        <v>0</v>
      </c>
      <c r="N85" s="172">
        <f t="shared" si="205"/>
        <v>0</v>
      </c>
      <c r="O85" s="172">
        <f t="shared" si="205"/>
        <v>0</v>
      </c>
      <c r="P85" s="172">
        <f t="shared" si="205"/>
        <v>0</v>
      </c>
      <c r="Q85" s="118" t="e">
        <f t="shared" si="182"/>
        <v>#DIV/0!</v>
      </c>
      <c r="R85" s="20"/>
      <c r="S85" s="153">
        <f t="shared" ref="S85:AB85" si="206">S28/S12</f>
        <v>0</v>
      </c>
      <c r="T85" s="153">
        <f t="shared" si="206"/>
        <v>0</v>
      </c>
      <c r="U85" s="153">
        <f t="shared" si="206"/>
        <v>0</v>
      </c>
      <c r="V85" s="153">
        <f t="shared" si="206"/>
        <v>0</v>
      </c>
      <c r="W85" s="153">
        <f t="shared" si="206"/>
        <v>0</v>
      </c>
      <c r="X85" s="153">
        <f t="shared" si="206"/>
        <v>0</v>
      </c>
      <c r="Y85" s="153">
        <f t="shared" si="206"/>
        <v>0</v>
      </c>
      <c r="Z85" s="153">
        <f t="shared" si="206"/>
        <v>0</v>
      </c>
      <c r="AA85" s="153">
        <f t="shared" si="206"/>
        <v>0</v>
      </c>
      <c r="AB85" s="153">
        <f t="shared" si="206"/>
        <v>0</v>
      </c>
      <c r="AC85" s="138" t="e">
        <f t="shared" si="184"/>
        <v>#DIV/0!</v>
      </c>
      <c r="AD85" s="146"/>
      <c r="AE85" s="146"/>
    </row>
    <row r="86" spans="2:31" ht="12" customHeight="1">
      <c r="B86" s="20" t="s">
        <v>371</v>
      </c>
      <c r="C86" s="153"/>
      <c r="D86" s="153"/>
      <c r="E86" s="153"/>
      <c r="F86" s="153"/>
      <c r="G86" s="172">
        <f>G28/G22</f>
        <v>0</v>
      </c>
      <c r="H86" s="172">
        <f t="shared" ref="H86:P86" si="207">H28/H22</f>
        <v>0</v>
      </c>
      <c r="I86" s="172">
        <f t="shared" si="207"/>
        <v>0</v>
      </c>
      <c r="J86" s="172">
        <f t="shared" si="207"/>
        <v>0</v>
      </c>
      <c r="K86" s="172">
        <f t="shared" si="207"/>
        <v>0</v>
      </c>
      <c r="L86" s="172">
        <f t="shared" si="207"/>
        <v>0</v>
      </c>
      <c r="M86" s="172">
        <f t="shared" si="207"/>
        <v>0</v>
      </c>
      <c r="N86" s="172">
        <f t="shared" si="207"/>
        <v>0</v>
      </c>
      <c r="O86" s="172">
        <f t="shared" si="207"/>
        <v>0</v>
      </c>
      <c r="P86" s="172">
        <f t="shared" si="207"/>
        <v>0</v>
      </c>
      <c r="Q86" s="118" t="e">
        <f t="shared" ref="Q86" si="208">((P86/G86)^(1/($H$2-$H$1) ))-1</f>
        <v>#DIV/0!</v>
      </c>
      <c r="R86" s="20"/>
      <c r="S86" s="172">
        <f t="shared" ref="S86:AB86" si="209">S28/S22</f>
        <v>0</v>
      </c>
      <c r="T86" s="172">
        <f t="shared" si="209"/>
        <v>0</v>
      </c>
      <c r="U86" s="172">
        <f t="shared" si="209"/>
        <v>0</v>
      </c>
      <c r="V86" s="172">
        <f t="shared" si="209"/>
        <v>0</v>
      </c>
      <c r="W86" s="172">
        <f t="shared" si="209"/>
        <v>0</v>
      </c>
      <c r="X86" s="172">
        <f t="shared" si="209"/>
        <v>0</v>
      </c>
      <c r="Y86" s="172">
        <f t="shared" si="209"/>
        <v>0</v>
      </c>
      <c r="Z86" s="172">
        <f t="shared" si="209"/>
        <v>0</v>
      </c>
      <c r="AA86" s="172">
        <f t="shared" si="209"/>
        <v>0</v>
      </c>
      <c r="AB86" s="172">
        <f t="shared" si="209"/>
        <v>0</v>
      </c>
      <c r="AC86" s="138" t="e">
        <f t="shared" ref="AC86" si="210">((AB86/G86)^(1/($AB$3-$H$1) ))-1</f>
        <v>#DIV/0!</v>
      </c>
      <c r="AD86" s="146"/>
      <c r="AE86" s="146"/>
    </row>
    <row r="87" spans="2:31" ht="12" customHeight="1">
      <c r="B87" s="20"/>
      <c r="C87" s="153"/>
      <c r="D87" s="153"/>
      <c r="E87" s="153"/>
      <c r="F87" s="153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20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38"/>
      <c r="AD87" s="146"/>
      <c r="AE87" s="146"/>
    </row>
    <row r="88" spans="2:31">
      <c r="B88" s="20" t="s">
        <v>327</v>
      </c>
      <c r="C88" s="153"/>
      <c r="D88" s="153"/>
      <c r="E88" s="153"/>
      <c r="F88" s="164">
        <f>F12+F13-F10</f>
        <v>799.32999999999993</v>
      </c>
      <c r="G88" s="164">
        <f>G12+G13-G10</f>
        <v>2148</v>
      </c>
      <c r="H88" s="164">
        <f t="shared" ref="H88:P88" si="211">H12+H13-H10</f>
        <v>2650</v>
      </c>
      <c r="I88" s="164">
        <f t="shared" si="211"/>
        <v>3583</v>
      </c>
      <c r="J88" s="164">
        <f t="shared" si="211"/>
        <v>5727</v>
      </c>
      <c r="K88" s="164">
        <f t="shared" si="211"/>
        <v>9271</v>
      </c>
      <c r="L88" s="164">
        <f t="shared" si="211"/>
        <v>11826</v>
      </c>
      <c r="M88" s="164">
        <f t="shared" si="211"/>
        <v>12316</v>
      </c>
      <c r="N88" s="164">
        <f t="shared" si="211"/>
        <v>13044</v>
      </c>
      <c r="O88" s="164">
        <f t="shared" si="211"/>
        <v>10907</v>
      </c>
      <c r="P88" s="164">
        <f t="shared" si="211"/>
        <v>11612.1</v>
      </c>
      <c r="Q88" s="118">
        <f t="shared" si="182"/>
        <v>0.20623165417872991</v>
      </c>
      <c r="R88" s="20"/>
      <c r="S88" s="164">
        <f t="shared" ref="S88:AB88" si="212">S12+S13-S10</f>
        <v>13005.552000000003</v>
      </c>
      <c r="T88" s="164">
        <f t="shared" si="212"/>
        <v>14566.218240000004</v>
      </c>
      <c r="U88" s="164">
        <f t="shared" si="212"/>
        <v>16314.164428800002</v>
      </c>
      <c r="V88" s="164">
        <f t="shared" si="212"/>
        <v>18271.864160256006</v>
      </c>
      <c r="W88" s="164">
        <f t="shared" si="212"/>
        <v>20464.487859486733</v>
      </c>
      <c r="X88" s="164">
        <f t="shared" si="212"/>
        <v>22920.226402625136</v>
      </c>
      <c r="Y88" s="164">
        <f t="shared" si="212"/>
        <v>25670.653570940158</v>
      </c>
      <c r="Z88" s="164">
        <f t="shared" si="212"/>
        <v>28751.131999452977</v>
      </c>
      <c r="AA88" s="164">
        <f t="shared" si="212"/>
        <v>32201.267839387339</v>
      </c>
      <c r="AB88" s="164">
        <f t="shared" si="212"/>
        <v>36065.419980113817</v>
      </c>
      <c r="AC88" s="138">
        <f t="shared" si="184"/>
        <v>0.16004989554756488</v>
      </c>
      <c r="AD88" s="146"/>
      <c r="AE88" s="146"/>
    </row>
    <row r="89" spans="2:31" ht="12" customHeight="1">
      <c r="B89" s="20" t="s">
        <v>322</v>
      </c>
      <c r="C89" s="20"/>
      <c r="D89" s="20"/>
      <c r="E89" s="20"/>
      <c r="F89" s="20"/>
      <c r="G89" s="153">
        <f t="shared" ref="G89:P89" si="213">G37/G17</f>
        <v>0.60201280878316565</v>
      </c>
      <c r="H89" s="153">
        <f t="shared" si="213"/>
        <v>0.91371045062320233</v>
      </c>
      <c r="I89" s="153">
        <f t="shared" si="213"/>
        <v>1.7115188583078491</v>
      </c>
      <c r="J89" s="153">
        <f t="shared" si="213"/>
        <v>2.4433198380566803</v>
      </c>
      <c r="K89" s="153">
        <f t="shared" si="213"/>
        <v>2.91734693877551</v>
      </c>
      <c r="L89" s="153">
        <f t="shared" si="213"/>
        <v>1.8719951923076923</v>
      </c>
      <c r="M89" s="153">
        <f t="shared" si="213"/>
        <v>1.6587423312883436</v>
      </c>
      <c r="N89" s="153">
        <f t="shared" si="213"/>
        <v>1.6771958991410363</v>
      </c>
      <c r="O89" s="153">
        <f t="shared" si="213"/>
        <v>1.5603258476442097</v>
      </c>
      <c r="P89" s="153">
        <f t="shared" si="213"/>
        <v>1.1357905275840419</v>
      </c>
      <c r="Q89" s="118">
        <f t="shared" si="182"/>
        <v>7.3080989827079001E-2</v>
      </c>
      <c r="R89" s="20"/>
      <c r="S89" s="153">
        <f t="shared" ref="S89:AB89" si="214">S37/S17</f>
        <v>1.1357905275840416</v>
      </c>
      <c r="T89" s="153">
        <f t="shared" si="214"/>
        <v>1.1357905275840419</v>
      </c>
      <c r="U89" s="153">
        <f t="shared" si="214"/>
        <v>1.1357905275840419</v>
      </c>
      <c r="V89" s="153">
        <f t="shared" si="214"/>
        <v>1.1357905275840416</v>
      </c>
      <c r="W89" s="153">
        <f t="shared" si="214"/>
        <v>1.1357905275840416</v>
      </c>
      <c r="X89" s="153">
        <f t="shared" si="214"/>
        <v>1.1357905275840416</v>
      </c>
      <c r="Y89" s="153">
        <f t="shared" si="214"/>
        <v>1.1357905275840419</v>
      </c>
      <c r="Z89" s="153">
        <f t="shared" si="214"/>
        <v>1.1357905275840416</v>
      </c>
      <c r="AA89" s="153">
        <f t="shared" si="214"/>
        <v>1.1357905275840416</v>
      </c>
      <c r="AB89" s="153">
        <f t="shared" si="214"/>
        <v>1.1357905275840416</v>
      </c>
      <c r="AC89" s="138">
        <f t="shared" si="184"/>
        <v>3.3975223467845872E-2</v>
      </c>
      <c r="AD89" s="20"/>
      <c r="AE89" s="20"/>
    </row>
    <row r="90" spans="2:31">
      <c r="B90" s="20" t="s">
        <v>323</v>
      </c>
      <c r="C90" s="20"/>
      <c r="D90" s="20"/>
      <c r="E90" s="20"/>
      <c r="F90" s="20"/>
      <c r="G90" s="153">
        <f t="shared" ref="G90:P90" si="215">G37/G24</f>
        <v>8.2044887780548623E-2</v>
      </c>
      <c r="H90" s="153">
        <f t="shared" si="215"/>
        <v>9.1301015520214607E-2</v>
      </c>
      <c r="I90" s="153">
        <f t="shared" si="215"/>
        <v>0.11849812971981086</v>
      </c>
      <c r="J90" s="153">
        <f t="shared" si="215"/>
        <v>0.13391767447020969</v>
      </c>
      <c r="K90" s="153">
        <f t="shared" si="215"/>
        <v>0.13365434061053713</v>
      </c>
      <c r="L90" s="153">
        <f t="shared" si="215"/>
        <v>0.10711092772161475</v>
      </c>
      <c r="M90" s="153">
        <f t="shared" si="215"/>
        <v>0.12223101265822785</v>
      </c>
      <c r="N90" s="153">
        <f t="shared" si="215"/>
        <v>0.13924545663676099</v>
      </c>
      <c r="O90" s="153">
        <f t="shared" si="215"/>
        <v>0.14115280433397068</v>
      </c>
      <c r="P90" s="153">
        <f t="shared" si="215"/>
        <v>0.13594163513428428</v>
      </c>
      <c r="Q90" s="118">
        <f t="shared" si="182"/>
        <v>5.7710398016024511E-2</v>
      </c>
      <c r="R90" s="20"/>
      <c r="S90" s="153">
        <f t="shared" ref="S90:AB90" si="216">S37/S24</f>
        <v>0.13594163513428426</v>
      </c>
      <c r="T90" s="153">
        <f t="shared" si="216"/>
        <v>0.13594163513428428</v>
      </c>
      <c r="U90" s="153">
        <f t="shared" si="216"/>
        <v>0.13594163513428428</v>
      </c>
      <c r="V90" s="153">
        <f t="shared" si="216"/>
        <v>0.13594163513428428</v>
      </c>
      <c r="W90" s="153">
        <f t="shared" si="216"/>
        <v>0.13594163513428428</v>
      </c>
      <c r="X90" s="153">
        <f t="shared" si="216"/>
        <v>0.13594163513428428</v>
      </c>
      <c r="Y90" s="153">
        <f t="shared" si="216"/>
        <v>0.13594163513428428</v>
      </c>
      <c r="Z90" s="153">
        <f t="shared" si="216"/>
        <v>0.13594163513428428</v>
      </c>
      <c r="AA90" s="153">
        <f t="shared" si="216"/>
        <v>0.13594163513428428</v>
      </c>
      <c r="AB90" s="153">
        <f t="shared" si="216"/>
        <v>0.13594163513428428</v>
      </c>
      <c r="AC90" s="138">
        <f t="shared" si="184"/>
        <v>2.6933108953477891E-2</v>
      </c>
      <c r="AD90" s="20"/>
      <c r="AE90" s="20"/>
    </row>
    <row r="91" spans="2:31">
      <c r="B91" s="20" t="s">
        <v>349</v>
      </c>
      <c r="C91" s="20"/>
      <c r="D91" s="20"/>
      <c r="E91" s="153"/>
      <c r="F91" s="153"/>
      <c r="G91" s="153">
        <f t="shared" ref="G91:O91" si="217">G24/G17</f>
        <v>7.3376029277218668</v>
      </c>
      <c r="H91" s="153">
        <f t="shared" si="217"/>
        <v>10.007670182166827</v>
      </c>
      <c r="I91" s="153">
        <f t="shared" si="217"/>
        <v>14.4434250764526</v>
      </c>
      <c r="J91" s="153">
        <f t="shared" si="217"/>
        <v>18.24493927125506</v>
      </c>
      <c r="K91" s="153">
        <f t="shared" si="217"/>
        <v>21.827551020408162</v>
      </c>
      <c r="L91" s="153">
        <f t="shared" si="217"/>
        <v>17.47716346153846</v>
      </c>
      <c r="M91" s="153">
        <f t="shared" si="217"/>
        <v>13.570552147239264</v>
      </c>
      <c r="N91" s="153">
        <f t="shared" si="217"/>
        <v>12.044887780548628</v>
      </c>
      <c r="O91" s="153">
        <f t="shared" si="217"/>
        <v>11.054161162483487</v>
      </c>
      <c r="P91" s="153">
        <f>P24/P17</f>
        <v>8.3549865091890236</v>
      </c>
      <c r="Q91" s="118">
        <f t="shared" si="182"/>
        <v>1.4531947345781671E-2</v>
      </c>
      <c r="R91" s="20"/>
      <c r="S91" s="153">
        <f>S24/S17</f>
        <v>8.3549865091890236</v>
      </c>
      <c r="T91" s="153">
        <f t="shared" ref="T91:AB91" si="218">T24/T17</f>
        <v>8.3549865091890236</v>
      </c>
      <c r="U91" s="153">
        <f t="shared" si="218"/>
        <v>8.3549865091890236</v>
      </c>
      <c r="V91" s="153">
        <f t="shared" si="218"/>
        <v>8.3549865091890236</v>
      </c>
      <c r="W91" s="153">
        <f t="shared" si="218"/>
        <v>8.3549865091890236</v>
      </c>
      <c r="X91" s="153">
        <f t="shared" si="218"/>
        <v>8.3549865091890236</v>
      </c>
      <c r="Y91" s="153">
        <f t="shared" si="218"/>
        <v>8.3549865091890236</v>
      </c>
      <c r="Z91" s="153">
        <f t="shared" si="218"/>
        <v>8.3549865091890219</v>
      </c>
      <c r="AA91" s="153">
        <f t="shared" si="218"/>
        <v>8.3549865091890219</v>
      </c>
      <c r="AB91" s="153">
        <f t="shared" si="218"/>
        <v>8.3549865091890219</v>
      </c>
      <c r="AC91" s="138">
        <f t="shared" si="184"/>
        <v>6.8574227989828263E-3</v>
      </c>
      <c r="AD91" s="20"/>
      <c r="AE91" s="20"/>
    </row>
    <row r="92" spans="2:31">
      <c r="B92" s="20"/>
      <c r="C92" s="20"/>
      <c r="D92" s="20"/>
      <c r="E92" s="20"/>
      <c r="F92" s="20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28"/>
      <c r="R92" s="20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28"/>
      <c r="AD92" s="20"/>
      <c r="AE92" s="20"/>
    </row>
    <row r="93" spans="2:31">
      <c r="B93" s="20" t="s">
        <v>335</v>
      </c>
      <c r="C93" s="20"/>
      <c r="D93" s="20"/>
      <c r="E93" s="166">
        <f t="shared" ref="E93:F93" si="219">E61*E39</f>
        <v>0</v>
      </c>
      <c r="F93" s="166">
        <f t="shared" si="219"/>
        <v>97.88</v>
      </c>
      <c r="G93" s="166">
        <f>G61*G39</f>
        <v>146.82</v>
      </c>
      <c r="H93" s="166">
        <f t="shared" ref="H93:P93" si="220">H61*H39</f>
        <v>195.76</v>
      </c>
      <c r="I93" s="166">
        <f t="shared" si="220"/>
        <v>354.815</v>
      </c>
      <c r="J93" s="166">
        <f t="shared" si="220"/>
        <v>599.51499999999999</v>
      </c>
      <c r="K93" s="166">
        <f t="shared" si="220"/>
        <v>746.48750000000007</v>
      </c>
      <c r="L93" s="166">
        <f t="shared" si="220"/>
        <v>832.15000000000009</v>
      </c>
      <c r="M93" s="166">
        <f t="shared" si="220"/>
        <v>1140.5350000000001</v>
      </c>
      <c r="N93" s="166">
        <f t="shared" si="220"/>
        <v>1524.7925</v>
      </c>
      <c r="O93" s="166">
        <f t="shared" si="220"/>
        <v>1566.4639999999999</v>
      </c>
      <c r="P93" s="166">
        <f t="shared" si="220"/>
        <v>1253.1712</v>
      </c>
      <c r="Q93" s="118">
        <f t="shared" si="182"/>
        <v>0.26902291727150662</v>
      </c>
      <c r="R93" s="20"/>
      <c r="S93" s="166">
        <f t="shared" ref="S93:AB93" si="221">S61*S39</f>
        <v>1513.2042240000001</v>
      </c>
      <c r="T93" s="166">
        <f t="shared" si="221"/>
        <v>1827.1941004800001</v>
      </c>
      <c r="U93" s="166">
        <f t="shared" si="221"/>
        <v>2206.3368763296003</v>
      </c>
      <c r="V93" s="166">
        <f t="shared" si="221"/>
        <v>2664.1517781679922</v>
      </c>
      <c r="W93" s="166">
        <f t="shared" si="221"/>
        <v>3216.9632721378507</v>
      </c>
      <c r="X93" s="166">
        <f t="shared" si="221"/>
        <v>3884.4831511064549</v>
      </c>
      <c r="Y93" s="166">
        <f t="shared" si="221"/>
        <v>4690.5134049610433</v>
      </c>
      <c r="Z93" s="166">
        <f t="shared" si="221"/>
        <v>5663.7949364904598</v>
      </c>
      <c r="AA93" s="166">
        <f t="shared" si="221"/>
        <v>6839.0323858122301</v>
      </c>
      <c r="AB93" s="166">
        <f t="shared" si="221"/>
        <v>8258.1316058682678</v>
      </c>
      <c r="AC93" s="138">
        <f t="shared" si="184"/>
        <v>0.23626150506894095</v>
      </c>
      <c r="AD93" s="20"/>
      <c r="AE93" s="20"/>
    </row>
    <row r="94" spans="2:31">
      <c r="B94" s="20" t="s">
        <v>336</v>
      </c>
      <c r="C94" s="20"/>
      <c r="D94" s="20"/>
      <c r="E94" s="166">
        <f>(E93*0.17)+E93</f>
        <v>0</v>
      </c>
      <c r="F94" s="166">
        <f>(F93*0.17)+F93</f>
        <v>114.5196</v>
      </c>
      <c r="G94" s="166">
        <f t="shared" ref="G94:P94" si="222">(G93*0.17)+G93</f>
        <v>171.77940000000001</v>
      </c>
      <c r="H94" s="166">
        <f t="shared" si="222"/>
        <v>229.03919999999999</v>
      </c>
      <c r="I94" s="166">
        <f t="shared" si="222"/>
        <v>415.13355000000001</v>
      </c>
      <c r="J94" s="166">
        <f t="shared" si="222"/>
        <v>701.43254999999999</v>
      </c>
      <c r="K94" s="166">
        <f t="shared" si="222"/>
        <v>873.39037500000006</v>
      </c>
      <c r="L94" s="166">
        <f t="shared" si="222"/>
        <v>973.61550000000011</v>
      </c>
      <c r="M94" s="166">
        <f t="shared" si="222"/>
        <v>1334.4259500000001</v>
      </c>
      <c r="N94" s="166">
        <f t="shared" si="222"/>
        <v>1784.0072250000001</v>
      </c>
      <c r="O94" s="166">
        <f t="shared" si="222"/>
        <v>1832.76288</v>
      </c>
      <c r="P94" s="166">
        <f t="shared" si="222"/>
        <v>1466.210304</v>
      </c>
      <c r="Q94" s="118">
        <f t="shared" si="182"/>
        <v>0.26902291727150662</v>
      </c>
      <c r="R94" s="20"/>
      <c r="S94" s="166">
        <f t="shared" ref="S94:AB94" si="223">(S93*0.17)+S93</f>
        <v>1770.4489420800001</v>
      </c>
      <c r="T94" s="166">
        <f t="shared" si="223"/>
        <v>2137.8170975616003</v>
      </c>
      <c r="U94" s="166">
        <f t="shared" si="223"/>
        <v>2581.4141453056322</v>
      </c>
      <c r="V94" s="166">
        <f t="shared" si="223"/>
        <v>3117.057580456551</v>
      </c>
      <c r="W94" s="166">
        <f t="shared" si="223"/>
        <v>3763.8470284012856</v>
      </c>
      <c r="X94" s="166">
        <f t="shared" si="223"/>
        <v>4544.8452867945525</v>
      </c>
      <c r="Y94" s="166">
        <f t="shared" si="223"/>
        <v>5487.9006838044206</v>
      </c>
      <c r="Z94" s="166">
        <f t="shared" si="223"/>
        <v>6626.6400756938383</v>
      </c>
      <c r="AA94" s="166">
        <f t="shared" si="223"/>
        <v>8001.6678914003096</v>
      </c>
      <c r="AB94" s="166">
        <f t="shared" si="223"/>
        <v>9662.0139788658744</v>
      </c>
      <c r="AC94" s="138">
        <f t="shared" si="184"/>
        <v>0.23626150506894095</v>
      </c>
      <c r="AD94" s="20"/>
      <c r="AE94" s="20"/>
    </row>
    <row r="95" spans="2:31">
      <c r="B95" s="20" t="s">
        <v>337</v>
      </c>
      <c r="C95" s="20"/>
      <c r="D95" s="20"/>
      <c r="E95" s="20"/>
      <c r="F95" s="153">
        <f t="shared" ref="F95:P95" si="224">F94/F37</f>
        <v>0.25792702702702702</v>
      </c>
      <c r="G95" s="153">
        <f t="shared" si="224"/>
        <v>0.26106291793313069</v>
      </c>
      <c r="H95" s="153">
        <f t="shared" si="224"/>
        <v>0.24033494228751312</v>
      </c>
      <c r="I95" s="153">
        <f t="shared" si="224"/>
        <v>0.24725047647409173</v>
      </c>
      <c r="J95" s="153">
        <f t="shared" si="224"/>
        <v>0.29056857912178957</v>
      </c>
      <c r="K95" s="153">
        <f t="shared" si="224"/>
        <v>0.30548806400839457</v>
      </c>
      <c r="L95" s="153">
        <f t="shared" si="224"/>
        <v>0.31255714285714287</v>
      </c>
      <c r="M95" s="153">
        <f t="shared" si="224"/>
        <v>0.30846647018030515</v>
      </c>
      <c r="N95" s="153">
        <f t="shared" si="224"/>
        <v>0.29473107962993556</v>
      </c>
      <c r="O95" s="153">
        <f t="shared" si="224"/>
        <v>0.25860912656977564</v>
      </c>
      <c r="P95" s="153">
        <f t="shared" si="224"/>
        <v>0.21906296095979438</v>
      </c>
      <c r="Q95" s="118">
        <f t="shared" si="182"/>
        <v>-1.9300454655568511E-2</v>
      </c>
      <c r="R95" s="20"/>
      <c r="S95" s="153">
        <f t="shared" ref="S95:AB95" si="225">S94/S37</f>
        <v>0.23617725478477833</v>
      </c>
      <c r="T95" s="153">
        <f t="shared" si="225"/>
        <v>0.25462860281483912</v>
      </c>
      <c r="U95" s="153">
        <f t="shared" si="225"/>
        <v>0.2745214624097484</v>
      </c>
      <c r="V95" s="153">
        <f t="shared" si="225"/>
        <v>0.29596845166050995</v>
      </c>
      <c r="W95" s="153">
        <f t="shared" si="225"/>
        <v>0.3190909869464873</v>
      </c>
      <c r="X95" s="153">
        <f t="shared" si="225"/>
        <v>0.34401997030168158</v>
      </c>
      <c r="Y95" s="153">
        <f t="shared" si="225"/>
        <v>0.37089653048150029</v>
      </c>
      <c r="Z95" s="153">
        <f t="shared" si="225"/>
        <v>0.39987282192536749</v>
      </c>
      <c r="AA95" s="153">
        <f t="shared" si="225"/>
        <v>0.4311128861382868</v>
      </c>
      <c r="AB95" s="153">
        <f t="shared" si="225"/>
        <v>0.46479358036784041</v>
      </c>
      <c r="AC95" s="138">
        <f t="shared" si="184"/>
        <v>3.0825127660337515E-2</v>
      </c>
      <c r="AD95" s="20"/>
      <c r="AE95" s="20"/>
    </row>
    <row r="96" spans="2:31">
      <c r="B96" s="20" t="s">
        <v>330</v>
      </c>
      <c r="C96" s="20"/>
      <c r="D96" s="20"/>
      <c r="E96" s="20"/>
      <c r="F96" s="153">
        <f>1-F95</f>
        <v>0.74207297297297292</v>
      </c>
      <c r="G96" s="153">
        <f>1-G95</f>
        <v>0.73893708206686926</v>
      </c>
      <c r="H96" s="153">
        <f t="shared" ref="H96:P96" si="226">1-H95</f>
        <v>0.75966505771248682</v>
      </c>
      <c r="I96" s="153">
        <f t="shared" si="226"/>
        <v>0.75274952352590829</v>
      </c>
      <c r="J96" s="153">
        <f t="shared" si="226"/>
        <v>0.70943142087821043</v>
      </c>
      <c r="K96" s="153">
        <f t="shared" si="226"/>
        <v>0.69451193599160543</v>
      </c>
      <c r="L96" s="153">
        <f t="shared" si="226"/>
        <v>0.68744285714285713</v>
      </c>
      <c r="M96" s="153">
        <f t="shared" si="226"/>
        <v>0.69153352981969485</v>
      </c>
      <c r="N96" s="153">
        <f t="shared" si="226"/>
        <v>0.70526892037006439</v>
      </c>
      <c r="O96" s="153">
        <f t="shared" si="226"/>
        <v>0.74139087343022436</v>
      </c>
      <c r="P96" s="153">
        <f t="shared" si="226"/>
        <v>0.78093703904020562</v>
      </c>
      <c r="Q96" s="118">
        <f t="shared" si="182"/>
        <v>6.1613202970973724E-3</v>
      </c>
      <c r="R96" s="20"/>
      <c r="S96" s="153">
        <f t="shared" ref="S96:AB96" si="227">1-S95</f>
        <v>0.76382274521522164</v>
      </c>
      <c r="T96" s="153">
        <f t="shared" si="227"/>
        <v>0.74537139718516088</v>
      </c>
      <c r="U96" s="153">
        <f t="shared" si="227"/>
        <v>0.7254785375902516</v>
      </c>
      <c r="V96" s="153">
        <f t="shared" si="227"/>
        <v>0.70403154833949011</v>
      </c>
      <c r="W96" s="153">
        <f t="shared" si="227"/>
        <v>0.6809090130535127</v>
      </c>
      <c r="X96" s="153">
        <f t="shared" si="227"/>
        <v>0.65598002969831848</v>
      </c>
      <c r="Y96" s="153">
        <f t="shared" si="227"/>
        <v>0.62910346951849971</v>
      </c>
      <c r="Z96" s="153">
        <f t="shared" si="227"/>
        <v>0.60012717807463245</v>
      </c>
      <c r="AA96" s="153">
        <f t="shared" si="227"/>
        <v>0.5688871138617132</v>
      </c>
      <c r="AB96" s="153">
        <f t="shared" si="227"/>
        <v>0.53520641963215954</v>
      </c>
      <c r="AC96" s="138">
        <f t="shared" si="184"/>
        <v>-1.6833561765918659E-2</v>
      </c>
      <c r="AD96" s="20"/>
      <c r="AE96" s="20"/>
    </row>
    <row r="97" spans="2:31">
      <c r="B97" s="20"/>
      <c r="C97" s="20"/>
      <c r="D97" s="20"/>
      <c r="E97" s="20"/>
      <c r="F97" s="20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28"/>
      <c r="R97" s="20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28"/>
      <c r="AD97" s="20"/>
      <c r="AE97" s="20"/>
    </row>
    <row r="98" spans="2:31">
      <c r="B98" s="20" t="s">
        <v>334</v>
      </c>
      <c r="C98" s="153"/>
      <c r="D98" s="153"/>
      <c r="E98" s="153"/>
      <c r="F98" s="153">
        <f>F30/F24</f>
        <v>0</v>
      </c>
      <c r="G98" s="153">
        <f>G30/G24</f>
        <v>0</v>
      </c>
      <c r="H98" s="153">
        <f t="shared" ref="H98:P98" si="228">H30/H24</f>
        <v>0</v>
      </c>
      <c r="I98" s="153">
        <f t="shared" si="228"/>
        <v>0</v>
      </c>
      <c r="J98" s="153">
        <f t="shared" si="228"/>
        <v>0</v>
      </c>
      <c r="K98" s="153">
        <f t="shared" si="228"/>
        <v>0</v>
      </c>
      <c r="L98" s="153">
        <f t="shared" si="228"/>
        <v>0</v>
      </c>
      <c r="M98" s="153">
        <f t="shared" si="228"/>
        <v>0</v>
      </c>
      <c r="N98" s="153">
        <f t="shared" si="228"/>
        <v>0</v>
      </c>
      <c r="O98" s="153">
        <f t="shared" si="228"/>
        <v>0</v>
      </c>
      <c r="P98" s="153">
        <f t="shared" si="228"/>
        <v>0</v>
      </c>
      <c r="Q98" s="118" t="e">
        <f t="shared" si="182"/>
        <v>#DIV/0!</v>
      </c>
      <c r="R98" s="20"/>
      <c r="S98" s="153">
        <f t="shared" ref="S98:AB98" si="229">S30/S24</f>
        <v>0</v>
      </c>
      <c r="T98" s="153">
        <f t="shared" si="229"/>
        <v>0</v>
      </c>
      <c r="U98" s="153">
        <f t="shared" si="229"/>
        <v>0</v>
      </c>
      <c r="V98" s="153">
        <f t="shared" si="229"/>
        <v>0</v>
      </c>
      <c r="W98" s="153">
        <f t="shared" si="229"/>
        <v>0</v>
      </c>
      <c r="X98" s="153">
        <f t="shared" si="229"/>
        <v>0</v>
      </c>
      <c r="Y98" s="153">
        <f t="shared" si="229"/>
        <v>0</v>
      </c>
      <c r="Z98" s="153">
        <f t="shared" si="229"/>
        <v>0</v>
      </c>
      <c r="AA98" s="153">
        <f t="shared" si="229"/>
        <v>0</v>
      </c>
      <c r="AB98" s="153">
        <f t="shared" si="229"/>
        <v>0</v>
      </c>
      <c r="AC98" s="138" t="e">
        <f t="shared" si="184"/>
        <v>#DIV/0!</v>
      </c>
      <c r="AD98" s="20"/>
      <c r="AE98" s="20"/>
    </row>
    <row r="99" spans="2:31">
      <c r="B99" s="20" t="s">
        <v>331</v>
      </c>
      <c r="C99" s="153"/>
      <c r="D99" s="153"/>
      <c r="E99" s="153"/>
      <c r="F99" s="153">
        <f>F31/F24</f>
        <v>0</v>
      </c>
      <c r="G99" s="153">
        <f>G31/G24</f>
        <v>0</v>
      </c>
      <c r="H99" s="153">
        <f t="shared" ref="H99:P99" si="230">H31/H24</f>
        <v>0</v>
      </c>
      <c r="I99" s="153">
        <f t="shared" si="230"/>
        <v>0</v>
      </c>
      <c r="J99" s="153">
        <f t="shared" si="230"/>
        <v>0</v>
      </c>
      <c r="K99" s="153">
        <f t="shared" si="230"/>
        <v>0</v>
      </c>
      <c r="L99" s="153">
        <f t="shared" si="230"/>
        <v>0</v>
      </c>
      <c r="M99" s="153">
        <f t="shared" si="230"/>
        <v>0</v>
      </c>
      <c r="N99" s="153">
        <f t="shared" si="230"/>
        <v>0</v>
      </c>
      <c r="O99" s="153">
        <f t="shared" si="230"/>
        <v>0</v>
      </c>
      <c r="P99" s="153">
        <f t="shared" si="230"/>
        <v>0</v>
      </c>
      <c r="Q99" s="118" t="e">
        <f t="shared" si="182"/>
        <v>#DIV/0!</v>
      </c>
      <c r="R99" s="20"/>
      <c r="S99" s="153">
        <f t="shared" ref="S99:AB99" si="231">S31/S24</f>
        <v>0</v>
      </c>
      <c r="T99" s="153">
        <f t="shared" si="231"/>
        <v>0</v>
      </c>
      <c r="U99" s="153">
        <f t="shared" si="231"/>
        <v>0</v>
      </c>
      <c r="V99" s="153">
        <f t="shared" si="231"/>
        <v>0</v>
      </c>
      <c r="W99" s="153">
        <f t="shared" si="231"/>
        <v>0</v>
      </c>
      <c r="X99" s="153">
        <f t="shared" si="231"/>
        <v>0</v>
      </c>
      <c r="Y99" s="153">
        <f t="shared" si="231"/>
        <v>0</v>
      </c>
      <c r="Z99" s="153">
        <f t="shared" si="231"/>
        <v>0</v>
      </c>
      <c r="AA99" s="153">
        <f t="shared" si="231"/>
        <v>0</v>
      </c>
      <c r="AB99" s="153">
        <f t="shared" si="231"/>
        <v>0</v>
      </c>
      <c r="AC99" s="138" t="e">
        <f t="shared" si="184"/>
        <v>#DIV/0!</v>
      </c>
      <c r="AD99" s="20"/>
      <c r="AE99" s="20"/>
    </row>
    <row r="100" spans="2:31">
      <c r="B100" s="20"/>
      <c r="C100" s="20"/>
      <c r="D100" s="20"/>
      <c r="E100" s="20"/>
      <c r="F100" s="20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28"/>
      <c r="R100" s="20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28"/>
      <c r="AD100" s="20"/>
      <c r="AE100" s="20"/>
    </row>
    <row r="101" spans="2:31">
      <c r="B101" s="20" t="s">
        <v>355</v>
      </c>
      <c r="C101" s="20"/>
      <c r="D101" s="20"/>
      <c r="E101" s="20"/>
      <c r="F101" s="20"/>
      <c r="G101" s="153">
        <f>G26/G24</f>
        <v>0.8917705735660848</v>
      </c>
      <c r="H101" s="153">
        <f t="shared" ref="H101:P101" si="232">H26/H24</f>
        <v>0.85025867024334167</v>
      </c>
      <c r="I101" s="153">
        <f t="shared" si="232"/>
        <v>0.81890041640200439</v>
      </c>
      <c r="J101" s="153">
        <f t="shared" si="232"/>
        <v>0.7766559414179518</v>
      </c>
      <c r="K101" s="153">
        <f t="shared" si="232"/>
        <v>0.77700902248609227</v>
      </c>
      <c r="L101" s="153">
        <f t="shared" si="232"/>
        <v>0.82078261467574443</v>
      </c>
      <c r="M101" s="153">
        <f t="shared" si="232"/>
        <v>0.79588607594936711</v>
      </c>
      <c r="N101" s="153">
        <f t="shared" si="232"/>
        <v>0.77681159420289858</v>
      </c>
      <c r="O101" s="153">
        <f t="shared" si="232"/>
        <v>0.77607154238368392</v>
      </c>
      <c r="P101" s="153">
        <f t="shared" si="232"/>
        <v>0.80090829509841555</v>
      </c>
      <c r="Q101" s="118">
        <f t="shared" si="182"/>
        <v>-1.186926922203102E-2</v>
      </c>
      <c r="R101" s="20"/>
      <c r="S101" s="153">
        <f t="shared" ref="S101:AB101" si="233">S26/S24</f>
        <v>0.80090829509841543</v>
      </c>
      <c r="T101" s="153">
        <f t="shared" si="233"/>
        <v>0.80090829509841532</v>
      </c>
      <c r="U101" s="153">
        <f t="shared" si="233"/>
        <v>0.80090829509841543</v>
      </c>
      <c r="V101" s="153">
        <f t="shared" si="233"/>
        <v>0.80090829509841543</v>
      </c>
      <c r="W101" s="153">
        <f t="shared" si="233"/>
        <v>0.80090829509841532</v>
      </c>
      <c r="X101" s="153">
        <f t="shared" si="233"/>
        <v>0.80090829509841543</v>
      </c>
      <c r="Y101" s="153">
        <f t="shared" si="233"/>
        <v>0.80090829509841543</v>
      </c>
      <c r="Z101" s="153">
        <f t="shared" si="233"/>
        <v>0.80090829509841543</v>
      </c>
      <c r="AA101" s="153">
        <f t="shared" si="233"/>
        <v>0.80090829509841543</v>
      </c>
      <c r="AB101" s="153">
        <f t="shared" si="233"/>
        <v>0.80090829509841543</v>
      </c>
      <c r="AC101" s="138">
        <f t="shared" si="184"/>
        <v>-5.6399534331147416E-3</v>
      </c>
      <c r="AD101" s="20"/>
      <c r="AE101" s="20"/>
    </row>
    <row r="102" spans="2:31">
      <c r="B102" s="20" t="str">
        <f>B32</f>
        <v>Top Expenses ( Raw material )</v>
      </c>
      <c r="C102" s="20"/>
      <c r="D102" s="20"/>
      <c r="E102" s="20"/>
      <c r="F102" s="20"/>
      <c r="G102" s="153">
        <f>G32/G24</f>
        <v>0.45311720698254365</v>
      </c>
      <c r="H102" s="153">
        <f t="shared" ref="H102:P102" si="234">H32/H24</f>
        <v>0.48831193715271126</v>
      </c>
      <c r="I102" s="153">
        <f t="shared" si="234"/>
        <v>0.50109393746912279</v>
      </c>
      <c r="J102" s="153">
        <f t="shared" si="234"/>
        <v>0.47492510817707756</v>
      </c>
      <c r="K102" s="153">
        <f t="shared" si="234"/>
        <v>0.48618577906596233</v>
      </c>
      <c r="L102" s="153">
        <f t="shared" si="234"/>
        <v>0.54143456433532766</v>
      </c>
      <c r="M102" s="153">
        <f t="shared" si="234"/>
        <v>0.50618783905967446</v>
      </c>
      <c r="N102" s="153">
        <f t="shared" si="234"/>
        <v>0.46045548654244306</v>
      </c>
      <c r="O102" s="153">
        <f t="shared" si="234"/>
        <v>0.50322657743785848</v>
      </c>
      <c r="P102" s="153">
        <f t="shared" si="234"/>
        <v>0.55864616909481235</v>
      </c>
      <c r="Q102" s="118">
        <f t="shared" si="182"/>
        <v>2.3535520545401312E-2</v>
      </c>
      <c r="R102" s="20"/>
      <c r="S102" s="153">
        <f t="shared" ref="S102:AB102" si="235">S32/S24</f>
        <v>0.55864616909481235</v>
      </c>
      <c r="T102" s="153">
        <f t="shared" si="235"/>
        <v>0.55864616909481235</v>
      </c>
      <c r="U102" s="153">
        <f t="shared" si="235"/>
        <v>0.55864616909481235</v>
      </c>
      <c r="V102" s="153">
        <f t="shared" si="235"/>
        <v>0.55864616909481235</v>
      </c>
      <c r="W102" s="153">
        <f t="shared" si="235"/>
        <v>0.55864616909481235</v>
      </c>
      <c r="X102" s="153">
        <f t="shared" si="235"/>
        <v>0.55864616909481235</v>
      </c>
      <c r="Y102" s="153">
        <f t="shared" si="235"/>
        <v>0.55864616909481235</v>
      </c>
      <c r="Z102" s="153">
        <f t="shared" si="235"/>
        <v>0.55864616909481235</v>
      </c>
      <c r="AA102" s="153">
        <f t="shared" si="235"/>
        <v>0.55864616909481235</v>
      </c>
      <c r="AB102" s="153">
        <f t="shared" si="235"/>
        <v>0.55864616909481235</v>
      </c>
      <c r="AC102" s="138">
        <f t="shared" si="184"/>
        <v>1.1080170888098539E-2</v>
      </c>
      <c r="AD102" s="20"/>
      <c r="AE102" s="20"/>
    </row>
    <row r="103" spans="2:31">
      <c r="B103" s="20" t="str">
        <f>B33</f>
        <v>2nd highest Expenses Comp. ( Empl )</v>
      </c>
      <c r="C103" s="20"/>
      <c r="D103" s="20"/>
      <c r="E103" s="20"/>
      <c r="F103" s="20"/>
      <c r="G103" s="153">
        <f>G33/G24</f>
        <v>0.20448877805486285</v>
      </c>
      <c r="H103" s="153">
        <f t="shared" ref="H103:P103" si="236">H33/H24</f>
        <v>0.15807625981988888</v>
      </c>
      <c r="I103" s="153">
        <f t="shared" si="236"/>
        <v>0.13254287529112851</v>
      </c>
      <c r="J103" s="153">
        <f t="shared" si="236"/>
        <v>0.13131032952402086</v>
      </c>
      <c r="K103" s="153">
        <f t="shared" si="236"/>
        <v>0.12163994203169558</v>
      </c>
      <c r="L103" s="153">
        <f t="shared" si="236"/>
        <v>0.10408500103156591</v>
      </c>
      <c r="M103" s="153">
        <f t="shared" si="236"/>
        <v>0.18365732368896925</v>
      </c>
      <c r="N103" s="153">
        <f t="shared" si="236"/>
        <v>0.12541982976765587</v>
      </c>
      <c r="O103" s="153">
        <f t="shared" si="236"/>
        <v>0.1101218929254302</v>
      </c>
      <c r="P103" s="153">
        <f t="shared" si="236"/>
        <v>0.11828959421225912</v>
      </c>
      <c r="Q103" s="118">
        <f t="shared" si="182"/>
        <v>-5.9007113751773699E-2</v>
      </c>
      <c r="R103" s="20"/>
      <c r="S103" s="153">
        <f t="shared" ref="S103:AB103" si="237">S33/S24</f>
        <v>0.11828959421225912</v>
      </c>
      <c r="T103" s="153">
        <f t="shared" si="237"/>
        <v>0.11828959421225912</v>
      </c>
      <c r="U103" s="153">
        <f t="shared" si="237"/>
        <v>0.11828959421225914</v>
      </c>
      <c r="V103" s="153">
        <f t="shared" si="237"/>
        <v>0.11828959421225912</v>
      </c>
      <c r="W103" s="153">
        <f t="shared" si="237"/>
        <v>0.11828959421225911</v>
      </c>
      <c r="X103" s="153">
        <f t="shared" si="237"/>
        <v>0.11828959421225912</v>
      </c>
      <c r="Y103" s="153">
        <f t="shared" si="237"/>
        <v>0.11828959421225914</v>
      </c>
      <c r="Z103" s="153">
        <f t="shared" si="237"/>
        <v>0.11828959421225914</v>
      </c>
      <c r="AA103" s="153">
        <f t="shared" si="237"/>
        <v>0.11828959421225915</v>
      </c>
      <c r="AB103" s="153">
        <f t="shared" si="237"/>
        <v>0.11828959421225914</v>
      </c>
      <c r="AC103" s="138">
        <f t="shared" si="184"/>
        <v>-2.839829906483271E-2</v>
      </c>
      <c r="AD103" s="20"/>
      <c r="AE103" s="20"/>
    </row>
    <row r="104" spans="2:3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28"/>
      <c r="R104" s="128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39"/>
      <c r="AD104" s="20"/>
      <c r="AE104" s="20"/>
    </row>
    <row r="105" spans="2:31">
      <c r="B105" s="108" t="s">
        <v>363</v>
      </c>
      <c r="C105" s="20"/>
      <c r="D105" s="20"/>
      <c r="E105" s="20"/>
      <c r="F105" s="20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118"/>
      <c r="R105" s="128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138"/>
      <c r="AD105" s="20"/>
      <c r="AE105" s="20"/>
    </row>
    <row r="106" spans="2:31">
      <c r="B106" s="20" t="s">
        <v>366</v>
      </c>
      <c r="C106" s="20"/>
      <c r="D106" s="20"/>
      <c r="E106" s="20"/>
      <c r="F106" s="20"/>
      <c r="G106" s="25">
        <f>G14/G9</f>
        <v>2.072485484173066</v>
      </c>
      <c r="H106" s="25">
        <f t="shared" ref="H106:AB106" si="238">H14/H9</f>
        <v>1.9297737306843268</v>
      </c>
      <c r="I106" s="25">
        <f t="shared" si="238"/>
        <v>2.1596855699045481</v>
      </c>
      <c r="J106" s="25">
        <f t="shared" si="238"/>
        <v>2.1108137492682113</v>
      </c>
      <c r="K106" s="25">
        <f t="shared" si="238"/>
        <v>2.0119648869648872</v>
      </c>
      <c r="L106" s="25">
        <f t="shared" si="238"/>
        <v>1.358514033564562</v>
      </c>
      <c r="M106" s="25">
        <f t="shared" si="238"/>
        <v>1.3627856017197668</v>
      </c>
      <c r="N106" s="25">
        <f t="shared" si="238"/>
        <v>1.3713094927085905</v>
      </c>
      <c r="O106" s="25">
        <f t="shared" si="238"/>
        <v>1.4678743143121706</v>
      </c>
      <c r="P106" s="25">
        <f t="shared" si="238"/>
        <v>1.8225415923682038</v>
      </c>
      <c r="Q106" s="118">
        <f t="shared" si="182"/>
        <v>-1.4178151729429933E-2</v>
      </c>
      <c r="R106" s="20"/>
      <c r="S106" s="20">
        <f t="shared" si="238"/>
        <v>1.822541592368204</v>
      </c>
      <c r="T106" s="20">
        <f t="shared" si="238"/>
        <v>1.822541592368204</v>
      </c>
      <c r="U106" s="20">
        <f t="shared" si="238"/>
        <v>1.8225415923682038</v>
      </c>
      <c r="V106" s="20">
        <f t="shared" si="238"/>
        <v>1.8225415923682038</v>
      </c>
      <c r="W106" s="20">
        <f t="shared" si="238"/>
        <v>1.8225415923682038</v>
      </c>
      <c r="X106" s="20">
        <f t="shared" si="238"/>
        <v>1.8225415923682038</v>
      </c>
      <c r="Y106" s="20">
        <f t="shared" si="238"/>
        <v>1.8225415923682038</v>
      </c>
      <c r="Z106" s="20">
        <f t="shared" si="238"/>
        <v>1.8225415923682038</v>
      </c>
      <c r="AA106" s="20">
        <f t="shared" si="238"/>
        <v>1.8225415923682038</v>
      </c>
      <c r="AB106" s="20">
        <f t="shared" si="238"/>
        <v>1.822541592368204</v>
      </c>
      <c r="AC106" s="138">
        <f t="shared" si="184"/>
        <v>-6.7412068904167954E-3</v>
      </c>
      <c r="AD106" s="20"/>
      <c r="AE106" s="20"/>
    </row>
    <row r="107" spans="2:31">
      <c r="B107" s="20" t="s">
        <v>356</v>
      </c>
      <c r="C107" s="20"/>
      <c r="D107" s="20"/>
      <c r="E107" s="20"/>
      <c r="F107" s="20"/>
      <c r="G107" s="25">
        <f>G12/G9</f>
        <v>0.49803333957669976</v>
      </c>
      <c r="H107" s="25">
        <f t="shared" ref="H107:P107" si="239">H12/H9</f>
        <v>0.4383278145695364</v>
      </c>
      <c r="I107" s="25">
        <f t="shared" si="239"/>
        <v>0.46412128017967436</v>
      </c>
      <c r="J107" s="25">
        <f t="shared" si="239"/>
        <v>0.48574057037718493</v>
      </c>
      <c r="K107" s="25">
        <f t="shared" si="239"/>
        <v>0.50420875420875422</v>
      </c>
      <c r="L107" s="25">
        <f t="shared" si="239"/>
        <v>0.36087057537003298</v>
      </c>
      <c r="M107" s="25">
        <f t="shared" si="239"/>
        <v>0.30113027734171871</v>
      </c>
      <c r="N107" s="25">
        <f t="shared" si="239"/>
        <v>0.24687539190355554</v>
      </c>
      <c r="O107" s="25">
        <f t="shared" si="239"/>
        <v>0.16166735848644398</v>
      </c>
      <c r="P107" s="25">
        <f t="shared" si="239"/>
        <v>0.27811317945427411</v>
      </c>
      <c r="Q107" s="118">
        <f t="shared" si="182"/>
        <v>-6.2686666862548091E-2</v>
      </c>
      <c r="R107" s="128"/>
      <c r="S107" s="20">
        <f t="shared" ref="S107:AB107" si="240">S12/S9</f>
        <v>0.27811317945427411</v>
      </c>
      <c r="T107" s="20">
        <f t="shared" si="240"/>
        <v>0.27811317945427411</v>
      </c>
      <c r="U107" s="20">
        <f t="shared" si="240"/>
        <v>0.27811317945427411</v>
      </c>
      <c r="V107" s="20">
        <f t="shared" si="240"/>
        <v>0.27811317945427405</v>
      </c>
      <c r="W107" s="20">
        <f t="shared" si="240"/>
        <v>0.27811317945427405</v>
      </c>
      <c r="X107" s="20">
        <f t="shared" si="240"/>
        <v>0.27811317945427405</v>
      </c>
      <c r="Y107" s="20">
        <f t="shared" si="240"/>
        <v>0.27811317945427405</v>
      </c>
      <c r="Z107" s="20">
        <f t="shared" si="240"/>
        <v>0.27811317945427405</v>
      </c>
      <c r="AA107" s="20">
        <f t="shared" si="240"/>
        <v>0.27811317945427405</v>
      </c>
      <c r="AB107" s="20">
        <f t="shared" si="240"/>
        <v>0.27811317945427405</v>
      </c>
      <c r="AC107" s="118">
        <f t="shared" ref="AC107" si="241">((AB107/S107)^(1/($H$2-$H$1) ))-1</f>
        <v>0</v>
      </c>
      <c r="AD107" s="20"/>
      <c r="AE107" s="20"/>
    </row>
    <row r="108" spans="2:31">
      <c r="B108" s="20" t="s">
        <v>358</v>
      </c>
      <c r="C108" s="20"/>
      <c r="D108" s="20"/>
      <c r="E108" s="20"/>
      <c r="F108" s="20"/>
      <c r="G108" s="25">
        <f>G24/360</f>
        <v>22.277777777777779</v>
      </c>
      <c r="H108" s="25">
        <f t="shared" ref="H108:P108" si="242">H24/360</f>
        <v>28.994444444444444</v>
      </c>
      <c r="I108" s="25">
        <f t="shared" si="242"/>
        <v>39.358333333333334</v>
      </c>
      <c r="J108" s="25">
        <f t="shared" si="242"/>
        <v>50.072222222222223</v>
      </c>
      <c r="K108" s="25">
        <f t="shared" si="242"/>
        <v>59.419444444444444</v>
      </c>
      <c r="L108" s="25">
        <f t="shared" si="242"/>
        <v>80.783333333333331</v>
      </c>
      <c r="M108" s="25">
        <f t="shared" si="242"/>
        <v>98.311111111111117</v>
      </c>
      <c r="N108" s="25">
        <f t="shared" si="242"/>
        <v>120.75</v>
      </c>
      <c r="O108" s="25">
        <f t="shared" si="242"/>
        <v>139.46666666666667</v>
      </c>
      <c r="P108" s="25">
        <f t="shared" si="242"/>
        <v>136.76416666666668</v>
      </c>
      <c r="Q108" s="118">
        <f t="shared" si="182"/>
        <v>0.22339504543819455</v>
      </c>
      <c r="R108" s="128"/>
      <c r="S108" s="25">
        <f t="shared" ref="S108:AB108" si="243">S24/360</f>
        <v>153.17586666666671</v>
      </c>
      <c r="T108" s="25">
        <f t="shared" si="243"/>
        <v>171.55697066666673</v>
      </c>
      <c r="U108" s="25">
        <f t="shared" si="243"/>
        <v>192.14380714666675</v>
      </c>
      <c r="V108" s="25">
        <f t="shared" si="243"/>
        <v>215.20106400426678</v>
      </c>
      <c r="W108" s="25">
        <f t="shared" si="243"/>
        <v>241.02519168477883</v>
      </c>
      <c r="X108" s="25">
        <f t="shared" si="243"/>
        <v>269.94821468695233</v>
      </c>
      <c r="Y108" s="25">
        <f t="shared" si="243"/>
        <v>302.3420004493866</v>
      </c>
      <c r="Z108" s="25">
        <f t="shared" si="243"/>
        <v>338.62304050331301</v>
      </c>
      <c r="AA108" s="25">
        <f t="shared" si="243"/>
        <v>379.25780536371064</v>
      </c>
      <c r="AB108" s="25">
        <f t="shared" si="243"/>
        <v>424.76874200735597</v>
      </c>
      <c r="AC108" s="118">
        <f t="shared" ref="AC108:AC115" si="244">((AB108/S108)^(1/($H$2-$H$1) ))-1</f>
        <v>0.12000000000000011</v>
      </c>
      <c r="AD108" s="20"/>
      <c r="AE108" s="20"/>
    </row>
    <row r="109" spans="2:31">
      <c r="B109" s="20" t="s">
        <v>357</v>
      </c>
      <c r="C109" s="20"/>
      <c r="D109" s="20"/>
      <c r="E109" s="20"/>
      <c r="F109" s="20"/>
      <c r="G109" s="25">
        <f>G26/360</f>
        <v>19.866666666666667</v>
      </c>
      <c r="H109" s="25">
        <f t="shared" ref="H109:P109" si="245">H26/360</f>
        <v>24.652777777777779</v>
      </c>
      <c r="I109" s="25">
        <f t="shared" si="245"/>
        <v>32.230555555555554</v>
      </c>
      <c r="J109" s="25">
        <f t="shared" si="245"/>
        <v>38.888888888888886</v>
      </c>
      <c r="K109" s="25">
        <f t="shared" si="245"/>
        <v>46.169444444444444</v>
      </c>
      <c r="L109" s="25">
        <f t="shared" si="245"/>
        <v>66.305555555555557</v>
      </c>
      <c r="M109" s="25">
        <f t="shared" si="245"/>
        <v>78.24444444444444</v>
      </c>
      <c r="N109" s="25">
        <f t="shared" si="245"/>
        <v>93.8</v>
      </c>
      <c r="O109" s="25">
        <f t="shared" si="245"/>
        <v>108.23611111111111</v>
      </c>
      <c r="P109" s="25">
        <f t="shared" si="245"/>
        <v>109.53555555555556</v>
      </c>
      <c r="Q109" s="118">
        <f t="shared" si="182"/>
        <v>0.2088742402789896</v>
      </c>
      <c r="R109" s="128"/>
      <c r="S109" s="25">
        <f t="shared" ref="S109:AB109" si="246">S26/360</f>
        <v>122.67982222222223</v>
      </c>
      <c r="T109" s="25">
        <f t="shared" si="246"/>
        <v>137.4014008888889</v>
      </c>
      <c r="U109" s="25">
        <f t="shared" si="246"/>
        <v>153.88956899555561</v>
      </c>
      <c r="V109" s="25">
        <f t="shared" si="246"/>
        <v>172.35631727502229</v>
      </c>
      <c r="W109" s="25">
        <f t="shared" si="246"/>
        <v>193.03907534802497</v>
      </c>
      <c r="X109" s="25">
        <f t="shared" si="246"/>
        <v>216.20376438978798</v>
      </c>
      <c r="Y109" s="25">
        <f t="shared" si="246"/>
        <v>242.14821611656257</v>
      </c>
      <c r="Z109" s="25">
        <f t="shared" si="246"/>
        <v>271.20600205055013</v>
      </c>
      <c r="AA109" s="25">
        <f t="shared" si="246"/>
        <v>303.75072229661617</v>
      </c>
      <c r="AB109" s="25">
        <f t="shared" si="246"/>
        <v>340.20080897221015</v>
      </c>
      <c r="AC109" s="118">
        <f t="shared" si="244"/>
        <v>0.12000000000000011</v>
      </c>
      <c r="AD109" s="20"/>
      <c r="AE109" s="20"/>
    </row>
    <row r="110" spans="2:31">
      <c r="B110" s="20"/>
      <c r="C110" s="20"/>
      <c r="D110" s="20"/>
      <c r="E110" s="20"/>
      <c r="F110" s="20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128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128"/>
      <c r="AD110" s="20"/>
      <c r="AE110" s="20"/>
    </row>
    <row r="111" spans="2:31">
      <c r="B111" s="20" t="s">
        <v>367</v>
      </c>
      <c r="C111" s="20"/>
      <c r="D111" s="20"/>
      <c r="E111" s="20"/>
      <c r="F111" s="20"/>
      <c r="G111" s="25">
        <f>G10/G7</f>
        <v>0.10198300283286119</v>
      </c>
      <c r="H111" s="25">
        <f t="shared" ref="H111:P111" si="247">H10/H7</f>
        <v>8.8947892465980755E-2</v>
      </c>
      <c r="I111" s="25">
        <f t="shared" si="247"/>
        <v>7.6427886590877958E-2</v>
      </c>
      <c r="J111" s="25">
        <f t="shared" si="247"/>
        <v>1.0127446517979062E-2</v>
      </c>
      <c r="K111" s="25">
        <f t="shared" si="247"/>
        <v>8.8175236680898463E-3</v>
      </c>
      <c r="L111" s="25">
        <f t="shared" si="247"/>
        <v>1.2922955967542487E-2</v>
      </c>
      <c r="M111" s="25">
        <f t="shared" si="247"/>
        <v>9.3105300837066987E-3</v>
      </c>
      <c r="N111" s="25">
        <f t="shared" si="247"/>
        <v>1.3396126435618215E-2</v>
      </c>
      <c r="O111" s="25">
        <f t="shared" si="247"/>
        <v>1.4525809095439683E-2</v>
      </c>
      <c r="P111" s="25">
        <f t="shared" si="247"/>
        <v>4.038293370714021E-2</v>
      </c>
      <c r="Q111" s="118">
        <f t="shared" si="182"/>
        <v>-9.7812772225557176E-2</v>
      </c>
      <c r="R111" s="128"/>
      <c r="S111" s="25">
        <f t="shared" ref="S111:AB111" si="248">S10/S7</f>
        <v>4.038293370714021E-2</v>
      </c>
      <c r="T111" s="25">
        <f t="shared" si="248"/>
        <v>4.038293370714021E-2</v>
      </c>
      <c r="U111" s="25">
        <f t="shared" si="248"/>
        <v>4.038293370714021E-2</v>
      </c>
      <c r="V111" s="25">
        <f t="shared" si="248"/>
        <v>4.038293370714021E-2</v>
      </c>
      <c r="W111" s="25">
        <f t="shared" si="248"/>
        <v>4.0382933707140203E-2</v>
      </c>
      <c r="X111" s="25">
        <f t="shared" si="248"/>
        <v>4.0382933707140203E-2</v>
      </c>
      <c r="Y111" s="25">
        <f t="shared" si="248"/>
        <v>4.038293370714021E-2</v>
      </c>
      <c r="Z111" s="25">
        <f t="shared" si="248"/>
        <v>4.0382933707140203E-2</v>
      </c>
      <c r="AA111" s="25">
        <f t="shared" si="248"/>
        <v>4.038293370714021E-2</v>
      </c>
      <c r="AB111" s="25">
        <f t="shared" si="248"/>
        <v>4.0382933707140203E-2</v>
      </c>
      <c r="AC111" s="118">
        <f t="shared" si="244"/>
        <v>0</v>
      </c>
      <c r="AD111" s="20"/>
      <c r="AE111" s="20"/>
    </row>
    <row r="112" spans="2:31">
      <c r="B112" s="20" t="s">
        <v>359</v>
      </c>
      <c r="C112" s="20"/>
      <c r="D112" s="20"/>
      <c r="E112" s="20"/>
      <c r="F112" s="20"/>
      <c r="G112" s="25">
        <f>G10/(G10+G7)</f>
        <v>9.2544987146529561E-2</v>
      </c>
      <c r="H112" s="25">
        <f t="shared" ref="H112:P112" si="249">H10/(H10+H7)</f>
        <v>8.1682413898201772E-2</v>
      </c>
      <c r="I112" s="25">
        <f t="shared" si="249"/>
        <v>7.1001399669169102E-2</v>
      </c>
      <c r="J112" s="25">
        <f t="shared" si="249"/>
        <v>1.0025909654162442E-2</v>
      </c>
      <c r="K112" s="25">
        <f t="shared" si="249"/>
        <v>8.7404545036341898E-3</v>
      </c>
      <c r="L112" s="25">
        <f t="shared" si="249"/>
        <v>1.2758083812207117E-2</v>
      </c>
      <c r="M112" s="25">
        <f t="shared" si="249"/>
        <v>9.224643760463426E-3</v>
      </c>
      <c r="N112" s="25">
        <f t="shared" si="249"/>
        <v>1.3219042471314677E-2</v>
      </c>
      <c r="O112" s="25">
        <f t="shared" si="249"/>
        <v>1.4317831015448512E-2</v>
      </c>
      <c r="P112" s="25">
        <f t="shared" si="249"/>
        <v>3.8815451886783543E-2</v>
      </c>
      <c r="Q112" s="118">
        <f t="shared" si="182"/>
        <v>-9.2028082849179071E-2</v>
      </c>
      <c r="R112" s="128"/>
      <c r="S112" s="25">
        <f t="shared" ref="S112:AB112" si="250">S10/(S10+S7)</f>
        <v>3.8815451886783543E-2</v>
      </c>
      <c r="T112" s="25">
        <f t="shared" si="250"/>
        <v>3.8815451886783543E-2</v>
      </c>
      <c r="U112" s="25">
        <f t="shared" si="250"/>
        <v>3.8815451886783543E-2</v>
      </c>
      <c r="V112" s="25">
        <f t="shared" si="250"/>
        <v>3.8815451886783543E-2</v>
      </c>
      <c r="W112" s="25">
        <f t="shared" si="250"/>
        <v>3.8815451886783536E-2</v>
      </c>
      <c r="X112" s="25">
        <f t="shared" si="250"/>
        <v>3.8815451886783536E-2</v>
      </c>
      <c r="Y112" s="25">
        <f t="shared" si="250"/>
        <v>3.8815451886783543E-2</v>
      </c>
      <c r="Z112" s="25">
        <f t="shared" si="250"/>
        <v>3.8815451886783536E-2</v>
      </c>
      <c r="AA112" s="25">
        <f t="shared" si="250"/>
        <v>3.8815451886783536E-2</v>
      </c>
      <c r="AB112" s="25">
        <f t="shared" si="250"/>
        <v>3.8815451886783536E-2</v>
      </c>
      <c r="AC112" s="118">
        <f t="shared" si="244"/>
        <v>0</v>
      </c>
      <c r="AD112" s="20"/>
      <c r="AE112" s="20"/>
    </row>
    <row r="113" spans="2:31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128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37"/>
      <c r="AD113" s="20"/>
      <c r="AE113" s="20"/>
    </row>
    <row r="114" spans="2:31">
      <c r="B114" s="20" t="s">
        <v>364</v>
      </c>
      <c r="C114" s="20"/>
      <c r="D114" s="20"/>
      <c r="E114" s="20"/>
      <c r="F114" s="20"/>
      <c r="G114" s="25">
        <f>G15</f>
        <v>4585</v>
      </c>
      <c r="H114" s="25">
        <f t="shared" ref="H114:P114" si="251">H15</f>
        <v>5413</v>
      </c>
      <c r="I114" s="25">
        <f t="shared" si="251"/>
        <v>6678</v>
      </c>
      <c r="J114" s="25">
        <f t="shared" si="251"/>
        <v>7574</v>
      </c>
      <c r="K114" s="25">
        <f t="shared" si="251"/>
        <v>9221</v>
      </c>
      <c r="L114" s="25">
        <f t="shared" si="251"/>
        <v>10261</v>
      </c>
      <c r="M114" s="25">
        <f t="shared" si="251"/>
        <v>11874</v>
      </c>
      <c r="N114" s="25">
        <f t="shared" si="251"/>
        <v>14597</v>
      </c>
      <c r="O114" s="25">
        <f t="shared" si="251"/>
        <v>19488</v>
      </c>
      <c r="P114" s="25">
        <f t="shared" si="251"/>
        <v>23202.500000000004</v>
      </c>
      <c r="Q114" s="118">
        <f t="shared" si="182"/>
        <v>0.19741291472007161</v>
      </c>
      <c r="R114" s="128"/>
      <c r="S114" s="25">
        <f t="shared" ref="S114:AB114" si="252">S15</f>
        <v>25986.800000000007</v>
      </c>
      <c r="T114" s="25">
        <f t="shared" si="252"/>
        <v>29105.216000000011</v>
      </c>
      <c r="U114" s="25">
        <f t="shared" si="252"/>
        <v>32597.841920000017</v>
      </c>
      <c r="V114" s="25">
        <f t="shared" si="252"/>
        <v>36509.582950400021</v>
      </c>
      <c r="W114" s="25">
        <f t="shared" si="252"/>
        <v>40890.732904448028</v>
      </c>
      <c r="X114" s="25">
        <f t="shared" si="252"/>
        <v>45797.620852981796</v>
      </c>
      <c r="Y114" s="25">
        <f t="shared" si="252"/>
        <v>51293.335355339615</v>
      </c>
      <c r="Z114" s="25">
        <f t="shared" si="252"/>
        <v>57448.535597980372</v>
      </c>
      <c r="AA114" s="25">
        <f t="shared" si="252"/>
        <v>64342.359869738022</v>
      </c>
      <c r="AB114" s="25">
        <f t="shared" si="252"/>
        <v>72063.443054106596</v>
      </c>
      <c r="AC114" s="118">
        <f t="shared" si="244"/>
        <v>0.12000000000000011</v>
      </c>
      <c r="AD114" s="20"/>
      <c r="AE114" s="20"/>
    </row>
    <row r="115" spans="2:31">
      <c r="B115" s="20" t="s">
        <v>365</v>
      </c>
      <c r="C115" s="20"/>
      <c r="D115" s="20"/>
      <c r="E115" s="20"/>
      <c r="F115" s="20"/>
      <c r="G115" s="119">
        <f t="shared" ref="G115:P115" si="253">G114*365/G24</f>
        <v>208.66895261845386</v>
      </c>
      <c r="H115" s="119">
        <f t="shared" si="253"/>
        <v>189.28386664111898</v>
      </c>
      <c r="I115" s="119">
        <f t="shared" si="253"/>
        <v>172.02837179758629</v>
      </c>
      <c r="J115" s="119">
        <f t="shared" si="253"/>
        <v>153.36236547209586</v>
      </c>
      <c r="K115" s="119">
        <f t="shared" si="253"/>
        <v>157.34023654808098</v>
      </c>
      <c r="L115" s="119">
        <f t="shared" si="253"/>
        <v>128.78292414551956</v>
      </c>
      <c r="M115" s="119">
        <f t="shared" si="253"/>
        <v>122.45733499095842</v>
      </c>
      <c r="N115" s="119">
        <f t="shared" si="253"/>
        <v>122.5651023694502</v>
      </c>
      <c r="O115" s="119">
        <f t="shared" si="253"/>
        <v>141.67304015296367</v>
      </c>
      <c r="P115" s="119">
        <f t="shared" si="253"/>
        <v>172.00965368202768</v>
      </c>
      <c r="Q115" s="118">
        <f t="shared" si="182"/>
        <v>-2.1237727596662315E-2</v>
      </c>
      <c r="R115" s="128"/>
      <c r="S115" s="119">
        <f t="shared" ref="S115:AB115" si="254">S114*365/S24</f>
        <v>172.00965368202765</v>
      </c>
      <c r="T115" s="119">
        <f t="shared" si="254"/>
        <v>172.00965368202765</v>
      </c>
      <c r="U115" s="119">
        <f t="shared" si="254"/>
        <v>172.00965368202768</v>
      </c>
      <c r="V115" s="119">
        <f t="shared" si="254"/>
        <v>172.00965368202765</v>
      </c>
      <c r="W115" s="119">
        <f t="shared" si="254"/>
        <v>172.00965368202765</v>
      </c>
      <c r="X115" s="119">
        <f t="shared" si="254"/>
        <v>172.00965368202765</v>
      </c>
      <c r="Y115" s="119">
        <f t="shared" si="254"/>
        <v>172.00965368202768</v>
      </c>
      <c r="Z115" s="119">
        <f t="shared" si="254"/>
        <v>172.00965368202765</v>
      </c>
      <c r="AA115" s="119">
        <f t="shared" si="254"/>
        <v>172.00965368202768</v>
      </c>
      <c r="AB115" s="119">
        <f t="shared" si="254"/>
        <v>172.00965368202768</v>
      </c>
      <c r="AC115" s="118">
        <f t="shared" si="244"/>
        <v>0</v>
      </c>
      <c r="AD115" s="20"/>
      <c r="AE115" s="20"/>
    </row>
    <row r="116" spans="2:31">
      <c r="B116" s="20" t="s">
        <v>368</v>
      </c>
      <c r="C116" s="20"/>
      <c r="D116" s="20"/>
      <c r="E116" s="20"/>
      <c r="F116" s="20"/>
      <c r="G116" s="133" t="e">
        <f>G71/G28</f>
        <v>#DIV/0!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128"/>
      <c r="R116" s="128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37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28"/>
      <c r="R117" s="128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37"/>
      <c r="AD117" s="20"/>
      <c r="AE117" s="20"/>
    </row>
    <row r="118" spans="2:3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28"/>
      <c r="R118" s="128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37"/>
      <c r="AD118" s="20"/>
      <c r="AE118" s="20"/>
    </row>
    <row r="119" spans="2:31">
      <c r="B119" s="108" t="s">
        <v>244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3"/>
      <c r="R119" s="23"/>
      <c r="S119" s="122" t="s">
        <v>66</v>
      </c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3" t="s">
        <v>281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5"/>
      <c r="Q120" s="161">
        <f>AVERAGE(G46:P46)</f>
        <v>62.34778021789041</v>
      </c>
      <c r="R120" s="23"/>
      <c r="S120" s="134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25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>S121+T121</f>
        <v>30.55498052916499</v>
      </c>
      <c r="S121" s="133">
        <f>PV($C$1, ($AB$3-$S$3), 0, -AB46)</f>
        <v>3.5063092410517198</v>
      </c>
      <c r="T121" s="133">
        <f>PV($C$1, ($AB$3-$S$3), 0, -AE46)</f>
        <v>27.048671288113269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 t="s">
        <v>273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>
        <f t="shared" ref="R122:R140" si="255">S122+T122</f>
        <v>139.38624165227407</v>
      </c>
      <c r="S122" s="133">
        <f>PV($C$1, ($AB$3-$S$3), 0, -AB47)</f>
        <v>15.995142484687191</v>
      </c>
      <c r="T122" s="133">
        <f>PV($C$1, ($AB$3-$S$3), 0, -AE47)</f>
        <v>123.39109916758689</v>
      </c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274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si="255"/>
        <v>137.15160255095685</v>
      </c>
      <c r="S123" s="133">
        <f>PV($C$1, ($AB$3-$S$3), 0, -AB48)</f>
        <v>15.738708489454066</v>
      </c>
      <c r="T123" s="133">
        <f>PV($C$1, ($AB$3-$S$3), 0, -AE48)</f>
        <v>121.4128940615028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275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55"/>
        <v>5.6288253563312081</v>
      </c>
      <c r="S124" s="133">
        <f>PV($C$1, ($AB$3-$S$3), 0, -AB49)</f>
        <v>0.64593077859538461</v>
      </c>
      <c r="T124" s="133">
        <f>PV($C$1, ($AB$3-$S$3), 0, -AE49)</f>
        <v>4.9828945777358236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276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 t="shared" si="255"/>
        <v>35.814029037270039</v>
      </c>
      <c r="S125" s="133">
        <f>PV($C$1, ($AB$3-$S$3), 0, -AB55)</f>
        <v>4.1098066108342675</v>
      </c>
      <c r="T125" s="133">
        <f>PV($C$1, ($AB$3-$S$3), 0, -AE55)</f>
        <v>31.704222426435773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/>
      <c r="S126" s="133"/>
      <c r="T126" s="20"/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271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si="255"/>
        <v>133.75741629594287</v>
      </c>
      <c r="S127" s="133">
        <f>PV($C$1, ($AB$3-$S$3), 0, -AB51)</f>
        <v>15.349211706091804</v>
      </c>
      <c r="T127" s="133">
        <f>PV($C$1, ($AB$3-$S$3), 0, -$AE$51)</f>
        <v>118.40820458985107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272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55"/>
        <v>4.9824006438766508</v>
      </c>
      <c r="S128" s="133">
        <f>PV($C$1, ($AB$3-$S$3), 0, -AB52)</f>
        <v>0.57175089355961561</v>
      </c>
      <c r="T128" s="133">
        <f>PV($C$1, ($AB$3-$S$3), 0, -$AE$52)</f>
        <v>4.4106497503170354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277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55"/>
        <v>239.6802227276338</v>
      </c>
      <c r="S129" s="133">
        <f>PV($C$1, ($AB$3-$S$3), 0, -AB53)</f>
        <v>27.50428785399076</v>
      </c>
      <c r="T129" s="133">
        <f>PV($C$1, ($AB$3-$S$3), 0, -$AE$53)</f>
        <v>212.17593487364303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/>
      <c r="S130" s="133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249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>
        <f t="shared" si="255"/>
        <v>234.69782208375719</v>
      </c>
      <c r="S131" s="133">
        <f>PV($C$1, ($AB$3-$S$3), 0, -AB58)</f>
        <v>26.93253696043115</v>
      </c>
      <c r="T131" s="133">
        <f>PV($C$1, ($AB$3-$S$3), 0, -AE58)</f>
        <v>207.76528512332604</v>
      </c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250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55"/>
        <v>67.405422274712407</v>
      </c>
      <c r="S132" s="133">
        <f>PV($C$1, ($AB$3-$S$3), 0, -AB59)</f>
        <v>12.15507614789896</v>
      </c>
      <c r="T132" s="133">
        <f>PV($C$1, ($AB$3-$S$3), 0, -AE59)</f>
        <v>55.250346126813454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/>
      <c r="S133" s="133"/>
      <c r="T133" s="133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294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ref="R134" si="256">S134+T134</f>
        <v>35462.718890223419</v>
      </c>
      <c r="S134" s="133">
        <f>PV($C$1, ($AB$3-$S$3), 0, -AB12)</f>
        <v>4069.4923316649829</v>
      </c>
      <c r="T134" s="133">
        <f>PV($C$1, ($AB$3-$S$3), 0, -AE12)</f>
        <v>31393.226558558435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 t="s">
        <v>295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>S135+T135</f>
        <v>144.88772221859543</v>
      </c>
      <c r="S135" s="140">
        <f>S134/P39</f>
        <v>16.626459926724067</v>
      </c>
      <c r="T135" s="140">
        <f>T134/P39</f>
        <v>128.26126229187136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/>
      <c r="S136" s="140"/>
      <c r="T136" s="14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108" t="s">
        <v>298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/>
      <c r="S137" s="133"/>
      <c r="T137" s="133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 t="s">
        <v>283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ref="R138" si="257">S138+T138</f>
        <v>50.662671942500708</v>
      </c>
      <c r="S138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39.917331111564835</v>
      </c>
      <c r="T138" s="133">
        <f>PV($C$1, ($AB$3-$S$3), 0, -AE61)</f>
        <v>10.745340830935872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3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/>
      <c r="S139" s="133"/>
      <c r="T139" s="133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291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55"/>
        <v>39620.929560012519</v>
      </c>
      <c r="S140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31217.496108179817</v>
      </c>
      <c r="T140" s="133">
        <f>PV($C$1, ($AB$3-$S$3), 0, -AE63)</f>
        <v>8403.4334518327014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33"/>
      <c r="T141" s="133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287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ref="R142:R145" si="258">S142+T142</f>
        <v>40.013432871248732</v>
      </c>
      <c r="S142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31.526751108681633</v>
      </c>
      <c r="T142" s="133">
        <f>PV($C$1, ($AB$3-$S$3), 0, -AE65)</f>
        <v>8.4866817625670983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288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258"/>
        <v>38.108031305951165</v>
      </c>
      <c r="S143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30.025477246363454</v>
      </c>
      <c r="T143" s="133">
        <f>PV($C$1, ($AB$3-$S$3), 0, -AE66)</f>
        <v>8.0825540595877108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289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58"/>
        <v>1.9054015652975587</v>
      </c>
      <c r="S144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1.5012738623181732</v>
      </c>
      <c r="T144" s="133">
        <f>PV($C$1, ($AB$3-$S$3), 0, -AE67)</f>
        <v>0.40412770297938555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290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58"/>
        <v>19.054015652975583</v>
      </c>
      <c r="S14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15.012738623181727</v>
      </c>
      <c r="T145" s="133">
        <f>PV($C$1, ($AB$3-$S$3), 0, -AE68)</f>
        <v>4.0412770297938554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299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>S147+T147</f>
        <v>133.37810957082914</v>
      </c>
      <c r="S147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105.08917036227214</v>
      </c>
      <c r="T147" s="133">
        <f>PV($C$1, ($AB$3-$S$3), 0, -AE69)</f>
        <v>28.288939208557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21"/>
      <c r="T148" s="20"/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108" t="s">
        <v>251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192" t="s">
        <v>204</v>
      </c>
      <c r="C150" s="22">
        <v>14</v>
      </c>
      <c r="D150" s="22">
        <v>14</v>
      </c>
      <c r="E150" s="22">
        <v>14</v>
      </c>
      <c r="F150" s="22">
        <v>200</v>
      </c>
      <c r="G150" s="22">
        <v>520</v>
      </c>
      <c r="H150" s="22">
        <v>750</v>
      </c>
      <c r="I150" s="22">
        <v>2000</v>
      </c>
      <c r="J150" s="22">
        <v>2000</v>
      </c>
      <c r="K150" s="22">
        <v>1800</v>
      </c>
      <c r="L150" s="22">
        <v>1300</v>
      </c>
      <c r="M150" s="22">
        <v>2300</v>
      </c>
      <c r="N150" s="22">
        <v>2000</v>
      </c>
      <c r="O150" s="22">
        <v>250</v>
      </c>
      <c r="P150" s="22">
        <v>600</v>
      </c>
      <c r="Q150" s="118">
        <f t="shared" ref="Q150:Q155" si="259">((P150/G150)^(1/($H$2-$H$1) ))-1</f>
        <v>1.6027172858229077E-2</v>
      </c>
      <c r="R150" s="31">
        <f>L2-3%</f>
        <v>0.09</v>
      </c>
      <c r="S150" s="119">
        <f t="shared" ref="S150" si="260">P150*(1+$R150)</f>
        <v>654</v>
      </c>
      <c r="T150" s="119">
        <f t="shared" ref="T150:AB150" si="261">S150*(1+$R150)</f>
        <v>712.86</v>
      </c>
      <c r="U150" s="119">
        <f t="shared" si="261"/>
        <v>777.01740000000007</v>
      </c>
      <c r="V150" s="119">
        <f t="shared" si="261"/>
        <v>846.94896600000015</v>
      </c>
      <c r="W150" s="119">
        <f t="shared" si="261"/>
        <v>923.17437294000024</v>
      </c>
      <c r="X150" s="119">
        <f t="shared" si="261"/>
        <v>1006.2600665046003</v>
      </c>
      <c r="Y150" s="119">
        <f t="shared" si="261"/>
        <v>1096.8234724900144</v>
      </c>
      <c r="Z150" s="119">
        <f t="shared" si="261"/>
        <v>1195.5375850141158</v>
      </c>
      <c r="AA150" s="119">
        <f t="shared" si="261"/>
        <v>1303.1359676653863</v>
      </c>
      <c r="AB150" s="119">
        <f t="shared" si="261"/>
        <v>1420.4182047552711</v>
      </c>
      <c r="AC150" s="138">
        <f t="shared" ref="AC150:AC155" si="262">((AB150/G150)^(1/($AB$3-$H$1) ))-1</f>
        <v>5.4311877790543805E-2</v>
      </c>
      <c r="AD150" s="31">
        <v>0.08</v>
      </c>
      <c r="AE150" s="127">
        <f t="shared" ref="AE150:AE156" si="263">(AB150*(1+AC150))/($C$1-AD150)</f>
        <v>10696.884176452877</v>
      </c>
    </row>
    <row r="151" spans="2:31">
      <c r="B151" s="20" t="s">
        <v>362</v>
      </c>
      <c r="C151" s="25" t="e">
        <f t="shared" ref="C151:P151" si="264">C150/C43</f>
        <v>#DIV/0!</v>
      </c>
      <c r="D151" s="25" t="e">
        <f t="shared" si="264"/>
        <v>#DIV/0!</v>
      </c>
      <c r="E151" s="25" t="e">
        <f t="shared" si="264"/>
        <v>#DIV/0!</v>
      </c>
      <c r="F151" s="25">
        <f t="shared" si="264"/>
        <v>0.69685319663961265</v>
      </c>
      <c r="G151" s="25">
        <f t="shared" si="264"/>
        <v>1.5865835411471321</v>
      </c>
      <c r="H151" s="25">
        <f t="shared" si="264"/>
        <v>1.7582391262694002</v>
      </c>
      <c r="I151" s="25">
        <f t="shared" si="264"/>
        <v>3.4540193379913897</v>
      </c>
      <c r="J151" s="25">
        <f t="shared" si="264"/>
        <v>2.7149672694996116</v>
      </c>
      <c r="K151" s="25">
        <f t="shared" si="264"/>
        <v>4.1190220186059561</v>
      </c>
      <c r="L151" s="25">
        <f t="shared" si="264"/>
        <v>2.1881232377415585</v>
      </c>
      <c r="M151" s="25">
        <f t="shared" si="264"/>
        <v>3.1810861211573243</v>
      </c>
      <c r="N151" s="25">
        <f t="shared" si="264"/>
        <v>2.2521279043018176</v>
      </c>
      <c r="O151" s="25">
        <f t="shared" si="264"/>
        <v>1.2187300828553218</v>
      </c>
      <c r="P151" s="25">
        <f t="shared" si="264"/>
        <v>2.9827501112011547</v>
      </c>
      <c r="Q151" s="118">
        <f t="shared" ref="Q151" si="265">((P151/G151)^(1/($H$2-$H$1) ))-1</f>
        <v>7.2658669819515742E-2</v>
      </c>
      <c r="R151" s="128"/>
      <c r="S151" s="25">
        <f t="shared" ref="S151:AB151" si="266">S150/S43</f>
        <v>3.3382832717773634</v>
      </c>
      <c r="T151" s="25">
        <f t="shared" si="266"/>
        <v>3.7361947153329682</v>
      </c>
      <c r="U151" s="25">
        <f t="shared" si="266"/>
        <v>4.1815357818481029</v>
      </c>
      <c r="V151" s="25">
        <f t="shared" si="266"/>
        <v>4.6799599129880329</v>
      </c>
      <c r="W151" s="25">
        <f t="shared" si="266"/>
        <v>5.2377944204736586</v>
      </c>
      <c r="X151" s="25">
        <f t="shared" si="266"/>
        <v>5.8621208089854742</v>
      </c>
      <c r="Y151" s="25">
        <f t="shared" si="266"/>
        <v>6.5608646732707951</v>
      </c>
      <c r="Z151" s="25">
        <f t="shared" si="266"/>
        <v>7.3428963106651279</v>
      </c>
      <c r="AA151" s="25">
        <f t="shared" si="266"/>
        <v>8.2181433262667269</v>
      </c>
      <c r="AB151" s="25">
        <f t="shared" si="266"/>
        <v>9.19771666024584</v>
      </c>
      <c r="AC151" s="138">
        <f t="shared" ref="AC151" si="267">((AB151/G151)^(1/($AB$3-$H$1) ))-1</f>
        <v>9.6905767787274222E-2</v>
      </c>
      <c r="AD151" s="31">
        <v>0.08</v>
      </c>
      <c r="AE151" s="127">
        <f t="shared" ref="AE151" si="268">(AB151*(1+AC151))/($C$1-AD151)</f>
        <v>72.064488964976903</v>
      </c>
    </row>
    <row r="152" spans="2:31">
      <c r="B152" s="20" t="s">
        <v>42</v>
      </c>
      <c r="C152" s="25" t="e">
        <f t="shared" ref="C152:P152" si="269">C150/C46</f>
        <v>#DIV/0!</v>
      </c>
      <c r="D152" s="25" t="e">
        <f t="shared" si="269"/>
        <v>#DIV/0!</v>
      </c>
      <c r="E152" s="25" t="e">
        <f t="shared" si="269"/>
        <v>#DIV/0!</v>
      </c>
      <c r="F152" s="25">
        <f t="shared" si="269"/>
        <v>11.022522522522522</v>
      </c>
      <c r="G152" s="25">
        <f t="shared" si="269"/>
        <v>19.337993920972643</v>
      </c>
      <c r="H152" s="25">
        <f t="shared" si="269"/>
        <v>19.257607555089191</v>
      </c>
      <c r="I152" s="25">
        <f t="shared" si="269"/>
        <v>29.148302561048244</v>
      </c>
      <c r="J152" s="25">
        <f t="shared" si="269"/>
        <v>20.273405136702568</v>
      </c>
      <c r="K152" s="25">
        <f t="shared" si="269"/>
        <v>30.818467995802727</v>
      </c>
      <c r="L152" s="25">
        <f t="shared" si="269"/>
        <v>20.428571428571431</v>
      </c>
      <c r="M152" s="25">
        <f t="shared" si="269"/>
        <v>26.025196486361537</v>
      </c>
      <c r="N152" s="25">
        <f t="shared" si="269"/>
        <v>16.17379811663638</v>
      </c>
      <c r="O152" s="25">
        <f t="shared" si="269"/>
        <v>8.6341188090870613</v>
      </c>
      <c r="P152" s="25">
        <f t="shared" si="269"/>
        <v>21.941402339722995</v>
      </c>
      <c r="Q152" s="118">
        <f t="shared" si="259"/>
        <v>1.4132669804069353E-2</v>
      </c>
      <c r="R152" s="128"/>
      <c r="S152" s="119">
        <f t="shared" ref="S152:AB152" si="270">S150/S46</f>
        <v>24.556739136466764</v>
      </c>
      <c r="T152" s="119">
        <f t="shared" si="270"/>
        <v>27.483814738893823</v>
      </c>
      <c r="U152" s="119">
        <f t="shared" si="270"/>
        <v>30.759787299288753</v>
      </c>
      <c r="V152" s="119">
        <f t="shared" si="270"/>
        <v>34.426244088980752</v>
      </c>
      <c r="W152" s="119">
        <f t="shared" si="270"/>
        <v>38.529729433515513</v>
      </c>
      <c r="X152" s="119">
        <f t="shared" si="270"/>
        <v>43.122335575814013</v>
      </c>
      <c r="Y152" s="119">
        <f t="shared" si="270"/>
        <v>48.262363968109682</v>
      </c>
      <c r="Z152" s="119">
        <f t="shared" si="270"/>
        <v>54.015065387522753</v>
      </c>
      <c r="AA152" s="119">
        <f t="shared" si="270"/>
        <v>60.453468270767651</v>
      </c>
      <c r="AB152" s="119">
        <f t="shared" si="270"/>
        <v>67.659305783399319</v>
      </c>
      <c r="AC152" s="138">
        <f t="shared" si="262"/>
        <v>6.8137504014359473E-2</v>
      </c>
      <c r="AD152" s="31">
        <v>0.08</v>
      </c>
      <c r="AE152" s="127">
        <f t="shared" si="263"/>
        <v>516.21030002017471</v>
      </c>
    </row>
    <row r="153" spans="2:31">
      <c r="B153" s="20" t="s">
        <v>259</v>
      </c>
      <c r="C153" s="25" t="e">
        <f t="shared" ref="C153:P153" si="271">C150/C48</f>
        <v>#DIV/0!</v>
      </c>
      <c r="D153" s="25" t="e">
        <f t="shared" si="271"/>
        <v>#DIV/0!</v>
      </c>
      <c r="E153" s="25" t="e">
        <f t="shared" si="271"/>
        <v>#DIV/0!</v>
      </c>
      <c r="F153" s="25">
        <f t="shared" si="271"/>
        <v>1.073481026540908</v>
      </c>
      <c r="G153" s="25">
        <f t="shared" si="271"/>
        <v>2.5191843199366462</v>
      </c>
      <c r="H153" s="25">
        <f t="shared" si="271"/>
        <v>3.1740747146316153</v>
      </c>
      <c r="I153" s="25">
        <f t="shared" si="271"/>
        <v>6.9359410430838997</v>
      </c>
      <c r="J153" s="25">
        <f t="shared" si="271"/>
        <v>5.7286667447032658</v>
      </c>
      <c r="K153" s="25">
        <f t="shared" si="271"/>
        <v>8.5676779463243875</v>
      </c>
      <c r="L153" s="25">
        <f t="shared" si="271"/>
        <v>5.1181431680610494</v>
      </c>
      <c r="M153" s="25">
        <f t="shared" si="271"/>
        <v>7.3076488693703823</v>
      </c>
      <c r="N153" s="25">
        <f t="shared" si="271"/>
        <v>4.9782462335168693</v>
      </c>
      <c r="O153" s="25">
        <f t="shared" si="271"/>
        <v>2.4560941560292111</v>
      </c>
      <c r="P153" s="25">
        <f t="shared" si="271"/>
        <v>4.8881610480907494</v>
      </c>
      <c r="Q153" s="118">
        <f t="shared" si="259"/>
        <v>7.6433697058937877E-2</v>
      </c>
      <c r="R153" s="128"/>
      <c r="S153" s="119">
        <f t="shared" ref="S153:AB153" si="272">S150/S48</f>
        <v>5.4708123873051369</v>
      </c>
      <c r="T153" s="119">
        <f t="shared" si="272"/>
        <v>6.1229136852562398</v>
      </c>
      <c r="U153" s="119">
        <f t="shared" si="272"/>
        <v>6.8527431289899061</v>
      </c>
      <c r="V153" s="119">
        <f t="shared" si="272"/>
        <v>7.6695656358828996</v>
      </c>
      <c r="W153" s="119">
        <f t="shared" si="272"/>
        <v>8.5837504683742978</v>
      </c>
      <c r="X153" s="119">
        <f t="shared" si="272"/>
        <v>9.6069028679528401</v>
      </c>
      <c r="Y153" s="119">
        <f t="shared" si="272"/>
        <v>10.752011379445433</v>
      </c>
      <c r="Z153" s="119">
        <f t="shared" si="272"/>
        <v>12.033612735834685</v>
      </c>
      <c r="AA153" s="119">
        <f t="shared" si="272"/>
        <v>13.467976396757836</v>
      </c>
      <c r="AB153" s="119">
        <f t="shared" si="272"/>
        <v>15.073311083335666</v>
      </c>
      <c r="AC153" s="138">
        <f t="shared" si="262"/>
        <v>9.8732669100380477E-2</v>
      </c>
      <c r="AD153" s="31">
        <v>0.08</v>
      </c>
      <c r="AE153" s="127">
        <f t="shared" si="263"/>
        <v>118.29670941981244</v>
      </c>
    </row>
    <row r="154" spans="2:31">
      <c r="B154" s="20" t="s">
        <v>260</v>
      </c>
      <c r="C154" s="25" t="e">
        <f t="shared" ref="C154:P154" si="273">C150/C57</f>
        <v>#DIV/0!</v>
      </c>
      <c r="D154" s="25" t="e">
        <f t="shared" si="273"/>
        <v>#DIV/0!</v>
      </c>
      <c r="E154" s="25" t="e">
        <f t="shared" si="273"/>
        <v>#DIV/0!</v>
      </c>
      <c r="F154" s="25">
        <f t="shared" si="273"/>
        <v>3.678786466515827</v>
      </c>
      <c r="G154" s="25">
        <f t="shared" si="273"/>
        <v>4.7337797619047626</v>
      </c>
      <c r="H154" s="25">
        <f t="shared" si="273"/>
        <v>5.7603578154425614</v>
      </c>
      <c r="I154" s="25">
        <f t="shared" si="273"/>
        <v>11.818401352330353</v>
      </c>
      <c r="J154" s="25">
        <f t="shared" si="273"/>
        <v>8.4147180192572204</v>
      </c>
      <c r="K154" s="25">
        <f t="shared" si="273"/>
        <v>9.4074311338885348</v>
      </c>
      <c r="L154" s="25">
        <f t="shared" si="273"/>
        <v>5.3060118402401395</v>
      </c>
      <c r="M154" s="25">
        <f t="shared" si="273"/>
        <v>9.0328145057766367</v>
      </c>
      <c r="N154" s="25">
        <f t="shared" si="273"/>
        <v>7.3531620850232837</v>
      </c>
      <c r="O154" s="25">
        <f t="shared" si="273"/>
        <v>5.4265697055693511</v>
      </c>
      <c r="P154" s="25">
        <f t="shared" si="273"/>
        <v>11.432842095429384</v>
      </c>
      <c r="Q154" s="118">
        <f t="shared" si="259"/>
        <v>0.10293412214726039</v>
      </c>
      <c r="R154" s="128"/>
      <c r="S154" s="119">
        <f t="shared" ref="S154:AB154" si="274">S150/S57</f>
        <v>12.795596041625654</v>
      </c>
      <c r="T154" s="119">
        <f t="shared" si="274"/>
        <v>14.320785391230137</v>
      </c>
      <c r="U154" s="119">
        <f t="shared" si="274"/>
        <v>16.027771864202659</v>
      </c>
      <c r="V154" s="119">
        <f t="shared" si="274"/>
        <v>17.938225028373239</v>
      </c>
      <c r="W154" s="119">
        <f t="shared" si="274"/>
        <v>20.076397386665942</v>
      </c>
      <c r="X154" s="119">
        <f t="shared" si="274"/>
        <v>22.469432253737288</v>
      </c>
      <c r="Y154" s="119">
        <f t="shared" si="274"/>
        <v>25.147708330410431</v>
      </c>
      <c r="Z154" s="119">
        <f t="shared" si="274"/>
        <v>28.145225350151318</v>
      </c>
      <c r="AA154" s="119">
        <f t="shared" si="274"/>
        <v>31.500035693227389</v>
      </c>
      <c r="AB154" s="119">
        <f t="shared" si="274"/>
        <v>35.254727447732606</v>
      </c>
      <c r="AC154" s="138">
        <f t="shared" si="262"/>
        <v>0.11146355573228806</v>
      </c>
      <c r="AD154" s="31">
        <v>0.08</v>
      </c>
      <c r="AE154" s="127">
        <f t="shared" si="263"/>
        <v>279.88817661021125</v>
      </c>
    </row>
    <row r="155" spans="2:31">
      <c r="B155" s="20" t="s">
        <v>261</v>
      </c>
      <c r="C155" s="25" t="e">
        <f t="shared" ref="C155:P155" si="275">C150/C59</f>
        <v>#DIV/0!</v>
      </c>
      <c r="D155" s="25" t="e">
        <f t="shared" si="275"/>
        <v>#DIV/0!</v>
      </c>
      <c r="E155" s="25" t="e">
        <f t="shared" si="275"/>
        <v>#DIV/0!</v>
      </c>
      <c r="F155" s="25">
        <f t="shared" si="275"/>
        <v>1.2259519038076152</v>
      </c>
      <c r="G155" s="25">
        <f t="shared" si="275"/>
        <v>2.775223555070883</v>
      </c>
      <c r="H155" s="25">
        <f t="shared" si="275"/>
        <v>3.3904489192684277</v>
      </c>
      <c r="I155" s="25">
        <f t="shared" si="275"/>
        <v>7.3285414794848753</v>
      </c>
      <c r="J155" s="25">
        <f t="shared" si="275"/>
        <v>6.4615790863480331</v>
      </c>
      <c r="K155" s="25">
        <f t="shared" si="275"/>
        <v>9.5553627589198573</v>
      </c>
      <c r="L155" s="25">
        <f t="shared" si="275"/>
        <v>6.201637267322873</v>
      </c>
      <c r="M155" s="25">
        <f t="shared" si="275"/>
        <v>9.4816405592049868</v>
      </c>
      <c r="N155" s="25">
        <f t="shared" si="275"/>
        <v>6.7068575734740019</v>
      </c>
      <c r="O155" s="25">
        <f t="shared" si="275"/>
        <v>3.1398809523809521</v>
      </c>
      <c r="P155" s="25">
        <f t="shared" si="275"/>
        <v>6.3293179614265691</v>
      </c>
      <c r="Q155" s="118">
        <f t="shared" si="259"/>
        <v>9.5933813617086861E-2</v>
      </c>
      <c r="R155" s="128"/>
      <c r="S155" s="119">
        <f t="shared" ref="S155:AB155" si="276">S150/S59</f>
        <v>7.0837500577216099</v>
      </c>
      <c r="T155" s="119">
        <f t="shared" si="276"/>
        <v>7.9281077654946763</v>
      </c>
      <c r="U155" s="119">
        <f t="shared" si="276"/>
        <v>8.8731098964710498</v>
      </c>
      <c r="V155" s="119">
        <f t="shared" si="276"/>
        <v>9.9307529064521969</v>
      </c>
      <c r="W155" s="119">
        <f t="shared" si="276"/>
        <v>11.114463185926631</v>
      </c>
      <c r="X155" s="119">
        <f t="shared" si="276"/>
        <v>12.439267503177707</v>
      </c>
      <c r="Y155" s="119">
        <f t="shared" si="276"/>
        <v>13.921983763601117</v>
      </c>
      <c r="Z155" s="119">
        <f t="shared" si="276"/>
        <v>15.581434506851787</v>
      </c>
      <c r="AA155" s="119">
        <f t="shared" si="276"/>
        <v>17.438685852088135</v>
      </c>
      <c r="AB155" s="119">
        <f t="shared" si="276"/>
        <v>19.517314924636139</v>
      </c>
      <c r="AC155" s="138">
        <f t="shared" si="262"/>
        <v>0.10811637724711209</v>
      </c>
      <c r="AD155" s="31">
        <v>0.08</v>
      </c>
      <c r="AE155" s="127">
        <f t="shared" si="263"/>
        <v>154.48183077056279</v>
      </c>
    </row>
    <row r="156" spans="2:31">
      <c r="B156" s="20" t="s">
        <v>282</v>
      </c>
      <c r="C156" s="25" t="e">
        <f>C152/C104</f>
        <v>#DIV/0!</v>
      </c>
      <c r="D156" s="25" t="e">
        <f>D152/D104</f>
        <v>#DIV/0!</v>
      </c>
      <c r="E156" s="25" t="e">
        <f>E152/E104</f>
        <v>#DIV/0!</v>
      </c>
      <c r="F156" s="25" t="e">
        <f>F152/F104</f>
        <v>#DIV/0!</v>
      </c>
      <c r="G156" s="25">
        <f t="shared" ref="G156:P156" si="277">G150/G53</f>
        <v>1.2140444614063544</v>
      </c>
      <c r="H156" s="25">
        <f t="shared" si="277"/>
        <v>1.5007359555155777</v>
      </c>
      <c r="I156" s="25">
        <f t="shared" si="277"/>
        <v>2.8670181605155238</v>
      </c>
      <c r="J156" s="25">
        <f t="shared" si="277"/>
        <v>2.2264683135435148</v>
      </c>
      <c r="K156" s="25">
        <f t="shared" si="277"/>
        <v>3.202835332606325</v>
      </c>
      <c r="L156" s="25">
        <f t="shared" si="277"/>
        <v>2.7646608267089658</v>
      </c>
      <c r="M156" s="25">
        <f t="shared" si="277"/>
        <v>4.0759236491545145</v>
      </c>
      <c r="N156" s="25">
        <f t="shared" si="277"/>
        <v>2.8391830461040986</v>
      </c>
      <c r="O156" s="25">
        <f t="shared" si="277"/>
        <v>1.3743572650582412</v>
      </c>
      <c r="P156" s="25">
        <f t="shared" si="277"/>
        <v>2.7971399293743882</v>
      </c>
      <c r="Q156" s="118">
        <f t="shared" ref="Q156:Q158" si="278">((P156/G156)^(1/($H$2-$H$1) ))-1</f>
        <v>9.7174009438657283E-2</v>
      </c>
      <c r="R156" s="128"/>
      <c r="S156" s="135">
        <f t="shared" ref="S156:AB156" si="279">S150/S53</f>
        <v>3.1305490191703527</v>
      </c>
      <c r="T156" s="135">
        <f t="shared" si="279"/>
        <v>3.5036992817232466</v>
      </c>
      <c r="U156" s="135">
        <f t="shared" si="279"/>
        <v>3.9213277228929369</v>
      </c>
      <c r="V156" s="135">
        <f t="shared" si="279"/>
        <v>4.3887359827199077</v>
      </c>
      <c r="W156" s="135">
        <f t="shared" si="279"/>
        <v>4.9118576378030383</v>
      </c>
      <c r="X156" s="135">
        <f t="shared" si="279"/>
        <v>5.497333525880455</v>
      </c>
      <c r="Y156" s="135">
        <f t="shared" si="279"/>
        <v>6.1525960488313824</v>
      </c>
      <c r="Z156" s="135">
        <f t="shared" si="279"/>
        <v>6.8859635242947634</v>
      </c>
      <c r="AA156" s="135">
        <f t="shared" si="279"/>
        <v>7.7067457836638269</v>
      </c>
      <c r="AB156" s="135">
        <f t="shared" si="279"/>
        <v>8.6253623569844713</v>
      </c>
      <c r="AC156" s="138">
        <f t="shared" ref="AC156" si="280">((AB156/G156)^(1/($AB$3-$H$1) ))-1</f>
        <v>0.1087101919438429</v>
      </c>
      <c r="AD156" s="31">
        <v>0.08</v>
      </c>
      <c r="AE156" s="127">
        <f t="shared" si="263"/>
        <v>68.30733681712465</v>
      </c>
    </row>
    <row r="157" spans="2:31">
      <c r="B157" s="20" t="s">
        <v>372</v>
      </c>
      <c r="C157" s="162">
        <f t="shared" ref="C157:P157" si="281">C46/C150</f>
        <v>0</v>
      </c>
      <c r="D157" s="162">
        <f t="shared" si="281"/>
        <v>0</v>
      </c>
      <c r="E157" s="162">
        <f t="shared" si="281"/>
        <v>0</v>
      </c>
      <c r="F157" s="162">
        <f t="shared" si="281"/>
        <v>9.0723334695545568E-2</v>
      </c>
      <c r="G157" s="162">
        <f t="shared" si="281"/>
        <v>5.171167206312282E-2</v>
      </c>
      <c r="H157" s="162">
        <f t="shared" si="281"/>
        <v>5.1927530309222182E-2</v>
      </c>
      <c r="I157" s="162">
        <f t="shared" si="281"/>
        <v>3.430731507968942E-2</v>
      </c>
      <c r="J157" s="162">
        <f t="shared" si="281"/>
        <v>4.9325704944830406E-2</v>
      </c>
      <c r="K157" s="162">
        <f t="shared" si="281"/>
        <v>3.2448076268300985E-2</v>
      </c>
      <c r="L157" s="162">
        <f t="shared" si="281"/>
        <v>4.8951048951048952E-2</v>
      </c>
      <c r="M157" s="162">
        <f t="shared" si="281"/>
        <v>3.8424301638761822E-2</v>
      </c>
      <c r="N157" s="162">
        <f t="shared" si="281"/>
        <v>6.182839632277834E-2</v>
      </c>
      <c r="O157" s="162">
        <f t="shared" si="281"/>
        <v>0.11581957836247753</v>
      </c>
      <c r="P157" s="162">
        <f t="shared" si="281"/>
        <v>4.5575938334150468E-2</v>
      </c>
      <c r="Q157" s="118">
        <f t="shared" si="278"/>
        <v>-1.3935720862636058E-2</v>
      </c>
      <c r="R157" s="128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8"/>
      <c r="AD157" s="31"/>
      <c r="AE157" s="127"/>
    </row>
    <row r="158" spans="2:31">
      <c r="B158" s="20" t="s">
        <v>321</v>
      </c>
      <c r="C158" s="153">
        <f t="shared" ref="C158:P158" si="282">C40/C150</f>
        <v>0</v>
      </c>
      <c r="D158" s="153">
        <f t="shared" si="282"/>
        <v>0</v>
      </c>
      <c r="E158" s="153">
        <f t="shared" si="282"/>
        <v>0</v>
      </c>
      <c r="F158" s="153">
        <f t="shared" si="282"/>
        <v>0.02</v>
      </c>
      <c r="G158" s="153">
        <f t="shared" si="282"/>
        <v>1.1538461538461539E-2</v>
      </c>
      <c r="H158" s="153">
        <f t="shared" si="282"/>
        <v>1.0666666666666666E-2</v>
      </c>
      <c r="I158" s="153">
        <f t="shared" si="282"/>
        <v>7.2500000000000004E-3</v>
      </c>
      <c r="J158" s="153">
        <f t="shared" si="282"/>
        <v>1.225E-2</v>
      </c>
      <c r="K158" s="153">
        <f t="shared" si="282"/>
        <v>8.472222222222223E-3</v>
      </c>
      <c r="L158" s="153">
        <f t="shared" si="282"/>
        <v>1.3076923076923076E-2</v>
      </c>
      <c r="M158" s="153">
        <f t="shared" si="282"/>
        <v>1.0130434782608696E-2</v>
      </c>
      <c r="N158" s="153">
        <f t="shared" si="282"/>
        <v>1.5574999999999999E-2</v>
      </c>
      <c r="O158" s="153">
        <f t="shared" si="282"/>
        <v>2.5600000000000001E-2</v>
      </c>
      <c r="P158" s="153">
        <f t="shared" si="282"/>
        <v>8.5333333333333337E-3</v>
      </c>
      <c r="Q158" s="118">
        <f t="shared" si="278"/>
        <v>-3.2967209769602546E-2</v>
      </c>
      <c r="R158" s="128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8"/>
      <c r="AD158" s="31"/>
      <c r="AE158" s="127"/>
    </row>
    <row r="159" spans="2:31">
      <c r="B159" s="20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28"/>
      <c r="R159" s="128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8"/>
      <c r="AD159" s="31"/>
      <c r="AE159" s="127"/>
    </row>
    <row r="160" spans="2:31">
      <c r="B160" s="20"/>
      <c r="C160" s="129"/>
      <c r="D160" s="129"/>
      <c r="E160" s="129"/>
      <c r="F160" s="129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28"/>
      <c r="R160" s="128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7"/>
      <c r="AD160" s="20"/>
      <c r="AE160" s="127"/>
    </row>
    <row r="161" spans="2:31">
      <c r="B161" s="108" t="s">
        <v>302</v>
      </c>
      <c r="C161" s="20"/>
      <c r="D161" s="20"/>
      <c r="E161" s="20"/>
      <c r="F161" s="20"/>
      <c r="G161" s="20"/>
      <c r="H161" s="20"/>
      <c r="I161" s="20"/>
      <c r="J161" s="20"/>
      <c r="K161" s="182" t="s">
        <v>352</v>
      </c>
      <c r="L161" s="183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>
      <c r="B162" s="20" t="s">
        <v>300</v>
      </c>
      <c r="C162" s="20" t="s">
        <v>315</v>
      </c>
      <c r="D162" s="20"/>
      <c r="E162" s="20"/>
      <c r="F162" s="20"/>
      <c r="G162" s="20"/>
      <c r="H162" s="20"/>
      <c r="I162" s="20"/>
      <c r="J162" s="20"/>
      <c r="K162" s="20" t="s">
        <v>353</v>
      </c>
      <c r="L162" s="22">
        <v>1</v>
      </c>
      <c r="M162" s="20"/>
      <c r="N162" s="20"/>
      <c r="O162" s="20"/>
      <c r="P162" s="128">
        <f>(P150-R138)/P150</f>
        <v>0.91556221342916544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>
      <c r="B163" s="20" t="s">
        <v>350</v>
      </c>
      <c r="C163" s="20" t="s">
        <v>315</v>
      </c>
      <c r="D163" s="20"/>
      <c r="E163" s="20"/>
      <c r="F163" s="20"/>
      <c r="G163" s="20"/>
      <c r="H163" s="20"/>
      <c r="I163" s="20"/>
      <c r="J163" s="20"/>
      <c r="K163" s="173">
        <f>L162</f>
        <v>1</v>
      </c>
      <c r="L163" s="20"/>
      <c r="M163" s="128">
        <f>(P150-(K163*R129))/P150</f>
        <v>0.60053296212061036</v>
      </c>
      <c r="N163" s="20"/>
      <c r="O163" s="20"/>
      <c r="P163" s="128">
        <f>(P150-R129)/P150</f>
        <v>0.60053296212061036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>
      <c r="B164" s="20" t="s">
        <v>351</v>
      </c>
      <c r="C164" s="20" t="s">
        <v>315</v>
      </c>
      <c r="D164" s="20"/>
      <c r="E164" s="20"/>
      <c r="F164" s="20"/>
      <c r="G164" s="20"/>
      <c r="H164" s="20"/>
      <c r="I164" s="20"/>
      <c r="J164" s="20"/>
      <c r="K164" s="173">
        <f>L162</f>
        <v>1</v>
      </c>
      <c r="L164" s="20"/>
      <c r="M164" s="128">
        <f>(P150-(K163*R122))/P150</f>
        <v>0.76768959724620989</v>
      </c>
      <c r="N164" s="20"/>
      <c r="O164" s="20"/>
      <c r="P164" s="128">
        <f>(P150-R122)/P150</f>
        <v>0.76768959724620989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 t="s">
        <v>354</v>
      </c>
      <c r="C165" s="20" t="s">
        <v>315</v>
      </c>
      <c r="D165" s="20"/>
      <c r="E165" s="20"/>
      <c r="F165" s="20"/>
      <c r="G165" s="20"/>
      <c r="H165" s="20"/>
      <c r="I165" s="20"/>
      <c r="J165" s="20"/>
      <c r="K165" s="173">
        <f>L162</f>
        <v>1</v>
      </c>
      <c r="L165" s="20"/>
      <c r="M165" s="128">
        <f>(P150-(K163*R135))/P150</f>
        <v>0.75852046296900766</v>
      </c>
      <c r="N165" s="20"/>
      <c r="O165" s="20"/>
      <c r="P165" s="128">
        <f>(P150-R135)/P150</f>
        <v>0.75852046296900766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301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5">
        <f>P150/R121</f>
        <v>19.636733180939025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372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153">
        <f>1/P166</f>
        <v>5.0924967548608313E-2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spans="2:31">
      <c r="B169" s="108" t="s">
        <v>303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2:31">
      <c r="B170" s="20" t="s">
        <v>306</v>
      </c>
      <c r="C170" s="25" t="e">
        <f t="shared" ref="C170:P170" si="283">C10/C7</f>
        <v>#DIV/0!</v>
      </c>
      <c r="D170" s="25" t="e">
        <f t="shared" si="283"/>
        <v>#DIV/0!</v>
      </c>
      <c r="E170" s="25" t="e">
        <f t="shared" si="283"/>
        <v>#DIV/0!</v>
      </c>
      <c r="F170" s="25">
        <f t="shared" si="283"/>
        <v>0.11055590256089944</v>
      </c>
      <c r="G170" s="25">
        <f t="shared" si="283"/>
        <v>0.10198300283286119</v>
      </c>
      <c r="H170" s="25">
        <f t="shared" si="283"/>
        <v>8.8947892465980755E-2</v>
      </c>
      <c r="I170" s="25">
        <f t="shared" si="283"/>
        <v>7.6427886590877958E-2</v>
      </c>
      <c r="J170" s="25">
        <f t="shared" si="283"/>
        <v>1.0127446517979062E-2</v>
      </c>
      <c r="K170" s="25">
        <f t="shared" si="283"/>
        <v>8.8175236680898463E-3</v>
      </c>
      <c r="L170" s="25">
        <f t="shared" si="283"/>
        <v>1.2922955967542487E-2</v>
      </c>
      <c r="M170" s="25">
        <f t="shared" si="283"/>
        <v>9.3105300837066987E-3</v>
      </c>
      <c r="N170" s="25">
        <f t="shared" si="283"/>
        <v>1.3396126435618215E-2</v>
      </c>
      <c r="O170" s="25">
        <f t="shared" si="283"/>
        <v>1.4525809095439683E-2</v>
      </c>
      <c r="P170" s="25">
        <f t="shared" si="283"/>
        <v>4.038293370714021E-2</v>
      </c>
      <c r="Q170" s="118">
        <f t="shared" ref="Q170:Q172" si="284">((P170/G170)^(1/($H$2-$H$1) ))-1</f>
        <v>-9.7812772225557176E-2</v>
      </c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spans="2:31">
      <c r="B171" s="20" t="s">
        <v>307</v>
      </c>
      <c r="C171" s="112" t="e">
        <f>C10/C12</f>
        <v>#DIV/0!</v>
      </c>
      <c r="D171" s="112" t="e">
        <f>D10/D12</f>
        <v>#DIV/0!</v>
      </c>
      <c r="E171" s="112" t="e">
        <f>E10/E12</f>
        <v>#DIV/0!</v>
      </c>
      <c r="F171" s="112">
        <f>F10/F12</f>
        <v>0.40227272727272728</v>
      </c>
      <c r="G171" s="112">
        <f>G10/G12</f>
        <v>0.20308386611508086</v>
      </c>
      <c r="H171" s="112">
        <f t="shared" ref="H171:P171" si="285">H10/H12</f>
        <v>0.16871262197041234</v>
      </c>
      <c r="I171" s="112">
        <f t="shared" si="285"/>
        <v>0.13501088797483668</v>
      </c>
      <c r="J171" s="112">
        <f t="shared" si="285"/>
        <v>1.5323691460055097E-2</v>
      </c>
      <c r="K171" s="112">
        <f t="shared" si="285"/>
        <v>1.1328404483663249E-2</v>
      </c>
      <c r="L171" s="112">
        <f t="shared" si="285"/>
        <v>1.6168070481169524E-2</v>
      </c>
      <c r="M171" s="112">
        <f t="shared" si="285"/>
        <v>1.5016233766233766E-2</v>
      </c>
      <c r="N171" s="112">
        <f t="shared" si="285"/>
        <v>2.7820710973724884E-2</v>
      </c>
      <c r="O171" s="112">
        <f t="shared" si="285"/>
        <v>5.4796554796554799E-2</v>
      </c>
      <c r="P171" s="112">
        <f t="shared" si="285"/>
        <v>0.15716816866579139</v>
      </c>
      <c r="Q171" s="118">
        <f t="shared" si="284"/>
        <v>-2.8076394741233801E-2</v>
      </c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2:31">
      <c r="B172" s="20" t="s">
        <v>308</v>
      </c>
      <c r="C172" s="25" t="e">
        <f>C10/(C12+C13)</f>
        <v>#DIV/0!</v>
      </c>
      <c r="D172" s="25" t="e">
        <f>D10/(D12+D13)</f>
        <v>#DIV/0!</v>
      </c>
      <c r="E172" s="25" t="e">
        <f>E10/(E12+E13)</f>
        <v>#DIV/0!</v>
      </c>
      <c r="F172" s="25">
        <f>F10/(F12+F13)</f>
        <v>0.39914908331015614</v>
      </c>
      <c r="G172" s="25">
        <f>G10/(G12+G13)</f>
        <v>0.20089285714285715</v>
      </c>
      <c r="H172" s="25">
        <f t="shared" ref="H172:P172" si="286">H10/(H12+H13)</f>
        <v>0.16823603264281231</v>
      </c>
      <c r="I172" s="25">
        <f t="shared" si="286"/>
        <v>0.13475006037189086</v>
      </c>
      <c r="J172" s="25">
        <f t="shared" si="286"/>
        <v>1.5302613480055021E-2</v>
      </c>
      <c r="K172" s="25">
        <f t="shared" si="286"/>
        <v>1.0143070681187274E-2</v>
      </c>
      <c r="L172" s="25">
        <f t="shared" si="286"/>
        <v>1.3924789460518635E-2</v>
      </c>
      <c r="M172" s="25">
        <f t="shared" si="286"/>
        <v>1.1874197689345315E-2</v>
      </c>
      <c r="N172" s="25">
        <f t="shared" si="286"/>
        <v>2.0279405137449302E-2</v>
      </c>
      <c r="O172" s="25">
        <f t="shared" si="286"/>
        <v>3.2724370344093652E-2</v>
      </c>
      <c r="P172" s="25">
        <f t="shared" si="286"/>
        <v>9.5989910549548071E-2</v>
      </c>
      <c r="Q172" s="118">
        <f t="shared" si="284"/>
        <v>-7.8782152096512847E-2</v>
      </c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2:31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>
      <c r="B175" s="20"/>
      <c r="C175" s="20"/>
      <c r="D175" s="20"/>
      <c r="E175" s="20"/>
      <c r="F175" s="20"/>
      <c r="G175" s="20"/>
      <c r="H175" s="20"/>
      <c r="I175" s="179" t="s">
        <v>338</v>
      </c>
      <c r="J175" s="180"/>
      <c r="K175" s="181"/>
      <c r="L175" s="20"/>
      <c r="M175" s="20"/>
      <c r="N175" s="20"/>
      <c r="O175" s="179" t="s">
        <v>339</v>
      </c>
      <c r="P175" s="180"/>
      <c r="Q175" s="18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>
      <c r="B176" s="20"/>
      <c r="C176" s="20"/>
      <c r="D176" s="20"/>
      <c r="E176" s="20"/>
      <c r="F176" s="20"/>
      <c r="G176" s="20"/>
      <c r="H176" s="20"/>
      <c r="I176" s="167" t="s">
        <v>340</v>
      </c>
      <c r="J176" s="167"/>
      <c r="K176" s="167" t="s">
        <v>0</v>
      </c>
      <c r="L176" s="23" t="s">
        <v>341</v>
      </c>
      <c r="M176" s="20"/>
      <c r="N176" s="20"/>
      <c r="O176" s="167" t="s">
        <v>340</v>
      </c>
      <c r="P176" s="167"/>
      <c r="Q176" s="167" t="s">
        <v>0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>
      <c r="B177" s="20"/>
      <c r="C177" s="20"/>
      <c r="D177" s="20"/>
      <c r="E177" s="20"/>
      <c r="F177" s="20"/>
      <c r="G177" s="20"/>
      <c r="H177" s="20"/>
      <c r="I177" s="168" t="s">
        <v>342</v>
      </c>
      <c r="J177" s="168"/>
      <c r="K177" s="21">
        <v>130</v>
      </c>
      <c r="L177" s="20"/>
      <c r="M177" s="20"/>
      <c r="N177" s="20"/>
      <c r="O177" s="168" t="s">
        <v>342</v>
      </c>
      <c r="P177" s="168"/>
      <c r="Q177" s="21">
        <v>200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/>
      <c r="C178" s="20"/>
      <c r="D178" s="20"/>
      <c r="E178" s="20"/>
      <c r="F178" s="20"/>
      <c r="G178" s="20"/>
      <c r="H178" s="20"/>
      <c r="I178" s="168" t="s">
        <v>343</v>
      </c>
      <c r="J178" s="168"/>
      <c r="K178" s="21">
        <v>1</v>
      </c>
      <c r="L178" s="20"/>
      <c r="M178" s="20"/>
      <c r="N178" s="20"/>
      <c r="O178" s="168" t="s">
        <v>343</v>
      </c>
      <c r="P178" s="168"/>
      <c r="Q178" s="21">
        <v>2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/>
      <c r="C179" s="20"/>
      <c r="D179" s="20"/>
      <c r="E179" s="20"/>
      <c r="F179" s="20"/>
      <c r="G179" s="20"/>
      <c r="H179" s="20"/>
      <c r="I179" s="168" t="s">
        <v>344</v>
      </c>
      <c r="J179" s="168"/>
      <c r="K179" s="169">
        <f>K177*K178</f>
        <v>130</v>
      </c>
      <c r="L179" s="20"/>
      <c r="M179" s="20"/>
      <c r="N179" s="20"/>
      <c r="O179" s="168" t="s">
        <v>345</v>
      </c>
      <c r="P179" s="168"/>
      <c r="Q179" s="169">
        <f>Q177*Q178</f>
        <v>400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/>
      <c r="C180" s="20"/>
      <c r="D180" s="20"/>
      <c r="E180" s="20"/>
      <c r="F180" s="20"/>
      <c r="G180" s="20"/>
      <c r="H180" s="20"/>
      <c r="I180" s="168" t="s">
        <v>346</v>
      </c>
      <c r="J180" s="168"/>
      <c r="K180" s="21">
        <v>585</v>
      </c>
      <c r="L180" s="20"/>
      <c r="M180" s="20"/>
      <c r="N180" s="20"/>
      <c r="O180" s="168" t="s">
        <v>346</v>
      </c>
      <c r="P180" s="168"/>
      <c r="Q180" s="21">
        <v>150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168" t="s">
        <v>347</v>
      </c>
      <c r="J181" s="168"/>
      <c r="K181" s="169">
        <f>K180*K178</f>
        <v>585</v>
      </c>
      <c r="L181" s="20"/>
      <c r="M181" s="20"/>
      <c r="N181" s="20"/>
      <c r="O181" s="168" t="s">
        <v>343</v>
      </c>
      <c r="P181" s="168"/>
      <c r="Q181" s="21">
        <v>10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168"/>
      <c r="J182" s="168"/>
      <c r="K182" s="169"/>
      <c r="L182" s="20"/>
      <c r="M182" s="20"/>
      <c r="N182" s="20"/>
      <c r="O182" s="168" t="s">
        <v>345</v>
      </c>
      <c r="P182" s="168"/>
      <c r="Q182" s="169">
        <f>Q181*Q180</f>
        <v>1500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20"/>
      <c r="D183" s="20"/>
      <c r="E183" s="20"/>
      <c r="F183" s="20"/>
      <c r="G183" s="20"/>
      <c r="H183" s="20"/>
      <c r="I183" s="168"/>
      <c r="J183" s="168"/>
      <c r="K183" s="169"/>
      <c r="L183" s="20"/>
      <c r="M183" s="20"/>
      <c r="N183" s="20"/>
      <c r="O183" s="168"/>
      <c r="P183" s="168"/>
      <c r="Q183" s="169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20"/>
      <c r="D184" s="20"/>
      <c r="E184" s="20"/>
      <c r="F184" s="20"/>
      <c r="G184" s="20"/>
      <c r="H184" s="20"/>
      <c r="I184" s="170" t="s">
        <v>348</v>
      </c>
      <c r="J184" s="170"/>
      <c r="K184" s="171">
        <f>K181/K179</f>
        <v>4.5</v>
      </c>
      <c r="L184" s="20"/>
      <c r="M184" s="20"/>
      <c r="N184" s="20"/>
      <c r="O184" s="170" t="s">
        <v>348</v>
      </c>
      <c r="P184" s="170"/>
      <c r="Q184" s="171">
        <f>Q182/Q179</f>
        <v>3.75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</sheetData>
  <mergeCells count="5">
    <mergeCell ref="AD2:AE2"/>
    <mergeCell ref="AD3:AE3"/>
    <mergeCell ref="I175:K175"/>
    <mergeCell ref="O175:Q175"/>
    <mergeCell ref="K161:L161"/>
  </mergeCells>
  <pageMargins left="0.7" right="0.7" top="0.75" bottom="0.75" header="0.3" footer="0.3"/>
  <pageSetup orientation="portrait" r:id="rId1"/>
  <ignoredErrors>
    <ignoredError sqref="C152" evalError="1"/>
    <ignoredError sqref="T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zoomScale="80" zoomScaleNormal="80" workbookViewId="0">
      <selection activeCell="E23" sqref="E2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4" t="s">
        <v>27</v>
      </c>
      <c r="K5" s="184"/>
      <c r="M5" s="184" t="s">
        <v>65</v>
      </c>
      <c r="N5" s="184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4" t="s">
        <v>36</v>
      </c>
      <c r="K14" s="184"/>
      <c r="L14" s="184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4" t="s">
        <v>27</v>
      </c>
      <c r="S5" s="184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4" t="s">
        <v>36</v>
      </c>
      <c r="S14" s="184"/>
      <c r="T14" s="184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4" t="s">
        <v>27</v>
      </c>
      <c r="C2" s="184"/>
      <c r="E2" s="184" t="s">
        <v>65</v>
      </c>
      <c r="F2" s="184"/>
      <c r="H2" s="188" t="s">
        <v>36</v>
      </c>
      <c r="I2" s="189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5" t="s">
        <v>68</v>
      </c>
      <c r="E10" s="186"/>
      <c r="F10" s="186"/>
      <c r="G10" s="186"/>
      <c r="H10" s="187"/>
      <c r="I10" s="185" t="s">
        <v>72</v>
      </c>
      <c r="J10" s="186"/>
      <c r="K10" s="186"/>
      <c r="L10" s="187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2013-12-29T16:34:34Z</dcterms:modified>
</cp:coreProperties>
</file>
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O173" i="18" l="1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O12" i="18" l="1"/>
  <c r="N12" i="18"/>
  <c r="M12" i="18"/>
  <c r="L12" i="18"/>
  <c r="K12" i="18"/>
  <c r="J12" i="18"/>
  <c r="I12" i="18"/>
  <c r="H12" i="18"/>
  <c r="G209" i="18" l="1"/>
  <c r="K180" i="18" l="1"/>
  <c r="K179" i="18"/>
  <c r="K178" i="18"/>
  <c r="K177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4" i="18" l="1"/>
  <c r="K183" i="18"/>
  <c r="T198" i="18" l="1"/>
  <c r="T199" i="18" s="1"/>
  <c r="S42" i="18"/>
  <c r="D196" i="18"/>
  <c r="H196" i="18"/>
  <c r="L26" i="18"/>
  <c r="L100" i="18"/>
  <c r="J100" i="18"/>
  <c r="H100" i="18"/>
  <c r="F100" i="18"/>
  <c r="G100" i="18"/>
  <c r="I100" i="18"/>
  <c r="K100" i="18"/>
  <c r="M100" i="18"/>
  <c r="N100" i="18"/>
  <c r="O100" i="18"/>
  <c r="P100" i="18"/>
  <c r="H131" i="18"/>
  <c r="I131" i="18"/>
  <c r="J131" i="18"/>
  <c r="K131" i="18"/>
  <c r="L131" i="18"/>
  <c r="M131" i="18"/>
  <c r="N131" i="18"/>
  <c r="O131" i="18"/>
  <c r="P131" i="18"/>
  <c r="H130" i="18"/>
  <c r="I130" i="18"/>
  <c r="J130" i="18"/>
  <c r="K130" i="18"/>
  <c r="L130" i="18"/>
  <c r="M130" i="18"/>
  <c r="N130" i="18"/>
  <c r="O130" i="18"/>
  <c r="P130" i="18"/>
  <c r="G210" i="18"/>
  <c r="G211" i="18" s="1"/>
  <c r="G212" i="18" s="1"/>
  <c r="K207" i="18"/>
  <c r="K206" i="18"/>
  <c r="AD50" i="18"/>
  <c r="C50" i="18"/>
  <c r="D50" i="18"/>
  <c r="E50" i="18"/>
  <c r="F50" i="18"/>
  <c r="H50" i="18"/>
  <c r="I50" i="18"/>
  <c r="J50" i="18"/>
  <c r="K50" i="18"/>
  <c r="L50" i="18"/>
  <c r="M50" i="18"/>
  <c r="N50" i="18"/>
  <c r="O50" i="18"/>
  <c r="P50" i="18"/>
  <c r="G50" i="18"/>
  <c r="H201" i="18"/>
  <c r="D200" i="18"/>
  <c r="H199" i="18"/>
  <c r="I199" i="18" s="1"/>
  <c r="J199" i="18" s="1"/>
  <c r="J200" i="18" s="1"/>
  <c r="H197" i="18"/>
  <c r="H195" i="18"/>
  <c r="H194" i="18"/>
  <c r="I194" i="18" s="1"/>
  <c r="J194" i="18" s="1"/>
  <c r="D202" i="18" l="1"/>
  <c r="K210" i="18"/>
  <c r="Q50" i="18"/>
  <c r="K209" i="18"/>
  <c r="I195" i="18"/>
  <c r="J195" i="18" s="1"/>
  <c r="I201" i="18"/>
  <c r="J201" i="18" s="1"/>
  <c r="J202" i="18" s="1"/>
  <c r="H85" i="18"/>
  <c r="I85" i="18"/>
  <c r="J85" i="18"/>
  <c r="K85" i="18"/>
  <c r="L85" i="18"/>
  <c r="M85" i="18"/>
  <c r="N85" i="18"/>
  <c r="O85" i="18"/>
  <c r="P85" i="18"/>
  <c r="G85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1" i="18"/>
  <c r="G130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5" i="18"/>
  <c r="T194" i="18"/>
  <c r="O195" i="18"/>
  <c r="O198" i="18" s="1"/>
  <c r="O194" i="18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G91" i="18"/>
  <c r="G97" i="18" s="1"/>
  <c r="H88" i="18"/>
  <c r="H94" i="18" s="1"/>
  <c r="I88" i="18"/>
  <c r="I94" i="18" s="1"/>
  <c r="J88" i="18"/>
  <c r="J94" i="18" s="1"/>
  <c r="K88" i="18"/>
  <c r="K94" i="18" s="1"/>
  <c r="L88" i="18"/>
  <c r="L94" i="18" s="1"/>
  <c r="M88" i="18"/>
  <c r="M94" i="18" s="1"/>
  <c r="N88" i="18"/>
  <c r="N94" i="18" s="1"/>
  <c r="O88" i="18"/>
  <c r="O94" i="18" s="1"/>
  <c r="P88" i="18"/>
  <c r="P94" i="18" s="1"/>
  <c r="G88" i="18"/>
  <c r="G94" i="18" s="1"/>
  <c r="H89" i="18"/>
  <c r="H95" i="18" s="1"/>
  <c r="I89" i="18"/>
  <c r="I95" i="18" s="1"/>
  <c r="J89" i="18"/>
  <c r="J95" i="18" s="1"/>
  <c r="K89" i="18"/>
  <c r="K95" i="18" s="1"/>
  <c r="L89" i="18"/>
  <c r="L95" i="18" s="1"/>
  <c r="M89" i="18"/>
  <c r="M95" i="18" s="1"/>
  <c r="N89" i="18"/>
  <c r="N95" i="18" s="1"/>
  <c r="O89" i="18"/>
  <c r="O95" i="18" s="1"/>
  <c r="P89" i="18"/>
  <c r="P95" i="18" s="1"/>
  <c r="G89" i="18"/>
  <c r="G95" i="18" s="1"/>
  <c r="H126" i="18"/>
  <c r="H127" i="18" s="1"/>
  <c r="I126" i="18"/>
  <c r="I127" i="18" s="1"/>
  <c r="J126" i="18"/>
  <c r="J127" i="18" s="1"/>
  <c r="K126" i="18"/>
  <c r="K127" i="18" s="1"/>
  <c r="L126" i="18"/>
  <c r="L127" i="18" s="1"/>
  <c r="M126" i="18"/>
  <c r="M127" i="18" s="1"/>
  <c r="N126" i="18"/>
  <c r="N127" i="18" s="1"/>
  <c r="O126" i="18"/>
  <c r="O127" i="18" s="1"/>
  <c r="P126" i="18"/>
  <c r="P127" i="18" s="1"/>
  <c r="G126" i="18"/>
  <c r="G127" i="18" s="1"/>
  <c r="Q94" i="18" l="1"/>
  <c r="Q95" i="18"/>
  <c r="Q97" i="18"/>
  <c r="I196" i="18"/>
  <c r="J196" i="18" s="1"/>
  <c r="I197" i="18" s="1"/>
  <c r="J197" i="18" s="1"/>
  <c r="J198" i="18" s="1"/>
  <c r="Q130" i="18"/>
  <c r="Q131" i="18"/>
  <c r="Q85" i="18"/>
  <c r="Q91" i="18"/>
  <c r="AC14" i="18"/>
  <c r="AE14" i="18"/>
  <c r="Q88" i="18"/>
  <c r="Q127" i="18"/>
  <c r="Q126" i="18"/>
  <c r="Q89" i="18"/>
  <c r="P84" i="18"/>
  <c r="P83" i="18"/>
  <c r="E84" i="18"/>
  <c r="F84" i="18"/>
  <c r="H84" i="18"/>
  <c r="I84" i="18"/>
  <c r="J84" i="18"/>
  <c r="K84" i="18"/>
  <c r="L84" i="18"/>
  <c r="M84" i="18"/>
  <c r="N84" i="18"/>
  <c r="O84" i="18"/>
  <c r="G84" i="18"/>
  <c r="G83" i="18"/>
  <c r="H124" i="18"/>
  <c r="I124" i="18"/>
  <c r="J124" i="18"/>
  <c r="K124" i="18"/>
  <c r="L124" i="18"/>
  <c r="M124" i="18"/>
  <c r="N124" i="18"/>
  <c r="O124" i="18"/>
  <c r="P124" i="18"/>
  <c r="G124" i="18"/>
  <c r="H123" i="18"/>
  <c r="I123" i="18"/>
  <c r="J123" i="18"/>
  <c r="K123" i="18"/>
  <c r="L123" i="18"/>
  <c r="M123" i="18"/>
  <c r="N123" i="18"/>
  <c r="O123" i="18"/>
  <c r="P123" i="18"/>
  <c r="G123" i="18"/>
  <c r="H120" i="18"/>
  <c r="I120" i="18"/>
  <c r="J120" i="18"/>
  <c r="K120" i="18"/>
  <c r="L120" i="18"/>
  <c r="M120" i="18"/>
  <c r="N120" i="18"/>
  <c r="O120" i="18"/>
  <c r="P120" i="18"/>
  <c r="G120" i="18"/>
  <c r="H121" i="18"/>
  <c r="I121" i="18"/>
  <c r="J121" i="18"/>
  <c r="K121" i="18"/>
  <c r="L121" i="18"/>
  <c r="M121" i="18"/>
  <c r="N121" i="18"/>
  <c r="O121" i="18"/>
  <c r="P121" i="18"/>
  <c r="G121" i="18"/>
  <c r="H119" i="18"/>
  <c r="I119" i="18"/>
  <c r="J119" i="18"/>
  <c r="K119" i="18"/>
  <c r="L119" i="18"/>
  <c r="M119" i="18"/>
  <c r="N119" i="18"/>
  <c r="O119" i="18"/>
  <c r="P119" i="18"/>
  <c r="G119" i="18"/>
  <c r="H118" i="18"/>
  <c r="I118" i="18"/>
  <c r="J118" i="18"/>
  <c r="K118" i="18"/>
  <c r="L118" i="18"/>
  <c r="M118" i="18"/>
  <c r="N118" i="18"/>
  <c r="O118" i="18"/>
  <c r="P118" i="18"/>
  <c r="G118" i="18"/>
  <c r="R164" i="18"/>
  <c r="H115" i="18"/>
  <c r="I115" i="18"/>
  <c r="J115" i="18"/>
  <c r="K115" i="18"/>
  <c r="L115" i="18"/>
  <c r="M115" i="18"/>
  <c r="N115" i="18"/>
  <c r="O115" i="18"/>
  <c r="P115" i="18"/>
  <c r="G115" i="18"/>
  <c r="H114" i="18"/>
  <c r="I114" i="18"/>
  <c r="J114" i="18"/>
  <c r="K114" i="18"/>
  <c r="L114" i="18"/>
  <c r="M114" i="18"/>
  <c r="N114" i="18"/>
  <c r="O114" i="18"/>
  <c r="P114" i="18"/>
  <c r="G114" i="18"/>
  <c r="H113" i="18"/>
  <c r="I113" i="18"/>
  <c r="J113" i="18"/>
  <c r="K113" i="18"/>
  <c r="L113" i="18"/>
  <c r="M113" i="18"/>
  <c r="N113" i="18"/>
  <c r="O113" i="18"/>
  <c r="P113" i="18"/>
  <c r="G113" i="18"/>
  <c r="B115" i="18"/>
  <c r="B114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3" i="18"/>
  <c r="H103" i="18"/>
  <c r="I103" i="18"/>
  <c r="J103" i="18"/>
  <c r="K103" i="18"/>
  <c r="L103" i="18"/>
  <c r="M103" i="18"/>
  <c r="N103" i="18"/>
  <c r="O103" i="18"/>
  <c r="P103" i="18"/>
  <c r="S199" i="18"/>
  <c r="N198" i="18"/>
  <c r="S196" i="18"/>
  <c r="T196" i="18" s="1"/>
  <c r="T201" i="18" s="1"/>
  <c r="N196" i="18"/>
  <c r="O196" i="18" s="1"/>
  <c r="O201" i="18" s="1"/>
  <c r="F111" i="18"/>
  <c r="H111" i="18"/>
  <c r="I111" i="18"/>
  <c r="J111" i="18"/>
  <c r="K111" i="18"/>
  <c r="L111" i="18"/>
  <c r="M111" i="18"/>
  <c r="N111" i="18"/>
  <c r="O111" i="18"/>
  <c r="P111" i="18"/>
  <c r="G111" i="18"/>
  <c r="F110" i="18"/>
  <c r="H110" i="18"/>
  <c r="I110" i="18"/>
  <c r="J110" i="18"/>
  <c r="K110" i="18"/>
  <c r="L110" i="18"/>
  <c r="M110" i="18"/>
  <c r="N110" i="18"/>
  <c r="O110" i="18"/>
  <c r="P110" i="18"/>
  <c r="G110" i="18"/>
  <c r="Q121" i="18" l="1"/>
  <c r="Q84" i="18"/>
  <c r="Q118" i="18"/>
  <c r="Q124" i="18"/>
  <c r="Q123" i="18"/>
  <c r="Q119" i="18"/>
  <c r="Q120" i="18"/>
  <c r="Q113" i="18"/>
  <c r="Q114" i="18"/>
  <c r="Q115" i="18"/>
  <c r="Q103" i="18"/>
  <c r="AC32" i="18"/>
  <c r="AE32" i="18"/>
  <c r="N201" i="18"/>
  <c r="S201" i="18"/>
  <c r="Q111" i="18"/>
  <c r="Q110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6" i="18"/>
  <c r="AD47" i="18"/>
  <c r="AD49" i="18"/>
  <c r="AD51" i="18"/>
  <c r="AD52" i="18"/>
  <c r="AD53" i="18"/>
  <c r="AD55" i="18"/>
  <c r="AD56" i="18"/>
  <c r="AD57" i="18"/>
  <c r="AD59" i="18"/>
  <c r="AD60" i="18"/>
  <c r="AD61" i="18"/>
  <c r="AD62" i="18"/>
  <c r="AD64" i="18"/>
  <c r="AD65" i="18"/>
  <c r="AD67" i="18"/>
  <c r="AD69" i="18"/>
  <c r="AD70" i="18"/>
  <c r="AD71" i="18"/>
  <c r="AD72" i="18"/>
  <c r="AD73" i="18"/>
  <c r="AD75" i="18"/>
  <c r="AD76" i="18"/>
  <c r="AD77" i="18"/>
  <c r="AD7" i="18"/>
  <c r="AD6" i="18"/>
  <c r="Q100" i="18" l="1"/>
  <c r="H87" i="18"/>
  <c r="H93" i="18" s="1"/>
  <c r="I87" i="18"/>
  <c r="I93" i="18" s="1"/>
  <c r="J87" i="18"/>
  <c r="J93" i="18" s="1"/>
  <c r="K87" i="18"/>
  <c r="K93" i="18" s="1"/>
  <c r="L87" i="18"/>
  <c r="L93" i="18" s="1"/>
  <c r="M87" i="18"/>
  <c r="M93" i="18" s="1"/>
  <c r="N87" i="18"/>
  <c r="N93" i="18" s="1"/>
  <c r="O87" i="18"/>
  <c r="O93" i="18" s="1"/>
  <c r="P87" i="18"/>
  <c r="P93" i="18" s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G90" i="18"/>
  <c r="G96" i="18" s="1"/>
  <c r="G87" i="18"/>
  <c r="G93" i="18" s="1"/>
  <c r="S29" i="18"/>
  <c r="Q29" i="18"/>
  <c r="L30" i="18"/>
  <c r="K30" i="18"/>
  <c r="J30" i="18"/>
  <c r="I30" i="18"/>
  <c r="H30" i="18"/>
  <c r="G30" i="18"/>
  <c r="Q93" i="18" l="1"/>
  <c r="Q96" i="18"/>
  <c r="T29" i="18"/>
  <c r="Q90" i="18"/>
  <c r="Q87" i="18"/>
  <c r="H102" i="18"/>
  <c r="I102" i="18"/>
  <c r="J102" i="18"/>
  <c r="K102" i="18"/>
  <c r="L102" i="18"/>
  <c r="M102" i="18"/>
  <c r="N102" i="18"/>
  <c r="O102" i="18"/>
  <c r="P102" i="18"/>
  <c r="G102" i="18"/>
  <c r="H101" i="18"/>
  <c r="I101" i="18"/>
  <c r="J101" i="18"/>
  <c r="K101" i="18"/>
  <c r="L101" i="18"/>
  <c r="M101" i="18"/>
  <c r="N101" i="18"/>
  <c r="O101" i="18"/>
  <c r="P101" i="18"/>
  <c r="G101" i="18"/>
  <c r="U29" i="18" l="1"/>
  <c r="Q101" i="18"/>
  <c r="Q102" i="18"/>
  <c r="AE64" i="18"/>
  <c r="V29" i="18" l="1"/>
  <c r="C172" i="18"/>
  <c r="D172" i="18"/>
  <c r="E172" i="18"/>
  <c r="F172" i="18"/>
  <c r="G172" i="18"/>
  <c r="H172" i="18"/>
  <c r="I172" i="18"/>
  <c r="J172" i="18"/>
  <c r="K172" i="18"/>
  <c r="L172" i="18"/>
  <c r="M172" i="18"/>
  <c r="N172" i="18"/>
  <c r="O172" i="18"/>
  <c r="P172" i="18"/>
  <c r="C9" i="15"/>
  <c r="D65" i="18"/>
  <c r="E65" i="18"/>
  <c r="E105" i="18" s="1"/>
  <c r="E106" i="18" s="1"/>
  <c r="F65" i="18"/>
  <c r="F105" i="18" s="1"/>
  <c r="F106" i="18" s="1"/>
  <c r="G65" i="18"/>
  <c r="G105" i="18" s="1"/>
  <c r="G106" i="18" s="1"/>
  <c r="H65" i="18"/>
  <c r="H105" i="18" s="1"/>
  <c r="H106" i="18" s="1"/>
  <c r="I65" i="18"/>
  <c r="I105" i="18" s="1"/>
  <c r="I106" i="18" s="1"/>
  <c r="J65" i="18"/>
  <c r="J105" i="18" s="1"/>
  <c r="J106" i="18" s="1"/>
  <c r="K65" i="18"/>
  <c r="K105" i="18" s="1"/>
  <c r="K106" i="18" s="1"/>
  <c r="L65" i="18"/>
  <c r="L105" i="18" s="1"/>
  <c r="L106" i="18" s="1"/>
  <c r="M65" i="18"/>
  <c r="M105" i="18" s="1"/>
  <c r="M106" i="18" s="1"/>
  <c r="N65" i="18"/>
  <c r="N105" i="18" s="1"/>
  <c r="N106" i="18" s="1"/>
  <c r="O65" i="18"/>
  <c r="O105" i="18" s="1"/>
  <c r="O106" i="18" s="1"/>
  <c r="P65" i="18"/>
  <c r="P105" i="18" s="1"/>
  <c r="C65" i="18"/>
  <c r="S43" i="18"/>
  <c r="Q43" i="18"/>
  <c r="S65" i="18" l="1"/>
  <c r="S105" i="18" s="1"/>
  <c r="S106" i="18" s="1"/>
  <c r="W29" i="18"/>
  <c r="Q172" i="18"/>
  <c r="N107" i="18"/>
  <c r="N108" i="18" s="1"/>
  <c r="J107" i="18"/>
  <c r="J108" i="18" s="1"/>
  <c r="L107" i="18"/>
  <c r="L108" i="18" s="1"/>
  <c r="H107" i="18"/>
  <c r="H108" i="18" s="1"/>
  <c r="M107" i="18"/>
  <c r="M108" i="18" s="1"/>
  <c r="I107" i="18"/>
  <c r="I108" i="18" s="1"/>
  <c r="F107" i="18"/>
  <c r="F108" i="18" s="1"/>
  <c r="O107" i="18"/>
  <c r="O108" i="18" s="1"/>
  <c r="K107" i="18"/>
  <c r="K108" i="18" s="1"/>
  <c r="G107" i="18"/>
  <c r="G108" i="18" s="1"/>
  <c r="P106" i="18"/>
  <c r="Q105" i="18"/>
  <c r="T43" i="18"/>
  <c r="U43" i="18" l="1"/>
  <c r="X29" i="18"/>
  <c r="P107" i="18"/>
  <c r="Q106" i="18"/>
  <c r="T65" i="18"/>
  <c r="C75" i="18"/>
  <c r="D75" i="18"/>
  <c r="E75" i="18"/>
  <c r="F75" i="18"/>
  <c r="G75" i="18"/>
  <c r="G128" i="18" s="1"/>
  <c r="H75" i="18"/>
  <c r="H128" i="18" s="1"/>
  <c r="I75" i="18"/>
  <c r="I128" i="18" s="1"/>
  <c r="J75" i="18"/>
  <c r="J128" i="18" s="1"/>
  <c r="K75" i="18"/>
  <c r="K128" i="18" s="1"/>
  <c r="L75" i="18"/>
  <c r="L128" i="18" s="1"/>
  <c r="M75" i="18"/>
  <c r="M128" i="18" s="1"/>
  <c r="N75" i="18"/>
  <c r="N128" i="18" s="1"/>
  <c r="O75" i="18"/>
  <c r="O128" i="18" s="1"/>
  <c r="C76" i="18"/>
  <c r="D76" i="18"/>
  <c r="E76" i="18"/>
  <c r="F76" i="18"/>
  <c r="G76" i="18"/>
  <c r="H76" i="18"/>
  <c r="I76" i="18"/>
  <c r="J76" i="18"/>
  <c r="K76" i="18"/>
  <c r="L76" i="18"/>
  <c r="M76" i="18"/>
  <c r="N76" i="18"/>
  <c r="O76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P76" i="18"/>
  <c r="P75" i="18"/>
  <c r="P128" i="18" s="1"/>
  <c r="E83" i="18"/>
  <c r="F83" i="18"/>
  <c r="H83" i="18"/>
  <c r="I83" i="18"/>
  <c r="J83" i="18"/>
  <c r="K83" i="18"/>
  <c r="L83" i="18"/>
  <c r="M83" i="18"/>
  <c r="N83" i="18"/>
  <c r="O83" i="18"/>
  <c r="E81" i="18"/>
  <c r="E82" i="18"/>
  <c r="F82" i="18"/>
  <c r="G82" i="18"/>
  <c r="H82" i="18"/>
  <c r="I82" i="18"/>
  <c r="J82" i="18"/>
  <c r="K82" i="18"/>
  <c r="L82" i="18"/>
  <c r="M82" i="18"/>
  <c r="N82" i="18"/>
  <c r="O82" i="18"/>
  <c r="F81" i="18"/>
  <c r="G81" i="18"/>
  <c r="H81" i="18"/>
  <c r="I81" i="18"/>
  <c r="J81" i="18"/>
  <c r="K81" i="18"/>
  <c r="L81" i="18"/>
  <c r="M81" i="18"/>
  <c r="N81" i="18"/>
  <c r="O81" i="18"/>
  <c r="P82" i="18"/>
  <c r="G41" i="18"/>
  <c r="G28" i="18"/>
  <c r="G11" i="18"/>
  <c r="G8" i="18"/>
  <c r="G26" i="18"/>
  <c r="V43" i="18" l="1"/>
  <c r="U65" i="18"/>
  <c r="Q128" i="18"/>
  <c r="Y29" i="18"/>
  <c r="Q77" i="18"/>
  <c r="Q75" i="18"/>
  <c r="Q76" i="18"/>
  <c r="Q82" i="18"/>
  <c r="Q83" i="18"/>
  <c r="P81" i="18"/>
  <c r="Q81" i="18" s="1"/>
  <c r="C187" i="18"/>
  <c r="D187" i="18"/>
  <c r="E187" i="18"/>
  <c r="F187" i="18"/>
  <c r="C188" i="18"/>
  <c r="D188" i="18"/>
  <c r="E188" i="18"/>
  <c r="F188" i="18"/>
  <c r="C189" i="18"/>
  <c r="D189" i="18"/>
  <c r="E189" i="18"/>
  <c r="F189" i="18"/>
  <c r="H189" i="18"/>
  <c r="I189" i="18"/>
  <c r="J189" i="18"/>
  <c r="K189" i="18"/>
  <c r="L189" i="18"/>
  <c r="M189" i="18"/>
  <c r="N189" i="18"/>
  <c r="O189" i="18"/>
  <c r="P189" i="18"/>
  <c r="G189" i="18"/>
  <c r="H188" i="18"/>
  <c r="I188" i="18"/>
  <c r="J188" i="18"/>
  <c r="K188" i="18"/>
  <c r="L188" i="18"/>
  <c r="M188" i="18"/>
  <c r="N188" i="18"/>
  <c r="O188" i="18"/>
  <c r="P188" i="18"/>
  <c r="G188" i="18"/>
  <c r="H187" i="18"/>
  <c r="I187" i="18"/>
  <c r="J187" i="18"/>
  <c r="K187" i="18"/>
  <c r="L187" i="18"/>
  <c r="M187" i="18"/>
  <c r="N187" i="18"/>
  <c r="O187" i="18"/>
  <c r="P187" i="18"/>
  <c r="G187" i="18"/>
  <c r="H47" i="18"/>
  <c r="I47" i="18"/>
  <c r="J47" i="18"/>
  <c r="K47" i="18"/>
  <c r="L47" i="18"/>
  <c r="M47" i="18"/>
  <c r="N47" i="18"/>
  <c r="O47" i="18"/>
  <c r="P47" i="18"/>
  <c r="C47" i="18"/>
  <c r="D47" i="18"/>
  <c r="E47" i="18"/>
  <c r="F47" i="18"/>
  <c r="G47" i="18"/>
  <c r="G49" i="18"/>
  <c r="G171" i="18" s="1"/>
  <c r="H46" i="18"/>
  <c r="H165" i="18" s="1"/>
  <c r="I46" i="18"/>
  <c r="I165" i="18" s="1"/>
  <c r="J46" i="18"/>
  <c r="J165" i="18" s="1"/>
  <c r="K46" i="18"/>
  <c r="K165" i="18" s="1"/>
  <c r="L46" i="18"/>
  <c r="L165" i="18" s="1"/>
  <c r="M46" i="18"/>
  <c r="M165" i="18" s="1"/>
  <c r="N46" i="18"/>
  <c r="N165" i="18" s="1"/>
  <c r="O46" i="18"/>
  <c r="O165" i="18" s="1"/>
  <c r="P46" i="18"/>
  <c r="P165" i="18" s="1"/>
  <c r="C46" i="18"/>
  <c r="C165" i="18" s="1"/>
  <c r="D46" i="18"/>
  <c r="D165" i="18" s="1"/>
  <c r="E46" i="18"/>
  <c r="E165" i="18" s="1"/>
  <c r="F46" i="18"/>
  <c r="F165" i="18" s="1"/>
  <c r="G46" i="18"/>
  <c r="G165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88" i="18" s="1"/>
  <c r="S94" i="18" s="1"/>
  <c r="Q36" i="18"/>
  <c r="W43" i="18" l="1"/>
  <c r="V65" i="18"/>
  <c r="Q165" i="18"/>
  <c r="Z29" i="18"/>
  <c r="T36" i="18"/>
  <c r="T88" i="18" s="1"/>
  <c r="T94" i="18" s="1"/>
  <c r="Q189" i="18"/>
  <c r="Q47" i="18"/>
  <c r="Q46" i="18"/>
  <c r="Q188" i="18"/>
  <c r="Q187" i="18"/>
  <c r="Q31" i="18"/>
  <c r="Q34" i="18"/>
  <c r="X43" i="18" l="1"/>
  <c r="W65" i="18"/>
  <c r="AA29" i="18"/>
  <c r="U36" i="18"/>
  <c r="U88" i="18" s="1"/>
  <c r="U94" i="18" s="1"/>
  <c r="I72" i="18"/>
  <c r="J72" i="18"/>
  <c r="K72" i="18"/>
  <c r="L72" i="18"/>
  <c r="M72" i="18"/>
  <c r="N72" i="18"/>
  <c r="O72" i="18"/>
  <c r="P72" i="18"/>
  <c r="I73" i="18"/>
  <c r="J73" i="18"/>
  <c r="K73" i="18"/>
  <c r="L73" i="18"/>
  <c r="M73" i="18"/>
  <c r="N73" i="18"/>
  <c r="O73" i="18"/>
  <c r="P73" i="18"/>
  <c r="I67" i="18"/>
  <c r="I69" i="18" s="1"/>
  <c r="J67" i="18"/>
  <c r="J69" i="18" s="1"/>
  <c r="K67" i="18"/>
  <c r="K69" i="18" s="1"/>
  <c r="L67" i="18"/>
  <c r="L69" i="18" s="1"/>
  <c r="M67" i="18"/>
  <c r="M69" i="18" s="1"/>
  <c r="N67" i="18"/>
  <c r="N69" i="18" s="1"/>
  <c r="O67" i="18"/>
  <c r="O69" i="18" s="1"/>
  <c r="P67" i="18"/>
  <c r="P69" i="18" s="1"/>
  <c r="I70" i="18"/>
  <c r="J70" i="18"/>
  <c r="K70" i="18"/>
  <c r="L70" i="18"/>
  <c r="M70" i="18"/>
  <c r="N70" i="18"/>
  <c r="O70" i="18"/>
  <c r="P70" i="18"/>
  <c r="I71" i="18"/>
  <c r="J71" i="18"/>
  <c r="K71" i="18"/>
  <c r="L71" i="18"/>
  <c r="M71" i="18"/>
  <c r="N71" i="18"/>
  <c r="O71" i="18"/>
  <c r="P71" i="18"/>
  <c r="C70" i="18"/>
  <c r="D70" i="18"/>
  <c r="E70" i="18"/>
  <c r="F70" i="18"/>
  <c r="G70" i="18"/>
  <c r="C71" i="18"/>
  <c r="D71" i="18"/>
  <c r="E71" i="18"/>
  <c r="F71" i="18"/>
  <c r="G71" i="18"/>
  <c r="C72" i="18"/>
  <c r="D72" i="18"/>
  <c r="E72" i="18"/>
  <c r="F72" i="18"/>
  <c r="G72" i="18"/>
  <c r="C73" i="18"/>
  <c r="D73" i="18"/>
  <c r="E73" i="18"/>
  <c r="F73" i="18"/>
  <c r="G73" i="18"/>
  <c r="H73" i="18"/>
  <c r="H72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67" i="18"/>
  <c r="C69" i="18" s="1"/>
  <c r="D67" i="18"/>
  <c r="D69" i="18" s="1"/>
  <c r="E67" i="18"/>
  <c r="E69" i="18" s="1"/>
  <c r="F67" i="18"/>
  <c r="F69" i="18" s="1"/>
  <c r="G67" i="18"/>
  <c r="G69" i="18" s="1"/>
  <c r="H67" i="18"/>
  <c r="H69" i="18" s="1"/>
  <c r="H71" i="18"/>
  <c r="H70" i="18"/>
  <c r="Y43" i="18" l="1"/>
  <c r="X65" i="18"/>
  <c r="T23" i="18"/>
  <c r="S91" i="18"/>
  <c r="S97" i="18" s="1"/>
  <c r="AB29" i="18"/>
  <c r="AE31" i="18"/>
  <c r="AC31" i="18"/>
  <c r="AC22" i="18"/>
  <c r="AE22" i="18"/>
  <c r="V36" i="18"/>
  <c r="V88" i="18" s="1"/>
  <c r="V94" i="18" s="1"/>
  <c r="Q72" i="18"/>
  <c r="Q73" i="18"/>
  <c r="Q71" i="18"/>
  <c r="Q69" i="18"/>
  <c r="Q70" i="18"/>
  <c r="Q22" i="18"/>
  <c r="Q21" i="18"/>
  <c r="Q67" i="18"/>
  <c r="S20" i="18"/>
  <c r="S50" i="18" s="1"/>
  <c r="T21" i="18"/>
  <c r="Q65" i="18"/>
  <c r="Q164" i="18"/>
  <c r="Y65" i="18" l="1"/>
  <c r="Z43" i="18"/>
  <c r="U23" i="18"/>
  <c r="T91" i="18"/>
  <c r="T97" i="18" s="1"/>
  <c r="AE29" i="18"/>
  <c r="AC29" i="18"/>
  <c r="T20" i="18"/>
  <c r="S67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5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88" i="18" s="1"/>
  <c r="W94" i="18" s="1"/>
  <c r="O63" i="18"/>
  <c r="O169" i="18" s="1"/>
  <c r="O62" i="18"/>
  <c r="O60" i="18"/>
  <c r="O59" i="18"/>
  <c r="O57" i="18"/>
  <c r="O170" i="18" s="1"/>
  <c r="O56" i="18"/>
  <c r="O55" i="18"/>
  <c r="O53" i="18"/>
  <c r="O52" i="18"/>
  <c r="O167" i="18" s="1"/>
  <c r="O51" i="18"/>
  <c r="O49" i="18"/>
  <c r="Z65" i="18" l="1"/>
  <c r="AA43" i="18"/>
  <c r="T67" i="18"/>
  <c r="S120" i="18"/>
  <c r="S130" i="18"/>
  <c r="S121" i="18"/>
  <c r="S131" i="18"/>
  <c r="V23" i="18"/>
  <c r="U91" i="18"/>
  <c r="U97" i="18" s="1"/>
  <c r="S114" i="18"/>
  <c r="S115" i="18"/>
  <c r="S113" i="18"/>
  <c r="S103" i="18"/>
  <c r="P108" i="18"/>
  <c r="Q108" i="18" s="1"/>
  <c r="Q107" i="18"/>
  <c r="S87" i="18"/>
  <c r="S93" i="18" s="1"/>
  <c r="S111" i="18"/>
  <c r="S110" i="18"/>
  <c r="T18" i="18"/>
  <c r="O166" i="18"/>
  <c r="O171" i="18"/>
  <c r="U20" i="18"/>
  <c r="T27" i="18"/>
  <c r="X36" i="18"/>
  <c r="X88" i="18" s="1"/>
  <c r="X94" i="18" s="1"/>
  <c r="T25" i="18"/>
  <c r="T85" i="18" s="1"/>
  <c r="S81" i="18"/>
  <c r="V21" i="18"/>
  <c r="AC33" i="18"/>
  <c r="AC34" i="18"/>
  <c r="AC9" i="18"/>
  <c r="O61" i="18"/>
  <c r="O168" i="18" s="1"/>
  <c r="D57" i="18"/>
  <c r="E57" i="18"/>
  <c r="F57" i="18"/>
  <c r="G57" i="18"/>
  <c r="G170" i="18" s="1"/>
  <c r="H57" i="18"/>
  <c r="H170" i="18" s="1"/>
  <c r="I57" i="18"/>
  <c r="I170" i="18" s="1"/>
  <c r="J57" i="18"/>
  <c r="J170" i="18" s="1"/>
  <c r="K57" i="18"/>
  <c r="K170" i="18" s="1"/>
  <c r="L57" i="18"/>
  <c r="L170" i="18" s="1"/>
  <c r="M57" i="18"/>
  <c r="M170" i="18" s="1"/>
  <c r="N57" i="18"/>
  <c r="N170" i="18" s="1"/>
  <c r="P57" i="18"/>
  <c r="C57" i="18"/>
  <c r="C56" i="18"/>
  <c r="AB43" i="18" l="1"/>
  <c r="AA65" i="18"/>
  <c r="T121" i="18"/>
  <c r="T131" i="18"/>
  <c r="T120" i="18"/>
  <c r="T130" i="18"/>
  <c r="W23" i="18"/>
  <c r="V91" i="18"/>
  <c r="V97" i="18" s="1"/>
  <c r="T113" i="18"/>
  <c r="T115" i="18"/>
  <c r="T114" i="18"/>
  <c r="T103" i="18"/>
  <c r="T87" i="18"/>
  <c r="T93" i="18" s="1"/>
  <c r="T111" i="18"/>
  <c r="T110" i="18"/>
  <c r="U18" i="18"/>
  <c r="V20" i="18"/>
  <c r="U67" i="18"/>
  <c r="U27" i="18"/>
  <c r="U25" i="18"/>
  <c r="T81" i="18"/>
  <c r="Y36" i="18"/>
  <c r="Y88" i="18" s="1"/>
  <c r="Y94" i="18" s="1"/>
  <c r="W21" i="18"/>
  <c r="P170" i="18"/>
  <c r="Q170" i="18" s="1"/>
  <c r="Q57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E55" i="18"/>
  <c r="F55" i="18"/>
  <c r="G55" i="18"/>
  <c r="H55" i="18"/>
  <c r="I55" i="18"/>
  <c r="J55" i="18"/>
  <c r="K55" i="18"/>
  <c r="L55" i="18"/>
  <c r="M55" i="18"/>
  <c r="N55" i="18"/>
  <c r="P55" i="18"/>
  <c r="C55" i="18"/>
  <c r="AE43" i="18" l="1"/>
  <c r="AB65" i="18"/>
  <c r="AC43" i="18"/>
  <c r="U120" i="18"/>
  <c r="U130" i="18"/>
  <c r="U121" i="18"/>
  <c r="U131" i="18"/>
  <c r="U85" i="18"/>
  <c r="X23" i="18"/>
  <c r="W91" i="18"/>
  <c r="W97" i="18" s="1"/>
  <c r="U115" i="18"/>
  <c r="U114" i="18"/>
  <c r="U113" i="18"/>
  <c r="U103" i="18"/>
  <c r="U87" i="18"/>
  <c r="U93" i="18" s="1"/>
  <c r="U111" i="18"/>
  <c r="U110" i="18"/>
  <c r="V18" i="18"/>
  <c r="W20" i="18"/>
  <c r="V67" i="18"/>
  <c r="V27" i="18"/>
  <c r="V25" i="18"/>
  <c r="V85" i="18" s="1"/>
  <c r="U81" i="18"/>
  <c r="Z36" i="18"/>
  <c r="Z88" i="18" s="1"/>
  <c r="Z94" i="18" s="1"/>
  <c r="X21" i="18"/>
  <c r="Q55" i="18"/>
  <c r="Q56" i="18"/>
  <c r="C46" i="15"/>
  <c r="S152" i="18" l="1"/>
  <c r="AE65" i="18"/>
  <c r="T152" i="18" s="1"/>
  <c r="AC65" i="18"/>
  <c r="V121" i="18"/>
  <c r="V131" i="18"/>
  <c r="V120" i="18"/>
  <c r="V130" i="18"/>
  <c r="Y23" i="18"/>
  <c r="X91" i="18"/>
  <c r="X97" i="18" s="1"/>
  <c r="V103" i="18"/>
  <c r="V115" i="18"/>
  <c r="V114" i="18"/>
  <c r="V113" i="18"/>
  <c r="V87" i="18"/>
  <c r="V93" i="18" s="1"/>
  <c r="V111" i="18"/>
  <c r="V110" i="18"/>
  <c r="W18" i="18"/>
  <c r="X20" i="18"/>
  <c r="W67" i="18"/>
  <c r="W27" i="18"/>
  <c r="W25" i="18"/>
  <c r="V81" i="18"/>
  <c r="AA36" i="18"/>
  <c r="AA88" i="18" s="1"/>
  <c r="AA94" i="18" s="1"/>
  <c r="Y21" i="18"/>
  <c r="S164" i="18"/>
  <c r="S172" i="18" s="1"/>
  <c r="C49" i="18"/>
  <c r="D49" i="18"/>
  <c r="E49" i="18"/>
  <c r="F49" i="18"/>
  <c r="H49" i="18"/>
  <c r="I49" i="18"/>
  <c r="J49" i="18"/>
  <c r="K49" i="18"/>
  <c r="L49" i="18"/>
  <c r="L171" i="18" s="1"/>
  <c r="M49" i="18"/>
  <c r="N49" i="18"/>
  <c r="N171" i="18" s="1"/>
  <c r="P49" i="18"/>
  <c r="D63" i="18"/>
  <c r="D169" i="18" s="1"/>
  <c r="E63" i="18"/>
  <c r="E169" i="18" s="1"/>
  <c r="F63" i="18"/>
  <c r="F169" i="18" s="1"/>
  <c r="G63" i="18"/>
  <c r="H63" i="18"/>
  <c r="H169" i="18" s="1"/>
  <c r="I63" i="18"/>
  <c r="I169" i="18" s="1"/>
  <c r="J63" i="18"/>
  <c r="J169" i="18" s="1"/>
  <c r="K63" i="18"/>
  <c r="K169" i="18" s="1"/>
  <c r="L63" i="18"/>
  <c r="L169" i="18" s="1"/>
  <c r="M63" i="18"/>
  <c r="M169" i="18" s="1"/>
  <c r="N63" i="18"/>
  <c r="P63" i="18"/>
  <c r="D62" i="18"/>
  <c r="E62" i="18"/>
  <c r="F62" i="18"/>
  <c r="G62" i="18"/>
  <c r="H62" i="18"/>
  <c r="I62" i="18"/>
  <c r="J62" i="18"/>
  <c r="K62" i="18"/>
  <c r="L62" i="18"/>
  <c r="M62" i="18"/>
  <c r="N62" i="18"/>
  <c r="P62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D59" i="18"/>
  <c r="D61" i="18" s="1"/>
  <c r="D168" i="18" s="1"/>
  <c r="E59" i="18"/>
  <c r="E61" i="18" s="1"/>
  <c r="E168" i="18" s="1"/>
  <c r="F59" i="18"/>
  <c r="G59" i="18"/>
  <c r="H59" i="18"/>
  <c r="I59" i="18"/>
  <c r="J59" i="18"/>
  <c r="K59" i="18"/>
  <c r="L59" i="18"/>
  <c r="M59" i="18"/>
  <c r="N59" i="18"/>
  <c r="P59" i="18"/>
  <c r="D53" i="18"/>
  <c r="E53" i="18"/>
  <c r="F53" i="18"/>
  <c r="G53" i="18"/>
  <c r="H53" i="18"/>
  <c r="I53" i="18"/>
  <c r="J53" i="18"/>
  <c r="K53" i="18"/>
  <c r="L53" i="18"/>
  <c r="M53" i="18"/>
  <c r="N53" i="18"/>
  <c r="P53" i="18"/>
  <c r="D52" i="18"/>
  <c r="D167" i="18" s="1"/>
  <c r="E52" i="18"/>
  <c r="E167" i="18" s="1"/>
  <c r="F52" i="18"/>
  <c r="F167" i="18" s="1"/>
  <c r="G52" i="18"/>
  <c r="H52" i="18"/>
  <c r="H167" i="18" s="1"/>
  <c r="I52" i="18"/>
  <c r="I167" i="18" s="1"/>
  <c r="J52" i="18"/>
  <c r="J167" i="18" s="1"/>
  <c r="K52" i="18"/>
  <c r="K167" i="18" s="1"/>
  <c r="L52" i="18"/>
  <c r="L167" i="18" s="1"/>
  <c r="M52" i="18"/>
  <c r="M167" i="18" s="1"/>
  <c r="N52" i="18"/>
  <c r="P52" i="18"/>
  <c r="C63" i="18"/>
  <c r="C169" i="18" s="1"/>
  <c r="C62" i="18"/>
  <c r="C60" i="18"/>
  <c r="C59" i="18"/>
  <c r="C53" i="18"/>
  <c r="C52" i="18"/>
  <c r="C167" i="18" s="1"/>
  <c r="D51" i="18"/>
  <c r="E51" i="18"/>
  <c r="F51" i="18"/>
  <c r="G51" i="18"/>
  <c r="H51" i="18"/>
  <c r="I51" i="18"/>
  <c r="J51" i="18"/>
  <c r="K51" i="18"/>
  <c r="L51" i="18"/>
  <c r="M51" i="18"/>
  <c r="N51" i="18"/>
  <c r="P51" i="18"/>
  <c r="C51" i="18"/>
  <c r="S15" i="18"/>
  <c r="S118" i="18" s="1"/>
  <c r="S16" i="18"/>
  <c r="S126" i="18" s="1"/>
  <c r="S127" i="18" s="1"/>
  <c r="S40" i="18"/>
  <c r="S89" i="18" s="1"/>
  <c r="S95" i="18" s="1"/>
  <c r="S10" i="18"/>
  <c r="S12" i="18"/>
  <c r="S13" i="18"/>
  <c r="S7" i="18"/>
  <c r="S6" i="18"/>
  <c r="P184" i="18" l="1"/>
  <c r="S184" i="18"/>
  <c r="S100" i="18"/>
  <c r="R152" i="18"/>
  <c r="P176" i="18" s="1"/>
  <c r="W120" i="18"/>
  <c r="W130" i="18"/>
  <c r="W85" i="18"/>
  <c r="W121" i="18"/>
  <c r="W131" i="18"/>
  <c r="Z23" i="18"/>
  <c r="Y91" i="18"/>
  <c r="Y97" i="18" s="1"/>
  <c r="S83" i="18"/>
  <c r="S84" i="18"/>
  <c r="S124" i="18"/>
  <c r="S123" i="18"/>
  <c r="S90" i="18"/>
  <c r="S96" i="18" s="1"/>
  <c r="S119" i="18"/>
  <c r="H171" i="18"/>
  <c r="H166" i="18"/>
  <c r="W103" i="18"/>
  <c r="W114" i="18"/>
  <c r="W113" i="18"/>
  <c r="W115" i="18"/>
  <c r="S102" i="18"/>
  <c r="S107" i="18"/>
  <c r="S108" i="18" s="1"/>
  <c r="W87" i="18"/>
  <c r="W93" i="18" s="1"/>
  <c r="W111" i="18"/>
  <c r="W110" i="18"/>
  <c r="S101" i="18"/>
  <c r="X18" i="18"/>
  <c r="D166" i="18"/>
  <c r="D170" i="18" s="1"/>
  <c r="D171" i="18"/>
  <c r="E166" i="18"/>
  <c r="E170" i="18" s="1"/>
  <c r="E171" i="18"/>
  <c r="C166" i="18"/>
  <c r="C170" i="18" s="1"/>
  <c r="C171" i="18"/>
  <c r="P166" i="18"/>
  <c r="P173" i="18" s="1"/>
  <c r="Q173" i="18" s="1"/>
  <c r="P171" i="18"/>
  <c r="Q171" i="18" s="1"/>
  <c r="K166" i="18"/>
  <c r="K171" i="18"/>
  <c r="F166" i="18"/>
  <c r="F170" i="18" s="1"/>
  <c r="F171" i="18"/>
  <c r="J166" i="18"/>
  <c r="J171" i="18"/>
  <c r="M166" i="18"/>
  <c r="M171" i="18"/>
  <c r="I166" i="18"/>
  <c r="I171" i="18"/>
  <c r="Q134" i="18"/>
  <c r="Y20" i="18"/>
  <c r="X67" i="18"/>
  <c r="H61" i="18"/>
  <c r="H168" i="18" s="1"/>
  <c r="X27" i="18"/>
  <c r="T12" i="18"/>
  <c r="T15" i="18"/>
  <c r="T118" i="18" s="1"/>
  <c r="T13" i="18"/>
  <c r="T10" i="18"/>
  <c r="T16" i="18"/>
  <c r="T126" i="18" s="1"/>
  <c r="T127" i="18" s="1"/>
  <c r="T6" i="18"/>
  <c r="T7" i="18"/>
  <c r="X25" i="18"/>
  <c r="X85" i="18" s="1"/>
  <c r="W81" i="18"/>
  <c r="T40" i="18"/>
  <c r="T89" i="18" s="1"/>
  <c r="T95" i="18" s="1"/>
  <c r="S82" i="18"/>
  <c r="AB36" i="18"/>
  <c r="F61" i="18"/>
  <c r="F168" i="18" s="1"/>
  <c r="L61" i="18"/>
  <c r="L168" i="18" s="1"/>
  <c r="K61" i="18"/>
  <c r="K168" i="18" s="1"/>
  <c r="J61" i="18"/>
  <c r="J168" i="18" s="1"/>
  <c r="Z21" i="18"/>
  <c r="C61" i="18"/>
  <c r="C168" i="18" s="1"/>
  <c r="T164" i="18"/>
  <c r="T172" i="18" s="1"/>
  <c r="I61" i="18"/>
  <c r="I168" i="18" s="1"/>
  <c r="Q51" i="18"/>
  <c r="G167" i="18"/>
  <c r="Q52" i="18"/>
  <c r="Q53" i="18"/>
  <c r="Q60" i="18"/>
  <c r="Q62" i="18"/>
  <c r="G166" i="18"/>
  <c r="Q49" i="18"/>
  <c r="G169" i="18"/>
  <c r="Q63" i="18"/>
  <c r="G61" i="18"/>
  <c r="Q59" i="18"/>
  <c r="N167" i="18"/>
  <c r="N166" i="18"/>
  <c r="N169" i="18"/>
  <c r="P167" i="18"/>
  <c r="L166" i="18"/>
  <c r="N61" i="18"/>
  <c r="M61" i="18"/>
  <c r="M168" i="18" s="1"/>
  <c r="P169" i="18"/>
  <c r="P61" i="18"/>
  <c r="S60" i="18"/>
  <c r="C6" i="12"/>
  <c r="C26" i="15"/>
  <c r="C58" i="15"/>
  <c r="C57" i="15"/>
  <c r="C54" i="15"/>
  <c r="C53" i="15"/>
  <c r="C50" i="15"/>
  <c r="C49" i="15"/>
  <c r="C45" i="15"/>
  <c r="T184" i="18" l="1"/>
  <c r="U184" i="18" s="1"/>
  <c r="V184" i="18" s="1"/>
  <c r="W184" i="18" s="1"/>
  <c r="X184" i="18" s="1"/>
  <c r="Y184" i="18" s="1"/>
  <c r="Z184" i="18" s="1"/>
  <c r="AA184" i="18" s="1"/>
  <c r="AB184" i="18" s="1"/>
  <c r="AC184" i="18" s="1"/>
  <c r="AD184" i="18" s="1"/>
  <c r="AE184" i="18" s="1"/>
  <c r="AF184" i="18" s="1"/>
  <c r="AG184" i="18" s="1"/>
  <c r="AH184" i="18" s="1"/>
  <c r="AI184" i="18" s="1"/>
  <c r="AJ184" i="18" s="1"/>
  <c r="AK184" i="18" s="1"/>
  <c r="AL184" i="18" s="1"/>
  <c r="AM184" i="18" s="1"/>
  <c r="AN184" i="18" s="1"/>
  <c r="AO184" i="18" s="1"/>
  <c r="AP184" i="18" s="1"/>
  <c r="AQ184" i="18" s="1"/>
  <c r="AR184" i="18" s="1"/>
  <c r="AS184" i="18" s="1"/>
  <c r="S185" i="18"/>
  <c r="P183" i="18"/>
  <c r="S183" i="18"/>
  <c r="T100" i="18"/>
  <c r="X120" i="18"/>
  <c r="X130" i="18"/>
  <c r="X121" i="18"/>
  <c r="X131" i="18"/>
  <c r="AE36" i="18"/>
  <c r="AB88" i="18"/>
  <c r="AA23" i="18"/>
  <c r="Z91" i="18"/>
  <c r="Z97" i="18" s="1"/>
  <c r="T124" i="18"/>
  <c r="T123" i="18"/>
  <c r="T90" i="18"/>
  <c r="T96" i="18" s="1"/>
  <c r="T119" i="18"/>
  <c r="T84" i="18"/>
  <c r="X113" i="18"/>
  <c r="X114" i="18"/>
  <c r="X115" i="18"/>
  <c r="X103" i="18"/>
  <c r="X87" i="18"/>
  <c r="X93" i="18" s="1"/>
  <c r="X111" i="18"/>
  <c r="X110" i="18"/>
  <c r="T101" i="18"/>
  <c r="T102" i="18"/>
  <c r="Y18" i="18"/>
  <c r="Z20" i="18"/>
  <c r="Y67" i="18"/>
  <c r="S59" i="18"/>
  <c r="S76" i="18"/>
  <c r="S55" i="18"/>
  <c r="S57" i="18"/>
  <c r="S170" i="18" s="1"/>
  <c r="S63" i="18"/>
  <c r="S169" i="18" s="1"/>
  <c r="S73" i="18"/>
  <c r="S75" i="18"/>
  <c r="S128" i="18" s="1"/>
  <c r="S47" i="18"/>
  <c r="S46" i="18"/>
  <c r="S165" i="18" s="1"/>
  <c r="S56" i="18"/>
  <c r="S52" i="18"/>
  <c r="S53" i="18"/>
  <c r="S62" i="18"/>
  <c r="S51" i="18"/>
  <c r="S77" i="18"/>
  <c r="S49" i="18"/>
  <c r="S171" i="18" s="1"/>
  <c r="Y27" i="18"/>
  <c r="U15" i="18"/>
  <c r="U118" i="18" s="1"/>
  <c r="U13" i="18"/>
  <c r="U12" i="18"/>
  <c r="S61" i="18"/>
  <c r="U16" i="18"/>
  <c r="U126" i="18" s="1"/>
  <c r="U127" i="18" s="1"/>
  <c r="U10" i="18"/>
  <c r="U7" i="18"/>
  <c r="U6" i="18"/>
  <c r="AC36" i="18"/>
  <c r="Y25" i="18"/>
  <c r="Y85" i="18" s="1"/>
  <c r="X81" i="18"/>
  <c r="U40" i="18"/>
  <c r="U89" i="18" s="1"/>
  <c r="U95" i="18" s="1"/>
  <c r="T83" i="18"/>
  <c r="T82" i="18"/>
  <c r="T42" i="18"/>
  <c r="S70" i="18"/>
  <c r="S71" i="18"/>
  <c r="S72" i="18"/>
  <c r="S69" i="18"/>
  <c r="AA21" i="18"/>
  <c r="U164" i="18"/>
  <c r="U172" i="18" s="1"/>
  <c r="Q167" i="18"/>
  <c r="Q166" i="18"/>
  <c r="Q169" i="18"/>
  <c r="G168" i="18"/>
  <c r="Q61" i="18"/>
  <c r="N168" i="18"/>
  <c r="P168" i="18"/>
  <c r="C16" i="15"/>
  <c r="C21" i="15"/>
  <c r="C10" i="15"/>
  <c r="AC88" i="18" l="1"/>
  <c r="AB94" i="18"/>
  <c r="AC94" i="18" s="1"/>
  <c r="T185" i="18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T183" i="18"/>
  <c r="U183" i="18" s="1"/>
  <c r="V183" i="18" s="1"/>
  <c r="W183" i="18" s="1"/>
  <c r="X183" i="18" s="1"/>
  <c r="Y183" i="18" s="1"/>
  <c r="Z183" i="18" s="1"/>
  <c r="AA183" i="18" s="1"/>
  <c r="AB183" i="18" s="1"/>
  <c r="AC183" i="18" s="1"/>
  <c r="S182" i="18"/>
  <c r="U100" i="18"/>
  <c r="T105" i="18"/>
  <c r="T106" i="18" s="1"/>
  <c r="T107" i="18" s="1"/>
  <c r="T108" i="18" s="1"/>
  <c r="T50" i="18"/>
  <c r="Y120" i="18"/>
  <c r="Y130" i="18"/>
  <c r="Y121" i="18"/>
  <c r="Y131" i="18"/>
  <c r="AB23" i="18"/>
  <c r="AA91" i="18"/>
  <c r="AA97" i="18" s="1"/>
  <c r="U90" i="18"/>
  <c r="U96" i="18" s="1"/>
  <c r="U119" i="18"/>
  <c r="U124" i="18"/>
  <c r="U123" i="18"/>
  <c r="U84" i="18"/>
  <c r="Y115" i="18"/>
  <c r="Y114" i="18"/>
  <c r="Y113" i="18"/>
  <c r="Y103" i="18"/>
  <c r="T59" i="18"/>
  <c r="Y87" i="18"/>
  <c r="Y93" i="18" s="1"/>
  <c r="Y111" i="18"/>
  <c r="Y110" i="18"/>
  <c r="U101" i="18"/>
  <c r="U102" i="18"/>
  <c r="T55" i="18"/>
  <c r="Z18" i="18"/>
  <c r="AA20" i="18"/>
  <c r="Z67" i="18"/>
  <c r="T57" i="18"/>
  <c r="T170" i="18" s="1"/>
  <c r="T63" i="18"/>
  <c r="T169" i="18" s="1"/>
  <c r="T73" i="18"/>
  <c r="T75" i="18"/>
  <c r="T128" i="18" s="1"/>
  <c r="T46" i="18"/>
  <c r="T165" i="18" s="1"/>
  <c r="T47" i="18"/>
  <c r="T52" i="18"/>
  <c r="T51" i="18"/>
  <c r="T62" i="18"/>
  <c r="T77" i="18"/>
  <c r="T56" i="18"/>
  <c r="T53" i="18"/>
  <c r="T49" i="18"/>
  <c r="T171" i="18" s="1"/>
  <c r="T60" i="18"/>
  <c r="T76" i="18"/>
  <c r="Z27" i="18"/>
  <c r="V13" i="18"/>
  <c r="V12" i="18"/>
  <c r="V15" i="18"/>
  <c r="V118" i="18" s="1"/>
  <c r="V10" i="18"/>
  <c r="V16" i="18"/>
  <c r="V126" i="18" s="1"/>
  <c r="V127" i="18" s="1"/>
  <c r="V6" i="18"/>
  <c r="V7" i="18"/>
  <c r="V40" i="18"/>
  <c r="V89" i="18" s="1"/>
  <c r="V95" i="18" s="1"/>
  <c r="U83" i="18"/>
  <c r="U82" i="18"/>
  <c r="Z25" i="18"/>
  <c r="Z85" i="18" s="1"/>
  <c r="Y81" i="18"/>
  <c r="U42" i="18"/>
  <c r="T72" i="18"/>
  <c r="T71" i="18"/>
  <c r="T70" i="18"/>
  <c r="T69" i="18"/>
  <c r="AB21" i="18"/>
  <c r="AE21" i="18" s="1"/>
  <c r="S168" i="18"/>
  <c r="V164" i="18"/>
  <c r="V172" i="18" s="1"/>
  <c r="S166" i="18"/>
  <c r="S173" i="18" s="1"/>
  <c r="S167" i="18"/>
  <c r="Q168" i="18"/>
  <c r="D31" i="8"/>
  <c r="D29" i="8"/>
  <c r="D28" i="8"/>
  <c r="D13" i="8"/>
  <c r="D30" i="8" s="1"/>
  <c r="E14" i="8"/>
  <c r="F14" i="8" s="1"/>
  <c r="G14" i="8" s="1"/>
  <c r="H14" i="8" s="1"/>
  <c r="I14" i="8" s="1"/>
  <c r="T182" i="18" l="1"/>
  <c r="U182" i="18" s="1"/>
  <c r="V182" i="18" s="1"/>
  <c r="W182" i="18" s="1"/>
  <c r="X182" i="18" s="1"/>
  <c r="Y182" i="18" s="1"/>
  <c r="Z182" i="18" s="1"/>
  <c r="AA182" i="18" s="1"/>
  <c r="AB182" i="18" s="1"/>
  <c r="AC182" i="18" s="1"/>
  <c r="AD183" i="18"/>
  <c r="AE183" i="18" s="1"/>
  <c r="AF183" i="18" s="1"/>
  <c r="AG183" i="18" s="1"/>
  <c r="AH183" i="18" s="1"/>
  <c r="AI183" i="18" s="1"/>
  <c r="AJ183" i="18" s="1"/>
  <c r="AK183" i="18" s="1"/>
  <c r="AL183" i="18" s="1"/>
  <c r="AM183" i="18" s="1"/>
  <c r="AN183" i="18" s="1"/>
  <c r="AO183" i="18" s="1"/>
  <c r="AP183" i="18" s="1"/>
  <c r="AQ183" i="18" s="1"/>
  <c r="AR183" i="18" s="1"/>
  <c r="AS183" i="18" s="1"/>
  <c r="V100" i="18"/>
  <c r="U105" i="18"/>
  <c r="U106" i="18" s="1"/>
  <c r="U107" i="18" s="1"/>
  <c r="U108" i="18" s="1"/>
  <c r="U50" i="18"/>
  <c r="Z120" i="18"/>
  <c r="Z130" i="18"/>
  <c r="Z121" i="18"/>
  <c r="Z131" i="18"/>
  <c r="AE23" i="18"/>
  <c r="AB91" i="18"/>
  <c r="AC23" i="18"/>
  <c r="V84" i="18"/>
  <c r="V123" i="18"/>
  <c r="V124" i="18"/>
  <c r="V90" i="18"/>
  <c r="V96" i="18" s="1"/>
  <c r="V119" i="18"/>
  <c r="Z115" i="18"/>
  <c r="Z114" i="18"/>
  <c r="Z113" i="18"/>
  <c r="Z103" i="18"/>
  <c r="U59" i="18"/>
  <c r="T61" i="18"/>
  <c r="T168" i="18" s="1"/>
  <c r="Z87" i="18"/>
  <c r="Z93" i="18" s="1"/>
  <c r="Z111" i="18"/>
  <c r="Z110" i="18"/>
  <c r="V102" i="18"/>
  <c r="V101" i="18"/>
  <c r="AA18" i="18"/>
  <c r="AB20" i="18"/>
  <c r="AA67" i="18"/>
  <c r="U77" i="18"/>
  <c r="U76" i="18"/>
  <c r="U55" i="18"/>
  <c r="U63" i="18"/>
  <c r="U169" i="18" s="1"/>
  <c r="U62" i="18"/>
  <c r="U57" i="18"/>
  <c r="U170" i="18" s="1"/>
  <c r="U60" i="18"/>
  <c r="U51" i="18"/>
  <c r="U73" i="18"/>
  <c r="U75" i="18"/>
  <c r="U128" i="18" s="1"/>
  <c r="U47" i="18"/>
  <c r="U46" i="18"/>
  <c r="U165" i="18" s="1"/>
  <c r="U56" i="18"/>
  <c r="U52" i="18"/>
  <c r="U53" i="18"/>
  <c r="U49" i="18"/>
  <c r="U171" i="18" s="1"/>
  <c r="AA27" i="18"/>
  <c r="W12" i="18"/>
  <c r="W15" i="18"/>
  <c r="W118" i="18" s="1"/>
  <c r="W13" i="18"/>
  <c r="W16" i="18"/>
  <c r="W126" i="18" s="1"/>
  <c r="W127" i="18" s="1"/>
  <c r="W10" i="18"/>
  <c r="W7" i="18"/>
  <c r="W6" i="18"/>
  <c r="AA25" i="18"/>
  <c r="Z81" i="18"/>
  <c r="W40" i="18"/>
  <c r="W89" i="18" s="1"/>
  <c r="W95" i="18" s="1"/>
  <c r="V82" i="18"/>
  <c r="V83" i="18"/>
  <c r="V42" i="18"/>
  <c r="U72" i="18"/>
  <c r="U70" i="18"/>
  <c r="U71" i="18"/>
  <c r="U69" i="18"/>
  <c r="AC21" i="18"/>
  <c r="W164" i="18"/>
  <c r="W172" i="18" s="1"/>
  <c r="T166" i="18"/>
  <c r="T173" i="18" s="1"/>
  <c r="T167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C91" i="18" l="1"/>
  <c r="AB97" i="18"/>
  <c r="AC97" i="18" s="1"/>
  <c r="AD182" i="18"/>
  <c r="AE182" i="18" s="1"/>
  <c r="AF182" i="18" s="1"/>
  <c r="AG182" i="18" s="1"/>
  <c r="AH182" i="18" s="1"/>
  <c r="AI182" i="18" s="1"/>
  <c r="AJ182" i="18" s="1"/>
  <c r="AK182" i="18" s="1"/>
  <c r="AL182" i="18" s="1"/>
  <c r="AM182" i="18" s="1"/>
  <c r="AN182" i="18" s="1"/>
  <c r="AO182" i="18" s="1"/>
  <c r="AP182" i="18" s="1"/>
  <c r="AQ182" i="18" s="1"/>
  <c r="AR182" i="18" s="1"/>
  <c r="AS182" i="18" s="1"/>
  <c r="W100" i="18"/>
  <c r="V105" i="18"/>
  <c r="V106" i="18" s="1"/>
  <c r="V107" i="18" s="1"/>
  <c r="V108" i="18" s="1"/>
  <c r="V50" i="18"/>
  <c r="AA120" i="18"/>
  <c r="AA130" i="18"/>
  <c r="AA121" i="18"/>
  <c r="AA131" i="18"/>
  <c r="AE20" i="18"/>
  <c r="AA85" i="18"/>
  <c r="W124" i="18"/>
  <c r="W123" i="18"/>
  <c r="W90" i="18"/>
  <c r="W96" i="18" s="1"/>
  <c r="W119" i="18"/>
  <c r="W84" i="18"/>
  <c r="AA114" i="18"/>
  <c r="AA113" i="18"/>
  <c r="AA115" i="18"/>
  <c r="AA103" i="18"/>
  <c r="U61" i="18"/>
  <c r="U168" i="18" s="1"/>
  <c r="AA87" i="18"/>
  <c r="AA93" i="18" s="1"/>
  <c r="AA111" i="18"/>
  <c r="AA110" i="18"/>
  <c r="V62" i="18"/>
  <c r="W102" i="18"/>
  <c r="W101" i="18"/>
  <c r="AB18" i="18"/>
  <c r="V77" i="18"/>
  <c r="V53" i="18"/>
  <c r="V60" i="18"/>
  <c r="AC20" i="18"/>
  <c r="AB67" i="18"/>
  <c r="V51" i="18"/>
  <c r="V59" i="18"/>
  <c r="V56" i="18"/>
  <c r="V76" i="18"/>
  <c r="V52" i="18"/>
  <c r="V57" i="18"/>
  <c r="V170" i="18" s="1"/>
  <c r="V73" i="18"/>
  <c r="V75" i="18"/>
  <c r="V128" i="18" s="1"/>
  <c r="V46" i="18"/>
  <c r="V165" i="18" s="1"/>
  <c r="V47" i="18"/>
  <c r="V55" i="18"/>
  <c r="V63" i="18"/>
  <c r="V169" i="18" s="1"/>
  <c r="V49" i="18"/>
  <c r="V171" i="18" s="1"/>
  <c r="AB27" i="18"/>
  <c r="AB131" i="18" s="1"/>
  <c r="AC131" i="18" s="1"/>
  <c r="X15" i="18"/>
  <c r="X118" i="18" s="1"/>
  <c r="X13" i="18"/>
  <c r="X12" i="18"/>
  <c r="X10" i="18"/>
  <c r="X16" i="18"/>
  <c r="X126" i="18" s="1"/>
  <c r="X127" i="18" s="1"/>
  <c r="X6" i="18"/>
  <c r="X7" i="18"/>
  <c r="X40" i="18"/>
  <c r="X89" i="18" s="1"/>
  <c r="X95" i="18" s="1"/>
  <c r="W83" i="18"/>
  <c r="W82" i="18"/>
  <c r="AB25" i="18"/>
  <c r="AB85" i="18" s="1"/>
  <c r="AC85" i="18" s="1"/>
  <c r="AA81" i="18"/>
  <c r="W42" i="18"/>
  <c r="V72" i="18"/>
  <c r="V70" i="18"/>
  <c r="V71" i="18"/>
  <c r="V69" i="18"/>
  <c r="X164" i="18"/>
  <c r="X172" i="18" s="1"/>
  <c r="U166" i="18"/>
  <c r="U173" i="18" s="1"/>
  <c r="U167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0" i="18" l="1"/>
  <c r="W105" i="18"/>
  <c r="W106" i="18" s="1"/>
  <c r="W107" i="18" s="1"/>
  <c r="W108" i="18" s="1"/>
  <c r="W50" i="18"/>
  <c r="AB120" i="18"/>
  <c r="AC120" i="18" s="1"/>
  <c r="AB130" i="18"/>
  <c r="AC130" i="18" s="1"/>
  <c r="X90" i="18"/>
  <c r="X96" i="18" s="1"/>
  <c r="X119" i="18"/>
  <c r="X124" i="18"/>
  <c r="X123" i="18"/>
  <c r="AE27" i="18"/>
  <c r="AB121" i="18"/>
  <c r="AC121" i="18" s="1"/>
  <c r="X84" i="18"/>
  <c r="AB113" i="18"/>
  <c r="AC113" i="18" s="1"/>
  <c r="AB115" i="18"/>
  <c r="AC115" i="18" s="1"/>
  <c r="AB114" i="18"/>
  <c r="AC114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3" i="18"/>
  <c r="AC103" i="18" s="1"/>
  <c r="V61" i="18"/>
  <c r="V168" i="18" s="1"/>
  <c r="W60" i="18"/>
  <c r="AB87" i="18"/>
  <c r="AB111" i="18"/>
  <c r="AC111" i="18" s="1"/>
  <c r="AB110" i="18"/>
  <c r="AC110" i="18" s="1"/>
  <c r="X102" i="18"/>
  <c r="X101" i="18"/>
  <c r="AE25" i="18"/>
  <c r="AE18" i="18"/>
  <c r="AC18" i="18"/>
  <c r="S154" i="18"/>
  <c r="AE67" i="18"/>
  <c r="AC67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3" i="18"/>
  <c r="W169" i="18" s="1"/>
  <c r="W62" i="18"/>
  <c r="W57" i="18"/>
  <c r="W170" i="18" s="1"/>
  <c r="W59" i="18"/>
  <c r="W56" i="18"/>
  <c r="W76" i="18"/>
  <c r="W55" i="18"/>
  <c r="W77" i="18"/>
  <c r="W73" i="18"/>
  <c r="W75" i="18"/>
  <c r="W128" i="18" s="1"/>
  <c r="W47" i="18"/>
  <c r="W46" i="18"/>
  <c r="W165" i="18" s="1"/>
  <c r="W51" i="18"/>
  <c r="W52" i="18"/>
  <c r="W53" i="18"/>
  <c r="W49" i="18"/>
  <c r="W171" i="18" s="1"/>
  <c r="AC27" i="18"/>
  <c r="Y12" i="18"/>
  <c r="Y15" i="18"/>
  <c r="Y118" i="18" s="1"/>
  <c r="Y13" i="18"/>
  <c r="Y10" i="18"/>
  <c r="Y16" i="18"/>
  <c r="Y126" i="18" s="1"/>
  <c r="Y127" i="18" s="1"/>
  <c r="Y7" i="18"/>
  <c r="Y6" i="18"/>
  <c r="AC25" i="18"/>
  <c r="AB81" i="18"/>
  <c r="AC81" i="18" s="1"/>
  <c r="Y40" i="18"/>
  <c r="Y89" i="18" s="1"/>
  <c r="Y95" i="18" s="1"/>
  <c r="X83" i="18"/>
  <c r="X82" i="18"/>
  <c r="O31" i="9"/>
  <c r="O32" i="9" s="1"/>
  <c r="X42" i="18"/>
  <c r="W72" i="18"/>
  <c r="W70" i="18"/>
  <c r="W71" i="18"/>
  <c r="W69" i="18"/>
  <c r="Y164" i="18"/>
  <c r="Y172" i="18" s="1"/>
  <c r="V166" i="18"/>
  <c r="V173" i="18" s="1"/>
  <c r="V167" i="18"/>
  <c r="P31" i="11"/>
  <c r="N32" i="11"/>
  <c r="T19" i="9"/>
  <c r="D22" i="9"/>
  <c r="AC87" i="18" l="1"/>
  <c r="AB93" i="18"/>
  <c r="AC93" i="18" s="1"/>
  <c r="Y100" i="18"/>
  <c r="X105" i="18"/>
  <c r="X106" i="18" s="1"/>
  <c r="X107" i="18" s="1"/>
  <c r="X108" i="18" s="1"/>
  <c r="X50" i="18"/>
  <c r="Y124" i="18"/>
  <c r="Y123" i="18"/>
  <c r="Y90" i="18"/>
  <c r="Y96" i="18" s="1"/>
  <c r="Y119" i="18"/>
  <c r="Y84" i="18"/>
  <c r="W61" i="18"/>
  <c r="W168" i="18" s="1"/>
  <c r="X53" i="18"/>
  <c r="Y101" i="18"/>
  <c r="Y102" i="18"/>
  <c r="T154" i="18"/>
  <c r="R154" i="18" s="1"/>
  <c r="X55" i="18"/>
  <c r="X62" i="18"/>
  <c r="X49" i="18"/>
  <c r="X171" i="18" s="1"/>
  <c r="X57" i="18"/>
  <c r="X170" i="18" s="1"/>
  <c r="X52" i="18"/>
  <c r="X51" i="18"/>
  <c r="X73" i="18"/>
  <c r="X75" i="18"/>
  <c r="X128" i="18" s="1"/>
  <c r="X47" i="18"/>
  <c r="X46" i="18"/>
  <c r="X165" i="18" s="1"/>
  <c r="X77" i="18"/>
  <c r="X56" i="18"/>
  <c r="X63" i="18"/>
  <c r="X169" i="18" s="1"/>
  <c r="X60" i="18"/>
  <c r="X59" i="18"/>
  <c r="X76" i="18"/>
  <c r="Z13" i="18"/>
  <c r="Z12" i="18"/>
  <c r="Z15" i="18"/>
  <c r="Z118" i="18" s="1"/>
  <c r="Z10" i="18"/>
  <c r="Z16" i="18"/>
  <c r="Z126" i="18" s="1"/>
  <c r="Z127" i="18" s="1"/>
  <c r="Z6" i="18"/>
  <c r="Z7" i="18"/>
  <c r="Z40" i="18"/>
  <c r="Z89" i="18" s="1"/>
  <c r="Z95" i="18" s="1"/>
  <c r="Y83" i="18"/>
  <c r="Y82" i="18"/>
  <c r="Y42" i="18"/>
  <c r="X72" i="18"/>
  <c r="X70" i="18"/>
  <c r="X71" i="18"/>
  <c r="X69" i="18"/>
  <c r="Z164" i="18"/>
  <c r="Z172" i="18" s="1"/>
  <c r="W166" i="18"/>
  <c r="W173" i="18" s="1"/>
  <c r="W167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0" i="18" l="1"/>
  <c r="Y105" i="18"/>
  <c r="Y106" i="18" s="1"/>
  <c r="Y107" i="18" s="1"/>
  <c r="Y108" i="18" s="1"/>
  <c r="Y50" i="18"/>
  <c r="Z90" i="18"/>
  <c r="Z96" i="18" s="1"/>
  <c r="Z119" i="18"/>
  <c r="Z123" i="18"/>
  <c r="Z124" i="18"/>
  <c r="Z84" i="18"/>
  <c r="Z101" i="18"/>
  <c r="Z102" i="18"/>
  <c r="X61" i="18"/>
  <c r="X168" i="18" s="1"/>
  <c r="Y73" i="18"/>
  <c r="Y75" i="18"/>
  <c r="Y128" i="18" s="1"/>
  <c r="Y46" i="18"/>
  <c r="Y165" i="18" s="1"/>
  <c r="Y47" i="18"/>
  <c r="Y57" i="18"/>
  <c r="Y170" i="18" s="1"/>
  <c r="Y63" i="18"/>
  <c r="Y169" i="18" s="1"/>
  <c r="Y62" i="18"/>
  <c r="Y60" i="18"/>
  <c r="Y51" i="18"/>
  <c r="Y49" i="18"/>
  <c r="Y171" i="18" s="1"/>
  <c r="Y56" i="18"/>
  <c r="Y52" i="18"/>
  <c r="Y53" i="18"/>
  <c r="Y59" i="18"/>
  <c r="Y76" i="18"/>
  <c r="Y55" i="18"/>
  <c r="Y77" i="18"/>
  <c r="AA12" i="18"/>
  <c r="AA15" i="18"/>
  <c r="AA118" i="18" s="1"/>
  <c r="AA13" i="18"/>
  <c r="AA10" i="18"/>
  <c r="AA16" i="18"/>
  <c r="AA126" i="18" s="1"/>
  <c r="AA127" i="18" s="1"/>
  <c r="AA7" i="18"/>
  <c r="AA6" i="18"/>
  <c r="AA40" i="18"/>
  <c r="AA89" i="18" s="1"/>
  <c r="AA95" i="18" s="1"/>
  <c r="Z82" i="18"/>
  <c r="Z83" i="18"/>
  <c r="Z42" i="18"/>
  <c r="Y72" i="18"/>
  <c r="Y70" i="18"/>
  <c r="Y71" i="18"/>
  <c r="Y69" i="18"/>
  <c r="AA164" i="18"/>
  <c r="AA172" i="18" s="1"/>
  <c r="X166" i="18"/>
  <c r="X173" i="18" s="1"/>
  <c r="X167" i="18"/>
  <c r="N34" i="11"/>
  <c r="O33" i="11"/>
  <c r="D25" i="8"/>
  <c r="D23" i="8"/>
  <c r="AA100" i="18" l="1"/>
  <c r="Z105" i="18"/>
  <c r="Z106" i="18" s="1"/>
  <c r="Z107" i="18" s="1"/>
  <c r="Z108" i="18" s="1"/>
  <c r="Z50" i="18"/>
  <c r="AA84" i="18"/>
  <c r="AA123" i="18"/>
  <c r="AA124" i="18"/>
  <c r="AA90" i="18"/>
  <c r="AA96" i="18" s="1"/>
  <c r="AA119" i="18"/>
  <c r="AA101" i="18"/>
  <c r="AA102" i="18"/>
  <c r="Y61" i="18"/>
  <c r="Y168" i="18" s="1"/>
  <c r="Z73" i="18"/>
  <c r="Z75" i="18"/>
  <c r="Z128" i="18" s="1"/>
  <c r="Z47" i="18"/>
  <c r="Z46" i="18"/>
  <c r="Z165" i="18" s="1"/>
  <c r="Z51" i="18"/>
  <c r="Z62" i="18"/>
  <c r="Z52" i="18"/>
  <c r="Z57" i="18"/>
  <c r="Z170" i="18" s="1"/>
  <c r="Z60" i="18"/>
  <c r="Z59" i="18"/>
  <c r="Z77" i="18"/>
  <c r="Z63" i="18"/>
  <c r="Z169" i="18" s="1"/>
  <c r="Z49" i="18"/>
  <c r="Z171" i="18" s="1"/>
  <c r="Z56" i="18"/>
  <c r="Z76" i="18"/>
  <c r="Z55" i="18"/>
  <c r="Z53" i="18"/>
  <c r="AB15" i="18"/>
  <c r="AB13" i="18"/>
  <c r="AE13" i="18" s="1"/>
  <c r="AB12" i="18"/>
  <c r="AB119" i="18" s="1"/>
  <c r="AC119" i="18" s="1"/>
  <c r="AB10" i="18"/>
  <c r="AB16" i="18"/>
  <c r="AB6" i="18"/>
  <c r="AE6" i="18" s="1"/>
  <c r="AB7" i="18"/>
  <c r="AE7" i="18" s="1"/>
  <c r="AB40" i="18"/>
  <c r="AB89" i="18" s="1"/>
  <c r="AA83" i="18"/>
  <c r="AA82" i="18"/>
  <c r="AA42" i="18"/>
  <c r="Z72" i="18"/>
  <c r="Z70" i="18"/>
  <c r="Z71" i="18"/>
  <c r="Z69" i="18"/>
  <c r="AB164" i="18"/>
  <c r="AB172" i="18" s="1"/>
  <c r="Y166" i="18"/>
  <c r="Y173" i="18" s="1"/>
  <c r="Y167" i="18"/>
  <c r="N35" i="11"/>
  <c r="O34" i="11"/>
  <c r="D35" i="8"/>
  <c r="E5" i="8"/>
  <c r="E18" i="8" s="1"/>
  <c r="D18" i="8"/>
  <c r="D19" i="8"/>
  <c r="D21" i="8"/>
  <c r="D20" i="8"/>
  <c r="AC89" i="18" l="1"/>
  <c r="AB95" i="18"/>
  <c r="AC95" i="18" s="1"/>
  <c r="AB100" i="18"/>
  <c r="AC172" i="18"/>
  <c r="AE172" i="18" s="1"/>
  <c r="AA105" i="18"/>
  <c r="AA106" i="18" s="1"/>
  <c r="AA107" i="18" s="1"/>
  <c r="AA108" i="18" s="1"/>
  <c r="AA50" i="18"/>
  <c r="AE16" i="18"/>
  <c r="AB126" i="18"/>
  <c r="AB124" i="18"/>
  <c r="AC124" i="18" s="1"/>
  <c r="AB123" i="18"/>
  <c r="AC123" i="18" s="1"/>
  <c r="AE15" i="18"/>
  <c r="AB118" i="18"/>
  <c r="AC118" i="18" s="1"/>
  <c r="AB84" i="18"/>
  <c r="AC84" i="18" s="1"/>
  <c r="AE10" i="18"/>
  <c r="AC100" i="18"/>
  <c r="AE12" i="18"/>
  <c r="AB90" i="18"/>
  <c r="AE40" i="18"/>
  <c r="AB101" i="18"/>
  <c r="AC101" i="18" s="1"/>
  <c r="AB102" i="18"/>
  <c r="AC102" i="18" s="1"/>
  <c r="Z61" i="18"/>
  <c r="Z168" i="18" s="1"/>
  <c r="AA73" i="18"/>
  <c r="AA75" i="18"/>
  <c r="AA128" i="18" s="1"/>
  <c r="AA46" i="18"/>
  <c r="AA165" i="18" s="1"/>
  <c r="AA47" i="18"/>
  <c r="AA55" i="18"/>
  <c r="AA63" i="18"/>
  <c r="AA169" i="18" s="1"/>
  <c r="AA49" i="18"/>
  <c r="AA171" i="18" s="1"/>
  <c r="AA57" i="18"/>
  <c r="AA170" i="18" s="1"/>
  <c r="AA60" i="18"/>
  <c r="AA76" i="18"/>
  <c r="AA51" i="18"/>
  <c r="AA52" i="18"/>
  <c r="AA53" i="18"/>
  <c r="AA56" i="18"/>
  <c r="AA77" i="18"/>
  <c r="AA59" i="18"/>
  <c r="AA62" i="18"/>
  <c r="AC15" i="18"/>
  <c r="AC13" i="18"/>
  <c r="S148" i="18"/>
  <c r="AC12" i="18"/>
  <c r="AC10" i="18"/>
  <c r="AC16" i="18"/>
  <c r="AC7" i="18"/>
  <c r="AC6" i="18"/>
  <c r="AB83" i="18"/>
  <c r="AC83" i="18" s="1"/>
  <c r="AB82" i="18"/>
  <c r="AC82" i="18" s="1"/>
  <c r="AC40" i="18"/>
  <c r="AB42" i="18"/>
  <c r="AA72" i="18"/>
  <c r="AA70" i="18"/>
  <c r="AA71" i="18"/>
  <c r="AA69" i="18"/>
  <c r="AC164" i="18"/>
  <c r="AE164" i="18" s="1"/>
  <c r="Z166" i="18"/>
  <c r="Z173" i="18" s="1"/>
  <c r="Z167" i="18"/>
  <c r="N36" i="11"/>
  <c r="O35" i="11"/>
  <c r="F5" i="8"/>
  <c r="G5" i="8" s="1"/>
  <c r="H5" i="8" s="1"/>
  <c r="I5" i="8" s="1"/>
  <c r="AC90" i="18" l="1"/>
  <c r="AB96" i="18"/>
  <c r="AC96" i="18" s="1"/>
  <c r="AB105" i="18"/>
  <c r="AB106" i="18" s="1"/>
  <c r="AB107" i="18" s="1"/>
  <c r="AB108" i="18" s="1"/>
  <c r="AB50" i="18"/>
  <c r="AC126" i="18"/>
  <c r="AB127" i="18"/>
  <c r="AC127" i="18" s="1"/>
  <c r="AE42" i="18"/>
  <c r="T148" i="18"/>
  <c r="T149" i="18" s="1"/>
  <c r="AA61" i="18"/>
  <c r="AA168" i="18" s="1"/>
  <c r="AB73" i="18"/>
  <c r="AB75" i="18"/>
  <c r="AB46" i="18"/>
  <c r="AB165" i="18" s="1"/>
  <c r="AC165" i="18" s="1"/>
  <c r="AE165" i="18" s="1"/>
  <c r="AB47" i="18"/>
  <c r="AB55" i="18"/>
  <c r="AB60" i="18"/>
  <c r="AB49" i="18"/>
  <c r="AB57" i="18"/>
  <c r="AB53" i="18"/>
  <c r="AB76" i="18"/>
  <c r="AB52" i="18"/>
  <c r="AE52" i="18" s="1"/>
  <c r="AB51" i="18"/>
  <c r="AB62" i="18"/>
  <c r="AB77" i="18"/>
  <c r="AB56" i="18"/>
  <c r="AB63" i="18"/>
  <c r="AB59" i="18"/>
  <c r="S149" i="18"/>
  <c r="AB72" i="18"/>
  <c r="AB70" i="18"/>
  <c r="AC42" i="18"/>
  <c r="AB71" i="18"/>
  <c r="AB69" i="18"/>
  <c r="AA166" i="18"/>
  <c r="AA173" i="18" s="1"/>
  <c r="AA167" i="18"/>
  <c r="N37" i="11"/>
  <c r="O36" i="11"/>
  <c r="F18" i="8"/>
  <c r="G18" i="8"/>
  <c r="AE49" i="18" l="1"/>
  <c r="AB171" i="18"/>
  <c r="AE50" i="18"/>
  <c r="AC50" i="18"/>
  <c r="AE75" i="18"/>
  <c r="AB128" i="18"/>
  <c r="AC128" i="18" s="1"/>
  <c r="AC105" i="18"/>
  <c r="R148" i="18"/>
  <c r="R149" i="18"/>
  <c r="M179" i="18" s="1"/>
  <c r="AC76" i="18"/>
  <c r="AE76" i="18"/>
  <c r="AC47" i="18"/>
  <c r="AE47" i="18"/>
  <c r="S145" i="18"/>
  <c r="AE62" i="18"/>
  <c r="AB169" i="18"/>
  <c r="AC169" i="18" s="1"/>
  <c r="AE169" i="18" s="1"/>
  <c r="AE63" i="18"/>
  <c r="AC46" i="18"/>
  <c r="AE46" i="18"/>
  <c r="AC60" i="18"/>
  <c r="AE60" i="18"/>
  <c r="S139" i="18"/>
  <c r="AE59" i="18"/>
  <c r="S138" i="18"/>
  <c r="AE53" i="18"/>
  <c r="AB170" i="18"/>
  <c r="AC170" i="18" s="1"/>
  <c r="AE170" i="18" s="1"/>
  <c r="AE57" i="18"/>
  <c r="AC56" i="18"/>
  <c r="AE56" i="18"/>
  <c r="S136" i="18"/>
  <c r="AE51" i="18"/>
  <c r="S141" i="18"/>
  <c r="AE55" i="18"/>
  <c r="AC77" i="18"/>
  <c r="AE77" i="18"/>
  <c r="S161" i="18"/>
  <c r="AE73" i="18"/>
  <c r="S159" i="18"/>
  <c r="AE72" i="18"/>
  <c r="S158" i="18"/>
  <c r="AE71" i="18"/>
  <c r="S156" i="18"/>
  <c r="AE69" i="18"/>
  <c r="S157" i="18"/>
  <c r="AE70" i="18"/>
  <c r="AC62" i="18"/>
  <c r="S142" i="18"/>
  <c r="AC51" i="18"/>
  <c r="AC53" i="18"/>
  <c r="T138" i="18" s="1"/>
  <c r="AC55" i="18"/>
  <c r="S143" i="18"/>
  <c r="AC73" i="18"/>
  <c r="AC59" i="18"/>
  <c r="S146" i="18"/>
  <c r="AB61" i="18"/>
  <c r="AC57" i="18"/>
  <c r="AC63" i="18"/>
  <c r="AC75" i="18"/>
  <c r="AC71" i="18"/>
  <c r="AC70" i="18"/>
  <c r="AC69" i="18"/>
  <c r="AC72" i="18"/>
  <c r="S135" i="18"/>
  <c r="AC49" i="18"/>
  <c r="AB166" i="18"/>
  <c r="AB173" i="18" s="1"/>
  <c r="AC173" i="18" s="1"/>
  <c r="AE173" i="18" s="1"/>
  <c r="AC52" i="18"/>
  <c r="T137" i="18" s="1"/>
  <c r="AB167" i="18"/>
  <c r="S137" i="18"/>
  <c r="N38" i="11"/>
  <c r="O37" i="11"/>
  <c r="H18" i="8"/>
  <c r="AC171" i="18" l="1"/>
  <c r="AE171" i="18" s="1"/>
  <c r="T135" i="18"/>
  <c r="R135" i="18" s="1"/>
  <c r="P181" i="18" s="1"/>
  <c r="P182" i="18" s="1"/>
  <c r="P179" i="18"/>
  <c r="AC106" i="18"/>
  <c r="T146" i="18"/>
  <c r="R146" i="18" s="1"/>
  <c r="T136" i="18"/>
  <c r="R136" i="18" s="1"/>
  <c r="M178" i="18" s="1"/>
  <c r="T145" i="18"/>
  <c r="R145" i="18" s="1"/>
  <c r="T141" i="18"/>
  <c r="R141" i="18" s="1"/>
  <c r="T143" i="18"/>
  <c r="R143" i="18" s="1"/>
  <c r="T161" i="18"/>
  <c r="R161" i="18" s="1"/>
  <c r="T158" i="18"/>
  <c r="R158" i="18" s="1"/>
  <c r="AC61" i="18"/>
  <c r="AE61" i="18"/>
  <c r="T139" i="18"/>
  <c r="R139" i="18" s="1"/>
  <c r="R138" i="18"/>
  <c r="T142" i="18"/>
  <c r="R142" i="18" s="1"/>
  <c r="T156" i="18"/>
  <c r="R156" i="18" s="1"/>
  <c r="AB168" i="18"/>
  <c r="AC168" i="18" s="1"/>
  <c r="AE168" i="18" s="1"/>
  <c r="T159" i="18"/>
  <c r="R159" i="18" s="1"/>
  <c r="T157" i="18"/>
  <c r="R157" i="18" s="1"/>
  <c r="AC167" i="18"/>
  <c r="AE167" i="18" s="1"/>
  <c r="AC166" i="18"/>
  <c r="AE166" i="18" s="1"/>
  <c r="R137" i="18"/>
  <c r="N39" i="11"/>
  <c r="O38" i="11"/>
  <c r="I18" i="8"/>
  <c r="P180" i="18" l="1"/>
  <c r="M180" i="18"/>
  <c r="P178" i="18"/>
  <c r="P177" i="18"/>
  <c r="M177" i="18"/>
  <c r="AC108" i="18"/>
  <c r="AC107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2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71" authorId="0">
      <text>
        <r>
          <rPr>
            <b/>
            <sz val="9"/>
            <color indexed="81"/>
            <rFont val="Tahoma"/>
            <charset val="1"/>
          </rPr>
          <t>Vignesh:</t>
        </r>
        <r>
          <rPr>
            <sz val="9"/>
            <color indexed="81"/>
            <rFont val="Tahoma"/>
            <charset val="1"/>
          </rPr>
          <t xml:space="preserve">
If entire Earning Per Share is return to shareholder, then EPS/Price is defined as earnings yield. In-directly, how much ROR will be earned by 
investor / shareholder </t>
        </r>
      </text>
    </comment>
    <comment ref="B173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<sst xmlns="http://schemas.openxmlformats.org/spreadsheetml/2006/main" count="615" uniqueCount="426">
  <si>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</si>
  <si>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</si>
  <si>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</si>
  <si>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</si>
  <si>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</si>
  <si>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</si>
  <si>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</si>
  <si>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</si>
  <si>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</si>
  <si>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</si>
  <si>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</si>
  <si>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</si>
  <si>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</si>
  <si>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</si>
  <si>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</si>
  <si>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</si>
  <si>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</si>
  <si>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</si>
  <si>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</si>
  <si>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</si>
  <si>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</si>
  <si>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</si>
  <si>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</si>
  <si>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</si>
  <si>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</si>
  <si>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</si>
  <si>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</si>
  <si>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</si>
  <si>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</si>
  <si>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</si>
  <si>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</si>
  <si>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</si>
  <si>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</si>
  <si>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</si>
  <si>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</si>
  <si>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</si>
  <si>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</si>
  <si>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</si>
  <si>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</si>
  <si>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</si>
  <si>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</si>
  <si>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</si>
  <si>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</si>
  <si>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</si>
  <si>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</si>
  <si>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</si>
  <si>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</si>
  <si>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</si>
  <si>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</si>
  <si>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</si>
  <si>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</si>
  <si>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</si>
  <si>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</si>
  <si>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</si>
  <si>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</si>
  <si>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</si>
  <si>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</si>
  <si>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</si>
  <si>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</si>
  <si>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</si>
  <si>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</si>
  <si>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</si>
  <si>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</si>
  <si>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</si>
  <si>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</si>
  <si>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</si>
  <si>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</si>
  <si>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</si>
  <si>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</si>
  <si>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</si>
  <si>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</si>
  <si>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</si>
  <si>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</si>
  <si>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</si>
  <si>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</si>
  <si>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</si>
  <si>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</si>
  <si>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</si>
  <si>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</si>
  <si>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</si>
  <si>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</si>
  <si>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</si>
  <si>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</si>
  <si>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</si>
  <si>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</si>
  <si>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</si>
  <si>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</si>
  <si>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</si>
  <si>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</si>
  <si>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</si>
  <si>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</si>
  <si>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</si>
  <si>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</si>
  <si>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</si>
  <si>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</si>
  <si>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</si>
  <si>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</si>
  <si>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</si>
  <si>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</si>
  <si>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</si>
  <si>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</si>
  <si>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</si>
  <si>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</si>
  <si>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</si>
  <si>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</si>
  <si>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</si>
  <si>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</si>
  <si>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</si>
  <si>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</si>
  <si>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</si>
  <si>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</si>
  <si>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</si>
  <si>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</si>
  <si>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</si>
  <si>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</si>
  <si>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</si>
  <si>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</si>
  <si>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</si>
  <si>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</si>
  <si>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</si>
  <si>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</si>
  <si>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</si>
  <si>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</si>
  <si>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</si>
  <si>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</si>
  <si>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</si>
  <si>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</si>
  <si>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</si>
  <si>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</si>
  <si>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</si>
  <si>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</si>
  <si>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</si>
  <si>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</si>
  <si>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</si>
  <si>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</si>
  <si>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</si>
  <si>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</si>
  <si>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</si>
  <si>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</si>
  <si>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</si>
  <si>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</si>
  <si>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</si>
  <si>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</si>
  <si>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</si>
  <si>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</si>
  <si>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</si>
  <si>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</si>
  <si>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</si>
  <si>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</si>
  <si>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</si>
  <si>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</si>
  <si>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</si>
  <si>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</si>
  <si>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</si>
  <si>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</si>
  <si>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</si>
  <si>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</si>
  <si>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</si>
  <si>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</si>
  <si>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</si>
  <si>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</si>
  <si>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</si>
  <si>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</si>
  <si>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</si>
  <si>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</si>
  <si>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</si>
  <si>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</si>
  <si>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</si>
  <si>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</si>
  <si>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</si>
  <si>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</si>
  <si>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</si>
  <si>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</si>
  <si>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</si>
  <si>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</si>
  <si>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</si>
  <si>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</si>
  <si>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</si>
  <si>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</si>
  <si>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</si>
  <si>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</si>
  <si>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</si>
  <si>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</si>
  <si>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</si>
  <si>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</si>
  <si>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</si>
  <si>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</si>
  <si>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</si>
  <si>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</si>
  <si>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</si>
  <si>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</si>
  <si>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</si>
  <si>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</si>
  <si>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</si>
  <si>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</si>
  <si>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</si>
  <si>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</si>
  <si>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</si>
  <si>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</si>
  <si>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</si>
  <si>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</si>
  <si>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</si>
  <si>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</si>
  <si>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</si>
  <si>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</si>
  <si>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</si>
  <si>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</si>
  <si>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</si>
  <si>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</si>
  <si>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</si>
  <si>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</si>
  <si>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</si>
  <si>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</si>
  <si>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</si>
  <si>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</si>
  <si>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</si>
  <si>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</si>
  <si>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</si>
  <si>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</si>
  <si>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</si>
  <si>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</si>
  <si>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</si>
  <si>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</si>
  <si>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</si>
  <si>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</si>
  <si>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</si>
  <si>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</si>
  <si>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</si>
  <si>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</si>
  <si>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</si>
  <si>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</si>
  <si>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</si>
  <si>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</si>
  <si>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</si>
  <si>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</si>
  <si>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</si>
  <si>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</si>
  <si>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</si>
  <si>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</si>
  <si>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</si>
  <si>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</si>
  <si>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</si>
  <si>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</si>
  <si>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</si>
  <si>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</si>
  <si>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</si>
  <si>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</si>
  <si>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</si>
  <si>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</si>
  <si>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</si>
  <si>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</si>
  <si>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</si>
  <si>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</si>
  <si>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</si>
  <si>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</si>
  <si>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</si>
  <si>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</si>
  <si>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</si>
  <si>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</si>
  <si>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</si>
  <si>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</si>
  <si>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</si>
  <si>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</si>
  <si>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</si>
  <si>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</si>
  <si>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</si>
  <si>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</si>
  <si>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</si>
  <si>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</si>
  <si>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</si>
  <si>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</si>
  <si>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</si>
  <si>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</si>
  <si>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</si>
  <si>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</si>
  <si>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</si>
  <si>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</si>
  <si>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</si>
  <si>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</si>
  <si>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</si>
  <si>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</si>
  <si>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</si>
  <si>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</si>
  <si>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</si>
  <si>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</si>
  <si>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</si>
  <si>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</si>
  <si>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</si>
  <si>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</si>
  <si>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</si>
  <si>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</si>
  <si>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</si>
  <si>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</si>
  <si>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</si>
  <si>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</si>
  <si>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</si>
  <si>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</si>
  <si>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</si>
  <si>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</si>
  <si>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</si>
  <si>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</si>
  <si>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</si>
  <si>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</si>
  <si>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</si>
  <si>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</si>
  <si>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</si>
  <si>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</si>
  <si>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</si>
  <si>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</si>
  <si>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</si>
  <si>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</si>
  <si>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</si>
  <si>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</si>
  <si>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</si>
  <si>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</si>
  <si>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</si>
  <si>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</si>
  <si>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</si>
  <si>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</si>
  <si>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</si>
  <si>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</si>
  <si>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</si>
  <si>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</si>
  <si>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</si>
  <si>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</si>
  <si>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</si>
  <si>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</si>
  <si>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</si>
  <si>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</si>
  <si>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</si>
  <si>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</si>
  <si>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</si>
  <si>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</si>
  <si>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</si>
  <si>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</si>
  <si>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</si>
  <si>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</si>
  <si>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</si>
  <si>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</si>
  <si>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</si>
  <si>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</si>
  <si>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</si>
  <si>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</si>
  <si>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</si>
  <si>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</si>
  <si>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</si>
  <si>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</si>
  <si>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</si>
  <si>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</si>
  <si>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</si>
  <si>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</si>
  <si>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</si>
  <si>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</si>
  <si>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</si>
  <si>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</si>
  <si>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</si>
  <si>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</si>
  <si>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</si>
  <si>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</si>
  <si>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</si>
  <si>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</si>
  <si>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</si>
  <si>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</si>
  <si>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</si>
  <si>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</si>
  <si>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</si>
  <si>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</si>
  <si>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</si>
  <si>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</si>
  <si>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</si>
  <si>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</si>
  <si>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</si>
  <si>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</si>
  <si>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</si>
  <si>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</si>
  <si>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</si>
  <si>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</si>
  <si>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</si>
  <si>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</si>
  <si>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</si>
  <si>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</si>
  <si>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</si>
  <si>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</si>
  <si>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</si>
  <si>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</si>
  <si>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</si>
  <si>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</si>
  <si>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</si>
  <si>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</si>
  <si>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</si>
  <si>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</si>
  <si>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</si>
  <si>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</si>
  <si>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</si>
  <si>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</si>
  <si>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</si>
  <si>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</si>
  <si>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</si>
  <si>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</si>
  <si>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</si>
  <si>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</si>
  <si>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</si>
  <si>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</si>
  <si>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</si>
  <si>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</si>
  <si>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</si>
  <si>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</si>
  <si>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</si>
  <si>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</si>
  <si>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</si>
  <si>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</si>
  <si>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</si>
  <si>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</si>
  <si>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</si>
  <si>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</si>
  <si>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</si>
  <si>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</si>
  <si>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</si>
  <si>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</si>
  <si>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</si>
  <si>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</si>
  <si>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</si>
  <si>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</si>
  <si>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</si>
  <si>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Top Expenses ( Power &amp; Fuel Cost )</t>
  </si>
  <si>
    <t>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</si>
</sst>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17088"/>
        <c:axId val="100127488"/>
      </c:lineChart>
      <c:catAx>
        <c:axId val="99417088"/>
        <c:scaling>
          <c:orientation val="minMax"/>
        </c:scaling>
        <c:delete val="0"/>
        <c:axPos val="b"/>
        <c:majorTickMark val="out"/>
        <c:minorTickMark val="none"/>
        <c:tickLblPos val="nextTo"/>
        <c:crossAx val="100127488"/>
        <c:crosses val="autoZero"/>
        <c:auto val="1"/>
        <c:lblAlgn val="ctr"/>
        <c:lblOffset val="100"/>
        <c:noMultiLvlLbl val="0"/>
      </c:catAx>
      <c:valAx>
        <c:axId val="100127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41708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318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4"/>
  <sheetViews>
    <sheetView tabSelected="1" zoomScale="80" zoomScaleNormal="80" workbookViewId="0">
      <pane xSplit="2" ySplit="3" topLeftCell="C151" activePane="bottomRight" state="frozen"/>
      <selection pane="topRight" activeCell="C1" sqref="C1"/>
      <selection pane="bottomLeft" activeCell="A5" sqref="A5"/>
      <selection pane="bottomRight" activeCell="P164" sqref="P164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0.18</v>
      </c>
      <c r="F1" s="104" t="s">
        <v>252</v>
      </c>
      <c r="H1" s="126">
        <v>2004</v>
      </c>
      <c r="J1" s="104" t="s">
        <v>326</v>
      </c>
      <c r="L1" s="164">
        <v>0</v>
      </c>
      <c r="N1" s="104" t="s">
        <v>398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327</v>
      </c>
      <c r="L2" s="164">
        <v>0.06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1" t="s">
        <v>291</v>
      </c>
      <c r="AE2" s="192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3" t="s">
        <v>292</v>
      </c>
      <c r="AE3" s="194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1275</v>
      </c>
      <c r="H6" s="147">
        <v>1996</v>
      </c>
      <c r="I6" s="147">
        <v>2268</v>
      </c>
      <c r="J6" s="147">
        <v>2973</v>
      </c>
      <c r="K6" s="147">
        <v>4156</v>
      </c>
      <c r="L6" s="147">
        <v>4067</v>
      </c>
      <c r="M6" s="147">
        <v>5549</v>
      </c>
      <c r="N6" s="147">
        <v>5876</v>
      </c>
      <c r="O6" s="147">
        <v>5844</v>
      </c>
      <c r="P6" s="147">
        <v>6189</v>
      </c>
      <c r="Q6" s="118">
        <f>((P6/G6)^(1/($H$2-$H$1) ))-1</f>
        <v>0.19188533860615897</v>
      </c>
      <c r="R6" s="31">
        <f>$L$2</f>
        <v>0.06</v>
      </c>
      <c r="S6" s="154">
        <f>P6*(1+$R6)</f>
        <v>6560.34</v>
      </c>
      <c r="T6" s="154">
        <f>S6*(1+$R6)</f>
        <v>6953.9604000000008</v>
      </c>
      <c r="U6" s="154">
        <f t="shared" ref="U6:AB6" si="0">T6*(1+$R6)</f>
        <v>7371.1980240000012</v>
      </c>
      <c r="V6" s="154">
        <f t="shared" si="0"/>
        <v>7813.4699054400016</v>
      </c>
      <c r="W6" s="154">
        <f t="shared" si="0"/>
        <v>8282.2780997664013</v>
      </c>
      <c r="X6" s="154">
        <f t="shared" si="0"/>
        <v>8779.2147857523851</v>
      </c>
      <c r="Y6" s="154">
        <f t="shared" si="0"/>
        <v>9305.9676728975282</v>
      </c>
      <c r="Z6" s="154">
        <f t="shared" si="0"/>
        <v>9864.3257332713802</v>
      </c>
      <c r="AA6" s="154">
        <f t="shared" si="0"/>
        <v>10456.185277267663</v>
      </c>
      <c r="AB6" s="154">
        <f t="shared" si="0"/>
        <v>11083.556393903724</v>
      </c>
      <c r="AC6" s="138">
        <f>((AB6/G6)^(1/($AB$3-$H$1) ))-1</f>
        <v>0.12054665826520128</v>
      </c>
      <c r="AD6" s="31">
        <f>$L$1</f>
        <v>0</v>
      </c>
      <c r="AE6" s="146">
        <f t="shared" ref="AE6:AE43" si="1">(AB6*(1+AD6))/($C$1-AD6)</f>
        <v>61575.313299465131</v>
      </c>
    </row>
    <row r="7" spans="2:31" x14ac:dyDescent="0.2">
      <c r="B7" s="20" t="s">
        <v>240</v>
      </c>
      <c r="C7" s="141"/>
      <c r="D7" s="141"/>
      <c r="E7" s="147"/>
      <c r="F7" s="147"/>
      <c r="G7" s="147">
        <v>1541</v>
      </c>
      <c r="H7" s="147">
        <v>2186</v>
      </c>
      <c r="I7" s="147">
        <v>2420</v>
      </c>
      <c r="J7" s="147">
        <v>3125</v>
      </c>
      <c r="K7" s="147">
        <v>4331</v>
      </c>
      <c r="L7" s="147">
        <v>5232</v>
      </c>
      <c r="M7" s="147">
        <v>5709</v>
      </c>
      <c r="N7" s="147">
        <v>6030</v>
      </c>
      <c r="O7" s="147">
        <v>5997</v>
      </c>
      <c r="P7" s="147">
        <v>6341</v>
      </c>
      <c r="Q7" s="118">
        <f>((P7/G7)^(1/($H$2-$H$1) ))-1</f>
        <v>0.17020427241215064</v>
      </c>
      <c r="R7" s="31">
        <f>$L$2</f>
        <v>0.06</v>
      </c>
      <c r="S7" s="154">
        <f t="shared" ref="S7:S16" si="2">P7*(1+$R7)</f>
        <v>6721.46</v>
      </c>
      <c r="T7" s="154">
        <f t="shared" ref="T7:AB7" si="3">S7*(1+$R7)</f>
        <v>7124.7476000000006</v>
      </c>
      <c r="U7" s="154">
        <f t="shared" si="3"/>
        <v>7552.2324560000006</v>
      </c>
      <c r="V7" s="154">
        <f t="shared" si="3"/>
        <v>8005.3664033600007</v>
      </c>
      <c r="W7" s="154">
        <f t="shared" si="3"/>
        <v>8485.6883875616004</v>
      </c>
      <c r="X7" s="154">
        <f t="shared" si="3"/>
        <v>8994.829690815297</v>
      </c>
      <c r="Y7" s="154">
        <f t="shared" si="3"/>
        <v>9534.5194722642154</v>
      </c>
      <c r="Z7" s="154">
        <f t="shared" si="3"/>
        <v>10106.590640600069</v>
      </c>
      <c r="AA7" s="154">
        <f t="shared" si="3"/>
        <v>10712.986079036073</v>
      </c>
      <c r="AB7" s="154">
        <f t="shared" si="3"/>
        <v>11355.765243778238</v>
      </c>
      <c r="AC7" s="138">
        <f>((AB7/G7)^(1/($AB$3-$H$1) ))-1</f>
        <v>0.11084472270566548</v>
      </c>
      <c r="AD7" s="31">
        <f>$L$1</f>
        <v>0</v>
      </c>
      <c r="AE7" s="146">
        <f t="shared" si="1"/>
        <v>63087.584687656883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0.29505946935041172</v>
      </c>
      <c r="I8" s="151">
        <f t="shared" ref="I8:P8" si="4">(I7-H7)/I7</f>
        <v>9.6694214876033052E-2</v>
      </c>
      <c r="J8" s="151">
        <f t="shared" si="4"/>
        <v>0.22559999999999999</v>
      </c>
      <c r="K8" s="151">
        <f t="shared" si="4"/>
        <v>0.2784576310320942</v>
      </c>
      <c r="L8" s="151">
        <f t="shared" si="4"/>
        <v>0.17220948012232415</v>
      </c>
      <c r="M8" s="151">
        <f t="shared" si="4"/>
        <v>8.3552285864424591E-2</v>
      </c>
      <c r="N8" s="151">
        <f t="shared" si="4"/>
        <v>5.3233830845771143E-2</v>
      </c>
      <c r="O8" s="151">
        <f t="shared" si="4"/>
        <v>-5.5027513756878439E-3</v>
      </c>
      <c r="P8" s="151">
        <f t="shared" si="4"/>
        <v>5.4250118277874154E-2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340</v>
      </c>
      <c r="H9" s="147">
        <v>289</v>
      </c>
      <c r="I9" s="147">
        <v>271</v>
      </c>
      <c r="J9" s="147">
        <v>255</v>
      </c>
      <c r="K9" s="147">
        <v>350</v>
      </c>
      <c r="L9" s="147">
        <v>966</v>
      </c>
      <c r="M9" s="147">
        <v>614</v>
      </c>
      <c r="N9" s="147">
        <v>524</v>
      </c>
      <c r="O9" s="147">
        <v>1207</v>
      </c>
      <c r="P9" s="147">
        <v>1505</v>
      </c>
      <c r="Q9" s="118">
        <f t="shared" ref="Q9:Q16" si="5">((P9/G9)^(1/($H$2-$H$1) ))-1</f>
        <v>0.17973421701073389</v>
      </c>
      <c r="R9" s="31">
        <f t="shared" ref="R9:R40" si="6">$L$2</f>
        <v>0.06</v>
      </c>
      <c r="S9" s="154">
        <f t="shared" ref="S9" si="7">P9*(1+$R9)</f>
        <v>1595.3000000000002</v>
      </c>
      <c r="T9" s="154">
        <f t="shared" ref="T9" si="8">S9*(1+$R9)</f>
        <v>1691.0180000000003</v>
      </c>
      <c r="U9" s="154">
        <f t="shared" ref="U9" si="9">T9*(1+$R9)</f>
        <v>1792.4790800000003</v>
      </c>
      <c r="V9" s="154">
        <f t="shared" ref="V9" si="10">U9*(1+$R9)</f>
        <v>1900.0278248000004</v>
      </c>
      <c r="W9" s="154">
        <f t="shared" ref="W9" si="11">V9*(1+$R9)</f>
        <v>2014.0294942880005</v>
      </c>
      <c r="X9" s="154">
        <f t="shared" ref="X9" si="12">W9*(1+$R9)</f>
        <v>2134.8712639452806</v>
      </c>
      <c r="Y9" s="154">
        <f t="shared" ref="Y9" si="13">X9*(1+$R9)</f>
        <v>2262.9635397819975</v>
      </c>
      <c r="Z9" s="154">
        <f t="shared" ref="Z9" si="14">Y9*(1+$R9)</f>
        <v>2398.7413521689173</v>
      </c>
      <c r="AA9" s="154">
        <f t="shared" ref="AA9" si="15">Z9*(1+$R9)</f>
        <v>2542.6658332990523</v>
      </c>
      <c r="AB9" s="154">
        <f t="shared" ref="AB9" si="16">AA9*(1+$R9)</f>
        <v>2695.2257832969958</v>
      </c>
      <c r="AC9" s="138">
        <f>((AB9/G9)^(1/($AB$3-$H$1) ))-1</f>
        <v>0.11512077556400779</v>
      </c>
      <c r="AD9" s="31">
        <f t="shared" ref="AD9:AD76" si="17">$L$1</f>
        <v>0</v>
      </c>
      <c r="AE9" s="146">
        <f t="shared" si="1"/>
        <v>14973.4765738722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1499</v>
      </c>
      <c r="H10" s="147">
        <v>2108</v>
      </c>
      <c r="I10" s="147">
        <v>1876</v>
      </c>
      <c r="J10" s="147">
        <v>2253</v>
      </c>
      <c r="K10" s="147">
        <v>2746</v>
      </c>
      <c r="L10" s="147">
        <v>4265</v>
      </c>
      <c r="M10" s="147">
        <v>5370</v>
      </c>
      <c r="N10" s="147">
        <v>5957</v>
      </c>
      <c r="O10" s="147">
        <v>5672</v>
      </c>
      <c r="P10" s="147">
        <v>5689</v>
      </c>
      <c r="Q10" s="118">
        <f t="shared" si="5"/>
        <v>0.15973660944924939</v>
      </c>
      <c r="R10" s="31">
        <f t="shared" si="6"/>
        <v>0.06</v>
      </c>
      <c r="S10" s="154">
        <f t="shared" si="2"/>
        <v>6030.34</v>
      </c>
      <c r="T10" s="154">
        <f t="shared" ref="T10:AB10" si="18">S10*(1+$R10)</f>
        <v>6392.1604000000007</v>
      </c>
      <c r="U10" s="154">
        <f t="shared" si="18"/>
        <v>6775.6900240000014</v>
      </c>
      <c r="V10" s="154">
        <f t="shared" si="18"/>
        <v>7182.2314254400017</v>
      </c>
      <c r="W10" s="154">
        <f t="shared" si="18"/>
        <v>7613.1653109664021</v>
      </c>
      <c r="X10" s="154">
        <f t="shared" si="18"/>
        <v>8069.9552296243864</v>
      </c>
      <c r="Y10" s="154">
        <f t="shared" si="18"/>
        <v>8554.1525434018495</v>
      </c>
      <c r="Z10" s="154">
        <f t="shared" si="18"/>
        <v>9067.4016960059616</v>
      </c>
      <c r="AA10" s="154">
        <f t="shared" si="18"/>
        <v>9611.4457977663205</v>
      </c>
      <c r="AB10" s="154">
        <f t="shared" si="18"/>
        <v>10188.132545632301</v>
      </c>
      <c r="AC10" s="138">
        <f t="shared" ref="AC10:AC42" si="19">((AB10/G10)^(1/($AB$3-$H$1) ))-1</f>
        <v>0.10612674257821819</v>
      </c>
      <c r="AD10" s="31">
        <f t="shared" si="17"/>
        <v>0</v>
      </c>
      <c r="AE10" s="146">
        <f t="shared" si="1"/>
        <v>56600.736364623895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0.28889943074003793</v>
      </c>
      <c r="I11" s="148">
        <f t="shared" si="20"/>
        <v>-0.12366737739872068</v>
      </c>
      <c r="J11" s="148">
        <f t="shared" si="20"/>
        <v>0.1673324456280515</v>
      </c>
      <c r="K11" s="148">
        <f t="shared" si="20"/>
        <v>0.17953386744355426</v>
      </c>
      <c r="L11" s="148">
        <f t="shared" si="20"/>
        <v>0.35615474794841734</v>
      </c>
      <c r="M11" s="148">
        <f t="shared" si="20"/>
        <v>0.20577281191806332</v>
      </c>
      <c r="N11" s="148">
        <f t="shared" si="20"/>
        <v>9.853953332214202E-2</v>
      </c>
      <c r="O11" s="148">
        <f t="shared" si="20"/>
        <v>-5.0246826516220026E-2</v>
      </c>
      <c r="P11" s="148">
        <f t="shared" si="20"/>
        <v>2.9882228862717526E-3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246</v>
      </c>
      <c r="H12" s="147">
        <f>290+783</f>
        <v>1073</v>
      </c>
      <c r="I12" s="147">
        <f>142+1275</f>
        <v>1417</v>
      </c>
      <c r="J12" s="147">
        <f>220+953</f>
        <v>1173</v>
      </c>
      <c r="K12" s="147">
        <f>191+1045</f>
        <v>1236</v>
      </c>
      <c r="L12" s="147">
        <f>771.6+1446</f>
        <v>2217.6</v>
      </c>
      <c r="M12" s="147">
        <f>534+1209</f>
        <v>1743</v>
      </c>
      <c r="N12" s="147">
        <f>543+782</f>
        <v>1325</v>
      </c>
      <c r="O12" s="147">
        <f>3459</f>
        <v>3459</v>
      </c>
      <c r="P12" s="147">
        <v>1987</v>
      </c>
      <c r="Q12" s="118">
        <f t="shared" si="5"/>
        <v>0.26126682693174064</v>
      </c>
      <c r="R12" s="31">
        <f t="shared" si="6"/>
        <v>0.06</v>
      </c>
      <c r="S12" s="154">
        <f t="shared" si="2"/>
        <v>2106.2200000000003</v>
      </c>
      <c r="T12" s="154">
        <f t="shared" ref="T12:AB12" si="21">S12*(1+$R12)</f>
        <v>2232.5932000000003</v>
      </c>
      <c r="U12" s="154">
        <f t="shared" si="21"/>
        <v>2366.5487920000005</v>
      </c>
      <c r="V12" s="154">
        <f t="shared" si="21"/>
        <v>2508.5417195200007</v>
      </c>
      <c r="W12" s="154">
        <f t="shared" si="21"/>
        <v>2659.0542226912007</v>
      </c>
      <c r="X12" s="154">
        <f t="shared" si="21"/>
        <v>2818.5974760526728</v>
      </c>
      <c r="Y12" s="154">
        <f t="shared" si="21"/>
        <v>2987.7133246158332</v>
      </c>
      <c r="Z12" s="154">
        <f t="shared" si="21"/>
        <v>3166.9761240927833</v>
      </c>
      <c r="AA12" s="154">
        <f t="shared" si="21"/>
        <v>3356.9946915383503</v>
      </c>
      <c r="AB12" s="154">
        <f t="shared" si="21"/>
        <v>3558.4143730306514</v>
      </c>
      <c r="AC12" s="138">
        <f t="shared" si="19"/>
        <v>0.15098469318322638</v>
      </c>
      <c r="AD12" s="31">
        <f t="shared" si="17"/>
        <v>0</v>
      </c>
      <c r="AE12" s="146">
        <f t="shared" si="1"/>
        <v>19768.968739059175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399</v>
      </c>
      <c r="H13" s="147">
        <v>37</v>
      </c>
      <c r="I13" s="147">
        <v>167</v>
      </c>
      <c r="J13" s="147">
        <v>159</v>
      </c>
      <c r="K13" s="147">
        <v>317</v>
      </c>
      <c r="L13" s="147">
        <v>302</v>
      </c>
      <c r="M13" s="147">
        <v>2178</v>
      </c>
      <c r="N13" s="147">
        <v>1799</v>
      </c>
      <c r="O13" s="147">
        <v>0</v>
      </c>
      <c r="P13" s="147">
        <v>2025</v>
      </c>
      <c r="Q13" s="118">
        <f t="shared" si="5"/>
        <v>0.19779796307851694</v>
      </c>
      <c r="R13" s="31">
        <f t="shared" si="6"/>
        <v>0.06</v>
      </c>
      <c r="S13" s="154">
        <f t="shared" si="2"/>
        <v>2146.5</v>
      </c>
      <c r="T13" s="154">
        <f t="shared" ref="T13:AB13" si="22">S13*(1+$R13)</f>
        <v>2275.29</v>
      </c>
      <c r="U13" s="154">
        <f t="shared" si="22"/>
        <v>2411.8074000000001</v>
      </c>
      <c r="V13" s="154">
        <f t="shared" si="22"/>
        <v>2556.5158440000005</v>
      </c>
      <c r="W13" s="154">
        <f t="shared" si="22"/>
        <v>2709.9067946400005</v>
      </c>
      <c r="X13" s="154">
        <f t="shared" si="22"/>
        <v>2872.5012023184008</v>
      </c>
      <c r="Y13" s="154">
        <f t="shared" si="22"/>
        <v>3044.851274457505</v>
      </c>
      <c r="Z13" s="154">
        <f t="shared" si="22"/>
        <v>3227.5423509249554</v>
      </c>
      <c r="AA13" s="154">
        <f t="shared" si="22"/>
        <v>3421.1948919804527</v>
      </c>
      <c r="AB13" s="154">
        <f t="shared" si="22"/>
        <v>3626.46658549928</v>
      </c>
      <c r="AC13" s="138">
        <f t="shared" si="19"/>
        <v>0.1231763132854693</v>
      </c>
      <c r="AD13" s="31">
        <f t="shared" si="17"/>
        <v>0</v>
      </c>
      <c r="AE13" s="146">
        <f t="shared" si="1"/>
        <v>20147.036586107111</v>
      </c>
    </row>
    <row r="14" spans="2:31" x14ac:dyDescent="0.2">
      <c r="B14" s="20" t="s">
        <v>372</v>
      </c>
      <c r="C14" s="141"/>
      <c r="D14" s="141"/>
      <c r="E14" s="147"/>
      <c r="F14" s="147"/>
      <c r="G14" s="147">
        <v>51</v>
      </c>
      <c r="H14" s="147">
        <v>31.6</v>
      </c>
      <c r="I14" s="147">
        <v>37</v>
      </c>
      <c r="J14" s="147">
        <v>37</v>
      </c>
      <c r="K14" s="147">
        <v>61</v>
      </c>
      <c r="L14" s="147">
        <v>73</v>
      </c>
      <c r="M14" s="147">
        <v>86</v>
      </c>
      <c r="N14" s="147">
        <v>103</v>
      </c>
      <c r="O14" s="147">
        <v>113</v>
      </c>
      <c r="P14" s="147">
        <v>133</v>
      </c>
      <c r="Q14" s="118">
        <f t="shared" ref="Q14" si="23">((P14/G14)^(1/($H$2-$H$1) ))-1</f>
        <v>0.11238083043533176</v>
      </c>
      <c r="R14" s="31">
        <f t="shared" si="6"/>
        <v>0.06</v>
      </c>
      <c r="S14" s="154">
        <f t="shared" ref="S14" si="24">P14*(1+$R14)</f>
        <v>140.98000000000002</v>
      </c>
      <c r="T14" s="154">
        <f t="shared" ref="T14" si="25">S14*(1+$R14)</f>
        <v>149.43880000000001</v>
      </c>
      <c r="U14" s="154">
        <f t="shared" ref="U14" si="26">T14*(1+$R14)</f>
        <v>158.40512800000002</v>
      </c>
      <c r="V14" s="154">
        <f t="shared" ref="V14" si="27">U14*(1+$R14)</f>
        <v>167.90943568000003</v>
      </c>
      <c r="W14" s="154">
        <f t="shared" ref="W14" si="28">V14*(1+$R14)</f>
        <v>177.98400182080005</v>
      </c>
      <c r="X14" s="154">
        <f t="shared" ref="X14" si="29">W14*(1+$R14)</f>
        <v>188.66304193004805</v>
      </c>
      <c r="Y14" s="154">
        <f t="shared" ref="Y14" si="30">X14*(1+$R14)</f>
        <v>199.98282444585095</v>
      </c>
      <c r="Z14" s="154">
        <f t="shared" ref="Z14" si="31">Y14*(1+$R14)</f>
        <v>211.98179391260203</v>
      </c>
      <c r="AA14" s="154">
        <f t="shared" ref="AA14" si="32">Z14*(1+$R14)</f>
        <v>224.70070154735816</v>
      </c>
      <c r="AB14" s="154">
        <f t="shared" ref="AB14" si="33">AA14*(1+$R14)</f>
        <v>238.18274364019967</v>
      </c>
      <c r="AC14" s="138">
        <f t="shared" ref="AC14" si="34">((AB14/G14)^(1/($AB$3-$H$1) ))-1</f>
        <v>8.4497180436438724E-2</v>
      </c>
      <c r="AD14" s="31">
        <f t="shared" si="17"/>
        <v>0</v>
      </c>
      <c r="AE14" s="146">
        <f t="shared" ref="AE14" si="35">(AB14*(1+AD14))/($C$1-AD14)</f>
        <v>1323.2374646677761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409</v>
      </c>
      <c r="H15" s="147">
        <v>504</v>
      </c>
      <c r="I15" s="147">
        <v>267</v>
      </c>
      <c r="J15" s="147">
        <v>433</v>
      </c>
      <c r="K15" s="147">
        <v>402</v>
      </c>
      <c r="L15" s="147">
        <v>1073</v>
      </c>
      <c r="M15" s="147">
        <v>846</v>
      </c>
      <c r="N15" s="147">
        <v>874</v>
      </c>
      <c r="O15" s="147">
        <v>3902</v>
      </c>
      <c r="P15" s="147">
        <v>2491</v>
      </c>
      <c r="Q15" s="118">
        <f t="shared" si="5"/>
        <v>0.2223156714816974</v>
      </c>
      <c r="R15" s="31">
        <f t="shared" si="6"/>
        <v>0.06</v>
      </c>
      <c r="S15" s="154">
        <f t="shared" si="2"/>
        <v>2640.46</v>
      </c>
      <c r="T15" s="154">
        <f t="shared" ref="T15:AB15" si="36">S15*(1+$R15)</f>
        <v>2798.8876</v>
      </c>
      <c r="U15" s="154">
        <f t="shared" si="36"/>
        <v>2966.8208560000003</v>
      </c>
      <c r="V15" s="154">
        <f t="shared" si="36"/>
        <v>3144.8301073600005</v>
      </c>
      <c r="W15" s="154">
        <f t="shared" si="36"/>
        <v>3333.5199138016005</v>
      </c>
      <c r="X15" s="154">
        <f t="shared" si="36"/>
        <v>3533.5311086296965</v>
      </c>
      <c r="Y15" s="154">
        <f t="shared" si="36"/>
        <v>3745.5429751474785</v>
      </c>
      <c r="Z15" s="154">
        <f t="shared" si="36"/>
        <v>3970.2755536563272</v>
      </c>
      <c r="AA15" s="154">
        <f t="shared" si="36"/>
        <v>4208.4920868757072</v>
      </c>
      <c r="AB15" s="154">
        <f t="shared" si="36"/>
        <v>4461.0016120882501</v>
      </c>
      <c r="AC15" s="138">
        <f t="shared" si="19"/>
        <v>0.13400838802928861</v>
      </c>
      <c r="AD15" s="31">
        <f t="shared" si="17"/>
        <v>0</v>
      </c>
      <c r="AE15" s="146">
        <f t="shared" si="1"/>
        <v>24783.342289379169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73</v>
      </c>
      <c r="H16" s="147">
        <v>1049</v>
      </c>
      <c r="I16" s="147">
        <v>1265</v>
      </c>
      <c r="J16" s="147">
        <v>1181</v>
      </c>
      <c r="K16" s="147">
        <v>1080</v>
      </c>
      <c r="L16" s="147">
        <v>1615</v>
      </c>
      <c r="M16" s="147">
        <v>1397</v>
      </c>
      <c r="N16" s="147">
        <v>1142</v>
      </c>
      <c r="O16" s="147">
        <v>2206</v>
      </c>
      <c r="P16" s="147">
        <v>301</v>
      </c>
      <c r="Q16" s="118">
        <f t="shared" si="5"/>
        <v>0.17047031546390734</v>
      </c>
      <c r="R16" s="31">
        <f t="shared" si="6"/>
        <v>0.06</v>
      </c>
      <c r="S16" s="154">
        <f t="shared" si="2"/>
        <v>319.06</v>
      </c>
      <c r="T16" s="154">
        <f t="shared" ref="T16:AB16" si="37">S16*(1+$R16)</f>
        <v>338.20359999999999</v>
      </c>
      <c r="U16" s="154">
        <f t="shared" si="37"/>
        <v>358.49581599999999</v>
      </c>
      <c r="V16" s="154">
        <f t="shared" si="37"/>
        <v>380.00556496000002</v>
      </c>
      <c r="W16" s="154">
        <f t="shared" si="37"/>
        <v>402.80589885760003</v>
      </c>
      <c r="X16" s="154">
        <f t="shared" si="37"/>
        <v>426.97425278905604</v>
      </c>
      <c r="Y16" s="154">
        <f t="shared" si="37"/>
        <v>452.59270795639941</v>
      </c>
      <c r="Z16" s="154">
        <f t="shared" si="37"/>
        <v>479.74827043378338</v>
      </c>
      <c r="AA16" s="154">
        <f t="shared" si="37"/>
        <v>508.53316665981038</v>
      </c>
      <c r="AB16" s="154">
        <f t="shared" si="37"/>
        <v>539.04515665939903</v>
      </c>
      <c r="AC16" s="138">
        <f t="shared" si="19"/>
        <v>0.11096434345685191</v>
      </c>
      <c r="AD16" s="31">
        <f t="shared" si="17"/>
        <v>0</v>
      </c>
      <c r="AE16" s="146">
        <f t="shared" si="1"/>
        <v>2994.6953147744393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2338</v>
      </c>
      <c r="H18" s="147">
        <v>2881</v>
      </c>
      <c r="I18" s="147">
        <v>2755</v>
      </c>
      <c r="J18" s="147">
        <v>3720</v>
      </c>
      <c r="K18" s="147">
        <v>4842</v>
      </c>
      <c r="L18" s="147">
        <v>5662</v>
      </c>
      <c r="M18" s="147">
        <v>6402</v>
      </c>
      <c r="N18" s="147">
        <v>7689</v>
      </c>
      <c r="O18" s="147">
        <v>8832</v>
      </c>
      <c r="P18" s="147">
        <v>9684</v>
      </c>
      <c r="Q18" s="118">
        <f>((P18/G18)^(1/($H$2-$H$1) ))-1</f>
        <v>0.17105938610166582</v>
      </c>
      <c r="R18" s="31">
        <f t="shared" si="6"/>
        <v>0.06</v>
      </c>
      <c r="S18" s="154">
        <f t="shared" ref="S18:S34" si="38">P18*(1+$R18)</f>
        <v>10265.040000000001</v>
      </c>
      <c r="T18" s="154">
        <f t="shared" ref="T18:T34" si="39">S18*(1+$R18)</f>
        <v>10880.942400000002</v>
      </c>
      <c r="U18" s="154">
        <f t="shared" ref="U18:U34" si="40">T18*(1+$R18)</f>
        <v>11533.798944000002</v>
      </c>
      <c r="V18" s="154">
        <f t="shared" ref="V18:V34" si="41">U18*(1+$R18)</f>
        <v>12225.826880640003</v>
      </c>
      <c r="W18" s="154">
        <f t="shared" ref="W18:W36" si="42">V18*(1+$R18)</f>
        <v>12959.376493478403</v>
      </c>
      <c r="X18" s="154">
        <f t="shared" ref="X18:X36" si="43">W18*(1+$R18)</f>
        <v>13736.939083087107</v>
      </c>
      <c r="Y18" s="154">
        <f t="shared" ref="Y18:Y36" si="44">X18*(1+$R18)</f>
        <v>14561.155428072334</v>
      </c>
      <c r="Z18" s="154">
        <f t="shared" ref="Z18:Z36" si="45">Y18*(1+$R18)</f>
        <v>15434.824753756675</v>
      </c>
      <c r="AA18" s="154">
        <f t="shared" ref="AA18:AA36" si="46">Z18*(1+$R18)</f>
        <v>16360.914238982075</v>
      </c>
      <c r="AB18" s="154">
        <f t="shared" ref="AB18:AB36" si="47">AA18*(1+$R18)</f>
        <v>17342.569093321003</v>
      </c>
      <c r="AC18" s="138">
        <f t="shared" si="19"/>
        <v>0.11122915596409633</v>
      </c>
      <c r="AD18" s="31">
        <f t="shared" si="17"/>
        <v>0</v>
      </c>
      <c r="AE18" s="146">
        <f t="shared" si="1"/>
        <v>96347.606074005569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>
        <v>718</v>
      </c>
      <c r="H20" s="147">
        <v>1107</v>
      </c>
      <c r="I20" s="147">
        <v>1345</v>
      </c>
      <c r="J20" s="147">
        <v>1028</v>
      </c>
      <c r="K20" s="147">
        <v>1666</v>
      </c>
      <c r="L20" s="147">
        <v>1820</v>
      </c>
      <c r="M20" s="147">
        <v>918</v>
      </c>
      <c r="N20" s="147">
        <v>662</v>
      </c>
      <c r="O20" s="147">
        <v>186</v>
      </c>
      <c r="P20" s="147">
        <v>500</v>
      </c>
      <c r="Q20" s="118">
        <f>((P20/G20)^(1/($H$2-$H$1) ))-1</f>
        <v>-3.9409260444974281E-2</v>
      </c>
      <c r="R20" s="31">
        <f t="shared" si="6"/>
        <v>0.06</v>
      </c>
      <c r="S20" s="154">
        <f t="shared" ref="S20:S22" si="48">P20*(1+$R20)</f>
        <v>530</v>
      </c>
      <c r="T20" s="154">
        <f t="shared" ref="T20:T22" si="49">S20*(1+$R20)</f>
        <v>561.80000000000007</v>
      </c>
      <c r="U20" s="154">
        <f t="shared" ref="U20:U22" si="50">T20*(1+$R20)</f>
        <v>595.50800000000015</v>
      </c>
      <c r="V20" s="154">
        <f t="shared" ref="V20:V22" si="51">U20*(1+$R20)</f>
        <v>631.23848000000021</v>
      </c>
      <c r="W20" s="154">
        <f t="shared" ref="W20:W22" si="52">V20*(1+$R20)</f>
        <v>669.1127888000002</v>
      </c>
      <c r="X20" s="154">
        <f t="shared" ref="X20:X22" si="53">W20*(1+$R20)</f>
        <v>709.25955612800021</v>
      </c>
      <c r="Y20" s="154">
        <f t="shared" ref="Y20:Y22" si="54">X20*(1+$R20)</f>
        <v>751.81512949568025</v>
      </c>
      <c r="Z20" s="154">
        <f t="shared" ref="Z20:Z22" si="55">Y20*(1+$R20)</f>
        <v>796.92403726542113</v>
      </c>
      <c r="AA20" s="154">
        <f t="shared" ref="AA20:AA22" si="56">Z20*(1+$R20)</f>
        <v>844.73947950134641</v>
      </c>
      <c r="AB20" s="154">
        <f t="shared" ref="AB20:AB22" si="57">AA20*(1+$R20)</f>
        <v>895.42384827142723</v>
      </c>
      <c r="AC20" s="138">
        <f t="shared" ref="AC20:AC22" si="58">((AB20/G20)^(1/($AB$3-$H$1) ))-1</f>
        <v>1.1690309571104063E-2</v>
      </c>
      <c r="AD20" s="31">
        <f t="shared" si="17"/>
        <v>0</v>
      </c>
      <c r="AE20" s="146">
        <f t="shared" si="1"/>
        <v>4974.5769348412623</v>
      </c>
    </row>
    <row r="21" spans="2:31" x14ac:dyDescent="0.2">
      <c r="B21" s="20" t="s">
        <v>284</v>
      </c>
      <c r="C21" s="141"/>
      <c r="D21" s="141"/>
      <c r="E21" s="147"/>
      <c r="F21" s="147"/>
      <c r="G21" s="147">
        <v>-1201</v>
      </c>
      <c r="H21" s="147">
        <v>-545</v>
      </c>
      <c r="I21" s="147">
        <v>-664</v>
      </c>
      <c r="J21" s="147">
        <v>-1383</v>
      </c>
      <c r="K21" s="147">
        <v>-1740</v>
      </c>
      <c r="L21" s="147">
        <v>-737</v>
      </c>
      <c r="M21" s="147">
        <v>42</v>
      </c>
      <c r="N21" s="147">
        <v>-1210</v>
      </c>
      <c r="O21" s="147">
        <v>-42</v>
      </c>
      <c r="P21" s="147">
        <v>393</v>
      </c>
      <c r="Q21" s="118">
        <f>((P21/G21)^(1/($H$2-$H$1) ))-1</f>
        <v>-1.8832718582029897</v>
      </c>
      <c r="R21" s="31">
        <f t="shared" si="6"/>
        <v>0.06</v>
      </c>
      <c r="S21" s="154">
        <f t="shared" si="48"/>
        <v>416.58000000000004</v>
      </c>
      <c r="T21" s="154">
        <f t="shared" si="49"/>
        <v>441.57480000000004</v>
      </c>
      <c r="U21" s="154">
        <f t="shared" si="50"/>
        <v>468.06928800000009</v>
      </c>
      <c r="V21" s="154">
        <f t="shared" si="51"/>
        <v>496.15344528000014</v>
      </c>
      <c r="W21" s="154">
        <f t="shared" si="52"/>
        <v>525.92265199680014</v>
      </c>
      <c r="X21" s="154">
        <f t="shared" si="53"/>
        <v>557.47801111660817</v>
      </c>
      <c r="Y21" s="154">
        <f t="shared" si="54"/>
        <v>590.92669178360472</v>
      </c>
      <c r="Z21" s="154">
        <f t="shared" si="55"/>
        <v>626.38229329062108</v>
      </c>
      <c r="AA21" s="154">
        <f t="shared" si="56"/>
        <v>663.96523088805839</v>
      </c>
      <c r="AB21" s="154">
        <f t="shared" si="57"/>
        <v>703.80314474134195</v>
      </c>
      <c r="AC21" s="138">
        <f t="shared" si="58"/>
        <v>-1.9722649770641527</v>
      </c>
      <c r="AD21" s="31">
        <f t="shared" si="17"/>
        <v>0</v>
      </c>
      <c r="AE21" s="146">
        <f t="shared" si="1"/>
        <v>3910.0174707852334</v>
      </c>
    </row>
    <row r="22" spans="2:31" x14ac:dyDescent="0.2">
      <c r="B22" s="20" t="s">
        <v>285</v>
      </c>
      <c r="C22" s="141"/>
      <c r="D22" s="141"/>
      <c r="E22" s="147"/>
      <c r="F22" s="147"/>
      <c r="G22" s="147">
        <v>321</v>
      </c>
      <c r="H22" s="147">
        <v>265</v>
      </c>
      <c r="I22" s="147">
        <v>-361</v>
      </c>
      <c r="J22" s="147">
        <v>67</v>
      </c>
      <c r="K22" s="147">
        <v>106</v>
      </c>
      <c r="L22" s="147">
        <v>-401</v>
      </c>
      <c r="M22" s="147">
        <v>693</v>
      </c>
      <c r="N22" s="147">
        <v>-419</v>
      </c>
      <c r="O22" s="147">
        <v>-282</v>
      </c>
      <c r="P22" s="147">
        <v>-710</v>
      </c>
      <c r="Q22" s="118">
        <f>((P22/G22)^(1/($H$2-$H$1) ))-1</f>
        <v>-2.0922094354694347</v>
      </c>
      <c r="R22" s="31">
        <f t="shared" si="6"/>
        <v>0.06</v>
      </c>
      <c r="S22" s="154">
        <f t="shared" si="48"/>
        <v>-752.6</v>
      </c>
      <c r="T22" s="154">
        <f t="shared" si="49"/>
        <v>-797.75600000000009</v>
      </c>
      <c r="U22" s="154">
        <f t="shared" si="50"/>
        <v>-845.6213600000001</v>
      </c>
      <c r="V22" s="154">
        <f t="shared" si="51"/>
        <v>-896.35864160000017</v>
      </c>
      <c r="W22" s="154">
        <f t="shared" si="52"/>
        <v>-950.14016009600027</v>
      </c>
      <c r="X22" s="154">
        <f t="shared" si="53"/>
        <v>-1007.1485697017604</v>
      </c>
      <c r="Y22" s="154">
        <f t="shared" si="54"/>
        <v>-1067.5774838838661</v>
      </c>
      <c r="Z22" s="154">
        <f t="shared" si="55"/>
        <v>-1131.6321329168982</v>
      </c>
      <c r="AA22" s="154">
        <f t="shared" si="56"/>
        <v>-1199.5300608919122</v>
      </c>
      <c r="AB22" s="154">
        <f t="shared" si="57"/>
        <v>-1271.501864545427</v>
      </c>
      <c r="AC22" s="138">
        <f t="shared" si="58"/>
        <v>-2.0751369500380354</v>
      </c>
      <c r="AD22" s="31">
        <f t="shared" si="17"/>
        <v>0</v>
      </c>
      <c r="AE22" s="146">
        <f t="shared" si="1"/>
        <v>-7063.8992474745946</v>
      </c>
    </row>
    <row r="23" spans="2:31" x14ac:dyDescent="0.2">
      <c r="B23" s="20" t="s">
        <v>295</v>
      </c>
      <c r="C23" s="141"/>
      <c r="D23" s="141"/>
      <c r="E23" s="147"/>
      <c r="F23" s="147"/>
      <c r="G23" s="147">
        <v>222</v>
      </c>
      <c r="H23" s="147">
        <v>1048</v>
      </c>
      <c r="I23" s="147">
        <v>1367</v>
      </c>
      <c r="J23" s="147">
        <v>1080</v>
      </c>
      <c r="K23" s="147">
        <v>1113</v>
      </c>
      <c r="L23" s="147">
        <v>1794</v>
      </c>
      <c r="M23" s="147">
        <v>3579</v>
      </c>
      <c r="N23" s="147">
        <v>2612</v>
      </c>
      <c r="O23" s="147">
        <v>2214</v>
      </c>
      <c r="P23" s="147">
        <v>807</v>
      </c>
      <c r="Q23" s="118">
        <f>((P23/G23)^(1/($H$2-$H$1) ))-1</f>
        <v>0.15419732184168544</v>
      </c>
      <c r="R23" s="31">
        <f t="shared" si="6"/>
        <v>0.06</v>
      </c>
      <c r="S23" s="154">
        <f t="shared" ref="S23" si="59">P23*(1+$R23)</f>
        <v>855.42000000000007</v>
      </c>
      <c r="T23" s="154">
        <f t="shared" ref="T23" si="60">S23*(1+$R23)</f>
        <v>906.74520000000007</v>
      </c>
      <c r="U23" s="154">
        <f t="shared" ref="U23" si="61">T23*(1+$R23)</f>
        <v>961.14991200000009</v>
      </c>
      <c r="V23" s="154">
        <f t="shared" ref="V23" si="62">U23*(1+$R23)</f>
        <v>1018.8189067200001</v>
      </c>
      <c r="W23" s="154">
        <f t="shared" ref="W23" si="63">V23*(1+$R23)</f>
        <v>1079.9480411232003</v>
      </c>
      <c r="X23" s="154">
        <f t="shared" ref="X23" si="64">W23*(1+$R23)</f>
        <v>1144.7449235905924</v>
      </c>
      <c r="Y23" s="154">
        <f t="shared" ref="Y23" si="65">X23*(1+$R23)</f>
        <v>1213.4296190060279</v>
      </c>
      <c r="Z23" s="154">
        <f t="shared" ref="Z23" si="66">Y23*(1+$R23)</f>
        <v>1286.2353961463896</v>
      </c>
      <c r="AA23" s="154">
        <f t="shared" ref="AA23" si="67">Z23*(1+$R23)</f>
        <v>1363.409519915173</v>
      </c>
      <c r="AB23" s="154">
        <f t="shared" ref="AB23" si="68">AA23*(1+$R23)</f>
        <v>1445.2140911100835</v>
      </c>
      <c r="AC23" s="138">
        <f t="shared" ref="AC23" si="69">((AB23/G23)^(1/($AB$3-$H$1) ))-1</f>
        <v>0.10362100715498679</v>
      </c>
      <c r="AD23" s="31">
        <f t="shared" si="17"/>
        <v>0</v>
      </c>
      <c r="AE23" s="146">
        <f t="shared" si="1"/>
        <v>8028.9671728337971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1470</v>
      </c>
      <c r="H25" s="147">
        <v>2196</v>
      </c>
      <c r="I25" s="147">
        <v>2324</v>
      </c>
      <c r="J25" s="147">
        <v>2417</v>
      </c>
      <c r="K25" s="147">
        <v>3762</v>
      </c>
      <c r="L25" s="147">
        <v>4245</v>
      </c>
      <c r="M25" s="147">
        <v>3083</v>
      </c>
      <c r="N25" s="147">
        <v>2655</v>
      </c>
      <c r="O25" s="147">
        <v>3237</v>
      </c>
      <c r="P25" s="147">
        <v>3400</v>
      </c>
      <c r="Q25" s="118">
        <f>((P25/G25)^(1/($H$2-$H$1) ))-1</f>
        <v>9.7646250048769145E-2</v>
      </c>
      <c r="R25" s="31">
        <f t="shared" si="6"/>
        <v>0.06</v>
      </c>
      <c r="S25" s="154">
        <f t="shared" si="38"/>
        <v>3604</v>
      </c>
      <c r="T25" s="154">
        <f t="shared" si="39"/>
        <v>3820.2400000000002</v>
      </c>
      <c r="U25" s="154">
        <f t="shared" si="40"/>
        <v>4049.4544000000005</v>
      </c>
      <c r="V25" s="154">
        <f t="shared" si="41"/>
        <v>4292.4216640000004</v>
      </c>
      <c r="W25" s="154">
        <f t="shared" si="42"/>
        <v>4549.966963840001</v>
      </c>
      <c r="X25" s="154">
        <f t="shared" si="43"/>
        <v>4822.9649816704014</v>
      </c>
      <c r="Y25" s="154">
        <f t="shared" si="44"/>
        <v>5112.3428805706253</v>
      </c>
      <c r="Z25" s="154">
        <f t="shared" si="45"/>
        <v>5419.0834534048627</v>
      </c>
      <c r="AA25" s="154">
        <f t="shared" si="46"/>
        <v>5744.2284606091544</v>
      </c>
      <c r="AB25" s="154">
        <f t="shared" si="47"/>
        <v>6088.8821682457037</v>
      </c>
      <c r="AC25" s="138">
        <f t="shared" si="19"/>
        <v>7.7668715406119526E-2</v>
      </c>
      <c r="AD25" s="31">
        <f t="shared" si="17"/>
        <v>0</v>
      </c>
      <c r="AE25" s="146">
        <f t="shared" si="1"/>
        <v>33827.123156920577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0.33060109289617484</v>
      </c>
      <c r="I26" s="148">
        <f t="shared" ref="I26" si="70">(I25-H25)/I25</f>
        <v>5.5077452667814115E-2</v>
      </c>
      <c r="J26" s="148">
        <f t="shared" ref="J26" si="71">(J25-I25)/J25</f>
        <v>3.8477451386015722E-2</v>
      </c>
      <c r="K26" s="148">
        <f t="shared" ref="K26" si="72">(K25-J25)/K25</f>
        <v>0.35752259436469963</v>
      </c>
      <c r="L26" s="148">
        <f t="shared" ref="L26" si="73">(L25-K25)/L25</f>
        <v>0.1137809187279152</v>
      </c>
      <c r="M26" s="148">
        <f t="shared" ref="M26" si="74">(M25-L25)/M25</f>
        <v>-0.37690561141745055</v>
      </c>
      <c r="N26" s="148">
        <f t="shared" ref="N26" si="75">(N25-M25)/N25</f>
        <v>-0.16120527306967986</v>
      </c>
      <c r="O26" s="148">
        <f t="shared" ref="O26" si="76">(O25-N25)/O25</f>
        <v>0.17979610750695088</v>
      </c>
      <c r="P26" s="148">
        <f t="shared" ref="P26" si="77">(P25-O25)/P25</f>
        <v>4.7941176470588237E-2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756</v>
      </c>
      <c r="H27" s="147">
        <v>889</v>
      </c>
      <c r="I27" s="147">
        <v>765</v>
      </c>
      <c r="J27" s="147">
        <v>860</v>
      </c>
      <c r="K27" s="147">
        <v>1152</v>
      </c>
      <c r="L27" s="147">
        <v>1569</v>
      </c>
      <c r="M27" s="147">
        <v>1884</v>
      </c>
      <c r="N27" s="147">
        <v>1354</v>
      </c>
      <c r="O27" s="147">
        <v>1873</v>
      </c>
      <c r="P27" s="147">
        <v>1847</v>
      </c>
      <c r="Q27" s="118">
        <f>((P27/G27)^(1/($H$2-$H$1) ))-1</f>
        <v>0.10434561508195039</v>
      </c>
      <c r="R27" s="31">
        <f t="shared" si="6"/>
        <v>0.06</v>
      </c>
      <c r="S27" s="154">
        <f t="shared" si="38"/>
        <v>1957.8200000000002</v>
      </c>
      <c r="T27" s="154">
        <f t="shared" si="39"/>
        <v>2075.2892000000002</v>
      </c>
      <c r="U27" s="154">
        <f t="shared" si="40"/>
        <v>2199.8065520000005</v>
      </c>
      <c r="V27" s="154">
        <f t="shared" si="41"/>
        <v>2331.7949451200006</v>
      </c>
      <c r="W27" s="154">
        <f t="shared" si="42"/>
        <v>2471.7026418272008</v>
      </c>
      <c r="X27" s="154">
        <f t="shared" si="43"/>
        <v>2620.0048003368329</v>
      </c>
      <c r="Y27" s="154">
        <f t="shared" si="44"/>
        <v>2777.2050883570432</v>
      </c>
      <c r="Z27" s="154">
        <f t="shared" si="45"/>
        <v>2943.8373936584658</v>
      </c>
      <c r="AA27" s="154">
        <f t="shared" si="46"/>
        <v>3120.4676372779741</v>
      </c>
      <c r="AB27" s="154">
        <f t="shared" si="47"/>
        <v>3307.6956955146525</v>
      </c>
      <c r="AC27" s="138">
        <f t="shared" si="19"/>
        <v>8.0779353484033756E-2</v>
      </c>
      <c r="AD27" s="31">
        <f t="shared" si="17"/>
        <v>0</v>
      </c>
      <c r="AE27" s="146">
        <f t="shared" si="1"/>
        <v>18376.087197303626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0.14960629921259844</v>
      </c>
      <c r="I28" s="148">
        <f t="shared" si="78"/>
        <v>-0.16209150326797386</v>
      </c>
      <c r="J28" s="148">
        <f t="shared" si="78"/>
        <v>0.11046511627906977</v>
      </c>
      <c r="K28" s="148">
        <f t="shared" si="78"/>
        <v>0.25347222222222221</v>
      </c>
      <c r="L28" s="148">
        <f t="shared" si="78"/>
        <v>0.26577437858508607</v>
      </c>
      <c r="M28" s="148">
        <f t="shared" si="78"/>
        <v>0.16719745222929935</v>
      </c>
      <c r="N28" s="148">
        <f t="shared" ref="N28" si="79">(N27-M27)/N27</f>
        <v>-0.39143279172821271</v>
      </c>
      <c r="O28" s="148">
        <f t="shared" ref="O28" si="80">(O27-N27)/O27</f>
        <v>0.27709556860651363</v>
      </c>
      <c r="P28" s="148">
        <f t="shared" ref="P28" si="81">(P27-O27)/P27</f>
        <v>-1.4076881429344884E-2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323</v>
      </c>
      <c r="C29" s="149"/>
      <c r="D29" s="149"/>
      <c r="E29" s="150"/>
      <c r="F29" s="147"/>
      <c r="G29" s="147">
        <v>48</v>
      </c>
      <c r="H29" s="147">
        <v>193</v>
      </c>
      <c r="I29" s="147">
        <v>337</v>
      </c>
      <c r="J29" s="147">
        <v>349</v>
      </c>
      <c r="K29" s="147">
        <v>754</v>
      </c>
      <c r="L29" s="147">
        <v>762</v>
      </c>
      <c r="M29" s="147">
        <v>220</v>
      </c>
      <c r="N29" s="147">
        <v>270</v>
      </c>
      <c r="O29" s="147">
        <v>437</v>
      </c>
      <c r="P29" s="147">
        <v>344</v>
      </c>
      <c r="Q29" s="118">
        <f>((P29/G29)^(1/($H$2-$H$1) ))-1</f>
        <v>0.2446156140320721</v>
      </c>
      <c r="R29" s="31">
        <f t="shared" si="6"/>
        <v>0.06</v>
      </c>
      <c r="S29" s="154">
        <f t="shared" ref="S29" si="82">P29*(1+$R29)</f>
        <v>364.64000000000004</v>
      </c>
      <c r="T29" s="154">
        <f t="shared" ref="T29" si="83">S29*(1+$R29)</f>
        <v>386.51840000000004</v>
      </c>
      <c r="U29" s="154">
        <f t="shared" ref="U29" si="84">T29*(1+$R29)</f>
        <v>409.70950400000004</v>
      </c>
      <c r="V29" s="154">
        <f t="shared" ref="V29" si="85">U29*(1+$R29)</f>
        <v>434.29207424000009</v>
      </c>
      <c r="W29" s="154">
        <f t="shared" ref="W29" si="86">V29*(1+$R29)</f>
        <v>460.34959869440013</v>
      </c>
      <c r="X29" s="154">
        <f t="shared" ref="X29" si="87">W29*(1+$R29)</f>
        <v>487.97057461606414</v>
      </c>
      <c r="Y29" s="154">
        <f t="shared" ref="Y29" si="88">X29*(1+$R29)</f>
        <v>517.24880909302806</v>
      </c>
      <c r="Z29" s="154">
        <f t="shared" ref="Z29" si="89">Y29*(1+$R29)</f>
        <v>548.28373763860975</v>
      </c>
      <c r="AA29" s="154">
        <f t="shared" ref="AA29" si="90">Z29*(1+$R29)</f>
        <v>581.18076189692636</v>
      </c>
      <c r="AB29" s="154">
        <f t="shared" ref="AB29" si="91">AA29*(1+$R29)</f>
        <v>616.05160761074194</v>
      </c>
      <c r="AC29" s="138">
        <f t="shared" ref="AC29" si="92">((AB29/G29)^(1/($AB$3-$H$1) ))-1</f>
        <v>0.14376175739873975</v>
      </c>
      <c r="AD29" s="31">
        <f t="shared" si="17"/>
        <v>0</v>
      </c>
      <c r="AE29" s="146">
        <f t="shared" ref="AE29" si="93">(AB29*(1+AD29))/($C$1-AD29)</f>
        <v>3422.5089311707889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0.75129533678756477</v>
      </c>
      <c r="I30" s="148">
        <f t="shared" si="94"/>
        <v>0.42729970326409494</v>
      </c>
      <c r="J30" s="148">
        <f t="shared" si="94"/>
        <v>3.4383954154727794E-2</v>
      </c>
      <c r="K30" s="148">
        <f t="shared" si="94"/>
        <v>0.53713527851458887</v>
      </c>
      <c r="L30" s="148">
        <f t="shared" si="94"/>
        <v>1.0498687664041995E-2</v>
      </c>
      <c r="M30" s="148">
        <f t="shared" ref="M30" si="95">(M29-L29)/M29</f>
        <v>-2.4636363636363638</v>
      </c>
      <c r="N30" s="148">
        <f t="shared" ref="N30" si="96">(N29-M29)/N29</f>
        <v>0.18518518518518517</v>
      </c>
      <c r="O30" s="148">
        <f t="shared" ref="O30" si="97">(O29-N29)/O29</f>
        <v>0.38215102974828374</v>
      </c>
      <c r="P30" s="148">
        <f t="shared" ref="P30" si="98">(P29-O29)/P29</f>
        <v>-0.27034883720930231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331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0.06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</v>
      </c>
      <c r="AE31" s="146">
        <f t="shared" si="1"/>
        <v>0</v>
      </c>
    </row>
    <row r="32" spans="2:31" x14ac:dyDescent="0.2">
      <c r="B32" s="20" t="s">
        <v>330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0.06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</v>
      </c>
      <c r="AE32" s="146">
        <f t="shared" si="1"/>
        <v>0</v>
      </c>
    </row>
    <row r="33" spans="2:31" x14ac:dyDescent="0.2">
      <c r="B33" s="20" t="s">
        <v>424</v>
      </c>
      <c r="C33" s="141"/>
      <c r="D33" s="141"/>
      <c r="E33" s="147"/>
      <c r="F33" s="147"/>
      <c r="G33" s="147">
        <v>80.45</v>
      </c>
      <c r="H33" s="147">
        <v>143</v>
      </c>
      <c r="I33" s="147">
        <v>184</v>
      </c>
      <c r="J33" s="147">
        <v>262</v>
      </c>
      <c r="K33" s="147">
        <v>370</v>
      </c>
      <c r="L33" s="147">
        <v>571</v>
      </c>
      <c r="M33" s="147">
        <v>357</v>
      </c>
      <c r="N33" s="147">
        <v>304</v>
      </c>
      <c r="O33" s="147">
        <v>416</v>
      </c>
      <c r="P33" s="147">
        <v>431</v>
      </c>
      <c r="Q33" s="118">
        <f>((P33/G33)^(1/($H$2-$H$1) ))-1</f>
        <v>0.20502090213562374</v>
      </c>
      <c r="R33" s="31">
        <f t="shared" si="6"/>
        <v>0.06</v>
      </c>
      <c r="S33" s="154">
        <f t="shared" si="38"/>
        <v>456.86</v>
      </c>
      <c r="T33" s="154">
        <f t="shared" si="39"/>
        <v>484.27160000000003</v>
      </c>
      <c r="U33" s="154">
        <f t="shared" si="40"/>
        <v>513.32789600000001</v>
      </c>
      <c r="V33" s="154">
        <f t="shared" si="41"/>
        <v>544.12756976000003</v>
      </c>
      <c r="W33" s="154">
        <f t="shared" si="42"/>
        <v>576.77522394560003</v>
      </c>
      <c r="X33" s="154">
        <f t="shared" si="43"/>
        <v>611.38173738233604</v>
      </c>
      <c r="Y33" s="154">
        <f t="shared" si="44"/>
        <v>648.06464162527618</v>
      </c>
      <c r="Z33" s="154">
        <f t="shared" si="45"/>
        <v>686.94852012279284</v>
      </c>
      <c r="AA33" s="154">
        <f t="shared" si="46"/>
        <v>728.16543133016046</v>
      </c>
      <c r="AB33" s="154">
        <f t="shared" si="47"/>
        <v>771.85535720997018</v>
      </c>
      <c r="AC33" s="138">
        <f t="shared" si="19"/>
        <v>0.12637948049253089</v>
      </c>
      <c r="AD33" s="31">
        <f t="shared" si="17"/>
        <v>0</v>
      </c>
      <c r="AE33" s="146">
        <f t="shared" si="1"/>
        <v>4288.0853178331681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92</v>
      </c>
      <c r="H34" s="147">
        <v>206</v>
      </c>
      <c r="I34" s="147">
        <v>161</v>
      </c>
      <c r="J34" s="147">
        <v>184</v>
      </c>
      <c r="K34" s="147">
        <v>246</v>
      </c>
      <c r="L34" s="147">
        <v>303</v>
      </c>
      <c r="M34" s="147">
        <v>336</v>
      </c>
      <c r="N34" s="147">
        <v>372</v>
      </c>
      <c r="O34" s="147">
        <v>464</v>
      </c>
      <c r="P34" s="147">
        <v>449</v>
      </c>
      <c r="Q34" s="118">
        <f>((P34/G34)^(1/($H$2-$H$1) ))-1</f>
        <v>0.19260160753728628</v>
      </c>
      <c r="R34" s="31">
        <f t="shared" si="6"/>
        <v>0.06</v>
      </c>
      <c r="S34" s="154">
        <f t="shared" si="38"/>
        <v>475.94</v>
      </c>
      <c r="T34" s="154">
        <f t="shared" si="39"/>
        <v>504.49640000000005</v>
      </c>
      <c r="U34" s="154">
        <f t="shared" si="40"/>
        <v>534.76618400000007</v>
      </c>
      <c r="V34" s="154">
        <f t="shared" si="41"/>
        <v>566.85215504000007</v>
      </c>
      <c r="W34" s="154">
        <f t="shared" si="42"/>
        <v>600.86328434240011</v>
      </c>
      <c r="X34" s="154">
        <f t="shared" si="43"/>
        <v>636.91508140294411</v>
      </c>
      <c r="Y34" s="154">
        <f t="shared" si="44"/>
        <v>675.1299862871208</v>
      </c>
      <c r="Z34" s="154">
        <f t="shared" si="45"/>
        <v>715.6377854643481</v>
      </c>
      <c r="AA34" s="154">
        <f t="shared" si="46"/>
        <v>758.57605259220907</v>
      </c>
      <c r="AB34" s="154">
        <f t="shared" si="47"/>
        <v>804.09061574774159</v>
      </c>
      <c r="AC34" s="138">
        <f t="shared" si="19"/>
        <v>0.12086558565829986</v>
      </c>
      <c r="AD34" s="31">
        <f t="shared" si="17"/>
        <v>0</v>
      </c>
      <c r="AE34" s="146">
        <f t="shared" si="1"/>
        <v>4467.1700874874532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643</v>
      </c>
      <c r="H36" s="147">
        <v>1242</v>
      </c>
      <c r="I36" s="147">
        <v>1270</v>
      </c>
      <c r="J36" s="147">
        <v>1305</v>
      </c>
      <c r="K36" s="147">
        <v>1978</v>
      </c>
      <c r="L36" s="147">
        <v>2231</v>
      </c>
      <c r="M36" s="147">
        <v>1006</v>
      </c>
      <c r="N36" s="147">
        <v>1093</v>
      </c>
      <c r="O36" s="147">
        <v>1081</v>
      </c>
      <c r="P36" s="147">
        <v>1159</v>
      </c>
      <c r="Q36" s="118">
        <f>((P36/G36)^(1/($H$2-$H$1) ))-1</f>
        <v>6.7653366170053575E-2</v>
      </c>
      <c r="R36" s="31">
        <f t="shared" si="6"/>
        <v>0.06</v>
      </c>
      <c r="S36" s="154">
        <f t="shared" ref="S36" si="102">P36*(1+$R36)</f>
        <v>1228.54</v>
      </c>
      <c r="T36" s="154">
        <f t="shared" ref="T36" si="103">S36*(1+$R36)</f>
        <v>1302.2524000000001</v>
      </c>
      <c r="U36" s="154">
        <f t="shared" ref="U36" si="104">T36*(1+$R36)</f>
        <v>1380.3875440000002</v>
      </c>
      <c r="V36" s="154">
        <f t="shared" ref="V36" si="105">U36*(1+$R36)</f>
        <v>1463.2107966400004</v>
      </c>
      <c r="W36" s="154">
        <f t="shared" si="42"/>
        <v>1551.0034444384005</v>
      </c>
      <c r="X36" s="154">
        <f t="shared" si="43"/>
        <v>1644.0636511047046</v>
      </c>
      <c r="Y36" s="154">
        <f t="shared" si="44"/>
        <v>1742.7074701709869</v>
      </c>
      <c r="Z36" s="154">
        <f t="shared" si="45"/>
        <v>1847.2699183812463</v>
      </c>
      <c r="AA36" s="154">
        <f t="shared" si="46"/>
        <v>1958.1061134841211</v>
      </c>
      <c r="AB36" s="154">
        <f t="shared" si="47"/>
        <v>2075.5924802931686</v>
      </c>
      <c r="AC36" s="138">
        <f t="shared" si="19"/>
        <v>6.3618415721348187E-2</v>
      </c>
      <c r="AD36" s="31">
        <f t="shared" si="17"/>
        <v>0</v>
      </c>
      <c r="AE36" s="146">
        <f t="shared" si="1"/>
        <v>11531.069334962049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0.48228663446054748</v>
      </c>
      <c r="I37" s="148">
        <f t="shared" ref="I37" si="108">(I36-H36)/I36</f>
        <v>2.2047244094488189E-2</v>
      </c>
      <c r="J37" s="148">
        <f t="shared" ref="J37" si="109">(J36-I36)/J36</f>
        <v>2.681992337164751E-2</v>
      </c>
      <c r="K37" s="148">
        <f t="shared" ref="K37" si="110">(K36-J36)/K36</f>
        <v>0.34024266936299291</v>
      </c>
      <c r="L37" s="148">
        <f t="shared" ref="L37" si="111">(L36-K36)/L36</f>
        <v>0.1134020618556701</v>
      </c>
      <c r="M37" s="148">
        <f t="shared" ref="M37" si="112">(M36-L36)/M36</f>
        <v>-1.2176938369781312</v>
      </c>
      <c r="N37" s="148">
        <f t="shared" ref="N37" si="113">(N36-M36)/N36</f>
        <v>7.9597438243366875E-2</v>
      </c>
      <c r="O37" s="148">
        <f t="shared" ref="O37" si="114">(O36-N36)/O36</f>
        <v>-1.1100832562442183E-2</v>
      </c>
      <c r="P37" s="148">
        <f t="shared" ref="P37" si="115">(P36-O36)/P36</f>
        <v>6.7299396031061262E-2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400</v>
      </c>
      <c r="C38" s="149"/>
      <c r="D38" s="149"/>
      <c r="E38" s="150"/>
      <c r="F38" s="150"/>
      <c r="G38" s="147">
        <v>463</v>
      </c>
      <c r="H38" s="147">
        <v>823</v>
      </c>
      <c r="I38" s="147">
        <v>931</v>
      </c>
      <c r="J38" s="147">
        <v>940</v>
      </c>
      <c r="K38" s="147">
        <v>1501</v>
      </c>
      <c r="L38" s="147">
        <v>1530</v>
      </c>
      <c r="M38" s="147">
        <v>554</v>
      </c>
      <c r="N38" s="147">
        <v>609</v>
      </c>
      <c r="O38" s="147">
        <v>379</v>
      </c>
      <c r="P38" s="147">
        <v>584</v>
      </c>
      <c r="Q38" s="118">
        <f>((P38/G38)^(1/($H$2-$H$1) ))-1</f>
        <v>2.6132728296991647E-2</v>
      </c>
      <c r="R38" s="31">
        <f t="shared" si="6"/>
        <v>0.06</v>
      </c>
      <c r="S38" s="154">
        <f t="shared" ref="S38" si="116">P38*(1+$R38)</f>
        <v>619.04000000000008</v>
      </c>
      <c r="T38" s="154">
        <f t="shared" ref="T38" si="117">S38*(1+$R38)</f>
        <v>656.18240000000014</v>
      </c>
      <c r="U38" s="154">
        <f t="shared" ref="U38" si="118">T38*(1+$R38)</f>
        <v>695.55334400000015</v>
      </c>
      <c r="V38" s="154">
        <f t="shared" ref="V38" si="119">U38*(1+$R38)</f>
        <v>737.28654464000022</v>
      </c>
      <c r="W38" s="154">
        <f t="shared" ref="W38" si="120">V38*(1+$R38)</f>
        <v>781.52373731840032</v>
      </c>
      <c r="X38" s="154">
        <f t="shared" ref="X38" si="121">W38*(1+$R38)</f>
        <v>828.41516155750435</v>
      </c>
      <c r="Y38" s="154">
        <f t="shared" ref="Y38" si="122">X38*(1+$R38)</f>
        <v>878.12007125095465</v>
      </c>
      <c r="Z38" s="154">
        <f t="shared" ref="Z38" si="123">Y38*(1+$R38)</f>
        <v>930.80727552601195</v>
      </c>
      <c r="AA38" s="154">
        <f t="shared" ref="AA38" si="124">Z38*(1+$R38)</f>
        <v>986.65571205757271</v>
      </c>
      <c r="AB38" s="154">
        <f t="shared" ref="AB38" si="125">AA38*(1+$R38)</f>
        <v>1045.8550547810271</v>
      </c>
      <c r="AC38" s="138">
        <f t="shared" ref="AC38" si="126">((AB38/G38)^(1/($AB$3-$H$1) ))-1</f>
        <v>4.3820486460700137E-2</v>
      </c>
      <c r="AD38" s="31">
        <f t="shared" si="17"/>
        <v>0</v>
      </c>
      <c r="AE38" s="146">
        <f t="shared" ref="AE38" si="127">(AB38*(1+AD38))/($C$1-AD38)</f>
        <v>5810.3058598945954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28">(G38-F38)/G38</f>
        <v>1</v>
      </c>
      <c r="H39" s="148">
        <f t="shared" ref="H39" si="129">(H38-G38)/H38</f>
        <v>0.4374240583232078</v>
      </c>
      <c r="I39" s="148">
        <f t="shared" ref="I39" si="130">(I38-H38)/I38</f>
        <v>0.11600429645542427</v>
      </c>
      <c r="J39" s="148">
        <f t="shared" ref="J39" si="131">(J38-I38)/J38</f>
        <v>9.5744680851063829E-3</v>
      </c>
      <c r="K39" s="148">
        <f t="shared" ref="K39" si="132">(K38-J38)/K38</f>
        <v>0.37375083277814791</v>
      </c>
      <c r="L39" s="148">
        <f t="shared" ref="L39" si="133">(L38-K38)/L38</f>
        <v>1.895424836601307E-2</v>
      </c>
      <c r="M39" s="148">
        <f t="shared" ref="M39" si="134">(M38-L38)/M38</f>
        <v>-1.7617328519855595</v>
      </c>
      <c r="N39" s="148">
        <f t="shared" ref="N39" si="135">(N38-M38)/N38</f>
        <v>9.0311986863711002E-2</v>
      </c>
      <c r="O39" s="148">
        <f t="shared" ref="O39" si="136">(O38-N38)/O38</f>
        <v>-0.60686015831134565</v>
      </c>
      <c r="P39" s="148">
        <f t="shared" ref="P39" si="137">(P38-O38)/P38</f>
        <v>0.35102739726027399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401</v>
      </c>
      <c r="C40" s="141"/>
      <c r="D40" s="141"/>
      <c r="E40" s="147"/>
      <c r="F40" s="147"/>
      <c r="G40" s="147">
        <v>200</v>
      </c>
      <c r="H40" s="147">
        <v>838</v>
      </c>
      <c r="I40" s="147">
        <v>851</v>
      </c>
      <c r="J40" s="147">
        <v>912</v>
      </c>
      <c r="K40" s="147">
        <v>1453</v>
      </c>
      <c r="L40" s="147">
        <v>1407</v>
      </c>
      <c r="M40" s="147">
        <v>509</v>
      </c>
      <c r="N40" s="147">
        <v>464</v>
      </c>
      <c r="O40" s="147">
        <v>317</v>
      </c>
      <c r="P40" s="147">
        <v>512</v>
      </c>
      <c r="Q40" s="118">
        <f>((P40/G40)^(1/($H$2-$H$1) ))-1</f>
        <v>0.11009461556962297</v>
      </c>
      <c r="R40" s="31">
        <f t="shared" si="6"/>
        <v>0.06</v>
      </c>
      <c r="S40" s="154">
        <f>P40*(1+$R40)</f>
        <v>542.72</v>
      </c>
      <c r="T40" s="154">
        <f t="shared" ref="T40:AB40" si="138">S40*(1+$R40)</f>
        <v>575.28320000000008</v>
      </c>
      <c r="U40" s="154">
        <f t="shared" si="138"/>
        <v>609.80019200000015</v>
      </c>
      <c r="V40" s="154">
        <f t="shared" si="138"/>
        <v>646.38820352000016</v>
      </c>
      <c r="W40" s="154">
        <f t="shared" si="138"/>
        <v>685.17149573120025</v>
      </c>
      <c r="X40" s="154">
        <f t="shared" si="138"/>
        <v>726.2817854750723</v>
      </c>
      <c r="Y40" s="154">
        <f t="shared" si="138"/>
        <v>769.85869260357663</v>
      </c>
      <c r="Z40" s="154">
        <f t="shared" si="138"/>
        <v>816.05021415979127</v>
      </c>
      <c r="AA40" s="154">
        <f t="shared" si="138"/>
        <v>865.01322700937874</v>
      </c>
      <c r="AB40" s="154">
        <f t="shared" si="138"/>
        <v>916.91402062994155</v>
      </c>
      <c r="AC40" s="138">
        <f t="shared" si="19"/>
        <v>8.3440810686942424E-2</v>
      </c>
      <c r="AD40" s="31">
        <f t="shared" si="17"/>
        <v>0</v>
      </c>
      <c r="AE40" s="146">
        <f t="shared" si="1"/>
        <v>5093.9667812774533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39">(H40-G40)/H40</f>
        <v>0.76133651551312653</v>
      </c>
      <c r="I41" s="148">
        <f t="shared" si="139"/>
        <v>1.5276145710928319E-2</v>
      </c>
      <c r="J41" s="148">
        <f t="shared" si="139"/>
        <v>6.6885964912280702E-2</v>
      </c>
      <c r="K41" s="148">
        <f t="shared" si="139"/>
        <v>0.37233310392291807</v>
      </c>
      <c r="L41" s="148">
        <f t="shared" si="139"/>
        <v>-3.2693674484719264E-2</v>
      </c>
      <c r="M41" s="148">
        <f t="shared" si="139"/>
        <v>-1.7642436149312377</v>
      </c>
      <c r="N41" s="148">
        <f t="shared" si="139"/>
        <v>-9.6982758620689655E-2</v>
      </c>
      <c r="O41" s="148">
        <f t="shared" si="139"/>
        <v>-0.4637223974763407</v>
      </c>
      <c r="P41" s="148">
        <f t="shared" si="139"/>
        <v>0.380859375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147">
        <v>19.03</v>
      </c>
      <c r="H42" s="147">
        <v>19.03</v>
      </c>
      <c r="I42" s="147">
        <v>15.22</v>
      </c>
      <c r="J42" s="147">
        <v>15.22</v>
      </c>
      <c r="K42" s="147">
        <v>15.22</v>
      </c>
      <c r="L42" s="147">
        <v>15.22</v>
      </c>
      <c r="M42" s="147">
        <v>15.22</v>
      </c>
      <c r="N42" s="147">
        <v>15.22</v>
      </c>
      <c r="O42" s="147">
        <v>15.22</v>
      </c>
      <c r="P42" s="147">
        <v>15.22</v>
      </c>
      <c r="Q42" s="118">
        <f>((P42/G42)^(1/($H$2-$H$1) ))-1</f>
        <v>-2.4517370097347557E-2</v>
      </c>
      <c r="R42" s="31">
        <v>0</v>
      </c>
      <c r="S42" s="154">
        <f>P42*(1.5)</f>
        <v>22.830000000000002</v>
      </c>
      <c r="T42" s="154">
        <f t="shared" ref="T42:AB42" si="140">S42*(1+$R42)</f>
        <v>22.830000000000002</v>
      </c>
      <c r="U42" s="154">
        <f t="shared" si="140"/>
        <v>22.830000000000002</v>
      </c>
      <c r="V42" s="154">
        <f t="shared" si="140"/>
        <v>22.830000000000002</v>
      </c>
      <c r="W42" s="154">
        <f t="shared" si="140"/>
        <v>22.830000000000002</v>
      </c>
      <c r="X42" s="154">
        <f t="shared" si="140"/>
        <v>22.830000000000002</v>
      </c>
      <c r="Y42" s="154">
        <f t="shared" si="140"/>
        <v>22.830000000000002</v>
      </c>
      <c r="Z42" s="154">
        <f t="shared" si="140"/>
        <v>22.830000000000002</v>
      </c>
      <c r="AA42" s="154">
        <f t="shared" si="140"/>
        <v>22.830000000000002</v>
      </c>
      <c r="AB42" s="154">
        <f t="shared" si="140"/>
        <v>22.830000000000002</v>
      </c>
      <c r="AC42" s="138">
        <f t="shared" si="19"/>
        <v>9.6280957492027586E-3</v>
      </c>
      <c r="AD42" s="31">
        <f t="shared" si="17"/>
        <v>0</v>
      </c>
      <c r="AE42" s="146">
        <f t="shared" si="1"/>
        <v>126.83333333333334</v>
      </c>
    </row>
    <row r="43" spans="2:31" x14ac:dyDescent="0.2">
      <c r="B43" s="20" t="s">
        <v>282</v>
      </c>
      <c r="C43" s="145"/>
      <c r="D43" s="145"/>
      <c r="E43" s="145"/>
      <c r="F43" s="147"/>
      <c r="G43" s="147">
        <v>6.6</v>
      </c>
      <c r="H43" s="147">
        <v>9</v>
      </c>
      <c r="I43" s="147">
        <v>10</v>
      </c>
      <c r="J43" s="147">
        <v>11.5</v>
      </c>
      <c r="K43" s="147">
        <v>15</v>
      </c>
      <c r="L43" s="147">
        <v>8</v>
      </c>
      <c r="M43" s="147">
        <v>8</v>
      </c>
      <c r="N43" s="147">
        <v>8</v>
      </c>
      <c r="O43" s="147">
        <v>6.5</v>
      </c>
      <c r="P43" s="147">
        <v>7.5</v>
      </c>
      <c r="Q43" s="118">
        <f>((P43/G43)^(1/($H$2-$H$1) ))-1</f>
        <v>1.4305059894554439E-2</v>
      </c>
      <c r="R43" s="31">
        <v>0.02</v>
      </c>
      <c r="S43" s="154">
        <f t="shared" ref="S43" si="141">P43*(1+$R43)</f>
        <v>7.65</v>
      </c>
      <c r="T43" s="154">
        <f t="shared" ref="T43" si="142">S43*(1+$R43)</f>
        <v>7.8030000000000008</v>
      </c>
      <c r="U43" s="154">
        <f t="shared" ref="U43" si="143">T43*(1+$R43)</f>
        <v>7.9590600000000009</v>
      </c>
      <c r="V43" s="154">
        <f t="shared" ref="V43" si="144">U43*(1+$R43)</f>
        <v>8.1182412000000017</v>
      </c>
      <c r="W43" s="154">
        <f t="shared" ref="W43" si="145">V43*(1+$R43)</f>
        <v>8.2806060240000026</v>
      </c>
      <c r="X43" s="154">
        <f t="shared" ref="X43" si="146">W43*(1+$R43)</f>
        <v>8.4462181444800031</v>
      </c>
      <c r="Y43" s="154">
        <f t="shared" ref="Y43" si="147">X43*(1+$R43)</f>
        <v>8.6151425073696029</v>
      </c>
      <c r="Z43" s="154">
        <f t="shared" ref="Z43" si="148">Y43*(1+$R43)</f>
        <v>8.7874453575169955</v>
      </c>
      <c r="AA43" s="154">
        <f t="shared" ref="AA43" si="149">Z43*(1+$R43)</f>
        <v>8.9631942646673348</v>
      </c>
      <c r="AB43" s="154">
        <f t="shared" ref="AB43" si="150">AA43*(1+$R43)</f>
        <v>9.1424581499606816</v>
      </c>
      <c r="AC43" s="138">
        <f t="shared" ref="AC43" si="151">((AB43/G43)^(1/($AB$3-$H$1) ))-1</f>
        <v>1.7298421951432497E-2</v>
      </c>
      <c r="AD43" s="31">
        <f t="shared" si="17"/>
        <v>0</v>
      </c>
      <c r="AE43" s="146">
        <f t="shared" si="1"/>
        <v>50.791434166448234</v>
      </c>
    </row>
    <row r="44" spans="2:31" x14ac:dyDescent="0.2">
      <c r="B44" s="20"/>
      <c r="C44" s="20"/>
      <c r="D44" s="20"/>
      <c r="E44" s="127"/>
      <c r="F44" s="127"/>
      <c r="G44" s="127"/>
      <c r="H44" s="20"/>
      <c r="I44" s="20"/>
      <c r="J44" s="20"/>
      <c r="K44" s="20"/>
      <c r="L44" s="20"/>
      <c r="M44" s="20"/>
      <c r="N44" s="20"/>
      <c r="O44" s="20"/>
      <c r="P44" s="20"/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108" t="s">
        <v>243</v>
      </c>
      <c r="C45" s="20"/>
      <c r="D45" s="20"/>
      <c r="E45" s="127"/>
      <c r="F45" s="127"/>
      <c r="G45" s="127"/>
      <c r="H45" s="20"/>
      <c r="I45" s="20"/>
      <c r="J45" s="20"/>
      <c r="K45" s="20"/>
      <c r="L45" s="20"/>
      <c r="M45" s="20"/>
      <c r="N45" s="20"/>
      <c r="O45" s="20"/>
      <c r="P45" s="20"/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303</v>
      </c>
      <c r="C46" s="133">
        <f t="shared" ref="C46:P46" si="152">C25/C42</f>
        <v>0</v>
      </c>
      <c r="D46" s="133">
        <f t="shared" si="152"/>
        <v>0</v>
      </c>
      <c r="E46" s="133">
        <f t="shared" si="152"/>
        <v>0</v>
      </c>
      <c r="F46" s="133">
        <f t="shared" si="152"/>
        <v>0</v>
      </c>
      <c r="G46" s="133">
        <f t="shared" si="152"/>
        <v>77.246452968996323</v>
      </c>
      <c r="H46" s="133">
        <f t="shared" si="152"/>
        <v>115.39674198633736</v>
      </c>
      <c r="I46" s="133">
        <f t="shared" si="152"/>
        <v>152.69382391590011</v>
      </c>
      <c r="J46" s="133">
        <f t="shared" si="152"/>
        <v>158.80420499342969</v>
      </c>
      <c r="K46" s="133">
        <f t="shared" si="152"/>
        <v>247.17477003942182</v>
      </c>
      <c r="L46" s="133">
        <f t="shared" si="152"/>
        <v>278.90932982917212</v>
      </c>
      <c r="M46" s="133">
        <f t="shared" si="152"/>
        <v>202.56241787122207</v>
      </c>
      <c r="N46" s="133">
        <f t="shared" si="152"/>
        <v>174.44152431011827</v>
      </c>
      <c r="O46" s="133">
        <f t="shared" si="152"/>
        <v>212.68068331143232</v>
      </c>
      <c r="P46" s="133">
        <f t="shared" si="152"/>
        <v>223.39027595269383</v>
      </c>
      <c r="Q46" s="118">
        <f>((P46/G46)^(1/($H$2-$H$1) ))-1</f>
        <v>0.12523402918851345</v>
      </c>
      <c r="R46" s="128"/>
      <c r="S46" s="158">
        <f t="shared" ref="S46:AB46" si="153">S25/S42</f>
        <v>157.86246167323696</v>
      </c>
      <c r="T46" s="158">
        <f t="shared" si="153"/>
        <v>167.33420937363118</v>
      </c>
      <c r="U46" s="158">
        <f t="shared" si="153"/>
        <v>177.37426193604907</v>
      </c>
      <c r="V46" s="158">
        <f t="shared" si="153"/>
        <v>188.01671765221201</v>
      </c>
      <c r="W46" s="158">
        <f t="shared" si="153"/>
        <v>199.29772071134474</v>
      </c>
      <c r="X46" s="158">
        <f t="shared" si="153"/>
        <v>211.25558395402544</v>
      </c>
      <c r="Y46" s="158">
        <f t="shared" si="153"/>
        <v>223.93091899126696</v>
      </c>
      <c r="Z46" s="158">
        <f t="shared" si="153"/>
        <v>237.36677413074298</v>
      </c>
      <c r="AA46" s="158">
        <f t="shared" si="153"/>
        <v>251.60878057858756</v>
      </c>
      <c r="AB46" s="158">
        <f t="shared" si="153"/>
        <v>266.70530741330282</v>
      </c>
      <c r="AC46" s="138">
        <f t="shared" ref="AC46" si="154">((AB46/G46)^(1/($AB$3-$H$1) ))-1</f>
        <v>6.7391765288016048E-2</v>
      </c>
      <c r="AD46" s="31">
        <f t="shared" si="17"/>
        <v>0</v>
      </c>
      <c r="AE46" s="146">
        <f t="shared" ref="AE46:AE47" si="155">(AB46*(1+AD46))/($C$1-AD46)</f>
        <v>1481.6961522961269</v>
      </c>
    </row>
    <row r="47" spans="2:31" x14ac:dyDescent="0.2">
      <c r="B47" s="20" t="s">
        <v>304</v>
      </c>
      <c r="C47" s="133">
        <f t="shared" ref="C47:P47" si="156">C27/C42</f>
        <v>0</v>
      </c>
      <c r="D47" s="133">
        <f t="shared" si="156"/>
        <v>0</v>
      </c>
      <c r="E47" s="133">
        <f t="shared" si="156"/>
        <v>0</v>
      </c>
      <c r="F47" s="133">
        <f t="shared" si="156"/>
        <v>0</v>
      </c>
      <c r="G47" s="133">
        <f t="shared" si="156"/>
        <v>39.726747241198105</v>
      </c>
      <c r="H47" s="133">
        <f t="shared" si="156"/>
        <v>46.715712033631107</v>
      </c>
      <c r="I47" s="133">
        <f t="shared" si="156"/>
        <v>50.26281208935611</v>
      </c>
      <c r="J47" s="133">
        <f t="shared" si="156"/>
        <v>56.504599211563729</v>
      </c>
      <c r="K47" s="133">
        <f t="shared" si="156"/>
        <v>75.689881734559791</v>
      </c>
      <c r="L47" s="133">
        <f t="shared" si="156"/>
        <v>103.08804204993429</v>
      </c>
      <c r="M47" s="133">
        <f t="shared" si="156"/>
        <v>123.78449408672799</v>
      </c>
      <c r="N47" s="133">
        <f t="shared" si="156"/>
        <v>88.961892247043366</v>
      </c>
      <c r="O47" s="133">
        <f t="shared" si="156"/>
        <v>123.06176084099869</v>
      </c>
      <c r="P47" s="133">
        <f t="shared" si="156"/>
        <v>121.35348226018397</v>
      </c>
      <c r="Q47" s="118">
        <f>((P47/G47)^(1/($H$2-$H$1) ))-1</f>
        <v>0.13210177324444783</v>
      </c>
      <c r="R47" s="128"/>
      <c r="S47" s="158">
        <f t="shared" ref="S47:AB47" si="157">S27/S42</f>
        <v>85.756460797196667</v>
      </c>
      <c r="T47" s="158">
        <f t="shared" si="157"/>
        <v>90.901848445028477</v>
      </c>
      <c r="U47" s="158">
        <f t="shared" si="157"/>
        <v>96.355959351730192</v>
      </c>
      <c r="V47" s="158">
        <f t="shared" si="157"/>
        <v>102.13731691283401</v>
      </c>
      <c r="W47" s="158">
        <f t="shared" si="157"/>
        <v>108.26555592760405</v>
      </c>
      <c r="X47" s="158">
        <f t="shared" si="157"/>
        <v>114.7614892832603</v>
      </c>
      <c r="Y47" s="158">
        <f t="shared" si="157"/>
        <v>121.64717864025593</v>
      </c>
      <c r="Z47" s="158">
        <f t="shared" si="157"/>
        <v>128.94600935867129</v>
      </c>
      <c r="AA47" s="158">
        <f t="shared" si="157"/>
        <v>136.68276992019159</v>
      </c>
      <c r="AB47" s="158">
        <f t="shared" si="157"/>
        <v>144.88373611540308</v>
      </c>
      <c r="AC47" s="138">
        <f t="shared" ref="AC47" si="158">((AB47/G47)^(1/($AB$3-$H$1) ))-1</f>
        <v>7.0472739451681532E-2</v>
      </c>
      <c r="AD47" s="31">
        <f t="shared" si="17"/>
        <v>0</v>
      </c>
      <c r="AE47" s="146">
        <f t="shared" si="155"/>
        <v>804.90964508557272</v>
      </c>
    </row>
    <row r="48" spans="2:31" x14ac:dyDescent="0.2">
      <c r="B48" s="20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28"/>
      <c r="R48" s="12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19"/>
      <c r="AD48" s="137"/>
      <c r="AE48" s="146"/>
    </row>
    <row r="49" spans="2:31" x14ac:dyDescent="0.2">
      <c r="B49" s="20" t="s">
        <v>257</v>
      </c>
      <c r="C49" s="25">
        <f t="shared" ref="C49:P49" si="159">C40/C42</f>
        <v>0</v>
      </c>
      <c r="D49" s="25">
        <f t="shared" si="159"/>
        <v>0</v>
      </c>
      <c r="E49" s="25">
        <f t="shared" si="159"/>
        <v>0</v>
      </c>
      <c r="F49" s="133">
        <f t="shared" si="159"/>
        <v>0</v>
      </c>
      <c r="G49" s="133">
        <f t="shared" si="159"/>
        <v>10.509721492380452</v>
      </c>
      <c r="H49" s="133">
        <f t="shared" si="159"/>
        <v>44.03573305307409</v>
      </c>
      <c r="I49" s="133">
        <f t="shared" si="159"/>
        <v>55.913272010512479</v>
      </c>
      <c r="J49" s="133">
        <f t="shared" si="159"/>
        <v>59.921156373193163</v>
      </c>
      <c r="K49" s="133">
        <f t="shared" si="159"/>
        <v>95.466491458607095</v>
      </c>
      <c r="L49" s="133">
        <f t="shared" si="159"/>
        <v>92.44415243101183</v>
      </c>
      <c r="M49" s="133">
        <f t="shared" si="159"/>
        <v>33.442838370565042</v>
      </c>
      <c r="N49" s="133">
        <f t="shared" si="159"/>
        <v>30.486202365308802</v>
      </c>
      <c r="O49" s="133">
        <f t="shared" si="159"/>
        <v>20.827858081471746</v>
      </c>
      <c r="P49" s="133">
        <f t="shared" si="159"/>
        <v>33.63994743758213</v>
      </c>
      <c r="Q49" s="118">
        <f>((P49/G49)^(1/($H$2-$H$1) ))-1</f>
        <v>0.13799526669214401</v>
      </c>
      <c r="R49" s="128"/>
      <c r="S49" s="158">
        <f t="shared" ref="S49:AB49" si="160">S40/S42</f>
        <v>23.772229522558035</v>
      </c>
      <c r="T49" s="158">
        <f t="shared" si="160"/>
        <v>25.198563293911523</v>
      </c>
      <c r="U49" s="158">
        <f t="shared" si="160"/>
        <v>26.710477091546217</v>
      </c>
      <c r="V49" s="158">
        <f t="shared" si="160"/>
        <v>28.31310571703899</v>
      </c>
      <c r="W49" s="158">
        <f t="shared" si="160"/>
        <v>30.011892060061331</v>
      </c>
      <c r="X49" s="158">
        <f t="shared" si="160"/>
        <v>31.812605583665011</v>
      </c>
      <c r="Y49" s="158">
        <f t="shared" si="160"/>
        <v>33.721361918684913</v>
      </c>
      <c r="Z49" s="158">
        <f t="shared" si="160"/>
        <v>35.744643633806007</v>
      </c>
      <c r="AA49" s="158">
        <f t="shared" si="160"/>
        <v>37.889322251834372</v>
      </c>
      <c r="AB49" s="158">
        <f t="shared" si="160"/>
        <v>40.162681586944437</v>
      </c>
      <c r="AC49" s="138">
        <f t="shared" ref="AC49:AC63" si="161">((AB49/G49)^(1/($AB$3-$H$1) ))-1</f>
        <v>7.3108816254728204E-2</v>
      </c>
      <c r="AD49" s="31">
        <f t="shared" si="17"/>
        <v>0</v>
      </c>
      <c r="AE49" s="146">
        <f t="shared" ref="AE49:AE77" si="162">(AB49*(1+AD49))/($C$1-AD49)</f>
        <v>223.126008816358</v>
      </c>
    </row>
    <row r="50" spans="2:31" x14ac:dyDescent="0.2">
      <c r="B50" s="20" t="s">
        <v>387</v>
      </c>
      <c r="C50" s="133">
        <f t="shared" ref="C50:F50" si="163">C20/C42</f>
        <v>0</v>
      </c>
      <c r="D50" s="133">
        <f t="shared" si="163"/>
        <v>0</v>
      </c>
      <c r="E50" s="133">
        <f t="shared" si="163"/>
        <v>0</v>
      </c>
      <c r="F50" s="133">
        <f t="shared" si="163"/>
        <v>0</v>
      </c>
      <c r="G50" s="133">
        <f>G20/G42</f>
        <v>37.729900157645822</v>
      </c>
      <c r="H50" s="133">
        <f t="shared" ref="H50:P50" si="164">H20/H42</f>
        <v>58.171308460325797</v>
      </c>
      <c r="I50" s="133">
        <f t="shared" si="164"/>
        <v>88.370565045992109</v>
      </c>
      <c r="J50" s="133">
        <f t="shared" si="164"/>
        <v>67.542706964520363</v>
      </c>
      <c r="K50" s="133">
        <f t="shared" si="164"/>
        <v>109.46123521681997</v>
      </c>
      <c r="L50" s="133">
        <f t="shared" si="164"/>
        <v>119.57950065703022</v>
      </c>
      <c r="M50" s="133">
        <f t="shared" si="164"/>
        <v>60.315374507227332</v>
      </c>
      <c r="N50" s="133">
        <f t="shared" si="164"/>
        <v>43.495400788436264</v>
      </c>
      <c r="O50" s="133">
        <f t="shared" si="164"/>
        <v>12.220762155059132</v>
      </c>
      <c r="P50" s="133">
        <f t="shared" si="164"/>
        <v>32.851511169513799</v>
      </c>
      <c r="Q50" s="118">
        <f>((P50/G50)^(1/($H$2-$H$1) ))-1</f>
        <v>-1.5266176855566194E-2</v>
      </c>
      <c r="R50" s="128"/>
      <c r="S50" s="133">
        <f t="shared" ref="S50:AB50" si="165">S20/S42</f>
        <v>23.215067893123081</v>
      </c>
      <c r="T50" s="133">
        <f t="shared" si="165"/>
        <v>24.607971966710469</v>
      </c>
      <c r="U50" s="133">
        <f t="shared" si="165"/>
        <v>26.0844502847131</v>
      </c>
      <c r="V50" s="133">
        <f t="shared" si="165"/>
        <v>27.649517301795889</v>
      </c>
      <c r="W50" s="133">
        <f t="shared" si="165"/>
        <v>29.308488339903644</v>
      </c>
      <c r="X50" s="133">
        <f t="shared" si="165"/>
        <v>31.06699764029786</v>
      </c>
      <c r="Y50" s="133">
        <f t="shared" si="165"/>
        <v>32.931017498715732</v>
      </c>
      <c r="Z50" s="133">
        <f t="shared" si="165"/>
        <v>34.90687854863868</v>
      </c>
      <c r="AA50" s="133">
        <f t="shared" si="165"/>
        <v>37.001291261557</v>
      </c>
      <c r="AB50" s="133">
        <f t="shared" si="165"/>
        <v>39.221368737250422</v>
      </c>
      <c r="AC50" s="138">
        <f t="shared" ref="AC50" si="166">((AB50/G50)^(1/($AB$3-$H$1) ))-1</f>
        <v>2.0425479744312636E-3</v>
      </c>
      <c r="AD50" s="31">
        <f t="shared" si="17"/>
        <v>0</v>
      </c>
      <c r="AE50" s="146">
        <f t="shared" si="162"/>
        <v>217.89649298472457</v>
      </c>
    </row>
    <row r="51" spans="2:31" x14ac:dyDescent="0.2">
      <c r="B51" s="20" t="s">
        <v>245</v>
      </c>
      <c r="C51" s="25">
        <f t="shared" ref="C51:P51" si="167">C7/C42</f>
        <v>0</v>
      </c>
      <c r="D51" s="25">
        <f t="shared" si="167"/>
        <v>0</v>
      </c>
      <c r="E51" s="25">
        <f t="shared" si="167"/>
        <v>0</v>
      </c>
      <c r="F51" s="133">
        <f t="shared" si="167"/>
        <v>0</v>
      </c>
      <c r="G51" s="133">
        <f t="shared" si="167"/>
        <v>80.977404098791382</v>
      </c>
      <c r="H51" s="133">
        <f t="shared" si="167"/>
        <v>114.87125591171834</v>
      </c>
      <c r="I51" s="133">
        <f t="shared" si="167"/>
        <v>159.00131406044679</v>
      </c>
      <c r="J51" s="133">
        <f t="shared" si="167"/>
        <v>205.32194480946123</v>
      </c>
      <c r="K51" s="133">
        <f t="shared" si="167"/>
        <v>284.55978975032849</v>
      </c>
      <c r="L51" s="133">
        <f t="shared" si="167"/>
        <v>343.75821287779235</v>
      </c>
      <c r="M51" s="133">
        <f t="shared" si="167"/>
        <v>375.09855453350855</v>
      </c>
      <c r="N51" s="133">
        <f t="shared" si="167"/>
        <v>396.18922470433637</v>
      </c>
      <c r="O51" s="133">
        <f t="shared" si="167"/>
        <v>394.02102496714849</v>
      </c>
      <c r="P51" s="133">
        <f t="shared" si="167"/>
        <v>416.62286465177397</v>
      </c>
      <c r="Q51" s="118">
        <f>((P51/G51)^(1/($H$2-$H$1) ))-1</f>
        <v>0.19961569436549609</v>
      </c>
      <c r="R51" s="128"/>
      <c r="S51" s="158">
        <f t="shared" ref="S51:AB51" si="168">S7/S42</f>
        <v>294.41349102058695</v>
      </c>
      <c r="T51" s="158">
        <f t="shared" si="168"/>
        <v>312.07830048182217</v>
      </c>
      <c r="U51" s="158">
        <f t="shared" si="168"/>
        <v>330.80299851073147</v>
      </c>
      <c r="V51" s="158">
        <f t="shared" si="168"/>
        <v>350.65117842137539</v>
      </c>
      <c r="W51" s="158">
        <f t="shared" si="168"/>
        <v>371.69024912665787</v>
      </c>
      <c r="X51" s="158">
        <f t="shared" si="168"/>
        <v>393.99166407425741</v>
      </c>
      <c r="Y51" s="158">
        <f t="shared" si="168"/>
        <v>417.63116391871284</v>
      </c>
      <c r="Z51" s="158">
        <f t="shared" si="168"/>
        <v>442.68903375383564</v>
      </c>
      <c r="AA51" s="158">
        <f t="shared" si="168"/>
        <v>469.25037577906579</v>
      </c>
      <c r="AB51" s="158">
        <f t="shared" si="168"/>
        <v>497.40539832580976</v>
      </c>
      <c r="AC51" s="138">
        <f t="shared" si="161"/>
        <v>0.10025139690804075</v>
      </c>
      <c r="AD51" s="31">
        <f t="shared" si="17"/>
        <v>0</v>
      </c>
      <c r="AE51" s="146">
        <f t="shared" si="162"/>
        <v>2763.3633240322765</v>
      </c>
    </row>
    <row r="52" spans="2:31" x14ac:dyDescent="0.2">
      <c r="B52" s="20" t="s">
        <v>246</v>
      </c>
      <c r="C52" s="127">
        <f t="shared" ref="C52:P52" si="169">C6/C42</f>
        <v>0</v>
      </c>
      <c r="D52" s="127">
        <f t="shared" si="169"/>
        <v>0</v>
      </c>
      <c r="E52" s="127">
        <f t="shared" si="169"/>
        <v>0</v>
      </c>
      <c r="F52" s="144">
        <f t="shared" si="169"/>
        <v>0</v>
      </c>
      <c r="G52" s="144">
        <f t="shared" si="169"/>
        <v>66.999474513925378</v>
      </c>
      <c r="H52" s="144">
        <f t="shared" si="169"/>
        <v>104.88702049395691</v>
      </c>
      <c r="I52" s="144">
        <f t="shared" si="169"/>
        <v>149.01445466491458</v>
      </c>
      <c r="J52" s="144">
        <f t="shared" si="169"/>
        <v>195.33508541392902</v>
      </c>
      <c r="K52" s="144">
        <f t="shared" si="169"/>
        <v>273.06176084099866</v>
      </c>
      <c r="L52" s="144">
        <f t="shared" si="169"/>
        <v>267.21419185282519</v>
      </c>
      <c r="M52" s="144">
        <f t="shared" si="169"/>
        <v>364.58607095926413</v>
      </c>
      <c r="N52" s="144">
        <f t="shared" si="169"/>
        <v>386.07095926412615</v>
      </c>
      <c r="O52" s="144">
        <f t="shared" si="169"/>
        <v>383.96846254927726</v>
      </c>
      <c r="P52" s="144">
        <f t="shared" si="169"/>
        <v>406.63600525624179</v>
      </c>
      <c r="Q52" s="118">
        <f>((P52/G52)^(1/($H$2-$H$1) ))-1</f>
        <v>0.2218416833573984</v>
      </c>
      <c r="R52" s="128"/>
      <c r="S52" s="157">
        <f t="shared" ref="S52:AB52" si="170">S6/S42</f>
        <v>287.35611038107749</v>
      </c>
      <c r="T52" s="157">
        <f t="shared" si="170"/>
        <v>304.59747700394217</v>
      </c>
      <c r="U52" s="157">
        <f t="shared" si="170"/>
        <v>322.87332562417873</v>
      </c>
      <c r="V52" s="157">
        <f t="shared" si="170"/>
        <v>342.24572516162948</v>
      </c>
      <c r="W52" s="157">
        <f t="shared" si="170"/>
        <v>362.78046867132724</v>
      </c>
      <c r="X52" s="157">
        <f t="shared" si="170"/>
        <v>384.54729679160687</v>
      </c>
      <c r="Y52" s="157">
        <f t="shared" si="170"/>
        <v>407.62013459910327</v>
      </c>
      <c r="Z52" s="157">
        <f t="shared" si="170"/>
        <v>432.07734267504947</v>
      </c>
      <c r="AA52" s="157">
        <f t="shared" si="170"/>
        <v>458.00198323555242</v>
      </c>
      <c r="AB52" s="157">
        <f t="shared" si="170"/>
        <v>485.48210222968561</v>
      </c>
      <c r="AC52" s="138">
        <f t="shared" si="161"/>
        <v>0.10986081209803356</v>
      </c>
      <c r="AD52" s="31">
        <f t="shared" si="17"/>
        <v>0</v>
      </c>
      <c r="AE52" s="146">
        <f t="shared" si="162"/>
        <v>2697.1227901649199</v>
      </c>
    </row>
    <row r="53" spans="2:31" x14ac:dyDescent="0.2">
      <c r="B53" s="20" t="s">
        <v>247</v>
      </c>
      <c r="C53" s="127">
        <f t="shared" ref="C53:P53" si="171">C10/C42</f>
        <v>0</v>
      </c>
      <c r="D53" s="127">
        <f t="shared" si="171"/>
        <v>0</v>
      </c>
      <c r="E53" s="127">
        <f t="shared" si="171"/>
        <v>0</v>
      </c>
      <c r="F53" s="144">
        <f t="shared" si="171"/>
        <v>0</v>
      </c>
      <c r="G53" s="144">
        <f t="shared" si="171"/>
        <v>78.770362585391482</v>
      </c>
      <c r="H53" s="144">
        <f t="shared" si="171"/>
        <v>110.77246452968996</v>
      </c>
      <c r="I53" s="144">
        <f t="shared" si="171"/>
        <v>123.25886990801577</v>
      </c>
      <c r="J53" s="144">
        <f t="shared" si="171"/>
        <v>148.02890932982916</v>
      </c>
      <c r="K53" s="144">
        <f t="shared" si="171"/>
        <v>180.42049934296978</v>
      </c>
      <c r="L53" s="144">
        <f t="shared" si="171"/>
        <v>280.22339027595268</v>
      </c>
      <c r="M53" s="144">
        <f t="shared" si="171"/>
        <v>352.82522996057816</v>
      </c>
      <c r="N53" s="144">
        <f t="shared" si="171"/>
        <v>391.39290407358737</v>
      </c>
      <c r="O53" s="144">
        <f t="shared" si="171"/>
        <v>372.66754270696453</v>
      </c>
      <c r="P53" s="144">
        <f t="shared" si="171"/>
        <v>373.78449408672799</v>
      </c>
      <c r="Q53" s="118">
        <f>((P53/G53)^(1/($H$2-$H$1) ))-1</f>
        <v>0.18888494156475599</v>
      </c>
      <c r="R53" s="128"/>
      <c r="S53" s="157">
        <f t="shared" ref="S53:AB53" si="172">S10/S42</f>
        <v>264.14104248795445</v>
      </c>
      <c r="T53" s="157">
        <f t="shared" si="172"/>
        <v>279.98950503723171</v>
      </c>
      <c r="U53" s="157">
        <f t="shared" si="172"/>
        <v>296.78887533946568</v>
      </c>
      <c r="V53" s="157">
        <f t="shared" si="172"/>
        <v>314.59620785983361</v>
      </c>
      <c r="W53" s="157">
        <f t="shared" si="172"/>
        <v>333.47198033142365</v>
      </c>
      <c r="X53" s="157">
        <f t="shared" si="172"/>
        <v>353.48029915130905</v>
      </c>
      <c r="Y53" s="157">
        <f t="shared" si="172"/>
        <v>374.68911710038759</v>
      </c>
      <c r="Z53" s="157">
        <f t="shared" si="172"/>
        <v>397.17046412641088</v>
      </c>
      <c r="AA53" s="157">
        <f t="shared" si="172"/>
        <v>421.00069197399563</v>
      </c>
      <c r="AB53" s="157">
        <f t="shared" si="172"/>
        <v>446.26073349243541</v>
      </c>
      <c r="AC53" s="138">
        <f t="shared" si="161"/>
        <v>9.5578408757937661E-2</v>
      </c>
      <c r="AD53" s="31">
        <f t="shared" si="17"/>
        <v>0</v>
      </c>
      <c r="AE53" s="146">
        <f t="shared" si="162"/>
        <v>2479.226297180197</v>
      </c>
    </row>
    <row r="54" spans="2:31" x14ac:dyDescent="0.2">
      <c r="B54" s="20"/>
      <c r="C54" s="127"/>
      <c r="D54" s="127"/>
      <c r="E54" s="127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28"/>
      <c r="R54" s="128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39"/>
      <c r="AD54" s="137"/>
      <c r="AE54" s="146"/>
    </row>
    <row r="55" spans="2:31" x14ac:dyDescent="0.2">
      <c r="B55" s="20" t="s">
        <v>270</v>
      </c>
      <c r="C55" s="127">
        <f t="shared" ref="C55:P55" si="173">(C7-C10)/C42</f>
        <v>0</v>
      </c>
      <c r="D55" s="127">
        <f t="shared" si="173"/>
        <v>0</v>
      </c>
      <c r="E55" s="127">
        <f t="shared" si="173"/>
        <v>0</v>
      </c>
      <c r="F55" s="144">
        <f t="shared" si="173"/>
        <v>0</v>
      </c>
      <c r="G55" s="144">
        <f t="shared" si="173"/>
        <v>2.2070415133998948</v>
      </c>
      <c r="H55" s="144">
        <f t="shared" si="173"/>
        <v>4.0987913820283763</v>
      </c>
      <c r="I55" s="144">
        <f t="shared" si="173"/>
        <v>35.742444152431013</v>
      </c>
      <c r="J55" s="144">
        <f t="shared" si="173"/>
        <v>57.29303547963206</v>
      </c>
      <c r="K55" s="144">
        <f t="shared" si="173"/>
        <v>104.13929040735873</v>
      </c>
      <c r="L55" s="144">
        <f t="shared" si="173"/>
        <v>63.534822601839679</v>
      </c>
      <c r="M55" s="144">
        <f t="shared" si="173"/>
        <v>22.273324572930353</v>
      </c>
      <c r="N55" s="144">
        <f t="shared" si="173"/>
        <v>4.7963206307490145</v>
      </c>
      <c r="O55" s="144">
        <f t="shared" si="173"/>
        <v>21.353482260183966</v>
      </c>
      <c r="P55" s="144">
        <f t="shared" si="173"/>
        <v>42.838370565045992</v>
      </c>
      <c r="Q55" s="118">
        <f>((P55/G55)^(1/($H$2-$H$1) ))-1</f>
        <v>0.39031626842455158</v>
      </c>
      <c r="R55" s="128"/>
      <c r="S55" s="157">
        <f t="shared" ref="S55:AB55" si="174">(S7-S10)/S42</f>
        <v>30.272448532632495</v>
      </c>
      <c r="T55" s="157">
        <f t="shared" si="174"/>
        <v>32.088795444590446</v>
      </c>
      <c r="U55" s="157">
        <f t="shared" si="174"/>
        <v>34.014123171265844</v>
      </c>
      <c r="V55" s="157">
        <f t="shared" si="174"/>
        <v>36.054970561541786</v>
      </c>
      <c r="W55" s="157">
        <f t="shared" si="174"/>
        <v>38.218268795234266</v>
      </c>
      <c r="X55" s="157">
        <f t="shared" si="174"/>
        <v>40.511364922948331</v>
      </c>
      <c r="Y55" s="157">
        <f t="shared" si="174"/>
        <v>42.942046818325267</v>
      </c>
      <c r="Z55" s="157">
        <f t="shared" si="174"/>
        <v>45.518569627424739</v>
      </c>
      <c r="AA55" s="157">
        <f t="shared" si="174"/>
        <v>48.24968380507017</v>
      </c>
      <c r="AB55" s="157">
        <f t="shared" si="174"/>
        <v>51.144664833374371</v>
      </c>
      <c r="AC55" s="138">
        <f t="shared" si="161"/>
        <v>0.17989013559896594</v>
      </c>
      <c r="AD55" s="31">
        <f t="shared" si="17"/>
        <v>0</v>
      </c>
      <c r="AE55" s="146">
        <f t="shared" si="162"/>
        <v>284.13702685207983</v>
      </c>
    </row>
    <row r="56" spans="2:31" x14ac:dyDescent="0.2">
      <c r="B56" s="20" t="s">
        <v>271</v>
      </c>
      <c r="C56" s="127">
        <f t="shared" ref="C56:P56" si="175">(C7-C10-C9)/C42</f>
        <v>0</v>
      </c>
      <c r="D56" s="127">
        <f t="shared" si="175"/>
        <v>0</v>
      </c>
      <c r="E56" s="127">
        <f t="shared" si="175"/>
        <v>0</v>
      </c>
      <c r="F56" s="144">
        <f t="shared" si="175"/>
        <v>0</v>
      </c>
      <c r="G56" s="144">
        <f t="shared" si="175"/>
        <v>-15.659485023646873</v>
      </c>
      <c r="H56" s="144">
        <f t="shared" si="175"/>
        <v>-11.087756174461376</v>
      </c>
      <c r="I56" s="144">
        <f t="shared" si="175"/>
        <v>17.936925098554532</v>
      </c>
      <c r="J56" s="144">
        <f t="shared" si="175"/>
        <v>40.538764783180028</v>
      </c>
      <c r="K56" s="144">
        <f t="shared" si="175"/>
        <v>81.143232588699078</v>
      </c>
      <c r="L56" s="144">
        <f t="shared" si="175"/>
        <v>6.5703022339027597E-2</v>
      </c>
      <c r="M56" s="144">
        <f t="shared" si="175"/>
        <v>-18.068331143232587</v>
      </c>
      <c r="N56" s="144">
        <f t="shared" si="175"/>
        <v>-29.632063074901446</v>
      </c>
      <c r="O56" s="144">
        <f t="shared" si="175"/>
        <v>-57.950065703022339</v>
      </c>
      <c r="P56" s="144">
        <f t="shared" si="175"/>
        <v>-56.044678055190538</v>
      </c>
      <c r="Q56" s="118">
        <f>((P56/G56)^(1/($H$2-$H$1) ))-1</f>
        <v>0.15220178783370231</v>
      </c>
      <c r="R56" s="128"/>
      <c r="S56" s="157">
        <f t="shared" ref="S56:AB56" si="176">(S7-S10-S9)/S42</f>
        <v>-39.604905825667991</v>
      </c>
      <c r="T56" s="157">
        <f t="shared" si="176"/>
        <v>-41.981200175208073</v>
      </c>
      <c r="U56" s="157">
        <f t="shared" si="176"/>
        <v>-44.500072185720583</v>
      </c>
      <c r="V56" s="157">
        <f t="shared" si="176"/>
        <v>-47.17007651686383</v>
      </c>
      <c r="W56" s="157">
        <f t="shared" si="176"/>
        <v>-50.000281107875693</v>
      </c>
      <c r="X56" s="157">
        <f t="shared" si="176"/>
        <v>-53.000297974348221</v>
      </c>
      <c r="Y56" s="157">
        <f t="shared" si="176"/>
        <v>-56.180315852809088</v>
      </c>
      <c r="Z56" s="157">
        <f t="shared" si="176"/>
        <v>-59.551134803977668</v>
      </c>
      <c r="AA56" s="157">
        <f t="shared" si="176"/>
        <v>-63.124202892216388</v>
      </c>
      <c r="AB56" s="157">
        <f t="shared" si="176"/>
        <v>-66.9116550657494</v>
      </c>
      <c r="AC56" s="138">
        <f t="shared" si="161"/>
        <v>7.9433806777630789E-2</v>
      </c>
      <c r="AD56" s="31">
        <f t="shared" si="17"/>
        <v>0</v>
      </c>
      <c r="AE56" s="146">
        <f t="shared" si="162"/>
        <v>-371.73141703194113</v>
      </c>
    </row>
    <row r="57" spans="2:31" x14ac:dyDescent="0.2">
      <c r="B57" s="20" t="s">
        <v>276</v>
      </c>
      <c r="C57" s="127">
        <f t="shared" ref="C57:P57" si="177">(C7+C15-C10-C9)/C42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5.8328954282711507</v>
      </c>
      <c r="H57" s="144">
        <f t="shared" si="177"/>
        <v>15.396741986337361</v>
      </c>
      <c r="I57" s="144">
        <f t="shared" si="177"/>
        <v>35.479632063074902</v>
      </c>
      <c r="J57" s="144">
        <f t="shared" si="177"/>
        <v>68.988173455978966</v>
      </c>
      <c r="K57" s="144">
        <f t="shared" si="177"/>
        <v>107.55584756898817</v>
      </c>
      <c r="L57" s="144">
        <f t="shared" si="177"/>
        <v>70.565045992115628</v>
      </c>
      <c r="M57" s="144">
        <f t="shared" si="177"/>
        <v>37.516425755584756</v>
      </c>
      <c r="N57" s="144">
        <f t="shared" si="177"/>
        <v>27.792378449408673</v>
      </c>
      <c r="O57" s="144">
        <f t="shared" si="177"/>
        <v>198.42312746386332</v>
      </c>
      <c r="P57" s="144">
        <f t="shared" si="177"/>
        <v>107.62155059132719</v>
      </c>
      <c r="Q57" s="118">
        <f>((P57/G57)^(1/($H$2-$H$1) ))-1</f>
        <v>0.38251018479919607</v>
      </c>
      <c r="R57" s="128"/>
      <c r="S57" s="157">
        <f t="shared" ref="S57:AB57" si="178">(S7+S15-S10-S9)/S42</f>
        <v>76.052562417871201</v>
      </c>
      <c r="T57" s="157">
        <f t="shared" si="178"/>
        <v>80.615716162943471</v>
      </c>
      <c r="U57" s="157">
        <f t="shared" si="178"/>
        <v>85.452659132720029</v>
      </c>
      <c r="V57" s="157">
        <f t="shared" si="178"/>
        <v>90.579818680683275</v>
      </c>
      <c r="W57" s="157">
        <f t="shared" si="178"/>
        <v>96.014607801524193</v>
      </c>
      <c r="X57" s="157">
        <f t="shared" si="178"/>
        <v>101.77548426961572</v>
      </c>
      <c r="Y57" s="157">
        <f t="shared" si="178"/>
        <v>107.88201332579267</v>
      </c>
      <c r="Z57" s="157">
        <f t="shared" si="178"/>
        <v>114.35493412534019</v>
      </c>
      <c r="AA57" s="157">
        <f t="shared" si="178"/>
        <v>121.21623017286056</v>
      </c>
      <c r="AB57" s="157">
        <f t="shared" si="178"/>
        <v>128.48920398323219</v>
      </c>
      <c r="AC57" s="138">
        <f t="shared" si="161"/>
        <v>0.17674750655756211</v>
      </c>
      <c r="AD57" s="31">
        <f t="shared" si="17"/>
        <v>0</v>
      </c>
      <c r="AE57" s="146">
        <f t="shared" si="162"/>
        <v>713.82891101795667</v>
      </c>
    </row>
    <row r="58" spans="2:31" x14ac:dyDescent="0.2">
      <c r="B58" s="20"/>
      <c r="C58" s="127"/>
      <c r="D58" s="127"/>
      <c r="E58" s="127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28"/>
      <c r="R58" s="128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39"/>
      <c r="AD58" s="137"/>
      <c r="AE58" s="154"/>
    </row>
    <row r="59" spans="2:31" x14ac:dyDescent="0.2">
      <c r="B59" s="20" t="s">
        <v>248</v>
      </c>
      <c r="C59" s="127">
        <f t="shared" ref="C59:P59" si="179">C12/C42</f>
        <v>0</v>
      </c>
      <c r="D59" s="127">
        <f t="shared" si="179"/>
        <v>0</v>
      </c>
      <c r="E59" s="127">
        <f t="shared" si="179"/>
        <v>0</v>
      </c>
      <c r="F59" s="144">
        <f t="shared" si="179"/>
        <v>0</v>
      </c>
      <c r="G59" s="144">
        <f t="shared" si="179"/>
        <v>12.926957435627955</v>
      </c>
      <c r="H59" s="144">
        <f t="shared" si="179"/>
        <v>56.384655806621119</v>
      </c>
      <c r="I59" s="144">
        <f t="shared" si="179"/>
        <v>93.101182654402095</v>
      </c>
      <c r="J59" s="144">
        <f t="shared" si="179"/>
        <v>77.069645203679372</v>
      </c>
      <c r="K59" s="144">
        <f t="shared" si="179"/>
        <v>81.2089356110381</v>
      </c>
      <c r="L59" s="144">
        <f t="shared" si="179"/>
        <v>145.70302233902757</v>
      </c>
      <c r="M59" s="144">
        <f t="shared" si="179"/>
        <v>114.5203679369251</v>
      </c>
      <c r="N59" s="144">
        <f t="shared" si="179"/>
        <v>87.056504599211564</v>
      </c>
      <c r="O59" s="144">
        <f t="shared" si="179"/>
        <v>227.26675427069645</v>
      </c>
      <c r="P59" s="144">
        <f t="shared" si="179"/>
        <v>130.55190538764782</v>
      </c>
      <c r="Q59" s="118">
        <f>((P59/G59)^(1/($H$2-$H$1) ))-1</f>
        <v>0.29296697682623796</v>
      </c>
      <c r="R59" s="128"/>
      <c r="S59" s="157">
        <f t="shared" ref="S59:AB59" si="180">S12/S42</f>
        <v>92.256679807271141</v>
      </c>
      <c r="T59" s="157">
        <f t="shared" si="180"/>
        <v>97.792080595707404</v>
      </c>
      <c r="U59" s="157">
        <f t="shared" si="180"/>
        <v>103.65960543144986</v>
      </c>
      <c r="V59" s="157">
        <f t="shared" si="180"/>
        <v>109.87918175733687</v>
      </c>
      <c r="W59" s="157">
        <f t="shared" si="180"/>
        <v>116.47193266277706</v>
      </c>
      <c r="X59" s="157">
        <f t="shared" si="180"/>
        <v>123.4602486225437</v>
      </c>
      <c r="Y59" s="157">
        <f t="shared" si="180"/>
        <v>130.86786353989632</v>
      </c>
      <c r="Z59" s="157">
        <f t="shared" si="180"/>
        <v>138.71993535229009</v>
      </c>
      <c r="AA59" s="157">
        <f t="shared" si="180"/>
        <v>147.04313147342751</v>
      </c>
      <c r="AB59" s="157">
        <f t="shared" si="180"/>
        <v>155.86571936183316</v>
      </c>
      <c r="AC59" s="138">
        <f t="shared" si="161"/>
        <v>0.1400085814065315</v>
      </c>
      <c r="AD59" s="31">
        <f t="shared" si="17"/>
        <v>0</v>
      </c>
      <c r="AE59" s="146">
        <f t="shared" si="162"/>
        <v>865.92066312129532</v>
      </c>
    </row>
    <row r="60" spans="2:31" x14ac:dyDescent="0.2">
      <c r="B60" s="20" t="s">
        <v>255</v>
      </c>
      <c r="C60" s="127">
        <f t="shared" ref="C60:P60" si="181">C13/C42</f>
        <v>0</v>
      </c>
      <c r="D60" s="127">
        <f t="shared" si="181"/>
        <v>0</v>
      </c>
      <c r="E60" s="127">
        <f t="shared" si="181"/>
        <v>0</v>
      </c>
      <c r="F60" s="144">
        <f t="shared" si="181"/>
        <v>0</v>
      </c>
      <c r="G60" s="144">
        <f t="shared" si="181"/>
        <v>20.966894377298999</v>
      </c>
      <c r="H60" s="144">
        <f t="shared" si="181"/>
        <v>1.9442984760903834</v>
      </c>
      <c r="I60" s="144">
        <f t="shared" si="181"/>
        <v>10.972404730617608</v>
      </c>
      <c r="J60" s="144">
        <f t="shared" si="181"/>
        <v>10.446780551905388</v>
      </c>
      <c r="K60" s="144">
        <f t="shared" si="181"/>
        <v>20.827858081471746</v>
      </c>
      <c r="L60" s="144">
        <f t="shared" si="181"/>
        <v>19.842312746386334</v>
      </c>
      <c r="M60" s="144">
        <f t="shared" si="181"/>
        <v>143.10118265440209</v>
      </c>
      <c r="N60" s="144">
        <f t="shared" si="181"/>
        <v>118.19973718791064</v>
      </c>
      <c r="O60" s="144">
        <f t="shared" si="181"/>
        <v>0</v>
      </c>
      <c r="P60" s="144">
        <f t="shared" si="181"/>
        <v>133.04862023653087</v>
      </c>
      <c r="Q60" s="118">
        <f>((P60/G60)^(1/($H$2-$H$1) ))-1</f>
        <v>0.22790291324618472</v>
      </c>
      <c r="R60" s="128"/>
      <c r="S60" s="157">
        <f t="shared" ref="S60:AB60" si="182">S13/S42</f>
        <v>94.021024967148477</v>
      </c>
      <c r="T60" s="157">
        <f t="shared" si="182"/>
        <v>99.662286465177388</v>
      </c>
      <c r="U60" s="157">
        <f t="shared" si="182"/>
        <v>105.64202365308805</v>
      </c>
      <c r="V60" s="157">
        <f t="shared" si="182"/>
        <v>111.98054507227333</v>
      </c>
      <c r="W60" s="157">
        <f t="shared" si="182"/>
        <v>118.69937777660974</v>
      </c>
      <c r="X60" s="157">
        <f t="shared" si="182"/>
        <v>125.82134044320634</v>
      </c>
      <c r="Y60" s="157">
        <f t="shared" si="182"/>
        <v>133.37062086979873</v>
      </c>
      <c r="Z60" s="157">
        <f t="shared" si="182"/>
        <v>141.37285812198664</v>
      </c>
      <c r="AA60" s="157">
        <f t="shared" si="182"/>
        <v>149.85522960930584</v>
      </c>
      <c r="AB60" s="157">
        <f t="shared" si="182"/>
        <v>158.84654338586421</v>
      </c>
      <c r="AC60" s="138">
        <f t="shared" si="161"/>
        <v>0.11246538999294309</v>
      </c>
      <c r="AD60" s="31">
        <f t="shared" si="17"/>
        <v>0</v>
      </c>
      <c r="AE60" s="146">
        <f t="shared" si="162"/>
        <v>882.48079658813458</v>
      </c>
    </row>
    <row r="61" spans="2:31" x14ac:dyDescent="0.2">
      <c r="B61" s="20" t="s">
        <v>256</v>
      </c>
      <c r="C61" s="127">
        <f>(C59+C60)</f>
        <v>0</v>
      </c>
      <c r="D61" s="127">
        <f t="shared" ref="D61:P61" si="183">(D59+D60)</f>
        <v>0</v>
      </c>
      <c r="E61" s="127">
        <f t="shared" si="183"/>
        <v>0</v>
      </c>
      <c r="F61" s="144">
        <f t="shared" si="183"/>
        <v>0</v>
      </c>
      <c r="G61" s="144">
        <f t="shared" si="183"/>
        <v>33.893851812926954</v>
      </c>
      <c r="H61" s="144">
        <f t="shared" si="183"/>
        <v>58.3289542827115</v>
      </c>
      <c r="I61" s="144">
        <f t="shared" si="183"/>
        <v>104.07358738501971</v>
      </c>
      <c r="J61" s="144">
        <f t="shared" si="183"/>
        <v>87.516425755584763</v>
      </c>
      <c r="K61" s="144">
        <f t="shared" si="183"/>
        <v>102.03679369250985</v>
      </c>
      <c r="L61" s="144">
        <f t="shared" si="183"/>
        <v>165.54533508541391</v>
      </c>
      <c r="M61" s="144">
        <f t="shared" si="183"/>
        <v>257.62155059132721</v>
      </c>
      <c r="N61" s="144">
        <f t="shared" si="183"/>
        <v>205.25624178712221</v>
      </c>
      <c r="O61" s="144">
        <f t="shared" ref="O61" si="184">(O59+O60)</f>
        <v>227.26675427069645</v>
      </c>
      <c r="P61" s="144">
        <f t="shared" si="183"/>
        <v>263.60052562417866</v>
      </c>
      <c r="Q61" s="118">
        <f>((P61/G61)^(1/($H$2-$H$1) ))-1</f>
        <v>0.25597384040860538</v>
      </c>
      <c r="R61" s="128"/>
      <c r="S61" s="157">
        <f t="shared" ref="S61:AB61" si="185">(S59+S60)</f>
        <v>186.27770477441962</v>
      </c>
      <c r="T61" s="157">
        <f t="shared" si="185"/>
        <v>197.45436706088481</v>
      </c>
      <c r="U61" s="157">
        <f t="shared" si="185"/>
        <v>209.30162908453792</v>
      </c>
      <c r="V61" s="157">
        <f t="shared" si="185"/>
        <v>221.8597268296102</v>
      </c>
      <c r="W61" s="157">
        <f t="shared" si="185"/>
        <v>235.17131043938679</v>
      </c>
      <c r="X61" s="157">
        <f t="shared" si="185"/>
        <v>249.28158906575004</v>
      </c>
      <c r="Y61" s="157">
        <f t="shared" si="185"/>
        <v>264.23848440969505</v>
      </c>
      <c r="Z61" s="157">
        <f t="shared" si="185"/>
        <v>280.09279347427673</v>
      </c>
      <c r="AA61" s="157">
        <f t="shared" si="185"/>
        <v>296.89836108273335</v>
      </c>
      <c r="AB61" s="157">
        <f t="shared" si="185"/>
        <v>314.71226274769737</v>
      </c>
      <c r="AC61" s="138">
        <f t="shared" si="161"/>
        <v>0.12444044914379404</v>
      </c>
      <c r="AD61" s="31">
        <f t="shared" si="17"/>
        <v>0</v>
      </c>
      <c r="AE61" s="146">
        <f t="shared" si="162"/>
        <v>1748.4014597094299</v>
      </c>
    </row>
    <row r="62" spans="2:31" x14ac:dyDescent="0.2">
      <c r="B62" s="20" t="s">
        <v>249</v>
      </c>
      <c r="C62" s="127">
        <f t="shared" ref="C62:P62" si="186">C15/C42</f>
        <v>0</v>
      </c>
      <c r="D62" s="127">
        <f t="shared" si="186"/>
        <v>0</v>
      </c>
      <c r="E62" s="127">
        <f t="shared" si="186"/>
        <v>0</v>
      </c>
      <c r="F62" s="144">
        <f t="shared" si="186"/>
        <v>0</v>
      </c>
      <c r="G62" s="144">
        <f t="shared" si="186"/>
        <v>21.492380451918024</v>
      </c>
      <c r="H62" s="144">
        <f t="shared" si="186"/>
        <v>26.484498160798736</v>
      </c>
      <c r="I62" s="144">
        <f t="shared" si="186"/>
        <v>17.542706964520367</v>
      </c>
      <c r="J62" s="144">
        <f t="shared" si="186"/>
        <v>28.449408672798949</v>
      </c>
      <c r="K62" s="144">
        <f t="shared" si="186"/>
        <v>26.412614980289092</v>
      </c>
      <c r="L62" s="144">
        <f t="shared" si="186"/>
        <v>70.499342969776606</v>
      </c>
      <c r="M62" s="144">
        <f t="shared" si="186"/>
        <v>55.584756898817346</v>
      </c>
      <c r="N62" s="144">
        <f t="shared" si="186"/>
        <v>57.424441524310119</v>
      </c>
      <c r="O62" s="144">
        <f t="shared" si="186"/>
        <v>256.37319316688564</v>
      </c>
      <c r="P62" s="144">
        <f t="shared" si="186"/>
        <v>163.66622864651774</v>
      </c>
      <c r="Q62" s="118">
        <f>((P62/G62)^(1/($H$2-$H$1) ))-1</f>
        <v>0.25303683941935229</v>
      </c>
      <c r="R62" s="128"/>
      <c r="S62" s="157">
        <f t="shared" ref="S62:AB62" si="187">S15/S42</f>
        <v>115.6574682435392</v>
      </c>
      <c r="T62" s="157">
        <f t="shared" si="187"/>
        <v>122.59691633815154</v>
      </c>
      <c r="U62" s="157">
        <f t="shared" si="187"/>
        <v>129.95273131844064</v>
      </c>
      <c r="V62" s="157">
        <f t="shared" si="187"/>
        <v>137.74989519754709</v>
      </c>
      <c r="W62" s="157">
        <f t="shared" si="187"/>
        <v>146.01488890939993</v>
      </c>
      <c r="X62" s="157">
        <f t="shared" si="187"/>
        <v>154.77578224396393</v>
      </c>
      <c r="Y62" s="157">
        <f t="shared" si="187"/>
        <v>164.06232917860177</v>
      </c>
      <c r="Z62" s="157">
        <f t="shared" si="187"/>
        <v>173.90606892931785</v>
      </c>
      <c r="AA62" s="157">
        <f t="shared" si="187"/>
        <v>184.34043306507695</v>
      </c>
      <c r="AB62" s="157">
        <f t="shared" si="187"/>
        <v>195.4008590489816</v>
      </c>
      <c r="AC62" s="138">
        <f t="shared" si="161"/>
        <v>0.12319416704404262</v>
      </c>
      <c r="AD62" s="31">
        <f t="shared" si="17"/>
        <v>0</v>
      </c>
      <c r="AE62" s="146">
        <f t="shared" si="162"/>
        <v>1085.5603280498979</v>
      </c>
    </row>
    <row r="63" spans="2:31" x14ac:dyDescent="0.2">
      <c r="B63" s="20" t="s">
        <v>250</v>
      </c>
      <c r="C63" s="127">
        <f t="shared" ref="C63:P63" si="188">C16/C42</f>
        <v>0</v>
      </c>
      <c r="D63" s="127">
        <f t="shared" si="188"/>
        <v>0</v>
      </c>
      <c r="E63" s="127">
        <f t="shared" si="188"/>
        <v>0</v>
      </c>
      <c r="F63" s="144">
        <f t="shared" si="188"/>
        <v>0</v>
      </c>
      <c r="G63" s="144">
        <f t="shared" si="188"/>
        <v>3.8360483447188649</v>
      </c>
      <c r="H63" s="144">
        <f t="shared" si="188"/>
        <v>55.123489227535465</v>
      </c>
      <c r="I63" s="144">
        <f t="shared" si="188"/>
        <v>83.114323258869902</v>
      </c>
      <c r="J63" s="144">
        <f t="shared" si="188"/>
        <v>77.595269382391592</v>
      </c>
      <c r="K63" s="144">
        <f t="shared" si="188"/>
        <v>70.959264126149804</v>
      </c>
      <c r="L63" s="144">
        <f t="shared" si="188"/>
        <v>106.11038107752957</v>
      </c>
      <c r="M63" s="144">
        <f t="shared" si="188"/>
        <v>91.78712220762155</v>
      </c>
      <c r="N63" s="144">
        <f t="shared" si="188"/>
        <v>75.032851511169511</v>
      </c>
      <c r="O63" s="144">
        <f t="shared" si="188"/>
        <v>144.94086727989486</v>
      </c>
      <c r="P63" s="144">
        <f t="shared" si="188"/>
        <v>19.776609724047304</v>
      </c>
      <c r="Q63" s="118">
        <f>((P63/G63)^(1/($H$2-$H$1) ))-1</f>
        <v>0.19988842403140827</v>
      </c>
      <c r="R63" s="128"/>
      <c r="S63" s="157">
        <f t="shared" ref="S63:AB63" si="189">S16/S42</f>
        <v>13.975470871660095</v>
      </c>
      <c r="T63" s="157">
        <f t="shared" si="189"/>
        <v>14.8139991239597</v>
      </c>
      <c r="U63" s="157">
        <f t="shared" si="189"/>
        <v>15.702839071397282</v>
      </c>
      <c r="V63" s="157">
        <f t="shared" si="189"/>
        <v>16.64500941568112</v>
      </c>
      <c r="W63" s="157">
        <f t="shared" si="189"/>
        <v>17.643709980621988</v>
      </c>
      <c r="X63" s="157">
        <f t="shared" si="189"/>
        <v>18.702332579459309</v>
      </c>
      <c r="Y63" s="157">
        <f t="shared" si="189"/>
        <v>19.824472534226867</v>
      </c>
      <c r="Z63" s="157">
        <f t="shared" si="189"/>
        <v>21.01394088628048</v>
      </c>
      <c r="AA63" s="157">
        <f t="shared" si="189"/>
        <v>22.274777339457309</v>
      </c>
      <c r="AB63" s="157">
        <f t="shared" si="189"/>
        <v>23.611263979824749</v>
      </c>
      <c r="AC63" s="138">
        <f t="shared" si="161"/>
        <v>0.10036987692230559</v>
      </c>
      <c r="AD63" s="137"/>
      <c r="AE63" s="146">
        <f t="shared" si="162"/>
        <v>131.17368877680417</v>
      </c>
    </row>
    <row r="64" spans="2:31" x14ac:dyDescent="0.2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39"/>
      <c r="AD64" s="31">
        <f t="shared" si="17"/>
        <v>0</v>
      </c>
      <c r="AE64" s="146">
        <f t="shared" si="162"/>
        <v>0</v>
      </c>
    </row>
    <row r="65" spans="2:31" x14ac:dyDescent="0.2">
      <c r="B65" s="20" t="s">
        <v>282</v>
      </c>
      <c r="C65" s="159">
        <f>C43</f>
        <v>0</v>
      </c>
      <c r="D65" s="159">
        <f t="shared" ref="D65:P65" si="190">D43</f>
        <v>0</v>
      </c>
      <c r="E65" s="159">
        <f t="shared" si="190"/>
        <v>0</v>
      </c>
      <c r="F65" s="159">
        <f t="shared" si="190"/>
        <v>0</v>
      </c>
      <c r="G65" s="159">
        <f t="shared" si="190"/>
        <v>6.6</v>
      </c>
      <c r="H65" s="159">
        <f t="shared" si="190"/>
        <v>9</v>
      </c>
      <c r="I65" s="159">
        <f t="shared" si="190"/>
        <v>10</v>
      </c>
      <c r="J65" s="159">
        <f t="shared" si="190"/>
        <v>11.5</v>
      </c>
      <c r="K65" s="159">
        <f t="shared" si="190"/>
        <v>15</v>
      </c>
      <c r="L65" s="159">
        <f t="shared" si="190"/>
        <v>8</v>
      </c>
      <c r="M65" s="159">
        <f t="shared" si="190"/>
        <v>8</v>
      </c>
      <c r="N65" s="159">
        <f t="shared" si="190"/>
        <v>8</v>
      </c>
      <c r="O65" s="159">
        <f t="shared" si="190"/>
        <v>6.5</v>
      </c>
      <c r="P65" s="159">
        <f t="shared" si="190"/>
        <v>7.5</v>
      </c>
      <c r="Q65" s="118">
        <f>((P65/G65)^(1/($H$2-$H$1) ))-1</f>
        <v>1.4305059894554439E-2</v>
      </c>
      <c r="R65" s="128"/>
      <c r="S65" s="159">
        <f t="shared" ref="S65:AB65" si="191">S43</f>
        <v>7.65</v>
      </c>
      <c r="T65" s="159">
        <f t="shared" si="191"/>
        <v>7.8030000000000008</v>
      </c>
      <c r="U65" s="159">
        <f t="shared" si="191"/>
        <v>7.9590600000000009</v>
      </c>
      <c r="V65" s="159">
        <f t="shared" si="191"/>
        <v>8.1182412000000017</v>
      </c>
      <c r="W65" s="159">
        <f t="shared" si="191"/>
        <v>8.2806060240000026</v>
      </c>
      <c r="X65" s="159">
        <f t="shared" si="191"/>
        <v>8.4462181444800031</v>
      </c>
      <c r="Y65" s="159">
        <f t="shared" si="191"/>
        <v>8.6151425073696029</v>
      </c>
      <c r="Z65" s="159">
        <f t="shared" si="191"/>
        <v>8.7874453575169955</v>
      </c>
      <c r="AA65" s="159">
        <f t="shared" si="191"/>
        <v>8.9631942646673348</v>
      </c>
      <c r="AB65" s="159">
        <f t="shared" si="191"/>
        <v>9.1424581499606816</v>
      </c>
      <c r="AC65" s="138">
        <f t="shared" ref="AC65" si="192">((AB65/G65)^(1/($AB$3-$H$1) ))-1</f>
        <v>1.7298421951432497E-2</v>
      </c>
      <c r="AD65" s="31">
        <f t="shared" si="17"/>
        <v>0</v>
      </c>
      <c r="AE65" s="146">
        <f t="shared" si="162"/>
        <v>50.791434166448234</v>
      </c>
    </row>
    <row r="66" spans="2:31" x14ac:dyDescent="0.2">
      <c r="B66" s="20"/>
      <c r="C66" s="127"/>
      <c r="D66" s="127"/>
      <c r="E66" s="12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28"/>
      <c r="R66" s="128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39"/>
      <c r="AD66" s="137"/>
      <c r="AE66" s="154"/>
    </row>
    <row r="67" spans="2:31" x14ac:dyDescent="0.2">
      <c r="B67" s="20" t="s">
        <v>316</v>
      </c>
      <c r="C67" s="127">
        <f t="shared" ref="C67:P67" si="193">C20+C21</f>
        <v>0</v>
      </c>
      <c r="D67" s="127">
        <f t="shared" si="193"/>
        <v>0</v>
      </c>
      <c r="E67" s="127">
        <f t="shared" si="193"/>
        <v>0</v>
      </c>
      <c r="F67" s="144">
        <f t="shared" si="193"/>
        <v>0</v>
      </c>
      <c r="G67" s="144">
        <f t="shared" si="193"/>
        <v>-483</v>
      </c>
      <c r="H67" s="144">
        <f t="shared" si="193"/>
        <v>562</v>
      </c>
      <c r="I67" s="144">
        <f t="shared" si="193"/>
        <v>681</v>
      </c>
      <c r="J67" s="144">
        <f t="shared" si="193"/>
        <v>-355</v>
      </c>
      <c r="K67" s="144">
        <f t="shared" si="193"/>
        <v>-74</v>
      </c>
      <c r="L67" s="144">
        <f t="shared" si="193"/>
        <v>1083</v>
      </c>
      <c r="M67" s="144">
        <f t="shared" si="193"/>
        <v>960</v>
      </c>
      <c r="N67" s="144">
        <f t="shared" si="193"/>
        <v>-548</v>
      </c>
      <c r="O67" s="144">
        <f t="shared" si="193"/>
        <v>144</v>
      </c>
      <c r="P67" s="144">
        <f t="shared" si="193"/>
        <v>893</v>
      </c>
      <c r="Q67" s="118">
        <f>((P67/G67)^(1/($H$2-$H$1) ))-1</f>
        <v>-2.0706709922253967</v>
      </c>
      <c r="R67" s="128"/>
      <c r="S67" s="144">
        <f t="shared" ref="S67:AB67" si="194">S20+S21</f>
        <v>946.58</v>
      </c>
      <c r="T67" s="144">
        <f t="shared" si="194"/>
        <v>1003.3748000000001</v>
      </c>
      <c r="U67" s="144">
        <f t="shared" si="194"/>
        <v>1063.5772880000002</v>
      </c>
      <c r="V67" s="144">
        <f t="shared" si="194"/>
        <v>1127.3919252800004</v>
      </c>
      <c r="W67" s="144">
        <f t="shared" si="194"/>
        <v>1195.0354407968002</v>
      </c>
      <c r="X67" s="144">
        <f t="shared" si="194"/>
        <v>1266.7375672446083</v>
      </c>
      <c r="Y67" s="144">
        <f t="shared" si="194"/>
        <v>1342.741821279285</v>
      </c>
      <c r="Z67" s="144">
        <f t="shared" si="194"/>
        <v>1423.3063305560422</v>
      </c>
      <c r="AA67" s="144">
        <f t="shared" si="194"/>
        <v>1508.7047103894047</v>
      </c>
      <c r="AB67" s="144">
        <f t="shared" si="194"/>
        <v>1599.2269930127691</v>
      </c>
      <c r="AC67" s="138">
        <f t="shared" ref="AC67:AC72" si="195">((AB67/G67)^(1/($AB$3-$H$1) ))-1</f>
        <v>-2.0650413578021278</v>
      </c>
      <c r="AD67" s="31">
        <f t="shared" si="17"/>
        <v>0</v>
      </c>
      <c r="AE67" s="146">
        <f t="shared" si="162"/>
        <v>8884.5944056264943</v>
      </c>
    </row>
    <row r="68" spans="2:31" x14ac:dyDescent="0.2">
      <c r="B68" s="20"/>
      <c r="C68" s="127"/>
      <c r="D68" s="127"/>
      <c r="E68" s="127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28"/>
      <c r="R68" s="128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39"/>
      <c r="AD68" s="137"/>
      <c r="AE68" s="146"/>
    </row>
    <row r="69" spans="2:31" x14ac:dyDescent="0.2">
      <c r="B69" s="20" t="s">
        <v>317</v>
      </c>
      <c r="C69" s="127">
        <f t="shared" ref="C69:P69" si="196">C67/C42</f>
        <v>0</v>
      </c>
      <c r="D69" s="127">
        <f t="shared" si="196"/>
        <v>0</v>
      </c>
      <c r="E69" s="127">
        <f t="shared" si="196"/>
        <v>0</v>
      </c>
      <c r="F69" s="144">
        <f t="shared" si="196"/>
        <v>0</v>
      </c>
      <c r="G69" s="144">
        <f t="shared" si="196"/>
        <v>-25.38097740409879</v>
      </c>
      <c r="H69" s="144">
        <f t="shared" si="196"/>
        <v>29.532317393589068</v>
      </c>
      <c r="I69" s="144">
        <f t="shared" si="196"/>
        <v>44.743758212877793</v>
      </c>
      <c r="J69" s="144">
        <f t="shared" si="196"/>
        <v>-23.324572930354794</v>
      </c>
      <c r="K69" s="144">
        <f t="shared" si="196"/>
        <v>-4.8620236530880421</v>
      </c>
      <c r="L69" s="144">
        <f t="shared" si="196"/>
        <v>71.156373193166885</v>
      </c>
      <c r="M69" s="144">
        <f t="shared" si="196"/>
        <v>63.074901445466487</v>
      </c>
      <c r="N69" s="144">
        <f t="shared" si="196"/>
        <v>-36.005256241787123</v>
      </c>
      <c r="O69" s="144">
        <f t="shared" si="196"/>
        <v>9.4612352168199738</v>
      </c>
      <c r="P69" s="144">
        <f t="shared" si="196"/>
        <v>58.672798948751641</v>
      </c>
      <c r="Q69" s="118">
        <f>((P69/G69)^(1/($H$2-$H$1) ))-1</f>
        <v>-2.0975807865817595</v>
      </c>
      <c r="R69" s="128"/>
      <c r="S69" s="146">
        <f t="shared" ref="S69:AB69" si="197">S67/S42</f>
        <v>41.462111257117826</v>
      </c>
      <c r="T69" s="146">
        <f t="shared" si="197"/>
        <v>43.949837932544895</v>
      </c>
      <c r="U69" s="146">
        <f t="shared" si="197"/>
        <v>46.586828208497593</v>
      </c>
      <c r="V69" s="146">
        <f t="shared" si="197"/>
        <v>49.382037901007457</v>
      </c>
      <c r="W69" s="146">
        <f t="shared" si="197"/>
        <v>52.344960175067897</v>
      </c>
      <c r="X69" s="146">
        <f t="shared" si="197"/>
        <v>55.485657785571973</v>
      </c>
      <c r="Y69" s="146">
        <f t="shared" si="197"/>
        <v>58.814797252706299</v>
      </c>
      <c r="Z69" s="146">
        <f t="shared" si="197"/>
        <v>62.343685087868685</v>
      </c>
      <c r="AA69" s="146">
        <f t="shared" si="197"/>
        <v>66.084306193140804</v>
      </c>
      <c r="AB69" s="146">
        <f t="shared" si="197"/>
        <v>70.04936456472926</v>
      </c>
      <c r="AC69" s="138">
        <f t="shared" si="195"/>
        <v>-2.0548848256959462</v>
      </c>
      <c r="AD69" s="31">
        <f t="shared" si="17"/>
        <v>0</v>
      </c>
      <c r="AE69" s="146">
        <f t="shared" si="162"/>
        <v>389.16313647071814</v>
      </c>
    </row>
    <row r="70" spans="2:31" x14ac:dyDescent="0.2">
      <c r="B70" s="20" t="s">
        <v>287</v>
      </c>
      <c r="C70" s="127">
        <f t="shared" ref="C70:P70" si="198">C20/C42</f>
        <v>0</v>
      </c>
      <c r="D70" s="127">
        <f t="shared" si="198"/>
        <v>0</v>
      </c>
      <c r="E70" s="127">
        <f t="shared" si="198"/>
        <v>0</v>
      </c>
      <c r="F70" s="144">
        <f t="shared" si="198"/>
        <v>0</v>
      </c>
      <c r="G70" s="144">
        <f t="shared" si="198"/>
        <v>37.729900157645822</v>
      </c>
      <c r="H70" s="144">
        <f t="shared" si="198"/>
        <v>58.171308460325797</v>
      </c>
      <c r="I70" s="144">
        <f t="shared" si="198"/>
        <v>88.370565045992109</v>
      </c>
      <c r="J70" s="144">
        <f t="shared" si="198"/>
        <v>67.542706964520363</v>
      </c>
      <c r="K70" s="144">
        <f t="shared" si="198"/>
        <v>109.46123521681997</v>
      </c>
      <c r="L70" s="144">
        <f t="shared" si="198"/>
        <v>119.57950065703022</v>
      </c>
      <c r="M70" s="144">
        <f t="shared" si="198"/>
        <v>60.315374507227332</v>
      </c>
      <c r="N70" s="144">
        <f t="shared" si="198"/>
        <v>43.495400788436264</v>
      </c>
      <c r="O70" s="144">
        <f t="shared" si="198"/>
        <v>12.220762155059132</v>
      </c>
      <c r="P70" s="144">
        <f t="shared" si="198"/>
        <v>32.851511169513799</v>
      </c>
      <c r="Q70" s="118">
        <f>((P70/G70)^(1/($H$2-$H$1) ))-1</f>
        <v>-1.5266176855566194E-2</v>
      </c>
      <c r="R70" s="128"/>
      <c r="S70" s="146">
        <f t="shared" ref="S70:AB70" si="199">S20/S42</f>
        <v>23.215067893123081</v>
      </c>
      <c r="T70" s="146">
        <f t="shared" si="199"/>
        <v>24.607971966710469</v>
      </c>
      <c r="U70" s="146">
        <f t="shared" si="199"/>
        <v>26.0844502847131</v>
      </c>
      <c r="V70" s="146">
        <f t="shared" si="199"/>
        <v>27.649517301795889</v>
      </c>
      <c r="W70" s="146">
        <f t="shared" si="199"/>
        <v>29.308488339903644</v>
      </c>
      <c r="X70" s="146">
        <f t="shared" si="199"/>
        <v>31.06699764029786</v>
      </c>
      <c r="Y70" s="146">
        <f t="shared" si="199"/>
        <v>32.931017498715732</v>
      </c>
      <c r="Z70" s="146">
        <f t="shared" si="199"/>
        <v>34.90687854863868</v>
      </c>
      <c r="AA70" s="146">
        <f t="shared" si="199"/>
        <v>37.001291261557</v>
      </c>
      <c r="AB70" s="146">
        <f t="shared" si="199"/>
        <v>39.221368737250422</v>
      </c>
      <c r="AC70" s="138">
        <f t="shared" si="195"/>
        <v>2.0425479744312636E-3</v>
      </c>
      <c r="AD70" s="31">
        <f t="shared" si="17"/>
        <v>0</v>
      </c>
      <c r="AE70" s="146">
        <f t="shared" si="162"/>
        <v>217.89649298472457</v>
      </c>
    </row>
    <row r="71" spans="2:31" x14ac:dyDescent="0.2">
      <c r="B71" s="20" t="s">
        <v>288</v>
      </c>
      <c r="C71" s="127">
        <f t="shared" ref="C71:P71" si="200">C21/C42</f>
        <v>0</v>
      </c>
      <c r="D71" s="127">
        <f t="shared" si="200"/>
        <v>0</v>
      </c>
      <c r="E71" s="127">
        <f t="shared" si="200"/>
        <v>0</v>
      </c>
      <c r="F71" s="144">
        <f t="shared" si="200"/>
        <v>0</v>
      </c>
      <c r="G71" s="144">
        <f t="shared" si="200"/>
        <v>-63.110877561744608</v>
      </c>
      <c r="H71" s="144">
        <f t="shared" si="200"/>
        <v>-28.638991066736729</v>
      </c>
      <c r="I71" s="144">
        <f t="shared" si="200"/>
        <v>-43.626806833114323</v>
      </c>
      <c r="J71" s="144">
        <f t="shared" si="200"/>
        <v>-90.867279894875153</v>
      </c>
      <c r="K71" s="144">
        <f t="shared" si="200"/>
        <v>-114.32325886990802</v>
      </c>
      <c r="L71" s="144">
        <f t="shared" si="200"/>
        <v>-48.423127463863338</v>
      </c>
      <c r="M71" s="144">
        <f t="shared" si="200"/>
        <v>2.759526938239159</v>
      </c>
      <c r="N71" s="144">
        <f t="shared" si="200"/>
        <v>-79.500657030223394</v>
      </c>
      <c r="O71" s="144">
        <f t="shared" si="200"/>
        <v>-2.759526938239159</v>
      </c>
      <c r="P71" s="144">
        <f t="shared" si="200"/>
        <v>25.821287779237842</v>
      </c>
      <c r="Q71" s="118">
        <f>((P71/G71)^(1/($H$2-$H$1) ))-1</f>
        <v>-1.905471641551562</v>
      </c>
      <c r="R71" s="128"/>
      <c r="S71" s="146">
        <f t="shared" ref="S71:AB71" si="201">S21/S42</f>
        <v>18.247043363994745</v>
      </c>
      <c r="T71" s="146">
        <f t="shared" si="201"/>
        <v>19.34186596583443</v>
      </c>
      <c r="U71" s="146">
        <f t="shared" si="201"/>
        <v>20.502377923784497</v>
      </c>
      <c r="V71" s="146">
        <f t="shared" si="201"/>
        <v>21.732520599211568</v>
      </c>
      <c r="W71" s="146">
        <f t="shared" si="201"/>
        <v>23.03647183516426</v>
      </c>
      <c r="X71" s="146">
        <f t="shared" si="201"/>
        <v>24.418660145274117</v>
      </c>
      <c r="Y71" s="146">
        <f t="shared" si="201"/>
        <v>25.88377975399057</v>
      </c>
      <c r="Z71" s="146">
        <f t="shared" si="201"/>
        <v>27.436806539230005</v>
      </c>
      <c r="AA71" s="146">
        <f t="shared" si="201"/>
        <v>29.083014931583808</v>
      </c>
      <c r="AB71" s="146">
        <f t="shared" si="201"/>
        <v>30.827995827478841</v>
      </c>
      <c r="AC71" s="138">
        <f t="shared" si="195"/>
        <v>-1.9629931864590946</v>
      </c>
      <c r="AD71" s="31">
        <f t="shared" si="17"/>
        <v>0</v>
      </c>
      <c r="AE71" s="146">
        <f t="shared" si="162"/>
        <v>171.26664348599357</v>
      </c>
    </row>
    <row r="72" spans="2:31" x14ac:dyDescent="0.2">
      <c r="B72" s="20" t="s">
        <v>289</v>
      </c>
      <c r="C72" s="127">
        <f t="shared" ref="C72:P72" si="202">C22/C42</f>
        <v>0</v>
      </c>
      <c r="D72" s="127">
        <f t="shared" si="202"/>
        <v>0</v>
      </c>
      <c r="E72" s="127">
        <f t="shared" si="202"/>
        <v>0</v>
      </c>
      <c r="F72" s="144">
        <f t="shared" si="202"/>
        <v>0</v>
      </c>
      <c r="G72" s="144">
        <f t="shared" si="202"/>
        <v>16.868102995270625</v>
      </c>
      <c r="H72" s="144">
        <f t="shared" si="202"/>
        <v>13.925380977404098</v>
      </c>
      <c r="I72" s="144">
        <f t="shared" si="202"/>
        <v>-23.718791064388959</v>
      </c>
      <c r="J72" s="144">
        <f t="shared" si="202"/>
        <v>4.402102496714849</v>
      </c>
      <c r="K72" s="144">
        <f t="shared" si="202"/>
        <v>6.9645203679369247</v>
      </c>
      <c r="L72" s="144">
        <f t="shared" si="202"/>
        <v>-26.346911957950066</v>
      </c>
      <c r="M72" s="144">
        <f t="shared" si="202"/>
        <v>45.532194480946124</v>
      </c>
      <c r="N72" s="144">
        <f t="shared" si="202"/>
        <v>-27.529566360052563</v>
      </c>
      <c r="O72" s="144">
        <f t="shared" si="202"/>
        <v>-18.528252299605782</v>
      </c>
      <c r="P72" s="144">
        <f t="shared" si="202"/>
        <v>-46.649145860709588</v>
      </c>
      <c r="Q72" s="118">
        <f>((P72/G72)^(1/($H$2-$H$1) ))-1</f>
        <v>-2.1196605679984595</v>
      </c>
      <c r="R72" s="128"/>
      <c r="S72" s="146">
        <f t="shared" ref="S72:AB72" si="203">S22/S42</f>
        <v>-32.965396408234774</v>
      </c>
      <c r="T72" s="146">
        <f t="shared" si="203"/>
        <v>-34.943320192728869</v>
      </c>
      <c r="U72" s="146">
        <f t="shared" si="203"/>
        <v>-37.039919404292597</v>
      </c>
      <c r="V72" s="146">
        <f t="shared" si="203"/>
        <v>-39.26231456855016</v>
      </c>
      <c r="W72" s="146">
        <f t="shared" si="203"/>
        <v>-41.618053442663168</v>
      </c>
      <c r="X72" s="146">
        <f t="shared" si="203"/>
        <v>-44.115136649222968</v>
      </c>
      <c r="Y72" s="146">
        <f t="shared" si="203"/>
        <v>-46.762044848176345</v>
      </c>
      <c r="Z72" s="146">
        <f t="shared" si="203"/>
        <v>-49.567767539066935</v>
      </c>
      <c r="AA72" s="146">
        <f t="shared" si="203"/>
        <v>-52.541833591410956</v>
      </c>
      <c r="AB72" s="146">
        <f t="shared" si="203"/>
        <v>-55.694343606895615</v>
      </c>
      <c r="AC72" s="138">
        <f t="shared" si="195"/>
        <v>-2.0648841435422032</v>
      </c>
      <c r="AD72" s="31">
        <f t="shared" si="17"/>
        <v>0</v>
      </c>
      <c r="AE72" s="146">
        <f t="shared" si="162"/>
        <v>-309.41302003830896</v>
      </c>
    </row>
    <row r="73" spans="2:31" x14ac:dyDescent="0.2">
      <c r="B73" s="20" t="s">
        <v>296</v>
      </c>
      <c r="C73" s="127">
        <f t="shared" ref="C73:P73" si="204">C23/C42</f>
        <v>0</v>
      </c>
      <c r="D73" s="127">
        <f t="shared" si="204"/>
        <v>0</v>
      </c>
      <c r="E73" s="127">
        <f t="shared" si="204"/>
        <v>0</v>
      </c>
      <c r="F73" s="144">
        <f t="shared" si="204"/>
        <v>0</v>
      </c>
      <c r="G73" s="144">
        <f t="shared" si="204"/>
        <v>11.665790856542301</v>
      </c>
      <c r="H73" s="144">
        <f t="shared" si="204"/>
        <v>55.070940620073564</v>
      </c>
      <c r="I73" s="144">
        <f t="shared" si="204"/>
        <v>89.816031537450712</v>
      </c>
      <c r="J73" s="144">
        <f t="shared" si="204"/>
        <v>70.959264126149804</v>
      </c>
      <c r="K73" s="144">
        <f t="shared" si="204"/>
        <v>73.127463863337709</v>
      </c>
      <c r="L73" s="144">
        <f t="shared" si="204"/>
        <v>117.8712220762155</v>
      </c>
      <c r="M73" s="144">
        <f t="shared" si="204"/>
        <v>235.15111695137975</v>
      </c>
      <c r="N73" s="144">
        <f t="shared" si="204"/>
        <v>171.61629434954008</v>
      </c>
      <c r="O73" s="144">
        <f t="shared" si="204"/>
        <v>145.46649145860709</v>
      </c>
      <c r="P73" s="144">
        <f t="shared" si="204"/>
        <v>53.022339027595265</v>
      </c>
      <c r="Q73" s="118">
        <f>((P73/G73)^(1/($H$2-$H$1) ))-1</f>
        <v>0.18320643183248442</v>
      </c>
      <c r="R73" s="128"/>
      <c r="S73" s="146">
        <f t="shared" ref="S73:AB73" si="205">S23/S42</f>
        <v>37.469119579500656</v>
      </c>
      <c r="T73" s="146">
        <f t="shared" si="205"/>
        <v>39.717266754270696</v>
      </c>
      <c r="U73" s="146">
        <f t="shared" si="205"/>
        <v>42.10030275952694</v>
      </c>
      <c r="V73" s="146">
        <f t="shared" si="205"/>
        <v>44.626320925098554</v>
      </c>
      <c r="W73" s="146">
        <f t="shared" si="205"/>
        <v>47.303900180604472</v>
      </c>
      <c r="X73" s="146">
        <f t="shared" si="205"/>
        <v>50.142134191440746</v>
      </c>
      <c r="Y73" s="146">
        <f t="shared" si="205"/>
        <v>53.15066224292719</v>
      </c>
      <c r="Z73" s="146">
        <f t="shared" si="205"/>
        <v>56.339701977502827</v>
      </c>
      <c r="AA73" s="146">
        <f t="shared" si="205"/>
        <v>59.720084096152995</v>
      </c>
      <c r="AB73" s="146">
        <f t="shared" si="205"/>
        <v>63.303289141922178</v>
      </c>
      <c r="AC73" s="138">
        <f t="shared" ref="AC73" si="206">((AB73/G73)^(1/($AB$3-$H$1) ))-1</f>
        <v>9.3096568728147311E-2</v>
      </c>
      <c r="AD73" s="31">
        <f t="shared" si="17"/>
        <v>0</v>
      </c>
      <c r="AE73" s="146">
        <f t="shared" si="162"/>
        <v>351.68493967734543</v>
      </c>
    </row>
    <row r="74" spans="2:31" x14ac:dyDescent="0.2">
      <c r="B74" s="20"/>
      <c r="C74" s="127"/>
      <c r="D74" s="127"/>
      <c r="E74" s="12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28"/>
      <c r="R74" s="128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39"/>
      <c r="AD74" s="137"/>
      <c r="AE74" s="154"/>
    </row>
    <row r="75" spans="2:31" x14ac:dyDescent="0.2">
      <c r="B75" s="20" t="s">
        <v>311</v>
      </c>
      <c r="C75" s="144">
        <f t="shared" ref="C75:P75" si="207">C36/C42</f>
        <v>0</v>
      </c>
      <c r="D75" s="144">
        <f t="shared" si="207"/>
        <v>0</v>
      </c>
      <c r="E75" s="144">
        <f t="shared" si="207"/>
        <v>0</v>
      </c>
      <c r="F75" s="144">
        <f t="shared" si="207"/>
        <v>0</v>
      </c>
      <c r="G75" s="144">
        <f t="shared" si="207"/>
        <v>33.788754598003152</v>
      </c>
      <c r="H75" s="144">
        <f t="shared" si="207"/>
        <v>65.265370467682601</v>
      </c>
      <c r="I75" s="144">
        <f t="shared" si="207"/>
        <v>83.442838370565042</v>
      </c>
      <c r="J75" s="144">
        <f t="shared" si="207"/>
        <v>85.742444152431005</v>
      </c>
      <c r="K75" s="144">
        <f t="shared" si="207"/>
        <v>129.96057818659656</v>
      </c>
      <c r="L75" s="144">
        <f t="shared" si="207"/>
        <v>146.58344283837056</v>
      </c>
      <c r="M75" s="144">
        <f t="shared" si="207"/>
        <v>66.09724047306176</v>
      </c>
      <c r="N75" s="144">
        <f t="shared" si="207"/>
        <v>71.813403416557165</v>
      </c>
      <c r="O75" s="144">
        <f t="shared" si="207"/>
        <v>71.024967148488827</v>
      </c>
      <c r="P75" s="144">
        <f t="shared" si="207"/>
        <v>76.149802890932975</v>
      </c>
      <c r="Q75" s="118">
        <f>((P75/G75)^(1/($H$2-$H$1) ))-1</f>
        <v>9.4487316782461805E-2</v>
      </c>
      <c r="R75" s="128"/>
      <c r="S75" s="144">
        <f t="shared" ref="S75:AB75" si="208">S36/S42</f>
        <v>53.812527376259304</v>
      </c>
      <c r="T75" s="144">
        <f t="shared" si="208"/>
        <v>57.041279018834864</v>
      </c>
      <c r="U75" s="144">
        <f t="shared" si="208"/>
        <v>60.463755759964961</v>
      </c>
      <c r="V75" s="144">
        <f t="shared" si="208"/>
        <v>64.091581105562867</v>
      </c>
      <c r="W75" s="144">
        <f t="shared" si="208"/>
        <v>67.937075971896647</v>
      </c>
      <c r="X75" s="144">
        <f t="shared" si="208"/>
        <v>72.013300530210444</v>
      </c>
      <c r="Y75" s="144">
        <f t="shared" si="208"/>
        <v>76.334098562023073</v>
      </c>
      <c r="Z75" s="144">
        <f t="shared" si="208"/>
        <v>80.914144475744465</v>
      </c>
      <c r="AA75" s="144">
        <f t="shared" si="208"/>
        <v>85.768993144289141</v>
      </c>
      <c r="AB75" s="144">
        <f t="shared" si="208"/>
        <v>90.915132732946489</v>
      </c>
      <c r="AC75" s="138">
        <f t="shared" ref="AC75:AC77" si="209">((AB75/G75)^(1/($AB$3-$H$1) ))-1</f>
        <v>5.3475453188613464E-2</v>
      </c>
      <c r="AD75" s="31">
        <f t="shared" si="17"/>
        <v>0</v>
      </c>
      <c r="AE75" s="146">
        <f t="shared" si="162"/>
        <v>505.08407073859161</v>
      </c>
    </row>
    <row r="76" spans="2:31" x14ac:dyDescent="0.2">
      <c r="B76" s="20" t="s">
        <v>312</v>
      </c>
      <c r="C76" s="144">
        <f t="shared" ref="C76:P76" si="210">C40/C42</f>
        <v>0</v>
      </c>
      <c r="D76" s="144">
        <f t="shared" si="210"/>
        <v>0</v>
      </c>
      <c r="E76" s="144">
        <f t="shared" si="210"/>
        <v>0</v>
      </c>
      <c r="F76" s="144">
        <f t="shared" si="210"/>
        <v>0</v>
      </c>
      <c r="G76" s="144">
        <f t="shared" si="210"/>
        <v>10.509721492380452</v>
      </c>
      <c r="H76" s="144">
        <f t="shared" si="210"/>
        <v>44.03573305307409</v>
      </c>
      <c r="I76" s="144">
        <f t="shared" si="210"/>
        <v>55.913272010512479</v>
      </c>
      <c r="J76" s="144">
        <f t="shared" si="210"/>
        <v>59.921156373193163</v>
      </c>
      <c r="K76" s="144">
        <f t="shared" si="210"/>
        <v>95.466491458607095</v>
      </c>
      <c r="L76" s="144">
        <f t="shared" si="210"/>
        <v>92.44415243101183</v>
      </c>
      <c r="M76" s="144">
        <f t="shared" si="210"/>
        <v>33.442838370565042</v>
      </c>
      <c r="N76" s="144">
        <f t="shared" si="210"/>
        <v>30.486202365308802</v>
      </c>
      <c r="O76" s="144">
        <f t="shared" si="210"/>
        <v>20.827858081471746</v>
      </c>
      <c r="P76" s="144">
        <f t="shared" si="210"/>
        <v>33.63994743758213</v>
      </c>
      <c r="Q76" s="118">
        <f>((P76/G76)^(1/($H$2-$H$1) ))-1</f>
        <v>0.13799526669214401</v>
      </c>
      <c r="R76" s="128"/>
      <c r="S76" s="144">
        <f t="shared" ref="S76:AB76" si="211">S40/S42</f>
        <v>23.772229522558035</v>
      </c>
      <c r="T76" s="144">
        <f t="shared" si="211"/>
        <v>25.198563293911523</v>
      </c>
      <c r="U76" s="144">
        <f t="shared" si="211"/>
        <v>26.710477091546217</v>
      </c>
      <c r="V76" s="144">
        <f t="shared" si="211"/>
        <v>28.31310571703899</v>
      </c>
      <c r="W76" s="144">
        <f t="shared" si="211"/>
        <v>30.011892060061331</v>
      </c>
      <c r="X76" s="144">
        <f t="shared" si="211"/>
        <v>31.812605583665011</v>
      </c>
      <c r="Y76" s="144">
        <f t="shared" si="211"/>
        <v>33.721361918684913</v>
      </c>
      <c r="Z76" s="144">
        <f t="shared" si="211"/>
        <v>35.744643633806007</v>
      </c>
      <c r="AA76" s="144">
        <f t="shared" si="211"/>
        <v>37.889322251834372</v>
      </c>
      <c r="AB76" s="144">
        <f t="shared" si="211"/>
        <v>40.162681586944437</v>
      </c>
      <c r="AC76" s="138">
        <f t="shared" si="209"/>
        <v>7.3108816254728204E-2</v>
      </c>
      <c r="AD76" s="31">
        <f t="shared" si="17"/>
        <v>0</v>
      </c>
      <c r="AE76" s="146">
        <f t="shared" si="162"/>
        <v>223.126008816358</v>
      </c>
    </row>
    <row r="77" spans="2:31" x14ac:dyDescent="0.2">
      <c r="B77" s="20" t="s">
        <v>313</v>
      </c>
      <c r="C77" s="144">
        <f t="shared" ref="C77:P77" si="212">C6/C42</f>
        <v>0</v>
      </c>
      <c r="D77" s="144">
        <f t="shared" si="212"/>
        <v>0</v>
      </c>
      <c r="E77" s="144">
        <f t="shared" si="212"/>
        <v>0</v>
      </c>
      <c r="F77" s="144">
        <f t="shared" si="212"/>
        <v>0</v>
      </c>
      <c r="G77" s="144">
        <f t="shared" si="212"/>
        <v>66.999474513925378</v>
      </c>
      <c r="H77" s="144">
        <f t="shared" si="212"/>
        <v>104.88702049395691</v>
      </c>
      <c r="I77" s="144">
        <f t="shared" si="212"/>
        <v>149.01445466491458</v>
      </c>
      <c r="J77" s="144">
        <f t="shared" si="212"/>
        <v>195.33508541392902</v>
      </c>
      <c r="K77" s="144">
        <f t="shared" si="212"/>
        <v>273.06176084099866</v>
      </c>
      <c r="L77" s="144">
        <f t="shared" si="212"/>
        <v>267.21419185282519</v>
      </c>
      <c r="M77" s="144">
        <f t="shared" si="212"/>
        <v>364.58607095926413</v>
      </c>
      <c r="N77" s="144">
        <f t="shared" si="212"/>
        <v>386.07095926412615</v>
      </c>
      <c r="O77" s="144">
        <f t="shared" si="212"/>
        <v>383.96846254927726</v>
      </c>
      <c r="P77" s="144">
        <f t="shared" si="212"/>
        <v>406.63600525624179</v>
      </c>
      <c r="Q77" s="118">
        <f>((P77/G77)^(1/($H$2-$H$1) ))-1</f>
        <v>0.2218416833573984</v>
      </c>
      <c r="R77" s="128"/>
      <c r="S77" s="144">
        <f t="shared" ref="S77:AB77" si="213">S6/S42</f>
        <v>287.35611038107749</v>
      </c>
      <c r="T77" s="144">
        <f t="shared" si="213"/>
        <v>304.59747700394217</v>
      </c>
      <c r="U77" s="144">
        <f t="shared" si="213"/>
        <v>322.87332562417873</v>
      </c>
      <c r="V77" s="144">
        <f t="shared" si="213"/>
        <v>342.24572516162948</v>
      </c>
      <c r="W77" s="144">
        <f t="shared" si="213"/>
        <v>362.78046867132724</v>
      </c>
      <c r="X77" s="144">
        <f t="shared" si="213"/>
        <v>384.54729679160687</v>
      </c>
      <c r="Y77" s="144">
        <f t="shared" si="213"/>
        <v>407.62013459910327</v>
      </c>
      <c r="Z77" s="144">
        <f t="shared" si="213"/>
        <v>432.07734267504947</v>
      </c>
      <c r="AA77" s="144">
        <f t="shared" si="213"/>
        <v>458.00198323555242</v>
      </c>
      <c r="AB77" s="144">
        <f t="shared" si="213"/>
        <v>485.48210222968561</v>
      </c>
      <c r="AC77" s="138">
        <f t="shared" si="209"/>
        <v>0.10986081209803356</v>
      </c>
      <c r="AD77" s="31">
        <f t="shared" ref="AD77" si="214">$L$1</f>
        <v>0</v>
      </c>
      <c r="AE77" s="146">
        <f t="shared" si="162"/>
        <v>2697.1227901649199</v>
      </c>
    </row>
    <row r="78" spans="2:31" x14ac:dyDescent="0.2">
      <c r="B78" s="20"/>
      <c r="C78" s="127"/>
      <c r="D78" s="127"/>
      <c r="E78" s="127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28"/>
      <c r="R78" s="128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39"/>
      <c r="AD78" s="20"/>
      <c r="AE78" s="154"/>
    </row>
    <row r="79" spans="2:31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28"/>
      <c r="R79" s="128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39"/>
      <c r="AD79" s="20"/>
      <c r="AE79" s="154"/>
    </row>
    <row r="80" spans="2:31" x14ac:dyDescent="0.2">
      <c r="B80" s="108" t="s">
        <v>310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</row>
    <row r="81" spans="2:31" x14ac:dyDescent="0.2">
      <c r="B81" s="20" t="s">
        <v>309</v>
      </c>
      <c r="C81" s="152"/>
      <c r="D81" s="152"/>
      <c r="E81" s="152" t="e">
        <f t="shared" ref="E81:P81" si="215">E36/E25</f>
        <v>#DIV/0!</v>
      </c>
      <c r="F81" s="152" t="e">
        <f t="shared" si="215"/>
        <v>#DIV/0!</v>
      </c>
      <c r="G81" s="152">
        <f t="shared" si="215"/>
        <v>0.43741496598639457</v>
      </c>
      <c r="H81" s="152">
        <f t="shared" si="215"/>
        <v>0.56557377049180324</v>
      </c>
      <c r="I81" s="152">
        <f t="shared" si="215"/>
        <v>0.54647160068846812</v>
      </c>
      <c r="J81" s="152">
        <f t="shared" si="215"/>
        <v>0.53992552751344647</v>
      </c>
      <c r="K81" s="152">
        <f t="shared" si="215"/>
        <v>0.52578415736310469</v>
      </c>
      <c r="L81" s="152">
        <f t="shared" si="215"/>
        <v>0.52555948174322731</v>
      </c>
      <c r="M81" s="152">
        <f t="shared" si="215"/>
        <v>0.32630554654557248</v>
      </c>
      <c r="N81" s="152">
        <f t="shared" si="215"/>
        <v>0.41167608286252355</v>
      </c>
      <c r="O81" s="152">
        <f t="shared" si="215"/>
        <v>0.3339511893728761</v>
      </c>
      <c r="P81" s="152">
        <f t="shared" si="215"/>
        <v>0.34088235294117647</v>
      </c>
      <c r="Q81" s="118">
        <f t="shared" ref="Q81:Q131" si="216">((P81/G81)^(1/($H$2-$H$1) ))-1</f>
        <v>-2.7324726775482699E-2</v>
      </c>
      <c r="R81" s="152"/>
      <c r="S81" s="152">
        <f t="shared" ref="S81:AB81" si="217">S36/S25</f>
        <v>0.34088235294117647</v>
      </c>
      <c r="T81" s="152">
        <f t="shared" si="217"/>
        <v>0.34088235294117647</v>
      </c>
      <c r="U81" s="152">
        <f t="shared" si="217"/>
        <v>0.34088235294117647</v>
      </c>
      <c r="V81" s="152">
        <f t="shared" si="217"/>
        <v>0.34088235294117653</v>
      </c>
      <c r="W81" s="152">
        <f t="shared" si="217"/>
        <v>0.34088235294117653</v>
      </c>
      <c r="X81" s="152">
        <f t="shared" si="217"/>
        <v>0.34088235294117653</v>
      </c>
      <c r="Y81" s="152">
        <f t="shared" si="217"/>
        <v>0.34088235294117653</v>
      </c>
      <c r="Z81" s="152">
        <f t="shared" si="217"/>
        <v>0.34088235294117653</v>
      </c>
      <c r="AA81" s="152">
        <f t="shared" si="217"/>
        <v>0.34088235294117658</v>
      </c>
      <c r="AB81" s="152">
        <f t="shared" si="217"/>
        <v>0.34088235294117658</v>
      </c>
      <c r="AC81" s="138">
        <f t="shared" ref="AC81:AC118" si="218">((AB81/G81)^(1/($AB$3-$H$1) ))-1</f>
        <v>-1.3037679839742355E-2</v>
      </c>
      <c r="AD81" s="146"/>
      <c r="AE81" s="146"/>
    </row>
    <row r="82" spans="2:31" x14ac:dyDescent="0.2">
      <c r="B82" s="20" t="s">
        <v>266</v>
      </c>
      <c r="C82" s="152"/>
      <c r="D82" s="152"/>
      <c r="E82" s="152" t="e">
        <f t="shared" ref="E82:P82" si="219">E40/E25</f>
        <v>#DIV/0!</v>
      </c>
      <c r="F82" s="152" t="e">
        <f t="shared" si="219"/>
        <v>#DIV/0!</v>
      </c>
      <c r="G82" s="152">
        <f t="shared" si="219"/>
        <v>0.1360544217687075</v>
      </c>
      <c r="H82" s="152">
        <f t="shared" si="219"/>
        <v>0.38160291438979965</v>
      </c>
      <c r="I82" s="152">
        <f t="shared" si="219"/>
        <v>0.36617900172117041</v>
      </c>
      <c r="J82" s="152">
        <f t="shared" si="219"/>
        <v>0.37732726520479931</v>
      </c>
      <c r="K82" s="152">
        <f t="shared" si="219"/>
        <v>0.38623072833599148</v>
      </c>
      <c r="L82" s="152">
        <f t="shared" si="219"/>
        <v>0.3314487632508834</v>
      </c>
      <c r="M82" s="152">
        <f t="shared" si="219"/>
        <v>0.16509892961401232</v>
      </c>
      <c r="N82" s="152">
        <f t="shared" si="219"/>
        <v>0.17476459510357814</v>
      </c>
      <c r="O82" s="152">
        <f t="shared" si="219"/>
        <v>9.7930182267531668E-2</v>
      </c>
      <c r="P82" s="152">
        <f t="shared" si="219"/>
        <v>0.15058823529411763</v>
      </c>
      <c r="Q82" s="118">
        <f t="shared" si="216"/>
        <v>1.134096301089782E-2</v>
      </c>
      <c r="R82" s="152"/>
      <c r="S82" s="152">
        <f t="shared" ref="S82:AB82" si="220">S40/S25</f>
        <v>0.15058823529411766</v>
      </c>
      <c r="T82" s="152">
        <f t="shared" si="220"/>
        <v>0.15058823529411766</v>
      </c>
      <c r="U82" s="152">
        <f t="shared" si="220"/>
        <v>0.15058823529411766</v>
      </c>
      <c r="V82" s="152">
        <f t="shared" si="220"/>
        <v>0.15058823529411766</v>
      </c>
      <c r="W82" s="152">
        <f t="shared" si="220"/>
        <v>0.15058823529411766</v>
      </c>
      <c r="X82" s="152">
        <f t="shared" si="220"/>
        <v>0.15058823529411766</v>
      </c>
      <c r="Y82" s="152">
        <f t="shared" si="220"/>
        <v>0.15058823529411766</v>
      </c>
      <c r="Z82" s="152">
        <f t="shared" si="220"/>
        <v>0.15058823529411769</v>
      </c>
      <c r="AA82" s="152">
        <f t="shared" si="220"/>
        <v>0.15058823529411769</v>
      </c>
      <c r="AB82" s="152">
        <f t="shared" si="220"/>
        <v>0.15058823529411769</v>
      </c>
      <c r="AC82" s="138">
        <f t="shared" si="218"/>
        <v>5.3560943157262564E-3</v>
      </c>
      <c r="AD82" s="146"/>
      <c r="AE82" s="146"/>
    </row>
    <row r="83" spans="2:31" x14ac:dyDescent="0.2">
      <c r="B83" s="20" t="s">
        <v>358</v>
      </c>
      <c r="C83" s="152"/>
      <c r="D83" s="152"/>
      <c r="E83" s="152" t="e">
        <f t="shared" ref="E83:O83" si="221">E40/E7</f>
        <v>#DIV/0!</v>
      </c>
      <c r="F83" s="152" t="e">
        <f t="shared" si="221"/>
        <v>#DIV/0!</v>
      </c>
      <c r="G83" s="152">
        <f>G40/G7</f>
        <v>0.12978585334198572</v>
      </c>
      <c r="H83" s="152">
        <f t="shared" si="221"/>
        <v>0.38334858188472093</v>
      </c>
      <c r="I83" s="152">
        <f t="shared" si="221"/>
        <v>0.35165289256198345</v>
      </c>
      <c r="J83" s="152">
        <f t="shared" si="221"/>
        <v>0.29183999999999999</v>
      </c>
      <c r="K83" s="152">
        <f t="shared" si="221"/>
        <v>0.33548833987531745</v>
      </c>
      <c r="L83" s="152">
        <f t="shared" si="221"/>
        <v>0.26892201834862384</v>
      </c>
      <c r="M83" s="152">
        <f t="shared" si="221"/>
        <v>8.9157470660360838E-2</v>
      </c>
      <c r="N83" s="152">
        <f t="shared" si="221"/>
        <v>7.6948590381426207E-2</v>
      </c>
      <c r="O83" s="152">
        <f t="shared" si="221"/>
        <v>5.2859763214940805E-2</v>
      </c>
      <c r="P83" s="152">
        <f t="shared" ref="P83" si="222">P40/P7</f>
        <v>8.0744362087998733E-2</v>
      </c>
      <c r="Q83" s="118">
        <f t="shared" si="216"/>
        <v>-5.1366806855544178E-2</v>
      </c>
      <c r="R83" s="20"/>
      <c r="S83" s="152">
        <f t="shared" ref="S83" si="223">S40/S7</f>
        <v>8.0744362087998747E-2</v>
      </c>
      <c r="T83" s="152">
        <f t="shared" ref="T83:AB83" si="224">T40/T7</f>
        <v>8.0744362087998747E-2</v>
      </c>
      <c r="U83" s="152">
        <f t="shared" si="224"/>
        <v>8.0744362087998747E-2</v>
      </c>
      <c r="V83" s="152">
        <f t="shared" si="224"/>
        <v>8.0744362087998747E-2</v>
      </c>
      <c r="W83" s="152">
        <f t="shared" si="224"/>
        <v>8.0744362087998761E-2</v>
      </c>
      <c r="X83" s="152">
        <f t="shared" si="224"/>
        <v>8.0744362087998761E-2</v>
      </c>
      <c r="Y83" s="152">
        <f t="shared" si="224"/>
        <v>8.0744362087998761E-2</v>
      </c>
      <c r="Z83" s="152">
        <f t="shared" si="224"/>
        <v>8.0744362087998761E-2</v>
      </c>
      <c r="AA83" s="152">
        <f t="shared" si="224"/>
        <v>8.0744362087998761E-2</v>
      </c>
      <c r="AB83" s="152">
        <f t="shared" si="224"/>
        <v>8.0744362087998761E-2</v>
      </c>
      <c r="AC83" s="138">
        <f t="shared" si="218"/>
        <v>-2.4669435303231069E-2</v>
      </c>
      <c r="AD83" s="146"/>
      <c r="AE83" s="146"/>
    </row>
    <row r="84" spans="2:31" x14ac:dyDescent="0.2">
      <c r="B84" s="20" t="s">
        <v>359</v>
      </c>
      <c r="C84" s="152"/>
      <c r="D84" s="152"/>
      <c r="E84" s="152" t="e">
        <f t="shared" ref="E84:F84" si="225">(E40)/(E7+E10)</f>
        <v>#DIV/0!</v>
      </c>
      <c r="F84" s="152" t="e">
        <f t="shared" si="225"/>
        <v>#DIV/0!</v>
      </c>
      <c r="G84" s="152">
        <f>(G40)/(G7+G10)</f>
        <v>6.5789473684210523E-2</v>
      </c>
      <c r="H84" s="152">
        <f t="shared" ref="H84:O84" si="226">(H40)/(H7+H10)</f>
        <v>0.1951560316721006</v>
      </c>
      <c r="I84" s="152">
        <f t="shared" si="226"/>
        <v>0.19809124767225325</v>
      </c>
      <c r="J84" s="152">
        <f t="shared" si="226"/>
        <v>0.16957976943101524</v>
      </c>
      <c r="K84" s="152">
        <f t="shared" si="226"/>
        <v>0.205312985728416</v>
      </c>
      <c r="L84" s="152">
        <f t="shared" si="226"/>
        <v>0.14815204801516269</v>
      </c>
      <c r="M84" s="152">
        <f t="shared" si="226"/>
        <v>4.5942774618647896E-2</v>
      </c>
      <c r="N84" s="152">
        <f t="shared" si="226"/>
        <v>3.8708600984399766E-2</v>
      </c>
      <c r="O84" s="152">
        <f t="shared" si="226"/>
        <v>2.7165995372354101E-2</v>
      </c>
      <c r="P84" s="152">
        <f t="shared" ref="P84" si="227">(P40)/(P7+P10)</f>
        <v>4.256026600166251E-2</v>
      </c>
      <c r="Q84" s="118">
        <f t="shared" si="216"/>
        <v>-4.7240906807231253E-2</v>
      </c>
      <c r="R84" s="20"/>
      <c r="S84" s="152">
        <f t="shared" ref="S84:AB84" si="228">(S40)/(S7+S10)</f>
        <v>4.2560266001662517E-2</v>
      </c>
      <c r="T84" s="152">
        <f t="shared" si="228"/>
        <v>4.256026600166251E-2</v>
      </c>
      <c r="U84" s="152">
        <f t="shared" si="228"/>
        <v>4.2560266001662517E-2</v>
      </c>
      <c r="V84" s="152">
        <f t="shared" si="228"/>
        <v>4.2560266001662517E-2</v>
      </c>
      <c r="W84" s="152">
        <f t="shared" si="228"/>
        <v>4.2560266001662517E-2</v>
      </c>
      <c r="X84" s="152">
        <f t="shared" si="228"/>
        <v>4.2560266001662517E-2</v>
      </c>
      <c r="Y84" s="152">
        <f t="shared" si="228"/>
        <v>4.2560266001662517E-2</v>
      </c>
      <c r="Z84" s="152">
        <f t="shared" si="228"/>
        <v>4.256026600166251E-2</v>
      </c>
      <c r="AA84" s="152">
        <f t="shared" si="228"/>
        <v>4.256026600166251E-2</v>
      </c>
      <c r="AB84" s="152">
        <f t="shared" si="228"/>
        <v>4.256026600166251E-2</v>
      </c>
      <c r="AC84" s="138">
        <f t="shared" si="218"/>
        <v>-2.2662354448841571E-2</v>
      </c>
      <c r="AD84" s="146"/>
      <c r="AE84" s="146"/>
    </row>
    <row r="85" spans="2:31" x14ac:dyDescent="0.2">
      <c r="B85" s="20" t="s">
        <v>375</v>
      </c>
      <c r="C85" s="152"/>
      <c r="D85" s="152"/>
      <c r="E85" s="152"/>
      <c r="F85" s="152"/>
      <c r="G85" s="152">
        <f>G20/G25</f>
        <v>0.48843537414965987</v>
      </c>
      <c r="H85" s="152">
        <f t="shared" ref="H85:P85" si="229">H20/H25</f>
        <v>0.50409836065573765</v>
      </c>
      <c r="I85" s="152">
        <f t="shared" si="229"/>
        <v>0.57874354561101549</v>
      </c>
      <c r="J85" s="152">
        <f t="shared" si="229"/>
        <v>0.42532064542821679</v>
      </c>
      <c r="K85" s="152">
        <f t="shared" si="229"/>
        <v>0.44284954811270599</v>
      </c>
      <c r="L85" s="152">
        <f t="shared" si="229"/>
        <v>0.4287396937573616</v>
      </c>
      <c r="M85" s="152">
        <f t="shared" si="229"/>
        <v>0.29776192020759001</v>
      </c>
      <c r="N85" s="152">
        <f t="shared" si="229"/>
        <v>0.24934086629001884</v>
      </c>
      <c r="O85" s="152">
        <f t="shared" si="229"/>
        <v>5.7460611677479144E-2</v>
      </c>
      <c r="P85" s="152">
        <f t="shared" si="229"/>
        <v>0.14705882352941177</v>
      </c>
      <c r="Q85" s="118">
        <f t="shared" si="216"/>
        <v>-0.12486309727533251</v>
      </c>
      <c r="R85" s="20"/>
      <c r="S85" s="152">
        <f t="shared" ref="S85:AB85" si="230">S20/S25</f>
        <v>0.14705882352941177</v>
      </c>
      <c r="T85" s="152">
        <f t="shared" si="230"/>
        <v>0.14705882352941177</v>
      </c>
      <c r="U85" s="152">
        <f t="shared" si="230"/>
        <v>0.14705882352941177</v>
      </c>
      <c r="V85" s="152">
        <f t="shared" si="230"/>
        <v>0.1470588235294118</v>
      </c>
      <c r="W85" s="152">
        <f t="shared" si="230"/>
        <v>0.14705882352941177</v>
      </c>
      <c r="X85" s="152">
        <f t="shared" si="230"/>
        <v>0.14705882352941177</v>
      </c>
      <c r="Y85" s="152">
        <f t="shared" si="230"/>
        <v>0.14705882352941177</v>
      </c>
      <c r="Z85" s="152">
        <f t="shared" si="230"/>
        <v>0.1470588235294118</v>
      </c>
      <c r="AA85" s="152">
        <f t="shared" si="230"/>
        <v>0.1470588235294118</v>
      </c>
      <c r="AB85" s="152">
        <f t="shared" si="230"/>
        <v>0.1470588235294118</v>
      </c>
      <c r="AC85" s="138">
        <f t="shared" si="218"/>
        <v>-6.1223272877650059E-2</v>
      </c>
      <c r="AD85" s="146"/>
      <c r="AE85" s="146"/>
    </row>
    <row r="86" spans="2:31" x14ac:dyDescent="0.2">
      <c r="B86" s="20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20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3"/>
      <c r="AD86" s="146"/>
      <c r="AE86" s="146"/>
    </row>
    <row r="87" spans="2:31" x14ac:dyDescent="0.2">
      <c r="B87" s="20" t="s">
        <v>322</v>
      </c>
      <c r="C87" s="152"/>
      <c r="D87" s="152"/>
      <c r="E87" s="152"/>
      <c r="F87" s="152"/>
      <c r="G87" s="152">
        <f>G29/G25</f>
        <v>3.2653061224489799E-2</v>
      </c>
      <c r="H87" s="152">
        <f t="shared" ref="H87:P87" si="231">H29/H25</f>
        <v>8.7887067395264112E-2</v>
      </c>
      <c r="I87" s="152">
        <f t="shared" si="231"/>
        <v>0.14500860585197933</v>
      </c>
      <c r="J87" s="152">
        <f t="shared" si="231"/>
        <v>0.14439387670666115</v>
      </c>
      <c r="K87" s="152">
        <f t="shared" si="231"/>
        <v>0.20042530568846359</v>
      </c>
      <c r="L87" s="152">
        <f t="shared" si="231"/>
        <v>0.17950530035335688</v>
      </c>
      <c r="M87" s="152">
        <f t="shared" si="231"/>
        <v>7.1359065844956215E-2</v>
      </c>
      <c r="N87" s="152">
        <f t="shared" si="231"/>
        <v>0.10169491525423729</v>
      </c>
      <c r="O87" s="152">
        <f t="shared" si="231"/>
        <v>0.13500154464009886</v>
      </c>
      <c r="P87" s="152">
        <f t="shared" si="231"/>
        <v>0.1011764705882353</v>
      </c>
      <c r="Q87" s="118">
        <f t="shared" si="216"/>
        <v>0.13389501761316347</v>
      </c>
      <c r="R87" s="20"/>
      <c r="S87" s="152">
        <f t="shared" ref="S87:AB87" si="232">S29/S25</f>
        <v>0.10117647058823531</v>
      </c>
      <c r="T87" s="152">
        <f t="shared" si="232"/>
        <v>0.1011764705882353</v>
      </c>
      <c r="U87" s="152">
        <f t="shared" si="232"/>
        <v>0.10117647058823528</v>
      </c>
      <c r="V87" s="152">
        <f t="shared" si="232"/>
        <v>0.10117647058823531</v>
      </c>
      <c r="W87" s="152">
        <f t="shared" si="232"/>
        <v>0.1011764705882353</v>
      </c>
      <c r="X87" s="152">
        <f t="shared" si="232"/>
        <v>0.1011764705882353</v>
      </c>
      <c r="Y87" s="152">
        <f t="shared" si="232"/>
        <v>0.10117647058823531</v>
      </c>
      <c r="Z87" s="152">
        <f t="shared" si="232"/>
        <v>0.10117647058823531</v>
      </c>
      <c r="AA87" s="152">
        <f t="shared" si="232"/>
        <v>0.10117647058823533</v>
      </c>
      <c r="AB87" s="152">
        <f t="shared" si="232"/>
        <v>0.10117647058823531</v>
      </c>
      <c r="AC87" s="138">
        <f t="shared" si="218"/>
        <v>6.1329647087057682E-2</v>
      </c>
      <c r="AD87" s="146"/>
      <c r="AE87" s="146"/>
    </row>
    <row r="88" spans="2:31" x14ac:dyDescent="0.2">
      <c r="B88" s="20" t="s">
        <v>368</v>
      </c>
      <c r="C88" s="152"/>
      <c r="D88" s="152"/>
      <c r="E88" s="152"/>
      <c r="F88" s="152"/>
      <c r="G88" s="152">
        <f>G29/G36</f>
        <v>7.4650077760497674E-2</v>
      </c>
      <c r="H88" s="152">
        <f t="shared" ref="H88:P88" si="233">H29/H36</f>
        <v>0.15539452495974235</v>
      </c>
      <c r="I88" s="152">
        <f t="shared" si="233"/>
        <v>0.26535433070866143</v>
      </c>
      <c r="J88" s="152">
        <f t="shared" si="233"/>
        <v>0.26743295019157087</v>
      </c>
      <c r="K88" s="152">
        <f t="shared" si="233"/>
        <v>0.38119312436804853</v>
      </c>
      <c r="L88" s="152">
        <f t="shared" si="233"/>
        <v>0.34155087404751233</v>
      </c>
      <c r="M88" s="152">
        <f t="shared" si="233"/>
        <v>0.21868787276341947</v>
      </c>
      <c r="N88" s="152">
        <f t="shared" si="233"/>
        <v>0.24702653247941445</v>
      </c>
      <c r="O88" s="152">
        <f t="shared" si="233"/>
        <v>0.40425531914893614</v>
      </c>
      <c r="P88" s="152">
        <f t="shared" si="233"/>
        <v>0.29680759275237273</v>
      </c>
      <c r="Q88" s="118">
        <f t="shared" ref="Q88" si="234">((P88/G88)^(1/($H$2-$H$1) ))-1</f>
        <v>0.16574878464236709</v>
      </c>
      <c r="R88" s="20"/>
      <c r="S88" s="152">
        <f t="shared" ref="S88:AB88" si="235">S29/S36</f>
        <v>0.29680759275237278</v>
      </c>
      <c r="T88" s="152">
        <f t="shared" si="235"/>
        <v>0.29680759275237273</v>
      </c>
      <c r="U88" s="152">
        <f t="shared" si="235"/>
        <v>0.29680759275237273</v>
      </c>
      <c r="V88" s="152">
        <f t="shared" si="235"/>
        <v>0.29680759275237273</v>
      </c>
      <c r="W88" s="152">
        <f t="shared" si="235"/>
        <v>0.29680759275237273</v>
      </c>
      <c r="X88" s="152">
        <f t="shared" si="235"/>
        <v>0.29680759275237273</v>
      </c>
      <c r="Y88" s="152">
        <f t="shared" si="235"/>
        <v>0.29680759275237273</v>
      </c>
      <c r="Z88" s="152">
        <f t="shared" si="235"/>
        <v>0.29680759275237273</v>
      </c>
      <c r="AA88" s="152">
        <f t="shared" si="235"/>
        <v>0.29680759275237273</v>
      </c>
      <c r="AB88" s="152">
        <f t="shared" si="235"/>
        <v>0.29680759275237267</v>
      </c>
      <c r="AC88" s="138">
        <f t="shared" ref="AC88" si="236">((AB88/G88)^(1/($AB$3-$H$1) ))-1</f>
        <v>7.5349712352468234E-2</v>
      </c>
      <c r="AD88" s="146"/>
      <c r="AE88" s="146"/>
    </row>
    <row r="89" spans="2:31" ht="12" customHeight="1" x14ac:dyDescent="0.2">
      <c r="B89" s="20" t="s">
        <v>367</v>
      </c>
      <c r="C89" s="152"/>
      <c r="D89" s="152"/>
      <c r="E89" s="152"/>
      <c r="F89" s="152"/>
      <c r="G89" s="171">
        <f t="shared" ref="G89:P89" si="237">G29/G40</f>
        <v>0.24</v>
      </c>
      <c r="H89" s="171">
        <f t="shared" si="237"/>
        <v>0.23031026252983294</v>
      </c>
      <c r="I89" s="171">
        <f t="shared" si="237"/>
        <v>0.39600470035252644</v>
      </c>
      <c r="J89" s="171">
        <f t="shared" si="237"/>
        <v>0.38267543859649122</v>
      </c>
      <c r="K89" s="171">
        <f t="shared" si="237"/>
        <v>0.51892635925671027</v>
      </c>
      <c r="L89" s="171">
        <f t="shared" si="237"/>
        <v>0.54157782515991471</v>
      </c>
      <c r="M89" s="171">
        <f t="shared" si="237"/>
        <v>0.43222003929273084</v>
      </c>
      <c r="N89" s="171">
        <f t="shared" si="237"/>
        <v>0.5818965517241379</v>
      </c>
      <c r="O89" s="171">
        <f t="shared" si="237"/>
        <v>1.3785488958990537</v>
      </c>
      <c r="P89" s="171">
        <f t="shared" si="237"/>
        <v>0.671875</v>
      </c>
      <c r="Q89" s="118">
        <f t="shared" ref="Q89" si="238">((P89/G89)^(1/($H$2-$H$1) ))-1</f>
        <v>0.12117975943286807</v>
      </c>
      <c r="R89" s="20"/>
      <c r="S89" s="171">
        <f t="shared" ref="S89:AB89" si="239">S29/S40</f>
        <v>0.671875</v>
      </c>
      <c r="T89" s="171">
        <f t="shared" si="239"/>
        <v>0.671875</v>
      </c>
      <c r="U89" s="171">
        <f t="shared" si="239"/>
        <v>0.67187499999999989</v>
      </c>
      <c r="V89" s="171">
        <f t="shared" si="239"/>
        <v>0.671875</v>
      </c>
      <c r="W89" s="171">
        <f t="shared" si="239"/>
        <v>0.67187499999999989</v>
      </c>
      <c r="X89" s="171">
        <f t="shared" si="239"/>
        <v>0.67187499999999989</v>
      </c>
      <c r="Y89" s="171">
        <f t="shared" si="239"/>
        <v>0.671875</v>
      </c>
      <c r="Z89" s="171">
        <f t="shared" si="239"/>
        <v>0.671875</v>
      </c>
      <c r="AA89" s="171">
        <f t="shared" si="239"/>
        <v>0.671875</v>
      </c>
      <c r="AB89" s="171">
        <f t="shared" si="239"/>
        <v>0.671875</v>
      </c>
      <c r="AC89" s="138">
        <f t="shared" ref="AC89" si="240">((AB89/G89)^(1/($AB$3-$H$1) ))-1</f>
        <v>5.5675350343828756E-2</v>
      </c>
      <c r="AD89" s="146"/>
      <c r="AE89" s="146"/>
    </row>
    <row r="90" spans="2:31" ht="12" customHeight="1" x14ac:dyDescent="0.2">
      <c r="B90" s="20" t="s">
        <v>324</v>
      </c>
      <c r="C90" s="152"/>
      <c r="D90" s="152"/>
      <c r="E90" s="152"/>
      <c r="F90" s="152"/>
      <c r="G90" s="171">
        <f t="shared" ref="G90:P90" si="241">G29/G12</f>
        <v>0.1951219512195122</v>
      </c>
      <c r="H90" s="171">
        <f t="shared" si="241"/>
        <v>0.1798695246971109</v>
      </c>
      <c r="I90" s="171">
        <f t="shared" si="241"/>
        <v>0.23782639378969656</v>
      </c>
      <c r="J90" s="171">
        <f t="shared" si="241"/>
        <v>0.29752770673486784</v>
      </c>
      <c r="K90" s="171">
        <f t="shared" si="241"/>
        <v>0.61003236245954695</v>
      </c>
      <c r="L90" s="171">
        <f t="shared" si="241"/>
        <v>0.34361471861471865</v>
      </c>
      <c r="M90" s="171">
        <f t="shared" si="241"/>
        <v>0.12621916236374067</v>
      </c>
      <c r="N90" s="171">
        <f t="shared" si="241"/>
        <v>0.20377358490566039</v>
      </c>
      <c r="O90" s="171">
        <f t="shared" si="241"/>
        <v>0.12633709164498411</v>
      </c>
      <c r="P90" s="171">
        <f t="shared" si="241"/>
        <v>0.1731253145445395</v>
      </c>
      <c r="Q90" s="118">
        <f t="shared" si="216"/>
        <v>-1.3201974827305674E-2</v>
      </c>
      <c r="R90" s="20"/>
      <c r="S90" s="152">
        <f t="shared" ref="S90:AB90" si="242">S29/S12</f>
        <v>0.1731253145445395</v>
      </c>
      <c r="T90" s="152">
        <f t="shared" si="242"/>
        <v>0.1731253145445395</v>
      </c>
      <c r="U90" s="152">
        <f t="shared" si="242"/>
        <v>0.1731253145445395</v>
      </c>
      <c r="V90" s="152">
        <f t="shared" si="242"/>
        <v>0.1731253145445395</v>
      </c>
      <c r="W90" s="152">
        <f t="shared" si="242"/>
        <v>0.1731253145445395</v>
      </c>
      <c r="X90" s="152">
        <f t="shared" si="242"/>
        <v>0.1731253145445395</v>
      </c>
      <c r="Y90" s="152">
        <f t="shared" si="242"/>
        <v>0.17312531454453953</v>
      </c>
      <c r="Z90" s="152">
        <f t="shared" si="242"/>
        <v>0.17312531454453953</v>
      </c>
      <c r="AA90" s="152">
        <f t="shared" si="242"/>
        <v>0.17312531454453953</v>
      </c>
      <c r="AB90" s="152">
        <f t="shared" si="242"/>
        <v>0.17312531454453953</v>
      </c>
      <c r="AC90" s="138">
        <f t="shared" si="218"/>
        <v>-6.2754403488290977E-3</v>
      </c>
      <c r="AD90" s="146"/>
      <c r="AE90" s="146"/>
    </row>
    <row r="91" spans="2:31" ht="12" customHeight="1" x14ac:dyDescent="0.2">
      <c r="B91" s="20" t="s">
        <v>369</v>
      </c>
      <c r="C91" s="152"/>
      <c r="D91" s="152"/>
      <c r="E91" s="152"/>
      <c r="F91" s="152"/>
      <c r="G91" s="171">
        <f>G29/G23</f>
        <v>0.21621621621621623</v>
      </c>
      <c r="H91" s="171">
        <f t="shared" ref="H91:P91" si="243">H29/H23</f>
        <v>0.18416030534351144</v>
      </c>
      <c r="I91" s="171">
        <f t="shared" si="243"/>
        <v>0.246525237746891</v>
      </c>
      <c r="J91" s="171">
        <f t="shared" si="243"/>
        <v>0.32314814814814813</v>
      </c>
      <c r="K91" s="171">
        <f t="shared" si="243"/>
        <v>0.67744833782569636</v>
      </c>
      <c r="L91" s="171">
        <f t="shared" si="243"/>
        <v>0.42474916387959866</v>
      </c>
      <c r="M91" s="171">
        <f t="shared" si="243"/>
        <v>6.1469684269348977E-2</v>
      </c>
      <c r="N91" s="171">
        <f t="shared" si="243"/>
        <v>0.10336906584992343</v>
      </c>
      <c r="O91" s="171">
        <f t="shared" si="243"/>
        <v>0.1973803071364047</v>
      </c>
      <c r="P91" s="171">
        <f t="shared" si="243"/>
        <v>0.42627013630731103</v>
      </c>
      <c r="Q91" s="118">
        <f t="shared" ref="Q91" si="244">((P91/G91)^(1/($H$2-$H$1) ))-1</f>
        <v>7.8338677866719886E-2</v>
      </c>
      <c r="R91" s="20"/>
      <c r="S91" s="171">
        <f t="shared" ref="S91:AB91" si="245">S29/S23</f>
        <v>0.42627013630731103</v>
      </c>
      <c r="T91" s="171">
        <f t="shared" si="245"/>
        <v>0.42627013630731103</v>
      </c>
      <c r="U91" s="171">
        <f t="shared" si="245"/>
        <v>0.42627013630731103</v>
      </c>
      <c r="V91" s="171">
        <f t="shared" si="245"/>
        <v>0.42627013630731109</v>
      </c>
      <c r="W91" s="171">
        <f t="shared" si="245"/>
        <v>0.42627013630731103</v>
      </c>
      <c r="X91" s="171">
        <f t="shared" si="245"/>
        <v>0.42627013630731098</v>
      </c>
      <c r="Y91" s="171">
        <f t="shared" si="245"/>
        <v>0.42627013630731109</v>
      </c>
      <c r="Z91" s="171">
        <f t="shared" si="245"/>
        <v>0.42627013630731109</v>
      </c>
      <c r="AA91" s="171">
        <f t="shared" si="245"/>
        <v>0.42627013630731109</v>
      </c>
      <c r="AB91" s="171">
        <f t="shared" si="245"/>
        <v>0.42627013630731103</v>
      </c>
      <c r="AC91" s="138">
        <f t="shared" ref="AC91" si="246">((AB91/G91)^(1/($AB$3-$H$1) ))-1</f>
        <v>3.637186133963799E-2</v>
      </c>
      <c r="AD91" s="146"/>
      <c r="AE91" s="146"/>
    </row>
    <row r="92" spans="2:31" ht="12" customHeight="1" x14ac:dyDescent="0.2">
      <c r="B92" s="20"/>
      <c r="C92" s="152"/>
      <c r="D92" s="152"/>
      <c r="E92" s="152"/>
      <c r="F92" s="152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20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46"/>
      <c r="AE92" s="146"/>
    </row>
    <row r="93" spans="2:31" ht="12" customHeight="1" x14ac:dyDescent="0.2">
      <c r="B93" s="20" t="s">
        <v>402</v>
      </c>
      <c r="C93" s="152"/>
      <c r="D93" s="152"/>
      <c r="E93" s="152"/>
      <c r="F93" s="152"/>
      <c r="G93" s="127">
        <f>1/G87</f>
        <v>30.624999999999996</v>
      </c>
      <c r="H93" s="127">
        <f t="shared" ref="H93:P93" si="247">1/H87</f>
        <v>11.378238341968913</v>
      </c>
      <c r="I93" s="127">
        <f t="shared" si="247"/>
        <v>6.8961424332344219</v>
      </c>
      <c r="J93" s="127">
        <f t="shared" si="247"/>
        <v>6.9255014326647562</v>
      </c>
      <c r="K93" s="127">
        <f t="shared" si="247"/>
        <v>4.9893899204244034</v>
      </c>
      <c r="L93" s="127">
        <f t="shared" si="247"/>
        <v>5.5708661417322842</v>
      </c>
      <c r="M93" s="127">
        <f t="shared" si="247"/>
        <v>14.013636363636364</v>
      </c>
      <c r="N93" s="127">
        <f t="shared" si="247"/>
        <v>9.8333333333333321</v>
      </c>
      <c r="O93" s="127">
        <f t="shared" si="247"/>
        <v>7.4073226544622424</v>
      </c>
      <c r="P93" s="127">
        <f t="shared" si="247"/>
        <v>9.8837209302325579</v>
      </c>
      <c r="Q93" s="118">
        <f t="shared" si="216"/>
        <v>-0.11808413965431397</v>
      </c>
      <c r="R93" s="20"/>
      <c r="S93" s="127">
        <f t="shared" ref="S93:AB93" si="248">1/S87</f>
        <v>9.8837209302325562</v>
      </c>
      <c r="T93" s="127">
        <f t="shared" si="248"/>
        <v>9.8837209302325579</v>
      </c>
      <c r="U93" s="127">
        <f t="shared" si="248"/>
        <v>9.8837209302325597</v>
      </c>
      <c r="V93" s="127">
        <f t="shared" si="248"/>
        <v>9.8837209302325562</v>
      </c>
      <c r="W93" s="127">
        <f t="shared" si="248"/>
        <v>9.8837209302325579</v>
      </c>
      <c r="X93" s="127">
        <f t="shared" si="248"/>
        <v>9.8837209302325579</v>
      </c>
      <c r="Y93" s="127">
        <f t="shared" si="248"/>
        <v>9.8837209302325562</v>
      </c>
      <c r="Z93" s="127">
        <f t="shared" si="248"/>
        <v>9.8837209302325562</v>
      </c>
      <c r="AA93" s="127">
        <f t="shared" si="248"/>
        <v>9.8837209302325544</v>
      </c>
      <c r="AB93" s="127">
        <f t="shared" si="248"/>
        <v>9.8837209302325562</v>
      </c>
      <c r="AC93" s="138">
        <f t="shared" si="218"/>
        <v>-5.7785672204092364E-2</v>
      </c>
      <c r="AD93" s="146"/>
      <c r="AE93" s="146"/>
    </row>
    <row r="94" spans="2:31" ht="12" customHeight="1" x14ac:dyDescent="0.2">
      <c r="B94" s="20" t="s">
        <v>403</v>
      </c>
      <c r="C94" s="152"/>
      <c r="D94" s="152"/>
      <c r="E94" s="152"/>
      <c r="F94" s="152"/>
      <c r="G94" s="127">
        <f t="shared" ref="G94:P97" si="249">1/G88</f>
        <v>13.395833333333332</v>
      </c>
      <c r="H94" s="127">
        <f t="shared" si="249"/>
        <v>6.4352331606217614</v>
      </c>
      <c r="I94" s="127">
        <f t="shared" si="249"/>
        <v>3.7685459940652817</v>
      </c>
      <c r="J94" s="127">
        <f t="shared" si="249"/>
        <v>3.7392550143266479</v>
      </c>
      <c r="K94" s="127">
        <f t="shared" si="249"/>
        <v>2.6233421750663131</v>
      </c>
      <c r="L94" s="127">
        <f t="shared" si="249"/>
        <v>2.9278215223097113</v>
      </c>
      <c r="M94" s="127">
        <f t="shared" si="249"/>
        <v>4.5727272727272732</v>
      </c>
      <c r="N94" s="127">
        <f t="shared" si="249"/>
        <v>4.0481481481481483</v>
      </c>
      <c r="O94" s="127">
        <f t="shared" si="249"/>
        <v>2.4736842105263159</v>
      </c>
      <c r="P94" s="127">
        <f t="shared" si="249"/>
        <v>3.3691860465116279</v>
      </c>
      <c r="Q94" s="118">
        <f t="shared" si="216"/>
        <v>-0.14218224957722447</v>
      </c>
      <c r="R94" s="20"/>
      <c r="S94" s="127">
        <f t="shared" ref="S94:AB94" si="250">1/S88</f>
        <v>3.3691860465116275</v>
      </c>
      <c r="T94" s="127">
        <f t="shared" si="250"/>
        <v>3.3691860465116279</v>
      </c>
      <c r="U94" s="127">
        <f t="shared" si="250"/>
        <v>3.3691860465116279</v>
      </c>
      <c r="V94" s="127">
        <f t="shared" si="250"/>
        <v>3.3691860465116279</v>
      </c>
      <c r="W94" s="127">
        <f t="shared" si="250"/>
        <v>3.3691860465116279</v>
      </c>
      <c r="X94" s="127">
        <f t="shared" si="250"/>
        <v>3.3691860465116279</v>
      </c>
      <c r="Y94" s="127">
        <f t="shared" si="250"/>
        <v>3.3691860465116279</v>
      </c>
      <c r="Z94" s="127">
        <f t="shared" si="250"/>
        <v>3.3691860465116279</v>
      </c>
      <c r="AA94" s="127">
        <f t="shared" si="250"/>
        <v>3.3691860465116279</v>
      </c>
      <c r="AB94" s="127">
        <f t="shared" si="250"/>
        <v>3.3691860465116288</v>
      </c>
      <c r="AC94" s="138">
        <f t="shared" si="218"/>
        <v>-7.006996095031337E-2</v>
      </c>
      <c r="AD94" s="146"/>
      <c r="AE94" s="146"/>
    </row>
    <row r="95" spans="2:31" ht="12" customHeight="1" x14ac:dyDescent="0.2">
      <c r="B95" s="20" t="s">
        <v>404</v>
      </c>
      <c r="C95" s="152"/>
      <c r="D95" s="152"/>
      <c r="E95" s="152"/>
      <c r="F95" s="152"/>
      <c r="G95" s="127">
        <f t="shared" si="249"/>
        <v>4.166666666666667</v>
      </c>
      <c r="H95" s="127">
        <f t="shared" si="249"/>
        <v>4.3419689119170979</v>
      </c>
      <c r="I95" s="127">
        <f t="shared" si="249"/>
        <v>2.5252225519287834</v>
      </c>
      <c r="J95" s="127">
        <f t="shared" si="249"/>
        <v>2.6131805157593124</v>
      </c>
      <c r="K95" s="127">
        <f t="shared" si="249"/>
        <v>1.9270557029177717</v>
      </c>
      <c r="L95" s="127">
        <f t="shared" si="249"/>
        <v>1.8464566929133859</v>
      </c>
      <c r="M95" s="127">
        <f t="shared" si="249"/>
        <v>2.3136363636363635</v>
      </c>
      <c r="N95" s="127">
        <f t="shared" si="249"/>
        <v>1.7185185185185186</v>
      </c>
      <c r="O95" s="127">
        <f t="shared" si="249"/>
        <v>0.72540045766590389</v>
      </c>
      <c r="P95" s="127">
        <f t="shared" si="249"/>
        <v>1.4883720930232558</v>
      </c>
      <c r="Q95" s="118">
        <f t="shared" si="216"/>
        <v>-0.10808236450340936</v>
      </c>
      <c r="R95" s="20"/>
      <c r="S95" s="127">
        <f t="shared" ref="S95:AB95" si="251">1/S89</f>
        <v>1.4883720930232558</v>
      </c>
      <c r="T95" s="127">
        <f t="shared" si="251"/>
        <v>1.4883720930232558</v>
      </c>
      <c r="U95" s="127">
        <f t="shared" si="251"/>
        <v>1.488372093023256</v>
      </c>
      <c r="V95" s="127">
        <f t="shared" si="251"/>
        <v>1.4883720930232558</v>
      </c>
      <c r="W95" s="127">
        <f t="shared" si="251"/>
        <v>1.488372093023256</v>
      </c>
      <c r="X95" s="127">
        <f t="shared" si="251"/>
        <v>1.488372093023256</v>
      </c>
      <c r="Y95" s="127">
        <f t="shared" si="251"/>
        <v>1.4883720930232558</v>
      </c>
      <c r="Z95" s="127">
        <f t="shared" si="251"/>
        <v>1.4883720930232558</v>
      </c>
      <c r="AA95" s="127">
        <f t="shared" si="251"/>
        <v>1.4883720930232558</v>
      </c>
      <c r="AB95" s="127">
        <f t="shared" si="251"/>
        <v>1.4883720930232558</v>
      </c>
      <c r="AC95" s="138">
        <f t="shared" si="218"/>
        <v>-5.2739083398788855E-2</v>
      </c>
      <c r="AD95" s="146"/>
      <c r="AE95" s="146"/>
    </row>
    <row r="96" spans="2:31" ht="12" customHeight="1" x14ac:dyDescent="0.2">
      <c r="B96" s="20" t="s">
        <v>405</v>
      </c>
      <c r="C96" s="152"/>
      <c r="D96" s="152"/>
      <c r="E96" s="152"/>
      <c r="F96" s="152"/>
      <c r="G96" s="127">
        <f t="shared" si="249"/>
        <v>5.125</v>
      </c>
      <c r="H96" s="127">
        <f t="shared" si="249"/>
        <v>5.5595854922279795</v>
      </c>
      <c r="I96" s="127">
        <f t="shared" si="249"/>
        <v>4.2047477744807118</v>
      </c>
      <c r="J96" s="127">
        <f t="shared" si="249"/>
        <v>3.361031518624642</v>
      </c>
      <c r="K96" s="127">
        <f t="shared" si="249"/>
        <v>1.6392572944297081</v>
      </c>
      <c r="L96" s="127">
        <f t="shared" si="249"/>
        <v>2.9102362204724406</v>
      </c>
      <c r="M96" s="127">
        <f t="shared" si="249"/>
        <v>7.9227272727272728</v>
      </c>
      <c r="N96" s="127">
        <f t="shared" si="249"/>
        <v>4.9074074074074074</v>
      </c>
      <c r="O96" s="127">
        <f t="shared" si="249"/>
        <v>7.9153318077803201</v>
      </c>
      <c r="P96" s="127">
        <f t="shared" si="249"/>
        <v>5.7761627906976747</v>
      </c>
      <c r="Q96" s="118">
        <f t="shared" si="216"/>
        <v>1.3378598751244253E-2</v>
      </c>
      <c r="R96" s="20"/>
      <c r="S96" s="127">
        <f t="shared" ref="S96:AB96" si="252">1/S90</f>
        <v>5.7761627906976747</v>
      </c>
      <c r="T96" s="127">
        <f t="shared" si="252"/>
        <v>5.7761627906976747</v>
      </c>
      <c r="U96" s="127">
        <f t="shared" si="252"/>
        <v>5.7761627906976747</v>
      </c>
      <c r="V96" s="127">
        <f t="shared" si="252"/>
        <v>5.7761627906976747</v>
      </c>
      <c r="W96" s="127">
        <f t="shared" si="252"/>
        <v>5.7761627906976747</v>
      </c>
      <c r="X96" s="127">
        <f t="shared" si="252"/>
        <v>5.7761627906976747</v>
      </c>
      <c r="Y96" s="127">
        <f t="shared" si="252"/>
        <v>5.7761627906976738</v>
      </c>
      <c r="Z96" s="127">
        <f t="shared" si="252"/>
        <v>5.7761627906976738</v>
      </c>
      <c r="AA96" s="127">
        <f t="shared" si="252"/>
        <v>5.7761627906976738</v>
      </c>
      <c r="AB96" s="127">
        <f t="shared" si="252"/>
        <v>5.7761627906976738</v>
      </c>
      <c r="AC96" s="138">
        <f t="shared" si="218"/>
        <v>6.3150701951373289E-3</v>
      </c>
      <c r="AD96" s="146"/>
      <c r="AE96" s="146"/>
    </row>
    <row r="97" spans="2:31" ht="12" customHeight="1" x14ac:dyDescent="0.2">
      <c r="B97" s="20" t="s">
        <v>406</v>
      </c>
      <c r="C97" s="152"/>
      <c r="D97" s="152"/>
      <c r="E97" s="152"/>
      <c r="F97" s="152"/>
      <c r="G97" s="127">
        <f t="shared" si="249"/>
        <v>4.625</v>
      </c>
      <c r="H97" s="127">
        <f t="shared" si="249"/>
        <v>5.4300518134715032</v>
      </c>
      <c r="I97" s="127">
        <f t="shared" si="249"/>
        <v>4.0563798219584566</v>
      </c>
      <c r="J97" s="127">
        <f t="shared" si="249"/>
        <v>3.0945558739255015</v>
      </c>
      <c r="K97" s="127">
        <f t="shared" si="249"/>
        <v>1.4761273209549071</v>
      </c>
      <c r="L97" s="127">
        <f t="shared" si="249"/>
        <v>2.3543307086614171</v>
      </c>
      <c r="M97" s="127">
        <f t="shared" si="249"/>
        <v>16.268181818181819</v>
      </c>
      <c r="N97" s="127">
        <f t="shared" si="249"/>
        <v>9.674074074074074</v>
      </c>
      <c r="O97" s="127">
        <f t="shared" si="249"/>
        <v>5.0663615560640736</v>
      </c>
      <c r="P97" s="127">
        <f t="shared" si="249"/>
        <v>2.3459302325581395</v>
      </c>
      <c r="Q97" s="118">
        <f t="shared" si="216"/>
        <v>-7.2647563770686152E-2</v>
      </c>
      <c r="R97" s="20"/>
      <c r="S97" s="127">
        <f t="shared" ref="S97:AB97" si="253">1/S91</f>
        <v>2.3459302325581395</v>
      </c>
      <c r="T97" s="127">
        <f t="shared" si="253"/>
        <v>2.3459302325581395</v>
      </c>
      <c r="U97" s="127">
        <f t="shared" si="253"/>
        <v>2.3459302325581395</v>
      </c>
      <c r="V97" s="127">
        <f t="shared" si="253"/>
        <v>2.345930232558139</v>
      </c>
      <c r="W97" s="127">
        <f t="shared" si="253"/>
        <v>2.3459302325581395</v>
      </c>
      <c r="X97" s="127">
        <f t="shared" si="253"/>
        <v>2.3459302325581399</v>
      </c>
      <c r="Y97" s="127">
        <f t="shared" si="253"/>
        <v>2.345930232558139</v>
      </c>
      <c r="Z97" s="127">
        <f t="shared" si="253"/>
        <v>2.345930232558139</v>
      </c>
      <c r="AA97" s="127">
        <f t="shared" si="253"/>
        <v>2.345930232558139</v>
      </c>
      <c r="AB97" s="127">
        <f t="shared" si="253"/>
        <v>2.3459302325581395</v>
      </c>
      <c r="AC97" s="138">
        <f t="shared" si="218"/>
        <v>-3.5095377148336437E-2</v>
      </c>
      <c r="AD97" s="146"/>
      <c r="AE97" s="146"/>
    </row>
    <row r="98" spans="2:31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20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46"/>
      <c r="AE98" s="146"/>
    </row>
    <row r="99" spans="2:31" ht="12" customHeight="1" x14ac:dyDescent="0.2">
      <c r="B99" s="20"/>
      <c r="C99" s="152"/>
      <c r="D99" s="152"/>
      <c r="E99" s="152"/>
      <c r="F99" s="152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20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46"/>
      <c r="AE99" s="146"/>
    </row>
    <row r="100" spans="2:31" x14ac:dyDescent="0.2">
      <c r="B100" s="20" t="s">
        <v>325</v>
      </c>
      <c r="C100" s="152"/>
      <c r="D100" s="152"/>
      <c r="E100" s="152"/>
      <c r="F100" s="163">
        <f t="shared" ref="F100:O100" si="254">F10-(F12+F13)</f>
        <v>0</v>
      </c>
      <c r="G100" s="163">
        <f t="shared" si="254"/>
        <v>854</v>
      </c>
      <c r="H100" s="163">
        <f t="shared" si="254"/>
        <v>998</v>
      </c>
      <c r="I100" s="163">
        <f t="shared" si="254"/>
        <v>292</v>
      </c>
      <c r="J100" s="163">
        <f t="shared" si="254"/>
        <v>921</v>
      </c>
      <c r="K100" s="163">
        <f t="shared" si="254"/>
        <v>1193</v>
      </c>
      <c r="L100" s="163">
        <f t="shared" si="254"/>
        <v>1745.4</v>
      </c>
      <c r="M100" s="163">
        <f t="shared" si="254"/>
        <v>1449</v>
      </c>
      <c r="N100" s="163">
        <f t="shared" si="254"/>
        <v>2833</v>
      </c>
      <c r="O100" s="163">
        <f t="shared" si="254"/>
        <v>2213</v>
      </c>
      <c r="P100" s="163">
        <f>P10-(P12+P13)</f>
        <v>1677</v>
      </c>
      <c r="Q100" s="118">
        <f t="shared" si="216"/>
        <v>7.7863859072290431E-2</v>
      </c>
      <c r="R100" s="20"/>
      <c r="S100" s="163">
        <f>S10-(S12+S13)</f>
        <v>1777.62</v>
      </c>
      <c r="T100" s="163">
        <f t="shared" ref="T100:AB100" si="255">T10-(T12+T13)</f>
        <v>1884.2772000000004</v>
      </c>
      <c r="U100" s="163">
        <f t="shared" si="255"/>
        <v>1997.3338320000003</v>
      </c>
      <c r="V100" s="163">
        <f t="shared" si="255"/>
        <v>2117.1738619200005</v>
      </c>
      <c r="W100" s="163">
        <f t="shared" si="255"/>
        <v>2244.2042936352009</v>
      </c>
      <c r="X100" s="163">
        <f t="shared" si="255"/>
        <v>2378.8565512533123</v>
      </c>
      <c r="Y100" s="163">
        <f t="shared" si="255"/>
        <v>2521.5879443285112</v>
      </c>
      <c r="Z100" s="163">
        <f t="shared" si="255"/>
        <v>2672.883220988223</v>
      </c>
      <c r="AA100" s="163">
        <f t="shared" si="255"/>
        <v>2833.2562142475181</v>
      </c>
      <c r="AB100" s="163">
        <f t="shared" si="255"/>
        <v>3003.2515871023697</v>
      </c>
      <c r="AC100" s="138">
        <f t="shared" si="218"/>
        <v>6.8424618831858686E-2</v>
      </c>
      <c r="AD100" s="146"/>
      <c r="AE100" s="146"/>
    </row>
    <row r="101" spans="2:31" ht="12" customHeight="1" x14ac:dyDescent="0.2">
      <c r="B101" s="20" t="s">
        <v>320</v>
      </c>
      <c r="C101" s="20"/>
      <c r="D101" s="20"/>
      <c r="E101" s="20"/>
      <c r="F101" s="20"/>
      <c r="G101" s="152">
        <f t="shared" ref="G101:P101" si="256">G40/G18</f>
        <v>8.5543199315654406E-2</v>
      </c>
      <c r="H101" s="152">
        <f t="shared" si="256"/>
        <v>0.29087122526900383</v>
      </c>
      <c r="I101" s="152">
        <f t="shared" si="256"/>
        <v>0.30889292196007262</v>
      </c>
      <c r="J101" s="152">
        <f t="shared" si="256"/>
        <v>0.24516129032258063</v>
      </c>
      <c r="K101" s="152">
        <f t="shared" si="256"/>
        <v>0.3000826104915324</v>
      </c>
      <c r="L101" s="152">
        <f t="shared" si="256"/>
        <v>0.24849876368774285</v>
      </c>
      <c r="M101" s="152">
        <f t="shared" si="256"/>
        <v>7.9506404248672294E-2</v>
      </c>
      <c r="N101" s="152">
        <f t="shared" si="256"/>
        <v>6.0345948757965923E-2</v>
      </c>
      <c r="O101" s="152">
        <f t="shared" si="256"/>
        <v>3.5892210144927536E-2</v>
      </c>
      <c r="P101" s="152">
        <f t="shared" si="256"/>
        <v>5.2870714580751758E-2</v>
      </c>
      <c r="Q101" s="118">
        <f t="shared" si="216"/>
        <v>-5.2059503775456095E-2</v>
      </c>
      <c r="R101" s="20"/>
      <c r="S101" s="152">
        <f t="shared" ref="S101:AB101" si="257">S40/S18</f>
        <v>5.2870714580751751E-2</v>
      </c>
      <c r="T101" s="152">
        <f t="shared" si="257"/>
        <v>5.2870714580751751E-2</v>
      </c>
      <c r="U101" s="152">
        <f t="shared" si="257"/>
        <v>5.2870714580751758E-2</v>
      </c>
      <c r="V101" s="152">
        <f t="shared" si="257"/>
        <v>5.2870714580751758E-2</v>
      </c>
      <c r="W101" s="152">
        <f t="shared" si="257"/>
        <v>5.2870714580751765E-2</v>
      </c>
      <c r="X101" s="152">
        <f t="shared" si="257"/>
        <v>5.2870714580751765E-2</v>
      </c>
      <c r="Y101" s="152">
        <f t="shared" si="257"/>
        <v>5.2870714580751765E-2</v>
      </c>
      <c r="Z101" s="152">
        <f t="shared" si="257"/>
        <v>5.2870714580751765E-2</v>
      </c>
      <c r="AA101" s="152">
        <f t="shared" si="257"/>
        <v>5.2870714580751765E-2</v>
      </c>
      <c r="AB101" s="152">
        <f t="shared" si="257"/>
        <v>5.2870714580751758E-2</v>
      </c>
      <c r="AC101" s="138">
        <f t="shared" si="218"/>
        <v>-2.5006854012073698E-2</v>
      </c>
      <c r="AD101" s="20"/>
      <c r="AE101" s="20"/>
    </row>
    <row r="102" spans="2:31" x14ac:dyDescent="0.2">
      <c r="B102" s="20" t="s">
        <v>321</v>
      </c>
      <c r="C102" s="20"/>
      <c r="D102" s="20"/>
      <c r="E102" s="20"/>
      <c r="F102" s="20"/>
      <c r="G102" s="152">
        <f t="shared" ref="G102:P102" si="258">G40/G25</f>
        <v>0.1360544217687075</v>
      </c>
      <c r="H102" s="152">
        <f t="shared" si="258"/>
        <v>0.38160291438979965</v>
      </c>
      <c r="I102" s="152">
        <f t="shared" si="258"/>
        <v>0.36617900172117041</v>
      </c>
      <c r="J102" s="152">
        <f t="shared" si="258"/>
        <v>0.37732726520479931</v>
      </c>
      <c r="K102" s="152">
        <f t="shared" si="258"/>
        <v>0.38623072833599148</v>
      </c>
      <c r="L102" s="152">
        <f t="shared" si="258"/>
        <v>0.3314487632508834</v>
      </c>
      <c r="M102" s="152">
        <f t="shared" si="258"/>
        <v>0.16509892961401232</v>
      </c>
      <c r="N102" s="152">
        <f t="shared" si="258"/>
        <v>0.17476459510357814</v>
      </c>
      <c r="O102" s="152">
        <f t="shared" si="258"/>
        <v>9.7930182267531668E-2</v>
      </c>
      <c r="P102" s="152">
        <f t="shared" si="258"/>
        <v>0.15058823529411763</v>
      </c>
      <c r="Q102" s="118">
        <f t="shared" si="216"/>
        <v>1.134096301089782E-2</v>
      </c>
      <c r="R102" s="20"/>
      <c r="S102" s="152">
        <f t="shared" ref="S102:AB102" si="259">S40/S25</f>
        <v>0.15058823529411766</v>
      </c>
      <c r="T102" s="152">
        <f t="shared" si="259"/>
        <v>0.15058823529411766</v>
      </c>
      <c r="U102" s="152">
        <f t="shared" si="259"/>
        <v>0.15058823529411766</v>
      </c>
      <c r="V102" s="152">
        <f t="shared" si="259"/>
        <v>0.15058823529411766</v>
      </c>
      <c r="W102" s="152">
        <f t="shared" si="259"/>
        <v>0.15058823529411766</v>
      </c>
      <c r="X102" s="152">
        <f t="shared" si="259"/>
        <v>0.15058823529411766</v>
      </c>
      <c r="Y102" s="152">
        <f t="shared" si="259"/>
        <v>0.15058823529411766</v>
      </c>
      <c r="Z102" s="152">
        <f t="shared" si="259"/>
        <v>0.15058823529411769</v>
      </c>
      <c r="AA102" s="152">
        <f t="shared" si="259"/>
        <v>0.15058823529411769</v>
      </c>
      <c r="AB102" s="152">
        <f t="shared" si="259"/>
        <v>0.15058823529411769</v>
      </c>
      <c r="AC102" s="138">
        <f t="shared" si="218"/>
        <v>5.3560943157262564E-3</v>
      </c>
      <c r="AD102" s="20"/>
      <c r="AE102" s="20"/>
    </row>
    <row r="103" spans="2:31" x14ac:dyDescent="0.2">
      <c r="B103" s="20" t="s">
        <v>347</v>
      </c>
      <c r="C103" s="20"/>
      <c r="D103" s="20"/>
      <c r="E103" s="152"/>
      <c r="F103" s="152"/>
      <c r="G103" s="152">
        <f t="shared" ref="G103:O103" si="260">G25/G18</f>
        <v>0.62874251497005984</v>
      </c>
      <c r="H103" s="152">
        <f t="shared" si="260"/>
        <v>0.76223533495314122</v>
      </c>
      <c r="I103" s="152">
        <f t="shared" si="260"/>
        <v>0.84355716878402909</v>
      </c>
      <c r="J103" s="152">
        <f t="shared" si="260"/>
        <v>0.64973118279569897</v>
      </c>
      <c r="K103" s="152">
        <f t="shared" si="260"/>
        <v>0.77695167286245348</v>
      </c>
      <c r="L103" s="152">
        <f t="shared" si="260"/>
        <v>0.74973507594489575</v>
      </c>
      <c r="M103" s="152">
        <f t="shared" si="260"/>
        <v>0.48156825991877539</v>
      </c>
      <c r="N103" s="152">
        <f t="shared" si="260"/>
        <v>0.34529847834568866</v>
      </c>
      <c r="O103" s="152">
        <f t="shared" si="260"/>
        <v>0.36650815217391303</v>
      </c>
      <c r="P103" s="152">
        <f>P25/P18</f>
        <v>0.3510945890128046</v>
      </c>
      <c r="Q103" s="118">
        <f t="shared" si="216"/>
        <v>-6.2689507401739397E-2</v>
      </c>
      <c r="R103" s="20"/>
      <c r="S103" s="152">
        <f>S25/S18</f>
        <v>0.3510945890128046</v>
      </c>
      <c r="T103" s="152">
        <f t="shared" ref="T103:AB103" si="261">T25/T18</f>
        <v>0.3510945890128046</v>
      </c>
      <c r="U103" s="152">
        <f t="shared" si="261"/>
        <v>0.3510945890128046</v>
      </c>
      <c r="V103" s="152">
        <f t="shared" si="261"/>
        <v>0.3510945890128046</v>
      </c>
      <c r="W103" s="152">
        <f t="shared" si="261"/>
        <v>0.3510945890128046</v>
      </c>
      <c r="X103" s="152">
        <f t="shared" si="261"/>
        <v>0.35109458901280466</v>
      </c>
      <c r="Y103" s="152">
        <f t="shared" si="261"/>
        <v>0.3510945890128046</v>
      </c>
      <c r="Z103" s="152">
        <f t="shared" si="261"/>
        <v>0.3510945890128046</v>
      </c>
      <c r="AA103" s="152">
        <f t="shared" si="261"/>
        <v>0.3510945890128046</v>
      </c>
      <c r="AB103" s="152">
        <f t="shared" si="261"/>
        <v>0.35109458901280455</v>
      </c>
      <c r="AC103" s="138">
        <f t="shared" si="218"/>
        <v>-3.020118791687032E-2</v>
      </c>
      <c r="AD103" s="20"/>
      <c r="AE103" s="20"/>
    </row>
    <row r="104" spans="2:31" x14ac:dyDescent="0.2">
      <c r="B104" s="20"/>
      <c r="C104" s="20"/>
      <c r="D104" s="20"/>
      <c r="E104" s="20"/>
      <c r="F104" s="20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28"/>
      <c r="R104" s="20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28"/>
      <c r="AD104" s="20"/>
      <c r="AE104" s="20"/>
    </row>
    <row r="105" spans="2:31" x14ac:dyDescent="0.2">
      <c r="B105" s="20" t="s">
        <v>333</v>
      </c>
      <c r="C105" s="20"/>
      <c r="D105" s="20"/>
      <c r="E105" s="165">
        <f t="shared" ref="E105:F105" si="262">E65*E42</f>
        <v>0</v>
      </c>
      <c r="F105" s="165">
        <f t="shared" si="262"/>
        <v>0</v>
      </c>
      <c r="G105" s="165">
        <f>G65*G42</f>
        <v>125.598</v>
      </c>
      <c r="H105" s="165">
        <f t="shared" ref="H105:P105" si="263">H65*H42</f>
        <v>171.27</v>
      </c>
      <c r="I105" s="165">
        <f t="shared" si="263"/>
        <v>152.20000000000002</v>
      </c>
      <c r="J105" s="165">
        <f t="shared" si="263"/>
        <v>175.03</v>
      </c>
      <c r="K105" s="165">
        <f t="shared" si="263"/>
        <v>228.3</v>
      </c>
      <c r="L105" s="165">
        <f t="shared" si="263"/>
        <v>121.76</v>
      </c>
      <c r="M105" s="165">
        <f t="shared" si="263"/>
        <v>121.76</v>
      </c>
      <c r="N105" s="165">
        <f t="shared" si="263"/>
        <v>121.76</v>
      </c>
      <c r="O105" s="165">
        <f t="shared" si="263"/>
        <v>98.93</v>
      </c>
      <c r="P105" s="165">
        <f t="shared" si="263"/>
        <v>114.15</v>
      </c>
      <c r="Q105" s="118">
        <f t="shared" si="216"/>
        <v>-1.0563032650492521E-2</v>
      </c>
      <c r="R105" s="20"/>
      <c r="S105" s="165">
        <f t="shared" ref="S105:AB105" si="264">S65*S42</f>
        <v>174.64950000000002</v>
      </c>
      <c r="T105" s="165">
        <f t="shared" si="264"/>
        <v>178.14249000000004</v>
      </c>
      <c r="U105" s="165">
        <f t="shared" si="264"/>
        <v>181.70533980000005</v>
      </c>
      <c r="V105" s="165">
        <f t="shared" si="264"/>
        <v>185.33944659600004</v>
      </c>
      <c r="W105" s="165">
        <f t="shared" si="264"/>
        <v>189.04623552792006</v>
      </c>
      <c r="X105" s="165">
        <f t="shared" si="264"/>
        <v>192.82716023847848</v>
      </c>
      <c r="Y105" s="165">
        <f t="shared" si="264"/>
        <v>196.68370344324805</v>
      </c>
      <c r="Z105" s="165">
        <f t="shared" si="264"/>
        <v>200.61737751211302</v>
      </c>
      <c r="AA105" s="165">
        <f t="shared" si="264"/>
        <v>204.62972506235528</v>
      </c>
      <c r="AB105" s="165">
        <f t="shared" si="264"/>
        <v>208.72231956360238</v>
      </c>
      <c r="AC105" s="138">
        <f t="shared" si="218"/>
        <v>2.7093068563493805E-2</v>
      </c>
      <c r="AD105" s="20"/>
      <c r="AE105" s="20"/>
    </row>
    <row r="106" spans="2:31" x14ac:dyDescent="0.2">
      <c r="B106" s="20" t="s">
        <v>334</v>
      </c>
      <c r="C106" s="20"/>
      <c r="D106" s="20"/>
      <c r="E106" s="165">
        <f>(E105*0.17)+E105</f>
        <v>0</v>
      </c>
      <c r="F106" s="165">
        <f>(F105*0.17)+F105</f>
        <v>0</v>
      </c>
      <c r="G106" s="165">
        <f t="shared" ref="G106:P106" si="265">(G105*0.17)+G105</f>
        <v>146.94965999999999</v>
      </c>
      <c r="H106" s="165">
        <f t="shared" si="265"/>
        <v>200.38590000000002</v>
      </c>
      <c r="I106" s="165">
        <f t="shared" si="265"/>
        <v>178.07400000000001</v>
      </c>
      <c r="J106" s="165">
        <f t="shared" si="265"/>
        <v>204.7851</v>
      </c>
      <c r="K106" s="165">
        <f t="shared" si="265"/>
        <v>267.11099999999999</v>
      </c>
      <c r="L106" s="165">
        <f t="shared" si="265"/>
        <v>142.45920000000001</v>
      </c>
      <c r="M106" s="165">
        <f t="shared" si="265"/>
        <v>142.45920000000001</v>
      </c>
      <c r="N106" s="165">
        <f t="shared" si="265"/>
        <v>142.45920000000001</v>
      </c>
      <c r="O106" s="165">
        <f t="shared" si="265"/>
        <v>115.74810000000001</v>
      </c>
      <c r="P106" s="165">
        <f t="shared" si="265"/>
        <v>133.55549999999999</v>
      </c>
      <c r="Q106" s="118">
        <f t="shared" si="216"/>
        <v>-1.0563032650492521E-2</v>
      </c>
      <c r="R106" s="20"/>
      <c r="S106" s="165">
        <f t="shared" ref="S106:AB106" si="266">(S105*0.17)+S105</f>
        <v>204.33991500000002</v>
      </c>
      <c r="T106" s="165">
        <f t="shared" si="266"/>
        <v>208.42671330000005</v>
      </c>
      <c r="U106" s="165">
        <f t="shared" si="266"/>
        <v>212.59524756600007</v>
      </c>
      <c r="V106" s="165">
        <f t="shared" si="266"/>
        <v>216.84715251732007</v>
      </c>
      <c r="W106" s="165">
        <f t="shared" si="266"/>
        <v>221.18409556766647</v>
      </c>
      <c r="X106" s="165">
        <f t="shared" si="266"/>
        <v>225.60777747901983</v>
      </c>
      <c r="Y106" s="165">
        <f t="shared" si="266"/>
        <v>230.11993302860023</v>
      </c>
      <c r="Z106" s="165">
        <f t="shared" si="266"/>
        <v>234.72233168917225</v>
      </c>
      <c r="AA106" s="165">
        <f t="shared" si="266"/>
        <v>239.41677832295568</v>
      </c>
      <c r="AB106" s="165">
        <f t="shared" si="266"/>
        <v>244.2051138894148</v>
      </c>
      <c r="AC106" s="138">
        <f t="shared" si="218"/>
        <v>2.7093068563493805E-2</v>
      </c>
      <c r="AD106" s="20"/>
      <c r="AE106" s="20"/>
    </row>
    <row r="107" spans="2:31" x14ac:dyDescent="0.2">
      <c r="B107" s="20" t="s">
        <v>335</v>
      </c>
      <c r="C107" s="20"/>
      <c r="D107" s="20"/>
      <c r="E107" s="20"/>
      <c r="F107" s="152" t="e">
        <f t="shared" ref="F107:P107" si="267">F106/F40</f>
        <v>#DIV/0!</v>
      </c>
      <c r="G107" s="152">
        <f t="shared" si="267"/>
        <v>0.73474830000000002</v>
      </c>
      <c r="H107" s="152">
        <f t="shared" si="267"/>
        <v>0.23912398568019094</v>
      </c>
      <c r="I107" s="152">
        <f t="shared" si="267"/>
        <v>0.20925264394829612</v>
      </c>
      <c r="J107" s="152">
        <f t="shared" si="267"/>
        <v>0.2245450657894737</v>
      </c>
      <c r="K107" s="152">
        <f t="shared" si="267"/>
        <v>0.18383413626978665</v>
      </c>
      <c r="L107" s="152">
        <f t="shared" si="267"/>
        <v>0.10125031982942431</v>
      </c>
      <c r="M107" s="152">
        <f t="shared" si="267"/>
        <v>0.27988055009823187</v>
      </c>
      <c r="N107" s="152">
        <f t="shared" si="267"/>
        <v>0.3070241379310345</v>
      </c>
      <c r="O107" s="152">
        <f t="shared" si="267"/>
        <v>0.36513596214511046</v>
      </c>
      <c r="P107" s="152">
        <f t="shared" si="267"/>
        <v>0.26085058593749999</v>
      </c>
      <c r="Q107" s="118">
        <f t="shared" si="216"/>
        <v>-0.1086913192153468</v>
      </c>
      <c r="R107" s="20"/>
      <c r="S107" s="152">
        <f t="shared" ref="S107:AB107" si="268">S106/S40</f>
        <v>0.37651075140035378</v>
      </c>
      <c r="T107" s="152">
        <f t="shared" si="268"/>
        <v>0.36230279851732161</v>
      </c>
      <c r="U107" s="152">
        <f t="shared" si="268"/>
        <v>0.34863099479968679</v>
      </c>
      <c r="V107" s="152">
        <f t="shared" si="268"/>
        <v>0.33547510820347221</v>
      </c>
      <c r="W107" s="152">
        <f t="shared" si="268"/>
        <v>0.32281567015805812</v>
      </c>
      <c r="X107" s="152">
        <f t="shared" si="268"/>
        <v>0.31063394675586731</v>
      </c>
      <c r="Y107" s="152">
        <f t="shared" si="268"/>
        <v>0.29891191102923076</v>
      </c>
      <c r="Z107" s="152">
        <f t="shared" si="268"/>
        <v>0.28763221627341073</v>
      </c>
      <c r="AA107" s="152">
        <f t="shared" si="268"/>
        <v>0.27677817037630092</v>
      </c>
      <c r="AB107" s="152">
        <f t="shared" si="268"/>
        <v>0.26633371111681786</v>
      </c>
      <c r="AC107" s="138">
        <f t="shared" si="218"/>
        <v>-5.2008140701033767E-2</v>
      </c>
      <c r="AD107" s="20"/>
      <c r="AE107" s="20"/>
    </row>
    <row r="108" spans="2:31" x14ac:dyDescent="0.2">
      <c r="B108" s="20" t="s">
        <v>328</v>
      </c>
      <c r="C108" s="20"/>
      <c r="D108" s="20"/>
      <c r="E108" s="20"/>
      <c r="F108" s="152" t="e">
        <f>1-F107</f>
        <v>#DIV/0!</v>
      </c>
      <c r="G108" s="152">
        <f>1-G107</f>
        <v>0.26525169999999998</v>
      </c>
      <c r="H108" s="152">
        <f t="shared" ref="H108:P108" si="269">1-H107</f>
        <v>0.760876014319809</v>
      </c>
      <c r="I108" s="152">
        <f t="shared" si="269"/>
        <v>0.79074735605170388</v>
      </c>
      <c r="J108" s="152">
        <f t="shared" si="269"/>
        <v>0.77545493421052636</v>
      </c>
      <c r="K108" s="152">
        <f t="shared" si="269"/>
        <v>0.81616586373021338</v>
      </c>
      <c r="L108" s="152">
        <f t="shared" si="269"/>
        <v>0.89874968017057566</v>
      </c>
      <c r="M108" s="152">
        <f t="shared" si="269"/>
        <v>0.72011944990176813</v>
      </c>
      <c r="N108" s="152">
        <f t="shared" si="269"/>
        <v>0.69297586206896544</v>
      </c>
      <c r="O108" s="152">
        <f t="shared" si="269"/>
        <v>0.63486403785488954</v>
      </c>
      <c r="P108" s="152">
        <f t="shared" si="269"/>
        <v>0.73914941406250001</v>
      </c>
      <c r="Q108" s="118">
        <f t="shared" si="216"/>
        <v>0.12060530328513797</v>
      </c>
      <c r="R108" s="20"/>
      <c r="S108" s="152">
        <f t="shared" ref="S108:AB108" si="270">1-S107</f>
        <v>0.62348924859964616</v>
      </c>
      <c r="T108" s="152">
        <f t="shared" si="270"/>
        <v>0.63769720148267839</v>
      </c>
      <c r="U108" s="152">
        <f t="shared" si="270"/>
        <v>0.65136900520031316</v>
      </c>
      <c r="V108" s="152">
        <f t="shared" si="270"/>
        <v>0.66452489179652785</v>
      </c>
      <c r="W108" s="152">
        <f t="shared" si="270"/>
        <v>0.67718432984194188</v>
      </c>
      <c r="X108" s="152">
        <f t="shared" si="270"/>
        <v>0.68936605324413269</v>
      </c>
      <c r="Y108" s="152">
        <f t="shared" si="270"/>
        <v>0.70108808897076924</v>
      </c>
      <c r="Z108" s="152">
        <f t="shared" si="270"/>
        <v>0.71236778372658927</v>
      </c>
      <c r="AA108" s="152">
        <f t="shared" si="270"/>
        <v>0.72322182962369908</v>
      </c>
      <c r="AB108" s="152">
        <f t="shared" si="270"/>
        <v>0.73366628888318219</v>
      </c>
      <c r="AC108" s="138">
        <f t="shared" si="218"/>
        <v>5.5005581507744594E-2</v>
      </c>
      <c r="AD108" s="20"/>
      <c r="AE108" s="20"/>
    </row>
    <row r="109" spans="2:31" x14ac:dyDescent="0.2">
      <c r="B109" s="20"/>
      <c r="C109" s="20"/>
      <c r="D109" s="20"/>
      <c r="E109" s="20"/>
      <c r="F109" s="20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28"/>
      <c r="R109" s="20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28"/>
      <c r="AD109" s="20"/>
      <c r="AE109" s="20"/>
    </row>
    <row r="110" spans="2:31" x14ac:dyDescent="0.2">
      <c r="B110" s="20" t="s">
        <v>332</v>
      </c>
      <c r="C110" s="152"/>
      <c r="D110" s="152"/>
      <c r="E110" s="152"/>
      <c r="F110" s="152" t="e">
        <f>F31/F25</f>
        <v>#DIV/0!</v>
      </c>
      <c r="G110" s="152">
        <f>G31/G25</f>
        <v>0</v>
      </c>
      <c r="H110" s="152">
        <f t="shared" ref="H110:P110" si="271">H31/H25</f>
        <v>0</v>
      </c>
      <c r="I110" s="152">
        <f t="shared" si="271"/>
        <v>0</v>
      </c>
      <c r="J110" s="152">
        <f t="shared" si="271"/>
        <v>0</v>
      </c>
      <c r="K110" s="152">
        <f t="shared" si="271"/>
        <v>0</v>
      </c>
      <c r="L110" s="152">
        <f t="shared" si="271"/>
        <v>0</v>
      </c>
      <c r="M110" s="152">
        <f t="shared" si="271"/>
        <v>0</v>
      </c>
      <c r="N110" s="152">
        <f t="shared" si="271"/>
        <v>0</v>
      </c>
      <c r="O110" s="152">
        <f t="shared" si="271"/>
        <v>0</v>
      </c>
      <c r="P110" s="152">
        <f t="shared" si="271"/>
        <v>0</v>
      </c>
      <c r="Q110" s="118" t="e">
        <f t="shared" si="216"/>
        <v>#DIV/0!</v>
      </c>
      <c r="R110" s="20"/>
      <c r="S110" s="152">
        <f t="shared" ref="S110:AB110" si="272">S31/S25</f>
        <v>0</v>
      </c>
      <c r="T110" s="152">
        <f t="shared" si="272"/>
        <v>0</v>
      </c>
      <c r="U110" s="152">
        <f t="shared" si="272"/>
        <v>0</v>
      </c>
      <c r="V110" s="152">
        <f t="shared" si="272"/>
        <v>0</v>
      </c>
      <c r="W110" s="152">
        <f t="shared" si="272"/>
        <v>0</v>
      </c>
      <c r="X110" s="152">
        <f t="shared" si="272"/>
        <v>0</v>
      </c>
      <c r="Y110" s="152">
        <f t="shared" si="272"/>
        <v>0</v>
      </c>
      <c r="Z110" s="152">
        <f t="shared" si="272"/>
        <v>0</v>
      </c>
      <c r="AA110" s="152">
        <f t="shared" si="272"/>
        <v>0</v>
      </c>
      <c r="AB110" s="152">
        <f t="shared" si="272"/>
        <v>0</v>
      </c>
      <c r="AC110" s="138" t="e">
        <f t="shared" si="218"/>
        <v>#DIV/0!</v>
      </c>
      <c r="AD110" s="20"/>
      <c r="AE110" s="20"/>
    </row>
    <row r="111" spans="2:31" x14ac:dyDescent="0.2">
      <c r="B111" s="20" t="s">
        <v>329</v>
      </c>
      <c r="C111" s="152"/>
      <c r="D111" s="152"/>
      <c r="E111" s="152"/>
      <c r="F111" s="152" t="e">
        <f>F32/F25</f>
        <v>#DIV/0!</v>
      </c>
      <c r="G111" s="152">
        <f>G32/G25</f>
        <v>0</v>
      </c>
      <c r="H111" s="152">
        <f t="shared" ref="H111:P111" si="273">H32/H25</f>
        <v>0</v>
      </c>
      <c r="I111" s="152">
        <f t="shared" si="273"/>
        <v>0</v>
      </c>
      <c r="J111" s="152">
        <f t="shared" si="273"/>
        <v>0</v>
      </c>
      <c r="K111" s="152">
        <f t="shared" si="273"/>
        <v>0</v>
      </c>
      <c r="L111" s="152">
        <f t="shared" si="273"/>
        <v>0</v>
      </c>
      <c r="M111" s="152">
        <f t="shared" si="273"/>
        <v>0</v>
      </c>
      <c r="N111" s="152">
        <f t="shared" si="273"/>
        <v>0</v>
      </c>
      <c r="O111" s="152">
        <f t="shared" si="273"/>
        <v>0</v>
      </c>
      <c r="P111" s="152">
        <f t="shared" si="273"/>
        <v>0</v>
      </c>
      <c r="Q111" s="118" t="e">
        <f t="shared" si="216"/>
        <v>#DIV/0!</v>
      </c>
      <c r="R111" s="20"/>
      <c r="S111" s="152">
        <f t="shared" ref="S111:AB111" si="274">S32/S25</f>
        <v>0</v>
      </c>
      <c r="T111" s="152">
        <f t="shared" si="274"/>
        <v>0</v>
      </c>
      <c r="U111" s="152">
        <f t="shared" si="274"/>
        <v>0</v>
      </c>
      <c r="V111" s="152">
        <f t="shared" si="274"/>
        <v>0</v>
      </c>
      <c r="W111" s="152">
        <f t="shared" si="274"/>
        <v>0</v>
      </c>
      <c r="X111" s="152">
        <f t="shared" si="274"/>
        <v>0</v>
      </c>
      <c r="Y111" s="152">
        <f t="shared" si="274"/>
        <v>0</v>
      </c>
      <c r="Z111" s="152">
        <f t="shared" si="274"/>
        <v>0</v>
      </c>
      <c r="AA111" s="152">
        <f t="shared" si="274"/>
        <v>0</v>
      </c>
      <c r="AB111" s="152">
        <f t="shared" si="274"/>
        <v>0</v>
      </c>
      <c r="AC111" s="138" t="e">
        <f t="shared" si="218"/>
        <v>#DIV/0!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353</v>
      </c>
      <c r="C113" s="20"/>
      <c r="D113" s="20"/>
      <c r="E113" s="20"/>
      <c r="F113" s="20"/>
      <c r="G113" s="152">
        <f>G27/G25</f>
        <v>0.51428571428571423</v>
      </c>
      <c r="H113" s="152">
        <f t="shared" ref="H113:P113" si="275">H27/H25</f>
        <v>0.40482695810564662</v>
      </c>
      <c r="I113" s="152">
        <f t="shared" si="275"/>
        <v>0.32917383820998281</v>
      </c>
      <c r="J113" s="152">
        <f t="shared" si="275"/>
        <v>0.35581299131154326</v>
      </c>
      <c r="K113" s="152">
        <f t="shared" si="275"/>
        <v>0.30622009569377989</v>
      </c>
      <c r="L113" s="152">
        <f t="shared" si="275"/>
        <v>0.36961130742049469</v>
      </c>
      <c r="M113" s="152">
        <f t="shared" si="275"/>
        <v>0.61109309114498866</v>
      </c>
      <c r="N113" s="152">
        <f t="shared" si="275"/>
        <v>0.50998116760828627</v>
      </c>
      <c r="O113" s="152">
        <f t="shared" si="275"/>
        <v>0.57862218103181962</v>
      </c>
      <c r="P113" s="152">
        <f t="shared" si="275"/>
        <v>0.54323529411764704</v>
      </c>
      <c r="Q113" s="118">
        <f t="shared" si="216"/>
        <v>6.1033917192205855E-3</v>
      </c>
      <c r="R113" s="20"/>
      <c r="S113" s="152">
        <f t="shared" ref="S113:AB113" si="276">S27/S25</f>
        <v>0.54323529411764715</v>
      </c>
      <c r="T113" s="152">
        <f t="shared" si="276"/>
        <v>0.54323529411764704</v>
      </c>
      <c r="U113" s="152">
        <f t="shared" si="276"/>
        <v>0.54323529411764715</v>
      </c>
      <c r="V113" s="152">
        <f t="shared" si="276"/>
        <v>0.54323529411764715</v>
      </c>
      <c r="W113" s="152">
        <f t="shared" si="276"/>
        <v>0.54323529411764715</v>
      </c>
      <c r="X113" s="152">
        <f t="shared" si="276"/>
        <v>0.54323529411764704</v>
      </c>
      <c r="Y113" s="152">
        <f t="shared" si="276"/>
        <v>0.54323529411764715</v>
      </c>
      <c r="Z113" s="152">
        <f t="shared" si="276"/>
        <v>0.54323529411764715</v>
      </c>
      <c r="AA113" s="152">
        <f t="shared" si="276"/>
        <v>0.54323529411764726</v>
      </c>
      <c r="AB113" s="152">
        <f t="shared" si="276"/>
        <v>0.54323529411764726</v>
      </c>
      <c r="AC113" s="138">
        <f t="shared" si="218"/>
        <v>2.8864511268120729E-3</v>
      </c>
      <c r="AD113" s="20"/>
      <c r="AE113" s="20"/>
    </row>
    <row r="114" spans="2:31" x14ac:dyDescent="0.2">
      <c r="B114" s="20" t="str">
        <f>B33</f>
        <v>Top Expenses ( Power &amp; Fuel Cost )</v>
      </c>
      <c r="C114" s="20"/>
      <c r="D114" s="20"/>
      <c r="E114" s="20"/>
      <c r="F114" s="20"/>
      <c r="G114" s="152">
        <f>G33/G25</f>
        <v>5.4727891156462587E-2</v>
      </c>
      <c r="H114" s="152">
        <f t="shared" ref="H114:P114" si="277">H33/H25</f>
        <v>6.5118397085610194E-2</v>
      </c>
      <c r="I114" s="152">
        <f t="shared" si="277"/>
        <v>7.9173838209982791E-2</v>
      </c>
      <c r="J114" s="152">
        <f t="shared" si="277"/>
        <v>0.10839884153909805</v>
      </c>
      <c r="K114" s="152">
        <f t="shared" si="277"/>
        <v>9.8351940457203621E-2</v>
      </c>
      <c r="L114" s="152">
        <f t="shared" si="277"/>
        <v>0.13451118963486455</v>
      </c>
      <c r="M114" s="152">
        <f t="shared" si="277"/>
        <v>0.11579630230295167</v>
      </c>
      <c r="N114" s="152">
        <f t="shared" si="277"/>
        <v>0.11450094161958568</v>
      </c>
      <c r="O114" s="152">
        <f t="shared" si="277"/>
        <v>0.12851405622489959</v>
      </c>
      <c r="P114" s="152">
        <f t="shared" si="277"/>
        <v>0.12676470588235295</v>
      </c>
      <c r="Q114" s="118">
        <f t="shared" si="216"/>
        <v>9.7822638288140418E-2</v>
      </c>
      <c r="R114" s="20"/>
      <c r="S114" s="152">
        <f t="shared" ref="S114:AB114" si="278">S33/S25</f>
        <v>0.12676470588235295</v>
      </c>
      <c r="T114" s="152">
        <f t="shared" si="278"/>
        <v>0.12676470588235295</v>
      </c>
      <c r="U114" s="152">
        <f t="shared" si="278"/>
        <v>0.12676470588235292</v>
      </c>
      <c r="V114" s="152">
        <f t="shared" si="278"/>
        <v>0.12676470588235295</v>
      </c>
      <c r="W114" s="152">
        <f t="shared" si="278"/>
        <v>0.12676470588235292</v>
      </c>
      <c r="X114" s="152">
        <f t="shared" si="278"/>
        <v>0.12676470588235292</v>
      </c>
      <c r="Y114" s="152">
        <f t="shared" si="278"/>
        <v>0.12676470588235292</v>
      </c>
      <c r="Z114" s="152">
        <f t="shared" si="278"/>
        <v>0.12676470588235295</v>
      </c>
      <c r="AA114" s="152">
        <f t="shared" si="278"/>
        <v>0.12676470588235295</v>
      </c>
      <c r="AB114" s="152">
        <f t="shared" si="278"/>
        <v>0.12676470588235295</v>
      </c>
      <c r="AC114" s="138">
        <f t="shared" si="218"/>
        <v>4.5200129121364396E-2</v>
      </c>
      <c r="AD114" s="20"/>
      <c r="AE114" s="20"/>
    </row>
    <row r="115" spans="2:31" x14ac:dyDescent="0.2">
      <c r="B115" s="20" t="str">
        <f>B34</f>
        <v>2nd highest Expenses Comp. ( Empl )</v>
      </c>
      <c r="C115" s="20"/>
      <c r="D115" s="20"/>
      <c r="E115" s="20"/>
      <c r="F115" s="20"/>
      <c r="G115" s="152">
        <f>G34/G25</f>
        <v>6.2585034013605448E-2</v>
      </c>
      <c r="H115" s="152">
        <f t="shared" ref="H115:P115" si="279">H34/H25</f>
        <v>9.3806921675774133E-2</v>
      </c>
      <c r="I115" s="152">
        <f t="shared" si="279"/>
        <v>6.9277108433734941E-2</v>
      </c>
      <c r="J115" s="152">
        <f t="shared" si="279"/>
        <v>7.6127430699213905E-2</v>
      </c>
      <c r="K115" s="152">
        <f t="shared" si="279"/>
        <v>6.5390749601275916E-2</v>
      </c>
      <c r="L115" s="152">
        <f t="shared" si="279"/>
        <v>7.1378091872791524E-2</v>
      </c>
      <c r="M115" s="152">
        <f t="shared" si="279"/>
        <v>0.10898475510866039</v>
      </c>
      <c r="N115" s="152">
        <f t="shared" si="279"/>
        <v>0.14011299435028249</v>
      </c>
      <c r="O115" s="152">
        <f t="shared" si="279"/>
        <v>0.14334260117392647</v>
      </c>
      <c r="P115" s="152">
        <f t="shared" si="279"/>
        <v>0.13205882352941176</v>
      </c>
      <c r="Q115" s="118">
        <f t="shared" si="216"/>
        <v>8.6508160060035699E-2</v>
      </c>
      <c r="R115" s="20"/>
      <c r="S115" s="152">
        <f t="shared" ref="S115:AB115" si="280">S34/S25</f>
        <v>0.13205882352941176</v>
      </c>
      <c r="T115" s="152">
        <f t="shared" si="280"/>
        <v>0.13205882352941176</v>
      </c>
      <c r="U115" s="152">
        <f t="shared" si="280"/>
        <v>0.13205882352941176</v>
      </c>
      <c r="V115" s="152">
        <f t="shared" si="280"/>
        <v>0.13205882352941176</v>
      </c>
      <c r="W115" s="152">
        <f t="shared" si="280"/>
        <v>0.13205882352941176</v>
      </c>
      <c r="X115" s="152">
        <f t="shared" si="280"/>
        <v>0.13205882352941176</v>
      </c>
      <c r="Y115" s="152">
        <f t="shared" si="280"/>
        <v>0.13205882352941176</v>
      </c>
      <c r="Z115" s="152">
        <f t="shared" si="280"/>
        <v>0.13205882352941178</v>
      </c>
      <c r="AA115" s="152">
        <f t="shared" si="280"/>
        <v>0.13205882352941178</v>
      </c>
      <c r="AB115" s="152">
        <f t="shared" si="280"/>
        <v>0.13205882352941178</v>
      </c>
      <c r="AC115" s="138">
        <f t="shared" si="218"/>
        <v>4.008362647504482E-2</v>
      </c>
      <c r="AD115" s="20"/>
      <c r="AE115" s="20"/>
    </row>
    <row r="116" spans="2:31" x14ac:dyDescent="0.2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128"/>
      <c r="R116" s="128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39"/>
      <c r="AD116" s="20"/>
      <c r="AE116" s="20"/>
    </row>
    <row r="117" spans="2:31" x14ac:dyDescent="0.2">
      <c r="B117" s="108" t="s">
        <v>361</v>
      </c>
      <c r="C117" s="20"/>
      <c r="D117" s="20"/>
      <c r="E117" s="20"/>
      <c r="F117" s="20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118"/>
      <c r="R117" s="128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138"/>
      <c r="AD117" s="20"/>
      <c r="AE117" s="20"/>
    </row>
    <row r="118" spans="2:31" x14ac:dyDescent="0.2">
      <c r="B118" s="20" t="s">
        <v>364</v>
      </c>
      <c r="C118" s="20"/>
      <c r="D118" s="20"/>
      <c r="E118" s="20"/>
      <c r="F118" s="20"/>
      <c r="G118" s="25">
        <f>G15/G9</f>
        <v>1.2029411764705882</v>
      </c>
      <c r="H118" s="25">
        <f t="shared" ref="H118:AB118" si="281">H15/H9</f>
        <v>1.7439446366782008</v>
      </c>
      <c r="I118" s="25">
        <f t="shared" si="281"/>
        <v>0.98523985239852396</v>
      </c>
      <c r="J118" s="25">
        <f t="shared" si="281"/>
        <v>1.6980392156862745</v>
      </c>
      <c r="K118" s="25">
        <f t="shared" si="281"/>
        <v>1.1485714285714286</v>
      </c>
      <c r="L118" s="25">
        <f t="shared" si="281"/>
        <v>1.1107660455486543</v>
      </c>
      <c r="M118" s="25">
        <f t="shared" si="281"/>
        <v>1.3778501628664495</v>
      </c>
      <c r="N118" s="25">
        <f t="shared" si="281"/>
        <v>1.66793893129771</v>
      </c>
      <c r="O118" s="25">
        <f t="shared" si="281"/>
        <v>3.2328086164043084</v>
      </c>
      <c r="P118" s="25">
        <f t="shared" si="281"/>
        <v>1.6551495016611295</v>
      </c>
      <c r="Q118" s="118">
        <f t="shared" si="216"/>
        <v>3.6094108195707353E-2</v>
      </c>
      <c r="R118" s="20"/>
      <c r="S118" s="20">
        <f t="shared" si="281"/>
        <v>1.6551495016611295</v>
      </c>
      <c r="T118" s="20">
        <f t="shared" si="281"/>
        <v>1.6551495016611293</v>
      </c>
      <c r="U118" s="20">
        <f t="shared" si="281"/>
        <v>1.6551495016611295</v>
      </c>
      <c r="V118" s="20">
        <f t="shared" si="281"/>
        <v>1.6551495016611295</v>
      </c>
      <c r="W118" s="20">
        <f t="shared" si="281"/>
        <v>1.6551495016611295</v>
      </c>
      <c r="X118" s="20">
        <f t="shared" si="281"/>
        <v>1.6551495016611293</v>
      </c>
      <c r="Y118" s="20">
        <f t="shared" si="281"/>
        <v>1.6551495016611293</v>
      </c>
      <c r="Z118" s="20">
        <f t="shared" si="281"/>
        <v>1.6551495016611295</v>
      </c>
      <c r="AA118" s="20">
        <f t="shared" si="281"/>
        <v>1.6551495016611295</v>
      </c>
      <c r="AB118" s="20">
        <f t="shared" si="281"/>
        <v>1.6551495016611295</v>
      </c>
      <c r="AC118" s="138">
        <f t="shared" si="218"/>
        <v>1.6937728073201486E-2</v>
      </c>
      <c r="AD118" s="20"/>
      <c r="AE118" s="20"/>
    </row>
    <row r="119" spans="2:31" x14ac:dyDescent="0.2">
      <c r="B119" s="20" t="s">
        <v>354</v>
      </c>
      <c r="C119" s="20"/>
      <c r="D119" s="20"/>
      <c r="E119" s="20"/>
      <c r="F119" s="20"/>
      <c r="G119" s="25">
        <f>G12/G9</f>
        <v>0.72352941176470587</v>
      </c>
      <c r="H119" s="25">
        <f t="shared" ref="H119:P119" si="282">H12/H9</f>
        <v>3.7128027681660898</v>
      </c>
      <c r="I119" s="25">
        <f t="shared" si="282"/>
        <v>5.2287822878228782</v>
      </c>
      <c r="J119" s="25">
        <f t="shared" si="282"/>
        <v>4.5999999999999996</v>
      </c>
      <c r="K119" s="25">
        <f t="shared" si="282"/>
        <v>3.5314285714285716</v>
      </c>
      <c r="L119" s="25">
        <f t="shared" si="282"/>
        <v>2.2956521739130435</v>
      </c>
      <c r="M119" s="25">
        <f t="shared" si="282"/>
        <v>2.8387622149837135</v>
      </c>
      <c r="N119" s="25">
        <f t="shared" si="282"/>
        <v>2.5286259541984735</v>
      </c>
      <c r="O119" s="25">
        <f t="shared" si="282"/>
        <v>2.8657829328914666</v>
      </c>
      <c r="P119" s="25">
        <f t="shared" si="282"/>
        <v>1.3202657807308971</v>
      </c>
      <c r="Q119" s="118">
        <f t="shared" si="216"/>
        <v>6.91109986854479E-2</v>
      </c>
      <c r="R119" s="128"/>
      <c r="S119" s="20">
        <f t="shared" ref="S119:AB119" si="283">S12/S9</f>
        <v>1.3202657807308971</v>
      </c>
      <c r="T119" s="20">
        <f t="shared" si="283"/>
        <v>1.3202657807308971</v>
      </c>
      <c r="U119" s="20">
        <f t="shared" si="283"/>
        <v>1.3202657807308971</v>
      </c>
      <c r="V119" s="20">
        <f t="shared" si="283"/>
        <v>1.3202657807308971</v>
      </c>
      <c r="W119" s="20">
        <f t="shared" si="283"/>
        <v>1.3202657807308971</v>
      </c>
      <c r="X119" s="20">
        <f t="shared" si="283"/>
        <v>1.3202657807308971</v>
      </c>
      <c r="Y119" s="20">
        <f t="shared" si="283"/>
        <v>1.3202657807308971</v>
      </c>
      <c r="Z119" s="20">
        <f t="shared" si="283"/>
        <v>1.3202657807308971</v>
      </c>
      <c r="AA119" s="20">
        <f t="shared" si="283"/>
        <v>1.3202657807308971</v>
      </c>
      <c r="AB119" s="20">
        <f t="shared" si="283"/>
        <v>1.3202657807308968</v>
      </c>
      <c r="AC119" s="118">
        <f t="shared" ref="AC119" si="284">((AB119/S119)^(1/($H$2-$H$1) ))-1</f>
        <v>0</v>
      </c>
      <c r="AD119" s="20"/>
      <c r="AE119" s="20"/>
    </row>
    <row r="120" spans="2:31" x14ac:dyDescent="0.2">
      <c r="B120" s="20" t="s">
        <v>356</v>
      </c>
      <c r="C120" s="20"/>
      <c r="D120" s="20"/>
      <c r="E120" s="20"/>
      <c r="F120" s="20"/>
      <c r="G120" s="25">
        <f>G25/360</f>
        <v>4.083333333333333</v>
      </c>
      <c r="H120" s="25">
        <f t="shared" ref="H120:P120" si="285">H25/360</f>
        <v>6.1</v>
      </c>
      <c r="I120" s="25">
        <f t="shared" si="285"/>
        <v>6.4555555555555557</v>
      </c>
      <c r="J120" s="25">
        <f t="shared" si="285"/>
        <v>6.7138888888888886</v>
      </c>
      <c r="K120" s="25">
        <f t="shared" si="285"/>
        <v>10.45</v>
      </c>
      <c r="L120" s="25">
        <f t="shared" si="285"/>
        <v>11.791666666666666</v>
      </c>
      <c r="M120" s="25">
        <f t="shared" si="285"/>
        <v>8.5638888888888882</v>
      </c>
      <c r="N120" s="25">
        <f t="shared" si="285"/>
        <v>7.375</v>
      </c>
      <c r="O120" s="25">
        <f t="shared" si="285"/>
        <v>8.9916666666666671</v>
      </c>
      <c r="P120" s="25">
        <f t="shared" si="285"/>
        <v>9.4444444444444446</v>
      </c>
      <c r="Q120" s="118">
        <f t="shared" si="216"/>
        <v>9.7646250048769145E-2</v>
      </c>
      <c r="R120" s="128"/>
      <c r="S120" s="25">
        <f t="shared" ref="S120:AB120" si="286">S25/360</f>
        <v>10.011111111111111</v>
      </c>
      <c r="T120" s="25">
        <f t="shared" si="286"/>
        <v>10.611777777777778</v>
      </c>
      <c r="U120" s="25">
        <f t="shared" si="286"/>
        <v>11.248484444444445</v>
      </c>
      <c r="V120" s="25">
        <f t="shared" si="286"/>
        <v>11.923393511111112</v>
      </c>
      <c r="W120" s="25">
        <f t="shared" si="286"/>
        <v>12.638797121777781</v>
      </c>
      <c r="X120" s="25">
        <f t="shared" si="286"/>
        <v>13.397124949084448</v>
      </c>
      <c r="Y120" s="25">
        <f t="shared" si="286"/>
        <v>14.200952446029515</v>
      </c>
      <c r="Z120" s="25">
        <f t="shared" si="286"/>
        <v>15.053009592791286</v>
      </c>
      <c r="AA120" s="25">
        <f t="shared" si="286"/>
        <v>15.956190168358763</v>
      </c>
      <c r="AB120" s="25">
        <f t="shared" si="286"/>
        <v>16.913561578460289</v>
      </c>
      <c r="AC120" s="118">
        <f t="shared" ref="AC120:AC131" si="287">((AB120/S120)^(1/($H$2-$H$1) ))-1</f>
        <v>6.0000000000000053E-2</v>
      </c>
      <c r="AD120" s="20"/>
      <c r="AE120" s="20"/>
    </row>
    <row r="121" spans="2:31" x14ac:dyDescent="0.2">
      <c r="B121" s="20" t="s">
        <v>355</v>
      </c>
      <c r="C121" s="20"/>
      <c r="D121" s="20"/>
      <c r="E121" s="20"/>
      <c r="F121" s="20"/>
      <c r="G121" s="25">
        <f>G27/360</f>
        <v>2.1</v>
      </c>
      <c r="H121" s="25">
        <f t="shared" ref="H121:P121" si="288">H27/360</f>
        <v>2.4694444444444446</v>
      </c>
      <c r="I121" s="25">
        <f t="shared" si="288"/>
        <v>2.125</v>
      </c>
      <c r="J121" s="25">
        <f t="shared" si="288"/>
        <v>2.3888888888888888</v>
      </c>
      <c r="K121" s="25">
        <f t="shared" si="288"/>
        <v>3.2</v>
      </c>
      <c r="L121" s="25">
        <f t="shared" si="288"/>
        <v>4.3583333333333334</v>
      </c>
      <c r="M121" s="25">
        <f t="shared" si="288"/>
        <v>5.2333333333333334</v>
      </c>
      <c r="N121" s="25">
        <f t="shared" si="288"/>
        <v>3.7611111111111111</v>
      </c>
      <c r="O121" s="25">
        <f t="shared" si="288"/>
        <v>5.2027777777777775</v>
      </c>
      <c r="P121" s="25">
        <f t="shared" si="288"/>
        <v>5.1305555555555555</v>
      </c>
      <c r="Q121" s="118">
        <f t="shared" si="216"/>
        <v>0.10434561508195039</v>
      </c>
      <c r="R121" s="128"/>
      <c r="S121" s="25">
        <f t="shared" ref="S121:AB121" si="289">S27/360</f>
        <v>5.4383888888888894</v>
      </c>
      <c r="T121" s="25">
        <f t="shared" si="289"/>
        <v>5.764692222222223</v>
      </c>
      <c r="U121" s="25">
        <f t="shared" si="289"/>
        <v>6.1105737555555573</v>
      </c>
      <c r="V121" s="25">
        <f t="shared" si="289"/>
        <v>6.4772081808888906</v>
      </c>
      <c r="W121" s="25">
        <f t="shared" si="289"/>
        <v>6.865840671742224</v>
      </c>
      <c r="X121" s="25">
        <f t="shared" si="289"/>
        <v>7.2777911120467582</v>
      </c>
      <c r="Y121" s="25">
        <f t="shared" si="289"/>
        <v>7.7144585787695643</v>
      </c>
      <c r="Z121" s="25">
        <f t="shared" si="289"/>
        <v>8.1773260934957381</v>
      </c>
      <c r="AA121" s="25">
        <f t="shared" si="289"/>
        <v>8.6679656591054837</v>
      </c>
      <c r="AB121" s="25">
        <f t="shared" si="289"/>
        <v>9.188043598651813</v>
      </c>
      <c r="AC121" s="118">
        <f t="shared" si="287"/>
        <v>6.0000000000000053E-2</v>
      </c>
      <c r="AD121" s="20"/>
      <c r="AE121" s="20"/>
    </row>
    <row r="122" spans="2:31" x14ac:dyDescent="0.2">
      <c r="B122" s="20"/>
      <c r="C122" s="20"/>
      <c r="D122" s="20"/>
      <c r="E122" s="20"/>
      <c r="F122" s="20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128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128"/>
      <c r="AD122" s="20"/>
      <c r="AE122" s="20"/>
    </row>
    <row r="123" spans="2:31" x14ac:dyDescent="0.2">
      <c r="B123" s="20" t="s">
        <v>365</v>
      </c>
      <c r="C123" s="20"/>
      <c r="D123" s="20"/>
      <c r="E123" s="20"/>
      <c r="F123" s="20"/>
      <c r="G123" s="25">
        <f>G10/G7</f>
        <v>0.97274497079818301</v>
      </c>
      <c r="H123" s="25">
        <f t="shared" ref="H123:P123" si="290">H10/H7</f>
        <v>0.96431838975297346</v>
      </c>
      <c r="I123" s="25">
        <f t="shared" si="290"/>
        <v>0.77520661157024795</v>
      </c>
      <c r="J123" s="25">
        <f t="shared" si="290"/>
        <v>0.72096000000000005</v>
      </c>
      <c r="K123" s="25">
        <f t="shared" si="290"/>
        <v>0.63403371045947821</v>
      </c>
      <c r="L123" s="25">
        <f t="shared" si="290"/>
        <v>0.8151758409785933</v>
      </c>
      <c r="M123" s="25">
        <f t="shared" si="290"/>
        <v>0.94062007356805044</v>
      </c>
      <c r="N123" s="25">
        <f t="shared" si="290"/>
        <v>0.98789386401326695</v>
      </c>
      <c r="O123" s="25">
        <f t="shared" si="290"/>
        <v>0.94580623645155915</v>
      </c>
      <c r="P123" s="25">
        <f t="shared" si="290"/>
        <v>0.8971771014035641</v>
      </c>
      <c r="Q123" s="118">
        <f t="shared" si="216"/>
        <v>-8.9451587297012525E-3</v>
      </c>
      <c r="R123" s="128"/>
      <c r="S123" s="25">
        <f t="shared" ref="S123:AB123" si="291">S10/S7</f>
        <v>0.8971771014035641</v>
      </c>
      <c r="T123" s="25">
        <f t="shared" si="291"/>
        <v>0.8971771014035641</v>
      </c>
      <c r="U123" s="25">
        <f t="shared" si="291"/>
        <v>0.89717710140356421</v>
      </c>
      <c r="V123" s="25">
        <f t="shared" si="291"/>
        <v>0.89717710140356421</v>
      </c>
      <c r="W123" s="25">
        <f t="shared" si="291"/>
        <v>0.89717710140356433</v>
      </c>
      <c r="X123" s="25">
        <f t="shared" si="291"/>
        <v>0.89717710140356433</v>
      </c>
      <c r="Y123" s="25">
        <f t="shared" si="291"/>
        <v>0.89717710140356421</v>
      </c>
      <c r="Z123" s="25">
        <f t="shared" si="291"/>
        <v>0.89717710140356433</v>
      </c>
      <c r="AA123" s="25">
        <f t="shared" si="291"/>
        <v>0.89717710140356444</v>
      </c>
      <c r="AB123" s="25">
        <f t="shared" si="291"/>
        <v>0.89717710140356444</v>
      </c>
      <c r="AC123" s="118">
        <f t="shared" si="287"/>
        <v>0</v>
      </c>
      <c r="AD123" s="20"/>
      <c r="AE123" s="20"/>
    </row>
    <row r="124" spans="2:31" x14ac:dyDescent="0.2">
      <c r="B124" s="20" t="s">
        <v>357</v>
      </c>
      <c r="C124" s="20"/>
      <c r="D124" s="20"/>
      <c r="E124" s="20"/>
      <c r="F124" s="20"/>
      <c r="G124" s="25">
        <f>G10/(G10+G7)</f>
        <v>0.49309210526315789</v>
      </c>
      <c r="H124" s="25">
        <f t="shared" ref="H124:P124" si="292">H10/(H10+H7)</f>
        <v>0.49091755938518866</v>
      </c>
      <c r="I124" s="25">
        <f t="shared" si="292"/>
        <v>0.43668528864059591</v>
      </c>
      <c r="J124" s="25">
        <f t="shared" si="292"/>
        <v>0.41892896987727779</v>
      </c>
      <c r="K124" s="25">
        <f t="shared" si="292"/>
        <v>0.3880175215486788</v>
      </c>
      <c r="L124" s="25">
        <f t="shared" si="292"/>
        <v>0.44908918605875542</v>
      </c>
      <c r="M124" s="25">
        <f t="shared" si="292"/>
        <v>0.48470078526942867</v>
      </c>
      <c r="N124" s="25">
        <f t="shared" si="292"/>
        <v>0.49695503462083923</v>
      </c>
      <c r="O124" s="25">
        <f t="shared" si="292"/>
        <v>0.48607421372868281</v>
      </c>
      <c r="P124" s="25">
        <f t="shared" si="292"/>
        <v>0.47290108063175396</v>
      </c>
      <c r="Q124" s="118">
        <f t="shared" si="216"/>
        <v>-4.634753773361866E-3</v>
      </c>
      <c r="R124" s="128"/>
      <c r="S124" s="25">
        <f t="shared" ref="S124:AB124" si="293">S10/(S10+S7)</f>
        <v>0.47290108063175401</v>
      </c>
      <c r="T124" s="25">
        <f t="shared" si="293"/>
        <v>0.47290108063175396</v>
      </c>
      <c r="U124" s="25">
        <f t="shared" si="293"/>
        <v>0.47290108063175401</v>
      </c>
      <c r="V124" s="25">
        <f t="shared" si="293"/>
        <v>0.47290108063175396</v>
      </c>
      <c r="W124" s="25">
        <f t="shared" si="293"/>
        <v>0.47290108063175401</v>
      </c>
      <c r="X124" s="25">
        <f t="shared" si="293"/>
        <v>0.47290108063175396</v>
      </c>
      <c r="Y124" s="25">
        <f t="shared" si="293"/>
        <v>0.4729010806317539</v>
      </c>
      <c r="Z124" s="25">
        <f t="shared" si="293"/>
        <v>0.47290108063175396</v>
      </c>
      <c r="AA124" s="25">
        <f t="shared" si="293"/>
        <v>0.47290108063175401</v>
      </c>
      <c r="AB124" s="25">
        <f t="shared" si="293"/>
        <v>0.47290108063175401</v>
      </c>
      <c r="AC124" s="118">
        <f t="shared" si="287"/>
        <v>0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128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37"/>
      <c r="AD125" s="20"/>
      <c r="AE125" s="20"/>
    </row>
    <row r="126" spans="2:31" x14ac:dyDescent="0.2">
      <c r="B126" s="20" t="s">
        <v>362</v>
      </c>
      <c r="C126" s="20"/>
      <c r="D126" s="20"/>
      <c r="E126" s="20"/>
      <c r="F126" s="20"/>
      <c r="G126" s="25">
        <f>G16</f>
        <v>73</v>
      </c>
      <c r="H126" s="25">
        <f t="shared" ref="H126:P126" si="294">H16</f>
        <v>1049</v>
      </c>
      <c r="I126" s="25">
        <f t="shared" si="294"/>
        <v>1265</v>
      </c>
      <c r="J126" s="25">
        <f t="shared" si="294"/>
        <v>1181</v>
      </c>
      <c r="K126" s="25">
        <f t="shared" si="294"/>
        <v>1080</v>
      </c>
      <c r="L126" s="25">
        <f t="shared" si="294"/>
        <v>1615</v>
      </c>
      <c r="M126" s="25">
        <f t="shared" si="294"/>
        <v>1397</v>
      </c>
      <c r="N126" s="25">
        <f t="shared" si="294"/>
        <v>1142</v>
      </c>
      <c r="O126" s="25">
        <f t="shared" si="294"/>
        <v>2206</v>
      </c>
      <c r="P126" s="25">
        <f t="shared" si="294"/>
        <v>301</v>
      </c>
      <c r="Q126" s="118">
        <f t="shared" si="216"/>
        <v>0.17047031546390734</v>
      </c>
      <c r="R126" s="128"/>
      <c r="S126" s="25">
        <f t="shared" ref="S126:AB126" si="295">S16</f>
        <v>319.06</v>
      </c>
      <c r="T126" s="25">
        <f t="shared" si="295"/>
        <v>338.20359999999999</v>
      </c>
      <c r="U126" s="25">
        <f t="shared" si="295"/>
        <v>358.49581599999999</v>
      </c>
      <c r="V126" s="25">
        <f t="shared" si="295"/>
        <v>380.00556496000002</v>
      </c>
      <c r="W126" s="25">
        <f t="shared" si="295"/>
        <v>402.80589885760003</v>
      </c>
      <c r="X126" s="25">
        <f t="shared" si="295"/>
        <v>426.97425278905604</v>
      </c>
      <c r="Y126" s="25">
        <f t="shared" si="295"/>
        <v>452.59270795639941</v>
      </c>
      <c r="Z126" s="25">
        <f t="shared" si="295"/>
        <v>479.74827043378338</v>
      </c>
      <c r="AA126" s="25">
        <f t="shared" si="295"/>
        <v>508.53316665981038</v>
      </c>
      <c r="AB126" s="25">
        <f t="shared" si="295"/>
        <v>539.04515665939903</v>
      </c>
      <c r="AC126" s="118">
        <f t="shared" si="287"/>
        <v>6.0000000000000053E-2</v>
      </c>
      <c r="AD126" s="20"/>
      <c r="AE126" s="20"/>
    </row>
    <row r="127" spans="2:31" x14ac:dyDescent="0.2">
      <c r="B127" s="20" t="s">
        <v>363</v>
      </c>
      <c r="C127" s="20"/>
      <c r="D127" s="20"/>
      <c r="E127" s="20"/>
      <c r="F127" s="20"/>
      <c r="G127" s="119">
        <f t="shared" ref="G127:P127" si="296">G126*365/G25</f>
        <v>18.125850340136054</v>
      </c>
      <c r="H127" s="119">
        <f t="shared" si="296"/>
        <v>174.35564663023681</v>
      </c>
      <c r="I127" s="119">
        <f t="shared" si="296"/>
        <v>198.67685025817556</v>
      </c>
      <c r="J127" s="119">
        <f t="shared" si="296"/>
        <v>178.34712453454696</v>
      </c>
      <c r="K127" s="119">
        <f t="shared" si="296"/>
        <v>104.7846889952153</v>
      </c>
      <c r="L127" s="119">
        <f t="shared" si="296"/>
        <v>138.86336866902238</v>
      </c>
      <c r="M127" s="119">
        <f t="shared" si="296"/>
        <v>165.39247486214725</v>
      </c>
      <c r="N127" s="119">
        <f t="shared" si="296"/>
        <v>156.99811676082862</v>
      </c>
      <c r="O127" s="119">
        <f t="shared" si="296"/>
        <v>248.74575223972815</v>
      </c>
      <c r="P127" s="119">
        <f t="shared" si="296"/>
        <v>32.313235294117646</v>
      </c>
      <c r="Q127" s="118">
        <f t="shared" si="216"/>
        <v>6.6345660463835721E-2</v>
      </c>
      <c r="R127" s="128"/>
      <c r="S127" s="119">
        <f t="shared" ref="S127:AB127" si="297">S126*365/S25</f>
        <v>32.313235294117646</v>
      </c>
      <c r="T127" s="119">
        <f t="shared" si="297"/>
        <v>32.313235294117646</v>
      </c>
      <c r="U127" s="119">
        <f t="shared" si="297"/>
        <v>32.313235294117646</v>
      </c>
      <c r="V127" s="119">
        <f t="shared" si="297"/>
        <v>32.313235294117646</v>
      </c>
      <c r="W127" s="119">
        <f t="shared" si="297"/>
        <v>32.313235294117646</v>
      </c>
      <c r="X127" s="119">
        <f t="shared" si="297"/>
        <v>32.313235294117639</v>
      </c>
      <c r="Y127" s="119">
        <f t="shared" si="297"/>
        <v>32.313235294117639</v>
      </c>
      <c r="Z127" s="119">
        <f t="shared" si="297"/>
        <v>32.313235294117646</v>
      </c>
      <c r="AA127" s="119">
        <f t="shared" si="297"/>
        <v>32.313235294117646</v>
      </c>
      <c r="AB127" s="119">
        <f t="shared" si="297"/>
        <v>32.313235294117646</v>
      </c>
      <c r="AC127" s="118">
        <f t="shared" si="287"/>
        <v>0</v>
      </c>
      <c r="AD127" s="20"/>
      <c r="AE127" s="20"/>
    </row>
    <row r="128" spans="2:31" x14ac:dyDescent="0.2">
      <c r="B128" s="20" t="s">
        <v>366</v>
      </c>
      <c r="C128" s="20"/>
      <c r="D128" s="20"/>
      <c r="E128" s="20"/>
      <c r="F128" s="20"/>
      <c r="G128" s="133">
        <f>G75/G29</f>
        <v>0.70393238745839903</v>
      </c>
      <c r="H128" s="133">
        <f t="shared" ref="H128:P128" si="298">H75/H29</f>
        <v>0.33816254128332957</v>
      </c>
      <c r="I128" s="133">
        <f t="shared" si="298"/>
        <v>0.24760486163372417</v>
      </c>
      <c r="J128" s="133">
        <f t="shared" si="298"/>
        <v>0.24568035573762464</v>
      </c>
      <c r="K128" s="133">
        <f t="shared" si="298"/>
        <v>0.17236150953129517</v>
      </c>
      <c r="L128" s="133">
        <f t="shared" si="298"/>
        <v>0.19236672288500073</v>
      </c>
      <c r="M128" s="133">
        <f t="shared" si="298"/>
        <v>0.30044200215028072</v>
      </c>
      <c r="N128" s="133">
        <f t="shared" si="298"/>
        <v>0.26597556820947099</v>
      </c>
      <c r="O128" s="133">
        <f t="shared" si="298"/>
        <v>0.16252852894391037</v>
      </c>
      <c r="P128" s="133">
        <f t="shared" si="298"/>
        <v>0.22136570607829353</v>
      </c>
      <c r="Q128" s="118">
        <f t="shared" si="216"/>
        <v>-0.12062221906669857</v>
      </c>
      <c r="R128" s="128"/>
      <c r="S128" s="133">
        <f t="shared" ref="S128:AB128" si="299">S75/S29</f>
        <v>0.14757713738552899</v>
      </c>
      <c r="T128" s="133">
        <f t="shared" si="299"/>
        <v>0.14757713738552902</v>
      </c>
      <c r="U128" s="133">
        <f t="shared" si="299"/>
        <v>0.14757713738552902</v>
      </c>
      <c r="V128" s="133">
        <f t="shared" si="299"/>
        <v>0.14757713738552902</v>
      </c>
      <c r="W128" s="133">
        <f t="shared" si="299"/>
        <v>0.14757713738552905</v>
      </c>
      <c r="X128" s="133">
        <f t="shared" si="299"/>
        <v>0.14757713738552902</v>
      </c>
      <c r="Y128" s="133">
        <f t="shared" si="299"/>
        <v>0.14757713738552902</v>
      </c>
      <c r="Z128" s="133">
        <f t="shared" si="299"/>
        <v>0.14757713738552902</v>
      </c>
      <c r="AA128" s="133">
        <f t="shared" si="299"/>
        <v>0.14757713738552905</v>
      </c>
      <c r="AB128" s="133">
        <f t="shared" si="299"/>
        <v>0.14757713738552905</v>
      </c>
      <c r="AC128" s="118">
        <f t="shared" si="287"/>
        <v>0</v>
      </c>
      <c r="AD128" s="20"/>
      <c r="AE128" s="20"/>
    </row>
    <row r="129" spans="2:31" x14ac:dyDescent="0.2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128"/>
      <c r="R129" s="128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373</v>
      </c>
      <c r="C130" s="20"/>
      <c r="D130" s="20"/>
      <c r="E130" s="20"/>
      <c r="F130" s="20"/>
      <c r="G130" s="180">
        <f>G25/G14</f>
        <v>28.823529411764707</v>
      </c>
      <c r="H130" s="180">
        <f t="shared" ref="H130:P130" si="300">H25/H14</f>
        <v>69.493670886075947</v>
      </c>
      <c r="I130" s="180">
        <f t="shared" si="300"/>
        <v>62.810810810810814</v>
      </c>
      <c r="J130" s="180">
        <f t="shared" si="300"/>
        <v>65.324324324324323</v>
      </c>
      <c r="K130" s="180">
        <f t="shared" si="300"/>
        <v>61.672131147540981</v>
      </c>
      <c r="L130" s="180">
        <f t="shared" si="300"/>
        <v>58.150684931506852</v>
      </c>
      <c r="M130" s="180">
        <f t="shared" si="300"/>
        <v>35.848837209302324</v>
      </c>
      <c r="N130" s="180">
        <f t="shared" si="300"/>
        <v>25.776699029126213</v>
      </c>
      <c r="O130" s="180">
        <f t="shared" si="300"/>
        <v>28.646017699115045</v>
      </c>
      <c r="P130" s="180">
        <f t="shared" si="300"/>
        <v>25.563909774436091</v>
      </c>
      <c r="Q130" s="118">
        <f t="shared" si="216"/>
        <v>-1.3245985532487237E-2</v>
      </c>
      <c r="R130" s="128"/>
      <c r="S130" s="20">
        <f t="shared" ref="S130" si="301">S25/S14</f>
        <v>25.563909774436087</v>
      </c>
      <c r="T130" s="20">
        <f t="shared" ref="T130:AB130" si="302">T25/T14</f>
        <v>25.563909774436091</v>
      </c>
      <c r="U130" s="20">
        <f t="shared" si="302"/>
        <v>25.563909774436091</v>
      </c>
      <c r="V130" s="20">
        <f t="shared" si="302"/>
        <v>25.563909774436087</v>
      </c>
      <c r="W130" s="20">
        <f t="shared" si="302"/>
        <v>25.563909774436087</v>
      </c>
      <c r="X130" s="20">
        <f t="shared" si="302"/>
        <v>25.563909774436091</v>
      </c>
      <c r="Y130" s="20">
        <f t="shared" si="302"/>
        <v>25.563909774436087</v>
      </c>
      <c r="Z130" s="20">
        <f t="shared" si="302"/>
        <v>25.563909774436084</v>
      </c>
      <c r="AA130" s="20">
        <f t="shared" si="302"/>
        <v>25.563909774436084</v>
      </c>
      <c r="AB130" s="20">
        <f t="shared" si="302"/>
        <v>25.56390977443608</v>
      </c>
      <c r="AC130" s="118">
        <f t="shared" si="287"/>
        <v>0</v>
      </c>
      <c r="AD130" s="20"/>
      <c r="AE130" s="20"/>
    </row>
    <row r="131" spans="2:31" x14ac:dyDescent="0.2">
      <c r="B131" s="20" t="s">
        <v>374</v>
      </c>
      <c r="C131" s="20"/>
      <c r="D131" s="20"/>
      <c r="E131" s="20"/>
      <c r="F131" s="20"/>
      <c r="G131" s="180">
        <f>G27/G14</f>
        <v>14.823529411764707</v>
      </c>
      <c r="H131" s="180">
        <f t="shared" ref="H131:P131" si="303">H27/H14</f>
        <v>28.132911392405063</v>
      </c>
      <c r="I131" s="180">
        <f t="shared" si="303"/>
        <v>20.675675675675677</v>
      </c>
      <c r="J131" s="180">
        <f t="shared" si="303"/>
        <v>23.243243243243242</v>
      </c>
      <c r="K131" s="180">
        <f t="shared" si="303"/>
        <v>18.885245901639344</v>
      </c>
      <c r="L131" s="180">
        <f t="shared" si="303"/>
        <v>21.493150684931507</v>
      </c>
      <c r="M131" s="180">
        <f t="shared" si="303"/>
        <v>21.906976744186046</v>
      </c>
      <c r="N131" s="180">
        <f t="shared" si="303"/>
        <v>13.145631067961165</v>
      </c>
      <c r="O131" s="180">
        <f t="shared" si="303"/>
        <v>16.575221238938052</v>
      </c>
      <c r="P131" s="180">
        <f t="shared" si="303"/>
        <v>13.887218045112782</v>
      </c>
      <c r="Q131" s="118">
        <f t="shared" si="216"/>
        <v>-7.2234392516786761E-3</v>
      </c>
      <c r="R131" s="128"/>
      <c r="S131" s="20">
        <f t="shared" ref="S131:AB131" si="304">S27/S14</f>
        <v>13.887218045112782</v>
      </c>
      <c r="T131" s="20">
        <f t="shared" si="304"/>
        <v>13.887218045112782</v>
      </c>
      <c r="U131" s="20">
        <f t="shared" si="304"/>
        <v>13.887218045112784</v>
      </c>
      <c r="V131" s="20">
        <f t="shared" si="304"/>
        <v>13.887218045112784</v>
      </c>
      <c r="W131" s="20">
        <f t="shared" si="304"/>
        <v>13.887218045112782</v>
      </c>
      <c r="X131" s="20">
        <f t="shared" si="304"/>
        <v>13.887218045112784</v>
      </c>
      <c r="Y131" s="20">
        <f t="shared" si="304"/>
        <v>13.887218045112784</v>
      </c>
      <c r="Z131" s="20">
        <f t="shared" si="304"/>
        <v>13.887218045112782</v>
      </c>
      <c r="AA131" s="20">
        <f t="shared" si="304"/>
        <v>13.887218045112782</v>
      </c>
      <c r="AB131" s="20">
        <f t="shared" si="304"/>
        <v>13.887218045112782</v>
      </c>
      <c r="AC131" s="118">
        <f t="shared" si="287"/>
        <v>0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37"/>
      <c r="AD132" s="20"/>
      <c r="AE132" s="20"/>
    </row>
    <row r="133" spans="2:31" x14ac:dyDescent="0.2">
      <c r="B133" s="108" t="s">
        <v>244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3"/>
      <c r="R133" s="23"/>
      <c r="S133" s="122" t="s">
        <v>66</v>
      </c>
      <c r="T133" s="20"/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 x14ac:dyDescent="0.2">
      <c r="B134" s="23" t="s">
        <v>280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5"/>
      <c r="Q134" s="160">
        <f>AVERAGE(G49:P49)</f>
        <v>47.668737307370677</v>
      </c>
      <c r="R134" s="23"/>
      <c r="S134" s="134"/>
      <c r="T134" s="20"/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 x14ac:dyDescent="0.2">
      <c r="B135" s="20" t="s">
        <v>25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>
        <f>S135+T135</f>
        <v>59.360033666020307</v>
      </c>
      <c r="S135" s="133">
        <f>PV($C$1, ($AB$3-$S$3), 0, -AB49)</f>
        <v>9.0549203897319099</v>
      </c>
      <c r="T135" s="133">
        <f>PV($C$1, ($AB$3-$S$3), 0, -AE49)</f>
        <v>50.305113276288395</v>
      </c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 x14ac:dyDescent="0.2">
      <c r="B136" s="20" t="s">
        <v>272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ref="R136:R154" si="305">S136+T136</f>
        <v>735.1601044457708</v>
      </c>
      <c r="S136" s="133">
        <f>PV($C$1, ($AB$3-$S$3), 0, -AB51)</f>
        <v>112.14306677986333</v>
      </c>
      <c r="T136" s="133">
        <f>PV($C$1, ($AB$3-$S$3), 0, -AE51)</f>
        <v>623.01703766590742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0" t="s">
        <v>273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si="305"/>
        <v>717.53759445117089</v>
      </c>
      <c r="S137" s="133">
        <f>PV($C$1, ($AB$3-$S$3), 0, -AB52)</f>
        <v>109.45488728916166</v>
      </c>
      <c r="T137" s="133">
        <f>PV($C$1, ($AB$3-$S$3), 0, -AE52)</f>
        <v>608.08270716200923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274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 t="shared" si="305"/>
        <v>659.56881157419832</v>
      </c>
      <c r="S138" s="133">
        <f>PV($C$1, ($AB$3-$S$3), 0, -AB53)</f>
        <v>100.61219159606415</v>
      </c>
      <c r="T138" s="133">
        <f>PV($C$1, ($AB$3-$S$3), 0, -AE53)</f>
        <v>558.9566199781342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275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si="305"/>
        <v>230.36794315309044</v>
      </c>
      <c r="S139" s="133">
        <f>PV($C$1, ($AB$3-$S$3), 0, -AB59)</f>
        <v>35.140872684369725</v>
      </c>
      <c r="T139" s="133">
        <f>PV($C$1, ($AB$3-$S$3), 0, -AE59)</f>
        <v>195.22707046872071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/>
      <c r="S140" s="133"/>
      <c r="T140" s="20"/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305"/>
        <v>75.591292871572449</v>
      </c>
      <c r="S141" s="133">
        <f>PV($C$1, ($AB$3-$S$3), 0, -AB55)</f>
        <v>11.530875183799187</v>
      </c>
      <c r="T141" s="133">
        <f>PV($C$1, ($AB$3-$S$3), 0, -$AE$55)</f>
        <v>64.060417687773267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271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305"/>
        <v>-98.894743588116114</v>
      </c>
      <c r="S142" s="133">
        <f>PV($C$1, ($AB$3-$S$3), 0, -AB56)</f>
        <v>-15.085638852424491</v>
      </c>
      <c r="T142" s="133">
        <f>PV($C$1, ($AB$3-$S$3), 0, -$AE$56)</f>
        <v>-83.809104735691619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 t="s">
        <v>276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si="305"/>
        <v>189.90573270496307</v>
      </c>
      <c r="S143" s="133">
        <f>PV($C$1, ($AB$3-$S$3), 0, -AB57)</f>
        <v>28.968671090587588</v>
      </c>
      <c r="T143" s="133">
        <f>PV($C$1, ($AB$3-$S$3), 0, -$AE$57)</f>
        <v>160.93706161437549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20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249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05"/>
        <v>288.80047629307921</v>
      </c>
      <c r="S145" s="133">
        <f>PV($C$1, ($AB$3-$S$3), 0, -AB62)</f>
        <v>44.054309943012079</v>
      </c>
      <c r="T145" s="133">
        <f>PV($C$1, ($AB$3-$S$3), 0, -AE62)</f>
        <v>244.74616635006714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250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05"/>
        <v>34.897207291937704</v>
      </c>
      <c r="S146" s="133">
        <f>PV($C$1, ($AB$3-$S$3), 0, -AB63)</f>
        <v>5.3233028072447341</v>
      </c>
      <c r="T146" s="133">
        <f>PV($C$1, ($AB$3-$S$3), 0, -AE63)</f>
        <v>29.573904484692971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133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293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ref="R148" si="306">S148+T148</f>
        <v>5259.3001421850558</v>
      </c>
      <c r="S148" s="133">
        <f>PV($C$1, ($AB$3-$S$3), 0, -AB12)</f>
        <v>802.26612338416101</v>
      </c>
      <c r="T148" s="133">
        <f>PV($C$1, ($AB$3-$S$3), 0, -AE12)</f>
        <v>4457.034018800895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294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>S149+T149</f>
        <v>345.55191472963571</v>
      </c>
      <c r="S149" s="140">
        <f>S148/P42</f>
        <v>52.711309026554595</v>
      </c>
      <c r="T149" s="140">
        <f>T148/P42</f>
        <v>292.84060570308111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40"/>
      <c r="T150" s="140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108" t="s">
        <v>297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282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 t="shared" ref="R152" si="307">S152+T152</f>
        <v>59.933892316408929</v>
      </c>
      <c r="S152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48.482655130916804</v>
      </c>
      <c r="T152" s="133">
        <f>PV($C$1, ($AB$3-$S$3), 0, -AE65)</f>
        <v>11.451237185492127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3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33"/>
      <c r="T153" s="133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20" t="s">
        <v>290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>
        <f t="shared" si="305"/>
        <v>10483.821398639266</v>
      </c>
      <c r="S154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8480.7356518908018</v>
      </c>
      <c r="T154" s="133">
        <f>PV($C$1, ($AB$3-$S$3), 0, -AE67)</f>
        <v>2003.0857467484645</v>
      </c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/>
      <c r="S155" s="133"/>
      <c r="T155" s="133"/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0" t="s">
        <v>286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>
        <f t="shared" ref="R156:R159" si="308">S156+T156</f>
        <v>459.21250103544753</v>
      </c>
      <c r="S156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371.4733093250461</v>
      </c>
      <c r="T156" s="133">
        <f>PV($C$1, ($AB$3-$S$3), 0, -AE69)</f>
        <v>87.739191710401428</v>
      </c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287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08"/>
        <v>257.11786172197503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207.99177453809966</v>
      </c>
      <c r="T157" s="133">
        <f>PV($C$1, ($AB$3-$S$3), 0, -AE70)</f>
        <v>49.126087183875377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 t="s">
        <v>288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>
        <f t="shared" si="308"/>
        <v>202.09463931347244</v>
      </c>
      <c r="S158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163.48153478694638</v>
      </c>
      <c r="T158" s="133">
        <f>PV($C$1, ($AB$3-$S$3), 0, -AE71)</f>
        <v>38.613104526526058</v>
      </c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289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si="308"/>
        <v>-365.10736364520471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-295.34831984410164</v>
      </c>
      <c r="T159" s="133">
        <f>PV($C$1, ($AB$3-$S$3), 0, -AE72)</f>
        <v>-69.759043801103047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/>
      <c r="S160" s="133"/>
      <c r="T160" s="133"/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298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>S161+T161</f>
        <v>414.9882288192677</v>
      </c>
      <c r="S161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335.69872410449284</v>
      </c>
      <c r="T161" s="133">
        <f>PV($C$1, ($AB$3-$S$3), 0, -AE73)</f>
        <v>79.28950471477485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183">
        <v>41729</v>
      </c>
      <c r="P162" s="20">
        <v>225</v>
      </c>
      <c r="Q162" s="20"/>
      <c r="R162" s="20"/>
      <c r="S162" s="121"/>
      <c r="T162" s="20"/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108" t="s">
        <v>251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3" t="s">
        <v>389</v>
      </c>
      <c r="P163" s="20">
        <v>308</v>
      </c>
      <c r="Q163" s="20" t="s">
        <v>391</v>
      </c>
      <c r="R163" s="23" t="s">
        <v>390</v>
      </c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204</v>
      </c>
      <c r="C164" s="22">
        <v>0</v>
      </c>
      <c r="D164" s="22">
        <v>0</v>
      </c>
      <c r="E164" s="22">
        <v>0</v>
      </c>
      <c r="F164" s="22">
        <v>0</v>
      </c>
      <c r="G164" s="22">
        <v>130</v>
      </c>
      <c r="H164" s="22">
        <v>155</v>
      </c>
      <c r="I164" s="22">
        <v>250</v>
      </c>
      <c r="J164" s="22">
        <v>185</v>
      </c>
      <c r="K164" s="22">
        <v>310</v>
      </c>
      <c r="L164" s="22">
        <v>150</v>
      </c>
      <c r="M164" s="22">
        <v>285</v>
      </c>
      <c r="N164" s="22">
        <v>250</v>
      </c>
      <c r="O164" s="22">
        <v>235</v>
      </c>
      <c r="P164" s="22">
        <v>200</v>
      </c>
      <c r="Q164" s="118">
        <f t="shared" ref="Q164:Q169" si="309">((P164/G164)^(1/($H$2-$H$1) ))-1</f>
        <v>4.9028783948444454E-2</v>
      </c>
      <c r="R164" s="31">
        <f>L2-3%</f>
        <v>0.03</v>
      </c>
      <c r="S164" s="119">
        <f t="shared" ref="S164" si="310">P164*(1+$R164)</f>
        <v>206</v>
      </c>
      <c r="T164" s="119">
        <f t="shared" ref="T164:AB164" si="311">S164*(1+$R164)</f>
        <v>212.18</v>
      </c>
      <c r="U164" s="119">
        <f t="shared" si="311"/>
        <v>218.5454</v>
      </c>
      <c r="V164" s="119">
        <f t="shared" si="311"/>
        <v>225.10176200000001</v>
      </c>
      <c r="W164" s="119">
        <f t="shared" si="311"/>
        <v>231.85481486</v>
      </c>
      <c r="X164" s="119">
        <f t="shared" si="311"/>
        <v>238.81045930580001</v>
      </c>
      <c r="Y164" s="119">
        <f t="shared" si="311"/>
        <v>245.974773084974</v>
      </c>
      <c r="Z164" s="119">
        <f t="shared" si="311"/>
        <v>253.35401627752324</v>
      </c>
      <c r="AA164" s="119">
        <f t="shared" si="311"/>
        <v>260.95463676584893</v>
      </c>
      <c r="AB164" s="119">
        <f t="shared" si="311"/>
        <v>268.78327586882443</v>
      </c>
      <c r="AC164" s="138">
        <f t="shared" ref="AC164:AC169" si="312">((AB164/G164)^(1/($AB$3-$H$1) ))-1</f>
        <v>3.8970219858698529E-2</v>
      </c>
      <c r="AD164" s="31">
        <v>0.08</v>
      </c>
      <c r="AE164" s="127">
        <f t="shared" ref="AE164:AE172" si="313">(AB164*(1+AC164))/($C$1-AD164)</f>
        <v>2792.5781922377378</v>
      </c>
    </row>
    <row r="165" spans="2:31" x14ac:dyDescent="0.2">
      <c r="B165" s="20" t="s">
        <v>360</v>
      </c>
      <c r="C165" s="25" t="e">
        <f t="shared" ref="C165:P165" si="314">C164/C46</f>
        <v>#DIV/0!</v>
      </c>
      <c r="D165" s="25" t="e">
        <f t="shared" si="314"/>
        <v>#DIV/0!</v>
      </c>
      <c r="E165" s="25" t="e">
        <f t="shared" si="314"/>
        <v>#DIV/0!</v>
      </c>
      <c r="F165" s="25" t="e">
        <f t="shared" si="314"/>
        <v>#DIV/0!</v>
      </c>
      <c r="G165" s="25">
        <f t="shared" si="314"/>
        <v>1.6829251700680272</v>
      </c>
      <c r="H165" s="25">
        <f t="shared" si="314"/>
        <v>1.3431921675774134</v>
      </c>
      <c r="I165" s="25">
        <f t="shared" si="314"/>
        <v>1.6372633390705682</v>
      </c>
      <c r="J165" s="25">
        <f t="shared" si="314"/>
        <v>1.1649565577161771</v>
      </c>
      <c r="K165" s="25">
        <f t="shared" si="314"/>
        <v>1.2541733120680489</v>
      </c>
      <c r="L165" s="25">
        <f t="shared" si="314"/>
        <v>0.53780918727915195</v>
      </c>
      <c r="M165" s="25">
        <f t="shared" si="314"/>
        <v>1.4069737268893936</v>
      </c>
      <c r="N165" s="25">
        <f t="shared" si="314"/>
        <v>1.4331450094161959</v>
      </c>
      <c r="O165" s="25">
        <f t="shared" si="314"/>
        <v>1.1049428483163424</v>
      </c>
      <c r="P165" s="25">
        <f t="shared" si="314"/>
        <v>0.8952941176470588</v>
      </c>
      <c r="Q165" s="118">
        <f t="shared" ref="Q165" si="315">((P165/G165)^(1/($H$2-$H$1) ))-1</f>
        <v>-6.7723907439082742E-2</v>
      </c>
      <c r="R165" s="128"/>
      <c r="S165" s="25">
        <f t="shared" ref="S165:AB165" si="316">S164/S46</f>
        <v>1.3049334073251944</v>
      </c>
      <c r="T165" s="25">
        <f t="shared" si="316"/>
        <v>1.2680013297593868</v>
      </c>
      <c r="U165" s="25">
        <f t="shared" si="316"/>
        <v>1.2321144996718569</v>
      </c>
      <c r="V165" s="25">
        <f t="shared" si="316"/>
        <v>1.1972433345868045</v>
      </c>
      <c r="W165" s="25">
        <f t="shared" si="316"/>
        <v>1.1633590892683099</v>
      </c>
      <c r="X165" s="25">
        <f t="shared" si="316"/>
        <v>1.130433832024867</v>
      </c>
      <c r="Y165" s="25">
        <f t="shared" si="316"/>
        <v>1.0984404216845407</v>
      </c>
      <c r="Z165" s="25">
        <f t="shared" si="316"/>
        <v>1.0673524852217708</v>
      </c>
      <c r="AA165" s="25">
        <f t="shared" si="316"/>
        <v>1.037144396017381</v>
      </c>
      <c r="AB165" s="25">
        <f t="shared" si="316"/>
        <v>1.0077912527338704</v>
      </c>
      <c r="AC165" s="138">
        <f t="shared" ref="AC165" si="317">((AB165/G165)^(1/($AB$3-$H$1) ))-1</f>
        <v>-2.6627098272252736E-2</v>
      </c>
      <c r="AD165" s="31">
        <v>0.08</v>
      </c>
      <c r="AE165" s="127">
        <f t="shared" ref="AE165" si="318">(AB165*(1+AC165))/($C$1-AD165)</f>
        <v>9.8095669600940898</v>
      </c>
    </row>
    <row r="166" spans="2:31" x14ac:dyDescent="0.2">
      <c r="B166" s="20" t="s">
        <v>388</v>
      </c>
      <c r="C166" s="25" t="e">
        <f t="shared" ref="C166:P166" si="319">C164/C49</f>
        <v>#DIV/0!</v>
      </c>
      <c r="D166" s="25" t="e">
        <f t="shared" si="319"/>
        <v>#DIV/0!</v>
      </c>
      <c r="E166" s="25" t="e">
        <f t="shared" si="319"/>
        <v>#DIV/0!</v>
      </c>
      <c r="F166" s="25" t="e">
        <f t="shared" si="319"/>
        <v>#DIV/0!</v>
      </c>
      <c r="G166" s="25">
        <f t="shared" si="319"/>
        <v>12.3695</v>
      </c>
      <c r="H166" s="25">
        <f t="shared" si="319"/>
        <v>3.5198687350835325</v>
      </c>
      <c r="I166" s="25">
        <f t="shared" si="319"/>
        <v>4.4712103407755581</v>
      </c>
      <c r="J166" s="25">
        <f t="shared" si="319"/>
        <v>3.0873903508771932</v>
      </c>
      <c r="K166" s="25">
        <f t="shared" si="319"/>
        <v>3.247212663454921</v>
      </c>
      <c r="L166" s="25">
        <f t="shared" si="319"/>
        <v>1.6226012793176972</v>
      </c>
      <c r="M166" s="25">
        <f t="shared" si="319"/>
        <v>8.5220039292730849</v>
      </c>
      <c r="N166" s="25">
        <f t="shared" si="319"/>
        <v>8.2004310344827598</v>
      </c>
      <c r="O166" s="25">
        <f t="shared" si="319"/>
        <v>11.282965299684543</v>
      </c>
      <c r="P166" s="25">
        <f t="shared" si="319"/>
        <v>5.9453125</v>
      </c>
      <c r="Q166" s="118">
        <f t="shared" si="309"/>
        <v>-7.8178253765766481E-2</v>
      </c>
      <c r="R166" s="128"/>
      <c r="S166" s="119">
        <f t="shared" ref="S166:AB166" si="320">S164/S49</f>
        <v>8.6655734080188687</v>
      </c>
      <c r="T166" s="119">
        <f t="shared" si="320"/>
        <v>8.4203213304334277</v>
      </c>
      <c r="U166" s="119">
        <f t="shared" si="320"/>
        <v>8.1820103493834235</v>
      </c>
      <c r="V166" s="119">
        <f t="shared" si="320"/>
        <v>7.9504440187404972</v>
      </c>
      <c r="W166" s="119">
        <f t="shared" si="320"/>
        <v>7.7254314521723693</v>
      </c>
      <c r="X166" s="119">
        <f t="shared" si="320"/>
        <v>7.5067871657901328</v>
      </c>
      <c r="Y166" s="119">
        <f t="shared" si="320"/>
        <v>7.2943309252489019</v>
      </c>
      <c r="Z166" s="119">
        <f t="shared" si="320"/>
        <v>7.0878875971758202</v>
      </c>
      <c r="AA166" s="119">
        <f t="shared" si="320"/>
        <v>6.8872870048029187</v>
      </c>
      <c r="AB166" s="119">
        <f t="shared" si="320"/>
        <v>6.6923637876858555</v>
      </c>
      <c r="AC166" s="138">
        <f t="shared" si="312"/>
        <v>-3.1812800229502503E-2</v>
      </c>
      <c r="AD166" s="31">
        <v>0.08</v>
      </c>
      <c r="AE166" s="127">
        <f t="shared" si="313"/>
        <v>64.794609554450489</v>
      </c>
    </row>
    <row r="167" spans="2:31" x14ac:dyDescent="0.2">
      <c r="B167" s="20" t="s">
        <v>258</v>
      </c>
      <c r="C167" s="25" t="e">
        <f t="shared" ref="C167:P167" si="321">C164/C52</f>
        <v>#DIV/0!</v>
      </c>
      <c r="D167" s="25" t="e">
        <f t="shared" si="321"/>
        <v>#DIV/0!</v>
      </c>
      <c r="E167" s="25" t="e">
        <f t="shared" si="321"/>
        <v>#DIV/0!</v>
      </c>
      <c r="F167" s="25" t="e">
        <f t="shared" si="321"/>
        <v>#DIV/0!</v>
      </c>
      <c r="G167" s="25">
        <f t="shared" si="321"/>
        <v>1.9403137254901961</v>
      </c>
      <c r="H167" s="25">
        <f t="shared" si="321"/>
        <v>1.4777805611222445</v>
      </c>
      <c r="I167" s="25">
        <f t="shared" si="321"/>
        <v>1.6776895943562611</v>
      </c>
      <c r="J167" s="25">
        <f t="shared" si="321"/>
        <v>0.94709048099562743</v>
      </c>
      <c r="K167" s="25">
        <f t="shared" si="321"/>
        <v>1.1352743022136671</v>
      </c>
      <c r="L167" s="25">
        <f t="shared" si="321"/>
        <v>0.56134743053848057</v>
      </c>
      <c r="M167" s="25">
        <f t="shared" si="321"/>
        <v>0.78170841593079832</v>
      </c>
      <c r="N167" s="25">
        <f t="shared" si="321"/>
        <v>0.64754935330156571</v>
      </c>
      <c r="O167" s="25">
        <f t="shared" si="321"/>
        <v>0.61202943189596171</v>
      </c>
      <c r="P167" s="25">
        <f t="shared" si="321"/>
        <v>0.49184036193246083</v>
      </c>
      <c r="Q167" s="118">
        <f t="shared" si="309"/>
        <v>-0.14143640846668082</v>
      </c>
      <c r="R167" s="128"/>
      <c r="S167" s="119">
        <f t="shared" ref="S167:AB167" si="322">S164/S52</f>
        <v>0.71688052753363407</v>
      </c>
      <c r="T167" s="119">
        <f t="shared" si="322"/>
        <v>0.69659145599966321</v>
      </c>
      <c r="U167" s="119">
        <f t="shared" si="322"/>
        <v>0.6768766034713708</v>
      </c>
      <c r="V167" s="119">
        <f t="shared" si="322"/>
        <v>0.65771971846746402</v>
      </c>
      <c r="W167" s="119">
        <f t="shared" si="322"/>
        <v>0.63910500945423387</v>
      </c>
      <c r="X167" s="119">
        <f t="shared" si="322"/>
        <v>0.62101713182817075</v>
      </c>
      <c r="Y167" s="119">
        <f t="shared" si="322"/>
        <v>0.60344117526699603</v>
      </c>
      <c r="Z167" s="119">
        <f t="shared" si="322"/>
        <v>0.58636265143868493</v>
      </c>
      <c r="AA167" s="119">
        <f t="shared" si="322"/>
        <v>0.56976748205834482</v>
      </c>
      <c r="AB167" s="119">
        <f t="shared" si="322"/>
        <v>0.55364198728310865</v>
      </c>
      <c r="AC167" s="138">
        <f t="shared" si="312"/>
        <v>-6.3873407788249015E-2</v>
      </c>
      <c r="AD167" s="31">
        <v>0.08</v>
      </c>
      <c r="AE167" s="127">
        <f t="shared" si="313"/>
        <v>5.1827898686067808</v>
      </c>
    </row>
    <row r="168" spans="2:31" x14ac:dyDescent="0.2">
      <c r="B168" s="20" t="s">
        <v>259</v>
      </c>
      <c r="C168" s="25" t="e">
        <f t="shared" ref="C168:P168" si="323">C164/C61</f>
        <v>#DIV/0!</v>
      </c>
      <c r="D168" s="25" t="e">
        <f t="shared" si="323"/>
        <v>#DIV/0!</v>
      </c>
      <c r="E168" s="25" t="e">
        <f t="shared" si="323"/>
        <v>#DIV/0!</v>
      </c>
      <c r="F168" s="25" t="e">
        <f t="shared" si="323"/>
        <v>#DIV/0!</v>
      </c>
      <c r="G168" s="25">
        <f t="shared" si="323"/>
        <v>3.8355038759689926</v>
      </c>
      <c r="H168" s="25">
        <f t="shared" si="323"/>
        <v>2.6573423423423428</v>
      </c>
      <c r="I168" s="25">
        <f t="shared" si="323"/>
        <v>2.4021464646464645</v>
      </c>
      <c r="J168" s="25">
        <f t="shared" si="323"/>
        <v>2.1138888888888889</v>
      </c>
      <c r="K168" s="25">
        <f t="shared" si="323"/>
        <v>3.0381197681905991</v>
      </c>
      <c r="L168" s="25">
        <f t="shared" si="323"/>
        <v>0.90609620574694405</v>
      </c>
      <c r="M168" s="25">
        <f t="shared" si="323"/>
        <v>1.106273909716909</v>
      </c>
      <c r="N168" s="25">
        <f t="shared" si="323"/>
        <v>1.2179897567221512</v>
      </c>
      <c r="O168" s="25">
        <f t="shared" si="323"/>
        <v>1.0340271754842441</v>
      </c>
      <c r="P168" s="25">
        <f t="shared" si="323"/>
        <v>0.75872382851445674</v>
      </c>
      <c r="Q168" s="118">
        <f t="shared" si="309"/>
        <v>-0.16476860409197347</v>
      </c>
      <c r="R168" s="128"/>
      <c r="S168" s="119">
        <f t="shared" ref="S168:AB168" si="324">S164/S61</f>
        <v>1.1058757689196561</v>
      </c>
      <c r="T168" s="119">
        <f t="shared" si="324"/>
        <v>1.0745773981011753</v>
      </c>
      <c r="U168" s="119">
        <f t="shared" si="324"/>
        <v>1.0441648302303872</v>
      </c>
      <c r="V168" s="119">
        <f t="shared" si="324"/>
        <v>1.014612995412546</v>
      </c>
      <c r="W168" s="119">
        <f t="shared" si="324"/>
        <v>0.98589753327822882</v>
      </c>
      <c r="X168" s="119">
        <f t="shared" si="324"/>
        <v>0.95799477290242974</v>
      </c>
      <c r="Y168" s="119">
        <f t="shared" si="324"/>
        <v>0.93088171329198355</v>
      </c>
      <c r="Z168" s="119">
        <f t="shared" si="324"/>
        <v>0.90453600442522941</v>
      </c>
      <c r="AA168" s="119">
        <f t="shared" si="324"/>
        <v>0.87893592882828886</v>
      </c>
      <c r="AB168" s="119">
        <f t="shared" si="324"/>
        <v>0.85406038367277137</v>
      </c>
      <c r="AC168" s="138">
        <f t="shared" si="312"/>
        <v>-7.6011343553299526E-2</v>
      </c>
      <c r="AD168" s="31">
        <v>0.08</v>
      </c>
      <c r="AE168" s="127">
        <f t="shared" si="313"/>
        <v>7.8914210643415759</v>
      </c>
    </row>
    <row r="169" spans="2:31" x14ac:dyDescent="0.2">
      <c r="B169" s="20" t="s">
        <v>260</v>
      </c>
      <c r="C169" s="25" t="e">
        <f t="shared" ref="C169:P169" si="325">C164/C63</f>
        <v>#DIV/0!</v>
      </c>
      <c r="D169" s="25" t="e">
        <f t="shared" si="325"/>
        <v>#DIV/0!</v>
      </c>
      <c r="E169" s="25" t="e">
        <f t="shared" si="325"/>
        <v>#DIV/0!</v>
      </c>
      <c r="F169" s="25" t="e">
        <f t="shared" si="325"/>
        <v>#DIV/0!</v>
      </c>
      <c r="G169" s="25">
        <f t="shared" si="325"/>
        <v>33.889041095890413</v>
      </c>
      <c r="H169" s="25">
        <f t="shared" si="325"/>
        <v>2.8118684461391803</v>
      </c>
      <c r="I169" s="25">
        <f t="shared" si="325"/>
        <v>3.0079051383399213</v>
      </c>
      <c r="J169" s="25">
        <f t="shared" si="325"/>
        <v>2.3841659610499577</v>
      </c>
      <c r="K169" s="25">
        <f t="shared" si="325"/>
        <v>4.3687037037037033</v>
      </c>
      <c r="L169" s="25">
        <f t="shared" si="325"/>
        <v>1.4136222910216718</v>
      </c>
      <c r="M169" s="25">
        <f t="shared" si="325"/>
        <v>3.1050107372942017</v>
      </c>
      <c r="N169" s="25">
        <f t="shared" si="325"/>
        <v>3.331873905429072</v>
      </c>
      <c r="O169" s="25">
        <f t="shared" si="325"/>
        <v>1.6213508612873981</v>
      </c>
      <c r="P169" s="25">
        <f t="shared" si="325"/>
        <v>10.11295681063123</v>
      </c>
      <c r="Q169" s="118">
        <f t="shared" si="309"/>
        <v>-0.12572805692724554</v>
      </c>
      <c r="R169" s="128"/>
      <c r="S169" s="119">
        <f t="shared" ref="S169:AB169" si="326">S164/S63</f>
        <v>14.74011157775967</v>
      </c>
      <c r="T169" s="119">
        <f t="shared" si="326"/>
        <v>14.322938608577793</v>
      </c>
      <c r="U169" s="119">
        <f t="shared" si="326"/>
        <v>13.917572421542573</v>
      </c>
      <c r="V169" s="119">
        <f t="shared" si="326"/>
        <v>13.523678862442312</v>
      </c>
      <c r="W169" s="119">
        <f t="shared" si="326"/>
        <v>13.140933234259981</v>
      </c>
      <c r="X169" s="119">
        <f t="shared" si="326"/>
        <v>12.769020029516772</v>
      </c>
      <c r="Y169" s="119">
        <f t="shared" si="326"/>
        <v>12.407632670190827</v>
      </c>
      <c r="Z169" s="119">
        <f t="shared" si="326"/>
        <v>12.056473254996748</v>
      </c>
      <c r="AA169" s="119">
        <f t="shared" si="326"/>
        <v>11.715252313817594</v>
      </c>
      <c r="AB169" s="119">
        <f t="shared" si="326"/>
        <v>11.383688569086907</v>
      </c>
      <c r="AC169" s="138">
        <f t="shared" si="312"/>
        <v>-5.5799107510412393E-2</v>
      </c>
      <c r="AD169" s="31">
        <v>0.08</v>
      </c>
      <c r="AE169" s="127">
        <f t="shared" si="313"/>
        <v>107.48488906755374</v>
      </c>
    </row>
    <row r="170" spans="2:31" x14ac:dyDescent="0.2">
      <c r="B170" s="20" t="s">
        <v>281</v>
      </c>
      <c r="C170" s="25" t="e">
        <f>C166/C116</f>
        <v>#DIV/0!</v>
      </c>
      <c r="D170" s="25" t="e">
        <f>D166/D116</f>
        <v>#DIV/0!</v>
      </c>
      <c r="E170" s="25" t="e">
        <f>E166/E116</f>
        <v>#DIV/0!</v>
      </c>
      <c r="F170" s="25" t="e">
        <f>F166/F116</f>
        <v>#DIV/0!</v>
      </c>
      <c r="G170" s="182">
        <f t="shared" ref="G170:P170" si="327">G164/G57</f>
        <v>22.287387387387387</v>
      </c>
      <c r="H170" s="182">
        <f t="shared" si="327"/>
        <v>10.067064846416383</v>
      </c>
      <c r="I170" s="182">
        <f t="shared" si="327"/>
        <v>7.0462962962962958</v>
      </c>
      <c r="J170" s="182">
        <f t="shared" si="327"/>
        <v>2.6816190476190478</v>
      </c>
      <c r="K170" s="182">
        <f t="shared" si="327"/>
        <v>2.8822235797189983</v>
      </c>
      <c r="L170" s="182">
        <f t="shared" si="327"/>
        <v>2.1256983240223466</v>
      </c>
      <c r="M170" s="182">
        <f t="shared" si="327"/>
        <v>7.5966725043782839</v>
      </c>
      <c r="N170" s="182">
        <f t="shared" si="327"/>
        <v>8.9952718676122938</v>
      </c>
      <c r="O170" s="182">
        <f t="shared" si="327"/>
        <v>1.1843377483443709</v>
      </c>
      <c r="P170" s="182">
        <f t="shared" si="327"/>
        <v>1.8583638583638584</v>
      </c>
      <c r="Q170" s="118">
        <f t="shared" ref="Q170:Q173" si="328">((P170/G170)^(1/($H$2-$H$1) ))-1</f>
        <v>-0.24121442613400235</v>
      </c>
      <c r="R170" s="128"/>
      <c r="S170" s="135">
        <f t="shared" ref="S170:AB170" si="329">S164/S57</f>
        <v>2.7086529822378886</v>
      </c>
      <c r="T170" s="135">
        <f t="shared" si="329"/>
        <v>2.6319929921745522</v>
      </c>
      <c r="U170" s="135">
        <f t="shared" si="329"/>
        <v>2.5575026244715002</v>
      </c>
      <c r="V170" s="135">
        <f t="shared" si="329"/>
        <v>2.4851204747223057</v>
      </c>
      <c r="W170" s="135">
        <f t="shared" si="329"/>
        <v>2.4147868763811107</v>
      </c>
      <c r="X170" s="135">
        <f t="shared" si="329"/>
        <v>2.3464438515778698</v>
      </c>
      <c r="Y170" s="135">
        <f t="shared" si="329"/>
        <v>2.2800350633256659</v>
      </c>
      <c r="Z170" s="135">
        <f t="shared" si="329"/>
        <v>2.2155057690806004</v>
      </c>
      <c r="AA170" s="135">
        <f t="shared" si="329"/>
        <v>2.1528027756160562</v>
      </c>
      <c r="AB170" s="135">
        <f t="shared" si="329"/>
        <v>2.0918743951740923</v>
      </c>
      <c r="AC170" s="138">
        <f t="shared" ref="AC170" si="330">((AB170/G170)^(1/($AB$3-$H$1) ))-1</f>
        <v>-0.11708313459861486</v>
      </c>
      <c r="AD170" s="31">
        <v>0.08</v>
      </c>
      <c r="AE170" s="127">
        <f t="shared" si="313"/>
        <v>18.469511838005282</v>
      </c>
    </row>
    <row r="171" spans="2:31" x14ac:dyDescent="0.2">
      <c r="B171" s="20" t="s">
        <v>370</v>
      </c>
      <c r="C171" s="161" t="e">
        <f t="shared" ref="C171:P171" si="331">C49/C164</f>
        <v>#DIV/0!</v>
      </c>
      <c r="D171" s="161" t="e">
        <f t="shared" si="331"/>
        <v>#DIV/0!</v>
      </c>
      <c r="E171" s="161" t="e">
        <f t="shared" si="331"/>
        <v>#DIV/0!</v>
      </c>
      <c r="F171" s="161" t="e">
        <f t="shared" si="331"/>
        <v>#DIV/0!</v>
      </c>
      <c r="G171" s="161">
        <f t="shared" si="331"/>
        <v>8.0844011479849626E-2</v>
      </c>
      <c r="H171" s="161">
        <f t="shared" si="331"/>
        <v>0.28410150356821995</v>
      </c>
      <c r="I171" s="161">
        <f t="shared" si="331"/>
        <v>0.22365308804204992</v>
      </c>
      <c r="J171" s="161">
        <f t="shared" si="331"/>
        <v>0.32389814255780086</v>
      </c>
      <c r="K171" s="161">
        <f t="shared" si="331"/>
        <v>0.30795642406002288</v>
      </c>
      <c r="L171" s="161">
        <f t="shared" si="331"/>
        <v>0.61629434954007889</v>
      </c>
      <c r="M171" s="161">
        <f t="shared" si="331"/>
        <v>0.11734329252829839</v>
      </c>
      <c r="N171" s="161">
        <f t="shared" si="331"/>
        <v>0.1219448094612352</v>
      </c>
      <c r="O171" s="161">
        <f t="shared" si="331"/>
        <v>8.8629183325411684E-2</v>
      </c>
      <c r="P171" s="161">
        <f t="shared" si="331"/>
        <v>0.16819973718791065</v>
      </c>
      <c r="Q171" s="118">
        <f t="shared" si="328"/>
        <v>8.4808428619888021E-2</v>
      </c>
      <c r="R171" s="128"/>
      <c r="S171" s="161">
        <f t="shared" ref="S171:AB171" si="332">S49/S164</f>
        <v>0.11539917243960211</v>
      </c>
      <c r="T171" s="161">
        <f t="shared" si="332"/>
        <v>0.11876031338444491</v>
      </c>
      <c r="U171" s="161">
        <f t="shared" si="332"/>
        <v>0.1222193516383608</v>
      </c>
      <c r="V171" s="161">
        <f t="shared" si="332"/>
        <v>0.12577913857928394</v>
      </c>
      <c r="W171" s="161">
        <f t="shared" si="332"/>
        <v>0.12944260863499124</v>
      </c>
      <c r="X171" s="161">
        <f t="shared" si="332"/>
        <v>0.13321278170202983</v>
      </c>
      <c r="Y171" s="161">
        <f t="shared" si="332"/>
        <v>0.13709276563509865</v>
      </c>
      <c r="Z171" s="161">
        <f t="shared" si="332"/>
        <v>0.14108575880893645</v>
      </c>
      <c r="AA171" s="161">
        <f t="shared" si="332"/>
        <v>0.14519505275482783</v>
      </c>
      <c r="AB171" s="161">
        <f t="shared" si="332"/>
        <v>0.14942403487390049</v>
      </c>
      <c r="AC171" s="138">
        <f t="shared" ref="AC171:AC172" si="333">((AB171/G171)^(1/($AB$3-$H$1) ))-1</f>
        <v>3.2858108676755426E-2</v>
      </c>
      <c r="AD171" s="31">
        <v>0.08</v>
      </c>
      <c r="AE171" s="127">
        <f t="shared" si="313"/>
        <v>1.5433382605070642</v>
      </c>
    </row>
    <row r="172" spans="2:31" x14ac:dyDescent="0.2">
      <c r="B172" s="20" t="s">
        <v>319</v>
      </c>
      <c r="C172" s="152" t="e">
        <f t="shared" ref="C172:P172" si="334">C43/C164</f>
        <v>#DIV/0!</v>
      </c>
      <c r="D172" s="152" t="e">
        <f t="shared" si="334"/>
        <v>#DIV/0!</v>
      </c>
      <c r="E172" s="152" t="e">
        <f t="shared" si="334"/>
        <v>#DIV/0!</v>
      </c>
      <c r="F172" s="152" t="e">
        <f t="shared" si="334"/>
        <v>#DIV/0!</v>
      </c>
      <c r="G172" s="152">
        <f t="shared" si="334"/>
        <v>5.0769230769230768E-2</v>
      </c>
      <c r="H172" s="152">
        <f t="shared" si="334"/>
        <v>5.8064516129032261E-2</v>
      </c>
      <c r="I172" s="152">
        <f t="shared" si="334"/>
        <v>0.04</v>
      </c>
      <c r="J172" s="152">
        <f t="shared" si="334"/>
        <v>6.2162162162162166E-2</v>
      </c>
      <c r="K172" s="152">
        <f t="shared" si="334"/>
        <v>4.8387096774193547E-2</v>
      </c>
      <c r="L172" s="152">
        <f t="shared" si="334"/>
        <v>5.3333333333333337E-2</v>
      </c>
      <c r="M172" s="152">
        <f t="shared" si="334"/>
        <v>2.8070175438596492E-2</v>
      </c>
      <c r="N172" s="152">
        <f t="shared" si="334"/>
        <v>3.2000000000000001E-2</v>
      </c>
      <c r="O172" s="152">
        <f t="shared" si="334"/>
        <v>2.7659574468085105E-2</v>
      </c>
      <c r="P172" s="152">
        <f t="shared" si="334"/>
        <v>3.7499999999999999E-2</v>
      </c>
      <c r="Q172" s="118">
        <f t="shared" si="328"/>
        <v>-3.3100830582734941E-2</v>
      </c>
      <c r="R172" s="128"/>
      <c r="S172" s="152">
        <f t="shared" ref="S172:AB172" si="335">S43/S164</f>
        <v>3.713592233009709E-2</v>
      </c>
      <c r="T172" s="152">
        <f t="shared" si="335"/>
        <v>3.6775379394853432E-2</v>
      </c>
      <c r="U172" s="152">
        <f t="shared" si="335"/>
        <v>3.6418336876456799E-2</v>
      </c>
      <c r="V172" s="152">
        <f t="shared" si="335"/>
        <v>3.6064760790277609E-2</v>
      </c>
      <c r="W172" s="152">
        <f t="shared" si="335"/>
        <v>3.5714617481634139E-2</v>
      </c>
      <c r="X172" s="152">
        <f t="shared" si="335"/>
        <v>3.5367873622589148E-2</v>
      </c>
      <c r="Y172" s="152">
        <f t="shared" si="335"/>
        <v>3.5024496208777602E-2</v>
      </c>
      <c r="Z172" s="152">
        <f t="shared" si="335"/>
        <v>3.4684452556265198E-2</v>
      </c>
      <c r="AA172" s="152">
        <f t="shared" si="335"/>
        <v>3.4347710298437376E-2</v>
      </c>
      <c r="AB172" s="152">
        <f t="shared" si="335"/>
        <v>3.4014237382918568E-2</v>
      </c>
      <c r="AC172" s="138">
        <f t="shared" si="333"/>
        <v>-2.0858921163508848E-2</v>
      </c>
      <c r="AD172" s="31">
        <v>0.08</v>
      </c>
      <c r="AE172" s="127">
        <f t="shared" si="313"/>
        <v>0.33304737086911396</v>
      </c>
    </row>
    <row r="173" spans="2:31" x14ac:dyDescent="0.2">
      <c r="B173" s="20" t="s">
        <v>425</v>
      </c>
      <c r="C173" s="181" t="e">
        <f t="shared" ref="C173:O173" si="336">(C166)/($L$2*100)</f>
        <v>#DIV/0!</v>
      </c>
      <c r="D173" s="181" t="e">
        <f t="shared" si="336"/>
        <v>#DIV/0!</v>
      </c>
      <c r="E173" s="181" t="e">
        <f t="shared" si="336"/>
        <v>#DIV/0!</v>
      </c>
      <c r="F173" s="181" t="e">
        <f t="shared" si="336"/>
        <v>#DIV/0!</v>
      </c>
      <c r="G173" s="181">
        <f t="shared" si="336"/>
        <v>2.0615833333333335</v>
      </c>
      <c r="H173" s="181">
        <f t="shared" si="336"/>
        <v>0.58664478918058871</v>
      </c>
      <c r="I173" s="181">
        <f t="shared" si="336"/>
        <v>0.74520172346259306</v>
      </c>
      <c r="J173" s="181">
        <f t="shared" si="336"/>
        <v>0.51456505847953216</v>
      </c>
      <c r="K173" s="181">
        <f t="shared" si="336"/>
        <v>0.54120211057582013</v>
      </c>
      <c r="L173" s="181">
        <f t="shared" si="336"/>
        <v>0.27043354655294954</v>
      </c>
      <c r="M173" s="181">
        <f t="shared" si="336"/>
        <v>1.4203339882121808</v>
      </c>
      <c r="N173" s="181">
        <f t="shared" si="336"/>
        <v>1.3667385057471266</v>
      </c>
      <c r="O173" s="181">
        <f t="shared" si="336"/>
        <v>1.8804942166140906</v>
      </c>
      <c r="P173" s="181">
        <f>(P166)/($L$2*100)</f>
        <v>0.99088541666666663</v>
      </c>
      <c r="Q173" s="118">
        <f t="shared" si="328"/>
        <v>-7.8178253765766481E-2</v>
      </c>
      <c r="R173" s="128"/>
      <c r="S173" s="181">
        <f>(S166)/($L$2*100)</f>
        <v>1.4442622346698115</v>
      </c>
      <c r="T173" s="181">
        <f t="shared" ref="T173:AB173" si="337">(T166)/($L$2*100)</f>
        <v>1.4033868884055714</v>
      </c>
      <c r="U173" s="181">
        <f t="shared" si="337"/>
        <v>1.3636683915639038</v>
      </c>
      <c r="V173" s="181">
        <f t="shared" si="337"/>
        <v>1.3250740031234163</v>
      </c>
      <c r="W173" s="181">
        <f t="shared" si="337"/>
        <v>1.287571908695395</v>
      </c>
      <c r="X173" s="181">
        <f t="shared" si="337"/>
        <v>1.2511311942983554</v>
      </c>
      <c r="Y173" s="181">
        <f t="shared" si="337"/>
        <v>1.2157218208748171</v>
      </c>
      <c r="Z173" s="181">
        <f t="shared" si="337"/>
        <v>1.1813145995293033</v>
      </c>
      <c r="AA173" s="181">
        <f t="shared" si="337"/>
        <v>1.1478811674671532</v>
      </c>
      <c r="AB173" s="181">
        <f t="shared" si="337"/>
        <v>1.1153939646143092</v>
      </c>
      <c r="AC173" s="138">
        <f t="shared" ref="AC173" si="338">((AB173/G173)^(1/($AB$3-$H$1) ))-1</f>
        <v>-3.1812800229502503E-2</v>
      </c>
      <c r="AD173" s="31">
        <v>0.08</v>
      </c>
      <c r="AE173" s="127">
        <f t="shared" ref="AE173" si="339">(AB173*(1+AC173))/($C$1-AD173)</f>
        <v>10.799101592408414</v>
      </c>
    </row>
    <row r="174" spans="2:31" x14ac:dyDescent="0.2">
      <c r="B174" s="20"/>
      <c r="C174" s="129"/>
      <c r="D174" s="129"/>
      <c r="E174" s="129"/>
      <c r="F174" s="129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28"/>
      <c r="R174" s="128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7"/>
      <c r="AD174" s="20"/>
      <c r="AE174" s="20"/>
    </row>
    <row r="175" spans="2:31" x14ac:dyDescent="0.2">
      <c r="B175" s="108" t="s">
        <v>301</v>
      </c>
      <c r="C175" s="20"/>
      <c r="D175" s="20"/>
      <c r="E175" s="20"/>
      <c r="F175" s="20"/>
      <c r="G175" s="20"/>
      <c r="H175" s="20"/>
      <c r="I175" s="20"/>
      <c r="J175" s="20"/>
      <c r="K175" s="198" t="s">
        <v>350</v>
      </c>
      <c r="L175" s="199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137"/>
      <c r="AD175" s="20"/>
      <c r="AE175" s="20"/>
    </row>
    <row r="176" spans="2:31" x14ac:dyDescent="0.2">
      <c r="B176" s="20" t="s">
        <v>299</v>
      </c>
      <c r="C176" s="20" t="s">
        <v>314</v>
      </c>
      <c r="D176" s="20"/>
      <c r="E176" s="20"/>
      <c r="F176" s="20"/>
      <c r="G176" s="20"/>
      <c r="H176" s="20"/>
      <c r="I176" s="20"/>
      <c r="J176" s="20"/>
      <c r="K176" s="20" t="s">
        <v>351</v>
      </c>
      <c r="L176" s="22">
        <v>1</v>
      </c>
      <c r="M176" s="20"/>
      <c r="N176" s="20"/>
      <c r="O176" s="20"/>
      <c r="P176" s="128">
        <f>(P164-R152)/P164</f>
        <v>0.70033053841795534</v>
      </c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137"/>
      <c r="AD176" s="20"/>
      <c r="AE176" s="20"/>
    </row>
    <row r="177" spans="2:45" x14ac:dyDescent="0.2">
      <c r="B177" s="20" t="s">
        <v>348</v>
      </c>
      <c r="C177" s="20" t="s">
        <v>314</v>
      </c>
      <c r="D177" s="20"/>
      <c r="E177" s="20"/>
      <c r="F177" s="20"/>
      <c r="G177" s="20"/>
      <c r="H177" s="20"/>
      <c r="I177" s="20"/>
      <c r="J177" s="20"/>
      <c r="K177" s="172">
        <f>$L$176</f>
        <v>1</v>
      </c>
      <c r="L177" s="20"/>
      <c r="M177" s="128">
        <f>(P164-(K177*R143))/P164</f>
        <v>5.047133647518464E-2</v>
      </c>
      <c r="N177" s="20"/>
      <c r="O177" s="20"/>
      <c r="P177" s="128">
        <f>(P164-R143)/P164</f>
        <v>5.047133647518464E-2</v>
      </c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137"/>
      <c r="AD177" s="20"/>
      <c r="AE177" s="20"/>
    </row>
    <row r="178" spans="2:45" x14ac:dyDescent="0.2">
      <c r="B178" s="20" t="s">
        <v>349</v>
      </c>
      <c r="C178" s="20" t="s">
        <v>314</v>
      </c>
      <c r="D178" s="20"/>
      <c r="E178" s="20"/>
      <c r="F178" s="20"/>
      <c r="G178" s="20"/>
      <c r="H178" s="20"/>
      <c r="I178" s="20"/>
      <c r="J178" s="20"/>
      <c r="K178" s="172">
        <f>$L$176</f>
        <v>1</v>
      </c>
      <c r="L178" s="20"/>
      <c r="M178" s="128">
        <f>(P164-(K178*R136))/P164</f>
        <v>-2.6758005222288541</v>
      </c>
      <c r="N178" s="20"/>
      <c r="O178" s="20"/>
      <c r="P178" s="128">
        <f>(P164-R136)/P164</f>
        <v>-2.6758005222288541</v>
      </c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352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172">
        <f>$L$176</f>
        <v>1</v>
      </c>
      <c r="L179" s="20"/>
      <c r="M179" s="128">
        <f>(P164-(K179*R149))/P164</f>
        <v>-0.72775957364817856</v>
      </c>
      <c r="N179" s="20"/>
      <c r="O179" s="20"/>
      <c r="P179" s="128">
        <f>(P164-R149)/P164</f>
        <v>-0.72775957364817856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399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$L$176</f>
        <v>1</v>
      </c>
      <c r="L180" s="20"/>
      <c r="M180" s="128">
        <f>(P164-(K180*R161))/P164</f>
        <v>-1.0749411440963386</v>
      </c>
      <c r="N180" s="20"/>
      <c r="O180" s="20"/>
      <c r="P180" s="128">
        <f>(P164-R161)/P164</f>
        <v>-1.0749411440963386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300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5">
        <f>P164/R135</f>
        <v>3.3692703263153096</v>
      </c>
      <c r="Q181" s="20"/>
      <c r="R181" s="20"/>
      <c r="S181" s="115" t="s">
        <v>11</v>
      </c>
      <c r="T181" s="115" t="s">
        <v>12</v>
      </c>
      <c r="U181" s="115" t="s">
        <v>13</v>
      </c>
      <c r="V181" s="115" t="s">
        <v>14</v>
      </c>
      <c r="W181" s="115" t="s">
        <v>15</v>
      </c>
      <c r="X181" s="115" t="s">
        <v>234</v>
      </c>
      <c r="Y181" s="115" t="s">
        <v>235</v>
      </c>
      <c r="Z181" s="115" t="s">
        <v>236</v>
      </c>
      <c r="AA181" s="115" t="s">
        <v>237</v>
      </c>
      <c r="AB181" s="115" t="s">
        <v>238</v>
      </c>
      <c r="AC181" s="115" t="s">
        <v>407</v>
      </c>
      <c r="AD181" s="115" t="s">
        <v>408</v>
      </c>
      <c r="AE181" s="115" t="s">
        <v>409</v>
      </c>
      <c r="AF181" s="115" t="s">
        <v>410</v>
      </c>
      <c r="AG181" s="115" t="s">
        <v>411</v>
      </c>
      <c r="AH181" s="115" t="s">
        <v>412</v>
      </c>
      <c r="AI181" s="115" t="s">
        <v>413</v>
      </c>
      <c r="AJ181" s="115" t="s">
        <v>414</v>
      </c>
      <c r="AK181" s="115" t="s">
        <v>415</v>
      </c>
      <c r="AL181" s="115" t="s">
        <v>416</v>
      </c>
      <c r="AM181" s="115" t="s">
        <v>417</v>
      </c>
      <c r="AN181" s="115" t="s">
        <v>418</v>
      </c>
      <c r="AO181" s="115" t="s">
        <v>419</v>
      </c>
      <c r="AP181" s="115" t="s">
        <v>420</v>
      </c>
      <c r="AQ181" s="115" t="s">
        <v>421</v>
      </c>
      <c r="AR181" s="115" t="s">
        <v>422</v>
      </c>
      <c r="AS181" s="115" t="s">
        <v>423</v>
      </c>
    </row>
    <row r="182" spans="2:45" x14ac:dyDescent="0.2">
      <c r="B182" s="20" t="s">
        <v>370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152">
        <f>1/P181</f>
        <v>0.29680016833010153</v>
      </c>
      <c r="Q182" s="20"/>
      <c r="R182" s="20"/>
      <c r="S182" s="185">
        <f>P164-S183</f>
        <v>149.94782582726077</v>
      </c>
      <c r="T182" s="185">
        <f>S182-T183</f>
        <v>97.393042945884588</v>
      </c>
      <c r="U182" s="185">
        <f t="shared" ref="U182:W182" si="340">T182-U183</f>
        <v>42.210520920439599</v>
      </c>
      <c r="V182" s="185">
        <f t="shared" si="340"/>
        <v>-15.731127206277641</v>
      </c>
      <c r="W182" s="185">
        <f t="shared" si="340"/>
        <v>-76.569857739330743</v>
      </c>
      <c r="X182" s="185">
        <f>W182-X183</f>
        <v>-140.45052479903649</v>
      </c>
      <c r="Y182" s="185">
        <f t="shared" ref="Y182:AB182" si="341">X182-Y183</f>
        <v>-207.52522521172753</v>
      </c>
      <c r="Z182" s="185">
        <f t="shared" si="341"/>
        <v>-277.95366064505311</v>
      </c>
      <c r="AA182" s="185">
        <f t="shared" si="341"/>
        <v>-351.90351785004498</v>
      </c>
      <c r="AB182" s="185">
        <f t="shared" si="341"/>
        <v>-429.55086791528646</v>
      </c>
      <c r="AC182" s="185">
        <f t="shared" ref="AC182" si="342">AB182-AC183</f>
        <v>-511.08058548379</v>
      </c>
      <c r="AD182" s="185">
        <f t="shared" ref="AD182" si="343">AC182-AD183</f>
        <v>-596.68678893071876</v>
      </c>
      <c r="AE182" s="185">
        <f t="shared" ref="AE182" si="344">AD182-AE183</f>
        <v>-686.57330254999397</v>
      </c>
      <c r="AF182" s="185">
        <f t="shared" ref="AF182" si="345">AE182-AF183</f>
        <v>-780.95414185023287</v>
      </c>
      <c r="AG182" s="185">
        <f t="shared" ref="AG182" si="346">AF182-AG183</f>
        <v>-880.0540231154838</v>
      </c>
      <c r="AH182" s="185">
        <f t="shared" ref="AH182" si="347">AG182-AH183</f>
        <v>-984.1088984439973</v>
      </c>
      <c r="AI182" s="185">
        <f t="shared" ref="AI182" si="348">AH182-AI183</f>
        <v>-1093.3665175389365</v>
      </c>
      <c r="AJ182" s="185">
        <f t="shared" ref="AJ182" si="349">AI182-AJ183</f>
        <v>-1208.0870175886225</v>
      </c>
      <c r="AK182" s="185">
        <f t="shared" ref="AK182" si="350">AJ182-AK183</f>
        <v>-1328.543542640793</v>
      </c>
      <c r="AL182" s="185">
        <f t="shared" ref="AL182" si="351">AK182-AL183</f>
        <v>-1455.0228939455719</v>
      </c>
      <c r="AM182" s="185">
        <f t="shared" ref="AM182" si="352">AL182-AM183</f>
        <v>-1587.8262128155898</v>
      </c>
      <c r="AN182" s="185">
        <f t="shared" ref="AN182" si="353">AM182-AN183</f>
        <v>-1727.2696976291086</v>
      </c>
      <c r="AO182" s="185">
        <f t="shared" ref="AO182" si="354">AN182-AO183</f>
        <v>-1873.6853566833033</v>
      </c>
      <c r="AP182" s="185">
        <f t="shared" ref="AP182" si="355">AO182-AP183</f>
        <v>-2027.4217986902079</v>
      </c>
      <c r="AQ182" s="185">
        <f t="shared" ref="AQ182" si="356">AP182-AQ183</f>
        <v>-2188.8450627974576</v>
      </c>
      <c r="AR182" s="185">
        <f t="shared" ref="AR182" si="357">AQ182-AR183</f>
        <v>-2358.3394901100696</v>
      </c>
      <c r="AS182" s="185">
        <f t="shared" ref="AS182" si="358">AR182-AS183</f>
        <v>-2536.3086387883122</v>
      </c>
    </row>
    <row r="183" spans="2:45" x14ac:dyDescent="0.2">
      <c r="B183" s="20" t="s">
        <v>396</v>
      </c>
      <c r="C183" s="20"/>
      <c r="D183" s="20"/>
      <c r="E183" s="20"/>
      <c r="F183" s="20"/>
      <c r="G183" s="20"/>
      <c r="H183" s="20"/>
      <c r="I183" s="20"/>
      <c r="J183" s="20"/>
      <c r="K183" s="184">
        <f>P1</f>
        <v>0.05</v>
      </c>
      <c r="L183" s="20"/>
      <c r="M183" s="187">
        <v>4</v>
      </c>
      <c r="N183" s="20"/>
      <c r="O183" s="20"/>
      <c r="P183" s="181">
        <f>P164/Q134</f>
        <v>4.1956219379252451</v>
      </c>
      <c r="Q183" s="20"/>
      <c r="R183" s="20"/>
      <c r="S183" s="186">
        <f>Q134*(1+$K$183)</f>
        <v>50.052174172739214</v>
      </c>
      <c r="T183" s="186">
        <f>S183*(1+$K$183)</f>
        <v>52.554782881376177</v>
      </c>
      <c r="U183" s="186">
        <f t="shared" ref="U183:AB183" si="359">T183*(1+$K$183)</f>
        <v>55.182522025444989</v>
      </c>
      <c r="V183" s="186">
        <f t="shared" si="359"/>
        <v>57.94164812671724</v>
      </c>
      <c r="W183" s="186">
        <f t="shared" si="359"/>
        <v>60.838730533053102</v>
      </c>
      <c r="X183" s="186">
        <f t="shared" si="359"/>
        <v>63.880667059705758</v>
      </c>
      <c r="Y183" s="186">
        <f t="shared" si="359"/>
        <v>67.074700412691044</v>
      </c>
      <c r="Z183" s="186">
        <f t="shared" si="359"/>
        <v>70.428435433325603</v>
      </c>
      <c r="AA183" s="186">
        <f t="shared" si="359"/>
        <v>73.949857204991886</v>
      </c>
      <c r="AB183" s="186">
        <f t="shared" si="359"/>
        <v>77.647350065241483</v>
      </c>
      <c r="AC183" s="186">
        <f t="shared" ref="AC183" si="360">AB183*(1+$K$183)</f>
        <v>81.529717568503557</v>
      </c>
      <c r="AD183" s="186">
        <f t="shared" ref="AD183" si="361">AC183*(1+$K$183)</f>
        <v>85.606203446928745</v>
      </c>
      <c r="AE183" s="186">
        <f t="shared" ref="AE183" si="362">AD183*(1+$K$183)</f>
        <v>89.886513619275192</v>
      </c>
      <c r="AF183" s="186">
        <f t="shared" ref="AF183" si="363">AE183*(1+$K$183)</f>
        <v>94.380839300238961</v>
      </c>
      <c r="AG183" s="186">
        <f t="shared" ref="AG183" si="364">AF183*(1+$K$183)</f>
        <v>99.099881265250914</v>
      </c>
      <c r="AH183" s="186">
        <f t="shared" ref="AH183" si="365">AG183*(1+$K$183)</f>
        <v>104.05487532851346</v>
      </c>
      <c r="AI183" s="186">
        <f t="shared" ref="AI183" si="366">AH183*(1+$K$183)</f>
        <v>109.25761909493914</v>
      </c>
      <c r="AJ183" s="186">
        <f t="shared" ref="AJ183" si="367">AI183*(1+$K$183)</f>
        <v>114.72050004968611</v>
      </c>
      <c r="AK183" s="186">
        <f t="shared" ref="AK183" si="368">AJ183*(1+$K$183)</f>
        <v>120.45652505217042</v>
      </c>
      <c r="AL183" s="186">
        <f t="shared" ref="AL183" si="369">AK183*(1+$K$183)</f>
        <v>126.47935130477894</v>
      </c>
      <c r="AM183" s="186">
        <f t="shared" ref="AM183" si="370">AL183*(1+$K$183)</f>
        <v>132.8033188700179</v>
      </c>
      <c r="AN183" s="186">
        <f t="shared" ref="AN183" si="371">AM183*(1+$K$183)</f>
        <v>139.44348481351881</v>
      </c>
      <c r="AO183" s="186">
        <f t="shared" ref="AO183" si="372">AN183*(1+$K$183)</f>
        <v>146.41565905419475</v>
      </c>
      <c r="AP183" s="186">
        <f t="shared" ref="AP183" si="373">AO183*(1+$K$183)</f>
        <v>153.7364420069045</v>
      </c>
      <c r="AQ183" s="186">
        <f t="shared" ref="AQ183" si="374">AP183*(1+$K$183)</f>
        <v>161.42326410724974</v>
      </c>
      <c r="AR183" s="186">
        <f t="shared" ref="AR183" si="375">AQ183*(1+$K$183)</f>
        <v>169.49442731261223</v>
      </c>
      <c r="AS183" s="186">
        <f t="shared" ref="AS183" si="376">AR183*(1+$K$183)</f>
        <v>177.96914867824285</v>
      </c>
    </row>
    <row r="184" spans="2:45" x14ac:dyDescent="0.2">
      <c r="B184" s="20" t="s">
        <v>395</v>
      </c>
      <c r="C184" s="20"/>
      <c r="D184" s="20"/>
      <c r="E184" s="20"/>
      <c r="F184" s="20"/>
      <c r="G184" s="20"/>
      <c r="H184" s="20"/>
      <c r="I184" s="20"/>
      <c r="J184" s="20"/>
      <c r="K184" s="184">
        <f>P1</f>
        <v>0.05</v>
      </c>
      <c r="L184" s="20"/>
      <c r="M184" s="187">
        <v>6</v>
      </c>
      <c r="N184" s="20"/>
      <c r="O184" s="20"/>
      <c r="P184" s="181">
        <f>P164/P49</f>
        <v>5.9453125</v>
      </c>
      <c r="Q184" s="20"/>
      <c r="R184" s="20"/>
      <c r="S184" s="186">
        <f>P49*(1+$K$184)</f>
        <v>35.321944809461236</v>
      </c>
      <c r="T184" s="186">
        <f>S184*(1+$K$184)</f>
        <v>37.088042049934302</v>
      </c>
      <c r="U184" s="186">
        <f t="shared" ref="U184:AB184" si="377">T184*(1+$K$184)</f>
        <v>38.942444152431015</v>
      </c>
      <c r="V184" s="186">
        <f t="shared" si="377"/>
        <v>40.889566360052569</v>
      </c>
      <c r="W184" s="186">
        <f t="shared" si="377"/>
        <v>42.934044678055201</v>
      </c>
      <c r="X184" s="186">
        <f t="shared" si="377"/>
        <v>45.080746911957966</v>
      </c>
      <c r="Y184" s="186">
        <f t="shared" si="377"/>
        <v>47.334784257555867</v>
      </c>
      <c r="Z184" s="186">
        <f t="shared" si="377"/>
        <v>49.701523470433663</v>
      </c>
      <c r="AA184" s="186">
        <f t="shared" si="377"/>
        <v>52.186599643955347</v>
      </c>
      <c r="AB184" s="186">
        <f t="shared" si="377"/>
        <v>54.795929626153118</v>
      </c>
      <c r="AC184" s="186">
        <f t="shared" ref="AC184" si="378">AB184*(1+$K$184)</f>
        <v>57.535726107460775</v>
      </c>
      <c r="AD184" s="186">
        <f t="shared" ref="AD184" si="379">AC184*(1+$K$184)</f>
        <v>60.412512412833813</v>
      </c>
      <c r="AE184" s="186">
        <f t="shared" ref="AE184" si="380">AD184*(1+$K$184)</f>
        <v>63.433138033475508</v>
      </c>
      <c r="AF184" s="186">
        <f t="shared" ref="AF184" si="381">AE184*(1+$K$184)</f>
        <v>66.604794935149286</v>
      </c>
      <c r="AG184" s="186">
        <f t="shared" ref="AG184" si="382">AF184*(1+$K$184)</f>
        <v>69.935034681906757</v>
      </c>
      <c r="AH184" s="186">
        <f t="shared" ref="AH184" si="383">AG184*(1+$K$184)</f>
        <v>73.431786416002097</v>
      </c>
      <c r="AI184" s="186">
        <f t="shared" ref="AI184" si="384">AH184*(1+$K$184)</f>
        <v>77.103375736802207</v>
      </c>
      <c r="AJ184" s="186">
        <f t="shared" ref="AJ184" si="385">AI184*(1+$K$184)</f>
        <v>80.958544523642317</v>
      </c>
      <c r="AK184" s="186">
        <f t="shared" ref="AK184" si="386">AJ184*(1+$K$184)</f>
        <v>85.006471749824442</v>
      </c>
      <c r="AL184" s="186">
        <f t="shared" ref="AL184" si="387">AK184*(1+$K$184)</f>
        <v>89.256795337315666</v>
      </c>
      <c r="AM184" s="186">
        <f t="shared" ref="AM184" si="388">AL184*(1+$K$184)</f>
        <v>93.719635104181449</v>
      </c>
      <c r="AN184" s="186">
        <f t="shared" ref="AN184" si="389">AM184*(1+$K$184)</f>
        <v>98.40561685939052</v>
      </c>
      <c r="AO184" s="186">
        <f t="shared" ref="AO184" si="390">AN184*(1+$K$184)</f>
        <v>103.32589770236005</v>
      </c>
      <c r="AP184" s="186">
        <f t="shared" ref="AP184" si="391">AO184*(1+$K$184)</f>
        <v>108.49219258747806</v>
      </c>
      <c r="AQ184" s="186">
        <f t="shared" ref="AQ184" si="392">AP184*(1+$K$184)</f>
        <v>113.91680221685196</v>
      </c>
      <c r="AR184" s="186">
        <f t="shared" ref="AR184" si="393">AQ184*(1+$K$184)</f>
        <v>119.61264232769457</v>
      </c>
      <c r="AS184" s="186">
        <f t="shared" ref="AS184" si="394">AR184*(1+$K$184)</f>
        <v>125.59327444407931</v>
      </c>
    </row>
    <row r="185" spans="2:45" x14ac:dyDescent="0.2"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185">
        <f>P164-S184</f>
        <v>164.67805519053877</v>
      </c>
      <c r="T185" s="185">
        <f>S185-T184</f>
        <v>127.59001314060447</v>
      </c>
      <c r="U185" s="185">
        <f t="shared" ref="U185:Z185" si="395">T185-U184</f>
        <v>88.647568988173447</v>
      </c>
      <c r="V185" s="185">
        <f t="shared" si="395"/>
        <v>47.758002628120877</v>
      </c>
      <c r="W185" s="185">
        <f t="shared" si="395"/>
        <v>4.823957950065676</v>
      </c>
      <c r="X185" s="185">
        <f t="shared" si="395"/>
        <v>-40.256788961892291</v>
      </c>
      <c r="Y185" s="185">
        <f t="shared" si="395"/>
        <v>-87.591573219448151</v>
      </c>
      <c r="Z185" s="185">
        <f t="shared" si="395"/>
        <v>-137.29309668988182</v>
      </c>
      <c r="AA185" s="185">
        <f>Z185-AA184</f>
        <v>-189.47969633383718</v>
      </c>
      <c r="AB185" s="185">
        <f t="shared" ref="AB185" si="396">AA185-AB184</f>
        <v>-244.27562595999029</v>
      </c>
      <c r="AC185" s="185">
        <f t="shared" ref="AC185" si="397">AB185-AC184</f>
        <v>-301.81135206745108</v>
      </c>
      <c r="AD185" s="185">
        <f t="shared" ref="AD185" si="398">AC185-AD184</f>
        <v>-362.22386448028487</v>
      </c>
      <c r="AE185" s="185">
        <f t="shared" ref="AE185" si="399">AD185-AE184</f>
        <v>-425.6570025137604</v>
      </c>
      <c r="AF185" s="185">
        <f t="shared" ref="AF185" si="400">AE185-AF184</f>
        <v>-492.2617974489097</v>
      </c>
      <c r="AG185" s="185">
        <f t="shared" ref="AG185" si="401">AF185-AG184</f>
        <v>-562.19683213081646</v>
      </c>
      <c r="AH185" s="185">
        <f t="shared" ref="AH185" si="402">AG185-AH184</f>
        <v>-635.62861854681853</v>
      </c>
      <c r="AI185" s="185">
        <f t="shared" ref="AI185" si="403">AH185-AI184</f>
        <v>-712.73199428362068</v>
      </c>
      <c r="AJ185" s="185">
        <f t="shared" ref="AJ185" si="404">AI185-AJ184</f>
        <v>-793.69053880726301</v>
      </c>
      <c r="AK185" s="185">
        <f t="shared" ref="AK185" si="405">AJ185-AK184</f>
        <v>-878.69701055708742</v>
      </c>
      <c r="AL185" s="185">
        <f t="shared" ref="AL185" si="406">AK185-AL184</f>
        <v>-967.9538058944031</v>
      </c>
      <c r="AM185" s="185">
        <f t="shared" ref="AM185" si="407">AL185-AM184</f>
        <v>-1061.6734409985845</v>
      </c>
      <c r="AN185" s="185">
        <f t="shared" ref="AN185" si="408">AM185-AN184</f>
        <v>-1160.0790578579749</v>
      </c>
      <c r="AO185" s="185">
        <f t="shared" ref="AO185" si="409">AN185-AO184</f>
        <v>-1263.4049555603349</v>
      </c>
      <c r="AP185" s="185">
        <f t="shared" ref="AP185" si="410">AO185-AP184</f>
        <v>-1371.8971481478129</v>
      </c>
      <c r="AQ185" s="185">
        <f t="shared" ref="AQ185" si="411">AP185-AQ184</f>
        <v>-1485.8139503646648</v>
      </c>
      <c r="AR185" s="185">
        <f t="shared" ref="AR185" si="412">AQ185-AR184</f>
        <v>-1605.4265926923595</v>
      </c>
      <c r="AS185" s="185">
        <f t="shared" ref="AS185" si="413">AR185-AS184</f>
        <v>-1731.0198671364387</v>
      </c>
    </row>
    <row r="186" spans="2:45" x14ac:dyDescent="0.2">
      <c r="B186" s="108" t="s">
        <v>302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45" x14ac:dyDescent="0.2">
      <c r="B187" s="20" t="s">
        <v>305</v>
      </c>
      <c r="C187" s="25" t="e">
        <f t="shared" ref="C187:P187" si="414">C10/C7</f>
        <v>#DIV/0!</v>
      </c>
      <c r="D187" s="25" t="e">
        <f t="shared" si="414"/>
        <v>#DIV/0!</v>
      </c>
      <c r="E187" s="25" t="e">
        <f t="shared" si="414"/>
        <v>#DIV/0!</v>
      </c>
      <c r="F187" s="25" t="e">
        <f t="shared" si="414"/>
        <v>#DIV/0!</v>
      </c>
      <c r="G187" s="25">
        <f t="shared" si="414"/>
        <v>0.97274497079818301</v>
      </c>
      <c r="H187" s="25">
        <f t="shared" si="414"/>
        <v>0.96431838975297346</v>
      </c>
      <c r="I187" s="25">
        <f t="shared" si="414"/>
        <v>0.77520661157024795</v>
      </c>
      <c r="J187" s="25">
        <f t="shared" si="414"/>
        <v>0.72096000000000005</v>
      </c>
      <c r="K187" s="25">
        <f t="shared" si="414"/>
        <v>0.63403371045947821</v>
      </c>
      <c r="L187" s="25">
        <f t="shared" si="414"/>
        <v>0.8151758409785933</v>
      </c>
      <c r="M187" s="25">
        <f t="shared" si="414"/>
        <v>0.94062007356805044</v>
      </c>
      <c r="N187" s="25">
        <f t="shared" si="414"/>
        <v>0.98789386401326695</v>
      </c>
      <c r="O187" s="25">
        <f t="shared" si="414"/>
        <v>0.94580623645155915</v>
      </c>
      <c r="P187" s="25">
        <f t="shared" si="414"/>
        <v>0.8971771014035641</v>
      </c>
      <c r="Q187" s="118">
        <f t="shared" ref="Q187:Q189" si="415">((P187/G187)^(1/($H$2-$H$1) ))-1</f>
        <v>-8.9451587297012525E-3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45" x14ac:dyDescent="0.2">
      <c r="B188" s="20" t="s">
        <v>306</v>
      </c>
      <c r="C188" s="112" t="e">
        <f>C10/C12</f>
        <v>#DIV/0!</v>
      </c>
      <c r="D188" s="112" t="e">
        <f>D10/D12</f>
        <v>#DIV/0!</v>
      </c>
      <c r="E188" s="112" t="e">
        <f>E10/E12</f>
        <v>#DIV/0!</v>
      </c>
      <c r="F188" s="112" t="e">
        <f>F10/F12</f>
        <v>#DIV/0!</v>
      </c>
      <c r="G188" s="112">
        <f>G10/G12</f>
        <v>6.0934959349593498</v>
      </c>
      <c r="H188" s="112">
        <f t="shared" ref="H188:P188" si="416">H10/H12</f>
        <v>1.9645852749301025</v>
      </c>
      <c r="I188" s="112">
        <f t="shared" si="416"/>
        <v>1.323923782639379</v>
      </c>
      <c r="J188" s="112">
        <f t="shared" si="416"/>
        <v>1.9207161125319694</v>
      </c>
      <c r="K188" s="112">
        <f t="shared" si="416"/>
        <v>2.2216828478964401</v>
      </c>
      <c r="L188" s="112">
        <f t="shared" si="416"/>
        <v>1.9232503607503608</v>
      </c>
      <c r="M188" s="112">
        <f t="shared" si="416"/>
        <v>3.080895008605852</v>
      </c>
      <c r="N188" s="112">
        <f t="shared" si="416"/>
        <v>4.4958490566037739</v>
      </c>
      <c r="O188" s="112">
        <f t="shared" si="416"/>
        <v>1.6397802833188784</v>
      </c>
      <c r="P188" s="112">
        <f t="shared" si="416"/>
        <v>2.8631102164066431</v>
      </c>
      <c r="Q188" s="118">
        <f t="shared" si="415"/>
        <v>-8.0498602924078955E-2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45" x14ac:dyDescent="0.2">
      <c r="B189" s="20" t="s">
        <v>307</v>
      </c>
      <c r="C189" s="25" t="e">
        <f>C10/(C12+C13)</f>
        <v>#DIV/0!</v>
      </c>
      <c r="D189" s="25" t="e">
        <f>D10/(D12+D13)</f>
        <v>#DIV/0!</v>
      </c>
      <c r="E189" s="25" t="e">
        <f>E10/(E12+E13)</f>
        <v>#DIV/0!</v>
      </c>
      <c r="F189" s="25" t="e">
        <f>F10/(F12+F13)</f>
        <v>#DIV/0!</v>
      </c>
      <c r="G189" s="25">
        <f>G10/(G12+G13)</f>
        <v>2.3240310077519379</v>
      </c>
      <c r="H189" s="25">
        <f t="shared" ref="H189:P189" si="417">H10/(H12+H13)</f>
        <v>1.899099099099099</v>
      </c>
      <c r="I189" s="25">
        <f t="shared" si="417"/>
        <v>1.1843434343434343</v>
      </c>
      <c r="J189" s="25">
        <f t="shared" si="417"/>
        <v>1.6914414414414414</v>
      </c>
      <c r="K189" s="25">
        <f t="shared" si="417"/>
        <v>1.768190598840953</v>
      </c>
      <c r="L189" s="25">
        <f t="shared" si="417"/>
        <v>1.6927290046039054</v>
      </c>
      <c r="M189" s="25">
        <f t="shared" si="417"/>
        <v>1.369548584544759</v>
      </c>
      <c r="N189" s="25">
        <f t="shared" si="417"/>
        <v>1.9068501920614596</v>
      </c>
      <c r="O189" s="25">
        <f t="shared" si="417"/>
        <v>1.6397802833188784</v>
      </c>
      <c r="P189" s="25">
        <f t="shared" si="417"/>
        <v>1.4179960119641077</v>
      </c>
      <c r="Q189" s="118">
        <f t="shared" si="415"/>
        <v>-5.3415840907979018E-2</v>
      </c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/>
      <c r="C192" s="174" t="s">
        <v>376</v>
      </c>
      <c r="D192" s="175"/>
      <c r="E192" s="175"/>
      <c r="F192" s="175"/>
      <c r="G192" s="175"/>
      <c r="H192" s="175"/>
      <c r="I192" s="175"/>
      <c r="J192" s="175"/>
      <c r="K192" s="20"/>
      <c r="L192" s="195" t="s">
        <v>336</v>
      </c>
      <c r="M192" s="196"/>
      <c r="N192" s="197"/>
      <c r="O192" s="23" t="s">
        <v>339</v>
      </c>
      <c r="P192" s="20"/>
      <c r="Q192" s="195" t="s">
        <v>337</v>
      </c>
      <c r="R192" s="196"/>
      <c r="S192" s="197"/>
      <c r="T192" s="23" t="s">
        <v>339</v>
      </c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166" t="s">
        <v>338</v>
      </c>
      <c r="D193" s="166" t="s">
        <v>0</v>
      </c>
      <c r="E193" s="166" t="s">
        <v>377</v>
      </c>
      <c r="F193" s="166" t="s">
        <v>378</v>
      </c>
      <c r="G193" s="166" t="s">
        <v>379</v>
      </c>
      <c r="H193" s="166" t="s">
        <v>380</v>
      </c>
      <c r="I193" s="166" t="s">
        <v>381</v>
      </c>
      <c r="J193" s="166" t="s">
        <v>382</v>
      </c>
      <c r="K193" s="20"/>
      <c r="L193" s="166" t="s">
        <v>338</v>
      </c>
      <c r="M193" s="166"/>
      <c r="N193" s="166" t="s">
        <v>0</v>
      </c>
      <c r="O193" s="166" t="s">
        <v>371</v>
      </c>
      <c r="P193" s="20"/>
      <c r="Q193" s="166" t="s">
        <v>338</v>
      </c>
      <c r="R193" s="166"/>
      <c r="S193" s="166" t="s">
        <v>0</v>
      </c>
      <c r="T193" s="166" t="s">
        <v>371</v>
      </c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167" t="s">
        <v>340</v>
      </c>
      <c r="D194" s="21">
        <v>130</v>
      </c>
      <c r="E194" s="176" t="s">
        <v>383</v>
      </c>
      <c r="F194" s="22">
        <v>1</v>
      </c>
      <c r="G194" s="22">
        <v>1</v>
      </c>
      <c r="H194" s="167">
        <f>F194/G194</f>
        <v>1</v>
      </c>
      <c r="I194" s="167">
        <f>H194*D195</f>
        <v>1</v>
      </c>
      <c r="J194" s="177">
        <f>I194+D195</f>
        <v>2</v>
      </c>
      <c r="K194" s="20"/>
      <c r="L194" s="167" t="s">
        <v>340</v>
      </c>
      <c r="M194" s="167"/>
      <c r="N194" s="21">
        <v>130</v>
      </c>
      <c r="O194" s="173">
        <f>N194</f>
        <v>130</v>
      </c>
      <c r="P194" s="20"/>
      <c r="Q194" s="167" t="s">
        <v>340</v>
      </c>
      <c r="R194" s="167"/>
      <c r="S194" s="21">
        <v>1</v>
      </c>
      <c r="T194" s="173">
        <f>S194</f>
        <v>1</v>
      </c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67" t="s">
        <v>341</v>
      </c>
      <c r="D195" s="21">
        <v>1</v>
      </c>
      <c r="E195" s="176" t="s">
        <v>384</v>
      </c>
      <c r="F195" s="22">
        <v>1</v>
      </c>
      <c r="G195" s="22">
        <v>1</v>
      </c>
      <c r="H195" s="167">
        <f>F195/G195</f>
        <v>1</v>
      </c>
      <c r="I195" s="167">
        <f>H195*J194</f>
        <v>2</v>
      </c>
      <c r="J195" s="167">
        <f>I195+J194</f>
        <v>4</v>
      </c>
      <c r="K195" s="20"/>
      <c r="L195" s="167" t="s">
        <v>341</v>
      </c>
      <c r="M195" s="167"/>
      <c r="N195" s="21">
        <v>1</v>
      </c>
      <c r="O195" s="173">
        <f>N195</f>
        <v>1</v>
      </c>
      <c r="P195" s="20"/>
      <c r="Q195" s="167" t="s">
        <v>341</v>
      </c>
      <c r="R195" s="167"/>
      <c r="S195" s="21">
        <v>1</v>
      </c>
      <c r="T195" s="173">
        <f>S195</f>
        <v>1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7" t="s">
        <v>343</v>
      </c>
      <c r="D196" s="168">
        <f>D194*D195</f>
        <v>130</v>
      </c>
      <c r="E196" s="176" t="s">
        <v>397</v>
      </c>
      <c r="F196" s="22">
        <v>0</v>
      </c>
      <c r="G196" s="22">
        <v>2</v>
      </c>
      <c r="H196" s="167">
        <f>F196/G196</f>
        <v>0</v>
      </c>
      <c r="I196" s="167">
        <f>H196*J195</f>
        <v>0</v>
      </c>
      <c r="J196" s="167">
        <f>I196+J195</f>
        <v>4</v>
      </c>
      <c r="K196" s="20"/>
      <c r="L196" s="167" t="s">
        <v>342</v>
      </c>
      <c r="M196" s="167"/>
      <c r="N196" s="168">
        <f>N194*N195</f>
        <v>130</v>
      </c>
      <c r="O196" s="173">
        <f>N196</f>
        <v>130</v>
      </c>
      <c r="P196" s="20"/>
      <c r="Q196" s="167" t="s">
        <v>343</v>
      </c>
      <c r="R196" s="167"/>
      <c r="S196" s="168">
        <f>S194*S195</f>
        <v>1</v>
      </c>
      <c r="T196" s="173">
        <f>S196</f>
        <v>1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/>
      <c r="D197" s="168"/>
      <c r="E197" s="176" t="s">
        <v>385</v>
      </c>
      <c r="F197" s="22">
        <v>10</v>
      </c>
      <c r="G197" s="22">
        <v>2</v>
      </c>
      <c r="H197" s="167">
        <f>F197/G197</f>
        <v>5</v>
      </c>
      <c r="I197" s="167">
        <f>H197*J196</f>
        <v>20</v>
      </c>
      <c r="J197" s="167">
        <f>I197</f>
        <v>20</v>
      </c>
      <c r="K197" s="20"/>
      <c r="L197" s="167" t="s">
        <v>344</v>
      </c>
      <c r="M197" s="167"/>
      <c r="N197" s="21">
        <v>300</v>
      </c>
      <c r="O197" s="21">
        <v>570</v>
      </c>
      <c r="P197" s="20"/>
      <c r="Q197" s="167" t="s">
        <v>344</v>
      </c>
      <c r="R197" s="167"/>
      <c r="S197" s="21">
        <v>1</v>
      </c>
      <c r="T197" s="21">
        <v>1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344</v>
      </c>
      <c r="D198" s="21">
        <v>300</v>
      </c>
      <c r="E198" s="176"/>
      <c r="F198" s="167"/>
      <c r="G198" s="167"/>
      <c r="H198" s="169" t="s">
        <v>386</v>
      </c>
      <c r="I198" s="167"/>
      <c r="J198" s="167">
        <f>J197</f>
        <v>20</v>
      </c>
      <c r="K198" s="20"/>
      <c r="L198" s="167" t="s">
        <v>345</v>
      </c>
      <c r="M198" s="167"/>
      <c r="N198" s="168">
        <f>N197*N195</f>
        <v>300</v>
      </c>
      <c r="O198" s="168">
        <f>O197*O195</f>
        <v>570</v>
      </c>
      <c r="P198" s="20"/>
      <c r="Q198" s="167" t="s">
        <v>341</v>
      </c>
      <c r="R198" s="167"/>
      <c r="S198" s="21">
        <v>1</v>
      </c>
      <c r="T198" s="127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341</v>
      </c>
      <c r="D199" s="21">
        <v>1</v>
      </c>
      <c r="E199" s="176" t="s">
        <v>385</v>
      </c>
      <c r="F199" s="22">
        <v>10</v>
      </c>
      <c r="G199" s="22">
        <v>2</v>
      </c>
      <c r="H199" s="167">
        <f>F199/G199</f>
        <v>5</v>
      </c>
      <c r="I199" s="177">
        <f>H199*D195</f>
        <v>5</v>
      </c>
      <c r="J199" s="177">
        <f>I199</f>
        <v>5</v>
      </c>
      <c r="K199" s="20"/>
      <c r="L199" s="167"/>
      <c r="M199" s="167"/>
      <c r="N199" s="168"/>
      <c r="O199" s="168"/>
      <c r="P199" s="20"/>
      <c r="Q199" s="167" t="s">
        <v>343</v>
      </c>
      <c r="R199" s="167"/>
      <c r="S199" s="168">
        <f>S198*S197</f>
        <v>1</v>
      </c>
      <c r="T199" s="168">
        <f>T198*T197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 t="s">
        <v>343</v>
      </c>
      <c r="D200" s="168">
        <f>D199*D198</f>
        <v>300</v>
      </c>
      <c r="E200" s="167"/>
      <c r="F200" s="167"/>
      <c r="G200" s="167"/>
      <c r="H200" s="169" t="s">
        <v>386</v>
      </c>
      <c r="I200" s="167"/>
      <c r="J200" s="167">
        <f>J199</f>
        <v>5</v>
      </c>
      <c r="K200" s="20"/>
      <c r="L200" s="167"/>
      <c r="M200" s="167"/>
      <c r="N200" s="168"/>
      <c r="O200" s="168"/>
      <c r="P200" s="20"/>
      <c r="Q200" s="167"/>
      <c r="R200" s="167"/>
      <c r="S200" s="168"/>
      <c r="T200" s="168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/>
      <c r="D201" s="168"/>
      <c r="E201" s="176" t="s">
        <v>385</v>
      </c>
      <c r="F201" s="22">
        <v>10</v>
      </c>
      <c r="G201" s="22">
        <v>2</v>
      </c>
      <c r="H201" s="167">
        <f>F201/G201</f>
        <v>5</v>
      </c>
      <c r="I201" s="167">
        <f>H201*J200</f>
        <v>25</v>
      </c>
      <c r="J201" s="167">
        <f>I201</f>
        <v>25</v>
      </c>
      <c r="K201" s="20"/>
      <c r="L201" s="169" t="s">
        <v>346</v>
      </c>
      <c r="M201" s="169"/>
      <c r="N201" s="170">
        <f>N198/N196</f>
        <v>2.3076923076923075</v>
      </c>
      <c r="O201" s="170">
        <f>O198/O196</f>
        <v>4.384615384615385</v>
      </c>
      <c r="P201" s="20"/>
      <c r="Q201" s="169" t="s">
        <v>346</v>
      </c>
      <c r="R201" s="169"/>
      <c r="S201" s="170">
        <f>S199/S196</f>
        <v>1</v>
      </c>
      <c r="T201" s="170">
        <f>T199/T196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9" t="s">
        <v>346</v>
      </c>
      <c r="D202" s="170">
        <f>D200/D196</f>
        <v>2.3076923076923075</v>
      </c>
      <c r="E202" s="176"/>
      <c r="F202" s="167"/>
      <c r="G202" s="167"/>
      <c r="H202" s="169" t="s">
        <v>386</v>
      </c>
      <c r="I202" s="167"/>
      <c r="J202" s="167">
        <f>J201</f>
        <v>25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20"/>
      <c r="D204" s="137"/>
      <c r="E204" s="178"/>
      <c r="F204" s="178"/>
      <c r="G204" s="179"/>
      <c r="H204" s="20"/>
      <c r="I204" s="137"/>
      <c r="J204" s="178"/>
      <c r="K204" s="179"/>
      <c r="L204" s="20"/>
      <c r="M204" s="20">
        <v>8</v>
      </c>
      <c r="N204" s="20">
        <v>12</v>
      </c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ht="14.25" x14ac:dyDescent="0.2">
      <c r="B205" s="20"/>
      <c r="C205" s="20"/>
      <c r="D205" s="188" t="s">
        <v>27</v>
      </c>
      <c r="E205" s="189"/>
      <c r="F205" s="189"/>
      <c r="G205" s="190"/>
      <c r="H205" s="20"/>
      <c r="I205" s="188" t="s">
        <v>392</v>
      </c>
      <c r="J205" s="189"/>
      <c r="K205" s="19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 t="s">
        <v>28</v>
      </c>
      <c r="E206" s="127"/>
      <c r="F206" s="127"/>
      <c r="G206" s="21">
        <v>1</v>
      </c>
      <c r="H206" s="20"/>
      <c r="I206" s="20" t="s">
        <v>28</v>
      </c>
      <c r="J206" s="127"/>
      <c r="K206" s="21">
        <f>G206</f>
        <v>1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20" t="s">
        <v>29</v>
      </c>
      <c r="E207" s="127"/>
      <c r="F207" s="127"/>
      <c r="G207" s="21">
        <v>1</v>
      </c>
      <c r="H207" s="20"/>
      <c r="I207" s="20" t="s">
        <v>29</v>
      </c>
      <c r="J207" s="20"/>
      <c r="K207" s="21">
        <f>G207</f>
        <v>1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x14ac:dyDescent="0.2">
      <c r="B208" s="20"/>
      <c r="C208" s="20"/>
      <c r="D208" s="20" t="s">
        <v>30</v>
      </c>
      <c r="E208" s="20"/>
      <c r="F208" s="20"/>
      <c r="G208" s="22">
        <v>1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3" t="s">
        <v>31</v>
      </c>
      <c r="E209" s="3"/>
      <c r="F209" s="3"/>
      <c r="G209" s="3">
        <f>((G207/G206)^(1/G208))-1</f>
        <v>0</v>
      </c>
      <c r="H209" s="20"/>
      <c r="I209" s="23" t="s">
        <v>393</v>
      </c>
      <c r="J209" s="23"/>
      <c r="K209" s="23">
        <f>(K207-K206)/K206</f>
        <v>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3" t="s">
        <v>32</v>
      </c>
      <c r="E210" s="165"/>
      <c r="F210" s="165"/>
      <c r="G210" s="24">
        <f>G208*12</f>
        <v>12</v>
      </c>
      <c r="H210" s="20"/>
      <c r="I210" s="23" t="s">
        <v>394</v>
      </c>
      <c r="J210" s="23"/>
      <c r="K210" s="23">
        <f>K207/K206</f>
        <v>1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5"/>
      <c r="F211" s="25"/>
      <c r="G211" s="25">
        <f>G210/12</f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33</v>
      </c>
      <c r="E212" s="3"/>
      <c r="F212" s="3"/>
      <c r="G212" s="3">
        <f>((G207/G206)^(1/G211))-1</f>
        <v>0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C214" s="20"/>
      <c r="D214" s="20"/>
      <c r="E214" s="20"/>
      <c r="F214" s="20"/>
      <c r="G214" s="20"/>
      <c r="H214" s="20"/>
      <c r="I214" s="20"/>
      <c r="J214" s="20"/>
      <c r="K214" s="20"/>
    </row>
  </sheetData>
  <mergeCells count="7">
    <mergeCell ref="D205:G205"/>
    <mergeCell ref="I205:K205"/>
    <mergeCell ref="AD2:AE2"/>
    <mergeCell ref="AD3:AE3"/>
    <mergeCell ref="L192:N192"/>
    <mergeCell ref="Q192:S192"/>
    <mergeCell ref="K175:L175"/>
  </mergeCells>
  <pageMargins left="0.7" right="0.7" top="0.75" bottom="0.75" header="0.3" footer="0.3"/>
  <pageSetup orientation="portrait" r:id="rId1"/>
  <ignoredErrors>
    <ignoredError sqref="C166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0" t="s">
        <v>27</v>
      </c>
      <c r="K5" s="200"/>
      <c r="M5" s="200" t="s">
        <v>65</v>
      </c>
      <c r="N5" s="20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0" t="s">
        <v>36</v>
      </c>
      <c r="K14" s="200"/>
      <c r="L14" s="20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0" t="s">
        <v>27</v>
      </c>
      <c r="S5" s="20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0" t="s">
        <v>36</v>
      </c>
      <c r="S14" s="200"/>
      <c r="T14" s="20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0" t="s">
        <v>27</v>
      </c>
      <c r="C2" s="200"/>
      <c r="E2" s="200" t="s">
        <v>65</v>
      </c>
      <c r="F2" s="200"/>
      <c r="H2" s="204" t="s">
        <v>36</v>
      </c>
      <c r="I2" s="20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1" t="s">
        <v>68</v>
      </c>
      <c r="E10" s="202"/>
      <c r="F10" s="202"/>
      <c r="G10" s="202"/>
      <c r="H10" s="203"/>
      <c r="I10" s="201" t="s">
        <v>72</v>
      </c>
      <c r="J10" s="202"/>
      <c r="K10" s="202"/>
      <c r="L10" s="20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2014-06-04T09:26:13Z</dcterms:modified>
</cp:coreProperties>
</file>
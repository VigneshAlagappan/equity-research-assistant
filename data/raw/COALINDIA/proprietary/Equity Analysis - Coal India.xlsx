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J12" i="18" l="1"/>
  <c r="M12" i="18"/>
  <c r="L12" i="18"/>
  <c r="G209" i="18" l="1"/>
  <c r="K180" i="18" l="1"/>
  <c r="K179" i="18"/>
  <c r="K178" i="18"/>
  <c r="K177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3" i="18" l="1"/>
  <c r="T198" i="18" l="1"/>
  <c r="T199" i="18" s="1"/>
  <c r="S42" i="18"/>
  <c r="D196" i="18"/>
  <c r="H196" i="18"/>
  <c r="L26" i="18"/>
  <c r="L100" i="18"/>
  <c r="J100" i="18"/>
  <c r="H100" i="18"/>
  <c r="F100" i="18"/>
  <c r="G100" i="18"/>
  <c r="I100" i="18"/>
  <c r="K100" i="18"/>
  <c r="M100" i="18"/>
  <c r="N100" i="18"/>
  <c r="O100" i="18"/>
  <c r="P100" i="18"/>
  <c r="H131" i="18"/>
  <c r="I131" i="18"/>
  <c r="J131" i="18"/>
  <c r="K131" i="18"/>
  <c r="L131" i="18"/>
  <c r="M131" i="18"/>
  <c r="N131" i="18"/>
  <c r="O131" i="18"/>
  <c r="P131" i="18"/>
  <c r="H130" i="18"/>
  <c r="I130" i="18"/>
  <c r="J130" i="18"/>
  <c r="K130" i="18"/>
  <c r="L130" i="18"/>
  <c r="M130" i="18"/>
  <c r="N130" i="18"/>
  <c r="O130" i="18"/>
  <c r="P130" i="18"/>
  <c r="R42" i="18"/>
  <c r="G210" i="18"/>
  <c r="G211" i="18" s="1"/>
  <c r="G212" i="18" s="1"/>
  <c r="K207" i="18"/>
  <c r="K206" i="18"/>
  <c r="AD50" i="18"/>
  <c r="C50" i="18"/>
  <c r="D50" i="18"/>
  <c r="E50" i="18"/>
  <c r="F50" i="18"/>
  <c r="H50" i="18"/>
  <c r="I50" i="18"/>
  <c r="J50" i="18"/>
  <c r="K50" i="18"/>
  <c r="L50" i="18"/>
  <c r="M50" i="18"/>
  <c r="N50" i="18"/>
  <c r="O50" i="18"/>
  <c r="P50" i="18"/>
  <c r="G50" i="18"/>
  <c r="H201" i="18"/>
  <c r="D200" i="18"/>
  <c r="H199" i="18"/>
  <c r="I199" i="18" s="1"/>
  <c r="J199" i="18" s="1"/>
  <c r="J200" i="18" s="1"/>
  <c r="H197" i="18"/>
  <c r="H195" i="18"/>
  <c r="H194" i="18"/>
  <c r="I194" i="18" s="1"/>
  <c r="J194" i="18" s="1"/>
  <c r="D202" i="18" l="1"/>
  <c r="K210" i="18"/>
  <c r="Q50" i="18"/>
  <c r="K209" i="18"/>
  <c r="I195" i="18"/>
  <c r="J195" i="18" s="1"/>
  <c r="I201" i="18"/>
  <c r="J201" i="18" s="1"/>
  <c r="J202" i="18" s="1"/>
  <c r="H85" i="18"/>
  <c r="I85" i="18"/>
  <c r="J85" i="18"/>
  <c r="K85" i="18"/>
  <c r="L85" i="18"/>
  <c r="M85" i="18"/>
  <c r="N85" i="18"/>
  <c r="O85" i="18"/>
  <c r="P85" i="18"/>
  <c r="G85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1" i="18"/>
  <c r="G130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5" i="18"/>
  <c r="T194" i="18"/>
  <c r="O195" i="18"/>
  <c r="O198" i="18" s="1"/>
  <c r="O194" i="18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88" i="18"/>
  <c r="H94" i="18" s="1"/>
  <c r="I88" i="18"/>
  <c r="I94" i="18" s="1"/>
  <c r="J88" i="18"/>
  <c r="J94" i="18" s="1"/>
  <c r="K88" i="18"/>
  <c r="K94" i="18" s="1"/>
  <c r="L88" i="18"/>
  <c r="L94" i="18" s="1"/>
  <c r="M88" i="18"/>
  <c r="M94" i="18" s="1"/>
  <c r="N88" i="18"/>
  <c r="N94" i="18" s="1"/>
  <c r="O88" i="18"/>
  <c r="O94" i="18" s="1"/>
  <c r="P88" i="18"/>
  <c r="P94" i="18" s="1"/>
  <c r="G88" i="18"/>
  <c r="G94" i="18" s="1"/>
  <c r="H89" i="18"/>
  <c r="H95" i="18" s="1"/>
  <c r="I89" i="18"/>
  <c r="I95" i="18" s="1"/>
  <c r="J89" i="18"/>
  <c r="J95" i="18" s="1"/>
  <c r="K89" i="18"/>
  <c r="K95" i="18" s="1"/>
  <c r="L89" i="18"/>
  <c r="L95" i="18" s="1"/>
  <c r="M89" i="18"/>
  <c r="M95" i="18" s="1"/>
  <c r="N89" i="18"/>
  <c r="N95" i="18" s="1"/>
  <c r="O89" i="18"/>
  <c r="O95" i="18" s="1"/>
  <c r="P89" i="18"/>
  <c r="P95" i="18" s="1"/>
  <c r="G89" i="18"/>
  <c r="G95" i="18" s="1"/>
  <c r="H126" i="18"/>
  <c r="H127" i="18" s="1"/>
  <c r="I126" i="18"/>
  <c r="I127" i="18" s="1"/>
  <c r="J126" i="18"/>
  <c r="J127" i="18" s="1"/>
  <c r="K126" i="18"/>
  <c r="K127" i="18" s="1"/>
  <c r="L126" i="18"/>
  <c r="L127" i="18" s="1"/>
  <c r="M126" i="18"/>
  <c r="M127" i="18" s="1"/>
  <c r="N126" i="18"/>
  <c r="N127" i="18" s="1"/>
  <c r="O126" i="18"/>
  <c r="O127" i="18" s="1"/>
  <c r="P126" i="18"/>
  <c r="P127" i="18" s="1"/>
  <c r="G126" i="18"/>
  <c r="G127" i="18" s="1"/>
  <c r="Q95" i="18" l="1"/>
  <c r="Q94" i="18"/>
  <c r="Q97" i="18"/>
  <c r="I196" i="18"/>
  <c r="J196" i="18" s="1"/>
  <c r="I197" i="18" s="1"/>
  <c r="J197" i="18" s="1"/>
  <c r="J198" i="18" s="1"/>
  <c r="Q130" i="18"/>
  <c r="Q131" i="18"/>
  <c r="Q85" i="18"/>
  <c r="Q91" i="18"/>
  <c r="AC14" i="18"/>
  <c r="AE14" i="18"/>
  <c r="Q88" i="18"/>
  <c r="Q127" i="18"/>
  <c r="Q126" i="18"/>
  <c r="Q89" i="18"/>
  <c r="P84" i="18"/>
  <c r="P83" i="18"/>
  <c r="E84" i="18"/>
  <c r="F84" i="18"/>
  <c r="H84" i="18"/>
  <c r="I84" i="18"/>
  <c r="J84" i="18"/>
  <c r="K84" i="18"/>
  <c r="L84" i="18"/>
  <c r="M84" i="18"/>
  <c r="N84" i="18"/>
  <c r="O84" i="18"/>
  <c r="G84" i="18"/>
  <c r="G83" i="18"/>
  <c r="H124" i="18"/>
  <c r="I124" i="18"/>
  <c r="J124" i="18"/>
  <c r="K124" i="18"/>
  <c r="L124" i="18"/>
  <c r="M124" i="18"/>
  <c r="N124" i="18"/>
  <c r="O124" i="18"/>
  <c r="P124" i="18"/>
  <c r="G124" i="18"/>
  <c r="H123" i="18"/>
  <c r="I123" i="18"/>
  <c r="J123" i="18"/>
  <c r="K123" i="18"/>
  <c r="L123" i="18"/>
  <c r="M123" i="18"/>
  <c r="N123" i="18"/>
  <c r="O123" i="18"/>
  <c r="P123" i="18"/>
  <c r="G123" i="18"/>
  <c r="H120" i="18"/>
  <c r="I120" i="18"/>
  <c r="J120" i="18"/>
  <c r="K120" i="18"/>
  <c r="L120" i="18"/>
  <c r="M120" i="18"/>
  <c r="N120" i="18"/>
  <c r="O120" i="18"/>
  <c r="P120" i="18"/>
  <c r="G120" i="18"/>
  <c r="H121" i="18"/>
  <c r="I121" i="18"/>
  <c r="J121" i="18"/>
  <c r="K121" i="18"/>
  <c r="L121" i="18"/>
  <c r="M121" i="18"/>
  <c r="N121" i="18"/>
  <c r="O121" i="18"/>
  <c r="P121" i="18"/>
  <c r="G121" i="18"/>
  <c r="H119" i="18"/>
  <c r="I119" i="18"/>
  <c r="J119" i="18"/>
  <c r="K119" i="18"/>
  <c r="L119" i="18"/>
  <c r="M119" i="18"/>
  <c r="N119" i="18"/>
  <c r="O119" i="18"/>
  <c r="P119" i="18"/>
  <c r="G119" i="18"/>
  <c r="H118" i="18"/>
  <c r="I118" i="18"/>
  <c r="J118" i="18"/>
  <c r="K118" i="18"/>
  <c r="L118" i="18"/>
  <c r="M118" i="18"/>
  <c r="N118" i="18"/>
  <c r="O118" i="18"/>
  <c r="P118" i="18"/>
  <c r="G118" i="18"/>
  <c r="R164" i="18"/>
  <c r="H115" i="18"/>
  <c r="I115" i="18"/>
  <c r="J115" i="18"/>
  <c r="K115" i="18"/>
  <c r="L115" i="18"/>
  <c r="M115" i="18"/>
  <c r="N115" i="18"/>
  <c r="O115" i="18"/>
  <c r="P115" i="18"/>
  <c r="G115" i="18"/>
  <c r="H114" i="18"/>
  <c r="I114" i="18"/>
  <c r="J114" i="18"/>
  <c r="K114" i="18"/>
  <c r="L114" i="18"/>
  <c r="M114" i="18"/>
  <c r="N114" i="18"/>
  <c r="O114" i="18"/>
  <c r="P114" i="18"/>
  <c r="G114" i="18"/>
  <c r="H113" i="18"/>
  <c r="I113" i="18"/>
  <c r="J113" i="18"/>
  <c r="K113" i="18"/>
  <c r="L113" i="18"/>
  <c r="M113" i="18"/>
  <c r="N113" i="18"/>
  <c r="O113" i="18"/>
  <c r="P113" i="18"/>
  <c r="G113" i="18"/>
  <c r="B115" i="18"/>
  <c r="B114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3" i="18"/>
  <c r="H103" i="18"/>
  <c r="I103" i="18"/>
  <c r="J103" i="18"/>
  <c r="K103" i="18"/>
  <c r="L103" i="18"/>
  <c r="M103" i="18"/>
  <c r="N103" i="18"/>
  <c r="O103" i="18"/>
  <c r="P103" i="18"/>
  <c r="S199" i="18"/>
  <c r="N198" i="18"/>
  <c r="S196" i="18"/>
  <c r="T196" i="18" s="1"/>
  <c r="T201" i="18" s="1"/>
  <c r="N196" i="18"/>
  <c r="O196" i="18" s="1"/>
  <c r="O201" i="18" s="1"/>
  <c r="F111" i="18"/>
  <c r="H111" i="18"/>
  <c r="I111" i="18"/>
  <c r="J111" i="18"/>
  <c r="K111" i="18"/>
  <c r="L111" i="18"/>
  <c r="M111" i="18"/>
  <c r="N111" i="18"/>
  <c r="O111" i="18"/>
  <c r="P111" i="18"/>
  <c r="G111" i="18"/>
  <c r="F110" i="18"/>
  <c r="H110" i="18"/>
  <c r="I110" i="18"/>
  <c r="J110" i="18"/>
  <c r="K110" i="18"/>
  <c r="L110" i="18"/>
  <c r="M110" i="18"/>
  <c r="N110" i="18"/>
  <c r="O110" i="18"/>
  <c r="P110" i="18"/>
  <c r="G110" i="18"/>
  <c r="Q121" i="18" l="1"/>
  <c r="Q84" i="18"/>
  <c r="Q118" i="18"/>
  <c r="Q124" i="18"/>
  <c r="Q123" i="18"/>
  <c r="Q119" i="18"/>
  <c r="Q120" i="18"/>
  <c r="Q113" i="18"/>
  <c r="Q114" i="18"/>
  <c r="Q115" i="18"/>
  <c r="Q103" i="18"/>
  <c r="AC32" i="18"/>
  <c r="AE32" i="18"/>
  <c r="N201" i="18"/>
  <c r="S201" i="18"/>
  <c r="Q111" i="18"/>
  <c r="Q110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6" i="18"/>
  <c r="AD47" i="18"/>
  <c r="AD49" i="18"/>
  <c r="AD51" i="18"/>
  <c r="AD52" i="18"/>
  <c r="AD53" i="18"/>
  <c r="AD55" i="18"/>
  <c r="AD56" i="18"/>
  <c r="AD57" i="18"/>
  <c r="AD59" i="18"/>
  <c r="AD60" i="18"/>
  <c r="AD61" i="18"/>
  <c r="AD62" i="18"/>
  <c r="AD64" i="18"/>
  <c r="AD65" i="18"/>
  <c r="AD67" i="18"/>
  <c r="AD69" i="18"/>
  <c r="AD70" i="18"/>
  <c r="AD71" i="18"/>
  <c r="AD72" i="18"/>
  <c r="AD73" i="18"/>
  <c r="AD75" i="18"/>
  <c r="AD76" i="18"/>
  <c r="AD77" i="18"/>
  <c r="AD7" i="18"/>
  <c r="AD6" i="18"/>
  <c r="Q100" i="18" l="1"/>
  <c r="H87" i="18"/>
  <c r="H93" i="18" s="1"/>
  <c r="I87" i="18"/>
  <c r="I93" i="18" s="1"/>
  <c r="J87" i="18"/>
  <c r="J93" i="18" s="1"/>
  <c r="K87" i="18"/>
  <c r="K93" i="18" s="1"/>
  <c r="L87" i="18"/>
  <c r="L93" i="18" s="1"/>
  <c r="M87" i="18"/>
  <c r="M93" i="18" s="1"/>
  <c r="N87" i="18"/>
  <c r="N93" i="18" s="1"/>
  <c r="O87" i="18"/>
  <c r="O93" i="18" s="1"/>
  <c r="P87" i="18"/>
  <c r="P93" i="18" s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G90" i="18"/>
  <c r="G96" i="18" s="1"/>
  <c r="G87" i="18"/>
  <c r="G93" i="18" s="1"/>
  <c r="S29" i="18"/>
  <c r="Q29" i="18"/>
  <c r="L30" i="18"/>
  <c r="K30" i="18"/>
  <c r="J30" i="18"/>
  <c r="I30" i="18"/>
  <c r="H30" i="18"/>
  <c r="G30" i="18"/>
  <c r="Q93" i="18" l="1"/>
  <c r="Q96" i="18"/>
  <c r="T29" i="18"/>
  <c r="Q90" i="18"/>
  <c r="Q87" i="18"/>
  <c r="H102" i="18"/>
  <c r="I102" i="18"/>
  <c r="J102" i="18"/>
  <c r="K102" i="18"/>
  <c r="L102" i="18"/>
  <c r="M102" i="18"/>
  <c r="N102" i="18"/>
  <c r="O102" i="18"/>
  <c r="P102" i="18"/>
  <c r="G102" i="18"/>
  <c r="H101" i="18"/>
  <c r="I101" i="18"/>
  <c r="J101" i="18"/>
  <c r="K101" i="18"/>
  <c r="L101" i="18"/>
  <c r="M101" i="18"/>
  <c r="N101" i="18"/>
  <c r="O101" i="18"/>
  <c r="P101" i="18"/>
  <c r="G101" i="18"/>
  <c r="U29" i="18" l="1"/>
  <c r="Q101" i="18"/>
  <c r="Q102" i="18"/>
  <c r="AE64" i="18"/>
  <c r="V29" i="18" l="1"/>
  <c r="C172" i="18"/>
  <c r="D172" i="18"/>
  <c r="E172" i="18"/>
  <c r="F172" i="18"/>
  <c r="G172" i="18"/>
  <c r="H172" i="18"/>
  <c r="I172" i="18"/>
  <c r="J172" i="18"/>
  <c r="K172" i="18"/>
  <c r="L172" i="18"/>
  <c r="M172" i="18"/>
  <c r="N172" i="18"/>
  <c r="O172" i="18"/>
  <c r="P172" i="18"/>
  <c r="C9" i="15"/>
  <c r="D65" i="18"/>
  <c r="E65" i="18"/>
  <c r="E105" i="18" s="1"/>
  <c r="E106" i="18" s="1"/>
  <c r="F65" i="18"/>
  <c r="F105" i="18" s="1"/>
  <c r="F106" i="18" s="1"/>
  <c r="G65" i="18"/>
  <c r="G105" i="18" s="1"/>
  <c r="G106" i="18" s="1"/>
  <c r="H65" i="18"/>
  <c r="H105" i="18" s="1"/>
  <c r="H106" i="18" s="1"/>
  <c r="I65" i="18"/>
  <c r="I105" i="18" s="1"/>
  <c r="I106" i="18" s="1"/>
  <c r="J65" i="18"/>
  <c r="J105" i="18" s="1"/>
  <c r="J106" i="18" s="1"/>
  <c r="K65" i="18"/>
  <c r="K105" i="18" s="1"/>
  <c r="K106" i="18" s="1"/>
  <c r="L65" i="18"/>
  <c r="L105" i="18" s="1"/>
  <c r="L106" i="18" s="1"/>
  <c r="M65" i="18"/>
  <c r="M105" i="18" s="1"/>
  <c r="M106" i="18" s="1"/>
  <c r="N65" i="18"/>
  <c r="N105" i="18" s="1"/>
  <c r="N106" i="18" s="1"/>
  <c r="O65" i="18"/>
  <c r="O105" i="18" s="1"/>
  <c r="O106" i="18" s="1"/>
  <c r="P65" i="18"/>
  <c r="P105" i="18" s="1"/>
  <c r="C65" i="18"/>
  <c r="S43" i="18"/>
  <c r="Q43" i="18"/>
  <c r="S65" i="18" l="1"/>
  <c r="S105" i="18" s="1"/>
  <c r="S106" i="18" s="1"/>
  <c r="W29" i="18"/>
  <c r="Q172" i="18"/>
  <c r="N107" i="18"/>
  <c r="N108" i="18" s="1"/>
  <c r="J107" i="18"/>
  <c r="J108" i="18" s="1"/>
  <c r="L107" i="18"/>
  <c r="L108" i="18" s="1"/>
  <c r="H107" i="18"/>
  <c r="H108" i="18" s="1"/>
  <c r="M107" i="18"/>
  <c r="M108" i="18" s="1"/>
  <c r="I107" i="18"/>
  <c r="I108" i="18" s="1"/>
  <c r="F107" i="18"/>
  <c r="F108" i="18" s="1"/>
  <c r="O107" i="18"/>
  <c r="O108" i="18" s="1"/>
  <c r="K107" i="18"/>
  <c r="K108" i="18" s="1"/>
  <c r="G107" i="18"/>
  <c r="G108" i="18" s="1"/>
  <c r="P106" i="18"/>
  <c r="Q105" i="18"/>
  <c r="T43" i="18"/>
  <c r="U43" i="18" l="1"/>
  <c r="X29" i="18"/>
  <c r="P107" i="18"/>
  <c r="Q106" i="18"/>
  <c r="T65" i="18"/>
  <c r="C75" i="18"/>
  <c r="D75" i="18"/>
  <c r="E75" i="18"/>
  <c r="F75" i="18"/>
  <c r="G75" i="18"/>
  <c r="G128" i="18" s="1"/>
  <c r="H75" i="18"/>
  <c r="H128" i="18" s="1"/>
  <c r="I75" i="18"/>
  <c r="I128" i="18" s="1"/>
  <c r="J75" i="18"/>
  <c r="J128" i="18" s="1"/>
  <c r="K75" i="18"/>
  <c r="K128" i="18" s="1"/>
  <c r="L75" i="18"/>
  <c r="L128" i="18" s="1"/>
  <c r="M75" i="18"/>
  <c r="M128" i="18" s="1"/>
  <c r="N75" i="18"/>
  <c r="N128" i="18" s="1"/>
  <c r="O75" i="18"/>
  <c r="O128" i="18" s="1"/>
  <c r="C76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P76" i="18"/>
  <c r="P75" i="18"/>
  <c r="P128" i="18" s="1"/>
  <c r="E83" i="18"/>
  <c r="F83" i="18"/>
  <c r="H83" i="18"/>
  <c r="I83" i="18"/>
  <c r="J83" i="18"/>
  <c r="K83" i="18"/>
  <c r="L83" i="18"/>
  <c r="M83" i="18"/>
  <c r="N83" i="18"/>
  <c r="O83" i="18"/>
  <c r="E81" i="18"/>
  <c r="E82" i="18"/>
  <c r="F82" i="18"/>
  <c r="G82" i="18"/>
  <c r="H82" i="18"/>
  <c r="I82" i="18"/>
  <c r="J82" i="18"/>
  <c r="K82" i="18"/>
  <c r="L82" i="18"/>
  <c r="M82" i="18"/>
  <c r="N82" i="18"/>
  <c r="O82" i="18"/>
  <c r="F81" i="18"/>
  <c r="G81" i="18"/>
  <c r="H81" i="18"/>
  <c r="I81" i="18"/>
  <c r="J81" i="18"/>
  <c r="K81" i="18"/>
  <c r="L81" i="18"/>
  <c r="M81" i="18"/>
  <c r="N81" i="18"/>
  <c r="O81" i="18"/>
  <c r="P82" i="18"/>
  <c r="G41" i="18"/>
  <c r="G28" i="18"/>
  <c r="G11" i="18"/>
  <c r="G8" i="18"/>
  <c r="G26" i="18"/>
  <c r="V43" i="18" l="1"/>
  <c r="U65" i="18"/>
  <c r="Q128" i="18"/>
  <c r="Y29" i="18"/>
  <c r="Q77" i="18"/>
  <c r="Q75" i="18"/>
  <c r="Q76" i="18"/>
  <c r="Q82" i="18"/>
  <c r="Q83" i="18"/>
  <c r="P81" i="18"/>
  <c r="Q81" i="18" s="1"/>
  <c r="C187" i="18"/>
  <c r="D187" i="18"/>
  <c r="E187" i="18"/>
  <c r="F187" i="18"/>
  <c r="C188" i="18"/>
  <c r="D188" i="18"/>
  <c r="E188" i="18"/>
  <c r="F188" i="18"/>
  <c r="C189" i="18"/>
  <c r="D189" i="18"/>
  <c r="E189" i="18"/>
  <c r="F189" i="18"/>
  <c r="H189" i="18"/>
  <c r="I189" i="18"/>
  <c r="J189" i="18"/>
  <c r="K189" i="18"/>
  <c r="L189" i="18"/>
  <c r="M189" i="18"/>
  <c r="N189" i="18"/>
  <c r="O189" i="18"/>
  <c r="P189" i="18"/>
  <c r="G189" i="18"/>
  <c r="H188" i="18"/>
  <c r="I188" i="18"/>
  <c r="J188" i="18"/>
  <c r="K188" i="18"/>
  <c r="L188" i="18"/>
  <c r="M188" i="18"/>
  <c r="N188" i="18"/>
  <c r="O188" i="18"/>
  <c r="P188" i="18"/>
  <c r="G188" i="18"/>
  <c r="H187" i="18"/>
  <c r="I187" i="18"/>
  <c r="J187" i="18"/>
  <c r="K187" i="18"/>
  <c r="L187" i="18"/>
  <c r="M187" i="18"/>
  <c r="N187" i="18"/>
  <c r="O187" i="18"/>
  <c r="P187" i="18"/>
  <c r="G187" i="18"/>
  <c r="H47" i="18"/>
  <c r="I47" i="18"/>
  <c r="J47" i="18"/>
  <c r="K47" i="18"/>
  <c r="L47" i="18"/>
  <c r="M47" i="18"/>
  <c r="N47" i="18"/>
  <c r="O47" i="18"/>
  <c r="P47" i="18"/>
  <c r="C47" i="18"/>
  <c r="D47" i="18"/>
  <c r="E47" i="18"/>
  <c r="F47" i="18"/>
  <c r="G47" i="18"/>
  <c r="G49" i="18"/>
  <c r="G171" i="18" s="1"/>
  <c r="H46" i="18"/>
  <c r="H165" i="18" s="1"/>
  <c r="I46" i="18"/>
  <c r="I165" i="18" s="1"/>
  <c r="J46" i="18"/>
  <c r="J165" i="18" s="1"/>
  <c r="K46" i="18"/>
  <c r="K165" i="18" s="1"/>
  <c r="L46" i="18"/>
  <c r="L165" i="18" s="1"/>
  <c r="M46" i="18"/>
  <c r="M165" i="18" s="1"/>
  <c r="N46" i="18"/>
  <c r="N165" i="18" s="1"/>
  <c r="O46" i="18"/>
  <c r="O165" i="18" s="1"/>
  <c r="P46" i="18"/>
  <c r="P165" i="18" s="1"/>
  <c r="C46" i="18"/>
  <c r="C165" i="18" s="1"/>
  <c r="D46" i="18"/>
  <c r="D165" i="18" s="1"/>
  <c r="E46" i="18"/>
  <c r="E165" i="18" s="1"/>
  <c r="F46" i="18"/>
  <c r="F165" i="18" s="1"/>
  <c r="G46" i="18"/>
  <c r="G165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88" i="18" s="1"/>
  <c r="S94" i="18" s="1"/>
  <c r="Q36" i="18"/>
  <c r="W43" i="18" l="1"/>
  <c r="V65" i="18"/>
  <c r="Q165" i="18"/>
  <c r="Z29" i="18"/>
  <c r="T36" i="18"/>
  <c r="T88" i="18" s="1"/>
  <c r="T94" i="18" s="1"/>
  <c r="Q189" i="18"/>
  <c r="Q47" i="18"/>
  <c r="Q46" i="18"/>
  <c r="Q188" i="18"/>
  <c r="Q187" i="18"/>
  <c r="Q31" i="18"/>
  <c r="Q34" i="18"/>
  <c r="X43" i="18" l="1"/>
  <c r="W65" i="18"/>
  <c r="AA29" i="18"/>
  <c r="U36" i="18"/>
  <c r="U88" i="18" s="1"/>
  <c r="U94" i="18" s="1"/>
  <c r="I72" i="18"/>
  <c r="J72" i="18"/>
  <c r="K72" i="18"/>
  <c r="L72" i="18"/>
  <c r="M72" i="18"/>
  <c r="N72" i="18"/>
  <c r="O72" i="18"/>
  <c r="P72" i="18"/>
  <c r="I73" i="18"/>
  <c r="J73" i="18"/>
  <c r="K73" i="18"/>
  <c r="L73" i="18"/>
  <c r="M73" i="18"/>
  <c r="N73" i="18"/>
  <c r="O73" i="18"/>
  <c r="P73" i="18"/>
  <c r="I67" i="18"/>
  <c r="I69" i="18" s="1"/>
  <c r="J67" i="18"/>
  <c r="J69" i="18" s="1"/>
  <c r="K67" i="18"/>
  <c r="K69" i="18" s="1"/>
  <c r="L67" i="18"/>
  <c r="L69" i="18" s="1"/>
  <c r="M67" i="18"/>
  <c r="M69" i="18" s="1"/>
  <c r="N67" i="18"/>
  <c r="N69" i="18" s="1"/>
  <c r="O67" i="18"/>
  <c r="O69" i="18" s="1"/>
  <c r="P67" i="18"/>
  <c r="P69" i="18" s="1"/>
  <c r="I70" i="18"/>
  <c r="J70" i="18"/>
  <c r="K70" i="18"/>
  <c r="L70" i="18"/>
  <c r="M70" i="18"/>
  <c r="N70" i="18"/>
  <c r="O70" i="18"/>
  <c r="P70" i="18"/>
  <c r="I71" i="18"/>
  <c r="J71" i="18"/>
  <c r="K71" i="18"/>
  <c r="L71" i="18"/>
  <c r="M71" i="18"/>
  <c r="N71" i="18"/>
  <c r="O71" i="18"/>
  <c r="P71" i="18"/>
  <c r="C70" i="18"/>
  <c r="D70" i="18"/>
  <c r="E70" i="18"/>
  <c r="F70" i="18"/>
  <c r="G70" i="18"/>
  <c r="C71" i="18"/>
  <c r="D71" i="18"/>
  <c r="E71" i="18"/>
  <c r="F71" i="18"/>
  <c r="G71" i="18"/>
  <c r="C72" i="18"/>
  <c r="D72" i="18"/>
  <c r="E72" i="18"/>
  <c r="F72" i="18"/>
  <c r="G72" i="18"/>
  <c r="C73" i="18"/>
  <c r="D73" i="18"/>
  <c r="E73" i="18"/>
  <c r="F73" i="18"/>
  <c r="G73" i="18"/>
  <c r="H73" i="18"/>
  <c r="H72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67" i="18"/>
  <c r="C69" i="18" s="1"/>
  <c r="D67" i="18"/>
  <c r="D69" i="18" s="1"/>
  <c r="E67" i="18"/>
  <c r="E69" i="18" s="1"/>
  <c r="F67" i="18"/>
  <c r="F69" i="18" s="1"/>
  <c r="G67" i="18"/>
  <c r="G69" i="18" s="1"/>
  <c r="H67" i="18"/>
  <c r="H69" i="18" s="1"/>
  <c r="H71" i="18"/>
  <c r="H70" i="18"/>
  <c r="Y43" i="18" l="1"/>
  <c r="X65" i="18"/>
  <c r="T23" i="18"/>
  <c r="S91" i="18"/>
  <c r="S97" i="18" s="1"/>
  <c r="AB29" i="18"/>
  <c r="AE31" i="18"/>
  <c r="AC31" i="18"/>
  <c r="AC22" i="18"/>
  <c r="AE22" i="18"/>
  <c r="V36" i="18"/>
  <c r="V88" i="18" s="1"/>
  <c r="V94" i="18" s="1"/>
  <c r="Q72" i="18"/>
  <c r="Q73" i="18"/>
  <c r="Q71" i="18"/>
  <c r="Q69" i="18"/>
  <c r="Q70" i="18"/>
  <c r="Q22" i="18"/>
  <c r="Q21" i="18"/>
  <c r="Q67" i="18"/>
  <c r="S20" i="18"/>
  <c r="S50" i="18" s="1"/>
  <c r="T21" i="18"/>
  <c r="Q65" i="18"/>
  <c r="Q164" i="18"/>
  <c r="Y65" i="18" l="1"/>
  <c r="Z43" i="18"/>
  <c r="U23" i="18"/>
  <c r="T91" i="18"/>
  <c r="T97" i="18" s="1"/>
  <c r="AE29" i="18"/>
  <c r="AC29" i="18"/>
  <c r="T20" i="18"/>
  <c r="S67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5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88" i="18" s="1"/>
  <c r="W94" i="18" s="1"/>
  <c r="O63" i="18"/>
  <c r="O169" i="18" s="1"/>
  <c r="O62" i="18"/>
  <c r="O60" i="18"/>
  <c r="O59" i="18"/>
  <c r="O57" i="18"/>
  <c r="O170" i="18" s="1"/>
  <c r="O56" i="18"/>
  <c r="O55" i="18"/>
  <c r="O53" i="18"/>
  <c r="O52" i="18"/>
  <c r="O167" i="18" s="1"/>
  <c r="O51" i="18"/>
  <c r="O49" i="18"/>
  <c r="Z65" i="18" l="1"/>
  <c r="AA43" i="18"/>
  <c r="T67" i="18"/>
  <c r="S120" i="18"/>
  <c r="S130" i="18"/>
  <c r="S121" i="18"/>
  <c r="S131" i="18"/>
  <c r="V23" i="18"/>
  <c r="U91" i="18"/>
  <c r="U97" i="18" s="1"/>
  <c r="S114" i="18"/>
  <c r="S115" i="18"/>
  <c r="S113" i="18"/>
  <c r="S103" i="18"/>
  <c r="P108" i="18"/>
  <c r="Q108" i="18" s="1"/>
  <c r="Q107" i="18"/>
  <c r="S87" i="18"/>
  <c r="S93" i="18" s="1"/>
  <c r="S111" i="18"/>
  <c r="S110" i="18"/>
  <c r="T18" i="18"/>
  <c r="O166" i="18"/>
  <c r="O171" i="18"/>
  <c r="U20" i="18"/>
  <c r="T27" i="18"/>
  <c r="X36" i="18"/>
  <c r="X88" i="18" s="1"/>
  <c r="X94" i="18" s="1"/>
  <c r="T25" i="18"/>
  <c r="T85" i="18" s="1"/>
  <c r="S81" i="18"/>
  <c r="V21" i="18"/>
  <c r="AC33" i="18"/>
  <c r="AC34" i="18"/>
  <c r="AC9" i="18"/>
  <c r="O61" i="18"/>
  <c r="O168" i="18" s="1"/>
  <c r="D57" i="18"/>
  <c r="E57" i="18"/>
  <c r="F57" i="18"/>
  <c r="G57" i="18"/>
  <c r="G170" i="18" s="1"/>
  <c r="H57" i="18"/>
  <c r="H170" i="18" s="1"/>
  <c r="I57" i="18"/>
  <c r="I170" i="18" s="1"/>
  <c r="J57" i="18"/>
  <c r="J170" i="18" s="1"/>
  <c r="K57" i="18"/>
  <c r="K170" i="18" s="1"/>
  <c r="L57" i="18"/>
  <c r="L170" i="18" s="1"/>
  <c r="M57" i="18"/>
  <c r="M170" i="18" s="1"/>
  <c r="N57" i="18"/>
  <c r="N170" i="18" s="1"/>
  <c r="P57" i="18"/>
  <c r="C57" i="18"/>
  <c r="C56" i="18"/>
  <c r="AB43" i="18" l="1"/>
  <c r="AA65" i="18"/>
  <c r="T121" i="18"/>
  <c r="T131" i="18"/>
  <c r="T120" i="18"/>
  <c r="T130" i="18"/>
  <c r="W23" i="18"/>
  <c r="V91" i="18"/>
  <c r="V97" i="18" s="1"/>
  <c r="T113" i="18"/>
  <c r="T115" i="18"/>
  <c r="T114" i="18"/>
  <c r="T103" i="18"/>
  <c r="T87" i="18"/>
  <c r="T93" i="18" s="1"/>
  <c r="T111" i="18"/>
  <c r="T110" i="18"/>
  <c r="U18" i="18"/>
  <c r="V20" i="18"/>
  <c r="U67" i="18"/>
  <c r="U27" i="18"/>
  <c r="U25" i="18"/>
  <c r="T81" i="18"/>
  <c r="Y36" i="18"/>
  <c r="Y88" i="18" s="1"/>
  <c r="Y94" i="18" s="1"/>
  <c r="W21" i="18"/>
  <c r="P170" i="18"/>
  <c r="Q170" i="18" s="1"/>
  <c r="Q57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E55" i="18"/>
  <c r="F55" i="18"/>
  <c r="G55" i="18"/>
  <c r="H55" i="18"/>
  <c r="I55" i="18"/>
  <c r="J55" i="18"/>
  <c r="K55" i="18"/>
  <c r="L55" i="18"/>
  <c r="M55" i="18"/>
  <c r="N55" i="18"/>
  <c r="P55" i="18"/>
  <c r="C55" i="18"/>
  <c r="AE43" i="18" l="1"/>
  <c r="AB65" i="18"/>
  <c r="AC43" i="18"/>
  <c r="U120" i="18"/>
  <c r="U130" i="18"/>
  <c r="U121" i="18"/>
  <c r="U131" i="18"/>
  <c r="U85" i="18"/>
  <c r="X23" i="18"/>
  <c r="W91" i="18"/>
  <c r="W97" i="18" s="1"/>
  <c r="U115" i="18"/>
  <c r="U114" i="18"/>
  <c r="U113" i="18"/>
  <c r="U103" i="18"/>
  <c r="U87" i="18"/>
  <c r="U93" i="18" s="1"/>
  <c r="U111" i="18"/>
  <c r="U110" i="18"/>
  <c r="V18" i="18"/>
  <c r="W20" i="18"/>
  <c r="V67" i="18"/>
  <c r="V27" i="18"/>
  <c r="V25" i="18"/>
  <c r="V85" i="18" s="1"/>
  <c r="U81" i="18"/>
  <c r="Z36" i="18"/>
  <c r="Z88" i="18" s="1"/>
  <c r="Z94" i="18" s="1"/>
  <c r="X21" i="18"/>
  <c r="Q55" i="18"/>
  <c r="Q56" i="18"/>
  <c r="C46" i="15"/>
  <c r="S152" i="18" l="1"/>
  <c r="AE65" i="18"/>
  <c r="T152" i="18" s="1"/>
  <c r="AC65" i="18"/>
  <c r="V121" i="18"/>
  <c r="V131" i="18"/>
  <c r="V120" i="18"/>
  <c r="V130" i="18"/>
  <c r="Y23" i="18"/>
  <c r="X91" i="18"/>
  <c r="X97" i="18" s="1"/>
  <c r="V103" i="18"/>
  <c r="V115" i="18"/>
  <c r="V114" i="18"/>
  <c r="V113" i="18"/>
  <c r="V87" i="18"/>
  <c r="V93" i="18" s="1"/>
  <c r="V111" i="18"/>
  <c r="V110" i="18"/>
  <c r="W18" i="18"/>
  <c r="X20" i="18"/>
  <c r="W67" i="18"/>
  <c r="W27" i="18"/>
  <c r="W25" i="18"/>
  <c r="V81" i="18"/>
  <c r="AA36" i="18"/>
  <c r="AA88" i="18" s="1"/>
  <c r="AA94" i="18" s="1"/>
  <c r="Y21" i="18"/>
  <c r="S164" i="18"/>
  <c r="S172" i="18" s="1"/>
  <c r="C49" i="18"/>
  <c r="D49" i="18"/>
  <c r="E49" i="18"/>
  <c r="F49" i="18"/>
  <c r="H49" i="18"/>
  <c r="I49" i="18"/>
  <c r="J49" i="18"/>
  <c r="K49" i="18"/>
  <c r="L49" i="18"/>
  <c r="L171" i="18" s="1"/>
  <c r="M49" i="18"/>
  <c r="N49" i="18"/>
  <c r="N171" i="18" s="1"/>
  <c r="P49" i="18"/>
  <c r="D63" i="18"/>
  <c r="D169" i="18" s="1"/>
  <c r="E63" i="18"/>
  <c r="E169" i="18" s="1"/>
  <c r="F63" i="18"/>
  <c r="F169" i="18" s="1"/>
  <c r="G63" i="18"/>
  <c r="H63" i="18"/>
  <c r="H169" i="18" s="1"/>
  <c r="I63" i="18"/>
  <c r="I169" i="18" s="1"/>
  <c r="J63" i="18"/>
  <c r="J169" i="18" s="1"/>
  <c r="K63" i="18"/>
  <c r="K169" i="18" s="1"/>
  <c r="L63" i="18"/>
  <c r="L169" i="18" s="1"/>
  <c r="M63" i="18"/>
  <c r="M169" i="18" s="1"/>
  <c r="N63" i="18"/>
  <c r="P63" i="18"/>
  <c r="D62" i="18"/>
  <c r="E62" i="18"/>
  <c r="F62" i="18"/>
  <c r="G62" i="18"/>
  <c r="H62" i="18"/>
  <c r="I62" i="18"/>
  <c r="J62" i="18"/>
  <c r="K62" i="18"/>
  <c r="L62" i="18"/>
  <c r="M62" i="18"/>
  <c r="N62" i="18"/>
  <c r="P62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D59" i="18"/>
  <c r="D61" i="18" s="1"/>
  <c r="D168" i="18" s="1"/>
  <c r="E59" i="18"/>
  <c r="E61" i="18" s="1"/>
  <c r="E168" i="18" s="1"/>
  <c r="F59" i="18"/>
  <c r="G59" i="18"/>
  <c r="H59" i="18"/>
  <c r="I59" i="18"/>
  <c r="J59" i="18"/>
  <c r="K59" i="18"/>
  <c r="L59" i="18"/>
  <c r="M59" i="18"/>
  <c r="N59" i="18"/>
  <c r="P59" i="18"/>
  <c r="D53" i="18"/>
  <c r="E53" i="18"/>
  <c r="F53" i="18"/>
  <c r="G53" i="18"/>
  <c r="H53" i="18"/>
  <c r="I53" i="18"/>
  <c r="J53" i="18"/>
  <c r="K53" i="18"/>
  <c r="L53" i="18"/>
  <c r="M53" i="18"/>
  <c r="N53" i="18"/>
  <c r="P53" i="18"/>
  <c r="D52" i="18"/>
  <c r="D167" i="18" s="1"/>
  <c r="E52" i="18"/>
  <c r="E167" i="18" s="1"/>
  <c r="F52" i="18"/>
  <c r="F167" i="18" s="1"/>
  <c r="G52" i="18"/>
  <c r="H52" i="18"/>
  <c r="H167" i="18" s="1"/>
  <c r="I52" i="18"/>
  <c r="I167" i="18" s="1"/>
  <c r="J52" i="18"/>
  <c r="J167" i="18" s="1"/>
  <c r="K52" i="18"/>
  <c r="K167" i="18" s="1"/>
  <c r="L52" i="18"/>
  <c r="L167" i="18" s="1"/>
  <c r="M52" i="18"/>
  <c r="M167" i="18" s="1"/>
  <c r="N52" i="18"/>
  <c r="P52" i="18"/>
  <c r="C63" i="18"/>
  <c r="C169" i="18" s="1"/>
  <c r="C62" i="18"/>
  <c r="C60" i="18"/>
  <c r="C59" i="18"/>
  <c r="C53" i="18"/>
  <c r="C52" i="18"/>
  <c r="C167" i="18" s="1"/>
  <c r="D51" i="18"/>
  <c r="E51" i="18"/>
  <c r="F51" i="18"/>
  <c r="G51" i="18"/>
  <c r="H51" i="18"/>
  <c r="I51" i="18"/>
  <c r="J51" i="18"/>
  <c r="K51" i="18"/>
  <c r="L51" i="18"/>
  <c r="M51" i="18"/>
  <c r="N51" i="18"/>
  <c r="P51" i="18"/>
  <c r="C51" i="18"/>
  <c r="S15" i="18"/>
  <c r="S118" i="18" s="1"/>
  <c r="S16" i="18"/>
  <c r="S126" i="18" s="1"/>
  <c r="S127" i="18" s="1"/>
  <c r="S40" i="18"/>
  <c r="S89" i="18" s="1"/>
  <c r="S95" i="18" s="1"/>
  <c r="S10" i="18"/>
  <c r="S12" i="18"/>
  <c r="S13" i="18"/>
  <c r="S7" i="18"/>
  <c r="S6" i="18"/>
  <c r="P184" i="18" l="1"/>
  <c r="M184" i="18"/>
  <c r="S184" i="18"/>
  <c r="S100" i="18"/>
  <c r="R152" i="18"/>
  <c r="P176" i="18" s="1"/>
  <c r="W120" i="18"/>
  <c r="W130" i="18"/>
  <c r="W85" i="18"/>
  <c r="W121" i="18"/>
  <c r="W131" i="18"/>
  <c r="Z23" i="18"/>
  <c r="Y91" i="18"/>
  <c r="Y97" i="18" s="1"/>
  <c r="S83" i="18"/>
  <c r="S84" i="18"/>
  <c r="S124" i="18"/>
  <c r="S123" i="18"/>
  <c r="S90" i="18"/>
  <c r="S96" i="18" s="1"/>
  <c r="S119" i="18"/>
  <c r="H171" i="18"/>
  <c r="H166" i="18"/>
  <c r="W103" i="18"/>
  <c r="W114" i="18"/>
  <c r="W113" i="18"/>
  <c r="W115" i="18"/>
  <c r="S102" i="18"/>
  <c r="S107" i="18"/>
  <c r="S108" i="18" s="1"/>
  <c r="W87" i="18"/>
  <c r="W93" i="18" s="1"/>
  <c r="W111" i="18"/>
  <c r="W110" i="18"/>
  <c r="S101" i="18"/>
  <c r="X18" i="18"/>
  <c r="D166" i="18"/>
  <c r="D170" i="18" s="1"/>
  <c r="D171" i="18"/>
  <c r="E166" i="18"/>
  <c r="E170" i="18" s="1"/>
  <c r="E171" i="18"/>
  <c r="C166" i="18"/>
  <c r="C170" i="18" s="1"/>
  <c r="C171" i="18"/>
  <c r="P166" i="18"/>
  <c r="P171" i="18"/>
  <c r="Q171" i="18" s="1"/>
  <c r="K166" i="18"/>
  <c r="K171" i="18"/>
  <c r="F166" i="18"/>
  <c r="F170" i="18" s="1"/>
  <c r="F171" i="18"/>
  <c r="J166" i="18"/>
  <c r="J171" i="18"/>
  <c r="M166" i="18"/>
  <c r="M171" i="18"/>
  <c r="I166" i="18"/>
  <c r="I171" i="18"/>
  <c r="Q134" i="18"/>
  <c r="Y20" i="18"/>
  <c r="X67" i="18"/>
  <c r="H61" i="18"/>
  <c r="H168" i="18" s="1"/>
  <c r="X27" i="18"/>
  <c r="T12" i="18"/>
  <c r="T15" i="18"/>
  <c r="T118" i="18" s="1"/>
  <c r="T13" i="18"/>
  <c r="T10" i="18"/>
  <c r="T16" i="18"/>
  <c r="T126" i="18" s="1"/>
  <c r="T127" i="18" s="1"/>
  <c r="T6" i="18"/>
  <c r="T7" i="18"/>
  <c r="X25" i="18"/>
  <c r="X85" i="18" s="1"/>
  <c r="W81" i="18"/>
  <c r="T40" i="18"/>
  <c r="T89" i="18" s="1"/>
  <c r="T95" i="18" s="1"/>
  <c r="S82" i="18"/>
  <c r="AB36" i="18"/>
  <c r="F61" i="18"/>
  <c r="F168" i="18" s="1"/>
  <c r="L61" i="18"/>
  <c r="L168" i="18" s="1"/>
  <c r="K61" i="18"/>
  <c r="K168" i="18" s="1"/>
  <c r="J61" i="18"/>
  <c r="J168" i="18" s="1"/>
  <c r="Z21" i="18"/>
  <c r="C61" i="18"/>
  <c r="C168" i="18" s="1"/>
  <c r="T164" i="18"/>
  <c r="T172" i="18" s="1"/>
  <c r="I61" i="18"/>
  <c r="I168" i="18" s="1"/>
  <c r="Q51" i="18"/>
  <c r="G167" i="18"/>
  <c r="Q52" i="18"/>
  <c r="Q53" i="18"/>
  <c r="Q60" i="18"/>
  <c r="Q62" i="18"/>
  <c r="G166" i="18"/>
  <c r="Q49" i="18"/>
  <c r="G169" i="18"/>
  <c r="Q63" i="18"/>
  <c r="G61" i="18"/>
  <c r="Q59" i="18"/>
  <c r="N167" i="18"/>
  <c r="N166" i="18"/>
  <c r="N169" i="18"/>
  <c r="P167" i="18"/>
  <c r="L166" i="18"/>
  <c r="N61" i="18"/>
  <c r="M61" i="18"/>
  <c r="M168" i="18" s="1"/>
  <c r="P169" i="18"/>
  <c r="P61" i="18"/>
  <c r="S60" i="18"/>
  <c r="C6" i="12"/>
  <c r="C26" i="15"/>
  <c r="C58" i="15"/>
  <c r="C57" i="15"/>
  <c r="C54" i="15"/>
  <c r="C53" i="15"/>
  <c r="C50" i="15"/>
  <c r="C49" i="15"/>
  <c r="C45" i="15"/>
  <c r="T184" i="18" l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AG184" i="18" s="1"/>
  <c r="AH184" i="18" s="1"/>
  <c r="AI184" i="18" s="1"/>
  <c r="AJ184" i="18" s="1"/>
  <c r="AK184" i="18" s="1"/>
  <c r="AL184" i="18" s="1"/>
  <c r="AM184" i="18" s="1"/>
  <c r="AN184" i="18" s="1"/>
  <c r="AO184" i="18" s="1"/>
  <c r="AP184" i="18" s="1"/>
  <c r="AQ184" i="18" s="1"/>
  <c r="AR184" i="18" s="1"/>
  <c r="AS184" i="18" s="1"/>
  <c r="S185" i="18"/>
  <c r="P183" i="18"/>
  <c r="S183" i="18"/>
  <c r="M183" i="18"/>
  <c r="T100" i="18"/>
  <c r="X120" i="18"/>
  <c r="X130" i="18"/>
  <c r="X121" i="18"/>
  <c r="X131" i="18"/>
  <c r="AE36" i="18"/>
  <c r="AB88" i="18"/>
  <c r="AA23" i="18"/>
  <c r="Z91" i="18"/>
  <c r="Z97" i="18" s="1"/>
  <c r="T124" i="18"/>
  <c r="T123" i="18"/>
  <c r="T90" i="18"/>
  <c r="T96" i="18" s="1"/>
  <c r="T119" i="18"/>
  <c r="T84" i="18"/>
  <c r="X113" i="18"/>
  <c r="X114" i="18"/>
  <c r="X115" i="18"/>
  <c r="X103" i="18"/>
  <c r="X87" i="18"/>
  <c r="X93" i="18" s="1"/>
  <c r="X111" i="18"/>
  <c r="X110" i="18"/>
  <c r="T101" i="18"/>
  <c r="T102" i="18"/>
  <c r="Y18" i="18"/>
  <c r="Z20" i="18"/>
  <c r="Y67" i="18"/>
  <c r="S59" i="18"/>
  <c r="S61" i="18" s="1"/>
  <c r="S76" i="18"/>
  <c r="S55" i="18"/>
  <c r="S57" i="18"/>
  <c r="S170" i="18" s="1"/>
  <c r="S63" i="18"/>
  <c r="S169" i="18" s="1"/>
  <c r="S73" i="18"/>
  <c r="S75" i="18"/>
  <c r="S128" i="18" s="1"/>
  <c r="S47" i="18"/>
  <c r="S46" i="18"/>
  <c r="S165" i="18" s="1"/>
  <c r="S56" i="18"/>
  <c r="S52" i="18"/>
  <c r="S53" i="18"/>
  <c r="S62" i="18"/>
  <c r="S51" i="18"/>
  <c r="S77" i="18"/>
  <c r="S49" i="18"/>
  <c r="S171" i="18" s="1"/>
  <c r="Y27" i="18"/>
  <c r="U15" i="18"/>
  <c r="U118" i="18" s="1"/>
  <c r="U13" i="18"/>
  <c r="U12" i="18"/>
  <c r="U16" i="18"/>
  <c r="U126" i="18" s="1"/>
  <c r="U127" i="18" s="1"/>
  <c r="U10" i="18"/>
  <c r="U7" i="18"/>
  <c r="U6" i="18"/>
  <c r="AC36" i="18"/>
  <c r="Y25" i="18"/>
  <c r="Y85" i="18" s="1"/>
  <c r="X81" i="18"/>
  <c r="U40" i="18"/>
  <c r="U89" i="18" s="1"/>
  <c r="U95" i="18" s="1"/>
  <c r="T83" i="18"/>
  <c r="T82" i="18"/>
  <c r="T42" i="18"/>
  <c r="S70" i="18"/>
  <c r="S71" i="18"/>
  <c r="S72" i="18"/>
  <c r="S69" i="18"/>
  <c r="AA21" i="18"/>
  <c r="U164" i="18"/>
  <c r="U172" i="18" s="1"/>
  <c r="Q167" i="18"/>
  <c r="Q166" i="18"/>
  <c r="Q169" i="18"/>
  <c r="G168" i="18"/>
  <c r="Q61" i="18"/>
  <c r="N168" i="18"/>
  <c r="P168" i="18"/>
  <c r="C16" i="15"/>
  <c r="C21" i="15"/>
  <c r="C10" i="15"/>
  <c r="AC88" i="18" l="1"/>
  <c r="AB94" i="18"/>
  <c r="AC94" i="18" s="1"/>
  <c r="T185" i="18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T183" i="18"/>
  <c r="U183" i="18" s="1"/>
  <c r="V183" i="18" s="1"/>
  <c r="W183" i="18" s="1"/>
  <c r="X183" i="18" s="1"/>
  <c r="Y183" i="18" s="1"/>
  <c r="Z183" i="18" s="1"/>
  <c r="AA183" i="18" s="1"/>
  <c r="AB183" i="18" s="1"/>
  <c r="AC183" i="18" s="1"/>
  <c r="S182" i="18"/>
  <c r="U100" i="18"/>
  <c r="T105" i="18"/>
  <c r="T106" i="18" s="1"/>
  <c r="T107" i="18" s="1"/>
  <c r="T108" i="18" s="1"/>
  <c r="T50" i="18"/>
  <c r="Y120" i="18"/>
  <c r="Y130" i="18"/>
  <c r="Y121" i="18"/>
  <c r="Y131" i="18"/>
  <c r="AB23" i="18"/>
  <c r="AA91" i="18"/>
  <c r="AA97" i="18" s="1"/>
  <c r="U90" i="18"/>
  <c r="U96" i="18" s="1"/>
  <c r="U119" i="18"/>
  <c r="U124" i="18"/>
  <c r="U123" i="18"/>
  <c r="U84" i="18"/>
  <c r="Y115" i="18"/>
  <c r="Y114" i="18"/>
  <c r="Y113" i="18"/>
  <c r="Y103" i="18"/>
  <c r="T59" i="18"/>
  <c r="Y87" i="18"/>
  <c r="Y93" i="18" s="1"/>
  <c r="Y111" i="18"/>
  <c r="Y110" i="18"/>
  <c r="U101" i="18"/>
  <c r="U102" i="18"/>
  <c r="T55" i="18"/>
  <c r="Z18" i="18"/>
  <c r="AA20" i="18"/>
  <c r="Z67" i="18"/>
  <c r="T57" i="18"/>
  <c r="T170" i="18" s="1"/>
  <c r="T63" i="18"/>
  <c r="T169" i="18" s="1"/>
  <c r="T73" i="18"/>
  <c r="T75" i="18"/>
  <c r="T128" i="18" s="1"/>
  <c r="T46" i="18"/>
  <c r="T165" i="18" s="1"/>
  <c r="T47" i="18"/>
  <c r="T52" i="18"/>
  <c r="T51" i="18"/>
  <c r="T62" i="18"/>
  <c r="T77" i="18"/>
  <c r="T56" i="18"/>
  <c r="T53" i="18"/>
  <c r="T49" i="18"/>
  <c r="T171" i="18" s="1"/>
  <c r="T60" i="18"/>
  <c r="T76" i="18"/>
  <c r="Z27" i="18"/>
  <c r="V13" i="18"/>
  <c r="V12" i="18"/>
  <c r="V15" i="18"/>
  <c r="V118" i="18" s="1"/>
  <c r="V10" i="18"/>
  <c r="V16" i="18"/>
  <c r="V126" i="18" s="1"/>
  <c r="V127" i="18" s="1"/>
  <c r="V6" i="18"/>
  <c r="V7" i="18"/>
  <c r="V40" i="18"/>
  <c r="V89" i="18" s="1"/>
  <c r="V95" i="18" s="1"/>
  <c r="U83" i="18"/>
  <c r="U82" i="18"/>
  <c r="Z25" i="18"/>
  <c r="Z85" i="18" s="1"/>
  <c r="Y81" i="18"/>
  <c r="U42" i="18"/>
  <c r="T72" i="18"/>
  <c r="T71" i="18"/>
  <c r="T70" i="18"/>
  <c r="T69" i="18"/>
  <c r="AB21" i="18"/>
  <c r="AE21" i="18" s="1"/>
  <c r="S168" i="18"/>
  <c r="V164" i="18"/>
  <c r="V172" i="18" s="1"/>
  <c r="S166" i="18"/>
  <c r="S167" i="18"/>
  <c r="Q168" i="18"/>
  <c r="D31" i="8"/>
  <c r="D29" i="8"/>
  <c r="D28" i="8"/>
  <c r="D13" i="8"/>
  <c r="D30" i="8" s="1"/>
  <c r="E14" i="8"/>
  <c r="F14" i="8" s="1"/>
  <c r="G14" i="8" s="1"/>
  <c r="H14" i="8" s="1"/>
  <c r="I14" i="8" s="1"/>
  <c r="T182" i="18" l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3" i="18"/>
  <c r="AE183" i="18" s="1"/>
  <c r="AF183" i="18" s="1"/>
  <c r="AG183" i="18" s="1"/>
  <c r="AH183" i="18" s="1"/>
  <c r="AI183" i="18" s="1"/>
  <c r="AJ183" i="18" s="1"/>
  <c r="AK183" i="18" s="1"/>
  <c r="AL183" i="18" s="1"/>
  <c r="AM183" i="18" s="1"/>
  <c r="AN183" i="18" s="1"/>
  <c r="AO183" i="18" s="1"/>
  <c r="AP183" i="18" s="1"/>
  <c r="AQ183" i="18" s="1"/>
  <c r="AR183" i="18" s="1"/>
  <c r="AS183" i="18" s="1"/>
  <c r="V100" i="18"/>
  <c r="U105" i="18"/>
  <c r="U106" i="18" s="1"/>
  <c r="U107" i="18" s="1"/>
  <c r="U108" i="18" s="1"/>
  <c r="U50" i="18"/>
  <c r="Z120" i="18"/>
  <c r="Z130" i="18"/>
  <c r="Z121" i="18"/>
  <c r="Z131" i="18"/>
  <c r="AE23" i="18"/>
  <c r="AB91" i="18"/>
  <c r="AC23" i="18"/>
  <c r="V84" i="18"/>
  <c r="V123" i="18"/>
  <c r="V124" i="18"/>
  <c r="V90" i="18"/>
  <c r="V96" i="18" s="1"/>
  <c r="V119" i="18"/>
  <c r="Z115" i="18"/>
  <c r="Z114" i="18"/>
  <c r="Z113" i="18"/>
  <c r="Z103" i="18"/>
  <c r="U59" i="18"/>
  <c r="T61" i="18"/>
  <c r="T168" i="18" s="1"/>
  <c r="Z87" i="18"/>
  <c r="Z93" i="18" s="1"/>
  <c r="Z111" i="18"/>
  <c r="Z110" i="18"/>
  <c r="V102" i="18"/>
  <c r="V101" i="18"/>
  <c r="AA18" i="18"/>
  <c r="AB20" i="18"/>
  <c r="AA67" i="18"/>
  <c r="U77" i="18"/>
  <c r="U76" i="18"/>
  <c r="U55" i="18"/>
  <c r="U63" i="18"/>
  <c r="U169" i="18" s="1"/>
  <c r="U62" i="18"/>
  <c r="U57" i="18"/>
  <c r="U170" i="18" s="1"/>
  <c r="U60" i="18"/>
  <c r="U51" i="18"/>
  <c r="U73" i="18"/>
  <c r="U75" i="18"/>
  <c r="U128" i="18" s="1"/>
  <c r="U47" i="18"/>
  <c r="U46" i="18"/>
  <c r="U165" i="18" s="1"/>
  <c r="U56" i="18"/>
  <c r="U52" i="18"/>
  <c r="U53" i="18"/>
  <c r="U49" i="18"/>
  <c r="U171" i="18" s="1"/>
  <c r="AA27" i="18"/>
  <c r="W12" i="18"/>
  <c r="W15" i="18"/>
  <c r="W118" i="18" s="1"/>
  <c r="W13" i="18"/>
  <c r="W16" i="18"/>
  <c r="W126" i="18" s="1"/>
  <c r="W127" i="18" s="1"/>
  <c r="W10" i="18"/>
  <c r="W7" i="18"/>
  <c r="W6" i="18"/>
  <c r="AA25" i="18"/>
  <c r="Z81" i="18"/>
  <c r="W40" i="18"/>
  <c r="W89" i="18" s="1"/>
  <c r="W95" i="18" s="1"/>
  <c r="V82" i="18"/>
  <c r="V83" i="18"/>
  <c r="V42" i="18"/>
  <c r="U72" i="18"/>
  <c r="U70" i="18"/>
  <c r="U71" i="18"/>
  <c r="U69" i="18"/>
  <c r="AC21" i="18"/>
  <c r="W164" i="18"/>
  <c r="W172" i="18" s="1"/>
  <c r="T166" i="18"/>
  <c r="T167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91" i="18" l="1"/>
  <c r="AB97" i="18"/>
  <c r="AC97" i="18" s="1"/>
  <c r="AD182" i="18"/>
  <c r="AE182" i="18" s="1"/>
  <c r="AF182" i="18" s="1"/>
  <c r="AG182" i="18" s="1"/>
  <c r="AH182" i="18" s="1"/>
  <c r="AI182" i="18" s="1"/>
  <c r="AJ182" i="18" s="1"/>
  <c r="AK182" i="18" s="1"/>
  <c r="AL182" i="18" s="1"/>
  <c r="AM182" i="18" s="1"/>
  <c r="AN182" i="18" s="1"/>
  <c r="AO182" i="18" s="1"/>
  <c r="AP182" i="18" s="1"/>
  <c r="AQ182" i="18" s="1"/>
  <c r="AR182" i="18" s="1"/>
  <c r="AS182" i="18" s="1"/>
  <c r="W100" i="18"/>
  <c r="V105" i="18"/>
  <c r="V106" i="18" s="1"/>
  <c r="V107" i="18" s="1"/>
  <c r="V108" i="18" s="1"/>
  <c r="V50" i="18"/>
  <c r="AA120" i="18"/>
  <c r="AA130" i="18"/>
  <c r="AA121" i="18"/>
  <c r="AA131" i="18"/>
  <c r="AE20" i="18"/>
  <c r="AA85" i="18"/>
  <c r="W124" i="18"/>
  <c r="W123" i="18"/>
  <c r="W90" i="18"/>
  <c r="W96" i="18" s="1"/>
  <c r="W119" i="18"/>
  <c r="W84" i="18"/>
  <c r="AA114" i="18"/>
  <c r="AA113" i="18"/>
  <c r="AA115" i="18"/>
  <c r="AA103" i="18"/>
  <c r="U61" i="18"/>
  <c r="U168" i="18" s="1"/>
  <c r="AA87" i="18"/>
  <c r="AA93" i="18" s="1"/>
  <c r="AA111" i="18"/>
  <c r="AA110" i="18"/>
  <c r="V62" i="18"/>
  <c r="W102" i="18"/>
  <c r="W101" i="18"/>
  <c r="AB18" i="18"/>
  <c r="V77" i="18"/>
  <c r="V53" i="18"/>
  <c r="V60" i="18"/>
  <c r="AC20" i="18"/>
  <c r="AB67" i="18"/>
  <c r="V51" i="18"/>
  <c r="V59" i="18"/>
  <c r="V56" i="18"/>
  <c r="V76" i="18"/>
  <c r="V52" i="18"/>
  <c r="V57" i="18"/>
  <c r="V170" i="18" s="1"/>
  <c r="V73" i="18"/>
  <c r="V75" i="18"/>
  <c r="V128" i="18" s="1"/>
  <c r="V46" i="18"/>
  <c r="V165" i="18" s="1"/>
  <c r="V47" i="18"/>
  <c r="V55" i="18"/>
  <c r="V63" i="18"/>
  <c r="V169" i="18" s="1"/>
  <c r="V49" i="18"/>
  <c r="V171" i="18" s="1"/>
  <c r="AB27" i="18"/>
  <c r="AB131" i="18" s="1"/>
  <c r="AC131" i="18" s="1"/>
  <c r="X15" i="18"/>
  <c r="X118" i="18" s="1"/>
  <c r="X13" i="18"/>
  <c r="X12" i="18"/>
  <c r="X10" i="18"/>
  <c r="X16" i="18"/>
  <c r="X126" i="18" s="1"/>
  <c r="X127" i="18" s="1"/>
  <c r="X6" i="18"/>
  <c r="X7" i="18"/>
  <c r="X40" i="18"/>
  <c r="X89" i="18" s="1"/>
  <c r="X95" i="18" s="1"/>
  <c r="W83" i="18"/>
  <c r="W82" i="18"/>
  <c r="AB25" i="18"/>
  <c r="AB85" i="18" s="1"/>
  <c r="AC85" i="18" s="1"/>
  <c r="AA81" i="18"/>
  <c r="W42" i="18"/>
  <c r="V72" i="18"/>
  <c r="V70" i="18"/>
  <c r="V71" i="18"/>
  <c r="V69" i="18"/>
  <c r="X164" i="18"/>
  <c r="X172" i="18" s="1"/>
  <c r="U166" i="18"/>
  <c r="U167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0" i="18" l="1"/>
  <c r="W105" i="18"/>
  <c r="W106" i="18" s="1"/>
  <c r="W107" i="18" s="1"/>
  <c r="W108" i="18" s="1"/>
  <c r="W50" i="18"/>
  <c r="AB120" i="18"/>
  <c r="AC120" i="18" s="1"/>
  <c r="AB130" i="18"/>
  <c r="AC130" i="18" s="1"/>
  <c r="X90" i="18"/>
  <c r="X96" i="18" s="1"/>
  <c r="X119" i="18"/>
  <c r="X124" i="18"/>
  <c r="X123" i="18"/>
  <c r="AE27" i="18"/>
  <c r="AB121" i="18"/>
  <c r="AC121" i="18" s="1"/>
  <c r="X84" i="18"/>
  <c r="AB113" i="18"/>
  <c r="AC113" i="18" s="1"/>
  <c r="AB115" i="18"/>
  <c r="AC115" i="18" s="1"/>
  <c r="AB114" i="18"/>
  <c r="AC114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3" i="18"/>
  <c r="AC103" i="18" s="1"/>
  <c r="V61" i="18"/>
  <c r="V168" i="18" s="1"/>
  <c r="W60" i="18"/>
  <c r="AB87" i="18"/>
  <c r="AB111" i="18"/>
  <c r="AC111" i="18" s="1"/>
  <c r="AB110" i="18"/>
  <c r="AC110" i="18" s="1"/>
  <c r="X102" i="18"/>
  <c r="X101" i="18"/>
  <c r="AE25" i="18"/>
  <c r="AE18" i="18"/>
  <c r="AC18" i="18"/>
  <c r="S154" i="18"/>
  <c r="AE67" i="18"/>
  <c r="AC67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3" i="18"/>
  <c r="W169" i="18" s="1"/>
  <c r="W62" i="18"/>
  <c r="W57" i="18"/>
  <c r="W170" i="18" s="1"/>
  <c r="W59" i="18"/>
  <c r="W56" i="18"/>
  <c r="W76" i="18"/>
  <c r="W55" i="18"/>
  <c r="W77" i="18"/>
  <c r="W73" i="18"/>
  <c r="W75" i="18"/>
  <c r="W128" i="18" s="1"/>
  <c r="W47" i="18"/>
  <c r="W46" i="18"/>
  <c r="W165" i="18" s="1"/>
  <c r="W51" i="18"/>
  <c r="W52" i="18"/>
  <c r="W53" i="18"/>
  <c r="W49" i="18"/>
  <c r="W171" i="18" s="1"/>
  <c r="AC27" i="18"/>
  <c r="Y12" i="18"/>
  <c r="Y15" i="18"/>
  <c r="Y118" i="18" s="1"/>
  <c r="Y13" i="18"/>
  <c r="Y10" i="18"/>
  <c r="Y16" i="18"/>
  <c r="Y126" i="18" s="1"/>
  <c r="Y127" i="18" s="1"/>
  <c r="Y7" i="18"/>
  <c r="Y6" i="18"/>
  <c r="AC25" i="18"/>
  <c r="AB81" i="18"/>
  <c r="AC81" i="18" s="1"/>
  <c r="Y40" i="18"/>
  <c r="Y89" i="18" s="1"/>
  <c r="Y95" i="18" s="1"/>
  <c r="X83" i="18"/>
  <c r="X82" i="18"/>
  <c r="O31" i="9"/>
  <c r="O32" i="9" s="1"/>
  <c r="X42" i="18"/>
  <c r="W72" i="18"/>
  <c r="W70" i="18"/>
  <c r="W71" i="18"/>
  <c r="W69" i="18"/>
  <c r="Y164" i="18"/>
  <c r="Y172" i="18" s="1"/>
  <c r="V166" i="18"/>
  <c r="V167" i="18"/>
  <c r="P31" i="11"/>
  <c r="N32" i="11"/>
  <c r="T19" i="9"/>
  <c r="D22" i="9"/>
  <c r="AC87" i="18" l="1"/>
  <c r="AB93" i="18"/>
  <c r="AC93" i="18" s="1"/>
  <c r="Y100" i="18"/>
  <c r="X105" i="18"/>
  <c r="X106" i="18" s="1"/>
  <c r="X107" i="18" s="1"/>
  <c r="X108" i="18" s="1"/>
  <c r="X50" i="18"/>
  <c r="Y124" i="18"/>
  <c r="Y123" i="18"/>
  <c r="Y90" i="18"/>
  <c r="Y96" i="18" s="1"/>
  <c r="Y119" i="18"/>
  <c r="Y84" i="18"/>
  <c r="W61" i="18"/>
  <c r="W168" i="18" s="1"/>
  <c r="X53" i="18"/>
  <c r="Y101" i="18"/>
  <c r="Y102" i="18"/>
  <c r="T154" i="18"/>
  <c r="R154" i="18" s="1"/>
  <c r="X55" i="18"/>
  <c r="X62" i="18"/>
  <c r="X49" i="18"/>
  <c r="X171" i="18" s="1"/>
  <c r="X57" i="18"/>
  <c r="X170" i="18" s="1"/>
  <c r="X52" i="18"/>
  <c r="X51" i="18"/>
  <c r="X73" i="18"/>
  <c r="X75" i="18"/>
  <c r="X128" i="18" s="1"/>
  <c r="X47" i="18"/>
  <c r="X46" i="18"/>
  <c r="X165" i="18" s="1"/>
  <c r="X77" i="18"/>
  <c r="X56" i="18"/>
  <c r="X63" i="18"/>
  <c r="X169" i="18" s="1"/>
  <c r="X60" i="18"/>
  <c r="X59" i="18"/>
  <c r="X76" i="18"/>
  <c r="Z13" i="18"/>
  <c r="Z12" i="18"/>
  <c r="Z15" i="18"/>
  <c r="Z118" i="18" s="1"/>
  <c r="Z10" i="18"/>
  <c r="Z16" i="18"/>
  <c r="Z126" i="18" s="1"/>
  <c r="Z127" i="18" s="1"/>
  <c r="Z6" i="18"/>
  <c r="Z7" i="18"/>
  <c r="Z40" i="18"/>
  <c r="Z89" i="18" s="1"/>
  <c r="Z95" i="18" s="1"/>
  <c r="Y83" i="18"/>
  <c r="Y82" i="18"/>
  <c r="Y42" i="18"/>
  <c r="X72" i="18"/>
  <c r="X70" i="18"/>
  <c r="X71" i="18"/>
  <c r="X69" i="18"/>
  <c r="Z164" i="18"/>
  <c r="Z172" i="18" s="1"/>
  <c r="W166" i="18"/>
  <c r="W167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0" i="18" l="1"/>
  <c r="Y105" i="18"/>
  <c r="Y106" i="18" s="1"/>
  <c r="Y107" i="18" s="1"/>
  <c r="Y108" i="18" s="1"/>
  <c r="Y50" i="18"/>
  <c r="Z90" i="18"/>
  <c r="Z96" i="18" s="1"/>
  <c r="Z119" i="18"/>
  <c r="Z123" i="18"/>
  <c r="Z124" i="18"/>
  <c r="Z84" i="18"/>
  <c r="Z101" i="18"/>
  <c r="Z102" i="18"/>
  <c r="X61" i="18"/>
  <c r="X168" i="18" s="1"/>
  <c r="Y73" i="18"/>
  <c r="Y75" i="18"/>
  <c r="Y128" i="18" s="1"/>
  <c r="Y46" i="18"/>
  <c r="Y165" i="18" s="1"/>
  <c r="Y47" i="18"/>
  <c r="Y57" i="18"/>
  <c r="Y170" i="18" s="1"/>
  <c r="Y63" i="18"/>
  <c r="Y169" i="18" s="1"/>
  <c r="Y62" i="18"/>
  <c r="Y60" i="18"/>
  <c r="Y51" i="18"/>
  <c r="Y49" i="18"/>
  <c r="Y171" i="18" s="1"/>
  <c r="Y56" i="18"/>
  <c r="Y52" i="18"/>
  <c r="Y53" i="18"/>
  <c r="Y59" i="18"/>
  <c r="Y76" i="18"/>
  <c r="Y55" i="18"/>
  <c r="Y77" i="18"/>
  <c r="AA12" i="18"/>
  <c r="AA15" i="18"/>
  <c r="AA118" i="18" s="1"/>
  <c r="AA13" i="18"/>
  <c r="AA10" i="18"/>
  <c r="AA16" i="18"/>
  <c r="AA126" i="18" s="1"/>
  <c r="AA127" i="18" s="1"/>
  <c r="AA7" i="18"/>
  <c r="AA6" i="18"/>
  <c r="AA40" i="18"/>
  <c r="AA89" i="18" s="1"/>
  <c r="AA95" i="18" s="1"/>
  <c r="Z82" i="18"/>
  <c r="Z83" i="18"/>
  <c r="Z42" i="18"/>
  <c r="Y72" i="18"/>
  <c r="Y70" i="18"/>
  <c r="Y71" i="18"/>
  <c r="Y69" i="18"/>
  <c r="AA164" i="18"/>
  <c r="AA172" i="18" s="1"/>
  <c r="X166" i="18"/>
  <c r="X167" i="18"/>
  <c r="N34" i="11"/>
  <c r="O33" i="11"/>
  <c r="D25" i="8"/>
  <c r="D23" i="8"/>
  <c r="AA100" i="18" l="1"/>
  <c r="Z105" i="18"/>
  <c r="Z106" i="18" s="1"/>
  <c r="Z107" i="18" s="1"/>
  <c r="Z108" i="18" s="1"/>
  <c r="Z50" i="18"/>
  <c r="AA84" i="18"/>
  <c r="AA123" i="18"/>
  <c r="AA124" i="18"/>
  <c r="AA90" i="18"/>
  <c r="AA96" i="18" s="1"/>
  <c r="AA119" i="18"/>
  <c r="AA101" i="18"/>
  <c r="AA102" i="18"/>
  <c r="Y61" i="18"/>
  <c r="Y168" i="18" s="1"/>
  <c r="Z73" i="18"/>
  <c r="Z75" i="18"/>
  <c r="Z128" i="18" s="1"/>
  <c r="Z47" i="18"/>
  <c r="Z46" i="18"/>
  <c r="Z165" i="18" s="1"/>
  <c r="Z51" i="18"/>
  <c r="Z62" i="18"/>
  <c r="Z52" i="18"/>
  <c r="Z57" i="18"/>
  <c r="Z170" i="18" s="1"/>
  <c r="Z60" i="18"/>
  <c r="Z59" i="18"/>
  <c r="Z77" i="18"/>
  <c r="Z63" i="18"/>
  <c r="Z169" i="18" s="1"/>
  <c r="Z49" i="18"/>
  <c r="Z171" i="18" s="1"/>
  <c r="Z56" i="18"/>
  <c r="Z76" i="18"/>
  <c r="Z55" i="18"/>
  <c r="Z53" i="18"/>
  <c r="AB15" i="18"/>
  <c r="AB13" i="18"/>
  <c r="AE13" i="18" s="1"/>
  <c r="AB12" i="18"/>
  <c r="AB119" i="18" s="1"/>
  <c r="AC119" i="18" s="1"/>
  <c r="AB10" i="18"/>
  <c r="AB16" i="18"/>
  <c r="AB6" i="18"/>
  <c r="AE6" i="18" s="1"/>
  <c r="AB7" i="18"/>
  <c r="AE7" i="18" s="1"/>
  <c r="AB40" i="18"/>
  <c r="AB89" i="18" s="1"/>
  <c r="AA83" i="18"/>
  <c r="AA82" i="18"/>
  <c r="AA42" i="18"/>
  <c r="Z72" i="18"/>
  <c r="Z70" i="18"/>
  <c r="Z71" i="18"/>
  <c r="Z69" i="18"/>
  <c r="AB164" i="18"/>
  <c r="AB172" i="18" s="1"/>
  <c r="Y166" i="18"/>
  <c r="Y167" i="18"/>
  <c r="N35" i="11"/>
  <c r="O34" i="11"/>
  <c r="D35" i="8"/>
  <c r="E5" i="8"/>
  <c r="E18" i="8" s="1"/>
  <c r="D18" i="8"/>
  <c r="D19" i="8"/>
  <c r="D21" i="8"/>
  <c r="D20" i="8"/>
  <c r="AC89" i="18" l="1"/>
  <c r="AB95" i="18"/>
  <c r="AC95" i="18" s="1"/>
  <c r="AB100" i="18"/>
  <c r="AC172" i="18"/>
  <c r="AE172" i="18" s="1"/>
  <c r="AA105" i="18"/>
  <c r="AA106" i="18" s="1"/>
  <c r="AA107" i="18" s="1"/>
  <c r="AA108" i="18" s="1"/>
  <c r="AA50" i="18"/>
  <c r="AE16" i="18"/>
  <c r="AB126" i="18"/>
  <c r="AB124" i="18"/>
  <c r="AC124" i="18" s="1"/>
  <c r="AB123" i="18"/>
  <c r="AC123" i="18" s="1"/>
  <c r="AE15" i="18"/>
  <c r="AB118" i="18"/>
  <c r="AC118" i="18" s="1"/>
  <c r="AB84" i="18"/>
  <c r="AC84" i="18" s="1"/>
  <c r="AE10" i="18"/>
  <c r="AC100" i="18"/>
  <c r="AE12" i="18"/>
  <c r="AB90" i="18"/>
  <c r="AE40" i="18"/>
  <c r="AB101" i="18"/>
  <c r="AC101" i="18" s="1"/>
  <c r="AB102" i="18"/>
  <c r="AC102" i="18" s="1"/>
  <c r="Z61" i="18"/>
  <c r="Z168" i="18" s="1"/>
  <c r="AA73" i="18"/>
  <c r="AA75" i="18"/>
  <c r="AA128" i="18" s="1"/>
  <c r="AA46" i="18"/>
  <c r="AA165" i="18" s="1"/>
  <c r="AA47" i="18"/>
  <c r="AA55" i="18"/>
  <c r="AA63" i="18"/>
  <c r="AA169" i="18" s="1"/>
  <c r="AA49" i="18"/>
  <c r="AA171" i="18" s="1"/>
  <c r="AA57" i="18"/>
  <c r="AA170" i="18" s="1"/>
  <c r="AA60" i="18"/>
  <c r="AA76" i="18"/>
  <c r="AA51" i="18"/>
  <c r="AA52" i="18"/>
  <c r="AA53" i="18"/>
  <c r="AA56" i="18"/>
  <c r="AA77" i="18"/>
  <c r="AA59" i="18"/>
  <c r="AA62" i="18"/>
  <c r="AC15" i="18"/>
  <c r="AC13" i="18"/>
  <c r="S148" i="18"/>
  <c r="AC12" i="18"/>
  <c r="AC10" i="18"/>
  <c r="AC16" i="18"/>
  <c r="AC7" i="18"/>
  <c r="AC6" i="18"/>
  <c r="AB83" i="18"/>
  <c r="AC83" i="18" s="1"/>
  <c r="AB82" i="18"/>
  <c r="AC82" i="18" s="1"/>
  <c r="AC40" i="18"/>
  <c r="AB42" i="18"/>
  <c r="AA72" i="18"/>
  <c r="AA70" i="18"/>
  <c r="AA71" i="18"/>
  <c r="AA69" i="18"/>
  <c r="AC164" i="18"/>
  <c r="AE164" i="18" s="1"/>
  <c r="Z166" i="18"/>
  <c r="Z167" i="18"/>
  <c r="N36" i="11"/>
  <c r="O35" i="11"/>
  <c r="F5" i="8"/>
  <c r="G5" i="8" s="1"/>
  <c r="H5" i="8" s="1"/>
  <c r="I5" i="8" s="1"/>
  <c r="AC90" i="18" l="1"/>
  <c r="AB96" i="18"/>
  <c r="AC96" i="18" s="1"/>
  <c r="AB105" i="18"/>
  <c r="AB106" i="18" s="1"/>
  <c r="AB107" i="18" s="1"/>
  <c r="AB108" i="18" s="1"/>
  <c r="AB50" i="18"/>
  <c r="AC126" i="18"/>
  <c r="AB127" i="18"/>
  <c r="AC127" i="18" s="1"/>
  <c r="AE42" i="18"/>
  <c r="T148" i="18"/>
  <c r="T149" i="18" s="1"/>
  <c r="AA61" i="18"/>
  <c r="AA168" i="18" s="1"/>
  <c r="AB73" i="18"/>
  <c r="AB75" i="18"/>
  <c r="AB46" i="18"/>
  <c r="AB165" i="18" s="1"/>
  <c r="AC165" i="18" s="1"/>
  <c r="AE165" i="18" s="1"/>
  <c r="AB47" i="18"/>
  <c r="AB55" i="18"/>
  <c r="AB60" i="18"/>
  <c r="AB49" i="18"/>
  <c r="AB57" i="18"/>
  <c r="AB53" i="18"/>
  <c r="AB76" i="18"/>
  <c r="AB52" i="18"/>
  <c r="AE52" i="18" s="1"/>
  <c r="AB51" i="18"/>
  <c r="AB62" i="18"/>
  <c r="AB77" i="18"/>
  <c r="AB56" i="18"/>
  <c r="AB63" i="18"/>
  <c r="AB59" i="18"/>
  <c r="S149" i="18"/>
  <c r="AB72" i="18"/>
  <c r="AB70" i="18"/>
  <c r="AC42" i="18"/>
  <c r="AB71" i="18"/>
  <c r="AB69" i="18"/>
  <c r="AA166" i="18"/>
  <c r="AA167" i="18"/>
  <c r="N37" i="11"/>
  <c r="O36" i="11"/>
  <c r="F18" i="8"/>
  <c r="G18" i="8"/>
  <c r="AE49" i="18" l="1"/>
  <c r="AB171" i="18"/>
  <c r="AE50" i="18"/>
  <c r="AC50" i="18"/>
  <c r="AE75" i="18"/>
  <c r="AB128" i="18"/>
  <c r="AC128" i="18" s="1"/>
  <c r="AC105" i="18"/>
  <c r="R148" i="18"/>
  <c r="R149" i="18"/>
  <c r="M179" i="18" s="1"/>
  <c r="AC76" i="18"/>
  <c r="AE76" i="18"/>
  <c r="AC47" i="18"/>
  <c r="AE47" i="18"/>
  <c r="S145" i="18"/>
  <c r="AE62" i="18"/>
  <c r="AB169" i="18"/>
  <c r="AC169" i="18" s="1"/>
  <c r="AE169" i="18" s="1"/>
  <c r="AE63" i="18"/>
  <c r="AC46" i="18"/>
  <c r="AE46" i="18"/>
  <c r="AC60" i="18"/>
  <c r="AE60" i="18"/>
  <c r="S139" i="18"/>
  <c r="AE59" i="18"/>
  <c r="S138" i="18"/>
  <c r="AE53" i="18"/>
  <c r="AB170" i="18"/>
  <c r="AC170" i="18" s="1"/>
  <c r="AE170" i="18" s="1"/>
  <c r="AE57" i="18"/>
  <c r="AC56" i="18"/>
  <c r="AE56" i="18"/>
  <c r="S136" i="18"/>
  <c r="AE51" i="18"/>
  <c r="S141" i="18"/>
  <c r="AE55" i="18"/>
  <c r="AC77" i="18"/>
  <c r="AE77" i="18"/>
  <c r="S161" i="18"/>
  <c r="AE73" i="18"/>
  <c r="S159" i="18"/>
  <c r="AE72" i="18"/>
  <c r="S158" i="18"/>
  <c r="AE71" i="18"/>
  <c r="S156" i="18"/>
  <c r="AE69" i="18"/>
  <c r="S157" i="18"/>
  <c r="AE70" i="18"/>
  <c r="AC62" i="18"/>
  <c r="S142" i="18"/>
  <c r="AC51" i="18"/>
  <c r="AC53" i="18"/>
  <c r="T138" i="18" s="1"/>
  <c r="AC55" i="18"/>
  <c r="S143" i="18"/>
  <c r="AC73" i="18"/>
  <c r="AC59" i="18"/>
  <c r="S146" i="18"/>
  <c r="AB61" i="18"/>
  <c r="AC57" i="18"/>
  <c r="AC63" i="18"/>
  <c r="AC75" i="18"/>
  <c r="AC71" i="18"/>
  <c r="AC70" i="18"/>
  <c r="AC69" i="18"/>
  <c r="AC72" i="18"/>
  <c r="S135" i="18"/>
  <c r="AC49" i="18"/>
  <c r="AB166" i="18"/>
  <c r="AC52" i="18"/>
  <c r="T137" i="18" s="1"/>
  <c r="AB167" i="18"/>
  <c r="S137" i="18"/>
  <c r="N38" i="11"/>
  <c r="O37" i="11"/>
  <c r="H18" i="8"/>
  <c r="AC171" i="18" l="1"/>
  <c r="AE171" i="18" s="1"/>
  <c r="T135" i="18"/>
  <c r="R135" i="18" s="1"/>
  <c r="P181" i="18" s="1"/>
  <c r="P182" i="18" s="1"/>
  <c r="P179" i="18"/>
  <c r="AC106" i="18"/>
  <c r="T146" i="18"/>
  <c r="R146" i="18" s="1"/>
  <c r="T136" i="18"/>
  <c r="R136" i="18" s="1"/>
  <c r="M178" i="18" s="1"/>
  <c r="T145" i="18"/>
  <c r="R145" i="18" s="1"/>
  <c r="T141" i="18"/>
  <c r="R141" i="18" s="1"/>
  <c r="T143" i="18"/>
  <c r="R143" i="18" s="1"/>
  <c r="T161" i="18"/>
  <c r="R161" i="18" s="1"/>
  <c r="T158" i="18"/>
  <c r="R158" i="18" s="1"/>
  <c r="AC61" i="18"/>
  <c r="AE61" i="18"/>
  <c r="T139" i="18"/>
  <c r="R139" i="18" s="1"/>
  <c r="R138" i="18"/>
  <c r="T142" i="18"/>
  <c r="R142" i="18" s="1"/>
  <c r="T156" i="18"/>
  <c r="R156" i="18" s="1"/>
  <c r="AB168" i="18"/>
  <c r="AC168" i="18" s="1"/>
  <c r="AE168" i="18" s="1"/>
  <c r="T159" i="18"/>
  <c r="R159" i="18" s="1"/>
  <c r="T157" i="18"/>
  <c r="R157" i="18" s="1"/>
  <c r="AC167" i="18"/>
  <c r="AE167" i="18" s="1"/>
  <c r="AC166" i="18"/>
  <c r="AE166" i="18" s="1"/>
  <c r="R137" i="18"/>
  <c r="N39" i="11"/>
  <c r="O38" i="11"/>
  <c r="I18" i="8"/>
  <c r="P180" i="18" l="1"/>
  <c r="M180" i="18"/>
  <c r="P178" i="18"/>
  <c r="P177" i="18"/>
  <c r="M177" i="18"/>
  <c r="AC108" i="18"/>
  <c r="AC107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2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<sst xmlns="http://schemas.openxmlformats.org/spreadsheetml/2006/main" count="615" uniqueCount="425">
  <si>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</si>
  <si>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</si>
  <si>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</si>
  <si>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</si>
  <si>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</si>
  <si>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</si>
  <si>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</si>
  <si>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</si>
  <si>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</si>
  <si>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</si>
  <si>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</si>
  <si>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</si>
  <si>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</si>
  <si>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</si>
  <si>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</si>
  <si>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</si>
  <si>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</si>
  <si>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</si>
  <si>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</si>
  <si>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</si>
  <si>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</si>
  <si>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</si>
  <si>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</si>
  <si>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</si>
  <si>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</si>
  <si>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</si>
  <si>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</si>
  <si>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</si>
  <si>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</si>
  <si>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</si>
  <si>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</si>
  <si>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</si>
  <si>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</si>
  <si>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</si>
  <si>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</si>
  <si>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</si>
  <si>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</si>
  <si>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</si>
  <si>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</si>
  <si>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</si>
  <si>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</si>
  <si>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</si>
  <si>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</si>
  <si>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</si>
  <si>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</si>
  <si>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</si>
  <si>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</si>
  <si>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</si>
  <si>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</si>
  <si>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</si>
  <si>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</si>
  <si>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</si>
  <si>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</si>
  <si>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</si>
  <si>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</si>
  <si>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</si>
  <si>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</si>
  <si>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</si>
  <si>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</si>
  <si>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</si>
  <si>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</si>
  <si>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</si>
  <si>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</si>
  <si>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</si>
  <si>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</si>
  <si>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</si>
  <si>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</si>
  <si>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</si>
  <si>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</si>
  <si>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</si>
  <si>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</si>
  <si>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</si>
  <si>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</si>
  <si>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</si>
  <si>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</si>
  <si>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</si>
  <si>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</si>
  <si>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</si>
  <si>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</si>
  <si>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</si>
  <si>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</si>
  <si>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</si>
  <si>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</si>
  <si>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</si>
  <si>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</si>
  <si>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</si>
  <si>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</si>
  <si>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</si>
  <si>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</si>
  <si>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</si>
  <si>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</si>
  <si>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</si>
  <si>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</si>
  <si>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</si>
  <si>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</si>
  <si>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</si>
  <si>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</si>
  <si>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</si>
  <si>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</si>
  <si>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</si>
  <si>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</si>
  <si>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</si>
  <si>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</si>
  <si>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</si>
  <si>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</si>
  <si>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</si>
  <si>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</si>
  <si>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</si>
  <si>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</si>
  <si>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</si>
  <si>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</si>
  <si>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</si>
  <si>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</si>
  <si>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</si>
  <si>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</si>
  <si>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</si>
  <si>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</si>
  <si>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</si>
  <si>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</si>
  <si>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</si>
  <si>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</si>
  <si>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</si>
  <si>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</si>
  <si>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</si>
  <si>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</si>
  <si>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</si>
  <si>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</si>
  <si>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</si>
  <si>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</si>
  <si>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</si>
  <si>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</si>
  <si>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</si>
  <si>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</si>
  <si>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</si>
  <si>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</si>
  <si>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</si>
  <si>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</si>
  <si>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</si>
  <si>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</si>
  <si>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</si>
  <si>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</si>
  <si>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</si>
  <si>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</si>
  <si>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</si>
  <si>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</si>
  <si>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</si>
  <si>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</si>
  <si>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</si>
  <si>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</si>
  <si>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</si>
  <si>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</si>
  <si>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</si>
  <si>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</si>
  <si>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</si>
  <si>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</si>
  <si>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</si>
  <si>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</si>
  <si>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</si>
  <si>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</si>
  <si>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</si>
  <si>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</si>
  <si>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</si>
  <si>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</si>
  <si>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</si>
  <si>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</si>
  <si>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</si>
  <si>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</si>
  <si>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</si>
  <si>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</si>
  <si>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</si>
  <si>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</si>
  <si>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</si>
  <si>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</si>
  <si>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</si>
  <si>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</si>
  <si>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</si>
  <si>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</si>
  <si>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</si>
  <si>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</si>
  <si>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</si>
  <si>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</si>
  <si>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</si>
  <si>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</si>
  <si>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</si>
  <si>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</si>
  <si>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</si>
  <si>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</si>
  <si>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</si>
  <si>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</si>
  <si>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</si>
  <si>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</si>
  <si>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</si>
  <si>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</si>
  <si>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</si>
  <si>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</si>
  <si>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</si>
  <si>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</si>
  <si>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</si>
  <si>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</si>
  <si>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</si>
  <si>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</si>
  <si>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</si>
  <si>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</si>
  <si>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</si>
  <si>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</si>
  <si>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</si>
  <si>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</si>
  <si>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</si>
  <si>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</si>
  <si>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</si>
  <si>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</si>
  <si>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</si>
  <si>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</si>
  <si>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</si>
  <si>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</si>
  <si>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</si>
  <si>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</si>
  <si>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</si>
  <si>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</si>
  <si>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</si>
  <si>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</si>
  <si>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</si>
  <si>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</si>
  <si>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</si>
  <si>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</si>
  <si>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</si>
  <si>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</si>
  <si>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</si>
  <si>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</si>
  <si>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</si>
  <si>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</si>
  <si>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</si>
  <si>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</si>
  <si>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</si>
  <si>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</si>
  <si>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</si>
  <si>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</si>
  <si>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</si>
  <si>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</si>
  <si>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</si>
  <si>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</si>
  <si>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</si>
  <si>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</si>
  <si>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</si>
  <si>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</si>
  <si>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</si>
  <si>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</si>
  <si>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</si>
  <si>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</si>
  <si>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</si>
  <si>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</si>
  <si>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</si>
  <si>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</si>
  <si>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</si>
  <si>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</si>
  <si>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</si>
  <si>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</si>
  <si>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</si>
  <si>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</si>
  <si>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</si>
  <si>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</si>
  <si>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</si>
  <si>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</si>
  <si>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</si>
  <si>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</si>
  <si>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</si>
  <si>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</si>
  <si>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</si>
  <si>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</si>
  <si>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</si>
  <si>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</si>
  <si>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</si>
  <si>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</si>
  <si>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</si>
  <si>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</si>
  <si>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</si>
  <si>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</si>
  <si>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</si>
  <si>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</si>
  <si>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</si>
  <si>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</si>
  <si>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</si>
  <si>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</si>
  <si>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</si>
  <si>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</si>
  <si>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</si>
  <si>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</si>
  <si>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</si>
  <si>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</si>
  <si>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</si>
  <si>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</si>
  <si>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</si>
  <si>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</si>
  <si>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</si>
  <si>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</si>
  <si>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</si>
  <si>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</si>
  <si>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</si>
  <si>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</si>
  <si>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</si>
  <si>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</si>
  <si>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</si>
  <si>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</si>
  <si>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</si>
  <si>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</si>
  <si>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</si>
  <si>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</si>
  <si>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</si>
  <si>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</si>
  <si>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</si>
  <si>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</si>
  <si>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</si>
  <si>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</si>
  <si>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</si>
  <si>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</si>
  <si>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</si>
  <si>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</si>
  <si>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</si>
  <si>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</si>
  <si>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</si>
  <si>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</si>
  <si>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</si>
  <si>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</si>
  <si>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</si>
  <si>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</si>
  <si>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</si>
  <si>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</si>
  <si>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</si>
  <si>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</si>
  <si>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</si>
  <si>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</si>
  <si>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</si>
  <si>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</si>
  <si>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</si>
  <si>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</si>
  <si>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</si>
  <si>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</si>
  <si>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</si>
  <si>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</si>
  <si>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</si>
  <si>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</si>
  <si>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</si>
  <si>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</si>
  <si>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</si>
  <si>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</si>
  <si>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</si>
  <si>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</si>
  <si>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</si>
  <si>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</si>
  <si>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</si>
  <si>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</si>
  <si>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</si>
  <si>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</si>
  <si>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</si>
  <si>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</si>
  <si>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</si>
  <si>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</si>
  <si>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</si>
  <si>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</si>
  <si>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</si>
  <si>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</si>
  <si>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</si>
  <si>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</si>
  <si>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</si>
  <si>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</si>
  <si>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</si>
  <si>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</si>
  <si>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</si>
  <si>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</si>
  <si>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</si>
  <si>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</si>
  <si>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</si>
  <si>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</si>
  <si>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</si>
  <si>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</si>
  <si>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</si>
  <si>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</si>
  <si>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</si>
  <si>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</si>
  <si>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</si>
  <si>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</si>
  <si>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</si>
  <si>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</si>
  <si>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</si>
  <si>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</si>
  <si>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</si>
  <si>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</si>
  <si>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</si>
  <si>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</si>
  <si>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</si>
  <si>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</si>
  <si>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</si>
  <si>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</si>
  <si>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</si>
  <si>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</si>
  <si>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</si>
  <si>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</si>
  <si>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</si>
  <si>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</si>
  <si>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</si>
  <si>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</si>
  <si>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</si>
  <si>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</si>
  <si>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</si>
  <si>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</si>
  <si>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</si>
  <si>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</si>
  <si>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</si>
  <si>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</si>
  <si>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</si>
  <si>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</si>
  <si>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</si>
  <si>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</si>
  <si>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</si>
  <si>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</si>
  <si>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</si>
  <si>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</si>
  <si>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</si>
  <si>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</si>
  <si>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</si>
  <si>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</si>
  <si>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</si>
  <si>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</si>
  <si>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Top Expenses ( Empl )</t>
  </si>
  <si>
    <t>2nd highest Expenses Comp. ( Raw material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</si>
</sst>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54816"/>
        <c:axId val="57556352"/>
      </c:lineChart>
      <c:catAx>
        <c:axId val="57554816"/>
        <c:scaling>
          <c:orientation val="minMax"/>
        </c:scaling>
        <c:delete val="0"/>
        <c:axPos val="b"/>
        <c:majorTickMark val="out"/>
        <c:minorTickMark val="none"/>
        <c:tickLblPos val="nextTo"/>
        <c:crossAx val="57556352"/>
        <c:crosses val="autoZero"/>
        <c:auto val="1"/>
        <c:lblAlgn val="ctr"/>
        <c:lblOffset val="100"/>
        <c:noMultiLvlLbl val="0"/>
      </c:catAx>
      <c:valAx>
        <c:axId val="57556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55481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317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4"/>
  <sheetViews>
    <sheetView tabSelected="1" zoomScale="80" zoomScaleNormal="80" workbookViewId="0">
      <pane xSplit="2" ySplit="3" topLeftCell="J163" activePane="bottomRight" state="frozen"/>
      <selection pane="topRight" activeCell="C1" sqref="C1"/>
      <selection pane="bottomLeft" activeCell="A5" sqref="A5"/>
      <selection pane="bottomRight" activeCell="L184" sqref="L184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1.710937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325</v>
      </c>
      <c r="L1" s="164">
        <v>0.05</v>
      </c>
      <c r="N1" s="104" t="s">
        <v>397</v>
      </c>
      <c r="P1" s="164">
        <v>0.05</v>
      </c>
    </row>
    <row r="2" spans="2:31" x14ac:dyDescent="0.2">
      <c r="B2" s="153" t="s">
        <v>314</v>
      </c>
      <c r="C2" s="120"/>
      <c r="F2" s="104" t="s">
        <v>253</v>
      </c>
      <c r="H2" s="126">
        <v>2013</v>
      </c>
      <c r="J2" s="104" t="s">
        <v>326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0" t="s">
        <v>291</v>
      </c>
      <c r="AE2" s="191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2" t="s">
        <v>292</v>
      </c>
      <c r="AE3" s="193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3380</v>
      </c>
      <c r="H6" s="147">
        <v>4561</v>
      </c>
      <c r="I6" s="147">
        <v>5025</v>
      </c>
      <c r="J6" s="147">
        <v>6338</v>
      </c>
      <c r="K6" s="147">
        <v>13971</v>
      </c>
      <c r="L6" s="147">
        <v>14072</v>
      </c>
      <c r="M6" s="147">
        <v>20956</v>
      </c>
      <c r="N6" s="147">
        <v>26997</v>
      </c>
      <c r="O6" s="147">
        <v>34136</v>
      </c>
      <c r="P6" s="147">
        <v>42155</v>
      </c>
      <c r="Q6" s="118">
        <f>((P6/G6)^(1/($H$2-$H$1) ))-1</f>
        <v>0.32364116729030856</v>
      </c>
      <c r="R6" s="31">
        <f>$L$2</f>
        <v>0.12</v>
      </c>
      <c r="S6" s="154">
        <f>P6*(1+$R6)</f>
        <v>47213.600000000006</v>
      </c>
      <c r="T6" s="154">
        <f>S6*(1+$R6)</f>
        <v>52879.232000000011</v>
      </c>
      <c r="U6" s="154">
        <f t="shared" ref="U6:AB6" si="0">T6*(1+$R6)</f>
        <v>59224.739840000017</v>
      </c>
      <c r="V6" s="154">
        <f t="shared" si="0"/>
        <v>66331.708620800026</v>
      </c>
      <c r="W6" s="154">
        <f t="shared" si="0"/>
        <v>74291.513655296032</v>
      </c>
      <c r="X6" s="154">
        <f t="shared" si="0"/>
        <v>83206.49529393157</v>
      </c>
      <c r="Y6" s="154">
        <f t="shared" si="0"/>
        <v>93191.27472920336</v>
      </c>
      <c r="Z6" s="154">
        <f t="shared" si="0"/>
        <v>104374.22769670778</v>
      </c>
      <c r="AA6" s="154">
        <f t="shared" si="0"/>
        <v>116899.13502031272</v>
      </c>
      <c r="AB6" s="154">
        <f t="shared" si="0"/>
        <v>130927.03122275026</v>
      </c>
      <c r="AC6" s="138">
        <f>((AB6/G6)^(1/($AB$3-$H$1) ))-1</f>
        <v>0.21222957324194258</v>
      </c>
      <c r="AD6" s="31">
        <f>$L$1</f>
        <v>0.05</v>
      </c>
      <c r="AE6" s="146">
        <f t="shared" ref="AE6:AE43" si="1">(AB6*(1+AD6))/($C$1-AD6)</f>
        <v>808666.95755228121</v>
      </c>
    </row>
    <row r="7" spans="2:31" x14ac:dyDescent="0.2">
      <c r="B7" s="20" t="s">
        <v>240</v>
      </c>
      <c r="C7" s="141"/>
      <c r="D7" s="141"/>
      <c r="E7" s="147"/>
      <c r="F7" s="147"/>
      <c r="G7" s="147">
        <v>9697</v>
      </c>
      <c r="H7" s="147">
        <v>10878</v>
      </c>
      <c r="I7" s="147">
        <v>11341</v>
      </c>
      <c r="J7" s="147">
        <v>12654</v>
      </c>
      <c r="K7" s="147">
        <v>20288</v>
      </c>
      <c r="L7" s="147">
        <v>20388</v>
      </c>
      <c r="M7" s="147">
        <v>27272</v>
      </c>
      <c r="N7" s="147">
        <v>33314</v>
      </c>
      <c r="O7" s="147">
        <v>40453</v>
      </c>
      <c r="P7" s="147">
        <v>48471</v>
      </c>
      <c r="Q7" s="118">
        <f>((P7/G7)^(1/($H$2-$H$1) ))-1</f>
        <v>0.19577480402315328</v>
      </c>
      <c r="R7" s="31">
        <f>$L$2</f>
        <v>0.12</v>
      </c>
      <c r="S7" s="154">
        <f t="shared" ref="S7:S16" si="2">P7*(1+$R7)</f>
        <v>54287.520000000004</v>
      </c>
      <c r="T7" s="154">
        <f t="shared" ref="T7:AB7" si="3">S7*(1+$R7)</f>
        <v>60802.022400000009</v>
      </c>
      <c r="U7" s="154">
        <f t="shared" si="3"/>
        <v>68098.265088000015</v>
      </c>
      <c r="V7" s="154">
        <f t="shared" si="3"/>
        <v>76270.056898560026</v>
      </c>
      <c r="W7" s="154">
        <f t="shared" si="3"/>
        <v>85422.463726387243</v>
      </c>
      <c r="X7" s="154">
        <f t="shared" si="3"/>
        <v>95673.159373553717</v>
      </c>
      <c r="Y7" s="154">
        <f t="shared" si="3"/>
        <v>107153.93849838017</v>
      </c>
      <c r="Z7" s="154">
        <f t="shared" si="3"/>
        <v>120012.4111181858</v>
      </c>
      <c r="AA7" s="154">
        <f t="shared" si="3"/>
        <v>134413.90045236811</v>
      </c>
      <c r="AB7" s="154">
        <f t="shared" si="3"/>
        <v>150543.56850665229</v>
      </c>
      <c r="AC7" s="138">
        <f>((AB7/G7)^(1/($AB$3-$H$1) ))-1</f>
        <v>0.15527537504783884</v>
      </c>
      <c r="AD7" s="31">
        <f>$L$1</f>
        <v>0.05</v>
      </c>
      <c r="AE7" s="146">
        <f t="shared" si="1"/>
        <v>929827.92312932306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0.10856775142489428</v>
      </c>
      <c r="I8" s="151">
        <f t="shared" ref="I8:P8" si="4">(I7-H7)/I7</f>
        <v>4.0825324045498636E-2</v>
      </c>
      <c r="J8" s="151">
        <f t="shared" si="4"/>
        <v>0.10376165639323534</v>
      </c>
      <c r="K8" s="151">
        <f t="shared" si="4"/>
        <v>0.37628154574132494</v>
      </c>
      <c r="L8" s="151">
        <f t="shared" si="4"/>
        <v>4.904845987835982E-3</v>
      </c>
      <c r="M8" s="151">
        <f t="shared" si="4"/>
        <v>0.25242006453505428</v>
      </c>
      <c r="N8" s="151">
        <f t="shared" si="4"/>
        <v>0.18136519181125052</v>
      </c>
      <c r="O8" s="151">
        <f t="shared" si="4"/>
        <v>0.17647640471658468</v>
      </c>
      <c r="P8" s="151">
        <f t="shared" si="4"/>
        <v>0.16541849765839367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3961</v>
      </c>
      <c r="H9" s="147">
        <v>4173</v>
      </c>
      <c r="I9" s="147">
        <v>4541</v>
      </c>
      <c r="J9" s="147">
        <v>4517</v>
      </c>
      <c r="K9" s="147">
        <v>16619</v>
      </c>
      <c r="L9" s="147">
        <v>20723</v>
      </c>
      <c r="M9" s="147">
        <v>26571</v>
      </c>
      <c r="N9" s="147">
        <v>16303</v>
      </c>
      <c r="O9" s="147">
        <v>21280</v>
      </c>
      <c r="P9" s="147">
        <v>20360</v>
      </c>
      <c r="Q9" s="118">
        <f t="shared" ref="Q9:Q16" si="5">((P9/G9)^(1/($H$2-$H$1) ))-1</f>
        <v>0.1994909962354765</v>
      </c>
      <c r="R9" s="31">
        <f t="shared" ref="R9:R42" si="6">$L$2</f>
        <v>0.12</v>
      </c>
      <c r="S9" s="154">
        <f t="shared" ref="S9" si="7">P9*(1+$R9)</f>
        <v>22803.200000000001</v>
      </c>
      <c r="T9" s="154">
        <f t="shared" ref="T9" si="8">S9*(1+$R9)</f>
        <v>25539.584000000003</v>
      </c>
      <c r="U9" s="154">
        <f t="shared" ref="U9" si="9">T9*(1+$R9)</f>
        <v>28604.334080000004</v>
      </c>
      <c r="V9" s="154">
        <f t="shared" ref="V9" si="10">U9*(1+$R9)</f>
        <v>32036.854169600007</v>
      </c>
      <c r="W9" s="154">
        <f t="shared" ref="W9" si="11">V9*(1+$R9)</f>
        <v>35881.276669952014</v>
      </c>
      <c r="X9" s="154">
        <f t="shared" ref="X9" si="12">W9*(1+$R9)</f>
        <v>40187.029870346261</v>
      </c>
      <c r="Y9" s="154">
        <f t="shared" ref="Y9" si="13">X9*(1+$R9)</f>
        <v>45009.473454787818</v>
      </c>
      <c r="Z9" s="154">
        <f t="shared" ref="Z9" si="14">Y9*(1+$R9)</f>
        <v>50410.610269362362</v>
      </c>
      <c r="AA9" s="154">
        <f t="shared" ref="AA9" si="15">Z9*(1+$R9)</f>
        <v>56459.88350168585</v>
      </c>
      <c r="AB9" s="154">
        <f t="shared" ref="AB9" si="16">AA9*(1+$R9)</f>
        <v>63235.069521888159</v>
      </c>
      <c r="AC9" s="138">
        <f>((AB9/G9)^(1/($AB$3-$H$1) ))-1</f>
        <v>0.15697466868140952</v>
      </c>
      <c r="AD9" s="31">
        <f t="shared" ref="AD9:AD76" si="17">$L$1</f>
        <v>0.05</v>
      </c>
      <c r="AE9" s="146">
        <f t="shared" si="1"/>
        <v>390569.54704695632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2524</v>
      </c>
      <c r="H10" s="147">
        <v>2372</v>
      </c>
      <c r="I10" s="147">
        <v>1899</v>
      </c>
      <c r="J10" s="147">
        <v>1646</v>
      </c>
      <c r="K10" s="147">
        <v>1884</v>
      </c>
      <c r="L10" s="147">
        <v>2148</v>
      </c>
      <c r="M10" s="147">
        <v>2086</v>
      </c>
      <c r="N10" s="147">
        <v>1366</v>
      </c>
      <c r="O10" s="147">
        <v>1333</v>
      </c>
      <c r="P10" s="147">
        <v>1078</v>
      </c>
      <c r="Q10" s="118">
        <f t="shared" si="5"/>
        <v>-9.0196271589104926E-2</v>
      </c>
      <c r="R10" s="31">
        <f t="shared" si="6"/>
        <v>0.12</v>
      </c>
      <c r="S10" s="154">
        <f t="shared" si="2"/>
        <v>1207.3600000000001</v>
      </c>
      <c r="T10" s="154">
        <f t="shared" ref="T10:AB10" si="18">S10*(1+$R10)</f>
        <v>1352.2432000000003</v>
      </c>
      <c r="U10" s="154">
        <f t="shared" si="18"/>
        <v>1514.5123840000006</v>
      </c>
      <c r="V10" s="154">
        <f t="shared" si="18"/>
        <v>1696.2538700800008</v>
      </c>
      <c r="W10" s="154">
        <f t="shared" si="18"/>
        <v>1899.8043344896009</v>
      </c>
      <c r="X10" s="154">
        <f t="shared" si="18"/>
        <v>2127.7808546283532</v>
      </c>
      <c r="Y10" s="154">
        <f t="shared" si="18"/>
        <v>2383.1145571837556</v>
      </c>
      <c r="Z10" s="154">
        <f t="shared" si="18"/>
        <v>2669.0883040458066</v>
      </c>
      <c r="AA10" s="154">
        <f t="shared" si="18"/>
        <v>2989.3789005313038</v>
      </c>
      <c r="AB10" s="154">
        <f t="shared" si="18"/>
        <v>3348.1043685950604</v>
      </c>
      <c r="AC10" s="138">
        <f t="shared" ref="AC10:AC42" si="19">((AB10/G10)^(1/($AB$3-$H$1) ))-1</f>
        <v>1.498214382280727E-2</v>
      </c>
      <c r="AD10" s="31">
        <f t="shared" si="17"/>
        <v>0.05</v>
      </c>
      <c r="AE10" s="146">
        <f t="shared" si="1"/>
        <v>20679.468158969492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-6.4080944350758853E-2</v>
      </c>
      <c r="I11" s="148">
        <f t="shared" si="20"/>
        <v>-0.24907846234860453</v>
      </c>
      <c r="J11" s="148">
        <f t="shared" si="20"/>
        <v>-0.15370595382746052</v>
      </c>
      <c r="K11" s="148">
        <f t="shared" si="20"/>
        <v>0.12632696390658174</v>
      </c>
      <c r="L11" s="148">
        <f t="shared" si="20"/>
        <v>0.12290502793296089</v>
      </c>
      <c r="M11" s="148">
        <f t="shared" si="20"/>
        <v>-2.9721955896452542E-2</v>
      </c>
      <c r="N11" s="148">
        <f t="shared" si="20"/>
        <v>-0.52708638360175697</v>
      </c>
      <c r="O11" s="148">
        <f t="shared" si="20"/>
        <v>-2.4756189047261814E-2</v>
      </c>
      <c r="P11" s="148">
        <f t="shared" si="20"/>
        <v>-0.23654916512059368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1107</v>
      </c>
      <c r="H12" s="147">
        <v>2532</v>
      </c>
      <c r="I12" s="147">
        <v>2863</v>
      </c>
      <c r="J12" s="147">
        <f>91+3637</f>
        <v>3728</v>
      </c>
      <c r="K12" s="147">
        <v>20961</v>
      </c>
      <c r="L12" s="147">
        <f>1329+28365</f>
        <v>29694</v>
      </c>
      <c r="M12" s="147">
        <f>35983+3093</f>
        <v>39076</v>
      </c>
      <c r="N12" s="147">
        <v>45806</v>
      </c>
      <c r="O12" s="147">
        <v>58202</v>
      </c>
      <c r="P12" s="147">
        <v>62236</v>
      </c>
      <c r="Q12" s="118">
        <f t="shared" si="5"/>
        <v>0.56470572781968897</v>
      </c>
      <c r="R12" s="31">
        <f t="shared" si="6"/>
        <v>0.12</v>
      </c>
      <c r="S12" s="154">
        <f t="shared" si="2"/>
        <v>69704.320000000007</v>
      </c>
      <c r="T12" s="154">
        <f t="shared" ref="T12:AB12" si="21">S12*(1+$R12)</f>
        <v>78068.838400000022</v>
      </c>
      <c r="U12" s="154">
        <f t="shared" si="21"/>
        <v>87437.099008000034</v>
      </c>
      <c r="V12" s="154">
        <f t="shared" si="21"/>
        <v>97929.550888960046</v>
      </c>
      <c r="W12" s="154">
        <f t="shared" si="21"/>
        <v>109681.09699563526</v>
      </c>
      <c r="X12" s="154">
        <f t="shared" si="21"/>
        <v>122842.82863511151</v>
      </c>
      <c r="Y12" s="154">
        <f t="shared" si="21"/>
        <v>137583.9680713249</v>
      </c>
      <c r="Z12" s="154">
        <f t="shared" si="21"/>
        <v>154094.04423988389</v>
      </c>
      <c r="AA12" s="154">
        <f t="shared" si="21"/>
        <v>172585.32954866998</v>
      </c>
      <c r="AB12" s="154">
        <f t="shared" si="21"/>
        <v>193295.5690945104</v>
      </c>
      <c r="AC12" s="138">
        <f t="shared" si="19"/>
        <v>0.3122117110333833</v>
      </c>
      <c r="AD12" s="31">
        <f t="shared" si="17"/>
        <v>0.05</v>
      </c>
      <c r="AE12" s="146">
        <f t="shared" si="1"/>
        <v>1193884.3973484468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11113</v>
      </c>
      <c r="H13" s="147">
        <v>12763</v>
      </c>
      <c r="I13" s="147">
        <v>10591</v>
      </c>
      <c r="J13" s="147">
        <v>6316</v>
      </c>
      <c r="K13" s="147">
        <v>1717</v>
      </c>
      <c r="L13" s="147">
        <v>1505</v>
      </c>
      <c r="M13" s="147">
        <v>1282</v>
      </c>
      <c r="N13" s="147">
        <v>1063</v>
      </c>
      <c r="O13" s="147">
        <v>1981</v>
      </c>
      <c r="P13" s="147">
        <v>2394</v>
      </c>
      <c r="Q13" s="118">
        <f t="shared" si="5"/>
        <v>-0.15681780785046262</v>
      </c>
      <c r="R13" s="31">
        <f t="shared" si="6"/>
        <v>0.12</v>
      </c>
      <c r="S13" s="154">
        <f t="shared" si="2"/>
        <v>2681.28</v>
      </c>
      <c r="T13" s="154">
        <f t="shared" ref="T13:AB13" si="22">S13*(1+$R13)</f>
        <v>3003.0336000000007</v>
      </c>
      <c r="U13" s="154">
        <f t="shared" si="22"/>
        <v>3363.3976320000011</v>
      </c>
      <c r="V13" s="154">
        <f t="shared" si="22"/>
        <v>3767.0053478400014</v>
      </c>
      <c r="W13" s="154">
        <f t="shared" si="22"/>
        <v>4219.0459895808017</v>
      </c>
      <c r="X13" s="154">
        <f t="shared" si="22"/>
        <v>4725.3315083304988</v>
      </c>
      <c r="Y13" s="154">
        <f t="shared" si="22"/>
        <v>5292.371289330159</v>
      </c>
      <c r="Z13" s="154">
        <f t="shared" si="22"/>
        <v>5927.4558440497785</v>
      </c>
      <c r="AA13" s="154">
        <f t="shared" si="22"/>
        <v>6638.7505453357526</v>
      </c>
      <c r="AB13" s="154">
        <f t="shared" si="22"/>
        <v>7435.4006107760433</v>
      </c>
      <c r="AC13" s="138">
        <f t="shared" si="19"/>
        <v>-2.0928584055677213E-2</v>
      </c>
      <c r="AD13" s="31">
        <f t="shared" si="17"/>
        <v>0.05</v>
      </c>
      <c r="AE13" s="146">
        <f t="shared" si="1"/>
        <v>45924.533184204978</v>
      </c>
    </row>
    <row r="14" spans="2:31" x14ac:dyDescent="0.2">
      <c r="B14" s="20" t="s">
        <v>371</v>
      </c>
      <c r="C14" s="141"/>
      <c r="D14" s="141"/>
      <c r="E14" s="147"/>
      <c r="F14" s="147"/>
      <c r="G14" s="147">
        <v>35</v>
      </c>
      <c r="H14" s="147">
        <v>47</v>
      </c>
      <c r="I14" s="147">
        <v>31</v>
      </c>
      <c r="J14" s="147">
        <v>24</v>
      </c>
      <c r="K14" s="147">
        <v>3383</v>
      </c>
      <c r="L14" s="147">
        <v>3682</v>
      </c>
      <c r="M14" s="147">
        <v>4401</v>
      </c>
      <c r="N14" s="147">
        <v>5585</v>
      </c>
      <c r="O14" s="147">
        <v>6071</v>
      </c>
      <c r="P14" s="147">
        <v>5617</v>
      </c>
      <c r="Q14" s="118">
        <f t="shared" ref="Q14" si="23">((P14/G14)^(1/($H$2-$H$1) ))-1</f>
        <v>0.75811988751377757</v>
      </c>
      <c r="R14" s="31">
        <f t="shared" si="6"/>
        <v>0.12</v>
      </c>
      <c r="S14" s="154">
        <f t="shared" ref="S14" si="24">P14*(1+$R14)</f>
        <v>6291.0400000000009</v>
      </c>
      <c r="T14" s="154">
        <f t="shared" ref="T14" si="25">S14*(1+$R14)</f>
        <v>7045.9648000000016</v>
      </c>
      <c r="U14" s="154">
        <f t="shared" ref="U14" si="26">T14*(1+$R14)</f>
        <v>7891.4805760000027</v>
      </c>
      <c r="V14" s="154">
        <f t="shared" ref="V14" si="27">U14*(1+$R14)</f>
        <v>8838.458245120004</v>
      </c>
      <c r="W14" s="154">
        <f t="shared" ref="W14" si="28">V14*(1+$R14)</f>
        <v>9899.0732345344059</v>
      </c>
      <c r="X14" s="154">
        <f t="shared" ref="X14" si="29">W14*(1+$R14)</f>
        <v>11086.962022678536</v>
      </c>
      <c r="Y14" s="154">
        <f t="shared" ref="Y14" si="30">X14*(1+$R14)</f>
        <v>12417.397465399961</v>
      </c>
      <c r="Z14" s="154">
        <f t="shared" ref="Z14" si="31">Y14*(1+$R14)</f>
        <v>13907.485161247958</v>
      </c>
      <c r="AA14" s="154">
        <f t="shared" ref="AA14" si="32">Z14*(1+$R14)</f>
        <v>15576.383380597714</v>
      </c>
      <c r="AB14" s="154">
        <f t="shared" ref="AB14" si="33">AA14*(1+$R14)</f>
        <v>17445.549386269442</v>
      </c>
      <c r="AC14" s="138">
        <f t="shared" ref="AC14" si="34">((AB14/G14)^(1/($AB$3-$H$1) ))-1</f>
        <v>0.38669139754835991</v>
      </c>
      <c r="AD14" s="31">
        <f t="shared" si="17"/>
        <v>0.05</v>
      </c>
      <c r="AE14" s="146">
        <f t="shared" ref="AE14" si="35">(AB14*(1+AD14))/($C$1-AD14)</f>
        <v>107751.92267989952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1142</v>
      </c>
      <c r="H15" s="147">
        <v>2580</v>
      </c>
      <c r="I15" s="147">
        <v>2895</v>
      </c>
      <c r="J15" s="147">
        <v>115</v>
      </c>
      <c r="K15" s="147">
        <v>26002</v>
      </c>
      <c r="L15" s="147">
        <v>6838</v>
      </c>
      <c r="M15" s="147">
        <v>9664</v>
      </c>
      <c r="N15" s="147">
        <v>54810</v>
      </c>
      <c r="O15" s="147">
        <v>69941</v>
      </c>
      <c r="P15" s="147">
        <v>78334</v>
      </c>
      <c r="Q15" s="118">
        <f t="shared" si="5"/>
        <v>0.59967433743728726</v>
      </c>
      <c r="R15" s="31">
        <f t="shared" si="6"/>
        <v>0.12</v>
      </c>
      <c r="S15" s="154">
        <f t="shared" si="2"/>
        <v>87734.080000000002</v>
      </c>
      <c r="T15" s="154">
        <f t="shared" ref="T15:AB15" si="36">S15*(1+$R15)</f>
        <v>98262.169600000008</v>
      </c>
      <c r="U15" s="154">
        <f t="shared" si="36"/>
        <v>110053.62995200002</v>
      </c>
      <c r="V15" s="154">
        <f t="shared" si="36"/>
        <v>123260.06554624003</v>
      </c>
      <c r="W15" s="154">
        <f t="shared" si="36"/>
        <v>138051.27341178886</v>
      </c>
      <c r="X15" s="154">
        <f t="shared" si="36"/>
        <v>154617.42622120355</v>
      </c>
      <c r="Y15" s="154">
        <f t="shared" si="36"/>
        <v>173171.51736774799</v>
      </c>
      <c r="Z15" s="154">
        <f t="shared" si="36"/>
        <v>193952.09945187776</v>
      </c>
      <c r="AA15" s="154">
        <f t="shared" si="36"/>
        <v>217226.35138610311</v>
      </c>
      <c r="AB15" s="154">
        <f t="shared" si="36"/>
        <v>243293.5135524355</v>
      </c>
      <c r="AC15" s="138">
        <f t="shared" si="19"/>
        <v>0.32602209095351387</v>
      </c>
      <c r="AD15" s="31">
        <f t="shared" si="17"/>
        <v>0.05</v>
      </c>
      <c r="AE15" s="146">
        <f t="shared" si="1"/>
        <v>1502695.2307650431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972</v>
      </c>
      <c r="H16" s="147">
        <v>372</v>
      </c>
      <c r="I16" s="147">
        <v>2545</v>
      </c>
      <c r="J16" s="147">
        <v>7891</v>
      </c>
      <c r="K16" s="147">
        <v>8421</v>
      </c>
      <c r="L16" s="147">
        <v>8188</v>
      </c>
      <c r="M16" s="147">
        <v>13949</v>
      </c>
      <c r="N16" s="147">
        <v>18749</v>
      </c>
      <c r="O16" s="147">
        <v>23514</v>
      </c>
      <c r="P16" s="147">
        <v>30256</v>
      </c>
      <c r="Q16" s="118">
        <f t="shared" si="5"/>
        <v>0.46522738633113248</v>
      </c>
      <c r="R16" s="31">
        <f t="shared" si="6"/>
        <v>0.12</v>
      </c>
      <c r="S16" s="154">
        <f t="shared" si="2"/>
        <v>33886.720000000001</v>
      </c>
      <c r="T16" s="154">
        <f t="shared" ref="T16:AB16" si="37">S16*(1+$R16)</f>
        <v>37953.126400000008</v>
      </c>
      <c r="U16" s="154">
        <f t="shared" si="37"/>
        <v>42507.501568000014</v>
      </c>
      <c r="V16" s="154">
        <f t="shared" si="37"/>
        <v>47608.401756160019</v>
      </c>
      <c r="W16" s="154">
        <f t="shared" si="37"/>
        <v>53321.409966899228</v>
      </c>
      <c r="X16" s="154">
        <f t="shared" si="37"/>
        <v>59719.979162927142</v>
      </c>
      <c r="Y16" s="154">
        <f t="shared" si="37"/>
        <v>66886.376662478404</v>
      </c>
      <c r="Z16" s="154">
        <f t="shared" si="37"/>
        <v>74912.741861975825</v>
      </c>
      <c r="AA16" s="154">
        <f t="shared" si="37"/>
        <v>83902.270885412931</v>
      </c>
      <c r="AB16" s="154">
        <f t="shared" si="37"/>
        <v>93970.54339166249</v>
      </c>
      <c r="AC16" s="138">
        <f t="shared" si="19"/>
        <v>0.27201084592610392</v>
      </c>
      <c r="AD16" s="31">
        <f t="shared" si="17"/>
        <v>0.05</v>
      </c>
      <c r="AE16" s="146">
        <f t="shared" si="1"/>
        <v>580406.29741909192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134</v>
      </c>
      <c r="H18" s="147">
        <v>115</v>
      </c>
      <c r="I18" s="147">
        <v>104</v>
      </c>
      <c r="J18" s="147">
        <v>93</v>
      </c>
      <c r="K18" s="147">
        <v>10441</v>
      </c>
      <c r="L18" s="147">
        <v>11021</v>
      </c>
      <c r="M18" s="147">
        <v>12035</v>
      </c>
      <c r="N18" s="147">
        <v>12843</v>
      </c>
      <c r="O18" s="147">
        <v>13440</v>
      </c>
      <c r="P18" s="147">
        <v>13465</v>
      </c>
      <c r="Q18" s="118">
        <f>((P18/G18)^(1/($H$2-$H$1) ))-1</f>
        <v>0.66899766399088545</v>
      </c>
      <c r="R18" s="31">
        <f t="shared" si="6"/>
        <v>0.12</v>
      </c>
      <c r="S18" s="154">
        <f t="shared" ref="S18:S34" si="38">P18*(1+$R18)</f>
        <v>15080.800000000001</v>
      </c>
      <c r="T18" s="154">
        <f t="shared" ref="T18:T34" si="39">S18*(1+$R18)</f>
        <v>16890.496000000003</v>
      </c>
      <c r="U18" s="154">
        <f t="shared" ref="U18:U34" si="40">T18*(1+$R18)</f>
        <v>18917.355520000005</v>
      </c>
      <c r="V18" s="154">
        <f t="shared" ref="V18:V34" si="41">U18*(1+$R18)</f>
        <v>21187.438182400008</v>
      </c>
      <c r="W18" s="154">
        <f t="shared" ref="W18:W36" si="42">V18*(1+$R18)</f>
        <v>23729.930764288012</v>
      </c>
      <c r="X18" s="154">
        <f t="shared" ref="X18:X36" si="43">W18*(1+$R18)</f>
        <v>26577.522456002574</v>
      </c>
      <c r="Y18" s="154">
        <f t="shared" ref="Y18:Y36" si="44">X18*(1+$R18)</f>
        <v>29766.825150722885</v>
      </c>
      <c r="Z18" s="154">
        <f t="shared" ref="Z18:Z36" si="45">Y18*(1+$R18)</f>
        <v>33338.844168809635</v>
      </c>
      <c r="AA18" s="154">
        <f t="shared" ref="AA18:AA36" si="46">Z18*(1+$R18)</f>
        <v>37339.505469066797</v>
      </c>
      <c r="AB18" s="154">
        <f t="shared" ref="AB18:AB36" si="47">AA18*(1+$R18)</f>
        <v>41820.246125354817</v>
      </c>
      <c r="AC18" s="138">
        <f t="shared" si="19"/>
        <v>0.3529382920585511</v>
      </c>
      <c r="AD18" s="31">
        <f t="shared" si="17"/>
        <v>0.05</v>
      </c>
      <c r="AE18" s="146">
        <f t="shared" si="1"/>
        <v>258301.52018601508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1825</v>
      </c>
      <c r="H25" s="147">
        <v>1812</v>
      </c>
      <c r="I25" s="147">
        <v>2443</v>
      </c>
      <c r="J25" s="147">
        <v>3531</v>
      </c>
      <c r="K25" s="147">
        <v>39164</v>
      </c>
      <c r="L25" s="147">
        <v>52551</v>
      </c>
      <c r="M25" s="147">
        <v>59274</v>
      </c>
      <c r="N25" s="147">
        <v>56326</v>
      </c>
      <c r="O25" s="147">
        <v>70351</v>
      </c>
      <c r="P25" s="147">
        <v>76555</v>
      </c>
      <c r="Q25" s="118">
        <f>((P25/G25)^(1/($H$2-$H$1) ))-1</f>
        <v>0.51461128388680955</v>
      </c>
      <c r="R25" s="31">
        <f t="shared" si="6"/>
        <v>0.12</v>
      </c>
      <c r="S25" s="154">
        <f t="shared" si="38"/>
        <v>85741.6</v>
      </c>
      <c r="T25" s="154">
        <f t="shared" si="39"/>
        <v>96030.592000000019</v>
      </c>
      <c r="U25" s="154">
        <f t="shared" si="40"/>
        <v>107554.26304000003</v>
      </c>
      <c r="V25" s="154">
        <f t="shared" si="41"/>
        <v>120460.77460480006</v>
      </c>
      <c r="W25" s="154">
        <f t="shared" si="42"/>
        <v>134916.06755737608</v>
      </c>
      <c r="X25" s="154">
        <f t="shared" si="43"/>
        <v>151105.99566426122</v>
      </c>
      <c r="Y25" s="154">
        <f t="shared" si="44"/>
        <v>169238.7151439726</v>
      </c>
      <c r="Z25" s="154">
        <f t="shared" si="45"/>
        <v>189547.36096124933</v>
      </c>
      <c r="AA25" s="154">
        <f t="shared" si="46"/>
        <v>212293.04427659928</v>
      </c>
      <c r="AB25" s="154">
        <f t="shared" si="47"/>
        <v>237768.20958979122</v>
      </c>
      <c r="AC25" s="138">
        <f t="shared" si="19"/>
        <v>0.29214142060354042</v>
      </c>
      <c r="AD25" s="31">
        <f t="shared" si="17"/>
        <v>0.05</v>
      </c>
      <c r="AE25" s="146">
        <f t="shared" si="1"/>
        <v>1468568.3533487106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-7.1743929359823402E-3</v>
      </c>
      <c r="I26" s="148">
        <f t="shared" ref="I26" si="70">(I25-H25)/I25</f>
        <v>0.25828898894801472</v>
      </c>
      <c r="J26" s="148">
        <f t="shared" ref="J26" si="71">(J25-I25)/J25</f>
        <v>0.30812800906258853</v>
      </c>
      <c r="K26" s="148">
        <f t="shared" ref="K26" si="72">(K25-J25)/K25</f>
        <v>0.90984067000306401</v>
      </c>
      <c r="L26" s="148">
        <f t="shared" ref="L26" si="73">(L25-K25)/L25</f>
        <v>0.25474301155068407</v>
      </c>
      <c r="M26" s="148">
        <f t="shared" ref="M26" si="74">(M25-L25)/M25</f>
        <v>0.11342241117522016</v>
      </c>
      <c r="N26" s="148">
        <f t="shared" ref="N26" si="75">(N25-M25)/N25</f>
        <v>-5.2338174200191739E-2</v>
      </c>
      <c r="O26" s="148">
        <f t="shared" ref="O26" si="76">(O25-N25)/O25</f>
        <v>0.19935750735597219</v>
      </c>
      <c r="P26" s="148">
        <f t="shared" ref="P26" si="77">(P25-O25)/P25</f>
        <v>8.1039775324929786E-2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267</v>
      </c>
      <c r="H27" s="147">
        <v>309</v>
      </c>
      <c r="I27" s="147">
        <v>828</v>
      </c>
      <c r="J27" s="147">
        <v>334</v>
      </c>
      <c r="K27" s="147">
        <v>28857</v>
      </c>
      <c r="L27" s="147">
        <v>42634</v>
      </c>
      <c r="M27" s="147">
        <v>40967</v>
      </c>
      <c r="N27" s="147">
        <v>37966</v>
      </c>
      <c r="O27" s="147">
        <v>47128</v>
      </c>
      <c r="P27" s="147">
        <v>49725</v>
      </c>
      <c r="Q27" s="118">
        <f>((P27/G27)^(1/($H$2-$H$1) ))-1</f>
        <v>0.78743098100171016</v>
      </c>
      <c r="R27" s="31">
        <f t="shared" si="6"/>
        <v>0.12</v>
      </c>
      <c r="S27" s="154">
        <f t="shared" si="38"/>
        <v>55692.000000000007</v>
      </c>
      <c r="T27" s="154">
        <f t="shared" si="39"/>
        <v>62375.040000000015</v>
      </c>
      <c r="U27" s="154">
        <f t="shared" si="40"/>
        <v>69860.044800000018</v>
      </c>
      <c r="V27" s="154">
        <f t="shared" si="41"/>
        <v>78243.25017600003</v>
      </c>
      <c r="W27" s="154">
        <f t="shared" si="42"/>
        <v>87632.440197120042</v>
      </c>
      <c r="X27" s="154">
        <f t="shared" si="43"/>
        <v>98148.333020774458</v>
      </c>
      <c r="Y27" s="154">
        <f t="shared" si="44"/>
        <v>109926.13298326741</v>
      </c>
      <c r="Z27" s="154">
        <f t="shared" si="45"/>
        <v>123117.26894125951</v>
      </c>
      <c r="AA27" s="154">
        <f t="shared" si="46"/>
        <v>137891.34121421067</v>
      </c>
      <c r="AB27" s="154">
        <f t="shared" si="47"/>
        <v>154438.30215991597</v>
      </c>
      <c r="AC27" s="138">
        <f t="shared" si="19"/>
        <v>0.39759471719051676</v>
      </c>
      <c r="AD27" s="31">
        <f t="shared" si="17"/>
        <v>0.05</v>
      </c>
      <c r="AE27" s="146">
        <f t="shared" si="1"/>
        <v>953883.63098771637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0.13592233009708737</v>
      </c>
      <c r="I28" s="148">
        <f t="shared" si="78"/>
        <v>0.62681159420289856</v>
      </c>
      <c r="J28" s="148">
        <f t="shared" si="78"/>
        <v>-1.4790419161676647</v>
      </c>
      <c r="K28" s="148">
        <f t="shared" si="78"/>
        <v>0.98842568527566965</v>
      </c>
      <c r="L28" s="148">
        <f t="shared" si="78"/>
        <v>0.32314584603837315</v>
      </c>
      <c r="M28" s="148">
        <f t="shared" si="78"/>
        <v>-4.0691288109942152E-2</v>
      </c>
      <c r="N28" s="148">
        <f t="shared" ref="N28" si="79">(N27-M27)/N27</f>
        <v>-7.9044408154664694E-2</v>
      </c>
      <c r="O28" s="148">
        <f t="shared" ref="O28" si="80">(O27-N27)/O27</f>
        <v>0.19440672211848584</v>
      </c>
      <c r="P28" s="148">
        <f t="shared" ref="P28" si="81">(P27-O27)/P27</f>
        <v>5.2227249874308698E-2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322</v>
      </c>
      <c r="C29" s="149"/>
      <c r="D29" s="149"/>
      <c r="E29" s="150"/>
      <c r="F29" s="147"/>
      <c r="G29" s="147">
        <v>188</v>
      </c>
      <c r="H29" s="147">
        <v>175</v>
      </c>
      <c r="I29" s="147">
        <v>162</v>
      </c>
      <c r="J29" s="147">
        <v>345</v>
      </c>
      <c r="K29" s="147">
        <v>150</v>
      </c>
      <c r="L29" s="147">
        <v>288</v>
      </c>
      <c r="M29" s="147">
        <v>285</v>
      </c>
      <c r="N29" s="147">
        <v>74</v>
      </c>
      <c r="O29" s="147">
        <v>54</v>
      </c>
      <c r="P29" s="147">
        <v>45</v>
      </c>
      <c r="Q29" s="118">
        <f>((P29/G29)^(1/($H$2-$H$1) ))-1</f>
        <v>-0.14688795484935568</v>
      </c>
      <c r="R29" s="31">
        <f t="shared" si="6"/>
        <v>0.12</v>
      </c>
      <c r="S29" s="154">
        <f t="shared" ref="S29" si="82">P29*(1+$R29)</f>
        <v>50.400000000000006</v>
      </c>
      <c r="T29" s="154">
        <f t="shared" ref="T29" si="83">S29*(1+$R29)</f>
        <v>56.448000000000015</v>
      </c>
      <c r="U29" s="154">
        <f t="shared" ref="U29" si="84">T29*(1+$R29)</f>
        <v>63.221760000000025</v>
      </c>
      <c r="V29" s="154">
        <f t="shared" ref="V29" si="85">U29*(1+$R29)</f>
        <v>70.808371200000039</v>
      </c>
      <c r="W29" s="154">
        <f t="shared" ref="W29" si="86">V29*(1+$R29)</f>
        <v>79.305375744000045</v>
      </c>
      <c r="X29" s="154">
        <f t="shared" ref="X29" si="87">W29*(1+$R29)</f>
        <v>88.822020833280064</v>
      </c>
      <c r="Y29" s="154">
        <f t="shared" ref="Y29" si="88">X29*(1+$R29)</f>
        <v>99.480663333273682</v>
      </c>
      <c r="Z29" s="154">
        <f t="shared" ref="Z29" si="89">Y29*(1+$R29)</f>
        <v>111.41834293326653</v>
      </c>
      <c r="AA29" s="154">
        <f t="shared" ref="AA29" si="90">Z29*(1+$R29)</f>
        <v>124.78854408525852</v>
      </c>
      <c r="AB29" s="154">
        <f t="shared" ref="AB29" si="91">AA29*(1+$R29)</f>
        <v>139.76316937548955</v>
      </c>
      <c r="AC29" s="138">
        <f t="shared" ref="AC29" si="92">((AB29/G29)^(1/($AB$3-$H$1) ))-1</f>
        <v>-1.5483749544805026E-2</v>
      </c>
      <c r="AD29" s="31">
        <f t="shared" si="17"/>
        <v>0.05</v>
      </c>
      <c r="AE29" s="146">
        <f t="shared" ref="AE29" si="93">(AB29*(1+AD29))/($C$1-AD29)</f>
        <v>863.24310496625912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-7.4285714285714288E-2</v>
      </c>
      <c r="I30" s="148">
        <f t="shared" si="94"/>
        <v>-8.0246913580246909E-2</v>
      </c>
      <c r="J30" s="148">
        <f t="shared" si="94"/>
        <v>0.5304347826086957</v>
      </c>
      <c r="K30" s="148">
        <f t="shared" si="94"/>
        <v>-1.3</v>
      </c>
      <c r="L30" s="148">
        <f t="shared" si="94"/>
        <v>0.47916666666666669</v>
      </c>
      <c r="M30" s="148">
        <f t="shared" ref="M30" si="95">(M29-L29)/M29</f>
        <v>-1.0526315789473684E-2</v>
      </c>
      <c r="N30" s="148">
        <f t="shared" ref="N30" si="96">(N29-M29)/N29</f>
        <v>-2.8513513513513513</v>
      </c>
      <c r="O30" s="148">
        <f t="shared" ref="O30" si="97">(O29-N29)/O29</f>
        <v>-0.37037037037037035</v>
      </c>
      <c r="P30" s="148">
        <f t="shared" ref="P30" si="98">(P29-O29)/P29</f>
        <v>-0.2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330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329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423</v>
      </c>
      <c r="C33" s="141"/>
      <c r="D33" s="141"/>
      <c r="E33" s="147"/>
      <c r="F33" s="147"/>
      <c r="G33" s="147">
        <v>107</v>
      </c>
      <c r="H33" s="147">
        <v>112</v>
      </c>
      <c r="I33" s="147">
        <v>119</v>
      </c>
      <c r="J33" s="147">
        <v>130</v>
      </c>
      <c r="K33" s="147">
        <v>12635</v>
      </c>
      <c r="L33" s="147">
        <v>20582</v>
      </c>
      <c r="M33" s="147">
        <v>17556</v>
      </c>
      <c r="N33" s="147">
        <v>18931</v>
      </c>
      <c r="O33" s="147">
        <v>25253</v>
      </c>
      <c r="P33" s="147">
        <v>27320</v>
      </c>
      <c r="Q33" s="118">
        <f>((P33/G33)^(1/($H$2-$H$1) ))-1</f>
        <v>0.85120797706575546</v>
      </c>
      <c r="R33" s="31">
        <f t="shared" si="6"/>
        <v>0.12</v>
      </c>
      <c r="S33" s="154">
        <f t="shared" si="38"/>
        <v>30598.400000000001</v>
      </c>
      <c r="T33" s="154">
        <f t="shared" si="39"/>
        <v>34270.208000000006</v>
      </c>
      <c r="U33" s="154">
        <f t="shared" si="40"/>
        <v>38382.63296000001</v>
      </c>
      <c r="V33" s="154">
        <f t="shared" si="41"/>
        <v>42988.548915200015</v>
      </c>
      <c r="W33" s="154">
        <f t="shared" si="42"/>
        <v>48147.174785024021</v>
      </c>
      <c r="X33" s="154">
        <f t="shared" si="43"/>
        <v>53924.835759226909</v>
      </c>
      <c r="Y33" s="154">
        <f t="shared" si="44"/>
        <v>60395.816050334142</v>
      </c>
      <c r="Z33" s="154">
        <f t="shared" si="45"/>
        <v>67643.313976374251</v>
      </c>
      <c r="AA33" s="154">
        <f t="shared" si="46"/>
        <v>75760.511653539172</v>
      </c>
      <c r="AB33" s="154">
        <f t="shared" si="47"/>
        <v>84851.773051963886</v>
      </c>
      <c r="AC33" s="138">
        <f t="shared" si="19"/>
        <v>0.42099821994496978</v>
      </c>
      <c r="AD33" s="31">
        <f t="shared" si="17"/>
        <v>0.05</v>
      </c>
      <c r="AE33" s="146">
        <f t="shared" si="1"/>
        <v>524084.48061507108</v>
      </c>
    </row>
    <row r="34" spans="2:31" x14ac:dyDescent="0.2">
      <c r="B34" s="20" t="s">
        <v>424</v>
      </c>
      <c r="C34" s="141"/>
      <c r="D34" s="141"/>
      <c r="E34" s="147"/>
      <c r="F34" s="147"/>
      <c r="G34" s="147">
        <v>6.37</v>
      </c>
      <c r="H34" s="147">
        <v>7</v>
      </c>
      <c r="I34" s="147">
        <v>7</v>
      </c>
      <c r="J34" s="147">
        <v>7</v>
      </c>
      <c r="K34" s="147">
        <v>6329</v>
      </c>
      <c r="L34" s="147">
        <v>6863</v>
      </c>
      <c r="M34" s="147">
        <v>6908</v>
      </c>
      <c r="N34" s="147">
        <v>5272</v>
      </c>
      <c r="O34" s="147">
        <v>5504</v>
      </c>
      <c r="P34" s="147">
        <v>6062</v>
      </c>
      <c r="Q34" s="118">
        <f>((P34/G34)^(1/($H$2-$H$1) ))-1</f>
        <v>1.1426036149065397</v>
      </c>
      <c r="R34" s="31">
        <f t="shared" si="6"/>
        <v>0.12</v>
      </c>
      <c r="S34" s="154">
        <f t="shared" si="38"/>
        <v>6789.4400000000005</v>
      </c>
      <c r="T34" s="154">
        <f t="shared" si="39"/>
        <v>7604.1728000000012</v>
      </c>
      <c r="U34" s="154">
        <f t="shared" si="40"/>
        <v>8516.6735360000021</v>
      </c>
      <c r="V34" s="154">
        <f t="shared" si="41"/>
        <v>9538.674360320003</v>
      </c>
      <c r="W34" s="154">
        <f t="shared" si="42"/>
        <v>10683.315283558404</v>
      </c>
      <c r="X34" s="154">
        <f t="shared" si="43"/>
        <v>11965.313117585414</v>
      </c>
      <c r="Y34" s="154">
        <f t="shared" si="44"/>
        <v>13401.150691695666</v>
      </c>
      <c r="Z34" s="154">
        <f t="shared" si="45"/>
        <v>15009.288774699147</v>
      </c>
      <c r="AA34" s="154">
        <f t="shared" si="46"/>
        <v>16810.403427663048</v>
      </c>
      <c r="AB34" s="154">
        <f t="shared" si="47"/>
        <v>18827.651838982616</v>
      </c>
      <c r="AC34" s="138">
        <f t="shared" si="19"/>
        <v>0.52288161433718527</v>
      </c>
      <c r="AD34" s="31">
        <f t="shared" si="17"/>
        <v>0.05</v>
      </c>
      <c r="AE34" s="146">
        <f t="shared" si="1"/>
        <v>116288.43782901029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-148</v>
      </c>
      <c r="H36" s="147">
        <v>-206</v>
      </c>
      <c r="I36" s="147">
        <v>-612</v>
      </c>
      <c r="J36" s="147">
        <v>-141</v>
      </c>
      <c r="K36" s="147">
        <v>4020</v>
      </c>
      <c r="L36" s="147">
        <v>5376</v>
      </c>
      <c r="M36" s="147">
        <v>13649</v>
      </c>
      <c r="N36" s="147">
        <v>13477</v>
      </c>
      <c r="O36" s="147">
        <v>15667</v>
      </c>
      <c r="P36" s="147">
        <v>18083</v>
      </c>
      <c r="Q36" s="118">
        <f>((P36/G36)^(1/($H$2-$H$1) ))-1</f>
        <v>-2.7056497816409051</v>
      </c>
      <c r="R36" s="31">
        <f t="shared" si="6"/>
        <v>0.12</v>
      </c>
      <c r="S36" s="154">
        <f t="shared" ref="S36" si="102">P36*(1+$R36)</f>
        <v>20252.960000000003</v>
      </c>
      <c r="T36" s="154">
        <f t="shared" ref="T36" si="103">S36*(1+$R36)</f>
        <v>22683.315200000005</v>
      </c>
      <c r="U36" s="154">
        <f t="shared" ref="U36" si="104">T36*(1+$R36)</f>
        <v>25405.313024000006</v>
      </c>
      <c r="V36" s="154">
        <f t="shared" ref="V36" si="105">U36*(1+$R36)</f>
        <v>28453.950586880012</v>
      </c>
      <c r="W36" s="154">
        <f t="shared" si="42"/>
        <v>31868.424657305615</v>
      </c>
      <c r="X36" s="154">
        <f t="shared" si="43"/>
        <v>35692.635616182291</v>
      </c>
      <c r="Y36" s="154">
        <f t="shared" si="44"/>
        <v>39975.751890124171</v>
      </c>
      <c r="Z36" s="154">
        <f t="shared" si="45"/>
        <v>44772.842116939079</v>
      </c>
      <c r="AA36" s="154">
        <f t="shared" si="46"/>
        <v>50145.583170971775</v>
      </c>
      <c r="AB36" s="154">
        <f t="shared" si="47"/>
        <v>56163.053151488391</v>
      </c>
      <c r="AC36" s="138">
        <f t="shared" si="19"/>
        <v>-2.3669316180100051</v>
      </c>
      <c r="AD36" s="31">
        <f t="shared" si="17"/>
        <v>0.05</v>
      </c>
      <c r="AE36" s="146">
        <f t="shared" si="1"/>
        <v>346889.44593566365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0.28155339805825241</v>
      </c>
      <c r="I37" s="148">
        <f t="shared" ref="I37" si="108">(I36-H36)/I36</f>
        <v>0.66339869281045749</v>
      </c>
      <c r="J37" s="148">
        <f t="shared" ref="J37" si="109">(J36-I36)/J36</f>
        <v>-3.3404255319148937</v>
      </c>
      <c r="K37" s="148">
        <f t="shared" ref="K37" si="110">(K36-J36)/K36</f>
        <v>1.0350746268656716</v>
      </c>
      <c r="L37" s="148">
        <f t="shared" ref="L37" si="111">(L36-K36)/L36</f>
        <v>0.25223214285714285</v>
      </c>
      <c r="M37" s="148">
        <f t="shared" ref="M37" si="112">(M36-L36)/M36</f>
        <v>0.60612499084181992</v>
      </c>
      <c r="N37" s="148">
        <f t="shared" ref="N37" si="113">(N36-M36)/N36</f>
        <v>-1.2762484232395933E-2</v>
      </c>
      <c r="O37" s="148">
        <f t="shared" ref="O37" si="114">(O36-N36)/O36</f>
        <v>0.13978425990936363</v>
      </c>
      <c r="P37" s="148">
        <f t="shared" ref="P37" si="115">(P36-O36)/P36</f>
        <v>0.13360614942210916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399</v>
      </c>
      <c r="C38" s="149"/>
      <c r="D38" s="149"/>
      <c r="E38" s="150"/>
      <c r="F38" s="150"/>
      <c r="G38" s="147">
        <v>1355</v>
      </c>
      <c r="H38" s="147">
        <v>1315</v>
      </c>
      <c r="I38" s="147">
        <v>1444</v>
      </c>
      <c r="J38" s="147">
        <v>2844</v>
      </c>
      <c r="K38" s="147">
        <v>8662</v>
      </c>
      <c r="L38" s="147">
        <v>5740</v>
      </c>
      <c r="M38" s="147">
        <v>14037</v>
      </c>
      <c r="N38" s="147">
        <v>16463</v>
      </c>
      <c r="O38" s="147">
        <v>21272</v>
      </c>
      <c r="P38" s="147">
        <v>24979</v>
      </c>
      <c r="Q38" s="118">
        <f>((P38/G38)^(1/($H$2-$H$1) ))-1</f>
        <v>0.38237603030265133</v>
      </c>
      <c r="R38" s="31">
        <f t="shared" si="6"/>
        <v>0.12</v>
      </c>
      <c r="S38" s="154">
        <f t="shared" ref="S38" si="116">P38*(1+$R38)</f>
        <v>27976.480000000003</v>
      </c>
      <c r="T38" s="154">
        <f t="shared" ref="T38" si="117">S38*(1+$R38)</f>
        <v>31333.657600000006</v>
      </c>
      <c r="U38" s="154">
        <f t="shared" ref="U38" si="118">T38*(1+$R38)</f>
        <v>35093.69651200001</v>
      </c>
      <c r="V38" s="154">
        <f t="shared" ref="V38" si="119">U38*(1+$R38)</f>
        <v>39304.940093440011</v>
      </c>
      <c r="W38" s="154">
        <f t="shared" ref="W38" si="120">V38*(1+$R38)</f>
        <v>44021.532904652813</v>
      </c>
      <c r="X38" s="154">
        <f t="shared" ref="X38" si="121">W38*(1+$R38)</f>
        <v>49304.116853211155</v>
      </c>
      <c r="Y38" s="154">
        <f t="shared" ref="Y38" si="122">X38*(1+$R38)</f>
        <v>55220.610875596496</v>
      </c>
      <c r="Z38" s="154">
        <f t="shared" ref="Z38" si="123">Y38*(1+$R38)</f>
        <v>61847.084180668084</v>
      </c>
      <c r="AA38" s="154">
        <f t="shared" ref="AA38" si="124">Z38*(1+$R38)</f>
        <v>69268.734282348261</v>
      </c>
      <c r="AB38" s="154">
        <f t="shared" ref="AB38" si="125">AA38*(1+$R38)</f>
        <v>77580.982396230058</v>
      </c>
      <c r="AC38" s="138">
        <f t="shared" ref="AC38" si="126">((AB38/G38)^(1/($AB$3-$H$1) ))-1</f>
        <v>0.23741857367156194</v>
      </c>
      <c r="AD38" s="31">
        <f t="shared" si="17"/>
        <v>0.05</v>
      </c>
      <c r="AE38" s="146">
        <f t="shared" ref="AE38" si="127">(AB38*(1+AD38))/($C$1-AD38)</f>
        <v>479176.65597671515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1</v>
      </c>
      <c r="H39" s="148">
        <f t="shared" ref="H39" si="129">(H38-G38)/H38</f>
        <v>-3.0418250950570342E-2</v>
      </c>
      <c r="I39" s="148">
        <f t="shared" ref="I39" si="130">(I38-H38)/I38</f>
        <v>8.9335180055401656E-2</v>
      </c>
      <c r="J39" s="148">
        <f t="shared" ref="J39" si="131">(J38-I38)/J38</f>
        <v>0.49226441631504925</v>
      </c>
      <c r="K39" s="148">
        <f t="shared" ref="K39" si="132">(K38-J38)/K38</f>
        <v>0.67166936042484415</v>
      </c>
      <c r="L39" s="148">
        <f t="shared" ref="L39" si="133">(L38-K38)/L38</f>
        <v>-0.50905923344947734</v>
      </c>
      <c r="M39" s="148">
        <f t="shared" ref="M39" si="134">(M38-L38)/M38</f>
        <v>0.5910807152525468</v>
      </c>
      <c r="N39" s="148">
        <f t="shared" ref="N39" si="135">(N38-M38)/N38</f>
        <v>0.14736074834477314</v>
      </c>
      <c r="O39" s="148">
        <f t="shared" ref="O39" si="136">(O38-N38)/O38</f>
        <v>0.22607183151560736</v>
      </c>
      <c r="P39" s="148">
        <f t="shared" ref="P39" si="137">(P38-O38)/P38</f>
        <v>0.14840465991432802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400</v>
      </c>
      <c r="C40" s="141"/>
      <c r="D40" s="141"/>
      <c r="E40" s="147"/>
      <c r="F40" s="147"/>
      <c r="G40" s="147">
        <v>1332</v>
      </c>
      <c r="H40" s="147">
        <v>1324</v>
      </c>
      <c r="I40" s="147">
        <v>1712</v>
      </c>
      <c r="J40" s="147">
        <v>2821</v>
      </c>
      <c r="K40" s="147">
        <v>5243</v>
      </c>
      <c r="L40" s="147">
        <v>2078</v>
      </c>
      <c r="M40" s="147">
        <v>9622</v>
      </c>
      <c r="N40" s="147">
        <v>10867</v>
      </c>
      <c r="O40" s="147">
        <v>14788</v>
      </c>
      <c r="P40" s="147">
        <v>17356</v>
      </c>
      <c r="Q40" s="118">
        <f>((P40/G40)^(1/($H$2-$H$1) ))-1</f>
        <v>0.33009549975080299</v>
      </c>
      <c r="R40" s="31">
        <f t="shared" si="6"/>
        <v>0.12</v>
      </c>
      <c r="S40" s="154">
        <f>P40*(1+$R40)</f>
        <v>19438.72</v>
      </c>
      <c r="T40" s="154">
        <f t="shared" ref="T40:AB40" si="138">S40*(1+$R40)</f>
        <v>21771.366400000003</v>
      </c>
      <c r="U40" s="154">
        <f t="shared" si="138"/>
        <v>24383.930368000005</v>
      </c>
      <c r="V40" s="154">
        <f t="shared" si="138"/>
        <v>27310.002012160006</v>
      </c>
      <c r="W40" s="154">
        <f t="shared" si="138"/>
        <v>30587.202253619209</v>
      </c>
      <c r="X40" s="154">
        <f t="shared" si="138"/>
        <v>34257.666524053515</v>
      </c>
      <c r="Y40" s="154">
        <f t="shared" si="138"/>
        <v>38368.586506939937</v>
      </c>
      <c r="Z40" s="154">
        <f t="shared" si="138"/>
        <v>42972.816887772737</v>
      </c>
      <c r="AA40" s="154">
        <f t="shared" si="138"/>
        <v>48129.554914305467</v>
      </c>
      <c r="AB40" s="154">
        <f t="shared" si="138"/>
        <v>53905.101504022125</v>
      </c>
      <c r="AC40" s="138">
        <f t="shared" si="19"/>
        <v>0.21502596865349966</v>
      </c>
      <c r="AD40" s="31">
        <f t="shared" si="17"/>
        <v>0.05</v>
      </c>
      <c r="AE40" s="146">
        <f t="shared" si="1"/>
        <v>332943.27399543079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39">(H40-G40)/H40</f>
        <v>-6.0422960725075529E-3</v>
      </c>
      <c r="I41" s="148">
        <f t="shared" si="139"/>
        <v>0.22663551401869159</v>
      </c>
      <c r="J41" s="148">
        <f t="shared" si="139"/>
        <v>0.39312300602623185</v>
      </c>
      <c r="K41" s="148">
        <f t="shared" si="139"/>
        <v>0.46194926568758343</v>
      </c>
      <c r="L41" s="148">
        <f t="shared" si="139"/>
        <v>-1.5230991337824831</v>
      </c>
      <c r="M41" s="148">
        <f t="shared" si="139"/>
        <v>0.7840365828310123</v>
      </c>
      <c r="N41" s="148">
        <f t="shared" si="139"/>
        <v>0.11456703782092574</v>
      </c>
      <c r="O41" s="148">
        <f t="shared" si="139"/>
        <v>0.26514741682445225</v>
      </c>
      <c r="P41" s="148">
        <f t="shared" si="139"/>
        <v>0.1479603595298456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47">
        <v>0.01</v>
      </c>
      <c r="H42" s="147">
        <v>0.01</v>
      </c>
      <c r="I42" s="147">
        <v>6.31</v>
      </c>
      <c r="J42" s="147">
        <v>6.31</v>
      </c>
      <c r="K42" s="147">
        <v>6.31</v>
      </c>
      <c r="L42" s="147">
        <v>6.31</v>
      </c>
      <c r="M42" s="147">
        <v>631.63</v>
      </c>
      <c r="N42" s="147">
        <v>631.63</v>
      </c>
      <c r="O42" s="147">
        <v>631.63</v>
      </c>
      <c r="P42" s="147">
        <v>631.63</v>
      </c>
      <c r="Q42" s="118">
        <f>((P42/G42)^(1/($H$2-$H$1) ))-1</f>
        <v>2.4149531497290062</v>
      </c>
      <c r="R42" s="31">
        <f t="shared" si="6"/>
        <v>0.12</v>
      </c>
      <c r="S42" s="154">
        <f>P42*(1.5)</f>
        <v>947.44499999999994</v>
      </c>
      <c r="T42" s="154">
        <f t="shared" ref="T42:AB42" si="140">S42*(1+$R42)</f>
        <v>1061.1384</v>
      </c>
      <c r="U42" s="154">
        <f t="shared" si="140"/>
        <v>1188.4750080000001</v>
      </c>
      <c r="V42" s="154">
        <f t="shared" si="140"/>
        <v>1331.0920089600002</v>
      </c>
      <c r="W42" s="154">
        <f t="shared" si="140"/>
        <v>1490.8230500352004</v>
      </c>
      <c r="X42" s="154">
        <f t="shared" si="140"/>
        <v>1669.7218160394245</v>
      </c>
      <c r="Y42" s="154">
        <f t="shared" si="140"/>
        <v>1870.0884339641557</v>
      </c>
      <c r="Z42" s="154">
        <f t="shared" si="140"/>
        <v>2094.4990460398544</v>
      </c>
      <c r="AA42" s="154">
        <f t="shared" si="140"/>
        <v>2345.8389315646373</v>
      </c>
      <c r="AB42" s="154">
        <f t="shared" si="140"/>
        <v>2627.3396033523941</v>
      </c>
      <c r="AC42" s="138">
        <f t="shared" si="19"/>
        <v>0.92858016300362367</v>
      </c>
      <c r="AD42" s="31">
        <f t="shared" si="17"/>
        <v>0.05</v>
      </c>
      <c r="AE42" s="146">
        <f t="shared" si="1"/>
        <v>16227.685785411846</v>
      </c>
    </row>
    <row r="43" spans="2:31" x14ac:dyDescent="0.2">
      <c r="B43" s="20" t="s">
        <v>282</v>
      </c>
      <c r="C43" s="145"/>
      <c r="D43" s="145"/>
      <c r="E43" s="145"/>
      <c r="F43" s="147"/>
      <c r="G43" s="147">
        <v>0.01</v>
      </c>
      <c r="H43" s="147">
        <v>0.01</v>
      </c>
      <c r="I43" s="147">
        <v>200</v>
      </c>
      <c r="J43" s="147">
        <v>237</v>
      </c>
      <c r="K43" s="147">
        <v>270</v>
      </c>
      <c r="L43" s="147">
        <v>2.7</v>
      </c>
      <c r="M43" s="147">
        <v>3.5</v>
      </c>
      <c r="N43" s="147">
        <v>3.9</v>
      </c>
      <c r="O43" s="147">
        <v>10</v>
      </c>
      <c r="P43" s="147">
        <v>14</v>
      </c>
      <c r="Q43" s="118">
        <f>((P43/G43)^(1/($H$2-$H$1) ))-1</f>
        <v>1.2365045278203177</v>
      </c>
      <c r="R43" s="31">
        <v>0.05</v>
      </c>
      <c r="S43" s="154">
        <f t="shared" ref="S43" si="141">P43*(1+$R43)</f>
        <v>14.700000000000001</v>
      </c>
      <c r="T43" s="154">
        <f t="shared" ref="T43" si="142">S43*(1+$R43)</f>
        <v>15.435000000000002</v>
      </c>
      <c r="U43" s="154">
        <f t="shared" ref="U43" si="143">T43*(1+$R43)</f>
        <v>16.206750000000003</v>
      </c>
      <c r="V43" s="154">
        <f t="shared" ref="V43" si="144">U43*(1+$R43)</f>
        <v>17.017087500000002</v>
      </c>
      <c r="W43" s="154">
        <f t="shared" ref="W43" si="145">V43*(1+$R43)</f>
        <v>17.867941875000003</v>
      </c>
      <c r="X43" s="154">
        <f t="shared" ref="X43" si="146">W43*(1+$R43)</f>
        <v>18.761338968750003</v>
      </c>
      <c r="Y43" s="154">
        <f t="shared" ref="Y43" si="147">X43*(1+$R43)</f>
        <v>19.699405917187505</v>
      </c>
      <c r="Z43" s="154">
        <f t="shared" ref="Z43" si="148">Y43*(1+$R43)</f>
        <v>20.684376213046882</v>
      </c>
      <c r="AA43" s="154">
        <f t="shared" ref="AA43" si="149">Z43*(1+$R43)</f>
        <v>21.718595023699226</v>
      </c>
      <c r="AB43" s="154">
        <f t="shared" ref="AB43" si="150">AA43*(1+$R43)</f>
        <v>22.804524774884189</v>
      </c>
      <c r="AC43" s="138">
        <f t="shared" ref="AC43" si="151">((AB43/G43)^(1/($AB$3-$H$1) ))-1</f>
        <v>0.50223525089426468</v>
      </c>
      <c r="AD43" s="31">
        <f t="shared" si="17"/>
        <v>0.05</v>
      </c>
      <c r="AE43" s="146">
        <f t="shared" si="1"/>
        <v>140.85147655075531</v>
      </c>
    </row>
    <row r="44" spans="2:31" x14ac:dyDescent="0.2">
      <c r="B44" s="20"/>
      <c r="C44" s="20"/>
      <c r="D44" s="20"/>
      <c r="E44" s="127"/>
      <c r="F44" s="127"/>
      <c r="G44" s="127"/>
      <c r="H44" s="20"/>
      <c r="I44" s="20"/>
      <c r="J44" s="20"/>
      <c r="K44" s="20"/>
      <c r="L44" s="20"/>
      <c r="M44" s="20"/>
      <c r="N44" s="20"/>
      <c r="O44" s="20"/>
      <c r="P44" s="20"/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108" t="s">
        <v>243</v>
      </c>
      <c r="C45" s="20"/>
      <c r="D45" s="20"/>
      <c r="E45" s="127"/>
      <c r="F45" s="127"/>
      <c r="G45" s="127"/>
      <c r="H45" s="20"/>
      <c r="I45" s="20"/>
      <c r="J45" s="20"/>
      <c r="K45" s="20"/>
      <c r="L45" s="20"/>
      <c r="M45" s="20"/>
      <c r="N45" s="20"/>
      <c r="O45" s="20"/>
      <c r="P45" s="20"/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303</v>
      </c>
      <c r="C46" s="133">
        <f t="shared" ref="C46:P46" si="152">C25/C42</f>
        <v>0</v>
      </c>
      <c r="D46" s="133">
        <f t="shared" si="152"/>
        <v>0</v>
      </c>
      <c r="E46" s="133">
        <f t="shared" si="152"/>
        <v>0</v>
      </c>
      <c r="F46" s="133">
        <f t="shared" si="152"/>
        <v>0</v>
      </c>
      <c r="G46" s="133">
        <f t="shared" si="152"/>
        <v>182500</v>
      </c>
      <c r="H46" s="133">
        <f t="shared" si="152"/>
        <v>181200</v>
      </c>
      <c r="I46" s="133">
        <f t="shared" si="152"/>
        <v>387.16323296354994</v>
      </c>
      <c r="J46" s="133">
        <f t="shared" si="152"/>
        <v>559.5879556259905</v>
      </c>
      <c r="K46" s="133">
        <f t="shared" si="152"/>
        <v>6206.6561014263079</v>
      </c>
      <c r="L46" s="133">
        <f t="shared" si="152"/>
        <v>8328.2091917591133</v>
      </c>
      <c r="M46" s="133">
        <f t="shared" si="152"/>
        <v>93.842914364422214</v>
      </c>
      <c r="N46" s="133">
        <f t="shared" si="152"/>
        <v>89.1756249703149</v>
      </c>
      <c r="O46" s="133">
        <f t="shared" si="152"/>
        <v>111.38008011019109</v>
      </c>
      <c r="P46" s="133">
        <f t="shared" si="152"/>
        <v>121.20228614853633</v>
      </c>
      <c r="Q46" s="118">
        <f>((P46/G46)^(1/($H$2-$H$1) ))-1</f>
        <v>-0.5564767018818394</v>
      </c>
      <c r="R46" s="128"/>
      <c r="S46" s="158">
        <f t="shared" ref="S46:AB46" si="153">S25/S42</f>
        <v>90.497706990907133</v>
      </c>
      <c r="T46" s="158">
        <f t="shared" si="153"/>
        <v>90.497706990907133</v>
      </c>
      <c r="U46" s="158">
        <f t="shared" si="153"/>
        <v>90.497706990907147</v>
      </c>
      <c r="V46" s="158">
        <f t="shared" si="153"/>
        <v>90.497706990907162</v>
      </c>
      <c r="W46" s="158">
        <f t="shared" si="153"/>
        <v>90.497706990907162</v>
      </c>
      <c r="X46" s="158">
        <f t="shared" si="153"/>
        <v>90.497706990907162</v>
      </c>
      <c r="Y46" s="158">
        <f t="shared" si="153"/>
        <v>90.497706990907162</v>
      </c>
      <c r="Z46" s="158">
        <f t="shared" si="153"/>
        <v>90.497706990907176</v>
      </c>
      <c r="AA46" s="158">
        <f t="shared" si="153"/>
        <v>90.497706990907162</v>
      </c>
      <c r="AB46" s="158">
        <f t="shared" si="153"/>
        <v>90.497706990907176</v>
      </c>
      <c r="AC46" s="138">
        <f t="shared" ref="AC46" si="154">((AB46/G46)^(1/($AB$3-$H$1) ))-1</f>
        <v>-0.33000377926156621</v>
      </c>
      <c r="AD46" s="31">
        <f t="shared" si="17"/>
        <v>0.05</v>
      </c>
      <c r="AE46" s="146">
        <f t="shared" ref="AE46:AE47" si="155">(AB46*(1+AD46))/($C$1-AD46)</f>
        <v>558.95642553207381</v>
      </c>
    </row>
    <row r="47" spans="2:31" x14ac:dyDescent="0.2">
      <c r="B47" s="20" t="s">
        <v>304</v>
      </c>
      <c r="C47" s="133">
        <f t="shared" ref="C47:P47" si="156">C27/C42</f>
        <v>0</v>
      </c>
      <c r="D47" s="133">
        <f t="shared" si="156"/>
        <v>0</v>
      </c>
      <c r="E47" s="133">
        <f t="shared" si="156"/>
        <v>0</v>
      </c>
      <c r="F47" s="133">
        <f t="shared" si="156"/>
        <v>0</v>
      </c>
      <c r="G47" s="133">
        <f t="shared" si="156"/>
        <v>26700</v>
      </c>
      <c r="H47" s="133">
        <f t="shared" si="156"/>
        <v>30900</v>
      </c>
      <c r="I47" s="133">
        <f t="shared" si="156"/>
        <v>131.22028526148972</v>
      </c>
      <c r="J47" s="133">
        <f t="shared" si="156"/>
        <v>52.931854199683045</v>
      </c>
      <c r="K47" s="133">
        <f t="shared" si="156"/>
        <v>4573.2171156893819</v>
      </c>
      <c r="L47" s="133">
        <f t="shared" si="156"/>
        <v>6756.5768621236139</v>
      </c>
      <c r="M47" s="133">
        <f t="shared" si="156"/>
        <v>64.859173883444427</v>
      </c>
      <c r="N47" s="133">
        <f t="shared" si="156"/>
        <v>60.107974605386062</v>
      </c>
      <c r="O47" s="133">
        <f t="shared" si="156"/>
        <v>74.613302091414283</v>
      </c>
      <c r="P47" s="133">
        <f t="shared" si="156"/>
        <v>78.724886405015596</v>
      </c>
      <c r="Q47" s="118">
        <f>((P47/G47)^(1/($H$2-$H$1) ))-1</f>
        <v>-0.47658696836190795</v>
      </c>
      <c r="R47" s="128"/>
      <c r="S47" s="158">
        <f t="shared" ref="S47:AB47" si="157">S27/S42</f>
        <v>58.781248515744991</v>
      </c>
      <c r="T47" s="158">
        <f t="shared" si="157"/>
        <v>58.781248515744991</v>
      </c>
      <c r="U47" s="158">
        <f t="shared" si="157"/>
        <v>58.781248515744984</v>
      </c>
      <c r="V47" s="158">
        <f t="shared" si="157"/>
        <v>58.781248515744991</v>
      </c>
      <c r="W47" s="158">
        <f t="shared" si="157"/>
        <v>58.781248515744991</v>
      </c>
      <c r="X47" s="158">
        <f t="shared" si="157"/>
        <v>58.781248515744991</v>
      </c>
      <c r="Y47" s="158">
        <f t="shared" si="157"/>
        <v>58.781248515744998</v>
      </c>
      <c r="Z47" s="158">
        <f t="shared" si="157"/>
        <v>58.781248515744998</v>
      </c>
      <c r="AA47" s="158">
        <f t="shared" si="157"/>
        <v>58.781248515744998</v>
      </c>
      <c r="AB47" s="158">
        <f t="shared" si="157"/>
        <v>58.781248515744998</v>
      </c>
      <c r="AC47" s="138">
        <f t="shared" ref="AC47" si="158">((AB47/G47)^(1/($AB$3-$H$1) ))-1</f>
        <v>-0.27532453978274651</v>
      </c>
      <c r="AD47" s="31">
        <f t="shared" si="17"/>
        <v>0.05</v>
      </c>
      <c r="AE47" s="146">
        <f t="shared" si="155"/>
        <v>363.06065259724858</v>
      </c>
    </row>
    <row r="48" spans="2:31" x14ac:dyDescent="0.2">
      <c r="B48" s="20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28"/>
      <c r="R48" s="12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19"/>
      <c r="AD48" s="137"/>
      <c r="AE48" s="146"/>
    </row>
    <row r="49" spans="2:31" x14ac:dyDescent="0.2">
      <c r="B49" s="20" t="s">
        <v>257</v>
      </c>
      <c r="C49" s="25">
        <f t="shared" ref="C49:P49" si="159">C40/C42</f>
        <v>0</v>
      </c>
      <c r="D49" s="25">
        <f t="shared" si="159"/>
        <v>0</v>
      </c>
      <c r="E49" s="25">
        <f t="shared" si="159"/>
        <v>0</v>
      </c>
      <c r="F49" s="133">
        <f t="shared" si="159"/>
        <v>0</v>
      </c>
      <c r="G49" s="133">
        <f t="shared" si="159"/>
        <v>133200</v>
      </c>
      <c r="H49" s="133">
        <f t="shared" si="159"/>
        <v>132400</v>
      </c>
      <c r="I49" s="133">
        <f t="shared" si="159"/>
        <v>271.31537242472268</v>
      </c>
      <c r="J49" s="133">
        <f t="shared" si="159"/>
        <v>447.06814580031698</v>
      </c>
      <c r="K49" s="133">
        <f t="shared" si="159"/>
        <v>830.90332805071318</v>
      </c>
      <c r="L49" s="133">
        <f t="shared" si="159"/>
        <v>329.31854199683045</v>
      </c>
      <c r="M49" s="133">
        <f t="shared" si="159"/>
        <v>15.233601950509001</v>
      </c>
      <c r="N49" s="133">
        <f t="shared" si="159"/>
        <v>17.204692620679829</v>
      </c>
      <c r="O49" s="133">
        <f t="shared" si="159"/>
        <v>23.412440827699761</v>
      </c>
      <c r="P49" s="133">
        <f t="shared" si="159"/>
        <v>27.478112185931636</v>
      </c>
      <c r="Q49" s="118">
        <f>((P49/G49)^(1/($H$2-$H$1) ))-1</f>
        <v>-0.61050841946210799</v>
      </c>
      <c r="R49" s="128"/>
      <c r="S49" s="158">
        <f t="shared" ref="S49:AB49" si="160">S40/S42</f>
        <v>20.516990432162292</v>
      </c>
      <c r="T49" s="158">
        <f t="shared" si="160"/>
        <v>20.516990432162292</v>
      </c>
      <c r="U49" s="158">
        <f t="shared" si="160"/>
        <v>20.516990432162292</v>
      </c>
      <c r="V49" s="158">
        <f t="shared" si="160"/>
        <v>20.516990432162292</v>
      </c>
      <c r="W49" s="158">
        <f t="shared" si="160"/>
        <v>20.516990432162292</v>
      </c>
      <c r="X49" s="158">
        <f t="shared" si="160"/>
        <v>20.516990432162288</v>
      </c>
      <c r="Y49" s="158">
        <f t="shared" si="160"/>
        <v>20.516990432162288</v>
      </c>
      <c r="Z49" s="158">
        <f t="shared" si="160"/>
        <v>20.516990432162292</v>
      </c>
      <c r="AA49" s="158">
        <f t="shared" si="160"/>
        <v>20.516990432162288</v>
      </c>
      <c r="AB49" s="158">
        <f t="shared" si="160"/>
        <v>20.516990432162284</v>
      </c>
      <c r="AC49" s="138">
        <f t="shared" ref="AC49:AC63" si="161">((AB49/G49)^(1/($AB$3-$H$1) ))-1</f>
        <v>-0.36998938806817083</v>
      </c>
      <c r="AD49" s="31">
        <f t="shared" si="17"/>
        <v>0.05</v>
      </c>
      <c r="AE49" s="146">
        <f t="shared" ref="AE49:AE77" si="162">(AB49*(1+AD49))/($C$1-AD49)</f>
        <v>126.72258796335531</v>
      </c>
    </row>
    <row r="50" spans="2:31" x14ac:dyDescent="0.2">
      <c r="B50" s="20" t="s">
        <v>386</v>
      </c>
      <c r="C50" s="133">
        <f t="shared" ref="C50:F50" si="163">C20/C42</f>
        <v>0</v>
      </c>
      <c r="D50" s="133">
        <f t="shared" si="163"/>
        <v>0</v>
      </c>
      <c r="E50" s="133">
        <f t="shared" si="163"/>
        <v>0</v>
      </c>
      <c r="F50" s="133">
        <f t="shared" si="163"/>
        <v>0</v>
      </c>
      <c r="G50" s="133">
        <f>G20/G42</f>
        <v>0</v>
      </c>
      <c r="H50" s="133">
        <f t="shared" ref="H50:P50" si="164">H20/H42</f>
        <v>0</v>
      </c>
      <c r="I50" s="133">
        <f t="shared" si="164"/>
        <v>0</v>
      </c>
      <c r="J50" s="133">
        <f t="shared" si="164"/>
        <v>0</v>
      </c>
      <c r="K50" s="133">
        <f t="shared" si="164"/>
        <v>0</v>
      </c>
      <c r="L50" s="133">
        <f t="shared" si="164"/>
        <v>0</v>
      </c>
      <c r="M50" s="133">
        <f t="shared" si="164"/>
        <v>0</v>
      </c>
      <c r="N50" s="133">
        <f t="shared" si="164"/>
        <v>0</v>
      </c>
      <c r="O50" s="133">
        <f t="shared" si="164"/>
        <v>0</v>
      </c>
      <c r="P50" s="133">
        <f t="shared" si="164"/>
        <v>0</v>
      </c>
      <c r="Q50" s="118" t="e">
        <f>((P50/G50)^(1/($H$2-$H$1) ))-1</f>
        <v>#DIV/0!</v>
      </c>
      <c r="R50" s="128"/>
      <c r="S50" s="133">
        <f t="shared" ref="S50:AB50" si="165">S20/S42</f>
        <v>0</v>
      </c>
      <c r="T50" s="133">
        <f t="shared" si="165"/>
        <v>0</v>
      </c>
      <c r="U50" s="133">
        <f t="shared" si="165"/>
        <v>0</v>
      </c>
      <c r="V50" s="133">
        <f t="shared" si="165"/>
        <v>0</v>
      </c>
      <c r="W50" s="133">
        <f t="shared" si="165"/>
        <v>0</v>
      </c>
      <c r="X50" s="133">
        <f t="shared" si="165"/>
        <v>0</v>
      </c>
      <c r="Y50" s="133">
        <f t="shared" si="165"/>
        <v>0</v>
      </c>
      <c r="Z50" s="133">
        <f t="shared" si="165"/>
        <v>0</v>
      </c>
      <c r="AA50" s="133">
        <f t="shared" si="165"/>
        <v>0</v>
      </c>
      <c r="AB50" s="133">
        <f t="shared" si="165"/>
        <v>0</v>
      </c>
      <c r="AC50" s="138" t="e">
        <f t="shared" ref="AC50" si="166">((AB50/G50)^(1/($AB$3-$H$1) ))-1</f>
        <v>#DIV/0!</v>
      </c>
      <c r="AD50" s="31">
        <f t="shared" si="17"/>
        <v>0.05</v>
      </c>
      <c r="AE50" s="146">
        <f t="shared" si="162"/>
        <v>0</v>
      </c>
    </row>
    <row r="51" spans="2:31" x14ac:dyDescent="0.2">
      <c r="B51" s="20" t="s">
        <v>245</v>
      </c>
      <c r="C51" s="25">
        <f t="shared" ref="C51:P51" si="167">C7/C42</f>
        <v>0</v>
      </c>
      <c r="D51" s="25">
        <f t="shared" si="167"/>
        <v>0</v>
      </c>
      <c r="E51" s="25">
        <f t="shared" si="167"/>
        <v>0</v>
      </c>
      <c r="F51" s="133">
        <f t="shared" si="167"/>
        <v>0</v>
      </c>
      <c r="G51" s="133">
        <f t="shared" si="167"/>
        <v>969700</v>
      </c>
      <c r="H51" s="133">
        <f t="shared" si="167"/>
        <v>1087800</v>
      </c>
      <c r="I51" s="133">
        <f t="shared" si="167"/>
        <v>1797.3058637083996</v>
      </c>
      <c r="J51" s="133">
        <f t="shared" si="167"/>
        <v>2005.3882725832013</v>
      </c>
      <c r="K51" s="133">
        <f t="shared" si="167"/>
        <v>3215.2139461172742</v>
      </c>
      <c r="L51" s="133">
        <f t="shared" si="167"/>
        <v>3231.0618066561015</v>
      </c>
      <c r="M51" s="133">
        <f t="shared" si="167"/>
        <v>43.177176511565314</v>
      </c>
      <c r="N51" s="133">
        <f t="shared" si="167"/>
        <v>52.742903281984709</v>
      </c>
      <c r="O51" s="133">
        <f t="shared" si="167"/>
        <v>64.045406329655023</v>
      </c>
      <c r="P51" s="133">
        <f t="shared" si="167"/>
        <v>76.73954688662667</v>
      </c>
      <c r="Q51" s="118">
        <f>((P51/G51)^(1/($H$2-$H$1) ))-1</f>
        <v>-0.64984152004602347</v>
      </c>
      <c r="R51" s="128"/>
      <c r="S51" s="158">
        <f t="shared" ref="S51:AB51" si="168">S7/S42</f>
        <v>57.298861675347915</v>
      </c>
      <c r="T51" s="158">
        <f t="shared" si="168"/>
        <v>57.298861675347915</v>
      </c>
      <c r="U51" s="158">
        <f t="shared" si="168"/>
        <v>57.298861675347915</v>
      </c>
      <c r="V51" s="158">
        <f t="shared" si="168"/>
        <v>57.298861675347922</v>
      </c>
      <c r="W51" s="158">
        <f t="shared" si="168"/>
        <v>57.298861675347922</v>
      </c>
      <c r="X51" s="158">
        <f t="shared" si="168"/>
        <v>57.298861675347922</v>
      </c>
      <c r="Y51" s="158">
        <f t="shared" si="168"/>
        <v>57.298861675347922</v>
      </c>
      <c r="Z51" s="158">
        <f t="shared" si="168"/>
        <v>57.298861675347922</v>
      </c>
      <c r="AA51" s="158">
        <f t="shared" si="168"/>
        <v>57.298861675347922</v>
      </c>
      <c r="AB51" s="158">
        <f t="shared" si="168"/>
        <v>57.298861675347915</v>
      </c>
      <c r="AC51" s="138">
        <f t="shared" si="161"/>
        <v>-0.40097103703038128</v>
      </c>
      <c r="AD51" s="31">
        <f t="shared" si="17"/>
        <v>0.05</v>
      </c>
      <c r="AE51" s="146">
        <f t="shared" si="162"/>
        <v>353.90473387714894</v>
      </c>
    </row>
    <row r="52" spans="2:31" x14ac:dyDescent="0.2">
      <c r="B52" s="20" t="s">
        <v>246</v>
      </c>
      <c r="C52" s="127">
        <f t="shared" ref="C52:P52" si="169">C6/C42</f>
        <v>0</v>
      </c>
      <c r="D52" s="127">
        <f t="shared" si="169"/>
        <v>0</v>
      </c>
      <c r="E52" s="127">
        <f t="shared" si="169"/>
        <v>0</v>
      </c>
      <c r="F52" s="144">
        <f t="shared" si="169"/>
        <v>0</v>
      </c>
      <c r="G52" s="144">
        <f t="shared" si="169"/>
        <v>338000</v>
      </c>
      <c r="H52" s="144">
        <f t="shared" si="169"/>
        <v>456100</v>
      </c>
      <c r="I52" s="144">
        <f t="shared" si="169"/>
        <v>796.35499207606983</v>
      </c>
      <c r="J52" s="144">
        <f t="shared" si="169"/>
        <v>1004.4374009508717</v>
      </c>
      <c r="K52" s="144">
        <f t="shared" si="169"/>
        <v>2214.1045958795562</v>
      </c>
      <c r="L52" s="144">
        <f t="shared" si="169"/>
        <v>2230.1109350237721</v>
      </c>
      <c r="M52" s="144">
        <f t="shared" si="169"/>
        <v>33.177651473172588</v>
      </c>
      <c r="N52" s="144">
        <f t="shared" si="169"/>
        <v>42.741795038234407</v>
      </c>
      <c r="O52" s="144">
        <f t="shared" si="169"/>
        <v>54.044298085904721</v>
      </c>
      <c r="P52" s="144">
        <f t="shared" si="169"/>
        <v>66.740021848233937</v>
      </c>
      <c r="Q52" s="118">
        <f>((P52/G52)^(1/($H$2-$H$1) ))-1</f>
        <v>-0.61239844025522094</v>
      </c>
      <c r="R52" s="128"/>
      <c r="S52" s="157">
        <f t="shared" ref="S52:AB52" si="170">S6/S42</f>
        <v>49.83254964668135</v>
      </c>
      <c r="T52" s="157">
        <f t="shared" si="170"/>
        <v>49.832549646681343</v>
      </c>
      <c r="U52" s="157">
        <f t="shared" si="170"/>
        <v>49.832549646681343</v>
      </c>
      <c r="V52" s="157">
        <f t="shared" si="170"/>
        <v>49.83254964668135</v>
      </c>
      <c r="W52" s="157">
        <f t="shared" si="170"/>
        <v>49.83254964668135</v>
      </c>
      <c r="X52" s="157">
        <f t="shared" si="170"/>
        <v>49.83254964668135</v>
      </c>
      <c r="Y52" s="157">
        <f t="shared" si="170"/>
        <v>49.83254964668135</v>
      </c>
      <c r="Z52" s="157">
        <f t="shared" si="170"/>
        <v>49.83254964668135</v>
      </c>
      <c r="AA52" s="157">
        <f t="shared" si="170"/>
        <v>49.83254964668135</v>
      </c>
      <c r="AB52" s="157">
        <f t="shared" si="170"/>
        <v>49.83254964668135</v>
      </c>
      <c r="AC52" s="138">
        <f t="shared" si="161"/>
        <v>-0.37143936430727209</v>
      </c>
      <c r="AD52" s="31">
        <f t="shared" si="17"/>
        <v>0.05</v>
      </c>
      <c r="AE52" s="146">
        <f t="shared" si="162"/>
        <v>307.78927722950249</v>
      </c>
    </row>
    <row r="53" spans="2:31" x14ac:dyDescent="0.2">
      <c r="B53" s="20" t="s">
        <v>247</v>
      </c>
      <c r="C53" s="127">
        <f t="shared" ref="C53:P53" si="171">C10/C42</f>
        <v>0</v>
      </c>
      <c r="D53" s="127">
        <f t="shared" si="171"/>
        <v>0</v>
      </c>
      <c r="E53" s="127">
        <f t="shared" si="171"/>
        <v>0</v>
      </c>
      <c r="F53" s="144">
        <f t="shared" si="171"/>
        <v>0</v>
      </c>
      <c r="G53" s="144">
        <f t="shared" si="171"/>
        <v>252400</v>
      </c>
      <c r="H53" s="144">
        <f t="shared" si="171"/>
        <v>237200</v>
      </c>
      <c r="I53" s="144">
        <f t="shared" si="171"/>
        <v>300.95087163232967</v>
      </c>
      <c r="J53" s="144">
        <f t="shared" si="171"/>
        <v>260.8557844690967</v>
      </c>
      <c r="K53" s="144">
        <f t="shared" si="171"/>
        <v>298.57369255150559</v>
      </c>
      <c r="L53" s="144">
        <f t="shared" si="171"/>
        <v>340.41204437400955</v>
      </c>
      <c r="M53" s="144">
        <f t="shared" si="171"/>
        <v>3.302566375884616</v>
      </c>
      <c r="N53" s="144">
        <f t="shared" si="171"/>
        <v>2.1626585184364262</v>
      </c>
      <c r="O53" s="144">
        <f t="shared" si="171"/>
        <v>2.1104127416367175</v>
      </c>
      <c r="P53" s="144">
        <f t="shared" si="171"/>
        <v>1.7066953754571506</v>
      </c>
      <c r="Q53" s="118">
        <f>((P53/G53)^(1/($H$2-$H$1) ))-1</f>
        <v>-0.73358236891680573</v>
      </c>
      <c r="R53" s="128"/>
      <c r="S53" s="157">
        <f t="shared" ref="S53:AB53" si="172">S10/S42</f>
        <v>1.274332547008006</v>
      </c>
      <c r="T53" s="157">
        <f t="shared" si="172"/>
        <v>1.274332547008006</v>
      </c>
      <c r="U53" s="157">
        <f t="shared" si="172"/>
        <v>1.274332547008006</v>
      </c>
      <c r="V53" s="157">
        <f t="shared" si="172"/>
        <v>1.2743325470080062</v>
      </c>
      <c r="W53" s="157">
        <f t="shared" si="172"/>
        <v>1.274332547008006</v>
      </c>
      <c r="X53" s="157">
        <f t="shared" si="172"/>
        <v>1.274332547008006</v>
      </c>
      <c r="Y53" s="157">
        <f t="shared" si="172"/>
        <v>1.2743325470080058</v>
      </c>
      <c r="Z53" s="157">
        <f t="shared" si="172"/>
        <v>1.274332547008006</v>
      </c>
      <c r="AA53" s="157">
        <f t="shared" si="172"/>
        <v>1.274332547008006</v>
      </c>
      <c r="AB53" s="157">
        <f t="shared" si="172"/>
        <v>1.274332547008006</v>
      </c>
      <c r="AC53" s="138">
        <f t="shared" si="161"/>
        <v>-0.47371534598694298</v>
      </c>
      <c r="AD53" s="31">
        <f t="shared" si="17"/>
        <v>0.05</v>
      </c>
      <c r="AE53" s="146">
        <f t="shared" si="162"/>
        <v>7.8708774962259209</v>
      </c>
    </row>
    <row r="54" spans="2:31" x14ac:dyDescent="0.2">
      <c r="B54" s="20"/>
      <c r="C54" s="127"/>
      <c r="D54" s="127"/>
      <c r="E54" s="127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28"/>
      <c r="R54" s="128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39"/>
      <c r="AD54" s="137"/>
      <c r="AE54" s="146"/>
    </row>
    <row r="55" spans="2:31" x14ac:dyDescent="0.2">
      <c r="B55" s="20" t="s">
        <v>270</v>
      </c>
      <c r="C55" s="127">
        <f t="shared" ref="C55:P55" si="173">(C7-C10)/C42</f>
        <v>0</v>
      </c>
      <c r="D55" s="127">
        <f t="shared" si="173"/>
        <v>0</v>
      </c>
      <c r="E55" s="127">
        <f t="shared" si="173"/>
        <v>0</v>
      </c>
      <c r="F55" s="144">
        <f t="shared" si="173"/>
        <v>0</v>
      </c>
      <c r="G55" s="144">
        <f t="shared" si="173"/>
        <v>717300</v>
      </c>
      <c r="H55" s="144">
        <f t="shared" si="173"/>
        <v>850600</v>
      </c>
      <c r="I55" s="144">
        <f t="shared" si="173"/>
        <v>1496.3549920760697</v>
      </c>
      <c r="J55" s="144">
        <f t="shared" si="173"/>
        <v>1744.5324881141048</v>
      </c>
      <c r="K55" s="144">
        <f t="shared" si="173"/>
        <v>2916.6402535657689</v>
      </c>
      <c r="L55" s="144">
        <f t="shared" si="173"/>
        <v>2890.6497622820921</v>
      </c>
      <c r="M55" s="144">
        <f t="shared" si="173"/>
        <v>39.874610135680697</v>
      </c>
      <c r="N55" s="144">
        <f t="shared" si="173"/>
        <v>50.580244763548279</v>
      </c>
      <c r="O55" s="144">
        <f t="shared" si="173"/>
        <v>61.934993588018301</v>
      </c>
      <c r="P55" s="144">
        <f t="shared" si="173"/>
        <v>75.032851511169511</v>
      </c>
      <c r="Q55" s="118">
        <f>((P55/G55)^(1/($H$2-$H$1) ))-1</f>
        <v>-0.63881654608779581</v>
      </c>
      <c r="R55" s="128"/>
      <c r="S55" s="157">
        <f t="shared" ref="S55:AB55" si="174">(S7-S10)/S42</f>
        <v>56.024529128339914</v>
      </c>
      <c r="T55" s="157">
        <f t="shared" si="174"/>
        <v>56.024529128339914</v>
      </c>
      <c r="U55" s="157">
        <f t="shared" si="174"/>
        <v>56.024529128339907</v>
      </c>
      <c r="V55" s="157">
        <f t="shared" si="174"/>
        <v>56.024529128339914</v>
      </c>
      <c r="W55" s="157">
        <f t="shared" si="174"/>
        <v>56.024529128339921</v>
      </c>
      <c r="X55" s="157">
        <f t="shared" si="174"/>
        <v>56.024529128339921</v>
      </c>
      <c r="Y55" s="157">
        <f t="shared" si="174"/>
        <v>56.024529128339914</v>
      </c>
      <c r="Z55" s="157">
        <f t="shared" si="174"/>
        <v>56.024529128339921</v>
      </c>
      <c r="AA55" s="157">
        <f t="shared" si="174"/>
        <v>56.024529128339914</v>
      </c>
      <c r="AB55" s="157">
        <f t="shared" si="174"/>
        <v>56.024529128339907</v>
      </c>
      <c r="AC55" s="138">
        <f t="shared" si="161"/>
        <v>-0.39210982316267029</v>
      </c>
      <c r="AD55" s="31">
        <f t="shared" si="17"/>
        <v>0.05</v>
      </c>
      <c r="AE55" s="146">
        <f t="shared" si="162"/>
        <v>346.033856380923</v>
      </c>
    </row>
    <row r="56" spans="2:31" x14ac:dyDescent="0.2">
      <c r="B56" s="20" t="s">
        <v>271</v>
      </c>
      <c r="C56" s="127">
        <f t="shared" ref="C56:P56" si="175">(C7-C10-C9)/C42</f>
        <v>0</v>
      </c>
      <c r="D56" s="127">
        <f t="shared" si="175"/>
        <v>0</v>
      </c>
      <c r="E56" s="127">
        <f t="shared" si="175"/>
        <v>0</v>
      </c>
      <c r="F56" s="144">
        <f t="shared" si="175"/>
        <v>0</v>
      </c>
      <c r="G56" s="144">
        <f t="shared" si="175"/>
        <v>321200</v>
      </c>
      <c r="H56" s="144">
        <f t="shared" si="175"/>
        <v>433300</v>
      </c>
      <c r="I56" s="144">
        <f t="shared" si="175"/>
        <v>776.70364500792402</v>
      </c>
      <c r="J56" s="144">
        <f t="shared" si="175"/>
        <v>1028.6846275752773</v>
      </c>
      <c r="K56" s="144">
        <f t="shared" si="175"/>
        <v>282.88431061806659</v>
      </c>
      <c r="L56" s="144">
        <f t="shared" si="175"/>
        <v>-393.50237717908084</v>
      </c>
      <c r="M56" s="144">
        <f t="shared" si="175"/>
        <v>-2.1927394202301982</v>
      </c>
      <c r="N56" s="144">
        <f t="shared" si="175"/>
        <v>24.76924781913462</v>
      </c>
      <c r="O56" s="144">
        <f t="shared" si="175"/>
        <v>28.244383578994032</v>
      </c>
      <c r="P56" s="144">
        <f t="shared" si="175"/>
        <v>42.798790431106816</v>
      </c>
      <c r="Q56" s="118">
        <f>((P56/G56)^(1/($H$2-$H$1) ))-1</f>
        <v>-0.62897239955991568</v>
      </c>
      <c r="R56" s="128"/>
      <c r="S56" s="157">
        <f t="shared" ref="S56:AB56" si="176">(S7-S10-S9)/S42</f>
        <v>31.956430188559764</v>
      </c>
      <c r="T56" s="157">
        <f t="shared" si="176"/>
        <v>31.956430188559764</v>
      </c>
      <c r="U56" s="157">
        <f t="shared" si="176"/>
        <v>31.956430188559764</v>
      </c>
      <c r="V56" s="157">
        <f t="shared" si="176"/>
        <v>31.956430188559768</v>
      </c>
      <c r="W56" s="157">
        <f t="shared" si="176"/>
        <v>31.956430188559768</v>
      </c>
      <c r="X56" s="157">
        <f t="shared" si="176"/>
        <v>31.956430188559768</v>
      </c>
      <c r="Y56" s="157">
        <f t="shared" si="176"/>
        <v>31.956430188559764</v>
      </c>
      <c r="Z56" s="157">
        <f t="shared" si="176"/>
        <v>31.956430188559764</v>
      </c>
      <c r="AA56" s="157">
        <f t="shared" si="176"/>
        <v>31.956430188559764</v>
      </c>
      <c r="AB56" s="157">
        <f t="shared" si="176"/>
        <v>31.956430188559757</v>
      </c>
      <c r="AC56" s="138">
        <f t="shared" si="161"/>
        <v>-0.38431725064795175</v>
      </c>
      <c r="AD56" s="31">
        <f t="shared" si="17"/>
        <v>0.05</v>
      </c>
      <c r="AE56" s="146">
        <f t="shared" si="162"/>
        <v>197.3779511646338</v>
      </c>
    </row>
    <row r="57" spans="2:31" x14ac:dyDescent="0.2">
      <c r="B57" s="20" t="s">
        <v>276</v>
      </c>
      <c r="C57" s="127">
        <f t="shared" ref="C57:P57" si="177">(C7+C15-C10-C9)/C42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435400</v>
      </c>
      <c r="H57" s="144">
        <f t="shared" si="177"/>
        <v>691300</v>
      </c>
      <c r="I57" s="144">
        <f t="shared" si="177"/>
        <v>1235.4992076069732</v>
      </c>
      <c r="J57" s="144">
        <f t="shared" si="177"/>
        <v>1046.9096671949287</v>
      </c>
      <c r="K57" s="144">
        <f t="shared" si="177"/>
        <v>4403.6450079239303</v>
      </c>
      <c r="L57" s="144">
        <f t="shared" si="177"/>
        <v>690.17432646592715</v>
      </c>
      <c r="M57" s="144">
        <f t="shared" si="177"/>
        <v>13.107357155296613</v>
      </c>
      <c r="N57" s="144">
        <f t="shared" si="177"/>
        <v>111.54473346737805</v>
      </c>
      <c r="O57" s="144">
        <f t="shared" si="177"/>
        <v>138.97534949258269</v>
      </c>
      <c r="P57" s="144">
        <f t="shared" si="177"/>
        <v>166.81759891075473</v>
      </c>
      <c r="Q57" s="118">
        <f>((P57/G57)^(1/($H$2-$H$1) ))-1</f>
        <v>-0.58277280841295087</v>
      </c>
      <c r="R57" s="128"/>
      <c r="S57" s="157">
        <f t="shared" ref="S57:AB57" si="178">(S7+S15-S10-S9)/S42</f>
        <v>124.55714052003022</v>
      </c>
      <c r="T57" s="157">
        <f t="shared" si="178"/>
        <v>124.55714052003019</v>
      </c>
      <c r="U57" s="157">
        <f t="shared" si="178"/>
        <v>124.5571405200302</v>
      </c>
      <c r="V57" s="157">
        <f t="shared" si="178"/>
        <v>124.5571405200302</v>
      </c>
      <c r="W57" s="157">
        <f t="shared" si="178"/>
        <v>124.55714052003023</v>
      </c>
      <c r="X57" s="157">
        <f t="shared" si="178"/>
        <v>124.55714052003023</v>
      </c>
      <c r="Y57" s="157">
        <f t="shared" si="178"/>
        <v>124.55714052003022</v>
      </c>
      <c r="Z57" s="157">
        <f t="shared" si="178"/>
        <v>124.55714052003022</v>
      </c>
      <c r="AA57" s="157">
        <f t="shared" si="178"/>
        <v>124.55714052003019</v>
      </c>
      <c r="AB57" s="157">
        <f t="shared" si="178"/>
        <v>124.55714052003022</v>
      </c>
      <c r="AC57" s="138">
        <f t="shared" si="161"/>
        <v>-0.34912295058615062</v>
      </c>
      <c r="AD57" s="31">
        <f t="shared" si="17"/>
        <v>0.05</v>
      </c>
      <c r="AE57" s="146">
        <f t="shared" si="162"/>
        <v>769.32351497665741</v>
      </c>
    </row>
    <row r="58" spans="2:31" x14ac:dyDescent="0.2">
      <c r="B58" s="20"/>
      <c r="C58" s="127"/>
      <c r="D58" s="127"/>
      <c r="E58" s="127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28"/>
      <c r="R58" s="128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39"/>
      <c r="AD58" s="137"/>
      <c r="AE58" s="154"/>
    </row>
    <row r="59" spans="2:31" x14ac:dyDescent="0.2">
      <c r="B59" s="20" t="s">
        <v>248</v>
      </c>
      <c r="C59" s="127">
        <f t="shared" ref="C59:P59" si="179">C12/C42</f>
        <v>0</v>
      </c>
      <c r="D59" s="127">
        <f t="shared" si="179"/>
        <v>0</v>
      </c>
      <c r="E59" s="127">
        <f t="shared" si="179"/>
        <v>0</v>
      </c>
      <c r="F59" s="144">
        <f t="shared" si="179"/>
        <v>0</v>
      </c>
      <c r="G59" s="144">
        <f t="shared" si="179"/>
        <v>110700</v>
      </c>
      <c r="H59" s="144">
        <f t="shared" si="179"/>
        <v>253200</v>
      </c>
      <c r="I59" s="144">
        <f t="shared" si="179"/>
        <v>453.72424722662441</v>
      </c>
      <c r="J59" s="144">
        <f t="shared" si="179"/>
        <v>590.80824088748022</v>
      </c>
      <c r="K59" s="144">
        <f t="shared" si="179"/>
        <v>3321.8700475435817</v>
      </c>
      <c r="L59" s="144">
        <f t="shared" si="179"/>
        <v>4705.8637083993663</v>
      </c>
      <c r="M59" s="144">
        <f t="shared" si="179"/>
        <v>61.865332552285359</v>
      </c>
      <c r="N59" s="144">
        <f t="shared" si="179"/>
        <v>72.520304608710802</v>
      </c>
      <c r="O59" s="144">
        <f t="shared" si="179"/>
        <v>92.145718221110457</v>
      </c>
      <c r="P59" s="144">
        <f t="shared" si="179"/>
        <v>98.532368633535455</v>
      </c>
      <c r="Q59" s="118">
        <f>((P59/G59)^(1/($H$2-$H$1) ))-1</f>
        <v>-0.54180755658570123</v>
      </c>
      <c r="R59" s="128"/>
      <c r="S59" s="157">
        <f t="shared" ref="S59:AB59" si="180">S12/S42</f>
        <v>73.57083524637315</v>
      </c>
      <c r="T59" s="157">
        <f t="shared" si="180"/>
        <v>73.570835246373164</v>
      </c>
      <c r="U59" s="157">
        <f t="shared" si="180"/>
        <v>73.570835246373164</v>
      </c>
      <c r="V59" s="157">
        <f t="shared" si="180"/>
        <v>73.570835246373164</v>
      </c>
      <c r="W59" s="157">
        <f t="shared" si="180"/>
        <v>73.570835246373164</v>
      </c>
      <c r="X59" s="157">
        <f t="shared" si="180"/>
        <v>73.570835246373164</v>
      </c>
      <c r="Y59" s="157">
        <f t="shared" si="180"/>
        <v>73.570835246373164</v>
      </c>
      <c r="Z59" s="157">
        <f t="shared" si="180"/>
        <v>73.570835246373164</v>
      </c>
      <c r="AA59" s="157">
        <f t="shared" si="180"/>
        <v>73.570835246373164</v>
      </c>
      <c r="AB59" s="157">
        <f t="shared" si="180"/>
        <v>73.570835246373164</v>
      </c>
      <c r="AC59" s="138">
        <f t="shared" si="161"/>
        <v>-0.31959700913354383</v>
      </c>
      <c r="AD59" s="31">
        <f t="shared" si="17"/>
        <v>0.05</v>
      </c>
      <c r="AE59" s="146">
        <f t="shared" si="162"/>
        <v>454.40810005112843</v>
      </c>
    </row>
    <row r="60" spans="2:31" x14ac:dyDescent="0.2">
      <c r="B60" s="20" t="s">
        <v>255</v>
      </c>
      <c r="C60" s="127">
        <f t="shared" ref="C60:P60" si="181">C13/C42</f>
        <v>0</v>
      </c>
      <c r="D60" s="127">
        <f t="shared" si="181"/>
        <v>0</v>
      </c>
      <c r="E60" s="127">
        <f t="shared" si="181"/>
        <v>0</v>
      </c>
      <c r="F60" s="144">
        <f t="shared" si="181"/>
        <v>0</v>
      </c>
      <c r="G60" s="144">
        <f t="shared" si="181"/>
        <v>1111300</v>
      </c>
      <c r="H60" s="144">
        <f t="shared" si="181"/>
        <v>1276300</v>
      </c>
      <c r="I60" s="144">
        <f t="shared" si="181"/>
        <v>1678.4469096671951</v>
      </c>
      <c r="J60" s="144">
        <f t="shared" si="181"/>
        <v>1000.9508716323297</v>
      </c>
      <c r="K60" s="144">
        <f t="shared" si="181"/>
        <v>272.10776545166402</v>
      </c>
      <c r="L60" s="144">
        <f t="shared" si="181"/>
        <v>238.51030110935025</v>
      </c>
      <c r="M60" s="144">
        <f t="shared" si="181"/>
        <v>2.0296692684008044</v>
      </c>
      <c r="N60" s="144">
        <f t="shared" si="181"/>
        <v>1.6829472950936466</v>
      </c>
      <c r="O60" s="144">
        <f t="shared" si="181"/>
        <v>3.1363298133400885</v>
      </c>
      <c r="P60" s="144">
        <f t="shared" si="181"/>
        <v>3.7901936260152302</v>
      </c>
      <c r="Q60" s="118">
        <f>((P60/G60)^(1/($H$2-$H$1) ))-1</f>
        <v>-0.75309113912252412</v>
      </c>
      <c r="R60" s="128"/>
      <c r="S60" s="157">
        <f t="shared" ref="S60:AB60" si="182">S13/S42</f>
        <v>2.8300112407580391</v>
      </c>
      <c r="T60" s="157">
        <f t="shared" si="182"/>
        <v>2.8300112407580391</v>
      </c>
      <c r="U60" s="157">
        <f t="shared" si="182"/>
        <v>2.8300112407580396</v>
      </c>
      <c r="V60" s="157">
        <f t="shared" si="182"/>
        <v>2.8300112407580396</v>
      </c>
      <c r="W60" s="157">
        <f t="shared" si="182"/>
        <v>2.8300112407580391</v>
      </c>
      <c r="X60" s="157">
        <f t="shared" si="182"/>
        <v>2.8300112407580396</v>
      </c>
      <c r="Y60" s="157">
        <f t="shared" si="182"/>
        <v>2.8300112407580396</v>
      </c>
      <c r="Z60" s="157">
        <f t="shared" si="182"/>
        <v>2.8300112407580396</v>
      </c>
      <c r="AA60" s="157">
        <f t="shared" si="182"/>
        <v>2.8300112407580396</v>
      </c>
      <c r="AB60" s="157">
        <f t="shared" si="182"/>
        <v>2.8300112407580391</v>
      </c>
      <c r="AC60" s="138">
        <f t="shared" si="161"/>
        <v>-0.49233563907476363</v>
      </c>
      <c r="AD60" s="31">
        <f t="shared" si="17"/>
        <v>0.05</v>
      </c>
      <c r="AE60" s="146">
        <f t="shared" si="162"/>
        <v>17.479481192917305</v>
      </c>
    </row>
    <row r="61" spans="2:31" x14ac:dyDescent="0.2">
      <c r="B61" s="20" t="s">
        <v>256</v>
      </c>
      <c r="C61" s="127">
        <f>(C59+C60)</f>
        <v>0</v>
      </c>
      <c r="D61" s="127">
        <f t="shared" ref="D61:P61" si="183">(D59+D60)</f>
        <v>0</v>
      </c>
      <c r="E61" s="127">
        <f t="shared" si="183"/>
        <v>0</v>
      </c>
      <c r="F61" s="144">
        <f t="shared" si="183"/>
        <v>0</v>
      </c>
      <c r="G61" s="144">
        <f t="shared" si="183"/>
        <v>1222000</v>
      </c>
      <c r="H61" s="144">
        <f t="shared" si="183"/>
        <v>1529500</v>
      </c>
      <c r="I61" s="144">
        <f t="shared" si="183"/>
        <v>2132.1711568938194</v>
      </c>
      <c r="J61" s="144">
        <f t="shared" si="183"/>
        <v>1591.7591125198101</v>
      </c>
      <c r="K61" s="144">
        <f t="shared" si="183"/>
        <v>3593.9778129952456</v>
      </c>
      <c r="L61" s="144">
        <f t="shared" si="183"/>
        <v>4944.3740095087169</v>
      </c>
      <c r="M61" s="144">
        <f t="shared" si="183"/>
        <v>63.895001820686161</v>
      </c>
      <c r="N61" s="144">
        <f t="shared" si="183"/>
        <v>74.203251903804443</v>
      </c>
      <c r="O61" s="144">
        <f t="shared" ref="O61" si="184">(O59+O60)</f>
        <v>95.28204803445054</v>
      </c>
      <c r="P61" s="144">
        <f t="shared" si="183"/>
        <v>102.32256225955068</v>
      </c>
      <c r="Q61" s="118">
        <f>((P61/G61)^(1/($H$2-$H$1) ))-1</f>
        <v>-0.64763812588856806</v>
      </c>
      <c r="R61" s="128"/>
      <c r="S61" s="157">
        <f t="shared" ref="S61:AB61" si="185">(S59+S60)</f>
        <v>76.40084648713119</v>
      </c>
      <c r="T61" s="157">
        <f t="shared" si="185"/>
        <v>76.400846487131204</v>
      </c>
      <c r="U61" s="157">
        <f t="shared" si="185"/>
        <v>76.400846487131204</v>
      </c>
      <c r="V61" s="157">
        <f t="shared" si="185"/>
        <v>76.400846487131204</v>
      </c>
      <c r="W61" s="157">
        <f t="shared" si="185"/>
        <v>76.400846487131204</v>
      </c>
      <c r="X61" s="157">
        <f t="shared" si="185"/>
        <v>76.400846487131204</v>
      </c>
      <c r="Y61" s="157">
        <f t="shared" si="185"/>
        <v>76.400846487131204</v>
      </c>
      <c r="Z61" s="157">
        <f t="shared" si="185"/>
        <v>76.400846487131204</v>
      </c>
      <c r="AA61" s="157">
        <f t="shared" si="185"/>
        <v>76.400846487131204</v>
      </c>
      <c r="AB61" s="157">
        <f t="shared" si="185"/>
        <v>76.400846487131204</v>
      </c>
      <c r="AC61" s="138">
        <f t="shared" si="161"/>
        <v>-0.399188466136148</v>
      </c>
      <c r="AD61" s="31">
        <f t="shared" si="17"/>
        <v>0.05</v>
      </c>
      <c r="AE61" s="146">
        <f t="shared" si="162"/>
        <v>471.88758124404575</v>
      </c>
    </row>
    <row r="62" spans="2:31" x14ac:dyDescent="0.2">
      <c r="B62" s="20" t="s">
        <v>249</v>
      </c>
      <c r="C62" s="127">
        <f t="shared" ref="C62:P62" si="186">C15/C42</f>
        <v>0</v>
      </c>
      <c r="D62" s="127">
        <f t="shared" si="186"/>
        <v>0</v>
      </c>
      <c r="E62" s="127">
        <f t="shared" si="186"/>
        <v>0</v>
      </c>
      <c r="F62" s="144">
        <f t="shared" si="186"/>
        <v>0</v>
      </c>
      <c r="G62" s="144">
        <f t="shared" si="186"/>
        <v>114200</v>
      </c>
      <c r="H62" s="144">
        <f t="shared" si="186"/>
        <v>258000</v>
      </c>
      <c r="I62" s="144">
        <f t="shared" si="186"/>
        <v>458.79556259904916</v>
      </c>
      <c r="J62" s="144">
        <f t="shared" si="186"/>
        <v>18.225039619651348</v>
      </c>
      <c r="K62" s="144">
        <f t="shared" si="186"/>
        <v>4120.7606973058637</v>
      </c>
      <c r="L62" s="144">
        <f t="shared" si="186"/>
        <v>1083.676703645008</v>
      </c>
      <c r="M62" s="144">
        <f t="shared" si="186"/>
        <v>15.300096575526812</v>
      </c>
      <c r="N62" s="144">
        <f t="shared" si="186"/>
        <v>86.775485648243432</v>
      </c>
      <c r="O62" s="144">
        <f t="shared" si="186"/>
        <v>110.73096591358865</v>
      </c>
      <c r="P62" s="144">
        <f t="shared" si="186"/>
        <v>124.0188084796479</v>
      </c>
      <c r="Q62" s="118">
        <f>((P62/G62)^(1/($H$2-$H$1) ))-1</f>
        <v>-0.53156770611502258</v>
      </c>
      <c r="R62" s="128"/>
      <c r="S62" s="157">
        <f t="shared" ref="S62:AB62" si="187">S15/S42</f>
        <v>92.600710331470438</v>
      </c>
      <c r="T62" s="157">
        <f t="shared" si="187"/>
        <v>92.600710331470438</v>
      </c>
      <c r="U62" s="157">
        <f t="shared" si="187"/>
        <v>92.600710331470438</v>
      </c>
      <c r="V62" s="157">
        <f t="shared" si="187"/>
        <v>92.600710331470438</v>
      </c>
      <c r="W62" s="157">
        <f t="shared" si="187"/>
        <v>92.600710331470452</v>
      </c>
      <c r="X62" s="157">
        <f t="shared" si="187"/>
        <v>92.600710331470452</v>
      </c>
      <c r="Y62" s="157">
        <f t="shared" si="187"/>
        <v>92.600710331470452</v>
      </c>
      <c r="Z62" s="157">
        <f t="shared" si="187"/>
        <v>92.600710331470452</v>
      </c>
      <c r="AA62" s="157">
        <f t="shared" si="187"/>
        <v>92.600710331470452</v>
      </c>
      <c r="AB62" s="157">
        <f t="shared" si="187"/>
        <v>92.600710331470438</v>
      </c>
      <c r="AC62" s="138">
        <f t="shared" si="161"/>
        <v>-0.31243610382866804</v>
      </c>
      <c r="AD62" s="31">
        <f t="shared" si="17"/>
        <v>0.05</v>
      </c>
      <c r="AE62" s="146">
        <f t="shared" si="162"/>
        <v>571.94556381202335</v>
      </c>
    </row>
    <row r="63" spans="2:31" x14ac:dyDescent="0.2">
      <c r="B63" s="20" t="s">
        <v>250</v>
      </c>
      <c r="C63" s="127">
        <f t="shared" ref="C63:P63" si="188">C16/C42</f>
        <v>0</v>
      </c>
      <c r="D63" s="127">
        <f t="shared" si="188"/>
        <v>0</v>
      </c>
      <c r="E63" s="127">
        <f t="shared" si="188"/>
        <v>0</v>
      </c>
      <c r="F63" s="144">
        <f t="shared" si="188"/>
        <v>0</v>
      </c>
      <c r="G63" s="144">
        <f t="shared" si="188"/>
        <v>97200</v>
      </c>
      <c r="H63" s="144">
        <f t="shared" si="188"/>
        <v>37200</v>
      </c>
      <c r="I63" s="144">
        <f t="shared" si="188"/>
        <v>403.32805071315374</v>
      </c>
      <c r="J63" s="144">
        <f t="shared" si="188"/>
        <v>1250.554675118859</v>
      </c>
      <c r="K63" s="144">
        <f t="shared" si="188"/>
        <v>1334.5483359746436</v>
      </c>
      <c r="L63" s="144">
        <f t="shared" si="188"/>
        <v>1297.6228209191761</v>
      </c>
      <c r="M63" s="144">
        <f t="shared" si="188"/>
        <v>22.084131532701107</v>
      </c>
      <c r="N63" s="144">
        <f t="shared" si="188"/>
        <v>29.683517249022373</v>
      </c>
      <c r="O63" s="144">
        <f t="shared" si="188"/>
        <v>37.227490777828791</v>
      </c>
      <c r="P63" s="144">
        <f t="shared" si="188"/>
        <v>47.901461298545037</v>
      </c>
      <c r="Q63" s="118">
        <f>((P63/G63)^(1/($H$2-$H$1) ))-1</f>
        <v>-0.5709377780344056</v>
      </c>
      <c r="R63" s="128"/>
      <c r="S63" s="157">
        <f t="shared" ref="S63:AB63" si="189">S16/S42</f>
        <v>35.766424436246965</v>
      </c>
      <c r="T63" s="157">
        <f t="shared" si="189"/>
        <v>35.766424436246965</v>
      </c>
      <c r="U63" s="157">
        <f t="shared" si="189"/>
        <v>35.766424436246965</v>
      </c>
      <c r="V63" s="157">
        <f t="shared" si="189"/>
        <v>35.766424436246972</v>
      </c>
      <c r="W63" s="157">
        <f t="shared" si="189"/>
        <v>35.766424436246972</v>
      </c>
      <c r="X63" s="157">
        <f t="shared" si="189"/>
        <v>35.766424436246972</v>
      </c>
      <c r="Y63" s="157">
        <f t="shared" si="189"/>
        <v>35.766424436246972</v>
      </c>
      <c r="Z63" s="157">
        <f t="shared" si="189"/>
        <v>35.766424436246972</v>
      </c>
      <c r="AA63" s="157">
        <f t="shared" si="189"/>
        <v>35.766424436246972</v>
      </c>
      <c r="AB63" s="157">
        <f t="shared" si="189"/>
        <v>35.766424436246972</v>
      </c>
      <c r="AC63" s="138">
        <f t="shared" si="161"/>
        <v>-0.34044180774677302</v>
      </c>
      <c r="AD63" s="137"/>
      <c r="AE63" s="146">
        <f t="shared" si="162"/>
        <v>162.57465652839534</v>
      </c>
    </row>
    <row r="64" spans="2:31" x14ac:dyDescent="0.2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31">
        <f t="shared" si="17"/>
        <v>0.05</v>
      </c>
      <c r="AE64" s="146">
        <f t="shared" si="162"/>
        <v>0</v>
      </c>
    </row>
    <row r="65" spans="2:31" x14ac:dyDescent="0.2">
      <c r="B65" s="20" t="s">
        <v>282</v>
      </c>
      <c r="C65" s="159">
        <f>C43</f>
        <v>0</v>
      </c>
      <c r="D65" s="159">
        <f t="shared" ref="D65:P65" si="190">D43</f>
        <v>0</v>
      </c>
      <c r="E65" s="159">
        <f t="shared" si="190"/>
        <v>0</v>
      </c>
      <c r="F65" s="159">
        <f t="shared" si="190"/>
        <v>0</v>
      </c>
      <c r="G65" s="159">
        <f t="shared" si="190"/>
        <v>0.01</v>
      </c>
      <c r="H65" s="159">
        <f t="shared" si="190"/>
        <v>0.01</v>
      </c>
      <c r="I65" s="159">
        <f t="shared" si="190"/>
        <v>200</v>
      </c>
      <c r="J65" s="159">
        <f t="shared" si="190"/>
        <v>237</v>
      </c>
      <c r="K65" s="159">
        <f t="shared" si="190"/>
        <v>270</v>
      </c>
      <c r="L65" s="159">
        <f t="shared" si="190"/>
        <v>2.7</v>
      </c>
      <c r="M65" s="159">
        <f t="shared" si="190"/>
        <v>3.5</v>
      </c>
      <c r="N65" s="159">
        <f t="shared" si="190"/>
        <v>3.9</v>
      </c>
      <c r="O65" s="159">
        <f t="shared" si="190"/>
        <v>10</v>
      </c>
      <c r="P65" s="159">
        <f t="shared" si="190"/>
        <v>14</v>
      </c>
      <c r="Q65" s="118">
        <f>((P65/G65)^(1/($H$2-$H$1) ))-1</f>
        <v>1.2365045278203177</v>
      </c>
      <c r="R65" s="128"/>
      <c r="S65" s="159">
        <f t="shared" ref="S65:AB65" si="191">S43</f>
        <v>14.700000000000001</v>
      </c>
      <c r="T65" s="159">
        <f t="shared" si="191"/>
        <v>15.435000000000002</v>
      </c>
      <c r="U65" s="159">
        <f t="shared" si="191"/>
        <v>16.206750000000003</v>
      </c>
      <c r="V65" s="159">
        <f t="shared" si="191"/>
        <v>17.017087500000002</v>
      </c>
      <c r="W65" s="159">
        <f t="shared" si="191"/>
        <v>17.867941875000003</v>
      </c>
      <c r="X65" s="159">
        <f t="shared" si="191"/>
        <v>18.761338968750003</v>
      </c>
      <c r="Y65" s="159">
        <f t="shared" si="191"/>
        <v>19.699405917187505</v>
      </c>
      <c r="Z65" s="159">
        <f t="shared" si="191"/>
        <v>20.684376213046882</v>
      </c>
      <c r="AA65" s="159">
        <f t="shared" si="191"/>
        <v>21.718595023699226</v>
      </c>
      <c r="AB65" s="159">
        <f t="shared" si="191"/>
        <v>22.804524774884189</v>
      </c>
      <c r="AC65" s="138">
        <f t="shared" ref="AC65" si="192">((AB65/G65)^(1/($AB$3-$H$1) ))-1</f>
        <v>0.50223525089426468</v>
      </c>
      <c r="AD65" s="31">
        <f t="shared" si="17"/>
        <v>0.05</v>
      </c>
      <c r="AE65" s="146">
        <f t="shared" si="162"/>
        <v>140.85147655075531</v>
      </c>
    </row>
    <row r="66" spans="2:31" x14ac:dyDescent="0.2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39"/>
      <c r="AD66" s="137"/>
      <c r="AE66" s="154"/>
    </row>
    <row r="67" spans="2:31" x14ac:dyDescent="0.2">
      <c r="B67" s="20" t="s">
        <v>315</v>
      </c>
      <c r="C67" s="127">
        <f t="shared" ref="C67:P67" si="193">C20+C21</f>
        <v>0</v>
      </c>
      <c r="D67" s="127">
        <f t="shared" si="193"/>
        <v>0</v>
      </c>
      <c r="E67" s="127">
        <f t="shared" si="193"/>
        <v>0</v>
      </c>
      <c r="F67" s="144">
        <f t="shared" si="193"/>
        <v>0</v>
      </c>
      <c r="G67" s="144">
        <f t="shared" si="193"/>
        <v>0</v>
      </c>
      <c r="H67" s="144">
        <f t="shared" si="193"/>
        <v>0</v>
      </c>
      <c r="I67" s="144">
        <f t="shared" si="193"/>
        <v>0</v>
      </c>
      <c r="J67" s="144">
        <f t="shared" si="193"/>
        <v>0</v>
      </c>
      <c r="K67" s="144">
        <f t="shared" si="193"/>
        <v>0</v>
      </c>
      <c r="L67" s="144">
        <f t="shared" si="193"/>
        <v>0</v>
      </c>
      <c r="M67" s="144">
        <f t="shared" si="193"/>
        <v>0</v>
      </c>
      <c r="N67" s="144">
        <f t="shared" si="193"/>
        <v>0</v>
      </c>
      <c r="O67" s="144">
        <f t="shared" si="193"/>
        <v>0</v>
      </c>
      <c r="P67" s="144">
        <f t="shared" si="193"/>
        <v>0</v>
      </c>
      <c r="Q67" s="118" t="e">
        <f>((P67/G67)^(1/($H$2-$H$1) ))-1</f>
        <v>#DIV/0!</v>
      </c>
      <c r="R67" s="128"/>
      <c r="S67" s="144">
        <f t="shared" ref="S67:AB67" si="194">S20+S21</f>
        <v>0</v>
      </c>
      <c r="T67" s="144">
        <f t="shared" si="194"/>
        <v>0</v>
      </c>
      <c r="U67" s="144">
        <f t="shared" si="194"/>
        <v>0</v>
      </c>
      <c r="V67" s="144">
        <f t="shared" si="194"/>
        <v>0</v>
      </c>
      <c r="W67" s="144">
        <f t="shared" si="194"/>
        <v>0</v>
      </c>
      <c r="X67" s="144">
        <f t="shared" si="194"/>
        <v>0</v>
      </c>
      <c r="Y67" s="144">
        <f t="shared" si="194"/>
        <v>0</v>
      </c>
      <c r="Z67" s="144">
        <f t="shared" si="194"/>
        <v>0</v>
      </c>
      <c r="AA67" s="144">
        <f t="shared" si="194"/>
        <v>0</v>
      </c>
      <c r="AB67" s="144">
        <f t="shared" si="194"/>
        <v>0</v>
      </c>
      <c r="AC67" s="138" t="e">
        <f t="shared" ref="AC67:AC72" si="195">((AB67/G67)^(1/($AB$3-$H$1) ))-1</f>
        <v>#DIV/0!</v>
      </c>
      <c r="AD67" s="31">
        <f t="shared" si="17"/>
        <v>0.05</v>
      </c>
      <c r="AE67" s="146">
        <f t="shared" si="162"/>
        <v>0</v>
      </c>
    </row>
    <row r="68" spans="2:31" x14ac:dyDescent="0.2">
      <c r="B68" s="20"/>
      <c r="C68" s="127"/>
      <c r="D68" s="127"/>
      <c r="E68" s="127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28"/>
      <c r="R68" s="128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39"/>
      <c r="AD68" s="137"/>
      <c r="AE68" s="146"/>
    </row>
    <row r="69" spans="2:31" x14ac:dyDescent="0.2">
      <c r="B69" s="20" t="s">
        <v>316</v>
      </c>
      <c r="C69" s="127">
        <f t="shared" ref="C69:P69" si="196">C67/C42</f>
        <v>0</v>
      </c>
      <c r="D69" s="127">
        <f t="shared" si="196"/>
        <v>0</v>
      </c>
      <c r="E69" s="127">
        <f t="shared" si="196"/>
        <v>0</v>
      </c>
      <c r="F69" s="144">
        <f t="shared" si="196"/>
        <v>0</v>
      </c>
      <c r="G69" s="144">
        <f t="shared" si="196"/>
        <v>0</v>
      </c>
      <c r="H69" s="144">
        <f t="shared" si="196"/>
        <v>0</v>
      </c>
      <c r="I69" s="144">
        <f t="shared" si="196"/>
        <v>0</v>
      </c>
      <c r="J69" s="144">
        <f t="shared" si="196"/>
        <v>0</v>
      </c>
      <c r="K69" s="144">
        <f t="shared" si="196"/>
        <v>0</v>
      </c>
      <c r="L69" s="144">
        <f t="shared" si="196"/>
        <v>0</v>
      </c>
      <c r="M69" s="144">
        <f t="shared" si="196"/>
        <v>0</v>
      </c>
      <c r="N69" s="144">
        <f t="shared" si="196"/>
        <v>0</v>
      </c>
      <c r="O69" s="144">
        <f t="shared" si="196"/>
        <v>0</v>
      </c>
      <c r="P69" s="144">
        <f t="shared" si="196"/>
        <v>0</v>
      </c>
      <c r="Q69" s="118" t="e">
        <f>((P69/G69)^(1/($H$2-$H$1) ))-1</f>
        <v>#DIV/0!</v>
      </c>
      <c r="R69" s="128"/>
      <c r="S69" s="146">
        <f t="shared" ref="S69:AB69" si="197">S67/S42</f>
        <v>0</v>
      </c>
      <c r="T69" s="146">
        <f t="shared" si="197"/>
        <v>0</v>
      </c>
      <c r="U69" s="146">
        <f t="shared" si="197"/>
        <v>0</v>
      </c>
      <c r="V69" s="146">
        <f t="shared" si="197"/>
        <v>0</v>
      </c>
      <c r="W69" s="146">
        <f t="shared" si="197"/>
        <v>0</v>
      </c>
      <c r="X69" s="146">
        <f t="shared" si="197"/>
        <v>0</v>
      </c>
      <c r="Y69" s="146">
        <f t="shared" si="197"/>
        <v>0</v>
      </c>
      <c r="Z69" s="146">
        <f t="shared" si="197"/>
        <v>0</v>
      </c>
      <c r="AA69" s="146">
        <f t="shared" si="197"/>
        <v>0</v>
      </c>
      <c r="AB69" s="146">
        <f t="shared" si="197"/>
        <v>0</v>
      </c>
      <c r="AC69" s="138" t="e">
        <f t="shared" si="195"/>
        <v>#DIV/0!</v>
      </c>
      <c r="AD69" s="31">
        <f t="shared" si="17"/>
        <v>0.05</v>
      </c>
      <c r="AE69" s="146">
        <f t="shared" si="162"/>
        <v>0</v>
      </c>
    </row>
    <row r="70" spans="2:31" x14ac:dyDescent="0.2">
      <c r="B70" s="20" t="s">
        <v>287</v>
      </c>
      <c r="C70" s="127">
        <f t="shared" ref="C70:P70" si="198">C20/C42</f>
        <v>0</v>
      </c>
      <c r="D70" s="127">
        <f t="shared" si="198"/>
        <v>0</v>
      </c>
      <c r="E70" s="127">
        <f t="shared" si="198"/>
        <v>0</v>
      </c>
      <c r="F70" s="144">
        <f t="shared" si="198"/>
        <v>0</v>
      </c>
      <c r="G70" s="144">
        <f t="shared" si="198"/>
        <v>0</v>
      </c>
      <c r="H70" s="144">
        <f t="shared" si="198"/>
        <v>0</v>
      </c>
      <c r="I70" s="144">
        <f t="shared" si="198"/>
        <v>0</v>
      </c>
      <c r="J70" s="144">
        <f t="shared" si="198"/>
        <v>0</v>
      </c>
      <c r="K70" s="144">
        <f t="shared" si="198"/>
        <v>0</v>
      </c>
      <c r="L70" s="144">
        <f t="shared" si="198"/>
        <v>0</v>
      </c>
      <c r="M70" s="144">
        <f t="shared" si="198"/>
        <v>0</v>
      </c>
      <c r="N70" s="144">
        <f t="shared" si="198"/>
        <v>0</v>
      </c>
      <c r="O70" s="144">
        <f t="shared" si="198"/>
        <v>0</v>
      </c>
      <c r="P70" s="144">
        <f t="shared" si="198"/>
        <v>0</v>
      </c>
      <c r="Q70" s="118" t="e">
        <f>((P70/G70)^(1/($H$2-$H$1) ))-1</f>
        <v>#DIV/0!</v>
      </c>
      <c r="R70" s="128"/>
      <c r="S70" s="146">
        <f t="shared" ref="S70:AB70" si="199">S20/S42</f>
        <v>0</v>
      </c>
      <c r="T70" s="146">
        <f t="shared" si="199"/>
        <v>0</v>
      </c>
      <c r="U70" s="146">
        <f t="shared" si="199"/>
        <v>0</v>
      </c>
      <c r="V70" s="146">
        <f t="shared" si="199"/>
        <v>0</v>
      </c>
      <c r="W70" s="146">
        <f t="shared" si="199"/>
        <v>0</v>
      </c>
      <c r="X70" s="146">
        <f t="shared" si="199"/>
        <v>0</v>
      </c>
      <c r="Y70" s="146">
        <f t="shared" si="199"/>
        <v>0</v>
      </c>
      <c r="Z70" s="146">
        <f t="shared" si="199"/>
        <v>0</v>
      </c>
      <c r="AA70" s="146">
        <f t="shared" si="199"/>
        <v>0</v>
      </c>
      <c r="AB70" s="146">
        <f t="shared" si="199"/>
        <v>0</v>
      </c>
      <c r="AC70" s="138" t="e">
        <f t="shared" si="195"/>
        <v>#DIV/0!</v>
      </c>
      <c r="AD70" s="31">
        <f t="shared" si="17"/>
        <v>0.05</v>
      </c>
      <c r="AE70" s="146">
        <f t="shared" si="162"/>
        <v>0</v>
      </c>
    </row>
    <row r="71" spans="2:31" x14ac:dyDescent="0.2">
      <c r="B71" s="20" t="s">
        <v>288</v>
      </c>
      <c r="C71" s="127">
        <f t="shared" ref="C71:P71" si="200">C21/C42</f>
        <v>0</v>
      </c>
      <c r="D71" s="127">
        <f t="shared" si="200"/>
        <v>0</v>
      </c>
      <c r="E71" s="127">
        <f t="shared" si="200"/>
        <v>0</v>
      </c>
      <c r="F71" s="144">
        <f t="shared" si="200"/>
        <v>0</v>
      </c>
      <c r="G71" s="144">
        <f t="shared" si="200"/>
        <v>0</v>
      </c>
      <c r="H71" s="144">
        <f t="shared" si="200"/>
        <v>0</v>
      </c>
      <c r="I71" s="144">
        <f t="shared" si="200"/>
        <v>0</v>
      </c>
      <c r="J71" s="144">
        <f t="shared" si="200"/>
        <v>0</v>
      </c>
      <c r="K71" s="144">
        <f t="shared" si="200"/>
        <v>0</v>
      </c>
      <c r="L71" s="144">
        <f t="shared" si="200"/>
        <v>0</v>
      </c>
      <c r="M71" s="144">
        <f t="shared" si="200"/>
        <v>0</v>
      </c>
      <c r="N71" s="144">
        <f t="shared" si="200"/>
        <v>0</v>
      </c>
      <c r="O71" s="144">
        <f t="shared" si="200"/>
        <v>0</v>
      </c>
      <c r="P71" s="144">
        <f t="shared" si="200"/>
        <v>0</v>
      </c>
      <c r="Q71" s="118" t="e">
        <f>((P71/G71)^(1/($H$2-$H$1) ))-1</f>
        <v>#DIV/0!</v>
      </c>
      <c r="R71" s="128"/>
      <c r="S71" s="146">
        <f t="shared" ref="S71:AB71" si="201">S21/S42</f>
        <v>0</v>
      </c>
      <c r="T71" s="146">
        <f t="shared" si="201"/>
        <v>0</v>
      </c>
      <c r="U71" s="146">
        <f t="shared" si="201"/>
        <v>0</v>
      </c>
      <c r="V71" s="146">
        <f t="shared" si="201"/>
        <v>0</v>
      </c>
      <c r="W71" s="146">
        <f t="shared" si="201"/>
        <v>0</v>
      </c>
      <c r="X71" s="146">
        <f t="shared" si="201"/>
        <v>0</v>
      </c>
      <c r="Y71" s="146">
        <f t="shared" si="201"/>
        <v>0</v>
      </c>
      <c r="Z71" s="146">
        <f t="shared" si="201"/>
        <v>0</v>
      </c>
      <c r="AA71" s="146">
        <f t="shared" si="201"/>
        <v>0</v>
      </c>
      <c r="AB71" s="146">
        <f t="shared" si="201"/>
        <v>0</v>
      </c>
      <c r="AC71" s="138" t="e">
        <f t="shared" si="195"/>
        <v>#DIV/0!</v>
      </c>
      <c r="AD71" s="31">
        <f t="shared" si="17"/>
        <v>0.05</v>
      </c>
      <c r="AE71" s="146">
        <f t="shared" si="162"/>
        <v>0</v>
      </c>
    </row>
    <row r="72" spans="2:31" x14ac:dyDescent="0.2">
      <c r="B72" s="20" t="s">
        <v>289</v>
      </c>
      <c r="C72" s="127">
        <f t="shared" ref="C72:P72" si="202">C22/C42</f>
        <v>0</v>
      </c>
      <c r="D72" s="127">
        <f t="shared" si="202"/>
        <v>0</v>
      </c>
      <c r="E72" s="127">
        <f t="shared" si="202"/>
        <v>0</v>
      </c>
      <c r="F72" s="144">
        <f t="shared" si="202"/>
        <v>0</v>
      </c>
      <c r="G72" s="144">
        <f t="shared" si="202"/>
        <v>0</v>
      </c>
      <c r="H72" s="144">
        <f t="shared" si="202"/>
        <v>0</v>
      </c>
      <c r="I72" s="144">
        <f t="shared" si="202"/>
        <v>0</v>
      </c>
      <c r="J72" s="144">
        <f t="shared" si="202"/>
        <v>0</v>
      </c>
      <c r="K72" s="144">
        <f t="shared" si="202"/>
        <v>0</v>
      </c>
      <c r="L72" s="144">
        <f t="shared" si="202"/>
        <v>0</v>
      </c>
      <c r="M72" s="144">
        <f t="shared" si="202"/>
        <v>0</v>
      </c>
      <c r="N72" s="144">
        <f t="shared" si="202"/>
        <v>0</v>
      </c>
      <c r="O72" s="144">
        <f t="shared" si="202"/>
        <v>0</v>
      </c>
      <c r="P72" s="144">
        <f t="shared" si="202"/>
        <v>0</v>
      </c>
      <c r="Q72" s="118" t="e">
        <f>((P72/G72)^(1/($H$2-$H$1) ))-1</f>
        <v>#DIV/0!</v>
      </c>
      <c r="R72" s="128"/>
      <c r="S72" s="146">
        <f t="shared" ref="S72:AB72" si="203">S22/S42</f>
        <v>0</v>
      </c>
      <c r="T72" s="146">
        <f t="shared" si="203"/>
        <v>0</v>
      </c>
      <c r="U72" s="146">
        <f t="shared" si="203"/>
        <v>0</v>
      </c>
      <c r="V72" s="146">
        <f t="shared" si="203"/>
        <v>0</v>
      </c>
      <c r="W72" s="146">
        <f t="shared" si="203"/>
        <v>0</v>
      </c>
      <c r="X72" s="146">
        <f t="shared" si="203"/>
        <v>0</v>
      </c>
      <c r="Y72" s="146">
        <f t="shared" si="203"/>
        <v>0</v>
      </c>
      <c r="Z72" s="146">
        <f t="shared" si="203"/>
        <v>0</v>
      </c>
      <c r="AA72" s="146">
        <f t="shared" si="203"/>
        <v>0</v>
      </c>
      <c r="AB72" s="146">
        <f t="shared" si="203"/>
        <v>0</v>
      </c>
      <c r="AC72" s="138" t="e">
        <f t="shared" si="195"/>
        <v>#DIV/0!</v>
      </c>
      <c r="AD72" s="31">
        <f t="shared" si="17"/>
        <v>0.05</v>
      </c>
      <c r="AE72" s="146">
        <f t="shared" si="162"/>
        <v>0</v>
      </c>
    </row>
    <row r="73" spans="2:31" x14ac:dyDescent="0.2">
      <c r="B73" s="20" t="s">
        <v>296</v>
      </c>
      <c r="C73" s="127">
        <f t="shared" ref="C73:P73" si="204">C23/C42</f>
        <v>0</v>
      </c>
      <c r="D73" s="127">
        <f t="shared" si="204"/>
        <v>0</v>
      </c>
      <c r="E73" s="127">
        <f t="shared" si="204"/>
        <v>0</v>
      </c>
      <c r="F73" s="144">
        <f t="shared" si="204"/>
        <v>0</v>
      </c>
      <c r="G73" s="144">
        <f t="shared" si="204"/>
        <v>0</v>
      </c>
      <c r="H73" s="144">
        <f t="shared" si="204"/>
        <v>0</v>
      </c>
      <c r="I73" s="144">
        <f t="shared" si="204"/>
        <v>0</v>
      </c>
      <c r="J73" s="144">
        <f t="shared" si="204"/>
        <v>0</v>
      </c>
      <c r="K73" s="144">
        <f t="shared" si="204"/>
        <v>0</v>
      </c>
      <c r="L73" s="144">
        <f t="shared" si="204"/>
        <v>0</v>
      </c>
      <c r="M73" s="144">
        <f t="shared" si="204"/>
        <v>0</v>
      </c>
      <c r="N73" s="144">
        <f t="shared" si="204"/>
        <v>0</v>
      </c>
      <c r="O73" s="144">
        <f t="shared" si="204"/>
        <v>0</v>
      </c>
      <c r="P73" s="144">
        <f t="shared" si="204"/>
        <v>0</v>
      </c>
      <c r="Q73" s="118" t="e">
        <f>((P73/G73)^(1/($H$2-$H$1) ))-1</f>
        <v>#DIV/0!</v>
      </c>
      <c r="R73" s="128"/>
      <c r="S73" s="146">
        <f t="shared" ref="S73:AB73" si="205">S23/S42</f>
        <v>0</v>
      </c>
      <c r="T73" s="146">
        <f t="shared" si="205"/>
        <v>0</v>
      </c>
      <c r="U73" s="146">
        <f t="shared" si="205"/>
        <v>0</v>
      </c>
      <c r="V73" s="146">
        <f t="shared" si="205"/>
        <v>0</v>
      </c>
      <c r="W73" s="146">
        <f t="shared" si="205"/>
        <v>0</v>
      </c>
      <c r="X73" s="146">
        <f t="shared" si="205"/>
        <v>0</v>
      </c>
      <c r="Y73" s="146">
        <f t="shared" si="205"/>
        <v>0</v>
      </c>
      <c r="Z73" s="146">
        <f t="shared" si="205"/>
        <v>0</v>
      </c>
      <c r="AA73" s="146">
        <f t="shared" si="205"/>
        <v>0</v>
      </c>
      <c r="AB73" s="146">
        <f t="shared" si="205"/>
        <v>0</v>
      </c>
      <c r="AC73" s="138" t="e">
        <f t="shared" ref="AC73" si="206">((AB73/G73)^(1/($AB$3-$H$1) ))-1</f>
        <v>#DIV/0!</v>
      </c>
      <c r="AD73" s="31">
        <f t="shared" si="17"/>
        <v>0.05</v>
      </c>
      <c r="AE73" s="146">
        <f t="shared" si="162"/>
        <v>0</v>
      </c>
    </row>
    <row r="74" spans="2:31" x14ac:dyDescent="0.2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137"/>
      <c r="AE74" s="154"/>
    </row>
    <row r="75" spans="2:31" x14ac:dyDescent="0.2">
      <c r="B75" s="20" t="s">
        <v>310</v>
      </c>
      <c r="C75" s="144">
        <f t="shared" ref="C75:P75" si="207">C36/C42</f>
        <v>0</v>
      </c>
      <c r="D75" s="144">
        <f t="shared" si="207"/>
        <v>0</v>
      </c>
      <c r="E75" s="144">
        <f t="shared" si="207"/>
        <v>0</v>
      </c>
      <c r="F75" s="144">
        <f t="shared" si="207"/>
        <v>0</v>
      </c>
      <c r="G75" s="144">
        <f t="shared" si="207"/>
        <v>-14800</v>
      </c>
      <c r="H75" s="144">
        <f t="shared" si="207"/>
        <v>-20600</v>
      </c>
      <c r="I75" s="144">
        <f t="shared" si="207"/>
        <v>-96.988906497622821</v>
      </c>
      <c r="J75" s="144">
        <f t="shared" si="207"/>
        <v>-22.345483359746435</v>
      </c>
      <c r="K75" s="144">
        <f t="shared" si="207"/>
        <v>637.08399366085587</v>
      </c>
      <c r="L75" s="144">
        <f t="shared" si="207"/>
        <v>851.98098256735341</v>
      </c>
      <c r="M75" s="144">
        <f t="shared" si="207"/>
        <v>21.609169925431029</v>
      </c>
      <c r="N75" s="144">
        <f t="shared" si="207"/>
        <v>21.336858603929517</v>
      </c>
      <c r="O75" s="144">
        <f t="shared" si="207"/>
        <v>24.804078337001094</v>
      </c>
      <c r="P75" s="144">
        <f t="shared" si="207"/>
        <v>28.629102480882796</v>
      </c>
      <c r="Q75" s="118">
        <f>((P75/G75)^(1/($H$2-$H$1) ))-1</f>
        <v>-1.4994650605312865</v>
      </c>
      <c r="R75" s="128"/>
      <c r="S75" s="144">
        <f t="shared" ref="S75:AB75" si="208">S36/S42</f>
        <v>21.37639651905916</v>
      </c>
      <c r="T75" s="144">
        <f t="shared" si="208"/>
        <v>21.376396519059156</v>
      </c>
      <c r="U75" s="144">
        <f t="shared" si="208"/>
        <v>21.376396519059156</v>
      </c>
      <c r="V75" s="144">
        <f t="shared" si="208"/>
        <v>21.37639651905916</v>
      </c>
      <c r="W75" s="144">
        <f t="shared" si="208"/>
        <v>21.37639651905916</v>
      </c>
      <c r="X75" s="144">
        <f t="shared" si="208"/>
        <v>21.37639651905916</v>
      </c>
      <c r="Y75" s="144">
        <f t="shared" si="208"/>
        <v>21.37639651905916</v>
      </c>
      <c r="Z75" s="144">
        <f t="shared" si="208"/>
        <v>21.37639651905916</v>
      </c>
      <c r="AA75" s="144">
        <f t="shared" si="208"/>
        <v>21.37639651905916</v>
      </c>
      <c r="AB75" s="144">
        <f t="shared" si="208"/>
        <v>21.37639651905916</v>
      </c>
      <c r="AC75" s="138">
        <f t="shared" ref="AC75:AC77" si="209">((AB75/G75)^(1/($AB$3-$H$1) ))-1</f>
        <v>-1.7087761474644165</v>
      </c>
      <c r="AD75" s="31">
        <f t="shared" si="17"/>
        <v>0.05</v>
      </c>
      <c r="AE75" s="146">
        <f t="shared" si="162"/>
        <v>132.03068438242425</v>
      </c>
    </row>
    <row r="76" spans="2:31" x14ac:dyDescent="0.2">
      <c r="B76" s="20" t="s">
        <v>311</v>
      </c>
      <c r="C76" s="144">
        <f t="shared" ref="C76:P76" si="210">C40/C42</f>
        <v>0</v>
      </c>
      <c r="D76" s="144">
        <f t="shared" si="210"/>
        <v>0</v>
      </c>
      <c r="E76" s="144">
        <f t="shared" si="210"/>
        <v>0</v>
      </c>
      <c r="F76" s="144">
        <f t="shared" si="210"/>
        <v>0</v>
      </c>
      <c r="G76" s="144">
        <f t="shared" si="210"/>
        <v>133200</v>
      </c>
      <c r="H76" s="144">
        <f t="shared" si="210"/>
        <v>132400</v>
      </c>
      <c r="I76" s="144">
        <f t="shared" si="210"/>
        <v>271.31537242472268</v>
      </c>
      <c r="J76" s="144">
        <f t="shared" si="210"/>
        <v>447.06814580031698</v>
      </c>
      <c r="K76" s="144">
        <f t="shared" si="210"/>
        <v>830.90332805071318</v>
      </c>
      <c r="L76" s="144">
        <f t="shared" si="210"/>
        <v>329.31854199683045</v>
      </c>
      <c r="M76" s="144">
        <f t="shared" si="210"/>
        <v>15.233601950509001</v>
      </c>
      <c r="N76" s="144">
        <f t="shared" si="210"/>
        <v>17.204692620679829</v>
      </c>
      <c r="O76" s="144">
        <f t="shared" si="210"/>
        <v>23.412440827699761</v>
      </c>
      <c r="P76" s="144">
        <f t="shared" si="210"/>
        <v>27.478112185931636</v>
      </c>
      <c r="Q76" s="118">
        <f>((P76/G76)^(1/($H$2-$H$1) ))-1</f>
        <v>-0.61050841946210799</v>
      </c>
      <c r="R76" s="128"/>
      <c r="S76" s="144">
        <f t="shared" ref="S76:AB76" si="211">S40/S42</f>
        <v>20.516990432162292</v>
      </c>
      <c r="T76" s="144">
        <f t="shared" si="211"/>
        <v>20.516990432162292</v>
      </c>
      <c r="U76" s="144">
        <f t="shared" si="211"/>
        <v>20.516990432162292</v>
      </c>
      <c r="V76" s="144">
        <f t="shared" si="211"/>
        <v>20.516990432162292</v>
      </c>
      <c r="W76" s="144">
        <f t="shared" si="211"/>
        <v>20.516990432162292</v>
      </c>
      <c r="X76" s="144">
        <f t="shared" si="211"/>
        <v>20.516990432162288</v>
      </c>
      <c r="Y76" s="144">
        <f t="shared" si="211"/>
        <v>20.516990432162288</v>
      </c>
      <c r="Z76" s="144">
        <f t="shared" si="211"/>
        <v>20.516990432162292</v>
      </c>
      <c r="AA76" s="144">
        <f t="shared" si="211"/>
        <v>20.516990432162288</v>
      </c>
      <c r="AB76" s="144">
        <f t="shared" si="211"/>
        <v>20.516990432162284</v>
      </c>
      <c r="AC76" s="138">
        <f t="shared" si="209"/>
        <v>-0.36998938806817083</v>
      </c>
      <c r="AD76" s="31">
        <f t="shared" si="17"/>
        <v>0.05</v>
      </c>
      <c r="AE76" s="146">
        <f t="shared" si="162"/>
        <v>126.72258796335531</v>
      </c>
    </row>
    <row r="77" spans="2:31" x14ac:dyDescent="0.2">
      <c r="B77" s="20" t="s">
        <v>312</v>
      </c>
      <c r="C77" s="144">
        <f t="shared" ref="C77:P77" si="212">C6/C42</f>
        <v>0</v>
      </c>
      <c r="D77" s="144">
        <f t="shared" si="212"/>
        <v>0</v>
      </c>
      <c r="E77" s="144">
        <f t="shared" si="212"/>
        <v>0</v>
      </c>
      <c r="F77" s="144">
        <f t="shared" si="212"/>
        <v>0</v>
      </c>
      <c r="G77" s="144">
        <f t="shared" si="212"/>
        <v>338000</v>
      </c>
      <c r="H77" s="144">
        <f t="shared" si="212"/>
        <v>456100</v>
      </c>
      <c r="I77" s="144">
        <f t="shared" si="212"/>
        <v>796.35499207606983</v>
      </c>
      <c r="J77" s="144">
        <f t="shared" si="212"/>
        <v>1004.4374009508717</v>
      </c>
      <c r="K77" s="144">
        <f t="shared" si="212"/>
        <v>2214.1045958795562</v>
      </c>
      <c r="L77" s="144">
        <f t="shared" si="212"/>
        <v>2230.1109350237721</v>
      </c>
      <c r="M77" s="144">
        <f t="shared" si="212"/>
        <v>33.177651473172588</v>
      </c>
      <c r="N77" s="144">
        <f t="shared" si="212"/>
        <v>42.741795038234407</v>
      </c>
      <c r="O77" s="144">
        <f t="shared" si="212"/>
        <v>54.044298085904721</v>
      </c>
      <c r="P77" s="144">
        <f t="shared" si="212"/>
        <v>66.740021848233937</v>
      </c>
      <c r="Q77" s="118">
        <f>((P77/G77)^(1/($H$2-$H$1) ))-1</f>
        <v>-0.61239844025522094</v>
      </c>
      <c r="R77" s="128"/>
      <c r="S77" s="144">
        <f t="shared" ref="S77:AB77" si="213">S6/S42</f>
        <v>49.83254964668135</v>
      </c>
      <c r="T77" s="144">
        <f t="shared" si="213"/>
        <v>49.832549646681343</v>
      </c>
      <c r="U77" s="144">
        <f t="shared" si="213"/>
        <v>49.832549646681343</v>
      </c>
      <c r="V77" s="144">
        <f t="shared" si="213"/>
        <v>49.83254964668135</v>
      </c>
      <c r="W77" s="144">
        <f t="shared" si="213"/>
        <v>49.83254964668135</v>
      </c>
      <c r="X77" s="144">
        <f t="shared" si="213"/>
        <v>49.83254964668135</v>
      </c>
      <c r="Y77" s="144">
        <f t="shared" si="213"/>
        <v>49.83254964668135</v>
      </c>
      <c r="Z77" s="144">
        <f t="shared" si="213"/>
        <v>49.83254964668135</v>
      </c>
      <c r="AA77" s="144">
        <f t="shared" si="213"/>
        <v>49.83254964668135</v>
      </c>
      <c r="AB77" s="144">
        <f t="shared" si="213"/>
        <v>49.83254964668135</v>
      </c>
      <c r="AC77" s="138">
        <f t="shared" si="209"/>
        <v>-0.37143936430727209</v>
      </c>
      <c r="AD77" s="31">
        <f t="shared" ref="AD77" si="214">$L$1</f>
        <v>0.05</v>
      </c>
      <c r="AE77" s="146">
        <f t="shared" si="162"/>
        <v>307.78927722950249</v>
      </c>
    </row>
    <row r="78" spans="2:31" x14ac:dyDescent="0.2">
      <c r="B78" s="20"/>
      <c r="C78" s="127"/>
      <c r="D78" s="127"/>
      <c r="E78" s="127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28"/>
      <c r="R78" s="128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39"/>
      <c r="AD78" s="20"/>
      <c r="AE78" s="154"/>
    </row>
    <row r="79" spans="2:31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28"/>
      <c r="R79" s="128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39"/>
      <c r="AD79" s="20"/>
      <c r="AE79" s="154"/>
    </row>
    <row r="80" spans="2:31" x14ac:dyDescent="0.2">
      <c r="B80" s="108" t="s">
        <v>309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 spans="2:31" x14ac:dyDescent="0.2">
      <c r="B81" s="20" t="s">
        <v>308</v>
      </c>
      <c r="C81" s="152"/>
      <c r="D81" s="152"/>
      <c r="E81" s="152" t="e">
        <f t="shared" ref="E81:P81" si="215">E36/E25</f>
        <v>#DIV/0!</v>
      </c>
      <c r="F81" s="152" t="e">
        <f t="shared" si="215"/>
        <v>#DIV/0!</v>
      </c>
      <c r="G81" s="152">
        <f t="shared" si="215"/>
        <v>-8.109589041095891E-2</v>
      </c>
      <c r="H81" s="152">
        <f t="shared" si="215"/>
        <v>-0.11368653421633554</v>
      </c>
      <c r="I81" s="152">
        <f t="shared" si="215"/>
        <v>-0.25051166598444535</v>
      </c>
      <c r="J81" s="152">
        <f t="shared" si="215"/>
        <v>-3.9932030586236192E-2</v>
      </c>
      <c r="K81" s="152">
        <f t="shared" si="215"/>
        <v>0.10264528648759065</v>
      </c>
      <c r="L81" s="152">
        <f t="shared" si="215"/>
        <v>0.10230062225266884</v>
      </c>
      <c r="M81" s="152">
        <f t="shared" si="215"/>
        <v>0.23026959543813477</v>
      </c>
      <c r="N81" s="152">
        <f t="shared" si="215"/>
        <v>0.23926783368249122</v>
      </c>
      <c r="O81" s="152">
        <f t="shared" si="215"/>
        <v>0.22269761623857515</v>
      </c>
      <c r="P81" s="152">
        <f t="shared" si="215"/>
        <v>0.23620926131539416</v>
      </c>
      <c r="Q81" s="118">
        <f t="shared" ref="Q81:Q131" si="216">((P81/G81)^(1/($H$2-$H$1) ))-1</f>
        <v>-2.1261303806372358</v>
      </c>
      <c r="R81" s="152"/>
      <c r="S81" s="152">
        <f t="shared" ref="S81:AB81" si="217">S36/S25</f>
        <v>0.23620926131539419</v>
      </c>
      <c r="T81" s="152">
        <f t="shared" si="217"/>
        <v>0.23620926131539416</v>
      </c>
      <c r="U81" s="152">
        <f t="shared" si="217"/>
        <v>0.23620926131539416</v>
      </c>
      <c r="V81" s="152">
        <f t="shared" si="217"/>
        <v>0.23620926131539416</v>
      </c>
      <c r="W81" s="152">
        <f t="shared" si="217"/>
        <v>0.23620926131539413</v>
      </c>
      <c r="X81" s="152">
        <f t="shared" si="217"/>
        <v>0.23620926131539413</v>
      </c>
      <c r="Y81" s="152">
        <f t="shared" si="217"/>
        <v>0.2362092613153941</v>
      </c>
      <c r="Z81" s="152">
        <f t="shared" si="217"/>
        <v>0.23620926131539413</v>
      </c>
      <c r="AA81" s="152">
        <f t="shared" si="217"/>
        <v>0.23620926131539413</v>
      </c>
      <c r="AB81" s="152">
        <f t="shared" si="217"/>
        <v>0.2362092613153941</v>
      </c>
      <c r="AC81" s="138">
        <f t="shared" ref="AC81:AC118" si="218">((AB81/G81)^(1/($AB$3-$H$1) ))-1</f>
        <v>-2.0578808141383869</v>
      </c>
      <c r="AD81" s="146"/>
      <c r="AE81" s="146"/>
    </row>
    <row r="82" spans="2:31" x14ac:dyDescent="0.2">
      <c r="B82" s="20" t="s">
        <v>266</v>
      </c>
      <c r="C82" s="152"/>
      <c r="D82" s="152"/>
      <c r="E82" s="152" t="e">
        <f t="shared" ref="E82:P82" si="219">E40/E25</f>
        <v>#DIV/0!</v>
      </c>
      <c r="F82" s="152" t="e">
        <f t="shared" si="219"/>
        <v>#DIV/0!</v>
      </c>
      <c r="G82" s="152">
        <f t="shared" si="219"/>
        <v>0.72986301369863016</v>
      </c>
      <c r="H82" s="152">
        <f t="shared" si="219"/>
        <v>0.73068432671081673</v>
      </c>
      <c r="I82" s="152">
        <f t="shared" si="219"/>
        <v>0.70077773229635698</v>
      </c>
      <c r="J82" s="152">
        <f t="shared" si="219"/>
        <v>0.79892381761540643</v>
      </c>
      <c r="K82" s="152">
        <f t="shared" si="219"/>
        <v>0.13387294454090493</v>
      </c>
      <c r="L82" s="152">
        <f t="shared" si="219"/>
        <v>3.9542539628170732E-2</v>
      </c>
      <c r="M82" s="152">
        <f t="shared" si="219"/>
        <v>0.16233087019603873</v>
      </c>
      <c r="N82" s="152">
        <f t="shared" si="219"/>
        <v>0.19293044064907858</v>
      </c>
      <c r="O82" s="152">
        <f t="shared" si="219"/>
        <v>0.21020312433369817</v>
      </c>
      <c r="P82" s="152">
        <f t="shared" si="219"/>
        <v>0.22671282084775651</v>
      </c>
      <c r="Q82" s="118">
        <f t="shared" si="216"/>
        <v>-0.12182385414593</v>
      </c>
      <c r="R82" s="152"/>
      <c r="S82" s="152">
        <f t="shared" ref="S82:AB82" si="220">S40/S25</f>
        <v>0.22671282084775651</v>
      </c>
      <c r="T82" s="152">
        <f t="shared" si="220"/>
        <v>0.22671282084775649</v>
      </c>
      <c r="U82" s="152">
        <f t="shared" si="220"/>
        <v>0.22671282084775649</v>
      </c>
      <c r="V82" s="152">
        <f t="shared" si="220"/>
        <v>0.22671282084775646</v>
      </c>
      <c r="W82" s="152">
        <f t="shared" si="220"/>
        <v>0.22671282084775643</v>
      </c>
      <c r="X82" s="152">
        <f t="shared" si="220"/>
        <v>0.22671282084775643</v>
      </c>
      <c r="Y82" s="152">
        <f t="shared" si="220"/>
        <v>0.2267128208477564</v>
      </c>
      <c r="Z82" s="152">
        <f t="shared" si="220"/>
        <v>0.2267128208477564</v>
      </c>
      <c r="AA82" s="152">
        <f t="shared" si="220"/>
        <v>0.2267128208477564</v>
      </c>
      <c r="AB82" s="152">
        <f t="shared" si="220"/>
        <v>0.22671282084775637</v>
      </c>
      <c r="AC82" s="138">
        <f t="shared" si="218"/>
        <v>-5.968034978247283E-2</v>
      </c>
      <c r="AD82" s="146"/>
      <c r="AE82" s="146"/>
    </row>
    <row r="83" spans="2:31" x14ac:dyDescent="0.2">
      <c r="B83" s="20" t="s">
        <v>357</v>
      </c>
      <c r="C83" s="152"/>
      <c r="D83" s="152"/>
      <c r="E83" s="152" t="e">
        <f t="shared" ref="E83:O83" si="221">E40/E7</f>
        <v>#DIV/0!</v>
      </c>
      <c r="F83" s="152" t="e">
        <f t="shared" si="221"/>
        <v>#DIV/0!</v>
      </c>
      <c r="G83" s="152">
        <f>G40/G7</f>
        <v>0.13736207074352894</v>
      </c>
      <c r="H83" s="152">
        <f t="shared" si="221"/>
        <v>0.12171355028497885</v>
      </c>
      <c r="I83" s="152">
        <f t="shared" si="221"/>
        <v>0.15095670575786968</v>
      </c>
      <c r="J83" s="152">
        <f t="shared" si="221"/>
        <v>0.22293345977556503</v>
      </c>
      <c r="K83" s="152">
        <f t="shared" si="221"/>
        <v>0.25842862776025238</v>
      </c>
      <c r="L83" s="152">
        <f t="shared" si="221"/>
        <v>0.1019226996272317</v>
      </c>
      <c r="M83" s="152">
        <f t="shared" si="221"/>
        <v>0.35281607509533586</v>
      </c>
      <c r="N83" s="152">
        <f t="shared" si="221"/>
        <v>0.32619919553340937</v>
      </c>
      <c r="O83" s="152">
        <f t="shared" si="221"/>
        <v>0.36556003263046005</v>
      </c>
      <c r="P83" s="152">
        <f t="shared" ref="P83" si="222">P40/P7</f>
        <v>0.35806977367910708</v>
      </c>
      <c r="Q83" s="118">
        <f t="shared" si="216"/>
        <v>0.11232942463391216</v>
      </c>
      <c r="R83" s="20"/>
      <c r="S83" s="152">
        <f t="shared" ref="S83" si="223">S40/S7</f>
        <v>0.35806977367910708</v>
      </c>
      <c r="T83" s="152">
        <f t="shared" ref="T83:AB83" si="224">T40/T7</f>
        <v>0.35806977367910708</v>
      </c>
      <c r="U83" s="152">
        <f t="shared" si="224"/>
        <v>0.35806977367910708</v>
      </c>
      <c r="V83" s="152">
        <f t="shared" si="224"/>
        <v>0.35806977367910708</v>
      </c>
      <c r="W83" s="152">
        <f t="shared" si="224"/>
        <v>0.35806977367910703</v>
      </c>
      <c r="X83" s="152">
        <f t="shared" si="224"/>
        <v>0.35806977367910703</v>
      </c>
      <c r="Y83" s="152">
        <f t="shared" si="224"/>
        <v>0.35806977367910697</v>
      </c>
      <c r="Z83" s="152">
        <f t="shared" si="224"/>
        <v>0.35806977367910703</v>
      </c>
      <c r="AA83" s="152">
        <f t="shared" si="224"/>
        <v>0.35806977367910703</v>
      </c>
      <c r="AB83" s="152">
        <f t="shared" si="224"/>
        <v>0.35806977367910703</v>
      </c>
      <c r="AC83" s="138">
        <f t="shared" si="218"/>
        <v>5.1719784647177081E-2</v>
      </c>
      <c r="AD83" s="146"/>
      <c r="AE83" s="146"/>
    </row>
    <row r="84" spans="2:31" x14ac:dyDescent="0.2">
      <c r="B84" s="20" t="s">
        <v>358</v>
      </c>
      <c r="C84" s="152"/>
      <c r="D84" s="152"/>
      <c r="E84" s="152" t="e">
        <f t="shared" ref="E84:F84" si="225">(E40)/(E7+E10)</f>
        <v>#DIV/0!</v>
      </c>
      <c r="F84" s="152" t="e">
        <f t="shared" si="225"/>
        <v>#DIV/0!</v>
      </c>
      <c r="G84" s="152">
        <f>(G40)/(G7+G10)</f>
        <v>0.10899271745356354</v>
      </c>
      <c r="H84" s="152">
        <f t="shared" ref="H84:O84" si="226">(H40)/(H7+H10)</f>
        <v>9.9924528301886792E-2</v>
      </c>
      <c r="I84" s="152">
        <f t="shared" si="226"/>
        <v>0.12930513595166163</v>
      </c>
      <c r="J84" s="152">
        <f t="shared" si="226"/>
        <v>0.19727272727272727</v>
      </c>
      <c r="K84" s="152">
        <f t="shared" si="226"/>
        <v>0.23646942089121414</v>
      </c>
      <c r="L84" s="152">
        <f t="shared" si="226"/>
        <v>9.2208022719204821E-2</v>
      </c>
      <c r="M84" s="152">
        <f t="shared" si="226"/>
        <v>0.32774712173853804</v>
      </c>
      <c r="N84" s="152">
        <f t="shared" si="226"/>
        <v>0.3133506343713956</v>
      </c>
      <c r="O84" s="152">
        <f t="shared" si="226"/>
        <v>0.3538984348824965</v>
      </c>
      <c r="P84" s="152">
        <f t="shared" ref="P84" si="227">(P40)/(P7+P10)</f>
        <v>0.35027952128196332</v>
      </c>
      <c r="Q84" s="118">
        <f t="shared" si="216"/>
        <v>0.1385058116324478</v>
      </c>
      <c r="R84" s="20"/>
      <c r="S84" s="152">
        <f t="shared" ref="S84:AB84" si="228">(S40)/(S7+S10)</f>
        <v>0.35027952128196332</v>
      </c>
      <c r="T84" s="152">
        <f t="shared" si="228"/>
        <v>0.35027952128196332</v>
      </c>
      <c r="U84" s="152">
        <f t="shared" si="228"/>
        <v>0.35027952128196332</v>
      </c>
      <c r="V84" s="152">
        <f t="shared" si="228"/>
        <v>0.35027952128196327</v>
      </c>
      <c r="W84" s="152">
        <f t="shared" si="228"/>
        <v>0.35027952128196327</v>
      </c>
      <c r="X84" s="152">
        <f t="shared" si="228"/>
        <v>0.35027952128196327</v>
      </c>
      <c r="Y84" s="152">
        <f t="shared" si="228"/>
        <v>0.35027952128196321</v>
      </c>
      <c r="Z84" s="152">
        <f t="shared" si="228"/>
        <v>0.35027952128196327</v>
      </c>
      <c r="AA84" s="152">
        <f t="shared" si="228"/>
        <v>0.35027952128196321</v>
      </c>
      <c r="AB84" s="152">
        <f t="shared" si="228"/>
        <v>0.35027952128196321</v>
      </c>
      <c r="AC84" s="138">
        <f t="shared" si="218"/>
        <v>6.3371752030783268E-2</v>
      </c>
      <c r="AD84" s="146"/>
      <c r="AE84" s="146"/>
    </row>
    <row r="85" spans="2:31" x14ac:dyDescent="0.2">
      <c r="B85" s="20" t="s">
        <v>374</v>
      </c>
      <c r="C85" s="152"/>
      <c r="D85" s="152"/>
      <c r="E85" s="152"/>
      <c r="F85" s="152"/>
      <c r="G85" s="152">
        <f>G20/G25</f>
        <v>0</v>
      </c>
      <c r="H85" s="152">
        <f t="shared" ref="H85:P85" si="229">H20/H25</f>
        <v>0</v>
      </c>
      <c r="I85" s="152">
        <f t="shared" si="229"/>
        <v>0</v>
      </c>
      <c r="J85" s="152">
        <f t="shared" si="229"/>
        <v>0</v>
      </c>
      <c r="K85" s="152">
        <f t="shared" si="229"/>
        <v>0</v>
      </c>
      <c r="L85" s="152">
        <f t="shared" si="229"/>
        <v>0</v>
      </c>
      <c r="M85" s="152">
        <f t="shared" si="229"/>
        <v>0</v>
      </c>
      <c r="N85" s="152">
        <f t="shared" si="229"/>
        <v>0</v>
      </c>
      <c r="O85" s="152">
        <f t="shared" si="229"/>
        <v>0</v>
      </c>
      <c r="P85" s="152">
        <f t="shared" si="229"/>
        <v>0</v>
      </c>
      <c r="Q85" s="118" t="e">
        <f t="shared" si="216"/>
        <v>#DIV/0!</v>
      </c>
      <c r="R85" s="20"/>
      <c r="S85" s="152">
        <f t="shared" ref="S85:AB85" si="230">S20/S25</f>
        <v>0</v>
      </c>
      <c r="T85" s="152">
        <f t="shared" si="230"/>
        <v>0</v>
      </c>
      <c r="U85" s="152">
        <f t="shared" si="230"/>
        <v>0</v>
      </c>
      <c r="V85" s="152">
        <f t="shared" si="230"/>
        <v>0</v>
      </c>
      <c r="W85" s="152">
        <f t="shared" si="230"/>
        <v>0</v>
      </c>
      <c r="X85" s="152">
        <f t="shared" si="230"/>
        <v>0</v>
      </c>
      <c r="Y85" s="152">
        <f t="shared" si="230"/>
        <v>0</v>
      </c>
      <c r="Z85" s="152">
        <f t="shared" si="230"/>
        <v>0</v>
      </c>
      <c r="AA85" s="152">
        <f t="shared" si="230"/>
        <v>0</v>
      </c>
      <c r="AB85" s="152">
        <f t="shared" si="230"/>
        <v>0</v>
      </c>
      <c r="AC85" s="138" t="e">
        <f t="shared" si="218"/>
        <v>#DIV/0!</v>
      </c>
      <c r="AD85" s="146"/>
      <c r="AE85" s="146"/>
    </row>
    <row r="86" spans="2:31" x14ac:dyDescent="0.2">
      <c r="B86" s="20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20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3"/>
      <c r="AD86" s="146"/>
      <c r="AE86" s="146"/>
    </row>
    <row r="87" spans="2:31" x14ac:dyDescent="0.2">
      <c r="B87" s="20" t="s">
        <v>321</v>
      </c>
      <c r="C87" s="152"/>
      <c r="D87" s="152"/>
      <c r="E87" s="152"/>
      <c r="F87" s="152"/>
      <c r="G87" s="152">
        <f>G29/G25</f>
        <v>0.10301369863013699</v>
      </c>
      <c r="H87" s="152">
        <f t="shared" ref="H87:P87" si="231">H29/H25</f>
        <v>9.6578366445916108E-2</v>
      </c>
      <c r="I87" s="152">
        <f t="shared" si="231"/>
        <v>6.6311911584117894E-2</v>
      </c>
      <c r="J87" s="152">
        <f t="shared" si="231"/>
        <v>9.7706032285471534E-2</v>
      </c>
      <c r="K87" s="152">
        <f t="shared" si="231"/>
        <v>3.8300480032683075E-3</v>
      </c>
      <c r="L87" s="152">
        <f t="shared" si="231"/>
        <v>5.4803904778215444E-3</v>
      </c>
      <c r="M87" s="152">
        <f t="shared" si="231"/>
        <v>4.8081789654823362E-3</v>
      </c>
      <c r="N87" s="152">
        <f t="shared" si="231"/>
        <v>1.3137804921350708E-3</v>
      </c>
      <c r="O87" s="152">
        <f t="shared" si="231"/>
        <v>7.6757970746684477E-4</v>
      </c>
      <c r="P87" s="152">
        <f t="shared" si="231"/>
        <v>5.8781268369146363E-4</v>
      </c>
      <c r="Q87" s="118">
        <f t="shared" si="216"/>
        <v>-0.43674522022483542</v>
      </c>
      <c r="R87" s="20"/>
      <c r="S87" s="152">
        <f t="shared" ref="S87:AB87" si="232">S29/S25</f>
        <v>5.8781268369146363E-4</v>
      </c>
      <c r="T87" s="152">
        <f t="shared" si="232"/>
        <v>5.8781268369146374E-4</v>
      </c>
      <c r="U87" s="152">
        <f t="shared" si="232"/>
        <v>5.8781268369146374E-4</v>
      </c>
      <c r="V87" s="152">
        <f t="shared" si="232"/>
        <v>5.8781268369146374E-4</v>
      </c>
      <c r="W87" s="152">
        <f t="shared" si="232"/>
        <v>5.8781268369146363E-4</v>
      </c>
      <c r="X87" s="152">
        <f t="shared" si="232"/>
        <v>5.8781268369146363E-4</v>
      </c>
      <c r="Y87" s="152">
        <f t="shared" si="232"/>
        <v>5.8781268369146363E-4</v>
      </c>
      <c r="Z87" s="152">
        <f t="shared" si="232"/>
        <v>5.8781268369146363E-4</v>
      </c>
      <c r="AA87" s="152">
        <f t="shared" si="232"/>
        <v>5.8781268369146353E-4</v>
      </c>
      <c r="AB87" s="152">
        <f t="shared" si="232"/>
        <v>5.8781268369146353E-4</v>
      </c>
      <c r="AC87" s="138">
        <f t="shared" si="218"/>
        <v>-0.23807391764026731</v>
      </c>
      <c r="AD87" s="146"/>
      <c r="AE87" s="146"/>
    </row>
    <row r="88" spans="2:31" x14ac:dyDescent="0.2">
      <c r="B88" s="20" t="s">
        <v>367</v>
      </c>
      <c r="C88" s="152"/>
      <c r="D88" s="152"/>
      <c r="E88" s="152"/>
      <c r="F88" s="152"/>
      <c r="G88" s="152">
        <f>G29/G36</f>
        <v>-1.2702702702702702</v>
      </c>
      <c r="H88" s="152">
        <f t="shared" ref="H88:P88" si="233">H29/H36</f>
        <v>-0.84951456310679607</v>
      </c>
      <c r="I88" s="152">
        <f t="shared" si="233"/>
        <v>-0.26470588235294118</v>
      </c>
      <c r="J88" s="152">
        <f t="shared" si="233"/>
        <v>-2.4468085106382977</v>
      </c>
      <c r="K88" s="152">
        <f t="shared" si="233"/>
        <v>3.7313432835820892E-2</v>
      </c>
      <c r="L88" s="152">
        <f t="shared" si="233"/>
        <v>5.3571428571428568E-2</v>
      </c>
      <c r="M88" s="152">
        <f t="shared" si="233"/>
        <v>2.0880650597113342E-2</v>
      </c>
      <c r="N88" s="152">
        <f t="shared" si="233"/>
        <v>5.4908362395191812E-3</v>
      </c>
      <c r="O88" s="152">
        <f t="shared" si="233"/>
        <v>3.4467351758473222E-3</v>
      </c>
      <c r="P88" s="152">
        <f t="shared" si="233"/>
        <v>2.4885251341038544E-3</v>
      </c>
      <c r="Q88" s="118">
        <f t="shared" ref="Q88" si="234">((P88/G88)^(1/($H$2-$H$1) ))-1</f>
        <v>-1.5001683548013682</v>
      </c>
      <c r="R88" s="20"/>
      <c r="S88" s="152">
        <f t="shared" ref="S88:AB88" si="235">S29/S36</f>
        <v>2.4885251341038544E-3</v>
      </c>
      <c r="T88" s="152">
        <f t="shared" si="235"/>
        <v>2.4885251341038544E-3</v>
      </c>
      <c r="U88" s="152">
        <f t="shared" si="235"/>
        <v>2.4885251341038549E-3</v>
      </c>
      <c r="V88" s="152">
        <f t="shared" si="235"/>
        <v>2.4885251341038549E-3</v>
      </c>
      <c r="W88" s="152">
        <f t="shared" si="235"/>
        <v>2.4885251341038549E-3</v>
      </c>
      <c r="X88" s="152">
        <f t="shared" si="235"/>
        <v>2.4885251341038549E-3</v>
      </c>
      <c r="Y88" s="152">
        <f t="shared" si="235"/>
        <v>2.4885251341038549E-3</v>
      </c>
      <c r="Z88" s="152">
        <f t="shared" si="235"/>
        <v>2.4885251341038544E-3</v>
      </c>
      <c r="AA88" s="152">
        <f t="shared" si="235"/>
        <v>2.4885251341038544E-3</v>
      </c>
      <c r="AB88" s="152">
        <f t="shared" si="235"/>
        <v>2.4885251341038544E-3</v>
      </c>
      <c r="AC88" s="138">
        <f t="shared" ref="AC88" si="236">((AB88/G88)^(1/($AB$3-$H$1) ))-1</f>
        <v>-1.7202381139507663</v>
      </c>
      <c r="AD88" s="146"/>
      <c r="AE88" s="146"/>
    </row>
    <row r="89" spans="2:31" ht="12" customHeight="1" x14ac:dyDescent="0.2">
      <c r="B89" s="20" t="s">
        <v>366</v>
      </c>
      <c r="C89" s="152"/>
      <c r="D89" s="152"/>
      <c r="E89" s="152"/>
      <c r="F89" s="152"/>
      <c r="G89" s="171">
        <f t="shared" ref="G89:P89" si="237">G29/G40</f>
        <v>0.14114114114114115</v>
      </c>
      <c r="H89" s="171">
        <f t="shared" si="237"/>
        <v>0.13217522658610273</v>
      </c>
      <c r="I89" s="171">
        <f t="shared" si="237"/>
        <v>9.4626168224299062E-2</v>
      </c>
      <c r="J89" s="171">
        <f t="shared" si="237"/>
        <v>0.12229705778092875</v>
      </c>
      <c r="K89" s="171">
        <f t="shared" si="237"/>
        <v>2.8609574670989891E-2</v>
      </c>
      <c r="L89" s="171">
        <f t="shared" si="237"/>
        <v>0.13859480269489893</v>
      </c>
      <c r="M89" s="171">
        <f t="shared" si="237"/>
        <v>2.9619621700270216E-2</v>
      </c>
      <c r="N89" s="171">
        <f t="shared" si="237"/>
        <v>6.8096070672678749E-3</v>
      </c>
      <c r="O89" s="171">
        <f t="shared" si="237"/>
        <v>3.6516094130375982E-3</v>
      </c>
      <c r="P89" s="171">
        <f t="shared" si="237"/>
        <v>2.5927633095183221E-3</v>
      </c>
      <c r="Q89" s="118">
        <f t="shared" ref="Q89" si="238">((P89/G89)^(1/($H$2-$H$1) ))-1</f>
        <v>-0.35860842675546445</v>
      </c>
      <c r="R89" s="20"/>
      <c r="S89" s="171">
        <f t="shared" ref="S89:AB89" si="239">S29/S40</f>
        <v>2.5927633095183225E-3</v>
      </c>
      <c r="T89" s="171">
        <f t="shared" si="239"/>
        <v>2.5927633095183225E-3</v>
      </c>
      <c r="U89" s="171">
        <f t="shared" si="239"/>
        <v>2.5927633095183225E-3</v>
      </c>
      <c r="V89" s="171">
        <f t="shared" si="239"/>
        <v>2.592763309518323E-3</v>
      </c>
      <c r="W89" s="171">
        <f t="shared" si="239"/>
        <v>2.592763309518323E-3</v>
      </c>
      <c r="X89" s="171">
        <f t="shared" si="239"/>
        <v>2.5927633095183234E-3</v>
      </c>
      <c r="Y89" s="171">
        <f t="shared" si="239"/>
        <v>2.5927633095183234E-3</v>
      </c>
      <c r="Z89" s="171">
        <f t="shared" si="239"/>
        <v>2.5927633095183234E-3</v>
      </c>
      <c r="AA89" s="171">
        <f t="shared" si="239"/>
        <v>2.5927633095183234E-3</v>
      </c>
      <c r="AB89" s="171">
        <f t="shared" si="239"/>
        <v>2.5927633095183234E-3</v>
      </c>
      <c r="AC89" s="138">
        <f t="shared" ref="AC89" si="240">((AB89/G89)^(1/($AB$3-$H$1) ))-1</f>
        <v>-0.1897158778044532</v>
      </c>
      <c r="AD89" s="146"/>
      <c r="AE89" s="146"/>
    </row>
    <row r="90" spans="2:31" ht="12" customHeight="1" x14ac:dyDescent="0.2">
      <c r="B90" s="20" t="s">
        <v>323</v>
      </c>
      <c r="C90" s="152"/>
      <c r="D90" s="152"/>
      <c r="E90" s="152"/>
      <c r="F90" s="152"/>
      <c r="G90" s="171">
        <f t="shared" ref="G90:P90" si="241">G29/G12</f>
        <v>0.16982836495031617</v>
      </c>
      <c r="H90" s="171">
        <f t="shared" si="241"/>
        <v>6.9115323854660349E-2</v>
      </c>
      <c r="I90" s="171">
        <f t="shared" si="241"/>
        <v>5.658400279427174E-2</v>
      </c>
      <c r="J90" s="171">
        <f t="shared" si="241"/>
        <v>9.2542918454935619E-2</v>
      </c>
      <c r="K90" s="171">
        <f t="shared" si="241"/>
        <v>7.1561471303850004E-3</v>
      </c>
      <c r="L90" s="171">
        <f t="shared" si="241"/>
        <v>9.6989290765811271E-3</v>
      </c>
      <c r="M90" s="171">
        <f t="shared" si="241"/>
        <v>7.2934793735285088E-3</v>
      </c>
      <c r="N90" s="171">
        <f t="shared" si="241"/>
        <v>1.6155088852988692E-3</v>
      </c>
      <c r="O90" s="171">
        <f t="shared" si="241"/>
        <v>9.2780316827600429E-4</v>
      </c>
      <c r="P90" s="171">
        <f t="shared" si="241"/>
        <v>7.2305418085995244E-4</v>
      </c>
      <c r="Q90" s="118">
        <f t="shared" si="216"/>
        <v>-0.45477796240996837</v>
      </c>
      <c r="R90" s="20"/>
      <c r="S90" s="152">
        <f t="shared" ref="S90:AB90" si="242">S29/S12</f>
        <v>7.2305418085995244E-4</v>
      </c>
      <c r="T90" s="152">
        <f t="shared" si="242"/>
        <v>7.2305418085995244E-4</v>
      </c>
      <c r="U90" s="152">
        <f t="shared" si="242"/>
        <v>7.2305418085995244E-4</v>
      </c>
      <c r="V90" s="152">
        <f t="shared" si="242"/>
        <v>7.2305418085995255E-4</v>
      </c>
      <c r="W90" s="152">
        <f t="shared" si="242"/>
        <v>7.2305418085995244E-4</v>
      </c>
      <c r="X90" s="152">
        <f t="shared" si="242"/>
        <v>7.2305418085995244E-4</v>
      </c>
      <c r="Y90" s="152">
        <f t="shared" si="242"/>
        <v>7.2305418085995255E-4</v>
      </c>
      <c r="Z90" s="152">
        <f t="shared" si="242"/>
        <v>7.2305418085995255E-4</v>
      </c>
      <c r="AA90" s="152">
        <f t="shared" si="242"/>
        <v>7.2305418085995244E-4</v>
      </c>
      <c r="AB90" s="152">
        <f t="shared" si="242"/>
        <v>7.2305418085995244E-4</v>
      </c>
      <c r="AC90" s="138">
        <f t="shared" si="218"/>
        <v>-0.24972758421743091</v>
      </c>
      <c r="AD90" s="146"/>
      <c r="AE90" s="146"/>
    </row>
    <row r="91" spans="2:31" ht="12" customHeight="1" x14ac:dyDescent="0.2">
      <c r="B91" s="20" t="s">
        <v>368</v>
      </c>
      <c r="C91" s="152"/>
      <c r="D91" s="152"/>
      <c r="E91" s="152"/>
      <c r="F91" s="152"/>
      <c r="G91" s="171" t="e">
        <f>G29/G23</f>
        <v>#DIV/0!</v>
      </c>
      <c r="H91" s="171" t="e">
        <f t="shared" ref="H91:P91" si="243">H29/H23</f>
        <v>#DIV/0!</v>
      </c>
      <c r="I91" s="171" t="e">
        <f t="shared" si="243"/>
        <v>#DIV/0!</v>
      </c>
      <c r="J91" s="171" t="e">
        <f t="shared" si="243"/>
        <v>#DIV/0!</v>
      </c>
      <c r="K91" s="171" t="e">
        <f t="shared" si="243"/>
        <v>#DIV/0!</v>
      </c>
      <c r="L91" s="171" t="e">
        <f t="shared" si="243"/>
        <v>#DIV/0!</v>
      </c>
      <c r="M91" s="171" t="e">
        <f t="shared" si="243"/>
        <v>#DIV/0!</v>
      </c>
      <c r="N91" s="171" t="e">
        <f t="shared" si="243"/>
        <v>#DIV/0!</v>
      </c>
      <c r="O91" s="171" t="e">
        <f t="shared" si="243"/>
        <v>#DIV/0!</v>
      </c>
      <c r="P91" s="171" t="e">
        <f t="shared" si="243"/>
        <v>#DIV/0!</v>
      </c>
      <c r="Q91" s="118" t="e">
        <f t="shared" ref="Q91" si="244">((P91/G91)^(1/($H$2-$H$1) ))-1</f>
        <v>#DIV/0!</v>
      </c>
      <c r="R91" s="20"/>
      <c r="S91" s="171" t="e">
        <f t="shared" ref="S91:AB91" si="245">S29/S23</f>
        <v>#DIV/0!</v>
      </c>
      <c r="T91" s="171" t="e">
        <f t="shared" si="245"/>
        <v>#DIV/0!</v>
      </c>
      <c r="U91" s="171" t="e">
        <f t="shared" si="245"/>
        <v>#DIV/0!</v>
      </c>
      <c r="V91" s="171" t="e">
        <f t="shared" si="245"/>
        <v>#DIV/0!</v>
      </c>
      <c r="W91" s="171" t="e">
        <f t="shared" si="245"/>
        <v>#DIV/0!</v>
      </c>
      <c r="X91" s="171" t="e">
        <f t="shared" si="245"/>
        <v>#DIV/0!</v>
      </c>
      <c r="Y91" s="171" t="e">
        <f t="shared" si="245"/>
        <v>#DIV/0!</v>
      </c>
      <c r="Z91" s="171" t="e">
        <f t="shared" si="245"/>
        <v>#DIV/0!</v>
      </c>
      <c r="AA91" s="171" t="e">
        <f t="shared" si="245"/>
        <v>#DIV/0!</v>
      </c>
      <c r="AB91" s="171" t="e">
        <f t="shared" si="245"/>
        <v>#DIV/0!</v>
      </c>
      <c r="AC91" s="138" t="e">
        <f t="shared" ref="AC91" si="246">((AB91/G91)^(1/($AB$3-$H$1) ))-1</f>
        <v>#DIV/0!</v>
      </c>
      <c r="AD91" s="146"/>
      <c r="AE91" s="146"/>
    </row>
    <row r="92" spans="2:31" ht="12" customHeight="1" x14ac:dyDescent="0.2">
      <c r="B92" s="20"/>
      <c r="C92" s="152"/>
      <c r="D92" s="152"/>
      <c r="E92" s="152"/>
      <c r="F92" s="152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20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46"/>
      <c r="AE92" s="146"/>
    </row>
    <row r="93" spans="2:31" ht="12" customHeight="1" x14ac:dyDescent="0.2">
      <c r="B93" s="20" t="s">
        <v>401</v>
      </c>
      <c r="C93" s="152"/>
      <c r="D93" s="152"/>
      <c r="E93" s="152"/>
      <c r="F93" s="152"/>
      <c r="G93" s="127">
        <f>1/G87</f>
        <v>9.7074468085106389</v>
      </c>
      <c r="H93" s="127">
        <f t="shared" ref="H93:P93" si="247">1/H87</f>
        <v>10.354285714285714</v>
      </c>
      <c r="I93" s="127">
        <f t="shared" si="247"/>
        <v>15.080246913580245</v>
      </c>
      <c r="J93" s="127">
        <f t="shared" si="247"/>
        <v>10.234782608695653</v>
      </c>
      <c r="K93" s="127">
        <f t="shared" si="247"/>
        <v>261.09333333333336</v>
      </c>
      <c r="L93" s="127">
        <f t="shared" si="247"/>
        <v>182.46875</v>
      </c>
      <c r="M93" s="127">
        <f t="shared" si="247"/>
        <v>207.97894736842105</v>
      </c>
      <c r="N93" s="127">
        <f t="shared" si="247"/>
        <v>761.16216216216219</v>
      </c>
      <c r="O93" s="127">
        <f t="shared" si="247"/>
        <v>1302.7962962962963</v>
      </c>
      <c r="P93" s="127">
        <f t="shared" si="247"/>
        <v>1701.2222222222222</v>
      </c>
      <c r="Q93" s="118">
        <f t="shared" si="216"/>
        <v>0.77539549757424475</v>
      </c>
      <c r="R93" s="20"/>
      <c r="S93" s="127">
        <f t="shared" ref="S93:AB93" si="248">1/S87</f>
        <v>1701.2222222222222</v>
      </c>
      <c r="T93" s="127">
        <f t="shared" si="248"/>
        <v>1701.2222222222219</v>
      </c>
      <c r="U93" s="127">
        <f t="shared" si="248"/>
        <v>1701.2222222222219</v>
      </c>
      <c r="V93" s="127">
        <f t="shared" si="248"/>
        <v>1701.2222222222219</v>
      </c>
      <c r="W93" s="127">
        <f t="shared" si="248"/>
        <v>1701.2222222222222</v>
      </c>
      <c r="X93" s="127">
        <f t="shared" si="248"/>
        <v>1701.2222222222222</v>
      </c>
      <c r="Y93" s="127">
        <f t="shared" si="248"/>
        <v>1701.2222222222222</v>
      </c>
      <c r="Z93" s="127">
        <f t="shared" si="248"/>
        <v>1701.2222222222222</v>
      </c>
      <c r="AA93" s="127">
        <f t="shared" si="248"/>
        <v>1701.2222222222226</v>
      </c>
      <c r="AB93" s="127">
        <f t="shared" si="248"/>
        <v>1701.2222222222226</v>
      </c>
      <c r="AC93" s="138">
        <f t="shared" si="218"/>
        <v>0.31246327321272105</v>
      </c>
      <c r="AD93" s="146"/>
      <c r="AE93" s="146"/>
    </row>
    <row r="94" spans="2:31" ht="12" customHeight="1" x14ac:dyDescent="0.2">
      <c r="B94" s="20" t="s">
        <v>402</v>
      </c>
      <c r="C94" s="152"/>
      <c r="D94" s="152"/>
      <c r="E94" s="152"/>
      <c r="F94" s="152"/>
      <c r="G94" s="127">
        <f t="shared" ref="G94:P97" si="249">1/G88</f>
        <v>-0.78723404255319152</v>
      </c>
      <c r="H94" s="127">
        <f t="shared" si="249"/>
        <v>-1.1771428571428573</v>
      </c>
      <c r="I94" s="127">
        <f t="shared" si="249"/>
        <v>-3.7777777777777777</v>
      </c>
      <c r="J94" s="127">
        <f t="shared" si="249"/>
        <v>-0.40869565217391307</v>
      </c>
      <c r="K94" s="127">
        <f t="shared" si="249"/>
        <v>26.8</v>
      </c>
      <c r="L94" s="127">
        <f t="shared" si="249"/>
        <v>18.666666666666668</v>
      </c>
      <c r="M94" s="127">
        <f t="shared" si="249"/>
        <v>47.891228070175437</v>
      </c>
      <c r="N94" s="127">
        <f t="shared" si="249"/>
        <v>182.12162162162161</v>
      </c>
      <c r="O94" s="127">
        <f t="shared" si="249"/>
        <v>290.12962962962962</v>
      </c>
      <c r="P94" s="127">
        <f t="shared" si="249"/>
        <v>401.84444444444443</v>
      </c>
      <c r="Q94" s="118">
        <f t="shared" si="216"/>
        <v>-2.9993268074649189</v>
      </c>
      <c r="R94" s="20"/>
      <c r="S94" s="127">
        <f t="shared" ref="S94:AB94" si="250">1/S88</f>
        <v>401.84444444444443</v>
      </c>
      <c r="T94" s="127">
        <f t="shared" si="250"/>
        <v>401.84444444444443</v>
      </c>
      <c r="U94" s="127">
        <f t="shared" si="250"/>
        <v>401.84444444444438</v>
      </c>
      <c r="V94" s="127">
        <f t="shared" si="250"/>
        <v>401.84444444444438</v>
      </c>
      <c r="W94" s="127">
        <f t="shared" si="250"/>
        <v>401.84444444444438</v>
      </c>
      <c r="X94" s="127">
        <f t="shared" si="250"/>
        <v>401.84444444444438</v>
      </c>
      <c r="Y94" s="127">
        <f t="shared" si="250"/>
        <v>401.84444444444438</v>
      </c>
      <c r="Z94" s="127">
        <f t="shared" si="250"/>
        <v>401.84444444444443</v>
      </c>
      <c r="AA94" s="127">
        <f t="shared" si="250"/>
        <v>401.84444444444443</v>
      </c>
      <c r="AB94" s="127">
        <f t="shared" si="250"/>
        <v>401.84444444444443</v>
      </c>
      <c r="AC94" s="138">
        <f t="shared" si="218"/>
        <v>-2.3884297159930052</v>
      </c>
      <c r="AD94" s="146"/>
      <c r="AE94" s="146"/>
    </row>
    <row r="95" spans="2:31" ht="12" customHeight="1" x14ac:dyDescent="0.2">
      <c r="B95" s="20" t="s">
        <v>403</v>
      </c>
      <c r="C95" s="152"/>
      <c r="D95" s="152"/>
      <c r="E95" s="152"/>
      <c r="F95" s="152"/>
      <c r="G95" s="127">
        <f t="shared" si="249"/>
        <v>7.0851063829787231</v>
      </c>
      <c r="H95" s="127">
        <f t="shared" si="249"/>
        <v>7.5657142857142849</v>
      </c>
      <c r="I95" s="127">
        <f t="shared" si="249"/>
        <v>10.567901234567902</v>
      </c>
      <c r="J95" s="127">
        <f t="shared" si="249"/>
        <v>8.1768115942028974</v>
      </c>
      <c r="K95" s="127">
        <f t="shared" si="249"/>
        <v>34.953333333333333</v>
      </c>
      <c r="L95" s="127">
        <f t="shared" si="249"/>
        <v>7.2152777777777786</v>
      </c>
      <c r="M95" s="127">
        <f t="shared" si="249"/>
        <v>33.761403508771927</v>
      </c>
      <c r="N95" s="127">
        <f t="shared" si="249"/>
        <v>146.85135135135135</v>
      </c>
      <c r="O95" s="127">
        <f t="shared" si="249"/>
        <v>273.85185185185185</v>
      </c>
      <c r="P95" s="127">
        <f t="shared" si="249"/>
        <v>385.68888888888893</v>
      </c>
      <c r="Q95" s="118">
        <f t="shared" si="216"/>
        <v>0.55910997542641905</v>
      </c>
      <c r="R95" s="20"/>
      <c r="S95" s="127">
        <f t="shared" ref="S95:AB95" si="251">1/S89</f>
        <v>385.68888888888881</v>
      </c>
      <c r="T95" s="127">
        <f t="shared" si="251"/>
        <v>385.68888888888881</v>
      </c>
      <c r="U95" s="127">
        <f t="shared" si="251"/>
        <v>385.68888888888881</v>
      </c>
      <c r="V95" s="127">
        <f t="shared" si="251"/>
        <v>385.68888888888875</v>
      </c>
      <c r="W95" s="127">
        <f t="shared" si="251"/>
        <v>385.68888888888875</v>
      </c>
      <c r="X95" s="127">
        <f t="shared" si="251"/>
        <v>385.6888888888887</v>
      </c>
      <c r="Y95" s="127">
        <f t="shared" si="251"/>
        <v>385.6888888888887</v>
      </c>
      <c r="Z95" s="127">
        <f t="shared" si="251"/>
        <v>385.6888888888887</v>
      </c>
      <c r="AA95" s="127">
        <f t="shared" si="251"/>
        <v>385.6888888888887</v>
      </c>
      <c r="AB95" s="127">
        <f t="shared" si="251"/>
        <v>385.6888888888887</v>
      </c>
      <c r="AC95" s="138">
        <f t="shared" si="218"/>
        <v>0.23413500599073678</v>
      </c>
      <c r="AD95" s="146"/>
      <c r="AE95" s="146"/>
    </row>
    <row r="96" spans="2:31" ht="12" customHeight="1" x14ac:dyDescent="0.2">
      <c r="B96" s="20" t="s">
        <v>404</v>
      </c>
      <c r="C96" s="152"/>
      <c r="D96" s="152"/>
      <c r="E96" s="152"/>
      <c r="F96" s="152"/>
      <c r="G96" s="127">
        <f t="shared" si="249"/>
        <v>5.8882978723404253</v>
      </c>
      <c r="H96" s="127">
        <f t="shared" si="249"/>
        <v>14.468571428571428</v>
      </c>
      <c r="I96" s="127">
        <f t="shared" si="249"/>
        <v>17.672839506172842</v>
      </c>
      <c r="J96" s="127">
        <f t="shared" si="249"/>
        <v>10.805797101449276</v>
      </c>
      <c r="K96" s="127">
        <f t="shared" si="249"/>
        <v>139.74</v>
      </c>
      <c r="L96" s="127">
        <f t="shared" si="249"/>
        <v>103.10416666666667</v>
      </c>
      <c r="M96" s="127">
        <f t="shared" si="249"/>
        <v>137.10877192982457</v>
      </c>
      <c r="N96" s="127">
        <f t="shared" si="249"/>
        <v>619</v>
      </c>
      <c r="O96" s="127">
        <f t="shared" si="249"/>
        <v>1077.8148148148148</v>
      </c>
      <c r="P96" s="127">
        <f t="shared" si="249"/>
        <v>1383.0222222222221</v>
      </c>
      <c r="Q96" s="118">
        <f t="shared" si="216"/>
        <v>0.83411515136137848</v>
      </c>
      <c r="R96" s="20"/>
      <c r="S96" s="127">
        <f t="shared" ref="S96:AB96" si="252">1/S90</f>
        <v>1383.0222222222221</v>
      </c>
      <c r="T96" s="127">
        <f t="shared" si="252"/>
        <v>1383.0222222222221</v>
      </c>
      <c r="U96" s="127">
        <f t="shared" si="252"/>
        <v>1383.0222222222221</v>
      </c>
      <c r="V96" s="127">
        <f t="shared" si="252"/>
        <v>1383.0222222222219</v>
      </c>
      <c r="W96" s="127">
        <f t="shared" si="252"/>
        <v>1383.0222222222221</v>
      </c>
      <c r="X96" s="127">
        <f t="shared" si="252"/>
        <v>1383.0222222222221</v>
      </c>
      <c r="Y96" s="127">
        <f t="shared" si="252"/>
        <v>1383.0222222222219</v>
      </c>
      <c r="Z96" s="127">
        <f t="shared" si="252"/>
        <v>1383.0222222222219</v>
      </c>
      <c r="AA96" s="127">
        <f t="shared" si="252"/>
        <v>1383.0222222222221</v>
      </c>
      <c r="AB96" s="127">
        <f t="shared" si="252"/>
        <v>1383.0222222222221</v>
      </c>
      <c r="AC96" s="138">
        <f t="shared" si="218"/>
        <v>0.33284921445093163</v>
      </c>
      <c r="AD96" s="146"/>
      <c r="AE96" s="146"/>
    </row>
    <row r="97" spans="2:31" ht="12" customHeight="1" x14ac:dyDescent="0.2">
      <c r="B97" s="20" t="s">
        <v>405</v>
      </c>
      <c r="C97" s="152"/>
      <c r="D97" s="152"/>
      <c r="E97" s="152"/>
      <c r="F97" s="152"/>
      <c r="G97" s="127" t="e">
        <f t="shared" si="249"/>
        <v>#DIV/0!</v>
      </c>
      <c r="H97" s="127" t="e">
        <f t="shared" si="249"/>
        <v>#DIV/0!</v>
      </c>
      <c r="I97" s="127" t="e">
        <f t="shared" si="249"/>
        <v>#DIV/0!</v>
      </c>
      <c r="J97" s="127" t="e">
        <f t="shared" si="249"/>
        <v>#DIV/0!</v>
      </c>
      <c r="K97" s="127" t="e">
        <f t="shared" si="249"/>
        <v>#DIV/0!</v>
      </c>
      <c r="L97" s="127" t="e">
        <f t="shared" si="249"/>
        <v>#DIV/0!</v>
      </c>
      <c r="M97" s="127" t="e">
        <f t="shared" si="249"/>
        <v>#DIV/0!</v>
      </c>
      <c r="N97" s="127" t="e">
        <f t="shared" si="249"/>
        <v>#DIV/0!</v>
      </c>
      <c r="O97" s="127" t="e">
        <f t="shared" si="249"/>
        <v>#DIV/0!</v>
      </c>
      <c r="P97" s="127" t="e">
        <f t="shared" si="249"/>
        <v>#DIV/0!</v>
      </c>
      <c r="Q97" s="118" t="e">
        <f t="shared" si="216"/>
        <v>#DIV/0!</v>
      </c>
      <c r="R97" s="20"/>
      <c r="S97" s="127" t="e">
        <f t="shared" ref="S97:AB97" si="253">1/S91</f>
        <v>#DIV/0!</v>
      </c>
      <c r="T97" s="127" t="e">
        <f t="shared" si="253"/>
        <v>#DIV/0!</v>
      </c>
      <c r="U97" s="127" t="e">
        <f t="shared" si="253"/>
        <v>#DIV/0!</v>
      </c>
      <c r="V97" s="127" t="e">
        <f t="shared" si="253"/>
        <v>#DIV/0!</v>
      </c>
      <c r="W97" s="127" t="e">
        <f t="shared" si="253"/>
        <v>#DIV/0!</v>
      </c>
      <c r="X97" s="127" t="e">
        <f t="shared" si="253"/>
        <v>#DIV/0!</v>
      </c>
      <c r="Y97" s="127" t="e">
        <f t="shared" si="253"/>
        <v>#DIV/0!</v>
      </c>
      <c r="Z97" s="127" t="e">
        <f t="shared" si="253"/>
        <v>#DIV/0!</v>
      </c>
      <c r="AA97" s="127" t="e">
        <f t="shared" si="253"/>
        <v>#DIV/0!</v>
      </c>
      <c r="AB97" s="127" t="e">
        <f t="shared" si="253"/>
        <v>#DIV/0!</v>
      </c>
      <c r="AC97" s="138" t="e">
        <f t="shared" si="218"/>
        <v>#DIV/0!</v>
      </c>
      <c r="AD97" s="146"/>
      <c r="AE97" s="146"/>
    </row>
    <row r="98" spans="2:31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20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46"/>
      <c r="AE98" s="146"/>
    </row>
    <row r="99" spans="2:31" ht="12" customHeight="1" x14ac:dyDescent="0.2">
      <c r="B99" s="20"/>
      <c r="C99" s="152"/>
      <c r="D99" s="152"/>
      <c r="E99" s="152"/>
      <c r="F99" s="152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20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46"/>
      <c r="AE99" s="146"/>
    </row>
    <row r="100" spans="2:31" x14ac:dyDescent="0.2">
      <c r="B100" s="20" t="s">
        <v>324</v>
      </c>
      <c r="C100" s="152"/>
      <c r="D100" s="152"/>
      <c r="E100" s="152"/>
      <c r="F100" s="163">
        <f t="shared" ref="F100:O100" si="254">F10-(F12+F13)</f>
        <v>0</v>
      </c>
      <c r="G100" s="163">
        <f t="shared" si="254"/>
        <v>-9696</v>
      </c>
      <c r="H100" s="163">
        <f t="shared" si="254"/>
        <v>-12923</v>
      </c>
      <c r="I100" s="163">
        <f t="shared" si="254"/>
        <v>-11555</v>
      </c>
      <c r="J100" s="163">
        <f t="shared" si="254"/>
        <v>-8398</v>
      </c>
      <c r="K100" s="163">
        <f t="shared" si="254"/>
        <v>-20794</v>
      </c>
      <c r="L100" s="163">
        <f t="shared" si="254"/>
        <v>-29051</v>
      </c>
      <c r="M100" s="163">
        <f t="shared" si="254"/>
        <v>-38272</v>
      </c>
      <c r="N100" s="163">
        <f t="shared" si="254"/>
        <v>-45503</v>
      </c>
      <c r="O100" s="163">
        <f t="shared" si="254"/>
        <v>-58850</v>
      </c>
      <c r="P100" s="163">
        <f>P10-(P12+P13)</f>
        <v>-63552</v>
      </c>
      <c r="Q100" s="118">
        <f t="shared" si="216"/>
        <v>0.23232792716982442</v>
      </c>
      <c r="R100" s="20"/>
      <c r="S100" s="163">
        <f>S10-(S12+S13)</f>
        <v>-71178.240000000005</v>
      </c>
      <c r="T100" s="163">
        <f t="shared" ref="T100:AB100" si="255">T10-(T12+T13)</f>
        <v>-79719.62880000002</v>
      </c>
      <c r="U100" s="163">
        <f t="shared" si="255"/>
        <v>-89285.98425600004</v>
      </c>
      <c r="V100" s="163">
        <f t="shared" si="255"/>
        <v>-100000.30236672005</v>
      </c>
      <c r="W100" s="163">
        <f t="shared" si="255"/>
        <v>-112000.33865072647</v>
      </c>
      <c r="X100" s="163">
        <f t="shared" si="255"/>
        <v>-125440.37928881367</v>
      </c>
      <c r="Y100" s="163">
        <f t="shared" si="255"/>
        <v>-140493.2248034713</v>
      </c>
      <c r="Z100" s="163">
        <f t="shared" si="255"/>
        <v>-157352.41177988786</v>
      </c>
      <c r="AA100" s="163">
        <f t="shared" si="255"/>
        <v>-176234.70119347444</v>
      </c>
      <c r="AB100" s="163">
        <f t="shared" si="255"/>
        <v>-197382.86533669138</v>
      </c>
      <c r="AC100" s="138">
        <f t="shared" si="218"/>
        <v>0.17187107230158505</v>
      </c>
      <c r="AD100" s="146"/>
      <c r="AE100" s="146"/>
    </row>
    <row r="101" spans="2:31" ht="12" customHeight="1" x14ac:dyDescent="0.2">
      <c r="B101" s="20" t="s">
        <v>319</v>
      </c>
      <c r="C101" s="20"/>
      <c r="D101" s="20"/>
      <c r="E101" s="20"/>
      <c r="F101" s="20"/>
      <c r="G101" s="152">
        <f t="shared" ref="G101:P101" si="256">G40/G18</f>
        <v>9.9402985074626873</v>
      </c>
      <c r="H101" s="152">
        <f t="shared" si="256"/>
        <v>11.513043478260869</v>
      </c>
      <c r="I101" s="152">
        <f t="shared" si="256"/>
        <v>16.46153846153846</v>
      </c>
      <c r="J101" s="152">
        <f t="shared" si="256"/>
        <v>30.333333333333332</v>
      </c>
      <c r="K101" s="152">
        <f t="shared" si="256"/>
        <v>0.50215496599942533</v>
      </c>
      <c r="L101" s="152">
        <f t="shared" si="256"/>
        <v>0.18854913347246166</v>
      </c>
      <c r="M101" s="152">
        <f t="shared" si="256"/>
        <v>0.79950145409223095</v>
      </c>
      <c r="N101" s="152">
        <f t="shared" si="256"/>
        <v>0.84614186716499262</v>
      </c>
      <c r="O101" s="152">
        <f t="shared" si="256"/>
        <v>1.100297619047619</v>
      </c>
      <c r="P101" s="152">
        <f t="shared" si="256"/>
        <v>1.288971407352395</v>
      </c>
      <c r="Q101" s="118">
        <f t="shared" si="216"/>
        <v>-0.20305730292617907</v>
      </c>
      <c r="R101" s="20"/>
      <c r="S101" s="152">
        <f t="shared" ref="S101:AB101" si="257">S40/S18</f>
        <v>1.288971407352395</v>
      </c>
      <c r="T101" s="152">
        <f t="shared" si="257"/>
        <v>1.288971407352395</v>
      </c>
      <c r="U101" s="152">
        <f t="shared" si="257"/>
        <v>1.288971407352395</v>
      </c>
      <c r="V101" s="152">
        <f t="shared" si="257"/>
        <v>1.2889714073523948</v>
      </c>
      <c r="W101" s="152">
        <f t="shared" si="257"/>
        <v>1.2889714073523948</v>
      </c>
      <c r="X101" s="152">
        <f t="shared" si="257"/>
        <v>1.2889714073523948</v>
      </c>
      <c r="Y101" s="152">
        <f t="shared" si="257"/>
        <v>1.2889714073523948</v>
      </c>
      <c r="Z101" s="152">
        <f t="shared" si="257"/>
        <v>1.2889714073523948</v>
      </c>
      <c r="AA101" s="152">
        <f t="shared" si="257"/>
        <v>1.2889714073523946</v>
      </c>
      <c r="AB101" s="152">
        <f t="shared" si="257"/>
        <v>1.2889714073523946</v>
      </c>
      <c r="AC101" s="138">
        <f t="shared" si="218"/>
        <v>-0.10193541288214414</v>
      </c>
      <c r="AD101" s="20"/>
      <c r="AE101" s="20"/>
    </row>
    <row r="102" spans="2:31" x14ac:dyDescent="0.2">
      <c r="B102" s="20" t="s">
        <v>320</v>
      </c>
      <c r="C102" s="20"/>
      <c r="D102" s="20"/>
      <c r="E102" s="20"/>
      <c r="F102" s="20"/>
      <c r="G102" s="152">
        <f t="shared" ref="G102:P102" si="258">G40/G25</f>
        <v>0.72986301369863016</v>
      </c>
      <c r="H102" s="152">
        <f t="shared" si="258"/>
        <v>0.73068432671081673</v>
      </c>
      <c r="I102" s="152">
        <f t="shared" si="258"/>
        <v>0.70077773229635698</v>
      </c>
      <c r="J102" s="152">
        <f t="shared" si="258"/>
        <v>0.79892381761540643</v>
      </c>
      <c r="K102" s="152">
        <f t="shared" si="258"/>
        <v>0.13387294454090493</v>
      </c>
      <c r="L102" s="152">
        <f t="shared" si="258"/>
        <v>3.9542539628170732E-2</v>
      </c>
      <c r="M102" s="152">
        <f t="shared" si="258"/>
        <v>0.16233087019603873</v>
      </c>
      <c r="N102" s="152">
        <f t="shared" si="258"/>
        <v>0.19293044064907858</v>
      </c>
      <c r="O102" s="152">
        <f t="shared" si="258"/>
        <v>0.21020312433369817</v>
      </c>
      <c r="P102" s="152">
        <f t="shared" si="258"/>
        <v>0.22671282084775651</v>
      </c>
      <c r="Q102" s="118">
        <f t="shared" si="216"/>
        <v>-0.12182385414593</v>
      </c>
      <c r="R102" s="20"/>
      <c r="S102" s="152">
        <f t="shared" ref="S102:AB102" si="259">S40/S25</f>
        <v>0.22671282084775651</v>
      </c>
      <c r="T102" s="152">
        <f t="shared" si="259"/>
        <v>0.22671282084775649</v>
      </c>
      <c r="U102" s="152">
        <f t="shared" si="259"/>
        <v>0.22671282084775649</v>
      </c>
      <c r="V102" s="152">
        <f t="shared" si="259"/>
        <v>0.22671282084775646</v>
      </c>
      <c r="W102" s="152">
        <f t="shared" si="259"/>
        <v>0.22671282084775643</v>
      </c>
      <c r="X102" s="152">
        <f t="shared" si="259"/>
        <v>0.22671282084775643</v>
      </c>
      <c r="Y102" s="152">
        <f t="shared" si="259"/>
        <v>0.2267128208477564</v>
      </c>
      <c r="Z102" s="152">
        <f t="shared" si="259"/>
        <v>0.2267128208477564</v>
      </c>
      <c r="AA102" s="152">
        <f t="shared" si="259"/>
        <v>0.2267128208477564</v>
      </c>
      <c r="AB102" s="152">
        <f t="shared" si="259"/>
        <v>0.22671282084775637</v>
      </c>
      <c r="AC102" s="138">
        <f t="shared" si="218"/>
        <v>-5.968034978247283E-2</v>
      </c>
      <c r="AD102" s="20"/>
      <c r="AE102" s="20"/>
    </row>
    <row r="103" spans="2:31" x14ac:dyDescent="0.2">
      <c r="B103" s="20" t="s">
        <v>346</v>
      </c>
      <c r="C103" s="20"/>
      <c r="D103" s="20"/>
      <c r="E103" s="152"/>
      <c r="F103" s="152"/>
      <c r="G103" s="152">
        <f t="shared" ref="G103:O103" si="260">G25/G18</f>
        <v>13.619402985074627</v>
      </c>
      <c r="H103" s="152">
        <f t="shared" si="260"/>
        <v>15.756521739130434</v>
      </c>
      <c r="I103" s="152">
        <f t="shared" si="260"/>
        <v>23.490384615384617</v>
      </c>
      <c r="J103" s="152">
        <f t="shared" si="260"/>
        <v>37.967741935483872</v>
      </c>
      <c r="K103" s="152">
        <f t="shared" si="260"/>
        <v>3.7509817067330715</v>
      </c>
      <c r="L103" s="152">
        <f t="shared" si="260"/>
        <v>4.7682605934125757</v>
      </c>
      <c r="M103" s="152">
        <f t="shared" si="260"/>
        <v>4.9251350228500206</v>
      </c>
      <c r="N103" s="152">
        <f t="shared" si="260"/>
        <v>4.3857354200731917</v>
      </c>
      <c r="O103" s="152">
        <f t="shared" si="260"/>
        <v>5.2344494047619046</v>
      </c>
      <c r="P103" s="152">
        <f>P25/P18</f>
        <v>5.685480876346082</v>
      </c>
      <c r="Q103" s="118">
        <f t="shared" si="216"/>
        <v>-9.2502454278401647E-2</v>
      </c>
      <c r="R103" s="20"/>
      <c r="S103" s="152">
        <f>S25/S18</f>
        <v>5.685480876346082</v>
      </c>
      <c r="T103" s="152">
        <f t="shared" ref="T103:AB103" si="261">T25/T18</f>
        <v>5.6854808763460829</v>
      </c>
      <c r="U103" s="152">
        <f t="shared" si="261"/>
        <v>5.6854808763460829</v>
      </c>
      <c r="V103" s="152">
        <f t="shared" si="261"/>
        <v>5.6854808763460829</v>
      </c>
      <c r="W103" s="152">
        <f t="shared" si="261"/>
        <v>5.6854808763460829</v>
      </c>
      <c r="X103" s="152">
        <f t="shared" si="261"/>
        <v>5.6854808763460829</v>
      </c>
      <c r="Y103" s="152">
        <f t="shared" si="261"/>
        <v>5.6854808763460838</v>
      </c>
      <c r="Z103" s="152">
        <f t="shared" si="261"/>
        <v>5.6854808763460838</v>
      </c>
      <c r="AA103" s="152">
        <f t="shared" si="261"/>
        <v>5.6854808763460838</v>
      </c>
      <c r="AB103" s="152">
        <f t="shared" si="261"/>
        <v>5.6854808763460838</v>
      </c>
      <c r="AC103" s="138">
        <f t="shared" si="218"/>
        <v>-4.4936913835520009E-2</v>
      </c>
      <c r="AD103" s="20"/>
      <c r="AE103" s="20"/>
    </row>
    <row r="104" spans="2:31" x14ac:dyDescent="0.2">
      <c r="B104" s="20"/>
      <c r="C104" s="20"/>
      <c r="D104" s="20"/>
      <c r="E104" s="20"/>
      <c r="F104" s="20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28"/>
      <c r="R104" s="20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28"/>
      <c r="AD104" s="20"/>
      <c r="AE104" s="20"/>
    </row>
    <row r="105" spans="2:31" x14ac:dyDescent="0.2">
      <c r="B105" s="20" t="s">
        <v>332</v>
      </c>
      <c r="C105" s="20"/>
      <c r="D105" s="20"/>
      <c r="E105" s="165">
        <f t="shared" ref="E105:F105" si="262">E65*E42</f>
        <v>0</v>
      </c>
      <c r="F105" s="165">
        <f t="shared" si="262"/>
        <v>0</v>
      </c>
      <c r="G105" s="165">
        <f>G65*G42</f>
        <v>1E-4</v>
      </c>
      <c r="H105" s="165">
        <f t="shared" ref="H105:P105" si="263">H65*H42</f>
        <v>1E-4</v>
      </c>
      <c r="I105" s="165">
        <f t="shared" si="263"/>
        <v>1262</v>
      </c>
      <c r="J105" s="165">
        <f t="shared" si="263"/>
        <v>1495.4699999999998</v>
      </c>
      <c r="K105" s="165">
        <f t="shared" si="263"/>
        <v>1703.6999999999998</v>
      </c>
      <c r="L105" s="165">
        <f t="shared" si="263"/>
        <v>17.036999999999999</v>
      </c>
      <c r="M105" s="165">
        <f t="shared" si="263"/>
        <v>2210.7049999999999</v>
      </c>
      <c r="N105" s="165">
        <f t="shared" si="263"/>
        <v>2463.357</v>
      </c>
      <c r="O105" s="165">
        <f t="shared" si="263"/>
        <v>6316.3</v>
      </c>
      <c r="P105" s="165">
        <f t="shared" si="263"/>
        <v>8842.82</v>
      </c>
      <c r="Q105" s="118">
        <f t="shared" si="216"/>
        <v>6.637558181663179</v>
      </c>
      <c r="R105" s="20"/>
      <c r="S105" s="165">
        <f t="shared" ref="S105:AB105" si="264">S65*S42</f>
        <v>13927.441500000001</v>
      </c>
      <c r="T105" s="165">
        <f t="shared" si="264"/>
        <v>16378.671204000004</v>
      </c>
      <c r="U105" s="165">
        <f t="shared" si="264"/>
        <v>19261.317335904005</v>
      </c>
      <c r="V105" s="165">
        <f t="shared" si="264"/>
        <v>22651.309187023111</v>
      </c>
      <c r="W105" s="165">
        <f t="shared" si="264"/>
        <v>26637.939603939183</v>
      </c>
      <c r="X105" s="165">
        <f t="shared" si="264"/>
        <v>31326.21697423248</v>
      </c>
      <c r="Y105" s="165">
        <f t="shared" si="264"/>
        <v>36839.631161697405</v>
      </c>
      <c r="Z105" s="165">
        <f t="shared" si="264"/>
        <v>43323.406246156148</v>
      </c>
      <c r="AA105" s="165">
        <f t="shared" si="264"/>
        <v>50948.32574547964</v>
      </c>
      <c r="AB105" s="165">
        <f t="shared" si="264"/>
        <v>59915.231076684067</v>
      </c>
      <c r="AC105" s="138">
        <f t="shared" si="218"/>
        <v>1.8971811050394503</v>
      </c>
      <c r="AD105" s="20"/>
      <c r="AE105" s="20"/>
    </row>
    <row r="106" spans="2:31" x14ac:dyDescent="0.2">
      <c r="B106" s="20" t="s">
        <v>333</v>
      </c>
      <c r="C106" s="20"/>
      <c r="D106" s="20"/>
      <c r="E106" s="165">
        <f>(E105*0.17)+E105</f>
        <v>0</v>
      </c>
      <c r="F106" s="165">
        <f>(F105*0.17)+F105</f>
        <v>0</v>
      </c>
      <c r="G106" s="165">
        <f t="shared" ref="G106:P106" si="265">(G105*0.17)+G105</f>
        <v>1.1700000000000001E-4</v>
      </c>
      <c r="H106" s="165">
        <f t="shared" si="265"/>
        <v>1.1700000000000001E-4</v>
      </c>
      <c r="I106" s="165">
        <f t="shared" si="265"/>
        <v>1476.54</v>
      </c>
      <c r="J106" s="165">
        <f t="shared" si="265"/>
        <v>1749.6998999999998</v>
      </c>
      <c r="K106" s="165">
        <f t="shared" si="265"/>
        <v>1993.3289999999997</v>
      </c>
      <c r="L106" s="165">
        <f t="shared" si="265"/>
        <v>19.93329</v>
      </c>
      <c r="M106" s="165">
        <f t="shared" si="265"/>
        <v>2586.5248499999998</v>
      </c>
      <c r="N106" s="165">
        <f t="shared" si="265"/>
        <v>2882.1276899999998</v>
      </c>
      <c r="O106" s="165">
        <f t="shared" si="265"/>
        <v>7390.0709999999999</v>
      </c>
      <c r="P106" s="165">
        <f t="shared" si="265"/>
        <v>10346.099399999999</v>
      </c>
      <c r="Q106" s="118">
        <f t="shared" si="216"/>
        <v>6.637558181663179</v>
      </c>
      <c r="R106" s="20"/>
      <c r="S106" s="165">
        <f t="shared" ref="S106:AB106" si="266">(S105*0.17)+S105</f>
        <v>16295.106555000002</v>
      </c>
      <c r="T106" s="165">
        <f t="shared" si="266"/>
        <v>19163.045308680004</v>
      </c>
      <c r="U106" s="165">
        <f t="shared" si="266"/>
        <v>22535.741283007686</v>
      </c>
      <c r="V106" s="165">
        <f t="shared" si="266"/>
        <v>26502.03174881704</v>
      </c>
      <c r="W106" s="165">
        <f t="shared" si="266"/>
        <v>31166.389336608845</v>
      </c>
      <c r="X106" s="165">
        <f t="shared" si="266"/>
        <v>36651.673859852002</v>
      </c>
      <c r="Y106" s="165">
        <f t="shared" si="266"/>
        <v>43102.368459185964</v>
      </c>
      <c r="Z106" s="165">
        <f t="shared" si="266"/>
        <v>50688.385308002697</v>
      </c>
      <c r="AA106" s="165">
        <f t="shared" si="266"/>
        <v>59609.54112221118</v>
      </c>
      <c r="AB106" s="165">
        <f t="shared" si="266"/>
        <v>70100.820359720354</v>
      </c>
      <c r="AC106" s="138">
        <f t="shared" si="218"/>
        <v>1.8971811050394503</v>
      </c>
      <c r="AD106" s="20"/>
      <c r="AE106" s="20"/>
    </row>
    <row r="107" spans="2:31" x14ac:dyDescent="0.2">
      <c r="B107" s="20" t="s">
        <v>334</v>
      </c>
      <c r="C107" s="20"/>
      <c r="D107" s="20"/>
      <c r="E107" s="20"/>
      <c r="F107" s="152" t="e">
        <f t="shared" ref="F107:P107" si="267">F106/F40</f>
        <v>#DIV/0!</v>
      </c>
      <c r="G107" s="152">
        <f t="shared" si="267"/>
        <v>8.7837837837837849E-8</v>
      </c>
      <c r="H107" s="152">
        <f t="shared" si="267"/>
        <v>8.8368580060422963E-8</v>
      </c>
      <c r="I107" s="152">
        <f t="shared" si="267"/>
        <v>0.86246495327102801</v>
      </c>
      <c r="J107" s="152">
        <f t="shared" si="267"/>
        <v>0.62024101382488472</v>
      </c>
      <c r="K107" s="152">
        <f t="shared" si="267"/>
        <v>0.3801886324623307</v>
      </c>
      <c r="L107" s="152">
        <f t="shared" si="267"/>
        <v>9.5925360923965353E-3</v>
      </c>
      <c r="M107" s="152">
        <f t="shared" si="267"/>
        <v>0.2688136406152567</v>
      </c>
      <c r="N107" s="152">
        <f t="shared" si="267"/>
        <v>0.2652183390080059</v>
      </c>
      <c r="O107" s="152">
        <f t="shared" si="267"/>
        <v>0.49973431160400322</v>
      </c>
      <c r="P107" s="152">
        <f t="shared" si="267"/>
        <v>0.59611082046554498</v>
      </c>
      <c r="Q107" s="118">
        <f t="shared" si="216"/>
        <v>4.7421126401029809</v>
      </c>
      <c r="R107" s="20"/>
      <c r="S107" s="152">
        <f t="shared" ref="S107:AB107" si="268">S106/S40</f>
        <v>0.83828084127967284</v>
      </c>
      <c r="T107" s="152">
        <f t="shared" si="268"/>
        <v>0.88019488334365648</v>
      </c>
      <c r="U107" s="152">
        <f t="shared" si="268"/>
        <v>0.92420462751083932</v>
      </c>
      <c r="V107" s="152">
        <f t="shared" si="268"/>
        <v>0.97041485888638124</v>
      </c>
      <c r="W107" s="152">
        <f t="shared" si="268"/>
        <v>1.0189356018307005</v>
      </c>
      <c r="X107" s="152">
        <f t="shared" si="268"/>
        <v>1.0698823819222354</v>
      </c>
      <c r="Y107" s="152">
        <f t="shared" si="268"/>
        <v>1.1233765010183474</v>
      </c>
      <c r="Z107" s="152">
        <f t="shared" si="268"/>
        <v>1.1795453260692648</v>
      </c>
      <c r="AA107" s="152">
        <f t="shared" si="268"/>
        <v>1.2385225923727281</v>
      </c>
      <c r="AB107" s="152">
        <f t="shared" si="268"/>
        <v>1.3004487219913645</v>
      </c>
      <c r="AC107" s="138">
        <f t="shared" si="218"/>
        <v>1.3844602335949467</v>
      </c>
      <c r="AD107" s="20"/>
      <c r="AE107" s="20"/>
    </row>
    <row r="108" spans="2:31" x14ac:dyDescent="0.2">
      <c r="B108" s="20" t="s">
        <v>327</v>
      </c>
      <c r="C108" s="20"/>
      <c r="D108" s="20"/>
      <c r="E108" s="20"/>
      <c r="F108" s="152" t="e">
        <f>1-F107</f>
        <v>#DIV/0!</v>
      </c>
      <c r="G108" s="152">
        <f>1-G107</f>
        <v>0.99999991216216211</v>
      </c>
      <c r="H108" s="152">
        <f t="shared" ref="H108:P108" si="269">1-H107</f>
        <v>0.99999991163141999</v>
      </c>
      <c r="I108" s="152">
        <f t="shared" si="269"/>
        <v>0.13753504672897199</v>
      </c>
      <c r="J108" s="152">
        <f t="shared" si="269"/>
        <v>0.37975898617511528</v>
      </c>
      <c r="K108" s="152">
        <f t="shared" si="269"/>
        <v>0.6198113675376693</v>
      </c>
      <c r="L108" s="152">
        <f t="shared" si="269"/>
        <v>0.99040746390760348</v>
      </c>
      <c r="M108" s="152">
        <f t="shared" si="269"/>
        <v>0.7311863593847433</v>
      </c>
      <c r="N108" s="152">
        <f t="shared" si="269"/>
        <v>0.73478166099199416</v>
      </c>
      <c r="O108" s="152">
        <f t="shared" si="269"/>
        <v>0.50026568839599683</v>
      </c>
      <c r="P108" s="152">
        <f t="shared" si="269"/>
        <v>0.40388917953445502</v>
      </c>
      <c r="Q108" s="118">
        <f t="shared" si="216"/>
        <v>-9.5827358849676303E-2</v>
      </c>
      <c r="R108" s="20"/>
      <c r="S108" s="152">
        <f t="shared" ref="S108:AB108" si="270">1-S107</f>
        <v>0.16171915872032716</v>
      </c>
      <c r="T108" s="152">
        <f t="shared" si="270"/>
        <v>0.11980511665634352</v>
      </c>
      <c r="U108" s="152">
        <f t="shared" si="270"/>
        <v>7.5795372489160684E-2</v>
      </c>
      <c r="V108" s="152">
        <f t="shared" si="270"/>
        <v>2.9585141113618763E-2</v>
      </c>
      <c r="W108" s="152">
        <f t="shared" si="270"/>
        <v>-1.8935601830700532E-2</v>
      </c>
      <c r="X108" s="152">
        <f t="shared" si="270"/>
        <v>-6.9882381922235393E-2</v>
      </c>
      <c r="Y108" s="152">
        <f t="shared" si="270"/>
        <v>-0.12337650101834741</v>
      </c>
      <c r="Z108" s="152">
        <f t="shared" si="270"/>
        <v>-0.17954532606926477</v>
      </c>
      <c r="AA108" s="152">
        <f t="shared" si="270"/>
        <v>-0.2385225923727281</v>
      </c>
      <c r="AB108" s="152">
        <f t="shared" si="270"/>
        <v>-0.30044872199136452</v>
      </c>
      <c r="AC108" s="138">
        <f t="shared" si="218"/>
        <v>-1.9386727958367671</v>
      </c>
      <c r="AD108" s="20"/>
      <c r="AE108" s="20"/>
    </row>
    <row r="109" spans="2:31" x14ac:dyDescent="0.2">
      <c r="B109" s="20"/>
      <c r="C109" s="20"/>
      <c r="D109" s="20"/>
      <c r="E109" s="20"/>
      <c r="F109" s="20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28"/>
      <c r="R109" s="20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28"/>
      <c r="AD109" s="20"/>
      <c r="AE109" s="20"/>
    </row>
    <row r="110" spans="2:31" x14ac:dyDescent="0.2">
      <c r="B110" s="20" t="s">
        <v>331</v>
      </c>
      <c r="C110" s="152"/>
      <c r="D110" s="152"/>
      <c r="E110" s="152"/>
      <c r="F110" s="152" t="e">
        <f>F31/F25</f>
        <v>#DIV/0!</v>
      </c>
      <c r="G110" s="152">
        <f>G31/G25</f>
        <v>0</v>
      </c>
      <c r="H110" s="152">
        <f t="shared" ref="H110:P110" si="271">H31/H25</f>
        <v>0</v>
      </c>
      <c r="I110" s="152">
        <f t="shared" si="271"/>
        <v>0</v>
      </c>
      <c r="J110" s="152">
        <f t="shared" si="271"/>
        <v>0</v>
      </c>
      <c r="K110" s="152">
        <f t="shared" si="271"/>
        <v>0</v>
      </c>
      <c r="L110" s="152">
        <f t="shared" si="271"/>
        <v>0</v>
      </c>
      <c r="M110" s="152">
        <f t="shared" si="271"/>
        <v>0</v>
      </c>
      <c r="N110" s="152">
        <f t="shared" si="271"/>
        <v>0</v>
      </c>
      <c r="O110" s="152">
        <f t="shared" si="271"/>
        <v>0</v>
      </c>
      <c r="P110" s="152">
        <f t="shared" si="271"/>
        <v>0</v>
      </c>
      <c r="Q110" s="118" t="e">
        <f t="shared" si="216"/>
        <v>#DIV/0!</v>
      </c>
      <c r="R110" s="20"/>
      <c r="S110" s="152">
        <f t="shared" ref="S110:AB110" si="272">S31/S25</f>
        <v>0</v>
      </c>
      <c r="T110" s="152">
        <f t="shared" si="272"/>
        <v>0</v>
      </c>
      <c r="U110" s="152">
        <f t="shared" si="272"/>
        <v>0</v>
      </c>
      <c r="V110" s="152">
        <f t="shared" si="272"/>
        <v>0</v>
      </c>
      <c r="W110" s="152">
        <f t="shared" si="272"/>
        <v>0</v>
      </c>
      <c r="X110" s="152">
        <f t="shared" si="272"/>
        <v>0</v>
      </c>
      <c r="Y110" s="152">
        <f t="shared" si="272"/>
        <v>0</v>
      </c>
      <c r="Z110" s="152">
        <f t="shared" si="272"/>
        <v>0</v>
      </c>
      <c r="AA110" s="152">
        <f t="shared" si="272"/>
        <v>0</v>
      </c>
      <c r="AB110" s="152">
        <f t="shared" si="272"/>
        <v>0</v>
      </c>
      <c r="AC110" s="138" t="e">
        <f t="shared" si="218"/>
        <v>#DIV/0!</v>
      </c>
      <c r="AD110" s="20"/>
      <c r="AE110" s="20"/>
    </row>
    <row r="111" spans="2:31" x14ac:dyDescent="0.2">
      <c r="B111" s="20" t="s">
        <v>328</v>
      </c>
      <c r="C111" s="152"/>
      <c r="D111" s="152"/>
      <c r="E111" s="152"/>
      <c r="F111" s="152" t="e">
        <f>F32/F25</f>
        <v>#DIV/0!</v>
      </c>
      <c r="G111" s="152">
        <f>G32/G25</f>
        <v>0</v>
      </c>
      <c r="H111" s="152">
        <f t="shared" ref="H111:P111" si="273">H32/H25</f>
        <v>0</v>
      </c>
      <c r="I111" s="152">
        <f t="shared" si="273"/>
        <v>0</v>
      </c>
      <c r="J111" s="152">
        <f t="shared" si="273"/>
        <v>0</v>
      </c>
      <c r="K111" s="152">
        <f t="shared" si="273"/>
        <v>0</v>
      </c>
      <c r="L111" s="152">
        <f t="shared" si="273"/>
        <v>0</v>
      </c>
      <c r="M111" s="152">
        <f t="shared" si="273"/>
        <v>0</v>
      </c>
      <c r="N111" s="152">
        <f t="shared" si="273"/>
        <v>0</v>
      </c>
      <c r="O111" s="152">
        <f t="shared" si="273"/>
        <v>0</v>
      </c>
      <c r="P111" s="152">
        <f t="shared" si="273"/>
        <v>0</v>
      </c>
      <c r="Q111" s="118" t="e">
        <f t="shared" si="216"/>
        <v>#DIV/0!</v>
      </c>
      <c r="R111" s="20"/>
      <c r="S111" s="152">
        <f t="shared" ref="S111:AB111" si="274">S32/S25</f>
        <v>0</v>
      </c>
      <c r="T111" s="152">
        <f t="shared" si="274"/>
        <v>0</v>
      </c>
      <c r="U111" s="152">
        <f t="shared" si="274"/>
        <v>0</v>
      </c>
      <c r="V111" s="152">
        <f t="shared" si="274"/>
        <v>0</v>
      </c>
      <c r="W111" s="152">
        <f t="shared" si="274"/>
        <v>0</v>
      </c>
      <c r="X111" s="152">
        <f t="shared" si="274"/>
        <v>0</v>
      </c>
      <c r="Y111" s="152">
        <f t="shared" si="274"/>
        <v>0</v>
      </c>
      <c r="Z111" s="152">
        <f t="shared" si="274"/>
        <v>0</v>
      </c>
      <c r="AA111" s="152">
        <f t="shared" si="274"/>
        <v>0</v>
      </c>
      <c r="AB111" s="152">
        <f t="shared" si="274"/>
        <v>0</v>
      </c>
      <c r="AC111" s="138" t="e">
        <f t="shared" si="218"/>
        <v>#DIV/0!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352</v>
      </c>
      <c r="C113" s="20"/>
      <c r="D113" s="20"/>
      <c r="E113" s="20"/>
      <c r="F113" s="20"/>
      <c r="G113" s="152">
        <f>G27/G25</f>
        <v>0.1463013698630137</v>
      </c>
      <c r="H113" s="152">
        <f t="shared" ref="H113:P113" si="275">H27/H25</f>
        <v>0.17052980132450332</v>
      </c>
      <c r="I113" s="152">
        <f t="shared" si="275"/>
        <v>0.33892754809660253</v>
      </c>
      <c r="J113" s="152">
        <f t="shared" si="275"/>
        <v>9.4590767487963745E-2</v>
      </c>
      <c r="K113" s="152">
        <f t="shared" si="275"/>
        <v>0.73682463486875704</v>
      </c>
      <c r="L113" s="152">
        <f t="shared" si="275"/>
        <v>0.81128808205362413</v>
      </c>
      <c r="M113" s="152">
        <f t="shared" si="275"/>
        <v>0.6911462023821574</v>
      </c>
      <c r="N113" s="152">
        <f t="shared" si="275"/>
        <v>0.67404040762702833</v>
      </c>
      <c r="O113" s="152">
        <f t="shared" si="275"/>
        <v>0.66989808247217519</v>
      </c>
      <c r="P113" s="152">
        <f t="shared" si="275"/>
        <v>0.64953301547906739</v>
      </c>
      <c r="Q113" s="118">
        <f t="shared" si="216"/>
        <v>0.18012522421910693</v>
      </c>
      <c r="R113" s="20"/>
      <c r="S113" s="152">
        <f t="shared" ref="S113:AB113" si="276">S27/S25</f>
        <v>0.64953301547906739</v>
      </c>
      <c r="T113" s="152">
        <f t="shared" si="276"/>
        <v>0.64953301547906739</v>
      </c>
      <c r="U113" s="152">
        <f t="shared" si="276"/>
        <v>0.64953301547906728</v>
      </c>
      <c r="V113" s="152">
        <f t="shared" si="276"/>
        <v>0.64953301547906728</v>
      </c>
      <c r="W113" s="152">
        <f t="shared" si="276"/>
        <v>0.64953301547906728</v>
      </c>
      <c r="X113" s="152">
        <f t="shared" si="276"/>
        <v>0.64953301547906728</v>
      </c>
      <c r="Y113" s="152">
        <f t="shared" si="276"/>
        <v>0.64953301547906728</v>
      </c>
      <c r="Z113" s="152">
        <f t="shared" si="276"/>
        <v>0.64953301547906728</v>
      </c>
      <c r="AA113" s="152">
        <f t="shared" si="276"/>
        <v>0.64953301547906728</v>
      </c>
      <c r="AB113" s="152">
        <f t="shared" si="276"/>
        <v>0.64953301547906728</v>
      </c>
      <c r="AC113" s="138">
        <f t="shared" si="218"/>
        <v>8.1611265536028377E-2</v>
      </c>
      <c r="AD113" s="20"/>
      <c r="AE113" s="20"/>
    </row>
    <row r="114" spans="2:31" x14ac:dyDescent="0.2">
      <c r="B114" s="20" t="str">
        <f>B33</f>
        <v>Top Expenses ( Empl )</v>
      </c>
      <c r="C114" s="20"/>
      <c r="D114" s="20"/>
      <c r="E114" s="20"/>
      <c r="F114" s="20"/>
      <c r="G114" s="152">
        <f>G33/G25</f>
        <v>5.8630136986301373E-2</v>
      </c>
      <c r="H114" s="152">
        <f t="shared" ref="H114:P114" si="277">H33/H25</f>
        <v>6.1810154525386317E-2</v>
      </c>
      <c r="I114" s="152">
        <f t="shared" si="277"/>
        <v>4.8710601719197708E-2</v>
      </c>
      <c r="J114" s="152">
        <f t="shared" si="277"/>
        <v>3.6816765788728403E-2</v>
      </c>
      <c r="K114" s="152">
        <f t="shared" si="277"/>
        <v>0.32261771014196711</v>
      </c>
      <c r="L114" s="152">
        <f t="shared" si="277"/>
        <v>0.39165762782820496</v>
      </c>
      <c r="M114" s="152">
        <f t="shared" si="277"/>
        <v>0.29618382427371193</v>
      </c>
      <c r="N114" s="152">
        <f t="shared" si="277"/>
        <v>0.33609700671093279</v>
      </c>
      <c r="O114" s="152">
        <f t="shared" si="277"/>
        <v>0.35895722875296726</v>
      </c>
      <c r="P114" s="152">
        <f t="shared" si="277"/>
        <v>0.35686761152112861</v>
      </c>
      <c r="Q114" s="118">
        <f t="shared" si="216"/>
        <v>0.22223305527948289</v>
      </c>
      <c r="R114" s="20"/>
      <c r="S114" s="152">
        <f t="shared" ref="S114:AB114" si="278">S33/S25</f>
        <v>0.35686761152112861</v>
      </c>
      <c r="T114" s="152">
        <f t="shared" si="278"/>
        <v>0.35686761152112861</v>
      </c>
      <c r="U114" s="152">
        <f t="shared" si="278"/>
        <v>0.35686761152112856</v>
      </c>
      <c r="V114" s="152">
        <f t="shared" si="278"/>
        <v>0.35686761152112856</v>
      </c>
      <c r="W114" s="152">
        <f t="shared" si="278"/>
        <v>0.35686761152112856</v>
      </c>
      <c r="X114" s="152">
        <f t="shared" si="278"/>
        <v>0.35686761152112856</v>
      </c>
      <c r="Y114" s="152">
        <f t="shared" si="278"/>
        <v>0.3568676115211285</v>
      </c>
      <c r="Z114" s="152">
        <f t="shared" si="278"/>
        <v>0.35686761152112856</v>
      </c>
      <c r="AA114" s="152">
        <f t="shared" si="278"/>
        <v>0.35686761152112856</v>
      </c>
      <c r="AB114" s="152">
        <f t="shared" si="278"/>
        <v>0.35686761152112856</v>
      </c>
      <c r="AC114" s="138">
        <f t="shared" si="218"/>
        <v>9.9723449219081717E-2</v>
      </c>
      <c r="AD114" s="20"/>
      <c r="AE114" s="20"/>
    </row>
    <row r="115" spans="2:31" x14ac:dyDescent="0.2">
      <c r="B115" s="20" t="str">
        <f>B34</f>
        <v>2nd highest Expenses Comp. ( Raw material )</v>
      </c>
      <c r="C115" s="20"/>
      <c r="D115" s="20"/>
      <c r="E115" s="20"/>
      <c r="F115" s="20"/>
      <c r="G115" s="152">
        <f>G34/G25</f>
        <v>3.4904109589041095E-3</v>
      </c>
      <c r="H115" s="152">
        <f t="shared" ref="H115:P115" si="279">H34/H25</f>
        <v>3.8631346578366448E-3</v>
      </c>
      <c r="I115" s="152">
        <f t="shared" si="279"/>
        <v>2.8653295128939827E-3</v>
      </c>
      <c r="J115" s="152">
        <f t="shared" si="279"/>
        <v>1.9824412347776836E-3</v>
      </c>
      <c r="K115" s="152">
        <f t="shared" si="279"/>
        <v>0.16160249208456745</v>
      </c>
      <c r="L115" s="152">
        <f t="shared" si="279"/>
        <v>0.13059694392114327</v>
      </c>
      <c r="M115" s="152">
        <f t="shared" si="279"/>
        <v>0.11654350980193677</v>
      </c>
      <c r="N115" s="152">
        <f t="shared" si="279"/>
        <v>9.3597983169406665E-2</v>
      </c>
      <c r="O115" s="152">
        <f t="shared" si="279"/>
        <v>7.823627240550951E-2</v>
      </c>
      <c r="P115" s="152">
        <f t="shared" si="279"/>
        <v>7.9184899745281173E-2</v>
      </c>
      <c r="Q115" s="118">
        <f t="shared" si="216"/>
        <v>0.41462277331525654</v>
      </c>
      <c r="R115" s="20"/>
      <c r="S115" s="152">
        <f t="shared" ref="S115:AB115" si="280">S34/S25</f>
        <v>7.9184899745281173E-2</v>
      </c>
      <c r="T115" s="152">
        <f t="shared" si="280"/>
        <v>7.9184899745281173E-2</v>
      </c>
      <c r="U115" s="152">
        <f t="shared" si="280"/>
        <v>7.9184899745281159E-2</v>
      </c>
      <c r="V115" s="152">
        <f t="shared" si="280"/>
        <v>7.9184899745281159E-2</v>
      </c>
      <c r="W115" s="152">
        <f t="shared" si="280"/>
        <v>7.9184899745281159E-2</v>
      </c>
      <c r="X115" s="152">
        <f t="shared" si="280"/>
        <v>7.9184899745281159E-2</v>
      </c>
      <c r="Y115" s="152">
        <f t="shared" si="280"/>
        <v>7.9184899745281159E-2</v>
      </c>
      <c r="Z115" s="152">
        <f t="shared" si="280"/>
        <v>7.9184899745281159E-2</v>
      </c>
      <c r="AA115" s="152">
        <f t="shared" si="280"/>
        <v>7.9184899745281159E-2</v>
      </c>
      <c r="AB115" s="152">
        <f t="shared" si="280"/>
        <v>7.9184899745281159E-2</v>
      </c>
      <c r="AC115" s="138">
        <f t="shared" si="218"/>
        <v>0.17857193497122759</v>
      </c>
      <c r="AD115" s="20"/>
      <c r="AE115" s="20"/>
    </row>
    <row r="116" spans="2:31" x14ac:dyDescent="0.2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128"/>
      <c r="R116" s="128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39"/>
      <c r="AD116" s="20"/>
      <c r="AE116" s="20"/>
    </row>
    <row r="117" spans="2:31" x14ac:dyDescent="0.2">
      <c r="B117" s="108" t="s">
        <v>360</v>
      </c>
      <c r="C117" s="20"/>
      <c r="D117" s="20"/>
      <c r="E117" s="20"/>
      <c r="F117" s="20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118"/>
      <c r="R117" s="128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138"/>
      <c r="AD117" s="20"/>
      <c r="AE117" s="20"/>
    </row>
    <row r="118" spans="2:31" x14ac:dyDescent="0.2">
      <c r="B118" s="20" t="s">
        <v>363</v>
      </c>
      <c r="C118" s="20"/>
      <c r="D118" s="20"/>
      <c r="E118" s="20"/>
      <c r="F118" s="20"/>
      <c r="G118" s="25">
        <f>G15/G9</f>
        <v>0.28831103256753343</v>
      </c>
      <c r="H118" s="25">
        <f t="shared" ref="H118:AB118" si="281">H15/H9</f>
        <v>0.61826024442846872</v>
      </c>
      <c r="I118" s="25">
        <f t="shared" si="281"/>
        <v>0.63752477427879317</v>
      </c>
      <c r="J118" s="25">
        <f t="shared" si="281"/>
        <v>2.5459375691830863E-2</v>
      </c>
      <c r="K118" s="25">
        <f t="shared" si="281"/>
        <v>1.5645947409591432</v>
      </c>
      <c r="L118" s="25">
        <f t="shared" si="281"/>
        <v>0.32997152921874245</v>
      </c>
      <c r="M118" s="25">
        <f t="shared" si="281"/>
        <v>0.36370479093748825</v>
      </c>
      <c r="N118" s="25">
        <f t="shared" si="281"/>
        <v>3.3619579218548732</v>
      </c>
      <c r="O118" s="25">
        <f t="shared" si="281"/>
        <v>3.286701127819549</v>
      </c>
      <c r="P118" s="25">
        <f t="shared" si="281"/>
        <v>3.8474459724950885</v>
      </c>
      <c r="Q118" s="118">
        <f t="shared" si="216"/>
        <v>0.33362763243555782</v>
      </c>
      <c r="R118" s="20"/>
      <c r="S118" s="20">
        <f t="shared" si="281"/>
        <v>3.8474459724950885</v>
      </c>
      <c r="T118" s="20">
        <f t="shared" si="281"/>
        <v>3.8474459724950885</v>
      </c>
      <c r="U118" s="20">
        <f t="shared" si="281"/>
        <v>3.8474459724950885</v>
      </c>
      <c r="V118" s="20">
        <f t="shared" si="281"/>
        <v>3.8474459724950885</v>
      </c>
      <c r="W118" s="20">
        <f t="shared" si="281"/>
        <v>3.8474459724950885</v>
      </c>
      <c r="X118" s="20">
        <f t="shared" si="281"/>
        <v>3.8474459724950889</v>
      </c>
      <c r="Y118" s="20">
        <f t="shared" si="281"/>
        <v>3.8474459724950885</v>
      </c>
      <c r="Z118" s="20">
        <f t="shared" si="281"/>
        <v>3.8474459724950885</v>
      </c>
      <c r="AA118" s="20">
        <f t="shared" si="281"/>
        <v>3.8474459724950885</v>
      </c>
      <c r="AB118" s="20">
        <f t="shared" si="281"/>
        <v>3.847445972495088</v>
      </c>
      <c r="AC118" s="138">
        <f t="shared" si="218"/>
        <v>0.14611160196339101</v>
      </c>
      <c r="AD118" s="20"/>
      <c r="AE118" s="20"/>
    </row>
    <row r="119" spans="2:31" x14ac:dyDescent="0.2">
      <c r="B119" s="20" t="s">
        <v>353</v>
      </c>
      <c r="C119" s="20"/>
      <c r="D119" s="20"/>
      <c r="E119" s="20"/>
      <c r="F119" s="20"/>
      <c r="G119" s="25">
        <f>G12/G9</f>
        <v>0.27947488008078769</v>
      </c>
      <c r="H119" s="25">
        <f t="shared" ref="H119:P119" si="282">H12/H9</f>
        <v>0.60675772825305541</v>
      </c>
      <c r="I119" s="25">
        <f t="shared" si="282"/>
        <v>0.63047786831094477</v>
      </c>
      <c r="J119" s="25">
        <f t="shared" si="282"/>
        <v>0.82532654416648221</v>
      </c>
      <c r="K119" s="25">
        <f t="shared" si="282"/>
        <v>1.2612672242613876</v>
      </c>
      <c r="L119" s="25">
        <f t="shared" si="282"/>
        <v>1.4329006417989674</v>
      </c>
      <c r="M119" s="25">
        <f t="shared" si="282"/>
        <v>1.4706258703097361</v>
      </c>
      <c r="N119" s="25">
        <f t="shared" si="282"/>
        <v>2.8096669324664174</v>
      </c>
      <c r="O119" s="25">
        <f t="shared" si="282"/>
        <v>2.7350563909774435</v>
      </c>
      <c r="P119" s="25">
        <f t="shared" si="282"/>
        <v>3.0567779960707271</v>
      </c>
      <c r="Q119" s="118">
        <f t="shared" si="216"/>
        <v>0.30447475865214058</v>
      </c>
      <c r="R119" s="128"/>
      <c r="S119" s="20">
        <f t="shared" ref="S119:AB119" si="283">S12/S9</f>
        <v>3.0567779960707271</v>
      </c>
      <c r="T119" s="20">
        <f t="shared" si="283"/>
        <v>3.0567779960707275</v>
      </c>
      <c r="U119" s="20">
        <f t="shared" si="283"/>
        <v>3.0567779960707275</v>
      </c>
      <c r="V119" s="20">
        <f t="shared" si="283"/>
        <v>3.0567779960707275</v>
      </c>
      <c r="W119" s="20">
        <f t="shared" si="283"/>
        <v>3.0567779960707275</v>
      </c>
      <c r="X119" s="20">
        <f t="shared" si="283"/>
        <v>3.0567779960707275</v>
      </c>
      <c r="Y119" s="20">
        <f t="shared" si="283"/>
        <v>3.0567779960707271</v>
      </c>
      <c r="Z119" s="20">
        <f t="shared" si="283"/>
        <v>3.0567779960707271</v>
      </c>
      <c r="AA119" s="20">
        <f t="shared" si="283"/>
        <v>3.0567779960707271</v>
      </c>
      <c r="AB119" s="20">
        <f t="shared" si="283"/>
        <v>3.0567779960707271</v>
      </c>
      <c r="AC119" s="118">
        <f t="shared" ref="AC119" si="284">((AB119/S119)^(1/($H$2-$H$1) ))-1</f>
        <v>0</v>
      </c>
      <c r="AD119" s="20"/>
      <c r="AE119" s="20"/>
    </row>
    <row r="120" spans="2:31" x14ac:dyDescent="0.2">
      <c r="B120" s="20" t="s">
        <v>355</v>
      </c>
      <c r="C120" s="20"/>
      <c r="D120" s="20"/>
      <c r="E120" s="20"/>
      <c r="F120" s="20"/>
      <c r="G120" s="25">
        <f>G25/360</f>
        <v>5.0694444444444446</v>
      </c>
      <c r="H120" s="25">
        <f t="shared" ref="H120:P120" si="285">H25/360</f>
        <v>5.0333333333333332</v>
      </c>
      <c r="I120" s="25">
        <f t="shared" si="285"/>
        <v>6.7861111111111114</v>
      </c>
      <c r="J120" s="25">
        <f t="shared" si="285"/>
        <v>9.8083333333333336</v>
      </c>
      <c r="K120" s="25">
        <f t="shared" si="285"/>
        <v>108.78888888888889</v>
      </c>
      <c r="L120" s="25">
        <f t="shared" si="285"/>
        <v>145.97499999999999</v>
      </c>
      <c r="M120" s="25">
        <f t="shared" si="285"/>
        <v>164.65</v>
      </c>
      <c r="N120" s="25">
        <f t="shared" si="285"/>
        <v>156.46111111111111</v>
      </c>
      <c r="O120" s="25">
        <f t="shared" si="285"/>
        <v>195.41944444444445</v>
      </c>
      <c r="P120" s="25">
        <f t="shared" si="285"/>
        <v>212.65277777777777</v>
      </c>
      <c r="Q120" s="118">
        <f t="shared" si="216"/>
        <v>0.51461128388680955</v>
      </c>
      <c r="R120" s="128"/>
      <c r="S120" s="25">
        <f t="shared" ref="S120:AB120" si="286">S25/360</f>
        <v>238.17111111111112</v>
      </c>
      <c r="T120" s="25">
        <f t="shared" si="286"/>
        <v>266.75164444444448</v>
      </c>
      <c r="U120" s="25">
        <f t="shared" si="286"/>
        <v>298.76184177777787</v>
      </c>
      <c r="V120" s="25">
        <f t="shared" si="286"/>
        <v>334.61326279111125</v>
      </c>
      <c r="W120" s="25">
        <f t="shared" si="286"/>
        <v>374.76685432604467</v>
      </c>
      <c r="X120" s="25">
        <f t="shared" si="286"/>
        <v>419.73887684517007</v>
      </c>
      <c r="Y120" s="25">
        <f t="shared" si="286"/>
        <v>470.10754206659055</v>
      </c>
      <c r="Z120" s="25">
        <f t="shared" si="286"/>
        <v>526.52044711458143</v>
      </c>
      <c r="AA120" s="25">
        <f t="shared" si="286"/>
        <v>589.70290076833135</v>
      </c>
      <c r="AB120" s="25">
        <f t="shared" si="286"/>
        <v>660.46724886053119</v>
      </c>
      <c r="AC120" s="118">
        <f t="shared" ref="AC120:AC131" si="287">((AB120/S120)^(1/($H$2-$H$1) ))-1</f>
        <v>0.12000000000000011</v>
      </c>
      <c r="AD120" s="20"/>
      <c r="AE120" s="20"/>
    </row>
    <row r="121" spans="2:31" x14ac:dyDescent="0.2">
      <c r="B121" s="20" t="s">
        <v>354</v>
      </c>
      <c r="C121" s="20"/>
      <c r="D121" s="20"/>
      <c r="E121" s="20"/>
      <c r="F121" s="20"/>
      <c r="G121" s="25">
        <f>G27/360</f>
        <v>0.7416666666666667</v>
      </c>
      <c r="H121" s="25">
        <f t="shared" ref="H121:P121" si="288">H27/360</f>
        <v>0.85833333333333328</v>
      </c>
      <c r="I121" s="25">
        <f t="shared" si="288"/>
        <v>2.2999999999999998</v>
      </c>
      <c r="J121" s="25">
        <f t="shared" si="288"/>
        <v>0.92777777777777781</v>
      </c>
      <c r="K121" s="25">
        <f t="shared" si="288"/>
        <v>80.158333333333331</v>
      </c>
      <c r="L121" s="25">
        <f t="shared" si="288"/>
        <v>118.42777777777778</v>
      </c>
      <c r="M121" s="25">
        <f t="shared" si="288"/>
        <v>113.79722222222222</v>
      </c>
      <c r="N121" s="25">
        <f t="shared" si="288"/>
        <v>105.46111111111111</v>
      </c>
      <c r="O121" s="25">
        <f t="shared" si="288"/>
        <v>130.9111111111111</v>
      </c>
      <c r="P121" s="25">
        <f t="shared" si="288"/>
        <v>138.125</v>
      </c>
      <c r="Q121" s="118">
        <f t="shared" si="216"/>
        <v>0.78743098100171016</v>
      </c>
      <c r="R121" s="128"/>
      <c r="S121" s="25">
        <f t="shared" ref="S121:AB121" si="289">S27/360</f>
        <v>154.70000000000002</v>
      </c>
      <c r="T121" s="25">
        <f t="shared" si="289"/>
        <v>173.26400000000004</v>
      </c>
      <c r="U121" s="25">
        <f t="shared" si="289"/>
        <v>194.05568000000005</v>
      </c>
      <c r="V121" s="25">
        <f t="shared" si="289"/>
        <v>217.34236160000009</v>
      </c>
      <c r="W121" s="25">
        <f t="shared" si="289"/>
        <v>243.42344499200013</v>
      </c>
      <c r="X121" s="25">
        <f t="shared" si="289"/>
        <v>272.63425839104013</v>
      </c>
      <c r="Y121" s="25">
        <f t="shared" si="289"/>
        <v>305.35036939796504</v>
      </c>
      <c r="Z121" s="25">
        <f t="shared" si="289"/>
        <v>341.99241372572084</v>
      </c>
      <c r="AA121" s="25">
        <f t="shared" si="289"/>
        <v>383.03150337280744</v>
      </c>
      <c r="AB121" s="25">
        <f t="shared" si="289"/>
        <v>428.99528377754439</v>
      </c>
      <c r="AC121" s="118">
        <f t="shared" si="287"/>
        <v>0.12000000000000011</v>
      </c>
      <c r="AD121" s="20"/>
      <c r="AE121" s="20"/>
    </row>
    <row r="122" spans="2:31" x14ac:dyDescent="0.2">
      <c r="B122" s="20"/>
      <c r="C122" s="20"/>
      <c r="D122" s="20"/>
      <c r="E122" s="20"/>
      <c r="F122" s="20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128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128"/>
      <c r="AD122" s="20"/>
      <c r="AE122" s="20"/>
    </row>
    <row r="123" spans="2:31" x14ac:dyDescent="0.2">
      <c r="B123" s="20" t="s">
        <v>364</v>
      </c>
      <c r="C123" s="20"/>
      <c r="D123" s="20"/>
      <c r="E123" s="20"/>
      <c r="F123" s="20"/>
      <c r="G123" s="25">
        <f>G10/G7</f>
        <v>0.26028668660410437</v>
      </c>
      <c r="H123" s="25">
        <f t="shared" ref="H123:P123" si="290">H10/H7</f>
        <v>0.21805478948336091</v>
      </c>
      <c r="I123" s="25">
        <f t="shared" si="290"/>
        <v>0.16744555153866503</v>
      </c>
      <c r="J123" s="25">
        <f t="shared" si="290"/>
        <v>0.13007744586691955</v>
      </c>
      <c r="K123" s="25">
        <f t="shared" si="290"/>
        <v>9.2862776025236599E-2</v>
      </c>
      <c r="L123" s="25">
        <f t="shared" si="290"/>
        <v>0.1053560918187169</v>
      </c>
      <c r="M123" s="25">
        <f t="shared" si="290"/>
        <v>7.6488706365503076E-2</v>
      </c>
      <c r="N123" s="25">
        <f t="shared" si="290"/>
        <v>4.1003782193672331E-2</v>
      </c>
      <c r="O123" s="25">
        <f t="shared" si="290"/>
        <v>3.2951820631349965E-2</v>
      </c>
      <c r="P123" s="25">
        <f t="shared" si="290"/>
        <v>2.2240102329227785E-2</v>
      </c>
      <c r="Q123" s="118">
        <f t="shared" si="216"/>
        <v>-0.23915128053385626</v>
      </c>
      <c r="R123" s="128"/>
      <c r="S123" s="25">
        <f t="shared" ref="S123:AB123" si="291">S10/S7</f>
        <v>2.2240102329227785E-2</v>
      </c>
      <c r="T123" s="25">
        <f t="shared" si="291"/>
        <v>2.2240102329227789E-2</v>
      </c>
      <c r="U123" s="25">
        <f t="shared" si="291"/>
        <v>2.2240102329227789E-2</v>
      </c>
      <c r="V123" s="25">
        <f t="shared" si="291"/>
        <v>2.2240102329227789E-2</v>
      </c>
      <c r="W123" s="25">
        <f t="shared" si="291"/>
        <v>2.2240102329227785E-2</v>
      </c>
      <c r="X123" s="25">
        <f t="shared" si="291"/>
        <v>2.2240102329227785E-2</v>
      </c>
      <c r="Y123" s="25">
        <f t="shared" si="291"/>
        <v>2.2240102329227785E-2</v>
      </c>
      <c r="Z123" s="25">
        <f t="shared" si="291"/>
        <v>2.2240102329227785E-2</v>
      </c>
      <c r="AA123" s="25">
        <f t="shared" si="291"/>
        <v>2.2240102329227785E-2</v>
      </c>
      <c r="AB123" s="25">
        <f t="shared" si="291"/>
        <v>2.2240102329227785E-2</v>
      </c>
      <c r="AC123" s="118">
        <f t="shared" si="287"/>
        <v>0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G10/(G10+G7)</f>
        <v>0.20652974388347925</v>
      </c>
      <c r="H124" s="25">
        <f t="shared" ref="H124:P124" si="292">H10/(H10+H7)</f>
        <v>0.17901886792452831</v>
      </c>
      <c r="I124" s="25">
        <f t="shared" si="292"/>
        <v>0.14342900302114803</v>
      </c>
      <c r="J124" s="25">
        <f t="shared" si="292"/>
        <v>0.11510489510489511</v>
      </c>
      <c r="K124" s="25">
        <f t="shared" si="292"/>
        <v>8.497203680317518E-2</v>
      </c>
      <c r="L124" s="25">
        <f t="shared" si="292"/>
        <v>9.5314164004259849E-2</v>
      </c>
      <c r="M124" s="25">
        <f t="shared" si="292"/>
        <v>7.1053886504530275E-2</v>
      </c>
      <c r="N124" s="25">
        <f t="shared" si="292"/>
        <v>3.9388696655132643E-2</v>
      </c>
      <c r="O124" s="25">
        <f t="shared" si="292"/>
        <v>3.1900636576843916E-2</v>
      </c>
      <c r="P124" s="25">
        <f t="shared" si="292"/>
        <v>2.175624129649438E-2</v>
      </c>
      <c r="Q124" s="118">
        <f t="shared" si="216"/>
        <v>-0.22124626958384852</v>
      </c>
      <c r="R124" s="128"/>
      <c r="S124" s="25">
        <f t="shared" ref="S124:AB124" si="293">S10/(S10+S7)</f>
        <v>2.175624129649438E-2</v>
      </c>
      <c r="T124" s="25">
        <f t="shared" si="293"/>
        <v>2.1756241296494384E-2</v>
      </c>
      <c r="U124" s="25">
        <f t="shared" si="293"/>
        <v>2.1756241296494384E-2</v>
      </c>
      <c r="V124" s="25">
        <f t="shared" si="293"/>
        <v>2.175624129649438E-2</v>
      </c>
      <c r="W124" s="25">
        <f t="shared" si="293"/>
        <v>2.175624129649438E-2</v>
      </c>
      <c r="X124" s="25">
        <f t="shared" si="293"/>
        <v>2.175624129649438E-2</v>
      </c>
      <c r="Y124" s="25">
        <f t="shared" si="293"/>
        <v>2.1756241296494377E-2</v>
      </c>
      <c r="Z124" s="25">
        <f t="shared" si="293"/>
        <v>2.175624129649438E-2</v>
      </c>
      <c r="AA124" s="25">
        <f t="shared" si="293"/>
        <v>2.175624129649438E-2</v>
      </c>
      <c r="AB124" s="25">
        <f t="shared" si="293"/>
        <v>2.175624129649438E-2</v>
      </c>
      <c r="AC124" s="118">
        <f t="shared" si="287"/>
        <v>0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128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37"/>
      <c r="AD125" s="20"/>
      <c r="AE125" s="20"/>
    </row>
    <row r="126" spans="2:31" x14ac:dyDescent="0.2">
      <c r="B126" s="20" t="s">
        <v>361</v>
      </c>
      <c r="C126" s="20"/>
      <c r="D126" s="20"/>
      <c r="E126" s="20"/>
      <c r="F126" s="20"/>
      <c r="G126" s="25">
        <f>G16</f>
        <v>972</v>
      </c>
      <c r="H126" s="25">
        <f t="shared" ref="H126:P126" si="294">H16</f>
        <v>372</v>
      </c>
      <c r="I126" s="25">
        <f t="shared" si="294"/>
        <v>2545</v>
      </c>
      <c r="J126" s="25">
        <f t="shared" si="294"/>
        <v>7891</v>
      </c>
      <c r="K126" s="25">
        <f t="shared" si="294"/>
        <v>8421</v>
      </c>
      <c r="L126" s="25">
        <f t="shared" si="294"/>
        <v>8188</v>
      </c>
      <c r="M126" s="25">
        <f t="shared" si="294"/>
        <v>13949</v>
      </c>
      <c r="N126" s="25">
        <f t="shared" si="294"/>
        <v>18749</v>
      </c>
      <c r="O126" s="25">
        <f t="shared" si="294"/>
        <v>23514</v>
      </c>
      <c r="P126" s="25">
        <f t="shared" si="294"/>
        <v>30256</v>
      </c>
      <c r="Q126" s="118">
        <f t="shared" si="216"/>
        <v>0.46522738633113248</v>
      </c>
      <c r="R126" s="128"/>
      <c r="S126" s="25">
        <f t="shared" ref="S126:AB126" si="295">S16</f>
        <v>33886.720000000001</v>
      </c>
      <c r="T126" s="25">
        <f t="shared" si="295"/>
        <v>37953.126400000008</v>
      </c>
      <c r="U126" s="25">
        <f t="shared" si="295"/>
        <v>42507.501568000014</v>
      </c>
      <c r="V126" s="25">
        <f t="shared" si="295"/>
        <v>47608.401756160019</v>
      </c>
      <c r="W126" s="25">
        <f t="shared" si="295"/>
        <v>53321.409966899228</v>
      </c>
      <c r="X126" s="25">
        <f t="shared" si="295"/>
        <v>59719.979162927142</v>
      </c>
      <c r="Y126" s="25">
        <f t="shared" si="295"/>
        <v>66886.376662478404</v>
      </c>
      <c r="Z126" s="25">
        <f t="shared" si="295"/>
        <v>74912.741861975825</v>
      </c>
      <c r="AA126" s="25">
        <f t="shared" si="295"/>
        <v>83902.270885412931</v>
      </c>
      <c r="AB126" s="25">
        <f t="shared" si="295"/>
        <v>93970.54339166249</v>
      </c>
      <c r="AC126" s="118">
        <f t="shared" si="287"/>
        <v>0.12000000000000011</v>
      </c>
      <c r="AD126" s="20"/>
      <c r="AE126" s="20"/>
    </row>
    <row r="127" spans="2:31" x14ac:dyDescent="0.2">
      <c r="B127" s="20" t="s">
        <v>362</v>
      </c>
      <c r="C127" s="20"/>
      <c r="D127" s="20"/>
      <c r="E127" s="20"/>
      <c r="F127" s="20"/>
      <c r="G127" s="119">
        <f t="shared" ref="G127:P127" si="296">G126*365/G25</f>
        <v>194.4</v>
      </c>
      <c r="H127" s="119">
        <f t="shared" si="296"/>
        <v>74.933774834437088</v>
      </c>
      <c r="I127" s="119">
        <f t="shared" si="296"/>
        <v>380.23945968072042</v>
      </c>
      <c r="J127" s="119">
        <f t="shared" si="296"/>
        <v>815.6938544321722</v>
      </c>
      <c r="K127" s="119">
        <f t="shared" si="296"/>
        <v>78.481896639771222</v>
      </c>
      <c r="L127" s="119">
        <f t="shared" si="296"/>
        <v>56.870849270232725</v>
      </c>
      <c r="M127" s="119">
        <f t="shared" si="296"/>
        <v>85.895755305867667</v>
      </c>
      <c r="N127" s="119">
        <f t="shared" si="296"/>
        <v>121.49602315094273</v>
      </c>
      <c r="O127" s="119">
        <f t="shared" si="296"/>
        <v>121.99698653892624</v>
      </c>
      <c r="P127" s="119">
        <f t="shared" si="296"/>
        <v>144.25498007968127</v>
      </c>
      <c r="Q127" s="118">
        <f t="shared" si="216"/>
        <v>-3.2604997784611567E-2</v>
      </c>
      <c r="R127" s="128"/>
      <c r="S127" s="119">
        <f t="shared" ref="S127:AB127" si="297">S126*365/S25</f>
        <v>144.25498007968127</v>
      </c>
      <c r="T127" s="119">
        <f t="shared" si="297"/>
        <v>144.25498007968127</v>
      </c>
      <c r="U127" s="119">
        <f t="shared" si="297"/>
        <v>144.25498007968127</v>
      </c>
      <c r="V127" s="119">
        <f t="shared" si="297"/>
        <v>144.25498007968127</v>
      </c>
      <c r="W127" s="119">
        <f t="shared" si="297"/>
        <v>144.25498007968127</v>
      </c>
      <c r="X127" s="119">
        <f t="shared" si="297"/>
        <v>144.25498007968127</v>
      </c>
      <c r="Y127" s="119">
        <f t="shared" si="297"/>
        <v>144.25498007968125</v>
      </c>
      <c r="Z127" s="119">
        <f t="shared" si="297"/>
        <v>144.25498007968127</v>
      </c>
      <c r="AA127" s="119">
        <f t="shared" si="297"/>
        <v>144.25498007968125</v>
      </c>
      <c r="AB127" s="119">
        <f t="shared" si="297"/>
        <v>144.25498007968125</v>
      </c>
      <c r="AC127" s="118">
        <f t="shared" si="287"/>
        <v>0</v>
      </c>
      <c r="AD127" s="20"/>
      <c r="AE127" s="20"/>
    </row>
    <row r="128" spans="2:31" x14ac:dyDescent="0.2">
      <c r="B128" s="20" t="s">
        <v>365</v>
      </c>
      <c r="C128" s="20"/>
      <c r="D128" s="20"/>
      <c r="E128" s="20"/>
      <c r="F128" s="20"/>
      <c r="G128" s="133">
        <f>G75/G29</f>
        <v>-78.723404255319153</v>
      </c>
      <c r="H128" s="133">
        <f t="shared" ref="H128:P128" si="298">H75/H29</f>
        <v>-117.71428571428571</v>
      </c>
      <c r="I128" s="133">
        <f t="shared" si="298"/>
        <v>-0.59869695368902975</v>
      </c>
      <c r="J128" s="133">
        <f t="shared" si="298"/>
        <v>-6.4769516984772277E-2</v>
      </c>
      <c r="K128" s="133">
        <f t="shared" si="298"/>
        <v>4.2472266244057062</v>
      </c>
      <c r="L128" s="133">
        <f t="shared" si="298"/>
        <v>2.9582673005810882</v>
      </c>
      <c r="M128" s="133">
        <f t="shared" si="298"/>
        <v>7.5821648861161509E-2</v>
      </c>
      <c r="N128" s="133">
        <f t="shared" si="298"/>
        <v>0.28833592708012862</v>
      </c>
      <c r="O128" s="133">
        <f t="shared" si="298"/>
        <v>0.45933478401853878</v>
      </c>
      <c r="P128" s="133">
        <f t="shared" si="298"/>
        <v>0.63620227735295098</v>
      </c>
      <c r="Q128" s="118">
        <f t="shared" si="216"/>
        <v>-1.5854624411534242</v>
      </c>
      <c r="R128" s="128"/>
      <c r="S128" s="133">
        <f t="shared" ref="S128:AB128" si="299">S75/S29</f>
        <v>0.42413485156863406</v>
      </c>
      <c r="T128" s="133">
        <f t="shared" si="299"/>
        <v>0.37869183175770887</v>
      </c>
      <c r="U128" s="133">
        <f t="shared" si="299"/>
        <v>0.33811770692652576</v>
      </c>
      <c r="V128" s="133">
        <f t="shared" si="299"/>
        <v>0.30189080975582655</v>
      </c>
      <c r="W128" s="133">
        <f t="shared" si="299"/>
        <v>0.26954536585341654</v>
      </c>
      <c r="X128" s="133">
        <f t="shared" si="299"/>
        <v>0.24066550522626476</v>
      </c>
      <c r="Y128" s="133">
        <f t="shared" si="299"/>
        <v>0.21487991538059351</v>
      </c>
      <c r="Z128" s="133">
        <f t="shared" si="299"/>
        <v>0.19185706730410135</v>
      </c>
      <c r="AA128" s="133">
        <f t="shared" si="299"/>
        <v>0.17130095295009046</v>
      </c>
      <c r="AB128" s="133">
        <f t="shared" si="299"/>
        <v>0.15294727941972361</v>
      </c>
      <c r="AC128" s="118">
        <f t="shared" si="287"/>
        <v>-0.10714285714285721</v>
      </c>
      <c r="AD128" s="20"/>
      <c r="AE128" s="20"/>
    </row>
    <row r="129" spans="2:31" x14ac:dyDescent="0.2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128"/>
      <c r="R129" s="128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372</v>
      </c>
      <c r="C130" s="20"/>
      <c r="D130" s="20"/>
      <c r="E130" s="20"/>
      <c r="F130" s="20"/>
      <c r="G130" s="180">
        <f>G25/G14</f>
        <v>52.142857142857146</v>
      </c>
      <c r="H130" s="180">
        <f t="shared" ref="H130:P130" si="300">H25/H14</f>
        <v>38.553191489361701</v>
      </c>
      <c r="I130" s="180">
        <f t="shared" si="300"/>
        <v>78.806451612903231</v>
      </c>
      <c r="J130" s="180">
        <f t="shared" si="300"/>
        <v>147.125</v>
      </c>
      <c r="K130" s="180">
        <f t="shared" si="300"/>
        <v>11.576707064735443</v>
      </c>
      <c r="L130" s="180">
        <f t="shared" si="300"/>
        <v>14.272406300923411</v>
      </c>
      <c r="M130" s="180">
        <f t="shared" si="300"/>
        <v>13.468302658486708</v>
      </c>
      <c r="N130" s="180">
        <f t="shared" si="300"/>
        <v>10.085228290062668</v>
      </c>
      <c r="O130" s="180">
        <f t="shared" si="300"/>
        <v>11.588041508812386</v>
      </c>
      <c r="P130" s="180">
        <f t="shared" si="300"/>
        <v>13.629161474096493</v>
      </c>
      <c r="Q130" s="118">
        <f t="shared" si="216"/>
        <v>-0.13850511865338289</v>
      </c>
      <c r="R130" s="128"/>
      <c r="S130" s="20">
        <f t="shared" ref="S130" si="301">S25/S14</f>
        <v>13.629161474096492</v>
      </c>
      <c r="T130" s="20">
        <f t="shared" ref="T130:AB130" si="302">T25/T14</f>
        <v>13.629161474096492</v>
      </c>
      <c r="U130" s="20">
        <f t="shared" si="302"/>
        <v>13.629161474096492</v>
      </c>
      <c r="V130" s="20">
        <f t="shared" si="302"/>
        <v>13.629161474096493</v>
      </c>
      <c r="W130" s="20">
        <f t="shared" si="302"/>
        <v>13.629161474096493</v>
      </c>
      <c r="X130" s="20">
        <f t="shared" si="302"/>
        <v>13.629161474096493</v>
      </c>
      <c r="Y130" s="20">
        <f t="shared" si="302"/>
        <v>13.629161474096493</v>
      </c>
      <c r="Z130" s="20">
        <f t="shared" si="302"/>
        <v>13.629161474096493</v>
      </c>
      <c r="AA130" s="20">
        <f t="shared" si="302"/>
        <v>13.629161474096495</v>
      </c>
      <c r="AB130" s="20">
        <f t="shared" si="302"/>
        <v>13.629161474096495</v>
      </c>
      <c r="AC130" s="118">
        <f t="shared" si="287"/>
        <v>0</v>
      </c>
      <c r="AD130" s="20"/>
      <c r="AE130" s="20"/>
    </row>
    <row r="131" spans="2:31" x14ac:dyDescent="0.2">
      <c r="B131" s="20" t="s">
        <v>373</v>
      </c>
      <c r="C131" s="20"/>
      <c r="D131" s="20"/>
      <c r="E131" s="20"/>
      <c r="F131" s="20"/>
      <c r="G131" s="180">
        <f>G27/G14</f>
        <v>7.628571428571429</v>
      </c>
      <c r="H131" s="180">
        <f t="shared" ref="H131:P131" si="303">H27/H14</f>
        <v>6.5744680851063828</v>
      </c>
      <c r="I131" s="180">
        <f t="shared" si="303"/>
        <v>26.70967741935484</v>
      </c>
      <c r="J131" s="180">
        <f t="shared" si="303"/>
        <v>13.916666666666666</v>
      </c>
      <c r="K131" s="180">
        <f t="shared" si="303"/>
        <v>8.5300029559562525</v>
      </c>
      <c r="L131" s="180">
        <f t="shared" si="303"/>
        <v>11.579033134166213</v>
      </c>
      <c r="M131" s="180">
        <f t="shared" si="303"/>
        <v>9.3085662349466034</v>
      </c>
      <c r="N131" s="180">
        <f t="shared" si="303"/>
        <v>6.7978513876454789</v>
      </c>
      <c r="O131" s="180">
        <f t="shared" si="303"/>
        <v>7.7628067863613905</v>
      </c>
      <c r="P131" s="180">
        <f t="shared" si="303"/>
        <v>8.8525903507210248</v>
      </c>
      <c r="Q131" s="118">
        <f t="shared" si="216"/>
        <v>1.6671840012789207E-2</v>
      </c>
      <c r="R131" s="128"/>
      <c r="S131" s="20">
        <f t="shared" ref="S131:AB131" si="304">S27/S14</f>
        <v>8.8525903507210248</v>
      </c>
      <c r="T131" s="20">
        <f t="shared" si="304"/>
        <v>8.8525903507210248</v>
      </c>
      <c r="U131" s="20">
        <f t="shared" si="304"/>
        <v>8.8525903507210248</v>
      </c>
      <c r="V131" s="20">
        <f t="shared" si="304"/>
        <v>8.8525903507210248</v>
      </c>
      <c r="W131" s="20">
        <f t="shared" si="304"/>
        <v>8.8525903507210248</v>
      </c>
      <c r="X131" s="20">
        <f t="shared" si="304"/>
        <v>8.8525903507210248</v>
      </c>
      <c r="Y131" s="20">
        <f t="shared" si="304"/>
        <v>8.8525903507210248</v>
      </c>
      <c r="Z131" s="20">
        <f t="shared" si="304"/>
        <v>8.8525903507210248</v>
      </c>
      <c r="AA131" s="20">
        <f t="shared" si="304"/>
        <v>8.8525903507210248</v>
      </c>
      <c r="AB131" s="20">
        <f t="shared" si="304"/>
        <v>8.8525903507210248</v>
      </c>
      <c r="AC131" s="118">
        <f t="shared" si="287"/>
        <v>0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37"/>
      <c r="AD132" s="20"/>
      <c r="AE132" s="20"/>
    </row>
    <row r="133" spans="2:31" x14ac:dyDescent="0.2">
      <c r="B133" s="108" t="s">
        <v>244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3"/>
      <c r="R133" s="23"/>
      <c r="S133" s="122" t="s">
        <v>66</v>
      </c>
      <c r="T133" s="20"/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3" t="s">
        <v>280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5"/>
      <c r="Q134" s="160">
        <f>AVERAGE(G49:P49)</f>
        <v>26756.193423585741</v>
      </c>
      <c r="R134" s="23"/>
      <c r="S134" s="134"/>
      <c r="T134" s="20"/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 x14ac:dyDescent="0.2">
      <c r="B135" s="20" t="s">
        <v>25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>
        <f>S135+T135</f>
        <v>24.591560535571304</v>
      </c>
      <c r="S135" s="133">
        <f>PV($C$1, ($AB$3-$S$3), 0, -AB49)</f>
        <v>3.4266928615140335</v>
      </c>
      <c r="T135" s="133">
        <f>PV($C$1, ($AB$3-$S$3), 0, -AE49)</f>
        <v>21.16486767405727</v>
      </c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 t="s">
        <v>272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ref="R136:R154" si="305">S136+T136</f>
        <v>68.678124609338383</v>
      </c>
      <c r="S136" s="133">
        <f>PV($C$1, ($AB$3-$S$3), 0, -AB51)</f>
        <v>9.5699026094979693</v>
      </c>
      <c r="T136" s="133">
        <f>PV($C$1, ($AB$3-$S$3), 0, -AE51)</f>
        <v>59.10822199984041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0" t="s">
        <v>273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305"/>
        <v>59.729040929765425</v>
      </c>
      <c r="S137" s="133">
        <f>PV($C$1, ($AB$3-$S$3), 0, -AB52)</f>
        <v>8.3228991459509185</v>
      </c>
      <c r="T137" s="133">
        <f>PV($C$1, ($AB$3-$S$3), 0, -AE52)</f>
        <v>51.406141783814505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274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 t="shared" si="305"/>
        <v>1.5274085190911428</v>
      </c>
      <c r="S138" s="133">
        <f>PV($C$1, ($AB$3-$S$3), 0, -AB53)</f>
        <v>0.21283561331597889</v>
      </c>
      <c r="T138" s="133">
        <f>PV($C$1, ($AB$3-$S$3), 0, -AE53)</f>
        <v>1.3145729057751641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275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si="305"/>
        <v>88.181629493651542</v>
      </c>
      <c r="S139" s="133">
        <f>PV($C$1, ($AB$3-$S$3), 0, -AB59)</f>
        <v>12.287604109771117</v>
      </c>
      <c r="T139" s="133">
        <f>PV($C$1, ($AB$3-$S$3), 0, -AE59)</f>
        <v>75.894025383880432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/>
      <c r="S140" s="133"/>
      <c r="T140" s="20"/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05"/>
        <v>67.150716090247229</v>
      </c>
      <c r="S141" s="133">
        <f>PV($C$1, ($AB$3-$S$3), 0, -AB55)</f>
        <v>9.3570669961819899</v>
      </c>
      <c r="T141" s="133">
        <f>PV($C$1, ($AB$3-$S$3), 0, -$AE$55)</f>
        <v>57.793649094065245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271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05"/>
        <v>38.302814931902461</v>
      </c>
      <c r="S142" s="133">
        <f>PV($C$1, ($AB$3-$S$3), 0, -AB56)</f>
        <v>5.3372774905109983</v>
      </c>
      <c r="T142" s="133">
        <f>PV($C$1, ($AB$3-$S$3), 0, -$AE$56)</f>
        <v>32.965537441391461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276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si="305"/>
        <v>149.29355605851248</v>
      </c>
      <c r="S143" s="133">
        <f>PV($C$1, ($AB$3-$S$3), 0, -AB57)</f>
        <v>20.803200434382884</v>
      </c>
      <c r="T143" s="133">
        <f>PV($C$1, ($AB$3-$S$3), 0, -$AE$57)</f>
        <v>128.49035562412959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20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249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05"/>
        <v>110.99074112660998</v>
      </c>
      <c r="S145" s="133">
        <f>PV($C$1, ($AB$3-$S$3), 0, -AB62)</f>
        <v>15.465922943871881</v>
      </c>
      <c r="T145" s="133">
        <f>PV($C$1, ($AB$3-$S$3), 0, -AE62)</f>
        <v>95.524818182738102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250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05"/>
        <v>33.126396804333254</v>
      </c>
      <c r="S146" s="133">
        <f>PV($C$1, ($AB$3-$S$3), 0, -AB63)</f>
        <v>5.973612538486325</v>
      </c>
      <c r="T146" s="133">
        <f>PV($C$1, ($AB$3-$S$3), 0, -AE63)</f>
        <v>27.152784265846932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133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293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ref="R148" si="306">S148+T148</f>
        <v>231683.08745681823</v>
      </c>
      <c r="S148" s="133">
        <f>PV($C$1, ($AB$3-$S$3), 0, -AB12)</f>
        <v>32283.708907917291</v>
      </c>
      <c r="T148" s="133">
        <f>PV($C$1, ($AB$3-$S$3), 0, -AE12)</f>
        <v>199399.37854890095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294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>S149+T149</f>
        <v>366.80190531928224</v>
      </c>
      <c r="S149" s="140">
        <f>S148/P42</f>
        <v>51.111740905145879</v>
      </c>
      <c r="T149" s="140">
        <f>T148/P42</f>
        <v>315.69016441413635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40"/>
      <c r="T150" s="140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108" t="s">
        <v>297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282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 t="shared" ref="R152" si="307">S152+T152</f>
        <v>132.6735891110433</v>
      </c>
      <c r="S152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109.14895225818508</v>
      </c>
      <c r="T152" s="133">
        <f>PV($C$1, ($AB$3-$S$3), 0, -AE65)</f>
        <v>23.524636852858226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3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33"/>
      <c r="T153" s="133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20" t="s">
        <v>290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>
        <f t="shared" si="305"/>
        <v>0</v>
      </c>
      <c r="S154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54" s="133">
        <f>PV($C$1, ($AB$3-$S$3), 0, -AE67)</f>
        <v>0</v>
      </c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/>
      <c r="S155" s="133"/>
      <c r="T155" s="133"/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0" t="s">
        <v>286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>
        <f t="shared" ref="R156:R159" si="308">S156+T156</f>
        <v>0</v>
      </c>
      <c r="S156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0</v>
      </c>
      <c r="T156" s="133">
        <f>PV($C$1, ($AB$3-$S$3), 0, -AE69)</f>
        <v>0</v>
      </c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287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8"/>
        <v>0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7" s="133">
        <f>PV($C$1, ($AB$3-$S$3), 0, -AE70)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 t="s">
        <v>288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>
        <f t="shared" si="308"/>
        <v>0</v>
      </c>
      <c r="S158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0</v>
      </c>
      <c r="T158" s="133">
        <f>PV($C$1, ($AB$3-$S$3), 0, -AE71)</f>
        <v>0</v>
      </c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289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si="308"/>
        <v>0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0</v>
      </c>
      <c r="T159" s="133">
        <f>PV($C$1, ($AB$3-$S$3), 0, -AE72)</f>
        <v>0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/>
      <c r="S160" s="133"/>
      <c r="T160" s="133"/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298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>S161+T161</f>
        <v>0</v>
      </c>
      <c r="S161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0</v>
      </c>
      <c r="T161" s="133">
        <f>PV($C$1, ($AB$3-$S$3), 0, -AE73)</f>
        <v>0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183">
        <v>41729</v>
      </c>
      <c r="P162" s="20">
        <v>300</v>
      </c>
      <c r="Q162" s="20"/>
      <c r="R162" s="20"/>
      <c r="S162" s="121"/>
      <c r="T162" s="20"/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108" t="s">
        <v>251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3" t="s">
        <v>388</v>
      </c>
      <c r="P163" s="20" t="s">
        <v>390</v>
      </c>
      <c r="Q163" s="20" t="s">
        <v>390</v>
      </c>
      <c r="R163" s="23" t="s">
        <v>389</v>
      </c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204</v>
      </c>
      <c r="C164" s="22">
        <v>0</v>
      </c>
      <c r="D164" s="22">
        <v>0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350</v>
      </c>
      <c r="N164" s="22">
        <v>340</v>
      </c>
      <c r="O164" s="22">
        <v>300</v>
      </c>
      <c r="P164" s="22">
        <v>275</v>
      </c>
      <c r="Q164" s="118" t="e">
        <f t="shared" ref="Q164:Q169" si="309">((P164/G164)^(1/($H$2-$H$1) ))-1</f>
        <v>#DIV/0!</v>
      </c>
      <c r="R164" s="31">
        <f>L2-3%</f>
        <v>0.09</v>
      </c>
      <c r="S164" s="119">
        <f t="shared" ref="S164" si="310">P164*(1+$R164)</f>
        <v>299.75</v>
      </c>
      <c r="T164" s="119">
        <f t="shared" ref="T164:AB164" si="311">S164*(1+$R164)</f>
        <v>326.72750000000002</v>
      </c>
      <c r="U164" s="119">
        <f t="shared" si="311"/>
        <v>356.13297500000004</v>
      </c>
      <c r="V164" s="119">
        <f t="shared" si="311"/>
        <v>388.18494275000006</v>
      </c>
      <c r="W164" s="119">
        <f t="shared" si="311"/>
        <v>423.12158759750008</v>
      </c>
      <c r="X164" s="119">
        <f t="shared" si="311"/>
        <v>461.20253048127512</v>
      </c>
      <c r="Y164" s="119">
        <f t="shared" si="311"/>
        <v>502.71075822458994</v>
      </c>
      <c r="Z164" s="119">
        <f t="shared" si="311"/>
        <v>547.95472646480312</v>
      </c>
      <c r="AA164" s="119">
        <f t="shared" si="311"/>
        <v>597.27065184663547</v>
      </c>
      <c r="AB164" s="119">
        <f t="shared" si="311"/>
        <v>651.02501051283275</v>
      </c>
      <c r="AC164" s="138" t="e">
        <f t="shared" ref="AC164:AC169" si="312">((AB164/G164)^(1/($AB$3-$H$1) ))-1</f>
        <v>#DIV/0!</v>
      </c>
      <c r="AD164" s="31">
        <v>0.08</v>
      </c>
      <c r="AE164" s="127" t="e">
        <f t="shared" ref="AE164:AE172" si="313">(AB164*(1+AC164))/($C$1-AD164)</f>
        <v>#DIV/0!</v>
      </c>
    </row>
    <row r="165" spans="2:31" x14ac:dyDescent="0.2">
      <c r="B165" s="20" t="s">
        <v>359</v>
      </c>
      <c r="C165" s="25" t="e">
        <f t="shared" ref="C165:P165" si="314">C164/C46</f>
        <v>#DIV/0!</v>
      </c>
      <c r="D165" s="25" t="e">
        <f t="shared" si="314"/>
        <v>#DIV/0!</v>
      </c>
      <c r="E165" s="25" t="e">
        <f t="shared" si="314"/>
        <v>#DIV/0!</v>
      </c>
      <c r="F165" s="25" t="e">
        <f t="shared" si="314"/>
        <v>#DIV/0!</v>
      </c>
      <c r="G165" s="25">
        <f t="shared" si="314"/>
        <v>0</v>
      </c>
      <c r="H165" s="25">
        <f t="shared" si="314"/>
        <v>0</v>
      </c>
      <c r="I165" s="25">
        <f t="shared" si="314"/>
        <v>0</v>
      </c>
      <c r="J165" s="25">
        <f t="shared" si="314"/>
        <v>0</v>
      </c>
      <c r="K165" s="25">
        <f t="shared" si="314"/>
        <v>0</v>
      </c>
      <c r="L165" s="25">
        <f t="shared" si="314"/>
        <v>0</v>
      </c>
      <c r="M165" s="25">
        <f t="shared" si="314"/>
        <v>3.7296369403110976</v>
      </c>
      <c r="N165" s="25">
        <f t="shared" si="314"/>
        <v>3.8127010616766679</v>
      </c>
      <c r="O165" s="25">
        <f t="shared" si="314"/>
        <v>2.69347983681824</v>
      </c>
      <c r="P165" s="25">
        <f t="shared" si="314"/>
        <v>2.2689340996669061</v>
      </c>
      <c r="Q165" s="118" t="e">
        <f t="shared" ref="Q165" si="315">((P165/G165)^(1/($H$2-$H$1) ))-1</f>
        <v>#DIV/0!</v>
      </c>
      <c r="R165" s="128"/>
      <c r="S165" s="25">
        <f t="shared" ref="S165:AB165" si="316">S164/S46</f>
        <v>3.3122386187101709</v>
      </c>
      <c r="T165" s="25">
        <f t="shared" si="316"/>
        <v>3.6103400943940862</v>
      </c>
      <c r="U165" s="25">
        <f t="shared" si="316"/>
        <v>3.9352707028895537</v>
      </c>
      <c r="V165" s="25">
        <f t="shared" si="316"/>
        <v>4.2894450661496126</v>
      </c>
      <c r="W165" s="25">
        <f t="shared" si="316"/>
        <v>4.6754951221030785</v>
      </c>
      <c r="X165" s="25">
        <f t="shared" si="316"/>
        <v>5.0962896830923556</v>
      </c>
      <c r="Y165" s="25">
        <f t="shared" si="316"/>
        <v>5.5549557545706687</v>
      </c>
      <c r="Z165" s="25">
        <f t="shared" si="316"/>
        <v>6.0549017724820287</v>
      </c>
      <c r="AA165" s="25">
        <f t="shared" si="316"/>
        <v>6.5998429320054131</v>
      </c>
      <c r="AB165" s="25">
        <f t="shared" si="316"/>
        <v>7.1938287958859002</v>
      </c>
      <c r="AC165" s="138" t="e">
        <f t="shared" ref="AC165" si="317">((AB165/G165)^(1/($AB$3-$H$1) ))-1</f>
        <v>#DIV/0!</v>
      </c>
      <c r="AD165" s="31">
        <v>0.08</v>
      </c>
      <c r="AE165" s="127" t="e">
        <f t="shared" ref="AE165" si="318">(AB165*(1+AC165))/($C$1-AD165)</f>
        <v>#DIV/0!</v>
      </c>
    </row>
    <row r="166" spans="2:31" x14ac:dyDescent="0.2">
      <c r="B166" s="20" t="s">
        <v>387</v>
      </c>
      <c r="C166" s="25" t="e">
        <f t="shared" ref="C166:P166" si="319">C164/C49</f>
        <v>#DIV/0!</v>
      </c>
      <c r="D166" s="25" t="e">
        <f t="shared" si="319"/>
        <v>#DIV/0!</v>
      </c>
      <c r="E166" s="25" t="e">
        <f t="shared" si="319"/>
        <v>#DIV/0!</v>
      </c>
      <c r="F166" s="25" t="e">
        <f t="shared" si="319"/>
        <v>#DIV/0!</v>
      </c>
      <c r="G166" s="25">
        <f t="shared" si="319"/>
        <v>0</v>
      </c>
      <c r="H166" s="25">
        <f t="shared" si="319"/>
        <v>0</v>
      </c>
      <c r="I166" s="25">
        <f t="shared" si="319"/>
        <v>0</v>
      </c>
      <c r="J166" s="25">
        <f t="shared" si="319"/>
        <v>0</v>
      </c>
      <c r="K166" s="25">
        <f t="shared" si="319"/>
        <v>0</v>
      </c>
      <c r="L166" s="25">
        <f t="shared" si="319"/>
        <v>0</v>
      </c>
      <c r="M166" s="25">
        <f t="shared" si="319"/>
        <v>22.975524838910829</v>
      </c>
      <c r="N166" s="25">
        <f t="shared" si="319"/>
        <v>19.762050243857551</v>
      </c>
      <c r="O166" s="25">
        <f t="shared" si="319"/>
        <v>12.813700297538544</v>
      </c>
      <c r="P166" s="25">
        <f t="shared" si="319"/>
        <v>10.007965545056464</v>
      </c>
      <c r="Q166" s="118" t="e">
        <f t="shared" si="309"/>
        <v>#DIV/0!</v>
      </c>
      <c r="R166" s="128"/>
      <c r="S166" s="119">
        <f t="shared" ref="S166:AB166" si="320">S164/S49</f>
        <v>14.609842559077963</v>
      </c>
      <c r="T166" s="119">
        <f t="shared" si="320"/>
        <v>15.92472838939498</v>
      </c>
      <c r="U166" s="119">
        <f t="shared" si="320"/>
        <v>17.357953944440528</v>
      </c>
      <c r="V166" s="119">
        <f t="shared" si="320"/>
        <v>18.920169799440178</v>
      </c>
      <c r="W166" s="119">
        <f t="shared" si="320"/>
        <v>20.622985081389793</v>
      </c>
      <c r="X166" s="119">
        <f t="shared" si="320"/>
        <v>22.479053738714882</v>
      </c>
      <c r="Y166" s="119">
        <f t="shared" si="320"/>
        <v>24.502168575199224</v>
      </c>
      <c r="Z166" s="119">
        <f t="shared" si="320"/>
        <v>26.707363746967154</v>
      </c>
      <c r="AA166" s="119">
        <f t="shared" si="320"/>
        <v>29.111026484194205</v>
      </c>
      <c r="AB166" s="119">
        <f t="shared" si="320"/>
        <v>31.731018867771692</v>
      </c>
      <c r="AC166" s="138" t="e">
        <f t="shared" si="312"/>
        <v>#DIV/0!</v>
      </c>
      <c r="AD166" s="31">
        <v>0.08</v>
      </c>
      <c r="AE166" s="127" t="e">
        <f t="shared" si="313"/>
        <v>#DIV/0!</v>
      </c>
    </row>
    <row r="167" spans="2:31" x14ac:dyDescent="0.2">
      <c r="B167" s="20" t="s">
        <v>258</v>
      </c>
      <c r="C167" s="25" t="e">
        <f t="shared" ref="C167:P167" si="321">C164/C52</f>
        <v>#DIV/0!</v>
      </c>
      <c r="D167" s="25" t="e">
        <f t="shared" si="321"/>
        <v>#DIV/0!</v>
      </c>
      <c r="E167" s="25" t="e">
        <f t="shared" si="321"/>
        <v>#DIV/0!</v>
      </c>
      <c r="F167" s="25" t="e">
        <f t="shared" si="321"/>
        <v>#DIV/0!</v>
      </c>
      <c r="G167" s="25">
        <f t="shared" si="321"/>
        <v>0</v>
      </c>
      <c r="H167" s="25">
        <f t="shared" si="321"/>
        <v>0</v>
      </c>
      <c r="I167" s="25">
        <f t="shared" si="321"/>
        <v>0</v>
      </c>
      <c r="J167" s="25">
        <f t="shared" si="321"/>
        <v>0</v>
      </c>
      <c r="K167" s="25">
        <f t="shared" si="321"/>
        <v>0</v>
      </c>
      <c r="L167" s="25">
        <f t="shared" si="321"/>
        <v>0</v>
      </c>
      <c r="M167" s="25">
        <f t="shared" si="321"/>
        <v>10.549269898835655</v>
      </c>
      <c r="N167" s="25">
        <f t="shared" si="321"/>
        <v>7.9547431196058822</v>
      </c>
      <c r="O167" s="25">
        <f t="shared" si="321"/>
        <v>5.5510018748535268</v>
      </c>
      <c r="P167" s="25">
        <f t="shared" si="321"/>
        <v>4.1204661368758151</v>
      </c>
      <c r="Q167" s="118" t="e">
        <f t="shared" si="309"/>
        <v>#DIV/0!</v>
      </c>
      <c r="R167" s="128"/>
      <c r="S167" s="119">
        <f t="shared" ref="S167:AB167" si="322">S164/S52</f>
        <v>6.0151447623142467</v>
      </c>
      <c r="T167" s="119">
        <f t="shared" si="322"/>
        <v>6.5565077909225309</v>
      </c>
      <c r="U167" s="119">
        <f t="shared" si="322"/>
        <v>7.1465934921055583</v>
      </c>
      <c r="V167" s="119">
        <f t="shared" si="322"/>
        <v>7.789786906395058</v>
      </c>
      <c r="W167" s="119">
        <f t="shared" si="322"/>
        <v>8.4908677279706133</v>
      </c>
      <c r="X167" s="119">
        <f t="shared" si="322"/>
        <v>9.2550458234879702</v>
      </c>
      <c r="Y167" s="119">
        <f t="shared" si="322"/>
        <v>10.087999947601888</v>
      </c>
      <c r="Z167" s="119">
        <f t="shared" si="322"/>
        <v>10.99591994288606</v>
      </c>
      <c r="AA167" s="119">
        <f t="shared" si="322"/>
        <v>11.985552737745806</v>
      </c>
      <c r="AB167" s="119">
        <f t="shared" si="322"/>
        <v>13.06425248414293</v>
      </c>
      <c r="AC167" s="138" t="e">
        <f t="shared" si="312"/>
        <v>#DIV/0!</v>
      </c>
      <c r="AD167" s="31">
        <v>0.08</v>
      </c>
      <c r="AE167" s="127" t="e">
        <f t="shared" si="313"/>
        <v>#DIV/0!</v>
      </c>
    </row>
    <row r="168" spans="2:31" x14ac:dyDescent="0.2">
      <c r="B168" s="20" t="s">
        <v>259</v>
      </c>
      <c r="C168" s="25" t="e">
        <f t="shared" ref="C168:P168" si="323">C164/C61</f>
        <v>#DIV/0!</v>
      </c>
      <c r="D168" s="25" t="e">
        <f t="shared" si="323"/>
        <v>#DIV/0!</v>
      </c>
      <c r="E168" s="25" t="e">
        <f t="shared" si="323"/>
        <v>#DIV/0!</v>
      </c>
      <c r="F168" s="25" t="e">
        <f t="shared" si="323"/>
        <v>#DIV/0!</v>
      </c>
      <c r="G168" s="25">
        <f t="shared" si="323"/>
        <v>0</v>
      </c>
      <c r="H168" s="25">
        <f t="shared" si="323"/>
        <v>0</v>
      </c>
      <c r="I168" s="25">
        <f t="shared" si="323"/>
        <v>0</v>
      </c>
      <c r="J168" s="25">
        <f t="shared" si="323"/>
        <v>0</v>
      </c>
      <c r="K168" s="25">
        <f t="shared" si="323"/>
        <v>0</v>
      </c>
      <c r="L168" s="25">
        <f t="shared" si="323"/>
        <v>0</v>
      </c>
      <c r="M168" s="25">
        <f t="shared" si="323"/>
        <v>5.4777367560335</v>
      </c>
      <c r="N168" s="25">
        <f t="shared" si="323"/>
        <v>4.5820094305404426</v>
      </c>
      <c r="O168" s="25">
        <f t="shared" si="323"/>
        <v>3.1485469318578341</v>
      </c>
      <c r="P168" s="25">
        <f t="shared" si="323"/>
        <v>2.6875792975398425</v>
      </c>
      <c r="Q168" s="118" t="e">
        <f t="shared" si="309"/>
        <v>#DIV/0!</v>
      </c>
      <c r="R168" s="128"/>
      <c r="S168" s="119">
        <f t="shared" ref="S168:AB168" si="324">S164/S61</f>
        <v>3.9233858495336085</v>
      </c>
      <c r="T168" s="119">
        <f t="shared" si="324"/>
        <v>4.276490575991633</v>
      </c>
      <c r="U168" s="119">
        <f t="shared" si="324"/>
        <v>4.6613747278308795</v>
      </c>
      <c r="V168" s="119">
        <f t="shared" si="324"/>
        <v>5.0808984533356591</v>
      </c>
      <c r="W168" s="119">
        <f t="shared" si="324"/>
        <v>5.5381793141358688</v>
      </c>
      <c r="X168" s="119">
        <f t="shared" si="324"/>
        <v>6.036615452408097</v>
      </c>
      <c r="Y168" s="119">
        <f t="shared" si="324"/>
        <v>6.5799108431248268</v>
      </c>
      <c r="Z168" s="119">
        <f t="shared" si="324"/>
        <v>7.1721028190060618</v>
      </c>
      <c r="AA168" s="119">
        <f t="shared" si="324"/>
        <v>7.8175920727166091</v>
      </c>
      <c r="AB168" s="119">
        <f t="shared" si="324"/>
        <v>8.5211753592611039</v>
      </c>
      <c r="AC168" s="138" t="e">
        <f t="shared" si="312"/>
        <v>#DIV/0!</v>
      </c>
      <c r="AD168" s="31">
        <v>0.08</v>
      </c>
      <c r="AE168" s="127" t="e">
        <f t="shared" si="313"/>
        <v>#DIV/0!</v>
      </c>
    </row>
    <row r="169" spans="2:31" x14ac:dyDescent="0.2">
      <c r="B169" s="20" t="s">
        <v>260</v>
      </c>
      <c r="C169" s="25" t="e">
        <f t="shared" ref="C169:P169" si="325">C164/C63</f>
        <v>#DIV/0!</v>
      </c>
      <c r="D169" s="25" t="e">
        <f t="shared" si="325"/>
        <v>#DIV/0!</v>
      </c>
      <c r="E169" s="25" t="e">
        <f t="shared" si="325"/>
        <v>#DIV/0!</v>
      </c>
      <c r="F169" s="25" t="e">
        <f t="shared" si="325"/>
        <v>#DIV/0!</v>
      </c>
      <c r="G169" s="25">
        <f t="shared" si="325"/>
        <v>0</v>
      </c>
      <c r="H169" s="25">
        <f t="shared" si="325"/>
        <v>0</v>
      </c>
      <c r="I169" s="25">
        <f t="shared" si="325"/>
        <v>0</v>
      </c>
      <c r="J169" s="25">
        <f t="shared" si="325"/>
        <v>0</v>
      </c>
      <c r="K169" s="25">
        <f t="shared" si="325"/>
        <v>0</v>
      </c>
      <c r="L169" s="25">
        <f t="shared" si="325"/>
        <v>0</v>
      </c>
      <c r="M169" s="25">
        <f t="shared" si="325"/>
        <v>15.848483762276866</v>
      </c>
      <c r="N169" s="25">
        <f t="shared" si="325"/>
        <v>11.454168222305189</v>
      </c>
      <c r="O169" s="25">
        <f t="shared" si="325"/>
        <v>8.0585608573615719</v>
      </c>
      <c r="P169" s="25">
        <f t="shared" si="325"/>
        <v>5.7409522078265462</v>
      </c>
      <c r="Q169" s="118" t="e">
        <f t="shared" si="309"/>
        <v>#DIV/0!</v>
      </c>
      <c r="R169" s="128"/>
      <c r="S169" s="119">
        <f t="shared" ref="S169:AB169" si="326">S164/S63</f>
        <v>8.3807650533896449</v>
      </c>
      <c r="T169" s="119">
        <f t="shared" si="326"/>
        <v>9.1350339081947141</v>
      </c>
      <c r="U169" s="119">
        <f t="shared" si="326"/>
        <v>9.9571869599322387</v>
      </c>
      <c r="V169" s="119">
        <f t="shared" si="326"/>
        <v>10.853333786326138</v>
      </c>
      <c r="W169" s="119">
        <f t="shared" si="326"/>
        <v>11.830133827095491</v>
      </c>
      <c r="X169" s="119">
        <f t="shared" si="326"/>
        <v>12.894845871534086</v>
      </c>
      <c r="Y169" s="119">
        <f t="shared" si="326"/>
        <v>14.055381999972155</v>
      </c>
      <c r="Z169" s="119">
        <f t="shared" si="326"/>
        <v>15.320366379969652</v>
      </c>
      <c r="AA169" s="119">
        <f t="shared" si="326"/>
        <v>16.699199354166922</v>
      </c>
      <c r="AB169" s="119">
        <f t="shared" si="326"/>
        <v>18.202127296041947</v>
      </c>
      <c r="AC169" s="138" t="e">
        <f t="shared" si="312"/>
        <v>#DIV/0!</v>
      </c>
      <c r="AD169" s="31">
        <v>0.08</v>
      </c>
      <c r="AE169" s="127" t="e">
        <f t="shared" si="313"/>
        <v>#DIV/0!</v>
      </c>
    </row>
    <row r="170" spans="2:31" x14ac:dyDescent="0.2">
      <c r="B170" s="20" t="s">
        <v>281</v>
      </c>
      <c r="C170" s="25" t="e">
        <f>C166/C116</f>
        <v>#DIV/0!</v>
      </c>
      <c r="D170" s="25" t="e">
        <f>D166/D116</f>
        <v>#DIV/0!</v>
      </c>
      <c r="E170" s="25" t="e">
        <f>E166/E116</f>
        <v>#DIV/0!</v>
      </c>
      <c r="F170" s="25" t="e">
        <f>F166/F116</f>
        <v>#DIV/0!</v>
      </c>
      <c r="G170" s="182">
        <f t="shared" ref="G170:P170" si="327">G164/G57</f>
        <v>0</v>
      </c>
      <c r="H170" s="182">
        <f t="shared" si="327"/>
        <v>0</v>
      </c>
      <c r="I170" s="182">
        <f t="shared" si="327"/>
        <v>0</v>
      </c>
      <c r="J170" s="182">
        <f t="shared" si="327"/>
        <v>0</v>
      </c>
      <c r="K170" s="182">
        <f t="shared" si="327"/>
        <v>0</v>
      </c>
      <c r="L170" s="182">
        <f t="shared" si="327"/>
        <v>0</v>
      </c>
      <c r="M170" s="182">
        <f t="shared" si="327"/>
        <v>26.702560695736199</v>
      </c>
      <c r="N170" s="182">
        <f t="shared" si="327"/>
        <v>3.0481044638421686</v>
      </c>
      <c r="O170" s="182">
        <f t="shared" si="327"/>
        <v>2.1586562012280561</v>
      </c>
      <c r="P170" s="182">
        <f t="shared" si="327"/>
        <v>1.6485071227234331</v>
      </c>
      <c r="Q170" s="118" t="e">
        <f t="shared" ref="Q170:Q172" si="328">((P170/G170)^(1/($H$2-$H$1) ))-1</f>
        <v>#DIV/0!</v>
      </c>
      <c r="R170" s="128"/>
      <c r="S170" s="135">
        <f t="shared" ref="S170:AB170" si="329">S164/S57</f>
        <v>2.4065260229042971</v>
      </c>
      <c r="T170" s="135">
        <f t="shared" si="329"/>
        <v>2.6231133649656848</v>
      </c>
      <c r="U170" s="135">
        <f t="shared" si="329"/>
        <v>2.8591935678125964</v>
      </c>
      <c r="V170" s="135">
        <f t="shared" si="329"/>
        <v>3.1165209889157297</v>
      </c>
      <c r="W170" s="135">
        <f t="shared" si="329"/>
        <v>3.3970078779181452</v>
      </c>
      <c r="X170" s="135">
        <f t="shared" si="329"/>
        <v>3.7027385869307783</v>
      </c>
      <c r="Y170" s="135">
        <f t="shared" si="329"/>
        <v>4.035985059754549</v>
      </c>
      <c r="Z170" s="135">
        <f t="shared" si="329"/>
        <v>4.3992237151324591</v>
      </c>
      <c r="AA170" s="135">
        <f t="shared" si="329"/>
        <v>4.7951538494943824</v>
      </c>
      <c r="AB170" s="135">
        <f t="shared" si="329"/>
        <v>5.2267176959488761</v>
      </c>
      <c r="AC170" s="138" t="e">
        <f t="shared" ref="AC170" si="330">((AB170/G170)^(1/($AB$3-$H$1) ))-1</f>
        <v>#DIV/0!</v>
      </c>
      <c r="AD170" s="31">
        <v>0.08</v>
      </c>
      <c r="AE170" s="127" t="e">
        <f t="shared" si="313"/>
        <v>#DIV/0!</v>
      </c>
    </row>
    <row r="171" spans="2:31" x14ac:dyDescent="0.2">
      <c r="B171" s="20" t="s">
        <v>369</v>
      </c>
      <c r="C171" s="161" t="e">
        <f t="shared" ref="C171:P171" si="331">C49/C164</f>
        <v>#DIV/0!</v>
      </c>
      <c r="D171" s="161" t="e">
        <f t="shared" si="331"/>
        <v>#DIV/0!</v>
      </c>
      <c r="E171" s="161" t="e">
        <f t="shared" si="331"/>
        <v>#DIV/0!</v>
      </c>
      <c r="F171" s="161" t="e">
        <f t="shared" si="331"/>
        <v>#DIV/0!</v>
      </c>
      <c r="G171" s="161" t="e">
        <f t="shared" si="331"/>
        <v>#DIV/0!</v>
      </c>
      <c r="H171" s="161" t="e">
        <f t="shared" si="331"/>
        <v>#DIV/0!</v>
      </c>
      <c r="I171" s="161" t="e">
        <f t="shared" si="331"/>
        <v>#DIV/0!</v>
      </c>
      <c r="J171" s="161" t="e">
        <f t="shared" si="331"/>
        <v>#DIV/0!</v>
      </c>
      <c r="K171" s="161" t="e">
        <f t="shared" si="331"/>
        <v>#DIV/0!</v>
      </c>
      <c r="L171" s="161" t="e">
        <f t="shared" si="331"/>
        <v>#DIV/0!</v>
      </c>
      <c r="M171" s="161">
        <f t="shared" si="331"/>
        <v>4.352457700145429E-2</v>
      </c>
      <c r="N171" s="161">
        <f t="shared" si="331"/>
        <v>5.0602037119646559E-2</v>
      </c>
      <c r="O171" s="161">
        <f t="shared" si="331"/>
        <v>7.8041469425665866E-2</v>
      </c>
      <c r="P171" s="161">
        <f t="shared" si="331"/>
        <v>9.9920407948842313E-2</v>
      </c>
      <c r="Q171" s="118" t="e">
        <f t="shared" si="328"/>
        <v>#DIV/0!</v>
      </c>
      <c r="R171" s="128"/>
      <c r="S171" s="161">
        <f t="shared" ref="S171:AB171" si="332">S49/S164</f>
        <v>6.8447007279940922E-2</v>
      </c>
      <c r="T171" s="161">
        <f t="shared" si="332"/>
        <v>6.2795419522881576E-2</v>
      </c>
      <c r="U171" s="161">
        <f t="shared" si="332"/>
        <v>5.7610476626496855E-2</v>
      </c>
      <c r="V171" s="161">
        <f t="shared" si="332"/>
        <v>5.2853648281189776E-2</v>
      </c>
      <c r="W171" s="161">
        <f t="shared" si="332"/>
        <v>4.8489585579073187E-2</v>
      </c>
      <c r="X171" s="161">
        <f t="shared" si="332"/>
        <v>4.4485858329424928E-2</v>
      </c>
      <c r="Y171" s="161">
        <f t="shared" si="332"/>
        <v>4.0812714063692593E-2</v>
      </c>
      <c r="Z171" s="161">
        <f t="shared" si="332"/>
        <v>3.7442856939167518E-2</v>
      </c>
      <c r="AA171" s="161">
        <f t="shared" si="332"/>
        <v>3.4351244898318811E-2</v>
      </c>
      <c r="AB171" s="161">
        <f t="shared" si="332"/>
        <v>3.1514903576439268E-2</v>
      </c>
      <c r="AC171" s="138" t="e">
        <f t="shared" ref="AC171:AC172" si="333">((AB171/G171)^(1/($AB$3-$H$1) ))-1</f>
        <v>#DIV/0!</v>
      </c>
      <c r="AD171" s="31">
        <v>0.08</v>
      </c>
      <c r="AE171" s="127" t="e">
        <f t="shared" si="313"/>
        <v>#DIV/0!</v>
      </c>
    </row>
    <row r="172" spans="2:31" x14ac:dyDescent="0.2">
      <c r="B172" s="20" t="s">
        <v>318</v>
      </c>
      <c r="C172" s="152" t="e">
        <f t="shared" ref="C172:P172" si="334">C43/C164</f>
        <v>#DIV/0!</v>
      </c>
      <c r="D172" s="152" t="e">
        <f t="shared" si="334"/>
        <v>#DIV/0!</v>
      </c>
      <c r="E172" s="152" t="e">
        <f t="shared" si="334"/>
        <v>#DIV/0!</v>
      </c>
      <c r="F172" s="152" t="e">
        <f t="shared" si="334"/>
        <v>#DIV/0!</v>
      </c>
      <c r="G172" s="152" t="e">
        <f t="shared" si="334"/>
        <v>#DIV/0!</v>
      </c>
      <c r="H172" s="152" t="e">
        <f t="shared" si="334"/>
        <v>#DIV/0!</v>
      </c>
      <c r="I172" s="152" t="e">
        <f t="shared" si="334"/>
        <v>#DIV/0!</v>
      </c>
      <c r="J172" s="152" t="e">
        <f t="shared" si="334"/>
        <v>#DIV/0!</v>
      </c>
      <c r="K172" s="152" t="e">
        <f t="shared" si="334"/>
        <v>#DIV/0!</v>
      </c>
      <c r="L172" s="152" t="e">
        <f t="shared" si="334"/>
        <v>#DIV/0!</v>
      </c>
      <c r="M172" s="152">
        <f t="shared" si="334"/>
        <v>0.01</v>
      </c>
      <c r="N172" s="152">
        <f t="shared" si="334"/>
        <v>1.1470588235294118E-2</v>
      </c>
      <c r="O172" s="152">
        <f t="shared" si="334"/>
        <v>3.3333333333333333E-2</v>
      </c>
      <c r="P172" s="152">
        <f t="shared" si="334"/>
        <v>5.0909090909090911E-2</v>
      </c>
      <c r="Q172" s="118" t="e">
        <f t="shared" si="328"/>
        <v>#DIV/0!</v>
      </c>
      <c r="R172" s="128"/>
      <c r="S172" s="152">
        <f t="shared" ref="S172:AB172" si="335">S43/S164</f>
        <v>4.9040867389491247E-2</v>
      </c>
      <c r="T172" s="152">
        <f t="shared" si="335"/>
        <v>4.7241202531161292E-2</v>
      </c>
      <c r="U172" s="152">
        <f t="shared" si="335"/>
        <v>4.5507580419926016E-2</v>
      </c>
      <c r="V172" s="152">
        <f t="shared" si="335"/>
        <v>4.3837577468736066E-2</v>
      </c>
      <c r="W172" s="152">
        <f t="shared" si="335"/>
        <v>4.2228859029516397E-2</v>
      </c>
      <c r="X172" s="152">
        <f t="shared" si="335"/>
        <v>4.0679176129350653E-2</v>
      </c>
      <c r="Y172" s="152">
        <f t="shared" si="335"/>
        <v>3.9186362326438698E-2</v>
      </c>
      <c r="Z172" s="152">
        <f t="shared" si="335"/>
        <v>3.7748330681431776E-2</v>
      </c>
      <c r="AA172" s="152">
        <f t="shared" si="335"/>
        <v>3.6363070839911339E-2</v>
      </c>
      <c r="AB172" s="152">
        <f t="shared" si="335"/>
        <v>3.5028646221932934E-2</v>
      </c>
      <c r="AC172" s="138" t="e">
        <f t="shared" si="333"/>
        <v>#DIV/0!</v>
      </c>
      <c r="AD172" s="31">
        <v>0.08</v>
      </c>
      <c r="AE172" s="127" t="e">
        <f t="shared" si="313"/>
        <v>#DIV/0!</v>
      </c>
    </row>
    <row r="173" spans="2:31" x14ac:dyDescent="0.2">
      <c r="B173" s="20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28"/>
      <c r="R173" s="128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7"/>
      <c r="AD173" s="20"/>
      <c r="AE173" s="127"/>
    </row>
    <row r="174" spans="2:31" x14ac:dyDescent="0.2">
      <c r="B174" s="20"/>
      <c r="C174" s="129"/>
      <c r="D174" s="129"/>
      <c r="E174" s="129"/>
      <c r="F174" s="129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28"/>
      <c r="R174" s="128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7"/>
      <c r="AD174" s="20"/>
      <c r="AE174" s="20"/>
    </row>
    <row r="175" spans="2:31" x14ac:dyDescent="0.2">
      <c r="B175" s="108" t="s">
        <v>301</v>
      </c>
      <c r="C175" s="20"/>
      <c r="D175" s="20"/>
      <c r="E175" s="20"/>
      <c r="F175" s="20"/>
      <c r="G175" s="20"/>
      <c r="H175" s="20"/>
      <c r="I175" s="20"/>
      <c r="J175" s="20"/>
      <c r="K175" s="197" t="s">
        <v>349</v>
      </c>
      <c r="L175" s="198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137"/>
      <c r="AD175" s="20"/>
      <c r="AE175" s="20"/>
    </row>
    <row r="176" spans="2:31" x14ac:dyDescent="0.2">
      <c r="B176" s="20" t="s">
        <v>299</v>
      </c>
      <c r="C176" s="20" t="s">
        <v>313</v>
      </c>
      <c r="D176" s="20"/>
      <c r="E176" s="20"/>
      <c r="F176" s="20"/>
      <c r="G176" s="20"/>
      <c r="H176" s="20"/>
      <c r="I176" s="20"/>
      <c r="J176" s="20"/>
      <c r="K176" s="20" t="s">
        <v>350</v>
      </c>
      <c r="L176" s="22">
        <v>1</v>
      </c>
      <c r="M176" s="20"/>
      <c r="N176" s="20"/>
      <c r="O176" s="20"/>
      <c r="P176" s="128">
        <f>(P164-R152)/P164</f>
        <v>0.51755058505075169</v>
      </c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137"/>
      <c r="AD176" s="20"/>
      <c r="AE176" s="20"/>
    </row>
    <row r="177" spans="2:45" x14ac:dyDescent="0.2">
      <c r="B177" s="20" t="s">
        <v>347</v>
      </c>
      <c r="C177" s="20" t="s">
        <v>313</v>
      </c>
      <c r="D177" s="20"/>
      <c r="E177" s="20"/>
      <c r="F177" s="20"/>
      <c r="G177" s="20"/>
      <c r="H177" s="20"/>
      <c r="I177" s="20"/>
      <c r="J177" s="20"/>
      <c r="K177" s="172">
        <f>$L$176</f>
        <v>1</v>
      </c>
      <c r="L177" s="20"/>
      <c r="M177" s="128">
        <f>(P164-(K177*R143))/P164</f>
        <v>0.45711434160540915</v>
      </c>
      <c r="N177" s="20"/>
      <c r="O177" s="20"/>
      <c r="P177" s="128">
        <f>(P164-R143)/P164</f>
        <v>0.45711434160540915</v>
      </c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137"/>
      <c r="AD177" s="20"/>
      <c r="AE177" s="20"/>
    </row>
    <row r="178" spans="2:45" x14ac:dyDescent="0.2">
      <c r="B178" s="20" t="s">
        <v>348</v>
      </c>
      <c r="C178" s="20" t="s">
        <v>313</v>
      </c>
      <c r="D178" s="20"/>
      <c r="E178" s="20"/>
      <c r="F178" s="20"/>
      <c r="G178" s="20"/>
      <c r="H178" s="20"/>
      <c r="I178" s="20"/>
      <c r="J178" s="20"/>
      <c r="K178" s="172">
        <f>$L$176</f>
        <v>1</v>
      </c>
      <c r="L178" s="20"/>
      <c r="M178" s="128">
        <f>(P164-(K178*R136))/P164</f>
        <v>0.75026136505695129</v>
      </c>
      <c r="N178" s="20"/>
      <c r="O178" s="20"/>
      <c r="P178" s="128">
        <f>(P164-R136)/P164</f>
        <v>0.75026136505695129</v>
      </c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351</v>
      </c>
      <c r="C179" s="20" t="s">
        <v>313</v>
      </c>
      <c r="D179" s="20"/>
      <c r="E179" s="20"/>
      <c r="F179" s="20"/>
      <c r="G179" s="20"/>
      <c r="H179" s="20"/>
      <c r="I179" s="20"/>
      <c r="J179" s="20"/>
      <c r="K179" s="172">
        <f>$L$176</f>
        <v>1</v>
      </c>
      <c r="L179" s="20"/>
      <c r="M179" s="128">
        <f>(P164-(K179*R149))/P164</f>
        <v>-0.3338251102519354</v>
      </c>
      <c r="N179" s="20"/>
      <c r="O179" s="20"/>
      <c r="P179" s="128">
        <f>(P164-R149)/P164</f>
        <v>-0.3338251102519354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398</v>
      </c>
      <c r="C180" s="20" t="s">
        <v>313</v>
      </c>
      <c r="D180" s="20"/>
      <c r="E180" s="20"/>
      <c r="F180" s="20"/>
      <c r="G180" s="20"/>
      <c r="H180" s="20"/>
      <c r="I180" s="20"/>
      <c r="J180" s="20"/>
      <c r="K180" s="172">
        <f>$L$176</f>
        <v>1</v>
      </c>
      <c r="L180" s="20"/>
      <c r="M180" s="128">
        <f>(P164-(K180*R161))/P164</f>
        <v>1</v>
      </c>
      <c r="N180" s="20"/>
      <c r="O180" s="20"/>
      <c r="P180" s="128">
        <f>(P164-R161)/P164</f>
        <v>1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300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5">
        <f>P164/R135</f>
        <v>11.182698210722204</v>
      </c>
      <c r="Q181" s="20"/>
      <c r="R181" s="20"/>
      <c r="S181" s="115" t="s">
        <v>11</v>
      </c>
      <c r="T181" s="115" t="s">
        <v>12</v>
      </c>
      <c r="U181" s="115" t="s">
        <v>13</v>
      </c>
      <c r="V181" s="115" t="s">
        <v>14</v>
      </c>
      <c r="W181" s="115" t="s">
        <v>15</v>
      </c>
      <c r="X181" s="115" t="s">
        <v>234</v>
      </c>
      <c r="Y181" s="115" t="s">
        <v>235</v>
      </c>
      <c r="Z181" s="115" t="s">
        <v>236</v>
      </c>
      <c r="AA181" s="115" t="s">
        <v>237</v>
      </c>
      <c r="AB181" s="115" t="s">
        <v>238</v>
      </c>
      <c r="AC181" s="115" t="s">
        <v>406</v>
      </c>
      <c r="AD181" s="115" t="s">
        <v>407</v>
      </c>
      <c r="AE181" s="115" t="s">
        <v>408</v>
      </c>
      <c r="AF181" s="115" t="s">
        <v>409</v>
      </c>
      <c r="AG181" s="115" t="s">
        <v>410</v>
      </c>
      <c r="AH181" s="115" t="s">
        <v>411</v>
      </c>
      <c r="AI181" s="115" t="s">
        <v>412</v>
      </c>
      <c r="AJ181" s="115" t="s">
        <v>413</v>
      </c>
      <c r="AK181" s="115" t="s">
        <v>414</v>
      </c>
      <c r="AL181" s="115" t="s">
        <v>415</v>
      </c>
      <c r="AM181" s="115" t="s">
        <v>416</v>
      </c>
      <c r="AN181" s="115" t="s">
        <v>417</v>
      </c>
      <c r="AO181" s="115" t="s">
        <v>418</v>
      </c>
      <c r="AP181" s="115" t="s">
        <v>419</v>
      </c>
      <c r="AQ181" s="115" t="s">
        <v>420</v>
      </c>
      <c r="AR181" s="115" t="s">
        <v>421</v>
      </c>
      <c r="AS181" s="115" t="s">
        <v>422</v>
      </c>
    </row>
    <row r="182" spans="2:45" x14ac:dyDescent="0.2">
      <c r="B182" s="20" t="s">
        <v>369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152">
        <f>1/P181</f>
        <v>8.9423856492986564E-2</v>
      </c>
      <c r="Q182" s="20"/>
      <c r="R182" s="20"/>
      <c r="S182" s="185">
        <f>P164-S183</f>
        <v>-27819.00309476503</v>
      </c>
      <c r="T182" s="185">
        <f>S182-T183</f>
        <v>-57317.706344268314</v>
      </c>
      <c r="U182" s="185">
        <f t="shared" ref="U182:W182" si="336">T182-U183</f>
        <v>-88291.344756246763</v>
      </c>
      <c r="V182" s="185">
        <f t="shared" si="336"/>
        <v>-120813.66508882414</v>
      </c>
      <c r="W182" s="185">
        <f t="shared" si="336"/>
        <v>-154962.10143803037</v>
      </c>
      <c r="X182" s="185">
        <f>W182-X183</f>
        <v>-190817.95960469692</v>
      </c>
      <c r="Y182" s="185">
        <f t="shared" ref="Y182:AB182" si="337">X182-Y183</f>
        <v>-228466.61067969681</v>
      </c>
      <c r="Z182" s="185">
        <f t="shared" si="337"/>
        <v>-267997.69430844672</v>
      </c>
      <c r="AA182" s="185">
        <f t="shared" si="337"/>
        <v>-309505.33211863408</v>
      </c>
      <c r="AB182" s="185">
        <f t="shared" si="337"/>
        <v>-353088.35181933083</v>
      </c>
      <c r="AC182" s="185">
        <f t="shared" ref="AC182" si="338">AB182-AC183</f>
        <v>-398850.5225050624</v>
      </c>
      <c r="AD182" s="185">
        <f t="shared" ref="AD182" si="339">AC182-AD183</f>
        <v>-446900.80172508059</v>
      </c>
      <c r="AE182" s="185">
        <f t="shared" ref="AE182" si="340">AD182-AE183</f>
        <v>-497353.59490609966</v>
      </c>
      <c r="AF182" s="185">
        <f t="shared" ref="AF182" si="341">AE182-AF183</f>
        <v>-550329.02774616971</v>
      </c>
      <c r="AG182" s="185">
        <f t="shared" ref="AG182" si="342">AF182-AG183</f>
        <v>-605953.23222824326</v>
      </c>
      <c r="AH182" s="185">
        <f t="shared" ref="AH182" si="343">AG182-AH183</f>
        <v>-664358.64693442045</v>
      </c>
      <c r="AI182" s="185">
        <f t="shared" ref="AI182" si="344">AH182-AI183</f>
        <v>-725684.33237590652</v>
      </c>
      <c r="AJ182" s="185">
        <f t="shared" ref="AJ182" si="345">AI182-AJ183</f>
        <v>-790076.30208946695</v>
      </c>
      <c r="AK182" s="185">
        <f t="shared" ref="AK182" si="346">AJ182-AK183</f>
        <v>-857687.87028870534</v>
      </c>
      <c r="AL182" s="185">
        <f t="shared" ref="AL182" si="347">AK182-AL183</f>
        <v>-928680.01689790562</v>
      </c>
      <c r="AM182" s="185">
        <f t="shared" ref="AM182" si="348">AL182-AM183</f>
        <v>-1003221.770837566</v>
      </c>
      <c r="AN182" s="185">
        <f t="shared" ref="AN182" si="349">AM182-AN183</f>
        <v>-1081490.6124742094</v>
      </c>
      <c r="AO182" s="185">
        <f t="shared" ref="AO182" si="350">AN182-AO183</f>
        <v>-1163672.896192685</v>
      </c>
      <c r="AP182" s="185">
        <f t="shared" ref="AP182" si="351">AO182-AP183</f>
        <v>-1249964.2940970843</v>
      </c>
      <c r="AQ182" s="185">
        <f t="shared" ref="AQ182" si="352">AP182-AQ183</f>
        <v>-1340570.2618967036</v>
      </c>
      <c r="AR182" s="185">
        <f t="shared" ref="AR182" si="353">AQ182-AR183</f>
        <v>-1435706.528086304</v>
      </c>
      <c r="AS182" s="185">
        <f t="shared" ref="AS182" si="354">AR182-AS183</f>
        <v>-1535599.6075853843</v>
      </c>
    </row>
    <row r="183" spans="2:45" x14ac:dyDescent="0.2">
      <c r="B183" s="20" t="s">
        <v>395</v>
      </c>
      <c r="C183" s="20"/>
      <c r="D183" s="20"/>
      <c r="E183" s="20"/>
      <c r="F183" s="20"/>
      <c r="G183" s="20"/>
      <c r="H183" s="20"/>
      <c r="I183" s="20"/>
      <c r="J183" s="20"/>
      <c r="K183" s="184">
        <f>P1</f>
        <v>0.05</v>
      </c>
      <c r="L183" s="20"/>
      <c r="M183" s="181">
        <f>P164/(Q134*(1+K183)^L183)</f>
        <v>1.0277994169289638E-2</v>
      </c>
      <c r="N183" s="20"/>
      <c r="O183" s="20"/>
      <c r="P183" s="181">
        <f>P164/Q134</f>
        <v>1.0277994169289638E-2</v>
      </c>
      <c r="Q183" s="20"/>
      <c r="R183" s="20"/>
      <c r="S183" s="186">
        <f>Q134*(1+$K$183)</f>
        <v>28094.00309476503</v>
      </c>
      <c r="T183" s="186">
        <f>S183*(1+$K$183)</f>
        <v>29498.703249503284</v>
      </c>
      <c r="U183" s="186">
        <f t="shared" ref="U183:AB183" si="355">T183*(1+$K$183)</f>
        <v>30973.638411978449</v>
      </c>
      <c r="V183" s="186">
        <f t="shared" si="355"/>
        <v>32522.320332577372</v>
      </c>
      <c r="W183" s="186">
        <f t="shared" si="355"/>
        <v>34148.43634920624</v>
      </c>
      <c r="X183" s="186">
        <f t="shared" si="355"/>
        <v>35855.858166666556</v>
      </c>
      <c r="Y183" s="186">
        <f t="shared" si="355"/>
        <v>37648.651074999885</v>
      </c>
      <c r="Z183" s="186">
        <f t="shared" si="355"/>
        <v>39531.083628749882</v>
      </c>
      <c r="AA183" s="186">
        <f t="shared" si="355"/>
        <v>41507.637810187378</v>
      </c>
      <c r="AB183" s="186">
        <f t="shared" si="355"/>
        <v>43583.01970069675</v>
      </c>
      <c r="AC183" s="186">
        <f t="shared" ref="AC183" si="356">AB183*(1+$K$183)</f>
        <v>45762.170685731588</v>
      </c>
      <c r="AD183" s="186">
        <f t="shared" ref="AD183" si="357">AC183*(1+$K$183)</f>
        <v>48050.279220018172</v>
      </c>
      <c r="AE183" s="186">
        <f t="shared" ref="AE183" si="358">AD183*(1+$K$183)</f>
        <v>50452.793181019086</v>
      </c>
      <c r="AF183" s="186">
        <f t="shared" ref="AF183" si="359">AE183*(1+$K$183)</f>
        <v>52975.43284007004</v>
      </c>
      <c r="AG183" s="186">
        <f t="shared" ref="AG183" si="360">AF183*(1+$K$183)</f>
        <v>55624.204482073546</v>
      </c>
      <c r="AH183" s="186">
        <f t="shared" ref="AH183" si="361">AG183*(1+$K$183)</f>
        <v>58405.414706177224</v>
      </c>
      <c r="AI183" s="186">
        <f t="shared" ref="AI183" si="362">AH183*(1+$K$183)</f>
        <v>61325.685441486086</v>
      </c>
      <c r="AJ183" s="186">
        <f t="shared" ref="AJ183" si="363">AI183*(1+$K$183)</f>
        <v>64391.969713560393</v>
      </c>
      <c r="AK183" s="186">
        <f t="shared" ref="AK183" si="364">AJ183*(1+$K$183)</f>
        <v>67611.56819923842</v>
      </c>
      <c r="AL183" s="186">
        <f t="shared" ref="AL183" si="365">AK183*(1+$K$183)</f>
        <v>70992.146609200339</v>
      </c>
      <c r="AM183" s="186">
        <f t="shared" ref="AM183" si="366">AL183*(1+$K$183)</f>
        <v>74541.753939660353</v>
      </c>
      <c r="AN183" s="186">
        <f t="shared" ref="AN183" si="367">AM183*(1+$K$183)</f>
        <v>78268.841636643381</v>
      </c>
      <c r="AO183" s="186">
        <f t="shared" ref="AO183" si="368">AN183*(1+$K$183)</f>
        <v>82182.283718475548</v>
      </c>
      <c r="AP183" s="186">
        <f t="shared" ref="AP183" si="369">AO183*(1+$K$183)</f>
        <v>86291.397904399331</v>
      </c>
      <c r="AQ183" s="186">
        <f t="shared" ref="AQ183" si="370">AP183*(1+$K$183)</f>
        <v>90605.967799619306</v>
      </c>
      <c r="AR183" s="186">
        <f t="shared" ref="AR183" si="371">AQ183*(1+$K$183)</f>
        <v>95136.266189600268</v>
      </c>
      <c r="AS183" s="186">
        <f t="shared" ref="AS183" si="372">AR183*(1+$K$183)</f>
        <v>99893.079499080282</v>
      </c>
    </row>
    <row r="184" spans="2:45" x14ac:dyDescent="0.2">
      <c r="B184" s="20" t="s">
        <v>394</v>
      </c>
      <c r="C184" s="20"/>
      <c r="D184" s="20"/>
      <c r="E184" s="20"/>
      <c r="F184" s="20"/>
      <c r="G184" s="20"/>
      <c r="H184" s="20"/>
      <c r="I184" s="20"/>
      <c r="J184" s="20"/>
      <c r="K184" s="184">
        <v>0.08</v>
      </c>
      <c r="L184" s="20"/>
      <c r="M184" s="181">
        <f>P164/(P49*(1+K184)^L184)</f>
        <v>10.007965545056464</v>
      </c>
      <c r="N184" s="20"/>
      <c r="O184" s="20"/>
      <c r="P184" s="181">
        <f>P164/P49</f>
        <v>10.007965545056464</v>
      </c>
      <c r="Q184" s="20"/>
      <c r="R184" s="20"/>
      <c r="S184" s="186">
        <f>P49*(1+$K$184)</f>
        <v>29.67636116080617</v>
      </c>
      <c r="T184" s="186">
        <f>S184*(1+$K$184)</f>
        <v>32.050470053670665</v>
      </c>
      <c r="U184" s="186">
        <f t="shared" ref="U184:AB184" si="373">T184*(1+$K$184)</f>
        <v>34.614507657964317</v>
      </c>
      <c r="V184" s="186">
        <f t="shared" si="373"/>
        <v>37.383668270601468</v>
      </c>
      <c r="W184" s="186">
        <f t="shared" si="373"/>
        <v>40.374361732249589</v>
      </c>
      <c r="X184" s="186">
        <f t="shared" si="373"/>
        <v>43.604310670829562</v>
      </c>
      <c r="Y184" s="186">
        <f t="shared" si="373"/>
        <v>47.092655524495932</v>
      </c>
      <c r="Z184" s="186">
        <f t="shared" si="373"/>
        <v>50.86006796645561</v>
      </c>
      <c r="AA184" s="186">
        <f t="shared" si="373"/>
        <v>54.928873403772059</v>
      </c>
      <c r="AB184" s="186">
        <f t="shared" si="373"/>
        <v>59.323183276073827</v>
      </c>
      <c r="AC184" s="186">
        <f t="shared" ref="AC184" si="374">AB184*(1+$K$184)</f>
        <v>64.069037938159738</v>
      </c>
      <c r="AD184" s="186">
        <f t="shared" ref="AD184" si="375">AC184*(1+$K$184)</f>
        <v>69.194560973212518</v>
      </c>
      <c r="AE184" s="186">
        <f t="shared" ref="AE184" si="376">AD184*(1+$K$184)</f>
        <v>74.730125851069531</v>
      </c>
      <c r="AF184" s="186">
        <f t="shared" ref="AF184" si="377">AE184*(1+$K$184)</f>
        <v>80.708535919155096</v>
      </c>
      <c r="AG184" s="186">
        <f t="shared" ref="AG184" si="378">AF184*(1+$K$184)</f>
        <v>87.165218792687511</v>
      </c>
      <c r="AH184" s="186">
        <f t="shared" ref="AH184" si="379">AG184*(1+$K$184)</f>
        <v>94.138436296102512</v>
      </c>
      <c r="AI184" s="186">
        <f t="shared" ref="AI184" si="380">AH184*(1+$K$184)</f>
        <v>101.66951119979072</v>
      </c>
      <c r="AJ184" s="186">
        <f t="shared" ref="AJ184" si="381">AI184*(1+$K$184)</f>
        <v>109.80307209577398</v>
      </c>
      <c r="AK184" s="186">
        <f t="shared" ref="AK184" si="382">AJ184*(1+$K$184)</f>
        <v>118.58731786343591</v>
      </c>
      <c r="AL184" s="186">
        <f t="shared" ref="AL184" si="383">AK184*(1+$K$184)</f>
        <v>128.07430329251079</v>
      </c>
      <c r="AM184" s="186">
        <f t="shared" ref="AM184" si="384">AL184*(1+$K$184)</f>
        <v>138.32024755591166</v>
      </c>
      <c r="AN184" s="186">
        <f t="shared" ref="AN184" si="385">AM184*(1+$K$184)</f>
        <v>149.38586736038459</v>
      </c>
      <c r="AO184" s="186">
        <f t="shared" ref="AO184" si="386">AN184*(1+$K$184)</f>
        <v>161.33673674921536</v>
      </c>
      <c r="AP184" s="186">
        <f t="shared" ref="AP184" si="387">AO184*(1+$K$184)</f>
        <v>174.24367568915261</v>
      </c>
      <c r="AQ184" s="186">
        <f t="shared" ref="AQ184" si="388">AP184*(1+$K$184)</f>
        <v>188.18316974428484</v>
      </c>
      <c r="AR184" s="186">
        <f t="shared" ref="AR184" si="389">AQ184*(1+$K$184)</f>
        <v>203.23782332382763</v>
      </c>
      <c r="AS184" s="186">
        <f t="shared" ref="AS184" si="390">AR184*(1+$K$184)</f>
        <v>219.49684918973387</v>
      </c>
    </row>
    <row r="185" spans="2:45" x14ac:dyDescent="0.2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185">
        <f>P164-S184</f>
        <v>245.32363883919382</v>
      </c>
      <c r="T185" s="185">
        <f>S185-T184</f>
        <v>213.27316878552315</v>
      </c>
      <c r="U185" s="185">
        <f t="shared" ref="U185:Z185" si="391">T185-U184</f>
        <v>178.65866112755884</v>
      </c>
      <c r="V185" s="185">
        <f t="shared" si="391"/>
        <v>141.27499285695737</v>
      </c>
      <c r="W185" s="185">
        <f t="shared" si="391"/>
        <v>100.90063112470779</v>
      </c>
      <c r="X185" s="185">
        <f t="shared" si="391"/>
        <v>57.296320453878224</v>
      </c>
      <c r="Y185" s="185">
        <f t="shared" si="391"/>
        <v>10.203664929382292</v>
      </c>
      <c r="Z185" s="185">
        <f t="shared" si="391"/>
        <v>-40.656403037073318</v>
      </c>
      <c r="AA185" s="185">
        <f>Z185-AA184</f>
        <v>-95.585276440845377</v>
      </c>
      <c r="AB185" s="185">
        <f t="shared" ref="AB185" si="392">AA185-AB184</f>
        <v>-154.9084597169192</v>
      </c>
      <c r="AC185" s="185">
        <f t="shared" ref="AC185" si="393">AB185-AC184</f>
        <v>-218.97749765507893</v>
      </c>
      <c r="AD185" s="185">
        <f t="shared" ref="AD185" si="394">AC185-AD184</f>
        <v>-288.17205862829144</v>
      </c>
      <c r="AE185" s="185">
        <f t="shared" ref="AE185" si="395">AD185-AE184</f>
        <v>-362.90218447936098</v>
      </c>
      <c r="AF185" s="185">
        <f t="shared" ref="AF185" si="396">AE185-AF184</f>
        <v>-443.61072039851609</v>
      </c>
      <c r="AG185" s="185">
        <f t="shared" ref="AG185" si="397">AF185-AG184</f>
        <v>-530.77593919120363</v>
      </c>
      <c r="AH185" s="185">
        <f t="shared" ref="AH185" si="398">AG185-AH184</f>
        <v>-624.91437548730619</v>
      </c>
      <c r="AI185" s="185">
        <f t="shared" ref="AI185" si="399">AH185-AI184</f>
        <v>-726.58388668709688</v>
      </c>
      <c r="AJ185" s="185">
        <f t="shared" ref="AJ185" si="400">AI185-AJ184</f>
        <v>-836.38695878287081</v>
      </c>
      <c r="AK185" s="185">
        <f t="shared" ref="AK185" si="401">AJ185-AK184</f>
        <v>-954.97427664630675</v>
      </c>
      <c r="AL185" s="185">
        <f t="shared" ref="AL185" si="402">AK185-AL184</f>
        <v>-1083.0485799388175</v>
      </c>
      <c r="AM185" s="185">
        <f t="shared" ref="AM185" si="403">AL185-AM184</f>
        <v>-1221.3688274947292</v>
      </c>
      <c r="AN185" s="185">
        <f t="shared" ref="AN185" si="404">AM185-AN184</f>
        <v>-1370.7546948551137</v>
      </c>
      <c r="AO185" s="185">
        <f t="shared" ref="AO185" si="405">AN185-AO184</f>
        <v>-1532.091431604329</v>
      </c>
      <c r="AP185" s="185">
        <f t="shared" ref="AP185" si="406">AO185-AP184</f>
        <v>-1706.3351072934815</v>
      </c>
      <c r="AQ185" s="185">
        <f t="shared" ref="AQ185" si="407">AP185-AQ184</f>
        <v>-1894.5182770377664</v>
      </c>
      <c r="AR185" s="185">
        <f t="shared" ref="AR185" si="408">AQ185-AR184</f>
        <v>-2097.7561003615942</v>
      </c>
      <c r="AS185" s="185">
        <f t="shared" ref="AS185" si="409">AR185-AS184</f>
        <v>-2317.2529495513281</v>
      </c>
    </row>
    <row r="186" spans="2:45" x14ac:dyDescent="0.2">
      <c r="B186" s="108" t="s">
        <v>302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45" x14ac:dyDescent="0.2">
      <c r="B187" s="20" t="s">
        <v>305</v>
      </c>
      <c r="C187" s="25" t="e">
        <f t="shared" ref="C187:P187" si="410">C10/C7</f>
        <v>#DIV/0!</v>
      </c>
      <c r="D187" s="25" t="e">
        <f t="shared" si="410"/>
        <v>#DIV/0!</v>
      </c>
      <c r="E187" s="25" t="e">
        <f t="shared" si="410"/>
        <v>#DIV/0!</v>
      </c>
      <c r="F187" s="25" t="e">
        <f t="shared" si="410"/>
        <v>#DIV/0!</v>
      </c>
      <c r="G187" s="25">
        <f t="shared" si="410"/>
        <v>0.26028668660410437</v>
      </c>
      <c r="H187" s="25">
        <f t="shared" si="410"/>
        <v>0.21805478948336091</v>
      </c>
      <c r="I187" s="25">
        <f t="shared" si="410"/>
        <v>0.16744555153866503</v>
      </c>
      <c r="J187" s="25">
        <f t="shared" si="410"/>
        <v>0.13007744586691955</v>
      </c>
      <c r="K187" s="25">
        <f t="shared" si="410"/>
        <v>9.2862776025236599E-2</v>
      </c>
      <c r="L187" s="25">
        <f t="shared" si="410"/>
        <v>0.1053560918187169</v>
      </c>
      <c r="M187" s="25">
        <f t="shared" si="410"/>
        <v>7.6488706365503076E-2</v>
      </c>
      <c r="N187" s="25">
        <f t="shared" si="410"/>
        <v>4.1003782193672331E-2</v>
      </c>
      <c r="O187" s="25">
        <f t="shared" si="410"/>
        <v>3.2951820631349965E-2</v>
      </c>
      <c r="P187" s="25">
        <f t="shared" si="410"/>
        <v>2.2240102329227785E-2</v>
      </c>
      <c r="Q187" s="118">
        <f t="shared" ref="Q187:Q189" si="411">((P187/G187)^(1/($H$2-$H$1) ))-1</f>
        <v>-0.23915128053385626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45" x14ac:dyDescent="0.2">
      <c r="B188" s="20" t="s">
        <v>306</v>
      </c>
      <c r="C188" s="112" t="e">
        <f>C10/C12</f>
        <v>#DIV/0!</v>
      </c>
      <c r="D188" s="112" t="e">
        <f>D10/D12</f>
        <v>#DIV/0!</v>
      </c>
      <c r="E188" s="112" t="e">
        <f>E10/E12</f>
        <v>#DIV/0!</v>
      </c>
      <c r="F188" s="112" t="e">
        <f>F10/F12</f>
        <v>#DIV/0!</v>
      </c>
      <c r="G188" s="112">
        <f>G10/G12</f>
        <v>2.2800361336946704</v>
      </c>
      <c r="H188" s="112">
        <f t="shared" ref="H188:P188" si="412">H10/H12</f>
        <v>0.93680884676145337</v>
      </c>
      <c r="I188" s="112">
        <f t="shared" si="412"/>
        <v>0.66329025497729655</v>
      </c>
      <c r="J188" s="112">
        <f t="shared" si="412"/>
        <v>0.4415236051502146</v>
      </c>
      <c r="K188" s="112">
        <f t="shared" si="412"/>
        <v>8.9881207957635614E-2</v>
      </c>
      <c r="L188" s="112">
        <f t="shared" si="412"/>
        <v>7.2337846029500913E-2</v>
      </c>
      <c r="M188" s="112">
        <f t="shared" si="412"/>
        <v>5.3383150783089361E-2</v>
      </c>
      <c r="N188" s="112">
        <f t="shared" si="412"/>
        <v>2.9821420774571016E-2</v>
      </c>
      <c r="O188" s="112">
        <f t="shared" si="412"/>
        <v>2.2902993024294698E-2</v>
      </c>
      <c r="P188" s="112">
        <f t="shared" si="412"/>
        <v>1.7321164599267306E-2</v>
      </c>
      <c r="Q188" s="118">
        <f t="shared" si="411"/>
        <v>-0.41854643193602636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45" x14ac:dyDescent="0.2">
      <c r="B189" s="20" t="s">
        <v>307</v>
      </c>
      <c r="C189" s="25" t="e">
        <f>C10/(C12+C13)</f>
        <v>#DIV/0!</v>
      </c>
      <c r="D189" s="25" t="e">
        <f>D10/(D12+D13)</f>
        <v>#DIV/0!</v>
      </c>
      <c r="E189" s="25" t="e">
        <f>E10/(E12+E13)</f>
        <v>#DIV/0!</v>
      </c>
      <c r="F189" s="25" t="e">
        <f>F10/(F12+F13)</f>
        <v>#DIV/0!</v>
      </c>
      <c r="G189" s="25">
        <f>G10/(G12+G13)</f>
        <v>0.20654664484451718</v>
      </c>
      <c r="H189" s="25">
        <f t="shared" ref="H189:P189" si="413">H10/(H12+H13)</f>
        <v>0.15508336057535141</v>
      </c>
      <c r="I189" s="25">
        <f t="shared" si="413"/>
        <v>0.14114761409246321</v>
      </c>
      <c r="J189" s="25">
        <f t="shared" si="413"/>
        <v>0.16387893269613699</v>
      </c>
      <c r="K189" s="25">
        <f t="shared" si="413"/>
        <v>8.3076109004321372E-2</v>
      </c>
      <c r="L189" s="25">
        <f t="shared" si="413"/>
        <v>6.8848360524375776E-2</v>
      </c>
      <c r="M189" s="25">
        <f t="shared" si="413"/>
        <v>5.1687397789781458E-2</v>
      </c>
      <c r="N189" s="25">
        <f t="shared" si="413"/>
        <v>2.9145063901512728E-2</v>
      </c>
      <c r="O189" s="25">
        <f t="shared" si="413"/>
        <v>2.2149111875446555E-2</v>
      </c>
      <c r="P189" s="25">
        <f t="shared" si="413"/>
        <v>1.6679560575584094E-2</v>
      </c>
      <c r="Q189" s="118">
        <f t="shared" si="411"/>
        <v>-0.24390903029724009</v>
      </c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/>
      <c r="C192" s="174" t="s">
        <v>375</v>
      </c>
      <c r="D192" s="175"/>
      <c r="E192" s="175"/>
      <c r="F192" s="175"/>
      <c r="G192" s="175"/>
      <c r="H192" s="175"/>
      <c r="I192" s="175"/>
      <c r="J192" s="175"/>
      <c r="K192" s="20"/>
      <c r="L192" s="194" t="s">
        <v>335</v>
      </c>
      <c r="M192" s="195"/>
      <c r="N192" s="196"/>
      <c r="O192" s="23" t="s">
        <v>338</v>
      </c>
      <c r="P192" s="20"/>
      <c r="Q192" s="194" t="s">
        <v>336</v>
      </c>
      <c r="R192" s="195"/>
      <c r="S192" s="196"/>
      <c r="T192" s="23" t="s">
        <v>338</v>
      </c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166" t="s">
        <v>337</v>
      </c>
      <c r="D193" s="166" t="s">
        <v>0</v>
      </c>
      <c r="E193" s="166" t="s">
        <v>376</v>
      </c>
      <c r="F193" s="166" t="s">
        <v>377</v>
      </c>
      <c r="G193" s="166" t="s">
        <v>378</v>
      </c>
      <c r="H193" s="166" t="s">
        <v>379</v>
      </c>
      <c r="I193" s="166" t="s">
        <v>380</v>
      </c>
      <c r="J193" s="166" t="s">
        <v>381</v>
      </c>
      <c r="K193" s="20"/>
      <c r="L193" s="166" t="s">
        <v>337</v>
      </c>
      <c r="M193" s="166"/>
      <c r="N193" s="166" t="s">
        <v>0</v>
      </c>
      <c r="O193" s="166" t="s">
        <v>370</v>
      </c>
      <c r="P193" s="20"/>
      <c r="Q193" s="166" t="s">
        <v>337</v>
      </c>
      <c r="R193" s="166"/>
      <c r="S193" s="166" t="s">
        <v>0</v>
      </c>
      <c r="T193" s="166" t="s">
        <v>370</v>
      </c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167" t="s">
        <v>339</v>
      </c>
      <c r="D194" s="21">
        <v>1</v>
      </c>
      <c r="E194" s="176" t="s">
        <v>382</v>
      </c>
      <c r="F194" s="22">
        <v>1</v>
      </c>
      <c r="G194" s="22">
        <v>1</v>
      </c>
      <c r="H194" s="167">
        <f>F194/G194</f>
        <v>1</v>
      </c>
      <c r="I194" s="167">
        <f>H194*D195</f>
        <v>1</v>
      </c>
      <c r="J194" s="177">
        <f>I194+D195</f>
        <v>2</v>
      </c>
      <c r="K194" s="20"/>
      <c r="L194" s="167" t="s">
        <v>339</v>
      </c>
      <c r="M194" s="167"/>
      <c r="N194" s="21">
        <v>1</v>
      </c>
      <c r="O194" s="173">
        <f>N194</f>
        <v>1</v>
      </c>
      <c r="P194" s="20"/>
      <c r="Q194" s="167" t="s">
        <v>339</v>
      </c>
      <c r="R194" s="167"/>
      <c r="S194" s="21">
        <v>1</v>
      </c>
      <c r="T194" s="173">
        <f>S194</f>
        <v>1</v>
      </c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67" t="s">
        <v>340</v>
      </c>
      <c r="D195" s="21">
        <v>1</v>
      </c>
      <c r="E195" s="176" t="s">
        <v>383</v>
      </c>
      <c r="F195" s="22">
        <v>1</v>
      </c>
      <c r="G195" s="22">
        <v>1</v>
      </c>
      <c r="H195" s="167">
        <f>F195/G195</f>
        <v>1</v>
      </c>
      <c r="I195" s="167">
        <f>H195*J194</f>
        <v>2</v>
      </c>
      <c r="J195" s="167">
        <f>I195+J194</f>
        <v>4</v>
      </c>
      <c r="K195" s="20"/>
      <c r="L195" s="167" t="s">
        <v>340</v>
      </c>
      <c r="M195" s="167"/>
      <c r="N195" s="21">
        <v>1</v>
      </c>
      <c r="O195" s="173">
        <f>N195</f>
        <v>1</v>
      </c>
      <c r="P195" s="20"/>
      <c r="Q195" s="167" t="s">
        <v>340</v>
      </c>
      <c r="R195" s="167"/>
      <c r="S195" s="21">
        <v>1</v>
      </c>
      <c r="T195" s="173">
        <f>S195</f>
        <v>1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7" t="s">
        <v>342</v>
      </c>
      <c r="D196" s="168">
        <f>D194*D195</f>
        <v>1</v>
      </c>
      <c r="E196" s="176" t="s">
        <v>396</v>
      </c>
      <c r="F196" s="22">
        <v>0</v>
      </c>
      <c r="G196" s="22">
        <v>2</v>
      </c>
      <c r="H196" s="167">
        <f>F196/G196</f>
        <v>0</v>
      </c>
      <c r="I196" s="167">
        <f>H196*J195</f>
        <v>0</v>
      </c>
      <c r="J196" s="167">
        <f>I196+J195</f>
        <v>4</v>
      </c>
      <c r="K196" s="20"/>
      <c r="L196" s="167" t="s">
        <v>341</v>
      </c>
      <c r="M196" s="167"/>
      <c r="N196" s="168">
        <f>N194*N195</f>
        <v>1</v>
      </c>
      <c r="O196" s="173">
        <f>N196</f>
        <v>1</v>
      </c>
      <c r="P196" s="20"/>
      <c r="Q196" s="167" t="s">
        <v>342</v>
      </c>
      <c r="R196" s="167"/>
      <c r="S196" s="168">
        <f>S194*S195</f>
        <v>1</v>
      </c>
      <c r="T196" s="173">
        <f>S196</f>
        <v>1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/>
      <c r="D197" s="168"/>
      <c r="E197" s="176" t="s">
        <v>384</v>
      </c>
      <c r="F197" s="22">
        <v>10</v>
      </c>
      <c r="G197" s="22">
        <v>2</v>
      </c>
      <c r="H197" s="167">
        <f>F197/G197</f>
        <v>5</v>
      </c>
      <c r="I197" s="167">
        <f>H197*J196</f>
        <v>20</v>
      </c>
      <c r="J197" s="167">
        <f>I197</f>
        <v>20</v>
      </c>
      <c r="K197" s="20"/>
      <c r="L197" s="167" t="s">
        <v>343</v>
      </c>
      <c r="M197" s="167"/>
      <c r="N197" s="21">
        <v>1</v>
      </c>
      <c r="O197" s="21">
        <v>1565</v>
      </c>
      <c r="P197" s="20"/>
      <c r="Q197" s="167" t="s">
        <v>343</v>
      </c>
      <c r="R197" s="167"/>
      <c r="S197" s="21">
        <v>1</v>
      </c>
      <c r="T197" s="21"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343</v>
      </c>
      <c r="D198" s="21">
        <v>1</v>
      </c>
      <c r="E198" s="176"/>
      <c r="F198" s="167"/>
      <c r="G198" s="167"/>
      <c r="H198" s="169" t="s">
        <v>385</v>
      </c>
      <c r="I198" s="167"/>
      <c r="J198" s="167">
        <f>J197</f>
        <v>20</v>
      </c>
      <c r="K198" s="20"/>
      <c r="L198" s="167" t="s">
        <v>344</v>
      </c>
      <c r="M198" s="167"/>
      <c r="N198" s="168">
        <f>N197*N195</f>
        <v>1</v>
      </c>
      <c r="O198" s="168">
        <f>O197*O195</f>
        <v>1565</v>
      </c>
      <c r="P198" s="20"/>
      <c r="Q198" s="167" t="s">
        <v>340</v>
      </c>
      <c r="R198" s="167"/>
      <c r="S198" s="21">
        <v>1</v>
      </c>
      <c r="T198" s="127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340</v>
      </c>
      <c r="D199" s="21">
        <v>1</v>
      </c>
      <c r="E199" s="176" t="s">
        <v>384</v>
      </c>
      <c r="F199" s="22">
        <v>10</v>
      </c>
      <c r="G199" s="22">
        <v>2</v>
      </c>
      <c r="H199" s="167">
        <f>F199/G199</f>
        <v>5</v>
      </c>
      <c r="I199" s="177">
        <f>H199*D195</f>
        <v>5</v>
      </c>
      <c r="J199" s="177">
        <f>I199</f>
        <v>5</v>
      </c>
      <c r="K199" s="20"/>
      <c r="L199" s="167"/>
      <c r="M199" s="167"/>
      <c r="N199" s="168"/>
      <c r="O199" s="168"/>
      <c r="P199" s="20"/>
      <c r="Q199" s="167" t="s">
        <v>342</v>
      </c>
      <c r="R199" s="167"/>
      <c r="S199" s="168">
        <f>S198*S197</f>
        <v>1</v>
      </c>
      <c r="T199" s="168">
        <f>T198*T197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 t="s">
        <v>342</v>
      </c>
      <c r="D200" s="168">
        <f>D199*D198</f>
        <v>1</v>
      </c>
      <c r="E200" s="167"/>
      <c r="F200" s="167"/>
      <c r="G200" s="167"/>
      <c r="H200" s="169" t="s">
        <v>385</v>
      </c>
      <c r="I200" s="167"/>
      <c r="J200" s="167">
        <f>J199</f>
        <v>5</v>
      </c>
      <c r="K200" s="20"/>
      <c r="L200" s="167"/>
      <c r="M200" s="167"/>
      <c r="N200" s="168"/>
      <c r="O200" s="168"/>
      <c r="P200" s="20"/>
      <c r="Q200" s="167"/>
      <c r="R200" s="167"/>
      <c r="S200" s="168"/>
      <c r="T200" s="168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/>
      <c r="D201" s="168"/>
      <c r="E201" s="176" t="s">
        <v>384</v>
      </c>
      <c r="F201" s="22">
        <v>10</v>
      </c>
      <c r="G201" s="22">
        <v>2</v>
      </c>
      <c r="H201" s="167">
        <f>F201/G201</f>
        <v>5</v>
      </c>
      <c r="I201" s="167">
        <f>H201*J200</f>
        <v>25</v>
      </c>
      <c r="J201" s="167">
        <f>I201</f>
        <v>25</v>
      </c>
      <c r="K201" s="20"/>
      <c r="L201" s="169" t="s">
        <v>345</v>
      </c>
      <c r="M201" s="169"/>
      <c r="N201" s="170">
        <f>N198/N196</f>
        <v>1</v>
      </c>
      <c r="O201" s="170">
        <f>O198/O196</f>
        <v>1565</v>
      </c>
      <c r="P201" s="20"/>
      <c r="Q201" s="169" t="s">
        <v>345</v>
      </c>
      <c r="R201" s="169"/>
      <c r="S201" s="170">
        <f>S199/S196</f>
        <v>1</v>
      </c>
      <c r="T201" s="170">
        <f>T199/T196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9" t="s">
        <v>345</v>
      </c>
      <c r="D202" s="170">
        <f>D200/D196</f>
        <v>1</v>
      </c>
      <c r="E202" s="176"/>
      <c r="F202" s="167"/>
      <c r="G202" s="167"/>
      <c r="H202" s="169" t="s">
        <v>385</v>
      </c>
      <c r="I202" s="167"/>
      <c r="J202" s="167">
        <f>J201</f>
        <v>25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20"/>
      <c r="D204" s="137"/>
      <c r="E204" s="178"/>
      <c r="F204" s="178"/>
      <c r="G204" s="179"/>
      <c r="H204" s="20"/>
      <c r="I204" s="137"/>
      <c r="J204" s="178"/>
      <c r="K204" s="179"/>
      <c r="L204" s="20"/>
      <c r="M204" s="20">
        <v>8</v>
      </c>
      <c r="N204" s="20">
        <v>12</v>
      </c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ht="14.25" x14ac:dyDescent="0.2">
      <c r="B205" s="20"/>
      <c r="C205" s="20"/>
      <c r="D205" s="187" t="s">
        <v>27</v>
      </c>
      <c r="E205" s="188"/>
      <c r="F205" s="188"/>
      <c r="G205" s="189"/>
      <c r="H205" s="20"/>
      <c r="I205" s="187" t="s">
        <v>391</v>
      </c>
      <c r="J205" s="188"/>
      <c r="K205" s="189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 t="s">
        <v>28</v>
      </c>
      <c r="E206" s="127"/>
      <c r="F206" s="127"/>
      <c r="G206" s="21">
        <v>1</v>
      </c>
      <c r="H206" s="20"/>
      <c r="I206" s="20" t="s">
        <v>28</v>
      </c>
      <c r="J206" s="127"/>
      <c r="K206" s="21">
        <f>G206</f>
        <v>1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20" t="s">
        <v>29</v>
      </c>
      <c r="E207" s="127"/>
      <c r="F207" s="127"/>
      <c r="G207" s="21">
        <v>1</v>
      </c>
      <c r="H207" s="20"/>
      <c r="I207" s="20" t="s">
        <v>29</v>
      </c>
      <c r="J207" s="20"/>
      <c r="K207" s="21">
        <f>G207</f>
        <v>1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x14ac:dyDescent="0.2">
      <c r="B208" s="20"/>
      <c r="C208" s="20"/>
      <c r="D208" s="20" t="s">
        <v>30</v>
      </c>
      <c r="E208" s="20"/>
      <c r="F208" s="20"/>
      <c r="G208" s="22">
        <v>1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3" t="s">
        <v>31</v>
      </c>
      <c r="E209" s="3"/>
      <c r="F209" s="3"/>
      <c r="G209" s="3">
        <f>((G207/G206)^(1/G208))-1</f>
        <v>0</v>
      </c>
      <c r="H209" s="20"/>
      <c r="I209" s="23" t="s">
        <v>392</v>
      </c>
      <c r="J209" s="23"/>
      <c r="K209" s="23">
        <f>(K207-K206)/K206</f>
        <v>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3" t="s">
        <v>32</v>
      </c>
      <c r="E210" s="165"/>
      <c r="F210" s="165"/>
      <c r="G210" s="24">
        <f>G208*12</f>
        <v>12</v>
      </c>
      <c r="H210" s="20"/>
      <c r="I210" s="23" t="s">
        <v>393</v>
      </c>
      <c r="J210" s="23"/>
      <c r="K210" s="23">
        <f>K207/K206</f>
        <v>1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5"/>
      <c r="F211" s="25"/>
      <c r="G211" s="25">
        <f>G210/12</f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33</v>
      </c>
      <c r="E212" s="3"/>
      <c r="F212" s="3"/>
      <c r="G212" s="3">
        <f>((G207/G206)^(1/G211))-1</f>
        <v>0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C214" s="20"/>
      <c r="D214" s="20"/>
      <c r="E214" s="20"/>
      <c r="F214" s="20"/>
      <c r="G214" s="20"/>
      <c r="H214" s="20"/>
      <c r="I214" s="20"/>
      <c r="J214" s="20"/>
      <c r="K214" s="20"/>
    </row>
  </sheetData>
  <mergeCells count="7">
    <mergeCell ref="D205:G205"/>
    <mergeCell ref="I205:K205"/>
    <mergeCell ref="AD2:AE2"/>
    <mergeCell ref="AD3:AE3"/>
    <mergeCell ref="L192:N192"/>
    <mergeCell ref="Q192:S192"/>
    <mergeCell ref="K175:L175"/>
  </mergeCells>
  <pageMargins left="0.7" right="0.7" top="0.75" bottom="0.75" header="0.3" footer="0.3"/>
  <pageSetup orientation="portrait" r:id="rId1"/>
  <ignoredErrors>
    <ignoredError sqref="C166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9" t="s">
        <v>27</v>
      </c>
      <c r="K5" s="199"/>
      <c r="M5" s="199" t="s">
        <v>65</v>
      </c>
      <c r="N5" s="19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9" t="s">
        <v>36</v>
      </c>
      <c r="K14" s="199"/>
      <c r="L14" s="19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99" t="s">
        <v>27</v>
      </c>
      <c r="S5" s="19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9" t="s">
        <v>36</v>
      </c>
      <c r="S14" s="199"/>
      <c r="T14" s="19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99" t="s">
        <v>27</v>
      </c>
      <c r="C2" s="199"/>
      <c r="E2" s="199" t="s">
        <v>65</v>
      </c>
      <c r="F2" s="199"/>
      <c r="H2" s="203" t="s">
        <v>36</v>
      </c>
      <c r="I2" s="20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0" t="s">
        <v>68</v>
      </c>
      <c r="E10" s="201"/>
      <c r="F10" s="201"/>
      <c r="G10" s="201"/>
      <c r="H10" s="202"/>
      <c r="I10" s="200" t="s">
        <v>72</v>
      </c>
      <c r="J10" s="201"/>
      <c r="K10" s="201"/>
      <c r="L10" s="20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2014-03-25T12:40:02Z</dcterms:modified>
</cp:coreProperties>
</file>
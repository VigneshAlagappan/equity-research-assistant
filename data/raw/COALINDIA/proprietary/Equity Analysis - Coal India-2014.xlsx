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Q44" i="18"/>
  <c r="Q42"/>
  <c r="Q40"/>
  <c r="Q38"/>
  <c r="Q34"/>
  <c r="Q33"/>
  <c r="Q36"/>
  <c r="Q25"/>
  <c r="Q12"/>
  <c r="Q10"/>
  <c r="Q9"/>
  <c r="Q7"/>
  <c r="Q6"/>
  <c r="P41"/>
  <c r="O41"/>
  <c r="N41"/>
  <c r="M41"/>
  <c r="L41"/>
  <c r="K41"/>
  <c r="J41"/>
  <c r="I41"/>
  <c r="H41"/>
  <c r="G41"/>
  <c r="P39"/>
  <c r="O39"/>
  <c r="N39"/>
  <c r="M39"/>
  <c r="L39"/>
  <c r="K39"/>
  <c r="J39"/>
  <c r="I39"/>
  <c r="H39"/>
  <c r="G39"/>
  <c r="P37"/>
  <c r="O37"/>
  <c r="N37"/>
  <c r="M37"/>
  <c r="L37"/>
  <c r="K37"/>
  <c r="J37"/>
  <c r="I37"/>
  <c r="H37"/>
  <c r="G37"/>
  <c r="P30"/>
  <c r="O30"/>
  <c r="N30"/>
  <c r="M30"/>
  <c r="L30"/>
  <c r="K30"/>
  <c r="J30"/>
  <c r="I30"/>
  <c r="H30"/>
  <c r="G30"/>
  <c r="P28"/>
  <c r="O28"/>
  <c r="N28"/>
  <c r="M28"/>
  <c r="L28"/>
  <c r="K28"/>
  <c r="J28"/>
  <c r="I28"/>
  <c r="H28"/>
  <c r="G28"/>
  <c r="P26"/>
  <c r="O26"/>
  <c r="N26"/>
  <c r="M26"/>
  <c r="L26"/>
  <c r="K26"/>
  <c r="J26"/>
  <c r="I26"/>
  <c r="H26"/>
  <c r="G26"/>
  <c r="M12"/>
  <c r="L12"/>
  <c r="J12"/>
  <c r="P11"/>
  <c r="O11"/>
  <c r="N11"/>
  <c r="M11"/>
  <c r="L11"/>
  <c r="K11"/>
  <c r="J11"/>
  <c r="I11"/>
  <c r="H11"/>
  <c r="G11"/>
  <c r="P8"/>
  <c r="O8"/>
  <c r="N8"/>
  <c r="M8"/>
  <c r="L8"/>
  <c r="K8"/>
  <c r="J8"/>
  <c r="I8"/>
  <c r="H8"/>
  <c r="G8"/>
  <c r="F179" l="1"/>
  <c r="E179"/>
  <c r="D179"/>
  <c r="C179"/>
  <c r="Q190" l="1"/>
  <c r="Q196"/>
  <c r="Q195"/>
  <c r="Q194"/>
  <c r="Q178"/>
  <c r="Q50"/>
  <c r="Q171" s="1"/>
  <c r="Q51"/>
  <c r="Q52"/>
  <c r="Q91" s="1"/>
  <c r="Q54"/>
  <c r="Q191" s="1"/>
  <c r="Q55"/>
  <c r="Q56"/>
  <c r="Q57"/>
  <c r="Q173" s="1"/>
  <c r="Q58"/>
  <c r="Q60"/>
  <c r="Q61"/>
  <c r="Q62"/>
  <c r="Q176" s="1"/>
  <c r="Q64"/>
  <c r="Q65"/>
  <c r="Q67"/>
  <c r="Q68"/>
  <c r="Q175" s="1"/>
  <c r="Q70"/>
  <c r="Q111" s="1"/>
  <c r="Q112" s="1"/>
  <c r="Q113" s="1"/>
  <c r="Q114" s="1"/>
  <c r="Q72"/>
  <c r="Q74"/>
  <c r="Q75"/>
  <c r="Q76"/>
  <c r="Q77"/>
  <c r="Q78"/>
  <c r="Q80"/>
  <c r="Q81"/>
  <c r="Q82"/>
  <c r="Q86"/>
  <c r="Q87"/>
  <c r="Q88"/>
  <c r="Q89"/>
  <c r="Q90"/>
  <c r="Q93"/>
  <c r="Q99" s="1"/>
  <c r="Q94"/>
  <c r="Q100" s="1"/>
  <c r="Q95"/>
  <c r="Q101" s="1"/>
  <c r="Q96"/>
  <c r="Q97"/>
  <c r="Q103" s="1"/>
  <c r="Q102"/>
  <c r="Q106"/>
  <c r="Q107"/>
  <c r="Q108"/>
  <c r="Q109"/>
  <c r="Q116"/>
  <c r="Q117"/>
  <c r="Q119"/>
  <c r="Q120"/>
  <c r="Q121"/>
  <c r="Q124"/>
  <c r="Q125"/>
  <c r="Q126"/>
  <c r="Q127"/>
  <c r="Q129"/>
  <c r="Q130"/>
  <c r="Q132"/>
  <c r="Q133"/>
  <c r="Q134"/>
  <c r="Q136"/>
  <c r="Q137"/>
  <c r="T17"/>
  <c r="T19"/>
  <c r="T24"/>
  <c r="T35"/>
  <c r="T42"/>
  <c r="T44"/>
  <c r="R44"/>
  <c r="R42"/>
  <c r="R40"/>
  <c r="R38"/>
  <c r="R36"/>
  <c r="R34"/>
  <c r="R33"/>
  <c r="R32"/>
  <c r="R31"/>
  <c r="R29"/>
  <c r="R27"/>
  <c r="R25"/>
  <c r="R23"/>
  <c r="R22"/>
  <c r="R21"/>
  <c r="R20"/>
  <c r="R18"/>
  <c r="R16"/>
  <c r="R15"/>
  <c r="R14"/>
  <c r="R13"/>
  <c r="R12"/>
  <c r="R10"/>
  <c r="R9"/>
  <c r="R7"/>
  <c r="R6"/>
  <c r="Q8"/>
  <c r="Q11"/>
  <c r="Q26"/>
  <c r="Q28"/>
  <c r="Q30"/>
  <c r="Q37"/>
  <c r="Q39"/>
  <c r="Q41"/>
  <c r="Q43"/>
  <c r="Q172" l="1"/>
  <c r="T191"/>
  <c r="T192" s="1"/>
  <c r="Q177"/>
  <c r="Q66"/>
  <c r="Q174" s="1"/>
  <c r="H191"/>
  <c r="Q179"/>
  <c r="Q180" s="1"/>
  <c r="L91"/>
  <c r="AE52"/>
  <c r="H52"/>
  <c r="H91" s="1"/>
  <c r="I52"/>
  <c r="I91" s="1"/>
  <c r="J52"/>
  <c r="J91" s="1"/>
  <c r="K52"/>
  <c r="K91" s="1"/>
  <c r="L52"/>
  <c r="M52"/>
  <c r="M91" s="1"/>
  <c r="N52"/>
  <c r="N91" s="1"/>
  <c r="O52"/>
  <c r="O91" s="1"/>
  <c r="P52"/>
  <c r="G52"/>
  <c r="G91" s="1"/>
  <c r="P43"/>
  <c r="O43"/>
  <c r="N43"/>
  <c r="M43"/>
  <c r="L43"/>
  <c r="K43"/>
  <c r="J43"/>
  <c r="I43"/>
  <c r="H43"/>
  <c r="G43"/>
  <c r="R52" l="1"/>
  <c r="P91"/>
  <c r="R91" s="1"/>
  <c r="S44"/>
  <c r="S42"/>
  <c r="G214"/>
  <c r="G213"/>
  <c r="G216" l="1"/>
  <c r="K187" l="1"/>
  <c r="K186"/>
  <c r="K185"/>
  <c r="K184"/>
  <c r="AE38" l="1"/>
  <c r="S38"/>
  <c r="T38" l="1"/>
  <c r="U38" l="1"/>
  <c r="V38" s="1"/>
  <c r="W38" s="1"/>
  <c r="K191"/>
  <c r="K190"/>
  <c r="X38" l="1"/>
  <c r="U205"/>
  <c r="U206" s="1"/>
  <c r="D203"/>
  <c r="H203"/>
  <c r="L106"/>
  <c r="J106"/>
  <c r="H106"/>
  <c r="F106"/>
  <c r="G106"/>
  <c r="I106"/>
  <c r="K106"/>
  <c r="M106"/>
  <c r="N106"/>
  <c r="O106"/>
  <c r="P106"/>
  <c r="H137"/>
  <c r="I137"/>
  <c r="J137"/>
  <c r="K137"/>
  <c r="L137"/>
  <c r="M137"/>
  <c r="N137"/>
  <c r="O137"/>
  <c r="P137"/>
  <c r="H136"/>
  <c r="I136"/>
  <c r="J136"/>
  <c r="K136"/>
  <c r="L136"/>
  <c r="M136"/>
  <c r="N136"/>
  <c r="O136"/>
  <c r="P136"/>
  <c r="G217"/>
  <c r="G218" s="1"/>
  <c r="G219" s="1"/>
  <c r="K214"/>
  <c r="K213"/>
  <c r="AE55"/>
  <c r="C55"/>
  <c r="D55"/>
  <c r="E55"/>
  <c r="F55"/>
  <c r="H55"/>
  <c r="I55"/>
  <c r="J55"/>
  <c r="K55"/>
  <c r="L55"/>
  <c r="M55"/>
  <c r="N55"/>
  <c r="O55"/>
  <c r="P55"/>
  <c r="G55"/>
  <c r="H208"/>
  <c r="D207"/>
  <c r="H206"/>
  <c r="I206" s="1"/>
  <c r="J206" s="1"/>
  <c r="J207" s="1"/>
  <c r="H204"/>
  <c r="H202"/>
  <c r="H201"/>
  <c r="I201" s="1"/>
  <c r="J201" s="1"/>
  <c r="Y38" l="1"/>
  <c r="D209"/>
  <c r="K217"/>
  <c r="R55"/>
  <c r="K216"/>
  <c r="I202"/>
  <c r="J202" s="1"/>
  <c r="I208"/>
  <c r="J208" s="1"/>
  <c r="J209" s="1"/>
  <c r="H90"/>
  <c r="I90"/>
  <c r="J90"/>
  <c r="K90"/>
  <c r="L90"/>
  <c r="M90"/>
  <c r="N90"/>
  <c r="O90"/>
  <c r="P90"/>
  <c r="G90"/>
  <c r="G137"/>
  <c r="G136"/>
  <c r="AE14"/>
  <c r="S14"/>
  <c r="U202"/>
  <c r="U201"/>
  <c r="O202"/>
  <c r="O205" s="1"/>
  <c r="O201"/>
  <c r="H97"/>
  <c r="H103" s="1"/>
  <c r="I97"/>
  <c r="I103" s="1"/>
  <c r="J97"/>
  <c r="J103" s="1"/>
  <c r="K97"/>
  <c r="K103" s="1"/>
  <c r="L97"/>
  <c r="L103" s="1"/>
  <c r="M97"/>
  <c r="M103" s="1"/>
  <c r="N97"/>
  <c r="N103" s="1"/>
  <c r="O97"/>
  <c r="O103" s="1"/>
  <c r="P97"/>
  <c r="P103" s="1"/>
  <c r="G97"/>
  <c r="G103" s="1"/>
  <c r="H94"/>
  <c r="H100" s="1"/>
  <c r="I94"/>
  <c r="I100" s="1"/>
  <c r="J94"/>
  <c r="J100" s="1"/>
  <c r="K94"/>
  <c r="K100" s="1"/>
  <c r="L94"/>
  <c r="L100" s="1"/>
  <c r="M94"/>
  <c r="M100" s="1"/>
  <c r="N94"/>
  <c r="N100" s="1"/>
  <c r="O94"/>
  <c r="O100" s="1"/>
  <c r="P94"/>
  <c r="P100" s="1"/>
  <c r="R100" s="1"/>
  <c r="G94"/>
  <c r="G100" s="1"/>
  <c r="H95"/>
  <c r="H101" s="1"/>
  <c r="I95"/>
  <c r="I101" s="1"/>
  <c r="J95"/>
  <c r="J101" s="1"/>
  <c r="K95"/>
  <c r="K101" s="1"/>
  <c r="L95"/>
  <c r="L101" s="1"/>
  <c r="M95"/>
  <c r="M101" s="1"/>
  <c r="N95"/>
  <c r="N101" s="1"/>
  <c r="O95"/>
  <c r="O101" s="1"/>
  <c r="P95"/>
  <c r="P101" s="1"/>
  <c r="G95"/>
  <c r="G101" s="1"/>
  <c r="H132"/>
  <c r="H133" s="1"/>
  <c r="I132"/>
  <c r="I133" s="1"/>
  <c r="J132"/>
  <c r="J133" s="1"/>
  <c r="K132"/>
  <c r="K133" s="1"/>
  <c r="L132"/>
  <c r="L133" s="1"/>
  <c r="M132"/>
  <c r="M133" s="1"/>
  <c r="N132"/>
  <c r="N133" s="1"/>
  <c r="O132"/>
  <c r="O133" s="1"/>
  <c r="P132"/>
  <c r="P133" s="1"/>
  <c r="G132"/>
  <c r="G133" s="1"/>
  <c r="R103" l="1"/>
  <c r="T14"/>
  <c r="U14" s="1"/>
  <c r="V14" s="1"/>
  <c r="W14" s="1"/>
  <c r="X14" s="1"/>
  <c r="Y14" s="1"/>
  <c r="Z14" s="1"/>
  <c r="AA14" s="1"/>
  <c r="AB14" s="1"/>
  <c r="AC14" s="1"/>
  <c r="Z38"/>
  <c r="R101"/>
  <c r="I203"/>
  <c r="J203" s="1"/>
  <c r="I204" s="1"/>
  <c r="J204" s="1"/>
  <c r="J205" s="1"/>
  <c r="R136"/>
  <c r="R137"/>
  <c r="R90"/>
  <c r="R97"/>
  <c r="R94"/>
  <c r="R133"/>
  <c r="R132"/>
  <c r="R95"/>
  <c r="P89"/>
  <c r="P88"/>
  <c r="E89"/>
  <c r="F89"/>
  <c r="H89"/>
  <c r="I89"/>
  <c r="J89"/>
  <c r="K89"/>
  <c r="L89"/>
  <c r="M89"/>
  <c r="N89"/>
  <c r="O89"/>
  <c r="G89"/>
  <c r="G88"/>
  <c r="H130"/>
  <c r="I130"/>
  <c r="J130"/>
  <c r="K130"/>
  <c r="L130"/>
  <c r="M130"/>
  <c r="N130"/>
  <c r="O130"/>
  <c r="P130"/>
  <c r="G130"/>
  <c r="H129"/>
  <c r="I129"/>
  <c r="J129"/>
  <c r="K129"/>
  <c r="L129"/>
  <c r="M129"/>
  <c r="N129"/>
  <c r="O129"/>
  <c r="P129"/>
  <c r="G129"/>
  <c r="H126"/>
  <c r="I126"/>
  <c r="J126"/>
  <c r="K126"/>
  <c r="L126"/>
  <c r="M126"/>
  <c r="N126"/>
  <c r="O126"/>
  <c r="P126"/>
  <c r="G126"/>
  <c r="H127"/>
  <c r="I127"/>
  <c r="J127"/>
  <c r="K127"/>
  <c r="L127"/>
  <c r="M127"/>
  <c r="N127"/>
  <c r="O127"/>
  <c r="P127"/>
  <c r="G127"/>
  <c r="H125"/>
  <c r="I125"/>
  <c r="J125"/>
  <c r="K125"/>
  <c r="L125"/>
  <c r="M125"/>
  <c r="N125"/>
  <c r="O125"/>
  <c r="P125"/>
  <c r="G125"/>
  <c r="H124"/>
  <c r="I124"/>
  <c r="J124"/>
  <c r="K124"/>
  <c r="L124"/>
  <c r="M124"/>
  <c r="N124"/>
  <c r="O124"/>
  <c r="P124"/>
  <c r="G124"/>
  <c r="S170"/>
  <c r="H121"/>
  <c r="I121"/>
  <c r="J121"/>
  <c r="K121"/>
  <c r="L121"/>
  <c r="M121"/>
  <c r="N121"/>
  <c r="O121"/>
  <c r="P121"/>
  <c r="G121"/>
  <c r="H120"/>
  <c r="I120"/>
  <c r="J120"/>
  <c r="K120"/>
  <c r="L120"/>
  <c r="M120"/>
  <c r="N120"/>
  <c r="O120"/>
  <c r="P120"/>
  <c r="G120"/>
  <c r="H119"/>
  <c r="I119"/>
  <c r="J119"/>
  <c r="K119"/>
  <c r="L119"/>
  <c r="M119"/>
  <c r="N119"/>
  <c r="O119"/>
  <c r="P119"/>
  <c r="G119"/>
  <c r="B121"/>
  <c r="B120"/>
  <c r="AE32"/>
  <c r="S32"/>
  <c r="G109"/>
  <c r="H109"/>
  <c r="I109"/>
  <c r="J109"/>
  <c r="K109"/>
  <c r="L109"/>
  <c r="M109"/>
  <c r="N109"/>
  <c r="O109"/>
  <c r="P109"/>
  <c r="T206"/>
  <c r="N205"/>
  <c r="T203"/>
  <c r="U203" s="1"/>
  <c r="U208" s="1"/>
  <c r="N203"/>
  <c r="O203" s="1"/>
  <c r="O208" s="1"/>
  <c r="F117"/>
  <c r="H117"/>
  <c r="I117"/>
  <c r="J117"/>
  <c r="K117"/>
  <c r="L117"/>
  <c r="M117"/>
  <c r="N117"/>
  <c r="O117"/>
  <c r="P117"/>
  <c r="G117"/>
  <c r="F116"/>
  <c r="H116"/>
  <c r="I116"/>
  <c r="J116"/>
  <c r="K116"/>
  <c r="L116"/>
  <c r="M116"/>
  <c r="N116"/>
  <c r="O116"/>
  <c r="P116"/>
  <c r="G116"/>
  <c r="AD14" l="1"/>
  <c r="AF14"/>
  <c r="T32"/>
  <c r="U32" s="1"/>
  <c r="V32" s="1"/>
  <c r="W32" s="1"/>
  <c r="X32" s="1"/>
  <c r="Y32" s="1"/>
  <c r="Z32" s="1"/>
  <c r="AA32" s="1"/>
  <c r="AB32" s="1"/>
  <c r="AC32" s="1"/>
  <c r="AD32" s="1"/>
  <c r="AA38"/>
  <c r="R127"/>
  <c r="R89"/>
  <c r="R124"/>
  <c r="R130"/>
  <c r="R129"/>
  <c r="R125"/>
  <c r="R126"/>
  <c r="R119"/>
  <c r="R120"/>
  <c r="R121"/>
  <c r="R109"/>
  <c r="N208"/>
  <c r="T208"/>
  <c r="R117"/>
  <c r="R116"/>
  <c r="S9"/>
  <c r="T9" s="1"/>
  <c r="S10"/>
  <c r="T10" s="1"/>
  <c r="S12"/>
  <c r="T12" s="1"/>
  <c r="S13"/>
  <c r="T13" s="1"/>
  <c r="S15"/>
  <c r="T15" s="1"/>
  <c r="S16"/>
  <c r="T16" s="1"/>
  <c r="S18"/>
  <c r="T18" s="1"/>
  <c r="S20"/>
  <c r="T20" s="1"/>
  <c r="S21"/>
  <c r="T21" s="1"/>
  <c r="S22"/>
  <c r="T22" s="1"/>
  <c r="S23"/>
  <c r="T23" s="1"/>
  <c r="S25"/>
  <c r="T25" s="1"/>
  <c r="S27"/>
  <c r="T27" s="1"/>
  <c r="S29"/>
  <c r="T29" s="1"/>
  <c r="S31"/>
  <c r="S33"/>
  <c r="T33" s="1"/>
  <c r="S34"/>
  <c r="T34" s="1"/>
  <c r="S36"/>
  <c r="T36" s="1"/>
  <c r="S40"/>
  <c r="T40" s="1"/>
  <c r="T52" s="1"/>
  <c r="S7"/>
  <c r="T7" s="1"/>
  <c r="S6"/>
  <c r="T6" s="1"/>
  <c r="AE9"/>
  <c r="AE10"/>
  <c r="AE11"/>
  <c r="AE12"/>
  <c r="AE13"/>
  <c r="AE15"/>
  <c r="AE16"/>
  <c r="AE18"/>
  <c r="AE20"/>
  <c r="AE21"/>
  <c r="AE22"/>
  <c r="AE23"/>
  <c r="AE25"/>
  <c r="AE27"/>
  <c r="AE29"/>
  <c r="AE31"/>
  <c r="AE33"/>
  <c r="AE34"/>
  <c r="AE36"/>
  <c r="AE40"/>
  <c r="AE42"/>
  <c r="AE44"/>
  <c r="AE50"/>
  <c r="AE51"/>
  <c r="AE54"/>
  <c r="AE56"/>
  <c r="AE57"/>
  <c r="AE58"/>
  <c r="AE60"/>
  <c r="AE61"/>
  <c r="AE62"/>
  <c r="AE64"/>
  <c r="AE65"/>
  <c r="AE66"/>
  <c r="AE67"/>
  <c r="AE69"/>
  <c r="AE70"/>
  <c r="AE72"/>
  <c r="AE74"/>
  <c r="AE75"/>
  <c r="AE76"/>
  <c r="AE77"/>
  <c r="AE78"/>
  <c r="AE80"/>
  <c r="AE81"/>
  <c r="AE82"/>
  <c r="AE7"/>
  <c r="AE6"/>
  <c r="AF32" l="1"/>
  <c r="T91"/>
  <c r="T31"/>
  <c r="U31" s="1"/>
  <c r="V31" s="1"/>
  <c r="W31" s="1"/>
  <c r="X31" s="1"/>
  <c r="Y31" s="1"/>
  <c r="Z31" s="1"/>
  <c r="AA31" s="1"/>
  <c r="AB31" s="1"/>
  <c r="AC31" s="1"/>
  <c r="AB38"/>
  <c r="R106"/>
  <c r="H93"/>
  <c r="H99" s="1"/>
  <c r="I93"/>
  <c r="I99" s="1"/>
  <c r="J93"/>
  <c r="J99" s="1"/>
  <c r="K93"/>
  <c r="K99" s="1"/>
  <c r="L93"/>
  <c r="L99" s="1"/>
  <c r="M93"/>
  <c r="M99" s="1"/>
  <c r="N93"/>
  <c r="N99" s="1"/>
  <c r="O93"/>
  <c r="O99" s="1"/>
  <c r="P93"/>
  <c r="P99" s="1"/>
  <c r="R99" s="1"/>
  <c r="H96"/>
  <c r="H102" s="1"/>
  <c r="I96"/>
  <c r="I102" s="1"/>
  <c r="J96"/>
  <c r="J102" s="1"/>
  <c r="K96"/>
  <c r="K102" s="1"/>
  <c r="L96"/>
  <c r="L102" s="1"/>
  <c r="M96"/>
  <c r="M102" s="1"/>
  <c r="N96"/>
  <c r="N102" s="1"/>
  <c r="O96"/>
  <c r="O102" s="1"/>
  <c r="P96"/>
  <c r="P102" s="1"/>
  <c r="G96"/>
  <c r="G102" s="1"/>
  <c r="G93"/>
  <c r="G99" s="1"/>
  <c r="AC38" l="1"/>
  <c r="R102"/>
  <c r="U29"/>
  <c r="R96"/>
  <c r="R93"/>
  <c r="H108"/>
  <c r="I108"/>
  <c r="J108"/>
  <c r="K108"/>
  <c r="L108"/>
  <c r="M108"/>
  <c r="N108"/>
  <c r="O108"/>
  <c r="P108"/>
  <c r="G108"/>
  <c r="H107"/>
  <c r="I107"/>
  <c r="J107"/>
  <c r="K107"/>
  <c r="L107"/>
  <c r="M107"/>
  <c r="N107"/>
  <c r="O107"/>
  <c r="P107"/>
  <c r="G107"/>
  <c r="AF38" l="1"/>
  <c r="AD38"/>
  <c r="V29"/>
  <c r="R107"/>
  <c r="R108"/>
  <c r="AF69"/>
  <c r="W29" l="1"/>
  <c r="C178"/>
  <c r="D178"/>
  <c r="E178"/>
  <c r="F178"/>
  <c r="G178"/>
  <c r="H178"/>
  <c r="I178"/>
  <c r="J178"/>
  <c r="K178"/>
  <c r="L178"/>
  <c r="M178"/>
  <c r="N178"/>
  <c r="O178"/>
  <c r="P178"/>
  <c r="C9" i="15"/>
  <c r="D70" i="18"/>
  <c r="E70"/>
  <c r="E111" s="1"/>
  <c r="E112" s="1"/>
  <c r="F70"/>
  <c r="F111" s="1"/>
  <c r="F112" s="1"/>
  <c r="G70"/>
  <c r="G111" s="1"/>
  <c r="G112" s="1"/>
  <c r="H70"/>
  <c r="H111" s="1"/>
  <c r="H112" s="1"/>
  <c r="I70"/>
  <c r="I111" s="1"/>
  <c r="I112" s="1"/>
  <c r="J70"/>
  <c r="J111" s="1"/>
  <c r="J112" s="1"/>
  <c r="K70"/>
  <c r="K111" s="1"/>
  <c r="K112" s="1"/>
  <c r="L70"/>
  <c r="L111" s="1"/>
  <c r="L112" s="1"/>
  <c r="M70"/>
  <c r="M111" s="1"/>
  <c r="M112" s="1"/>
  <c r="N70"/>
  <c r="N111" s="1"/>
  <c r="N112" s="1"/>
  <c r="O70"/>
  <c r="O111" s="1"/>
  <c r="O112" s="1"/>
  <c r="P70"/>
  <c r="P111" s="1"/>
  <c r="C70"/>
  <c r="T70" l="1"/>
  <c r="T111" s="1"/>
  <c r="T112" s="1"/>
  <c r="X29"/>
  <c r="R178"/>
  <c r="N113"/>
  <c r="N114" s="1"/>
  <c r="J113"/>
  <c r="J114" s="1"/>
  <c r="L113"/>
  <c r="L114" s="1"/>
  <c r="H113"/>
  <c r="H114" s="1"/>
  <c r="M113"/>
  <c r="M114" s="1"/>
  <c r="I113"/>
  <c r="I114" s="1"/>
  <c r="F113"/>
  <c r="F114" s="1"/>
  <c r="O113"/>
  <c r="O114" s="1"/>
  <c r="K113"/>
  <c r="K114" s="1"/>
  <c r="G113"/>
  <c r="G114" s="1"/>
  <c r="P112"/>
  <c r="R111"/>
  <c r="U44"/>
  <c r="V44" l="1"/>
  <c r="Y29"/>
  <c r="P113"/>
  <c r="R112"/>
  <c r="U70"/>
  <c r="C80"/>
  <c r="D80"/>
  <c r="E80"/>
  <c r="F80"/>
  <c r="G80"/>
  <c r="G134" s="1"/>
  <c r="H80"/>
  <c r="H134" s="1"/>
  <c r="I80"/>
  <c r="I134" s="1"/>
  <c r="J80"/>
  <c r="J134" s="1"/>
  <c r="K80"/>
  <c r="K134" s="1"/>
  <c r="L80"/>
  <c r="L134" s="1"/>
  <c r="M80"/>
  <c r="M134" s="1"/>
  <c r="N80"/>
  <c r="N134" s="1"/>
  <c r="O80"/>
  <c r="O134" s="1"/>
  <c r="C81"/>
  <c r="D81"/>
  <c r="E81"/>
  <c r="F81"/>
  <c r="G81"/>
  <c r="H81"/>
  <c r="I81"/>
  <c r="J81"/>
  <c r="K81"/>
  <c r="L81"/>
  <c r="M81"/>
  <c r="N81"/>
  <c r="O81"/>
  <c r="C82"/>
  <c r="D82"/>
  <c r="E82"/>
  <c r="F82"/>
  <c r="G82"/>
  <c r="H82"/>
  <c r="I82"/>
  <c r="J82"/>
  <c r="K82"/>
  <c r="L82"/>
  <c r="M82"/>
  <c r="N82"/>
  <c r="O82"/>
  <c r="P82"/>
  <c r="P81"/>
  <c r="P80"/>
  <c r="P134" s="1"/>
  <c r="E88"/>
  <c r="F88"/>
  <c r="H88"/>
  <c r="I88"/>
  <c r="J88"/>
  <c r="K88"/>
  <c r="L88"/>
  <c r="M88"/>
  <c r="N88"/>
  <c r="O88"/>
  <c r="E86"/>
  <c r="E87"/>
  <c r="F87"/>
  <c r="G87"/>
  <c r="H87"/>
  <c r="I87"/>
  <c r="J87"/>
  <c r="K87"/>
  <c r="L87"/>
  <c r="M87"/>
  <c r="N87"/>
  <c r="O87"/>
  <c r="F86"/>
  <c r="G86"/>
  <c r="H86"/>
  <c r="I86"/>
  <c r="J86"/>
  <c r="K86"/>
  <c r="L86"/>
  <c r="M86"/>
  <c r="N86"/>
  <c r="O86"/>
  <c r="P87"/>
  <c r="W44" l="1"/>
  <c r="V70"/>
  <c r="R134"/>
  <c r="Z29"/>
  <c r="R82"/>
  <c r="R80"/>
  <c r="R81"/>
  <c r="R87"/>
  <c r="R88"/>
  <c r="P86"/>
  <c r="R86" s="1"/>
  <c r="C194"/>
  <c r="D194"/>
  <c r="E194"/>
  <c r="F194"/>
  <c r="C195"/>
  <c r="D195"/>
  <c r="E195"/>
  <c r="F195"/>
  <c r="C196"/>
  <c r="D196"/>
  <c r="E196"/>
  <c r="F196"/>
  <c r="H196"/>
  <c r="I196"/>
  <c r="J196"/>
  <c r="K196"/>
  <c r="L196"/>
  <c r="M196"/>
  <c r="N196"/>
  <c r="O196"/>
  <c r="P196"/>
  <c r="G196"/>
  <c r="H195"/>
  <c r="I195"/>
  <c r="J195"/>
  <c r="K195"/>
  <c r="L195"/>
  <c r="M195"/>
  <c r="N195"/>
  <c r="O195"/>
  <c r="P195"/>
  <c r="G195"/>
  <c r="H194"/>
  <c r="I194"/>
  <c r="J194"/>
  <c r="K194"/>
  <c r="L194"/>
  <c r="M194"/>
  <c r="N194"/>
  <c r="O194"/>
  <c r="P194"/>
  <c r="G194"/>
  <c r="H51"/>
  <c r="I51"/>
  <c r="J51"/>
  <c r="K51"/>
  <c r="L51"/>
  <c r="M51"/>
  <c r="N51"/>
  <c r="O51"/>
  <c r="P51"/>
  <c r="C51"/>
  <c r="D51"/>
  <c r="E51"/>
  <c r="F51"/>
  <c r="G51"/>
  <c r="G54"/>
  <c r="H50"/>
  <c r="H171" s="1"/>
  <c r="I50"/>
  <c r="I171" s="1"/>
  <c r="J50"/>
  <c r="J171" s="1"/>
  <c r="K50"/>
  <c r="K171" s="1"/>
  <c r="L50"/>
  <c r="L171" s="1"/>
  <c r="M50"/>
  <c r="M171" s="1"/>
  <c r="N50"/>
  <c r="N171" s="1"/>
  <c r="O50"/>
  <c r="O171" s="1"/>
  <c r="P50"/>
  <c r="P171" s="1"/>
  <c r="C50"/>
  <c r="C171" s="1"/>
  <c r="D50"/>
  <c r="D171" s="1"/>
  <c r="E50"/>
  <c r="E171" s="1"/>
  <c r="F50"/>
  <c r="F171" s="1"/>
  <c r="G50"/>
  <c r="G171" s="1"/>
  <c r="T94"/>
  <c r="T100" s="1"/>
  <c r="G177" l="1"/>
  <c r="X44"/>
  <c r="W70"/>
  <c r="R171"/>
  <c r="AA29"/>
  <c r="U36"/>
  <c r="U94" s="1"/>
  <c r="U100" s="1"/>
  <c r="R196"/>
  <c r="R51"/>
  <c r="R50"/>
  <c r="R195"/>
  <c r="R194"/>
  <c r="Y44" l="1"/>
  <c r="X70"/>
  <c r="AB29"/>
  <c r="V36"/>
  <c r="V94" s="1"/>
  <c r="V100" s="1"/>
  <c r="I77"/>
  <c r="J77"/>
  <c r="K77"/>
  <c r="L77"/>
  <c r="M77"/>
  <c r="N77"/>
  <c r="O77"/>
  <c r="P77"/>
  <c r="I78"/>
  <c r="J78"/>
  <c r="K78"/>
  <c r="L78"/>
  <c r="M78"/>
  <c r="N78"/>
  <c r="O78"/>
  <c r="P78"/>
  <c r="I72"/>
  <c r="I74" s="1"/>
  <c r="J72"/>
  <c r="J74" s="1"/>
  <c r="K72"/>
  <c r="K74" s="1"/>
  <c r="L72"/>
  <c r="L74" s="1"/>
  <c r="M72"/>
  <c r="M74" s="1"/>
  <c r="N72"/>
  <c r="N74" s="1"/>
  <c r="O72"/>
  <c r="O74" s="1"/>
  <c r="P72"/>
  <c r="P74" s="1"/>
  <c r="I75"/>
  <c r="J75"/>
  <c r="K75"/>
  <c r="L75"/>
  <c r="M75"/>
  <c r="N75"/>
  <c r="O75"/>
  <c r="P75"/>
  <c r="I76"/>
  <c r="J76"/>
  <c r="K76"/>
  <c r="L76"/>
  <c r="M76"/>
  <c r="N76"/>
  <c r="O76"/>
  <c r="P76"/>
  <c r="C75"/>
  <c r="D75"/>
  <c r="E75"/>
  <c r="F75"/>
  <c r="G75"/>
  <c r="C76"/>
  <c r="D76"/>
  <c r="E76"/>
  <c r="F76"/>
  <c r="G76"/>
  <c r="C77"/>
  <c r="D77"/>
  <c r="E77"/>
  <c r="F77"/>
  <c r="G77"/>
  <c r="C78"/>
  <c r="D78"/>
  <c r="E78"/>
  <c r="F78"/>
  <c r="G78"/>
  <c r="H78"/>
  <c r="H77"/>
  <c r="U22"/>
  <c r="V22" s="1"/>
  <c r="W22" s="1"/>
  <c r="X22" s="1"/>
  <c r="Y22" s="1"/>
  <c r="Z22" s="1"/>
  <c r="AA22" s="1"/>
  <c r="AB22" s="1"/>
  <c r="AC22" s="1"/>
  <c r="C72"/>
  <c r="C74" s="1"/>
  <c r="D72"/>
  <c r="D74" s="1"/>
  <c r="E72"/>
  <c r="E74" s="1"/>
  <c r="F72"/>
  <c r="F74" s="1"/>
  <c r="G72"/>
  <c r="G74" s="1"/>
  <c r="H72"/>
  <c r="H74" s="1"/>
  <c r="H76"/>
  <c r="H75"/>
  <c r="Z44" l="1"/>
  <c r="Y70"/>
  <c r="U23"/>
  <c r="T97"/>
  <c r="T103" s="1"/>
  <c r="AC29"/>
  <c r="AF31"/>
  <c r="AD31"/>
  <c r="AD22"/>
  <c r="AF22"/>
  <c r="W36"/>
  <c r="W94" s="1"/>
  <c r="W100" s="1"/>
  <c r="R77"/>
  <c r="R78"/>
  <c r="R76"/>
  <c r="R74"/>
  <c r="R75"/>
  <c r="R72"/>
  <c r="T55"/>
  <c r="U21"/>
  <c r="R70"/>
  <c r="R170"/>
  <c r="Z70" l="1"/>
  <c r="AA44"/>
  <c r="V23"/>
  <c r="U97"/>
  <c r="U103" s="1"/>
  <c r="AF29"/>
  <c r="AD29"/>
  <c r="U20"/>
  <c r="T72"/>
  <c r="V21"/>
  <c r="C19" i="15"/>
  <c r="U9" i="18"/>
  <c r="V9" s="1"/>
  <c r="W9" s="1"/>
  <c r="X9" s="1"/>
  <c r="Y9" s="1"/>
  <c r="Z9" s="1"/>
  <c r="AA9" s="1"/>
  <c r="AB9" s="1"/>
  <c r="AC9" s="1"/>
  <c r="AF9" s="1"/>
  <c r="T90"/>
  <c r="U33"/>
  <c r="V33" s="1"/>
  <c r="W33" s="1"/>
  <c r="X33" s="1"/>
  <c r="Y33" s="1"/>
  <c r="Z33" s="1"/>
  <c r="AA33" s="1"/>
  <c r="AB33" s="1"/>
  <c r="AC33" s="1"/>
  <c r="AF33" s="1"/>
  <c r="U34"/>
  <c r="V34" s="1"/>
  <c r="W34" s="1"/>
  <c r="X34" s="1"/>
  <c r="Y34" s="1"/>
  <c r="Z34" s="1"/>
  <c r="AA34" s="1"/>
  <c r="AB34" s="1"/>
  <c r="AC34" s="1"/>
  <c r="AF34" s="1"/>
  <c r="X36"/>
  <c r="X94" s="1"/>
  <c r="X100" s="1"/>
  <c r="O68"/>
  <c r="O175" s="1"/>
  <c r="O67"/>
  <c r="O65"/>
  <c r="O64"/>
  <c r="O62"/>
  <c r="O176" s="1"/>
  <c r="O61"/>
  <c r="O60"/>
  <c r="O58"/>
  <c r="O57"/>
  <c r="O173" s="1"/>
  <c r="O56"/>
  <c r="O54"/>
  <c r="AA70" l="1"/>
  <c r="AB44"/>
  <c r="U72"/>
  <c r="T126"/>
  <c r="T136"/>
  <c r="T127"/>
  <c r="T137"/>
  <c r="W23"/>
  <c r="V97"/>
  <c r="V103" s="1"/>
  <c r="T120"/>
  <c r="T121"/>
  <c r="T119"/>
  <c r="T109"/>
  <c r="P114"/>
  <c r="R114" s="1"/>
  <c r="R113"/>
  <c r="T93"/>
  <c r="T99" s="1"/>
  <c r="T117"/>
  <c r="T116"/>
  <c r="U18"/>
  <c r="O172"/>
  <c r="O179" s="1"/>
  <c r="O180" s="1"/>
  <c r="O177"/>
  <c r="V20"/>
  <c r="U27"/>
  <c r="Y36"/>
  <c r="Y94" s="1"/>
  <c r="Y100" s="1"/>
  <c r="U25"/>
  <c r="U90" s="1"/>
  <c r="T86"/>
  <c r="W21"/>
  <c r="AD33"/>
  <c r="AD34"/>
  <c r="AD9"/>
  <c r="O66"/>
  <c r="O174" s="1"/>
  <c r="D62"/>
  <c r="E62"/>
  <c r="F62"/>
  <c r="G62"/>
  <c r="G176" s="1"/>
  <c r="H62"/>
  <c r="H176" s="1"/>
  <c r="I62"/>
  <c r="I176" s="1"/>
  <c r="J62"/>
  <c r="J176" s="1"/>
  <c r="K62"/>
  <c r="K176" s="1"/>
  <c r="L62"/>
  <c r="L176" s="1"/>
  <c r="M62"/>
  <c r="M176" s="1"/>
  <c r="N62"/>
  <c r="N176" s="1"/>
  <c r="P62"/>
  <c r="C62"/>
  <c r="C61"/>
  <c r="AC44" l="1"/>
  <c r="AB70"/>
  <c r="U127"/>
  <c r="U137"/>
  <c r="U126"/>
  <c r="U136"/>
  <c r="X23"/>
  <c r="W97"/>
  <c r="W103" s="1"/>
  <c r="U119"/>
  <c r="U121"/>
  <c r="U120"/>
  <c r="U109"/>
  <c r="U93"/>
  <c r="U99" s="1"/>
  <c r="U117"/>
  <c r="U116"/>
  <c r="V18"/>
  <c r="W20"/>
  <c r="V72"/>
  <c r="V27"/>
  <c r="V25"/>
  <c r="U86"/>
  <c r="Z36"/>
  <c r="Z94" s="1"/>
  <c r="Z100" s="1"/>
  <c r="X21"/>
  <c r="P176"/>
  <c r="R176" s="1"/>
  <c r="R62"/>
  <c r="D61"/>
  <c r="E61"/>
  <c r="F61"/>
  <c r="G61"/>
  <c r="H61"/>
  <c r="I61"/>
  <c r="J61"/>
  <c r="K61"/>
  <c r="L61"/>
  <c r="M61"/>
  <c r="N61"/>
  <c r="P61"/>
  <c r="D60"/>
  <c r="E60"/>
  <c r="F60"/>
  <c r="G60"/>
  <c r="H60"/>
  <c r="I60"/>
  <c r="J60"/>
  <c r="K60"/>
  <c r="L60"/>
  <c r="M60"/>
  <c r="N60"/>
  <c r="P60"/>
  <c r="C60"/>
  <c r="AF44" l="1"/>
  <c r="AC70"/>
  <c r="AD44"/>
  <c r="V126"/>
  <c r="V136"/>
  <c r="V127"/>
  <c r="V137"/>
  <c r="V90"/>
  <c r="Y23"/>
  <c r="X97"/>
  <c r="X103" s="1"/>
  <c r="V121"/>
  <c r="V120"/>
  <c r="V119"/>
  <c r="V109"/>
  <c r="V93"/>
  <c r="V99" s="1"/>
  <c r="V117"/>
  <c r="V116"/>
  <c r="W18"/>
  <c r="X20"/>
  <c r="W72"/>
  <c r="W27"/>
  <c r="W25"/>
  <c r="W90" s="1"/>
  <c r="V86"/>
  <c r="AA36"/>
  <c r="AA94" s="1"/>
  <c r="AA100" s="1"/>
  <c r="Y21"/>
  <c r="R60"/>
  <c r="R61"/>
  <c r="C46" i="15"/>
  <c r="T158" i="18" l="1"/>
  <c r="Q183" s="1"/>
  <c r="AF70"/>
  <c r="U158" s="1"/>
  <c r="AD70"/>
  <c r="W127"/>
  <c r="W137"/>
  <c r="W126"/>
  <c r="W136"/>
  <c r="Z23"/>
  <c r="Y97"/>
  <c r="Y103" s="1"/>
  <c r="W109"/>
  <c r="W121"/>
  <c r="W120"/>
  <c r="W119"/>
  <c r="W93"/>
  <c r="W99" s="1"/>
  <c r="W117"/>
  <c r="W116"/>
  <c r="X18"/>
  <c r="Y20"/>
  <c r="X72"/>
  <c r="X27"/>
  <c r="X25"/>
  <c r="W86"/>
  <c r="AB36"/>
  <c r="AB94" s="1"/>
  <c r="AB100" s="1"/>
  <c r="Z21"/>
  <c r="T170"/>
  <c r="T178" s="1"/>
  <c r="C54"/>
  <c r="D54"/>
  <c r="E54"/>
  <c r="F54"/>
  <c r="H54"/>
  <c r="I54"/>
  <c r="J54"/>
  <c r="K54"/>
  <c r="L54"/>
  <c r="L177" s="1"/>
  <c r="M54"/>
  <c r="N54"/>
  <c r="N177" s="1"/>
  <c r="P54"/>
  <c r="P191" s="1"/>
  <c r="D68"/>
  <c r="D175" s="1"/>
  <c r="E68"/>
  <c r="E175" s="1"/>
  <c r="F68"/>
  <c r="F175" s="1"/>
  <c r="G68"/>
  <c r="H68"/>
  <c r="H175" s="1"/>
  <c r="I68"/>
  <c r="I175" s="1"/>
  <c r="J68"/>
  <c r="J175" s="1"/>
  <c r="K68"/>
  <c r="K175" s="1"/>
  <c r="L68"/>
  <c r="L175" s="1"/>
  <c r="M68"/>
  <c r="M175" s="1"/>
  <c r="N68"/>
  <c r="P68"/>
  <c r="D67"/>
  <c r="E67"/>
  <c r="F67"/>
  <c r="G67"/>
  <c r="H67"/>
  <c r="I67"/>
  <c r="J67"/>
  <c r="K67"/>
  <c r="L67"/>
  <c r="M67"/>
  <c r="N67"/>
  <c r="P67"/>
  <c r="D65"/>
  <c r="E65"/>
  <c r="F65"/>
  <c r="G65"/>
  <c r="H65"/>
  <c r="I65"/>
  <c r="J65"/>
  <c r="K65"/>
  <c r="L65"/>
  <c r="M65"/>
  <c r="N65"/>
  <c r="P65"/>
  <c r="D64"/>
  <c r="D66" s="1"/>
  <c r="D174" s="1"/>
  <c r="E64"/>
  <c r="E66" s="1"/>
  <c r="E174" s="1"/>
  <c r="F64"/>
  <c r="G64"/>
  <c r="H64"/>
  <c r="I64"/>
  <c r="J64"/>
  <c r="K64"/>
  <c r="L64"/>
  <c r="M64"/>
  <c r="N64"/>
  <c r="P64"/>
  <c r="D58"/>
  <c r="E58"/>
  <c r="F58"/>
  <c r="G58"/>
  <c r="H58"/>
  <c r="I58"/>
  <c r="J58"/>
  <c r="K58"/>
  <c r="L58"/>
  <c r="M58"/>
  <c r="N58"/>
  <c r="P58"/>
  <c r="D57"/>
  <c r="D173" s="1"/>
  <c r="E57"/>
  <c r="E173" s="1"/>
  <c r="F57"/>
  <c r="F173" s="1"/>
  <c r="G57"/>
  <c r="H57"/>
  <c r="H173" s="1"/>
  <c r="I57"/>
  <c r="I173" s="1"/>
  <c r="J57"/>
  <c r="J173" s="1"/>
  <c r="K57"/>
  <c r="K173" s="1"/>
  <c r="L57"/>
  <c r="L173" s="1"/>
  <c r="M57"/>
  <c r="M173" s="1"/>
  <c r="N57"/>
  <c r="P57"/>
  <c r="C68"/>
  <c r="C175" s="1"/>
  <c r="C67"/>
  <c r="C65"/>
  <c r="C64"/>
  <c r="C58"/>
  <c r="C57"/>
  <c r="C173" s="1"/>
  <c r="D56"/>
  <c r="E56"/>
  <c r="F56"/>
  <c r="G56"/>
  <c r="H56"/>
  <c r="I56"/>
  <c r="J56"/>
  <c r="K56"/>
  <c r="L56"/>
  <c r="M56"/>
  <c r="N56"/>
  <c r="P56"/>
  <c r="C56"/>
  <c r="T124"/>
  <c r="T132"/>
  <c r="T133" s="1"/>
  <c r="T95"/>
  <c r="T101" s="1"/>
  <c r="R140" l="1"/>
  <c r="T106"/>
  <c r="S158"/>
  <c r="P183" s="1"/>
  <c r="X126"/>
  <c r="X136"/>
  <c r="X90"/>
  <c r="X127"/>
  <c r="X137"/>
  <c r="AA23"/>
  <c r="Z97"/>
  <c r="Z103" s="1"/>
  <c r="T88"/>
  <c r="T89"/>
  <c r="T130"/>
  <c r="T129"/>
  <c r="T96"/>
  <c r="T102" s="1"/>
  <c r="T125"/>
  <c r="H177"/>
  <c r="H172"/>
  <c r="H179" s="1"/>
  <c r="H180" s="1"/>
  <c r="X109"/>
  <c r="X120"/>
  <c r="X119"/>
  <c r="X121"/>
  <c r="T108"/>
  <c r="T113"/>
  <c r="T114" s="1"/>
  <c r="X93"/>
  <c r="X99" s="1"/>
  <c r="X117"/>
  <c r="X116"/>
  <c r="T107"/>
  <c r="Y18"/>
  <c r="D172"/>
  <c r="D176" s="1"/>
  <c r="D177"/>
  <c r="E172"/>
  <c r="E176" s="1"/>
  <c r="E177"/>
  <c r="C172"/>
  <c r="C176" s="1"/>
  <c r="C177"/>
  <c r="P172"/>
  <c r="P179" s="1"/>
  <c r="P177"/>
  <c r="R177" s="1"/>
  <c r="K172"/>
  <c r="K179" s="1"/>
  <c r="K180" s="1"/>
  <c r="K177"/>
  <c r="F172"/>
  <c r="F176" s="1"/>
  <c r="F177"/>
  <c r="J172"/>
  <c r="J179" s="1"/>
  <c r="J180" s="1"/>
  <c r="J177"/>
  <c r="M172"/>
  <c r="M179" s="1"/>
  <c r="M180" s="1"/>
  <c r="M177"/>
  <c r="I172"/>
  <c r="I179" s="1"/>
  <c r="I180" s="1"/>
  <c r="I177"/>
  <c r="Z20"/>
  <c r="Y72"/>
  <c r="H66"/>
  <c r="H174" s="1"/>
  <c r="Y27"/>
  <c r="U12"/>
  <c r="U15"/>
  <c r="U124" s="1"/>
  <c r="U13"/>
  <c r="U10"/>
  <c r="U16"/>
  <c r="U132" s="1"/>
  <c r="U133" s="1"/>
  <c r="U6"/>
  <c r="U7"/>
  <c r="Y25"/>
  <c r="Y90" s="1"/>
  <c r="X86"/>
  <c r="U40"/>
  <c r="T87"/>
  <c r="AC36"/>
  <c r="F66"/>
  <c r="F174" s="1"/>
  <c r="L66"/>
  <c r="L174" s="1"/>
  <c r="K66"/>
  <c r="K174" s="1"/>
  <c r="J66"/>
  <c r="J174" s="1"/>
  <c r="AA21"/>
  <c r="C66"/>
  <c r="C174" s="1"/>
  <c r="U170"/>
  <c r="U178" s="1"/>
  <c r="I66"/>
  <c r="I174" s="1"/>
  <c r="R56"/>
  <c r="G173"/>
  <c r="R57"/>
  <c r="R58"/>
  <c r="R65"/>
  <c r="R67"/>
  <c r="G172"/>
  <c r="G179" s="1"/>
  <c r="R54"/>
  <c r="G175"/>
  <c r="R68"/>
  <c r="G66"/>
  <c r="R64"/>
  <c r="N173"/>
  <c r="N172"/>
  <c r="N179" s="1"/>
  <c r="N180" s="1"/>
  <c r="N175"/>
  <c r="P173"/>
  <c r="L172"/>
  <c r="L179" s="1"/>
  <c r="L180" s="1"/>
  <c r="N66"/>
  <c r="M66"/>
  <c r="M174" s="1"/>
  <c r="P175"/>
  <c r="P66"/>
  <c r="T65"/>
  <c r="C6" i="12"/>
  <c r="C26" i="15"/>
  <c r="C58"/>
  <c r="C57"/>
  <c r="C54"/>
  <c r="C53"/>
  <c r="C50"/>
  <c r="C49"/>
  <c r="C45"/>
  <c r="P180" i="18" l="1"/>
  <c r="R179"/>
  <c r="G180"/>
  <c r="T190"/>
  <c r="T189" s="1"/>
  <c r="P190"/>
  <c r="U95"/>
  <c r="U101" s="1"/>
  <c r="U52"/>
  <c r="U91" s="1"/>
  <c r="U191"/>
  <c r="V191" s="1"/>
  <c r="W191" s="1"/>
  <c r="X191" s="1"/>
  <c r="Y191" s="1"/>
  <c r="Z191" s="1"/>
  <c r="AA191" s="1"/>
  <c r="AB191" s="1"/>
  <c r="AC191" s="1"/>
  <c r="AD191" s="1"/>
  <c r="AE191" s="1"/>
  <c r="AF191" s="1"/>
  <c r="AG191" s="1"/>
  <c r="AH191" s="1"/>
  <c r="AI191" s="1"/>
  <c r="AJ191" s="1"/>
  <c r="AK191" s="1"/>
  <c r="AL191" s="1"/>
  <c r="AM191" s="1"/>
  <c r="AN191" s="1"/>
  <c r="AO191" s="1"/>
  <c r="AP191" s="1"/>
  <c r="AQ191" s="1"/>
  <c r="AR191" s="1"/>
  <c r="AS191" s="1"/>
  <c r="AT191" s="1"/>
  <c r="U106"/>
  <c r="Y126"/>
  <c r="Y136"/>
  <c r="Y127"/>
  <c r="Y137"/>
  <c r="AF36"/>
  <c r="AC94"/>
  <c r="AB23"/>
  <c r="AA97"/>
  <c r="AA103" s="1"/>
  <c r="U130"/>
  <c r="U129"/>
  <c r="U96"/>
  <c r="U102" s="1"/>
  <c r="U125"/>
  <c r="U89"/>
  <c r="Y119"/>
  <c r="Y120"/>
  <c r="Y121"/>
  <c r="Y109"/>
  <c r="Y93"/>
  <c r="Y99" s="1"/>
  <c r="Y117"/>
  <c r="Y116"/>
  <c r="U107"/>
  <c r="U108"/>
  <c r="Z18"/>
  <c r="AA20"/>
  <c r="Z72"/>
  <c r="T64"/>
  <c r="T81"/>
  <c r="T60"/>
  <c r="T62"/>
  <c r="T176" s="1"/>
  <c r="T68"/>
  <c r="T175" s="1"/>
  <c r="T78"/>
  <c r="T80"/>
  <c r="T134" s="1"/>
  <c r="T51"/>
  <c r="T50"/>
  <c r="T171" s="1"/>
  <c r="T61"/>
  <c r="T57"/>
  <c r="T58"/>
  <c r="T67"/>
  <c r="T56"/>
  <c r="T82"/>
  <c r="T54"/>
  <c r="T177" s="1"/>
  <c r="Z27"/>
  <c r="V15"/>
  <c r="V124" s="1"/>
  <c r="V13"/>
  <c r="V12"/>
  <c r="T66"/>
  <c r="V16"/>
  <c r="V132" s="1"/>
  <c r="V133" s="1"/>
  <c r="V10"/>
  <c r="V7"/>
  <c r="V6"/>
  <c r="AD36"/>
  <c r="Z25"/>
  <c r="Z90" s="1"/>
  <c r="Y86"/>
  <c r="V40"/>
  <c r="U88"/>
  <c r="U87"/>
  <c r="U42"/>
  <c r="T75"/>
  <c r="T76"/>
  <c r="T77"/>
  <c r="T74"/>
  <c r="AB21"/>
  <c r="V170"/>
  <c r="V178" s="1"/>
  <c r="R173"/>
  <c r="R172"/>
  <c r="R175"/>
  <c r="G174"/>
  <c r="R66"/>
  <c r="N174"/>
  <c r="P174"/>
  <c r="C16" i="15"/>
  <c r="C21"/>
  <c r="C10"/>
  <c r="V95" i="18" l="1"/>
  <c r="V101" s="1"/>
  <c r="V52"/>
  <c r="V91" s="1"/>
  <c r="U192"/>
  <c r="V192" s="1"/>
  <c r="W192" s="1"/>
  <c r="X192" s="1"/>
  <c r="Y192" s="1"/>
  <c r="Z192" s="1"/>
  <c r="AA192" s="1"/>
  <c r="AB192" s="1"/>
  <c r="AC192" s="1"/>
  <c r="AD192" s="1"/>
  <c r="AE192" s="1"/>
  <c r="AF192" s="1"/>
  <c r="AG192" s="1"/>
  <c r="AH192" s="1"/>
  <c r="AI192" s="1"/>
  <c r="AJ192" s="1"/>
  <c r="AK192" s="1"/>
  <c r="AL192" s="1"/>
  <c r="AM192" s="1"/>
  <c r="AN192" s="1"/>
  <c r="AO192" s="1"/>
  <c r="AP192" s="1"/>
  <c r="AQ192" s="1"/>
  <c r="AR192" s="1"/>
  <c r="AS192" s="1"/>
  <c r="AT192" s="1"/>
  <c r="AD94"/>
  <c r="AC100"/>
  <c r="AD100" s="1"/>
  <c r="U190"/>
  <c r="V190" s="1"/>
  <c r="W190" s="1"/>
  <c r="X190" s="1"/>
  <c r="Y190" s="1"/>
  <c r="Z190" s="1"/>
  <c r="AA190" s="1"/>
  <c r="AB190" s="1"/>
  <c r="AC190" s="1"/>
  <c r="AD190" s="1"/>
  <c r="V106"/>
  <c r="U111"/>
  <c r="U112" s="1"/>
  <c r="U113" s="1"/>
  <c r="U114" s="1"/>
  <c r="U55"/>
  <c r="Z126"/>
  <c r="Z136"/>
  <c r="Z127"/>
  <c r="Z137"/>
  <c r="AC23"/>
  <c r="AB97"/>
  <c r="AB103" s="1"/>
  <c r="V96"/>
  <c r="V102" s="1"/>
  <c r="V125"/>
  <c r="V130"/>
  <c r="V129"/>
  <c r="V89"/>
  <c r="Z121"/>
  <c r="Z120"/>
  <c r="Z119"/>
  <c r="Z109"/>
  <c r="U64"/>
  <c r="Z93"/>
  <c r="Z99" s="1"/>
  <c r="Z117"/>
  <c r="Z116"/>
  <c r="V107"/>
  <c r="V108"/>
  <c r="U60"/>
  <c r="AA18"/>
  <c r="AB20"/>
  <c r="AA72"/>
  <c r="U62"/>
  <c r="U176" s="1"/>
  <c r="U68"/>
  <c r="U175" s="1"/>
  <c r="U78"/>
  <c r="U80"/>
  <c r="U134" s="1"/>
  <c r="U50"/>
  <c r="U171" s="1"/>
  <c r="U51"/>
  <c r="U57"/>
  <c r="U56"/>
  <c r="U67"/>
  <c r="U82"/>
  <c r="U61"/>
  <c r="U58"/>
  <c r="U54"/>
  <c r="U177" s="1"/>
  <c r="U65"/>
  <c r="U81"/>
  <c r="AA27"/>
  <c r="W13"/>
  <c r="W12"/>
  <c r="W15"/>
  <c r="W124" s="1"/>
  <c r="W10"/>
  <c r="W16"/>
  <c r="W132" s="1"/>
  <c r="W133" s="1"/>
  <c r="W6"/>
  <c r="W7"/>
  <c r="W40"/>
  <c r="V88"/>
  <c r="V87"/>
  <c r="AA25"/>
  <c r="AA90" s="1"/>
  <c r="Z86"/>
  <c r="V42"/>
  <c r="U77"/>
  <c r="U76"/>
  <c r="U75"/>
  <c r="U74"/>
  <c r="AC21"/>
  <c r="AF21" s="1"/>
  <c r="T174"/>
  <c r="W170"/>
  <c r="W178" s="1"/>
  <c r="T172"/>
  <c r="T179" s="1"/>
  <c r="T173"/>
  <c r="R174"/>
  <c r="D31" i="8"/>
  <c r="D29"/>
  <c r="D28"/>
  <c r="D13"/>
  <c r="D30" s="1"/>
  <c r="E14"/>
  <c r="F14" s="1"/>
  <c r="G14" s="1"/>
  <c r="H14" s="1"/>
  <c r="I14" s="1"/>
  <c r="W95" i="18" l="1"/>
  <c r="W101" s="1"/>
  <c r="W52"/>
  <c r="W91" s="1"/>
  <c r="U189"/>
  <c r="V189" s="1"/>
  <c r="W189" s="1"/>
  <c r="X189" s="1"/>
  <c r="Y189" s="1"/>
  <c r="Z189" s="1"/>
  <c r="AA189" s="1"/>
  <c r="AB189" s="1"/>
  <c r="AC189" s="1"/>
  <c r="AD189" s="1"/>
  <c r="AE190"/>
  <c r="AF190" s="1"/>
  <c r="AG190" s="1"/>
  <c r="AH190" s="1"/>
  <c r="AI190" s="1"/>
  <c r="AJ190" s="1"/>
  <c r="AK190" s="1"/>
  <c r="AL190" s="1"/>
  <c r="AM190" s="1"/>
  <c r="AN190" s="1"/>
  <c r="AO190" s="1"/>
  <c r="AP190" s="1"/>
  <c r="AQ190" s="1"/>
  <c r="AR190" s="1"/>
  <c r="AS190" s="1"/>
  <c r="AT190" s="1"/>
  <c r="W106"/>
  <c r="V111"/>
  <c r="V112" s="1"/>
  <c r="V113" s="1"/>
  <c r="V114" s="1"/>
  <c r="V55"/>
  <c r="AA126"/>
  <c r="AA136"/>
  <c r="AA127"/>
  <c r="AA137"/>
  <c r="AF23"/>
  <c r="AC97"/>
  <c r="AD23"/>
  <c r="W89"/>
  <c r="W129"/>
  <c r="W130"/>
  <c r="W96"/>
  <c r="W102" s="1"/>
  <c r="W125"/>
  <c r="AA121"/>
  <c r="AA120"/>
  <c r="AA119"/>
  <c r="AA109"/>
  <c r="V64"/>
  <c r="U66"/>
  <c r="U174" s="1"/>
  <c r="AA93"/>
  <c r="AA99" s="1"/>
  <c r="AA117"/>
  <c r="AA116"/>
  <c r="W108"/>
  <c r="W107"/>
  <c r="AB18"/>
  <c r="AC20"/>
  <c r="AB72"/>
  <c r="V82"/>
  <c r="V81"/>
  <c r="V60"/>
  <c r="V68"/>
  <c r="V175" s="1"/>
  <c r="V67"/>
  <c r="V62"/>
  <c r="V176" s="1"/>
  <c r="V65"/>
  <c r="V56"/>
  <c r="V78"/>
  <c r="V80"/>
  <c r="V134" s="1"/>
  <c r="V51"/>
  <c r="V50"/>
  <c r="V171" s="1"/>
  <c r="V61"/>
  <c r="V57"/>
  <c r="V58"/>
  <c r="V54"/>
  <c r="V177" s="1"/>
  <c r="AB27"/>
  <c r="X12"/>
  <c r="X15"/>
  <c r="X124" s="1"/>
  <c r="X13"/>
  <c r="X16"/>
  <c r="X132" s="1"/>
  <c r="X133" s="1"/>
  <c r="X10"/>
  <c r="X7"/>
  <c r="X6"/>
  <c r="AB25"/>
  <c r="AA86"/>
  <c r="X40"/>
  <c r="W87"/>
  <c r="W88"/>
  <c r="W42"/>
  <c r="V77"/>
  <c r="V75"/>
  <c r="V76"/>
  <c r="V74"/>
  <c r="AD21"/>
  <c r="X170"/>
  <c r="X178" s="1"/>
  <c r="U172"/>
  <c r="U179" s="1"/>
  <c r="U173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X95" i="18" l="1"/>
  <c r="X101" s="1"/>
  <c r="X52"/>
  <c r="X91" s="1"/>
  <c r="AE189"/>
  <c r="AF189" s="1"/>
  <c r="AG189" s="1"/>
  <c r="AH189" s="1"/>
  <c r="AI189" s="1"/>
  <c r="AJ189" s="1"/>
  <c r="AK189" s="1"/>
  <c r="AL189" s="1"/>
  <c r="AM189" s="1"/>
  <c r="AN189" s="1"/>
  <c r="AO189" s="1"/>
  <c r="AP189" s="1"/>
  <c r="AQ189" s="1"/>
  <c r="AR189" s="1"/>
  <c r="AS189" s="1"/>
  <c r="AT189" s="1"/>
  <c r="AD97"/>
  <c r="AC103"/>
  <c r="AD103" s="1"/>
  <c r="X106"/>
  <c r="W111"/>
  <c r="W112" s="1"/>
  <c r="W113" s="1"/>
  <c r="W114" s="1"/>
  <c r="W55"/>
  <c r="AB126"/>
  <c r="AB136"/>
  <c r="AB127"/>
  <c r="AB137"/>
  <c r="AF20"/>
  <c r="AB90"/>
  <c r="X130"/>
  <c r="X129"/>
  <c r="X96"/>
  <c r="X102" s="1"/>
  <c r="X125"/>
  <c r="X89"/>
  <c r="AB120"/>
  <c r="AB119"/>
  <c r="AB121"/>
  <c r="AB109"/>
  <c r="V66"/>
  <c r="V174" s="1"/>
  <c r="AB93"/>
  <c r="AB99" s="1"/>
  <c r="AB117"/>
  <c r="AB116"/>
  <c r="W67"/>
  <c r="X108"/>
  <c r="X107"/>
  <c r="AC18"/>
  <c r="W82"/>
  <c r="W58"/>
  <c r="W65"/>
  <c r="AD20"/>
  <c r="AC72"/>
  <c r="W56"/>
  <c r="W64"/>
  <c r="W61"/>
  <c r="W81"/>
  <c r="W57"/>
  <c r="W62"/>
  <c r="W176" s="1"/>
  <c r="W78"/>
  <c r="W80"/>
  <c r="W134" s="1"/>
  <c r="W50"/>
  <c r="W171" s="1"/>
  <c r="W51"/>
  <c r="W60"/>
  <c r="W68"/>
  <c r="W175" s="1"/>
  <c r="W54"/>
  <c r="W177" s="1"/>
  <c r="AC27"/>
  <c r="AC137" s="1"/>
  <c r="AD137" s="1"/>
  <c r="Y15"/>
  <c r="Y124" s="1"/>
  <c r="Y13"/>
  <c r="Y12"/>
  <c r="Y10"/>
  <c r="Y16"/>
  <c r="Y132" s="1"/>
  <c r="Y133" s="1"/>
  <c r="Y6"/>
  <c r="Y7"/>
  <c r="Y40"/>
  <c r="X88"/>
  <c r="X87"/>
  <c r="AC25"/>
  <c r="AC90" s="1"/>
  <c r="AD90" s="1"/>
  <c r="AB86"/>
  <c r="X42"/>
  <c r="W77"/>
  <c r="W75"/>
  <c r="W76"/>
  <c r="W74"/>
  <c r="Y170"/>
  <c r="Y178" s="1"/>
  <c r="V172"/>
  <c r="V179" s="1"/>
  <c r="V173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Y95" i="18" l="1"/>
  <c r="Y101" s="1"/>
  <c r="Y52"/>
  <c r="Y91" s="1"/>
  <c r="Y106"/>
  <c r="X111"/>
  <c r="X112" s="1"/>
  <c r="X113" s="1"/>
  <c r="X114" s="1"/>
  <c r="X55"/>
  <c r="AC126"/>
  <c r="AD126" s="1"/>
  <c r="AC136"/>
  <c r="AD136" s="1"/>
  <c r="Y96"/>
  <c r="Y102" s="1"/>
  <c r="Y125"/>
  <c r="Y130"/>
  <c r="Y129"/>
  <c r="AF27"/>
  <c r="AC127"/>
  <c r="AD127" s="1"/>
  <c r="Y89"/>
  <c r="AC119"/>
  <c r="AD119" s="1"/>
  <c r="AC121"/>
  <c r="AD121" s="1"/>
  <c r="AC120"/>
  <c r="AD120" s="1"/>
  <c r="N32" i="9"/>
  <c r="N33" s="1"/>
  <c r="N34" s="1"/>
  <c r="N35" s="1"/>
  <c r="N36" s="1"/>
  <c r="N37" s="1"/>
  <c r="N38" s="1"/>
  <c r="N39" s="1"/>
  <c r="N40" s="1"/>
  <c r="N41" s="1"/>
  <c r="N42" s="1"/>
  <c r="M45"/>
  <c r="AC109" i="18"/>
  <c r="AD109" s="1"/>
  <c r="W66"/>
  <c r="W174" s="1"/>
  <c r="X65"/>
  <c r="AC93"/>
  <c r="AC117"/>
  <c r="AD117" s="1"/>
  <c r="AC116"/>
  <c r="AD116" s="1"/>
  <c r="Y108"/>
  <c r="Y107"/>
  <c r="AF25"/>
  <c r="AF18"/>
  <c r="AD18"/>
  <c r="T160"/>
  <c r="AF72"/>
  <c r="AD72"/>
  <c r="M32" i="9"/>
  <c r="M33" s="1"/>
  <c r="M34" s="1"/>
  <c r="M35" s="1"/>
  <c r="M36" s="1"/>
  <c r="M37" s="1"/>
  <c r="M38" s="1"/>
  <c r="M39" s="1"/>
  <c r="M40" s="1"/>
  <c r="M41" s="1"/>
  <c r="P32"/>
  <c r="X68" i="18"/>
  <c r="X175" s="1"/>
  <c r="X67"/>
  <c r="X62"/>
  <c r="X176" s="1"/>
  <c r="X64"/>
  <c r="X61"/>
  <c r="X81"/>
  <c r="X60"/>
  <c r="X82"/>
  <c r="X78"/>
  <c r="X80"/>
  <c r="X134" s="1"/>
  <c r="X51"/>
  <c r="X50"/>
  <c r="X171" s="1"/>
  <c r="X56"/>
  <c r="X57"/>
  <c r="X58"/>
  <c r="X54"/>
  <c r="X177" s="1"/>
  <c r="AD27"/>
  <c r="Z12"/>
  <c r="Z15"/>
  <c r="Z124" s="1"/>
  <c r="Z13"/>
  <c r="Z10"/>
  <c r="Z16"/>
  <c r="Z132" s="1"/>
  <c r="Z133" s="1"/>
  <c r="Z7"/>
  <c r="Z6"/>
  <c r="AD25"/>
  <c r="AC86"/>
  <c r="AD86" s="1"/>
  <c r="Z40"/>
  <c r="Y88"/>
  <c r="Y87"/>
  <c r="O31" i="9"/>
  <c r="O32" s="1"/>
  <c r="Y42" i="18"/>
  <c r="X77"/>
  <c r="X75"/>
  <c r="X76"/>
  <c r="X74"/>
  <c r="Z170"/>
  <c r="Z178" s="1"/>
  <c r="W172"/>
  <c r="W179" s="1"/>
  <c r="W173"/>
  <c r="P31" i="11"/>
  <c r="N32"/>
  <c r="T19" i="9"/>
  <c r="D22"/>
  <c r="Z95" i="18" l="1"/>
  <c r="Z101" s="1"/>
  <c r="Z52"/>
  <c r="Z91" s="1"/>
  <c r="AD93"/>
  <c r="AC99"/>
  <c r="AD99" s="1"/>
  <c r="Z106"/>
  <c r="Y111"/>
  <c r="Y112" s="1"/>
  <c r="Y113" s="1"/>
  <c r="Y114" s="1"/>
  <c r="Y55"/>
  <c r="Z130"/>
  <c r="Z129"/>
  <c r="Z96"/>
  <c r="Z102" s="1"/>
  <c r="Z125"/>
  <c r="Z89"/>
  <c r="X66"/>
  <c r="X174" s="1"/>
  <c r="Y58"/>
  <c r="Z107"/>
  <c r="Z108"/>
  <c r="U160"/>
  <c r="S160" s="1"/>
  <c r="Y60"/>
  <c r="Y67"/>
  <c r="Y54"/>
  <c r="Y177" s="1"/>
  <c r="Y62"/>
  <c r="Y176" s="1"/>
  <c r="Y57"/>
  <c r="Y56"/>
  <c r="Y78"/>
  <c r="Y80"/>
  <c r="Y134" s="1"/>
  <c r="Y51"/>
  <c r="Y50"/>
  <c r="Y171" s="1"/>
  <c r="Y82"/>
  <c r="Y61"/>
  <c r="Y68"/>
  <c r="Y175" s="1"/>
  <c r="Y65"/>
  <c r="Y64"/>
  <c r="Y81"/>
  <c r="AA13"/>
  <c r="AA12"/>
  <c r="AA15"/>
  <c r="AA124" s="1"/>
  <c r="AA10"/>
  <c r="AA16"/>
  <c r="AA132" s="1"/>
  <c r="AA133" s="1"/>
  <c r="AA6"/>
  <c r="AA7"/>
  <c r="AA40"/>
  <c r="Z88"/>
  <c r="Z87"/>
  <c r="Z42"/>
  <c r="Y77"/>
  <c r="Y75"/>
  <c r="Y76"/>
  <c r="Y74"/>
  <c r="AA170"/>
  <c r="AA178" s="1"/>
  <c r="X172"/>
  <c r="X179" s="1"/>
  <c r="X173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A95" i="18" l="1"/>
  <c r="AA101" s="1"/>
  <c r="AA52"/>
  <c r="AA91" s="1"/>
  <c r="AA106"/>
  <c r="Z111"/>
  <c r="Z112" s="1"/>
  <c r="Z113" s="1"/>
  <c r="Z114" s="1"/>
  <c r="Z55"/>
  <c r="AA96"/>
  <c r="AA102" s="1"/>
  <c r="AA125"/>
  <c r="AA129"/>
  <c r="AA130"/>
  <c r="AA89"/>
  <c r="AA107"/>
  <c r="AA108"/>
  <c r="Y66"/>
  <c r="Y174" s="1"/>
  <c r="Z78"/>
  <c r="Z80"/>
  <c r="Z134" s="1"/>
  <c r="Z50"/>
  <c r="Z171" s="1"/>
  <c r="Z51"/>
  <c r="Z62"/>
  <c r="Z176" s="1"/>
  <c r="Z68"/>
  <c r="Z175" s="1"/>
  <c r="Z67"/>
  <c r="Z65"/>
  <c r="Z56"/>
  <c r="Z54"/>
  <c r="Z177" s="1"/>
  <c r="Z61"/>
  <c r="Z57"/>
  <c r="Z58"/>
  <c r="Z64"/>
  <c r="Z81"/>
  <c r="Z60"/>
  <c r="Z82"/>
  <c r="AB12"/>
  <c r="AB15"/>
  <c r="AB124" s="1"/>
  <c r="AB13"/>
  <c r="AB10"/>
  <c r="AB16"/>
  <c r="AB132" s="1"/>
  <c r="AB133" s="1"/>
  <c r="AB7"/>
  <c r="AB6"/>
  <c r="AB40"/>
  <c r="AA87"/>
  <c r="AA88"/>
  <c r="AA42"/>
  <c r="Z77"/>
  <c r="Z75"/>
  <c r="Z76"/>
  <c r="Z74"/>
  <c r="AB170"/>
  <c r="AB178" s="1"/>
  <c r="Y172"/>
  <c r="Y179" s="1"/>
  <c r="Y173"/>
  <c r="N34" i="11"/>
  <c r="O33"/>
  <c r="D25" i="8"/>
  <c r="D23"/>
  <c r="AB95" i="18" l="1"/>
  <c r="AB101" s="1"/>
  <c r="AB52"/>
  <c r="AB91" s="1"/>
  <c r="AB106"/>
  <c r="AA111"/>
  <c r="AA112" s="1"/>
  <c r="AA113" s="1"/>
  <c r="AA114" s="1"/>
  <c r="AA55"/>
  <c r="AB89"/>
  <c r="AB129"/>
  <c r="AB130"/>
  <c r="AB96"/>
  <c r="AB102" s="1"/>
  <c r="AB125"/>
  <c r="AB107"/>
  <c r="AB108"/>
  <c r="Z66"/>
  <c r="Z174" s="1"/>
  <c r="AA78"/>
  <c r="AA80"/>
  <c r="AA134" s="1"/>
  <c r="AA51"/>
  <c r="AA50"/>
  <c r="AA171" s="1"/>
  <c r="AA56"/>
  <c r="AA67"/>
  <c r="AA57"/>
  <c r="AA62"/>
  <c r="AA176" s="1"/>
  <c r="AA65"/>
  <c r="AA64"/>
  <c r="AA82"/>
  <c r="AA68"/>
  <c r="AA175" s="1"/>
  <c r="AA54"/>
  <c r="AA177" s="1"/>
  <c r="AA61"/>
  <c r="AA81"/>
  <c r="AA60"/>
  <c r="AA58"/>
  <c r="AC15"/>
  <c r="AC13"/>
  <c r="AF13" s="1"/>
  <c r="AC12"/>
  <c r="AC125" s="1"/>
  <c r="AD125" s="1"/>
  <c r="AC10"/>
  <c r="AC16"/>
  <c r="AC6"/>
  <c r="AF6" s="1"/>
  <c r="AC7"/>
  <c r="AF7" s="1"/>
  <c r="AC40"/>
  <c r="AB88"/>
  <c r="AB87"/>
  <c r="AB42"/>
  <c r="AA77"/>
  <c r="AA75"/>
  <c r="AA76"/>
  <c r="AA74"/>
  <c r="AC170"/>
  <c r="AC178" s="1"/>
  <c r="Z172"/>
  <c r="Z179" s="1"/>
  <c r="Z173"/>
  <c r="N35" i="11"/>
  <c r="O34"/>
  <c r="D35" i="8"/>
  <c r="E5"/>
  <c r="E18" s="1"/>
  <c r="D18"/>
  <c r="D19"/>
  <c r="D21"/>
  <c r="D20"/>
  <c r="AC95" i="18" l="1"/>
  <c r="AC101" s="1"/>
  <c r="AD101" s="1"/>
  <c r="AC52"/>
  <c r="AC106"/>
  <c r="AD178"/>
  <c r="AF178" s="1"/>
  <c r="AB111"/>
  <c r="AB112" s="1"/>
  <c r="AB113" s="1"/>
  <c r="AB114" s="1"/>
  <c r="AB55"/>
  <c r="AF16"/>
  <c r="AC132"/>
  <c r="AC130"/>
  <c r="AD130" s="1"/>
  <c r="AC129"/>
  <c r="AD129" s="1"/>
  <c r="AF15"/>
  <c r="AC124"/>
  <c r="AD124" s="1"/>
  <c r="AC89"/>
  <c r="AD89" s="1"/>
  <c r="AF10"/>
  <c r="AD106"/>
  <c r="AF12"/>
  <c r="AC96"/>
  <c r="AF40"/>
  <c r="AC107"/>
  <c r="AD107" s="1"/>
  <c r="AC108"/>
  <c r="AD108" s="1"/>
  <c r="AA66"/>
  <c r="AA174" s="1"/>
  <c r="AB78"/>
  <c r="AB80"/>
  <c r="AB134" s="1"/>
  <c r="AB50"/>
  <c r="AB171" s="1"/>
  <c r="AB51"/>
  <c r="AB60"/>
  <c r="AB68"/>
  <c r="AB175" s="1"/>
  <c r="AB54"/>
  <c r="AB177" s="1"/>
  <c r="AB62"/>
  <c r="AB176" s="1"/>
  <c r="AB65"/>
  <c r="AB81"/>
  <c r="AB56"/>
  <c r="AB57"/>
  <c r="AB58"/>
  <c r="AB61"/>
  <c r="AB82"/>
  <c r="AB64"/>
  <c r="AB67"/>
  <c r="AD15"/>
  <c r="AD13"/>
  <c r="T154"/>
  <c r="AD12"/>
  <c r="AD10"/>
  <c r="AD16"/>
  <c r="AD7"/>
  <c r="AD6"/>
  <c r="AC88"/>
  <c r="AD88" s="1"/>
  <c r="AC87"/>
  <c r="AD87" s="1"/>
  <c r="AD40"/>
  <c r="AC42"/>
  <c r="AB77"/>
  <c r="AB75"/>
  <c r="AB76"/>
  <c r="AB74"/>
  <c r="AD170"/>
  <c r="AF170" s="1"/>
  <c r="AA172"/>
  <c r="AA179" s="1"/>
  <c r="AA173"/>
  <c r="N36" i="11"/>
  <c r="O35"/>
  <c r="F5" i="8"/>
  <c r="G5" s="1"/>
  <c r="H5" s="1"/>
  <c r="I5" s="1"/>
  <c r="AD95" i="18" l="1"/>
  <c r="AC91"/>
  <c r="AD91" s="1"/>
  <c r="AD52"/>
  <c r="AF52"/>
  <c r="AD96"/>
  <c r="AC102"/>
  <c r="AD102" s="1"/>
  <c r="AC111"/>
  <c r="AC112" s="1"/>
  <c r="AC113" s="1"/>
  <c r="AC114" s="1"/>
  <c r="AC55"/>
  <c r="AD132"/>
  <c r="AC133"/>
  <c r="AD133" s="1"/>
  <c r="AF42"/>
  <c r="U154"/>
  <c r="U155" s="1"/>
  <c r="AB66"/>
  <c r="AB174" s="1"/>
  <c r="AC78"/>
  <c r="AC80"/>
  <c r="AC50"/>
  <c r="AC171" s="1"/>
  <c r="AD171" s="1"/>
  <c r="AF171" s="1"/>
  <c r="AC51"/>
  <c r="AC60"/>
  <c r="AC65"/>
  <c r="AC54"/>
  <c r="AC62"/>
  <c r="AC58"/>
  <c r="AC81"/>
  <c r="AC57"/>
  <c r="AF57" s="1"/>
  <c r="AC56"/>
  <c r="AC67"/>
  <c r="AC82"/>
  <c r="AC61"/>
  <c r="AC68"/>
  <c r="AC64"/>
  <c r="T155"/>
  <c r="Q186" s="1"/>
  <c r="AC77"/>
  <c r="AC75"/>
  <c r="AD42"/>
  <c r="AC76"/>
  <c r="AC74"/>
  <c r="AB172"/>
  <c r="AB179" s="1"/>
  <c r="AB173"/>
  <c r="N37" i="11"/>
  <c r="O36"/>
  <c r="F18" i="8"/>
  <c r="G18"/>
  <c r="AF54" i="18" l="1"/>
  <c r="AC177"/>
  <c r="AF55"/>
  <c r="AD55"/>
  <c r="AF80"/>
  <c r="AC134"/>
  <c r="AD134" s="1"/>
  <c r="AD111"/>
  <c r="S154"/>
  <c r="S155"/>
  <c r="AD81"/>
  <c r="AF81"/>
  <c r="AD51"/>
  <c r="AF51"/>
  <c r="T151"/>
  <c r="AF67"/>
  <c r="AC175"/>
  <c r="AD175" s="1"/>
  <c r="AF175" s="1"/>
  <c r="AF68"/>
  <c r="AD50"/>
  <c r="AF50"/>
  <c r="AD65"/>
  <c r="AF65"/>
  <c r="T145"/>
  <c r="AF64"/>
  <c r="T144"/>
  <c r="AF58"/>
  <c r="AC176"/>
  <c r="AD176" s="1"/>
  <c r="AF176" s="1"/>
  <c r="AF62"/>
  <c r="AD61"/>
  <c r="AF61"/>
  <c r="T142"/>
  <c r="Q185" s="1"/>
  <c r="AF56"/>
  <c r="T147"/>
  <c r="AF60"/>
  <c r="AD82"/>
  <c r="AF82"/>
  <c r="T167"/>
  <c r="Q187" s="1"/>
  <c r="AF78"/>
  <c r="T165"/>
  <c r="AF77"/>
  <c r="T164"/>
  <c r="AF76"/>
  <c r="T162"/>
  <c r="AF74"/>
  <c r="T163"/>
  <c r="AF75"/>
  <c r="AD67"/>
  <c r="T148"/>
  <c r="AD56"/>
  <c r="AD58"/>
  <c r="U144" s="1"/>
  <c r="AD60"/>
  <c r="T149"/>
  <c r="Q184" s="1"/>
  <c r="AD78"/>
  <c r="AD64"/>
  <c r="T152"/>
  <c r="AC66"/>
  <c r="AD62"/>
  <c r="AD68"/>
  <c r="AD80"/>
  <c r="AD76"/>
  <c r="AD75"/>
  <c r="AD74"/>
  <c r="AD77"/>
  <c r="T141"/>
  <c r="Q188" s="1"/>
  <c r="Q189" s="1"/>
  <c r="AD54"/>
  <c r="AC172"/>
  <c r="AC179" s="1"/>
  <c r="AD179" s="1"/>
  <c r="AD57"/>
  <c r="U143" s="1"/>
  <c r="AC173"/>
  <c r="T143"/>
  <c r="N38" i="11"/>
  <c r="O37"/>
  <c r="H18" i="8"/>
  <c r="M186" i="18" l="1"/>
  <c r="P186"/>
  <c r="AD177"/>
  <c r="AF177" s="1"/>
  <c r="U141"/>
  <c r="S141" s="1"/>
  <c r="AD112"/>
  <c r="U152"/>
  <c r="S152" s="1"/>
  <c r="U142"/>
  <c r="S142" s="1"/>
  <c r="U151"/>
  <c r="S151" s="1"/>
  <c r="U147"/>
  <c r="S147" s="1"/>
  <c r="U149"/>
  <c r="S149" s="1"/>
  <c r="P184" s="1"/>
  <c r="U167"/>
  <c r="S167" s="1"/>
  <c r="P187" s="1"/>
  <c r="U164"/>
  <c r="S164" s="1"/>
  <c r="AD66"/>
  <c r="AF66"/>
  <c r="U145"/>
  <c r="S145" s="1"/>
  <c r="S144"/>
  <c r="U148"/>
  <c r="S148" s="1"/>
  <c r="U162"/>
  <c r="S162" s="1"/>
  <c r="AC174"/>
  <c r="AD174" s="1"/>
  <c r="AF174" s="1"/>
  <c r="U165"/>
  <c r="S165" s="1"/>
  <c r="U163"/>
  <c r="S163" s="1"/>
  <c r="AD173"/>
  <c r="AF173" s="1"/>
  <c r="AD172"/>
  <c r="AF172" s="1"/>
  <c r="AF179" s="1"/>
  <c r="S143"/>
  <c r="N39" i="11"/>
  <c r="O38"/>
  <c r="I18" i="8"/>
  <c r="M185" i="18" l="1"/>
  <c r="P185"/>
  <c r="P188"/>
  <c r="P189" s="1"/>
  <c r="M187"/>
  <c r="M184"/>
  <c r="AD114"/>
  <c r="AD113"/>
  <c r="N40" i="11"/>
  <c r="O39"/>
  <c r="N41" l="1"/>
  <c r="O40"/>
  <c r="N42" l="1"/>
  <c r="O41"/>
</calcChain>
</file>

<file path=xl/comments1.xml><?xml version="1.0" encoding="utf-8"?>
<comments xmlns="http://schemas.openxmlformats.org/spreadsheetml/2006/main">
  <authors>
    <author>Author</author>
  </authors>
  <commentList>
    <comment ref="B13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7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<sst xmlns="http://schemas.openxmlformats.org/spreadsheetml/2006/main" count="643" uniqueCount="452">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</sst>
</file>

<file path=xl/styles.xml><?xml version="1.0" encoding="utf-8"?>
<styleSheet xmlns="http://schemas.openxmlformats.org/spreadsheetml/2006/main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theme="5" tint="0.39997558519241921"/>
      <name val="Cambria"/>
      <family val="1"/>
      <scheme val="major"/>
    </font>
    <font>
      <b/>
      <sz val="10"/>
      <color theme="5" tint="0.3999755851924192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7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175" fontId="16" fillId="5" borderId="1" xfId="2" applyNumberFormat="1" applyFont="1" applyFill="1" applyBorder="1"/>
    <xf numFmtId="9" fontId="17" fillId="5" borderId="1" xfId="1" applyNumberFormat="1" applyFont="1" applyFill="1" applyBorder="1"/>
    <xf numFmtId="9" fontId="17" fillId="5" borderId="1" xfId="1" applyFont="1" applyFill="1" applyBorder="1"/>
    <xf numFmtId="0" fontId="16" fillId="5" borderId="1" xfId="0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dLbls/>
        <c:marker val="1"/>
        <c:axId val="79966592"/>
        <c:axId val="79968128"/>
      </c:lineChart>
      <c:catAx>
        <c:axId val="79966592"/>
        <c:scaling>
          <c:orientation val="minMax"/>
        </c:scaling>
        <c:axPos val="b"/>
        <c:tickLblPos val="nextTo"/>
        <c:crossAx val="79968128"/>
        <c:crosses val="autoZero"/>
        <c:auto val="1"/>
        <c:lblAlgn val="ctr"/>
        <c:lblOffset val="100"/>
      </c:catAx>
      <c:valAx>
        <c:axId val="79968128"/>
        <c:scaling>
          <c:orientation val="minMax"/>
        </c:scaling>
        <c:axPos val="l"/>
        <c:majorGridlines/>
        <c:numFmt formatCode="General" sourceLinked="1"/>
        <c:tickLblPos val="nextTo"/>
        <c:crossAx val="79966592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279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267</v>
      </c>
      <c r="C33" s="132">
        <v>3.44E-2</v>
      </c>
      <c r="D33" s="20"/>
      <c r="E33" s="20"/>
      <c r="F33" s="20"/>
      <c r="G33" s="20"/>
    </row>
    <row r="34" spans="2:7">
      <c r="B34" s="20" t="s">
        <v>266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AT221"/>
  <sheetViews>
    <sheetView tabSelected="1" zoomScale="80" zoomScaleNormal="80" workbookViewId="0">
      <pane xSplit="2" ySplit="3" topLeftCell="C136" activePane="bottomRight" state="frozen"/>
      <selection pane="topRight" activeCell="C1" sqref="C1"/>
      <selection pane="bottomLeft" activeCell="A5" sqref="A5"/>
      <selection pane="bottomRight" activeCell="G170" sqref="G170:Q170"/>
    </sheetView>
  </sheetViews>
  <sheetFormatPr defaultRowHeight="12.75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398</v>
      </c>
      <c r="P1" s="164">
        <v>0.05</v>
      </c>
    </row>
    <row r="2" spans="2:3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0.12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200" t="s">
        <v>291</v>
      </c>
      <c r="AF2" s="201"/>
    </row>
    <row r="3" spans="2:3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202" t="s">
        <v>292</v>
      </c>
      <c r="AF3" s="203"/>
    </row>
    <row r="4" spans="2:3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>
      <c r="B6" s="20" t="s">
        <v>16</v>
      </c>
      <c r="C6" s="141"/>
      <c r="D6" s="141"/>
      <c r="E6" s="147"/>
      <c r="F6" s="147"/>
      <c r="G6" s="147">
        <v>3380</v>
      </c>
      <c r="H6" s="147">
        <v>4561</v>
      </c>
      <c r="I6" s="147">
        <v>5025</v>
      </c>
      <c r="J6" s="147">
        <v>6338</v>
      </c>
      <c r="K6" s="147">
        <v>13971</v>
      </c>
      <c r="L6" s="147">
        <v>14072</v>
      </c>
      <c r="M6" s="147">
        <v>20956</v>
      </c>
      <c r="N6" s="147">
        <v>26997</v>
      </c>
      <c r="O6" s="147">
        <v>34136</v>
      </c>
      <c r="P6" s="147">
        <v>42155</v>
      </c>
      <c r="Q6" s="193">
        <f>P6</f>
        <v>42155</v>
      </c>
      <c r="R6" s="118">
        <f>((Q6/G6)^(1/($H$2-$H$1) ))-1</f>
        <v>0.32364116729030856</v>
      </c>
      <c r="S6" s="31">
        <f>$L$2</f>
        <v>0.12</v>
      </c>
      <c r="T6" s="154">
        <f>Q6*(1+$S6)</f>
        <v>47213.600000000006</v>
      </c>
      <c r="U6" s="154">
        <f>T6*(1+$S6)</f>
        <v>52879.232000000011</v>
      </c>
      <c r="V6" s="154">
        <f t="shared" ref="V6:AC6" si="0">U6*(1+$S6)</f>
        <v>59224.739840000017</v>
      </c>
      <c r="W6" s="154">
        <f t="shared" si="0"/>
        <v>66331.708620800026</v>
      </c>
      <c r="X6" s="154">
        <f t="shared" si="0"/>
        <v>74291.513655296032</v>
      </c>
      <c r="Y6" s="154">
        <f t="shared" si="0"/>
        <v>83206.49529393157</v>
      </c>
      <c r="Z6" s="154">
        <f t="shared" si="0"/>
        <v>93191.27472920336</v>
      </c>
      <c r="AA6" s="154">
        <f t="shared" si="0"/>
        <v>104374.22769670778</v>
      </c>
      <c r="AB6" s="154">
        <f t="shared" si="0"/>
        <v>116899.13502031272</v>
      </c>
      <c r="AC6" s="154">
        <f t="shared" si="0"/>
        <v>130927.03122275026</v>
      </c>
      <c r="AD6" s="138">
        <f>((AC6/G6)^(1/($AC$3-$H$1) ))-1</f>
        <v>0.20062015873774119</v>
      </c>
      <c r="AE6" s="31">
        <f>$L$1</f>
        <v>0.05</v>
      </c>
      <c r="AF6" s="146">
        <f t="shared" ref="AF6:AF44" si="1">(AC6*(1+AE6))/($C$1-AE6)</f>
        <v>808666.95755228121</v>
      </c>
    </row>
    <row r="7" spans="2:32">
      <c r="B7" s="20" t="s">
        <v>240</v>
      </c>
      <c r="C7" s="141"/>
      <c r="D7" s="141"/>
      <c r="E7" s="147"/>
      <c r="F7" s="147"/>
      <c r="G7" s="147">
        <v>9697</v>
      </c>
      <c r="H7" s="147">
        <v>10878</v>
      </c>
      <c r="I7" s="147">
        <v>11341</v>
      </c>
      <c r="J7" s="147">
        <v>12654</v>
      </c>
      <c r="K7" s="147">
        <v>20288</v>
      </c>
      <c r="L7" s="147">
        <v>20388</v>
      </c>
      <c r="M7" s="147">
        <v>27272</v>
      </c>
      <c r="N7" s="147">
        <v>33314</v>
      </c>
      <c r="O7" s="147">
        <v>40453</v>
      </c>
      <c r="P7" s="147">
        <v>48471</v>
      </c>
      <c r="Q7" s="193">
        <f>P7</f>
        <v>48471</v>
      </c>
      <c r="R7" s="118">
        <f>((Q7/G7)^(1/($H$2-$H$1) ))-1</f>
        <v>0.19577480402315328</v>
      </c>
      <c r="S7" s="31">
        <f>$L$2</f>
        <v>0.12</v>
      </c>
      <c r="T7" s="154">
        <f t="shared" ref="T7:T44" si="2">Q7*(1+$S7)</f>
        <v>54287.520000000004</v>
      </c>
      <c r="U7" s="154">
        <f t="shared" ref="U7:AC7" si="3">T7*(1+$S7)</f>
        <v>60802.022400000009</v>
      </c>
      <c r="V7" s="154">
        <f t="shared" si="3"/>
        <v>68098.265088000015</v>
      </c>
      <c r="W7" s="154">
        <f t="shared" si="3"/>
        <v>76270.056898560026</v>
      </c>
      <c r="X7" s="154">
        <f t="shared" si="3"/>
        <v>85422.463726387243</v>
      </c>
      <c r="Y7" s="154">
        <f t="shared" si="3"/>
        <v>95673.159373553717</v>
      </c>
      <c r="Z7" s="154">
        <f t="shared" si="3"/>
        <v>107153.93849838017</v>
      </c>
      <c r="AA7" s="154">
        <f t="shared" si="3"/>
        <v>120012.4111181858</v>
      </c>
      <c r="AB7" s="154">
        <f t="shared" si="3"/>
        <v>134413.90045236811</v>
      </c>
      <c r="AC7" s="154">
        <f t="shared" si="3"/>
        <v>150543.56850665229</v>
      </c>
      <c r="AD7" s="138">
        <f>((AC7/G7)^(1/($AC$3-$H$1) ))-1</f>
        <v>0.14696783924565238</v>
      </c>
      <c r="AE7" s="31">
        <f>$L$1</f>
        <v>0.05</v>
      </c>
      <c r="AF7" s="146">
        <f t="shared" si="1"/>
        <v>929827.92312932306</v>
      </c>
    </row>
    <row r="8" spans="2:32">
      <c r="B8" s="20"/>
      <c r="C8" s="141"/>
      <c r="D8" s="141"/>
      <c r="E8" s="147"/>
      <c r="F8" s="147"/>
      <c r="G8" s="148">
        <f>(G7-F7)/G7</f>
        <v>1</v>
      </c>
      <c r="H8" s="151">
        <f>(H7-G7)/H7</f>
        <v>0.10856775142489428</v>
      </c>
      <c r="I8" s="151">
        <f t="shared" ref="I8:P8" si="4">(I7-H7)/I7</f>
        <v>4.0825324045498636E-2</v>
      </c>
      <c r="J8" s="151">
        <f t="shared" si="4"/>
        <v>0.10376165639323534</v>
      </c>
      <c r="K8" s="151">
        <f t="shared" si="4"/>
        <v>0.37628154574132494</v>
      </c>
      <c r="L8" s="151">
        <f t="shared" si="4"/>
        <v>4.904845987835982E-3</v>
      </c>
      <c r="M8" s="151">
        <f t="shared" si="4"/>
        <v>0.25242006453505428</v>
      </c>
      <c r="N8" s="151">
        <f t="shared" si="4"/>
        <v>0.18136519181125052</v>
      </c>
      <c r="O8" s="151">
        <f t="shared" si="4"/>
        <v>0.17647640471658468</v>
      </c>
      <c r="P8" s="151">
        <f t="shared" si="4"/>
        <v>0.16541849765839367</v>
      </c>
      <c r="Q8" s="194">
        <f t="shared" ref="Q8" si="5">(Q7-P7)/Q7</f>
        <v>0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>
      <c r="B9" s="20" t="s">
        <v>269</v>
      </c>
      <c r="C9" s="141"/>
      <c r="D9" s="141"/>
      <c r="E9" s="147"/>
      <c r="F9" s="147"/>
      <c r="G9" s="147">
        <v>3961</v>
      </c>
      <c r="H9" s="147">
        <v>4173</v>
      </c>
      <c r="I9" s="147">
        <v>4541</v>
      </c>
      <c r="J9" s="147">
        <v>4517</v>
      </c>
      <c r="K9" s="147">
        <v>16619</v>
      </c>
      <c r="L9" s="147">
        <v>20723</v>
      </c>
      <c r="M9" s="147">
        <v>26571</v>
      </c>
      <c r="N9" s="147">
        <v>16303</v>
      </c>
      <c r="O9" s="147">
        <v>21280</v>
      </c>
      <c r="P9" s="147">
        <v>20360</v>
      </c>
      <c r="Q9" s="193">
        <f>P9</f>
        <v>20360</v>
      </c>
      <c r="R9" s="118">
        <f>((Q9/G9)^(1/($H$2-$H$1) ))-1</f>
        <v>0.1994909962354765</v>
      </c>
      <c r="S9" s="31">
        <f t="shared" ref="S9:S40" si="6">$L$2</f>
        <v>0.12</v>
      </c>
      <c r="T9" s="154">
        <f t="shared" si="2"/>
        <v>22803.200000000001</v>
      </c>
      <c r="U9" s="154">
        <f t="shared" ref="U9" si="7">T9*(1+$S9)</f>
        <v>25539.584000000003</v>
      </c>
      <c r="V9" s="154">
        <f t="shared" ref="V9" si="8">U9*(1+$S9)</f>
        <v>28604.334080000004</v>
      </c>
      <c r="W9" s="154">
        <f t="shared" ref="W9" si="9">V9*(1+$S9)</f>
        <v>32036.854169600007</v>
      </c>
      <c r="X9" s="154">
        <f t="shared" ref="X9" si="10">W9*(1+$S9)</f>
        <v>35881.276669952014</v>
      </c>
      <c r="Y9" s="154">
        <f t="shared" ref="Y9" si="11">X9*(1+$S9)</f>
        <v>40187.029870346261</v>
      </c>
      <c r="Z9" s="154">
        <f t="shared" ref="Z9" si="12">Y9*(1+$S9)</f>
        <v>45009.473454787818</v>
      </c>
      <c r="AA9" s="154">
        <f t="shared" ref="AA9" si="13">Z9*(1+$S9)</f>
        <v>50410.610269362362</v>
      </c>
      <c r="AB9" s="154">
        <f t="shared" ref="AB9" si="14">AA9*(1+$S9)</f>
        <v>56459.88350168585</v>
      </c>
      <c r="AC9" s="154">
        <f t="shared" ref="AC9" si="15">AB9*(1+$S9)</f>
        <v>63235.069521888159</v>
      </c>
      <c r="AD9" s="138">
        <f>((AC9/G9)^(1/($AC$3-$H$1) ))-1</f>
        <v>0.1485705007214233</v>
      </c>
      <c r="AE9" s="31">
        <f t="shared" ref="AE9:AE81" si="16">$L$1</f>
        <v>0.05</v>
      </c>
      <c r="AF9" s="146">
        <f t="shared" si="1"/>
        <v>390569.54704695632</v>
      </c>
    </row>
    <row r="10" spans="2:32">
      <c r="B10" s="20" t="s">
        <v>4</v>
      </c>
      <c r="C10" s="141"/>
      <c r="D10" s="141"/>
      <c r="E10" s="147"/>
      <c r="F10" s="147"/>
      <c r="G10" s="147">
        <v>2524</v>
      </c>
      <c r="H10" s="147">
        <v>2372</v>
      </c>
      <c r="I10" s="147">
        <v>1899</v>
      </c>
      <c r="J10" s="147">
        <v>1646</v>
      </c>
      <c r="K10" s="147">
        <v>1884</v>
      </c>
      <c r="L10" s="147">
        <v>2148</v>
      </c>
      <c r="M10" s="147">
        <v>2086</v>
      </c>
      <c r="N10" s="147">
        <v>1366</v>
      </c>
      <c r="O10" s="147">
        <v>1333</v>
      </c>
      <c r="P10" s="147">
        <v>1078</v>
      </c>
      <c r="Q10" s="193">
        <f>P10</f>
        <v>1078</v>
      </c>
      <c r="R10" s="118">
        <f>((Q10/G10)^(1/($H$2-$H$1) ))-1</f>
        <v>-9.0196271589104926E-2</v>
      </c>
      <c r="S10" s="31">
        <f t="shared" si="6"/>
        <v>0.12</v>
      </c>
      <c r="T10" s="154">
        <f t="shared" si="2"/>
        <v>1207.3600000000001</v>
      </c>
      <c r="U10" s="154">
        <f t="shared" ref="U10:AC10" si="17">T10*(1+$S10)</f>
        <v>1352.2432000000003</v>
      </c>
      <c r="V10" s="154">
        <f t="shared" si="17"/>
        <v>1514.5123840000006</v>
      </c>
      <c r="W10" s="154">
        <f t="shared" si="17"/>
        <v>1696.2538700800008</v>
      </c>
      <c r="X10" s="154">
        <f t="shared" si="17"/>
        <v>1899.8043344896009</v>
      </c>
      <c r="Y10" s="154">
        <f t="shared" si="17"/>
        <v>2127.7808546283532</v>
      </c>
      <c r="Z10" s="154">
        <f t="shared" si="17"/>
        <v>2383.1145571837556</v>
      </c>
      <c r="AA10" s="154">
        <f t="shared" si="17"/>
        <v>2669.0883040458066</v>
      </c>
      <c r="AB10" s="154">
        <f t="shared" si="17"/>
        <v>2989.3789005313038</v>
      </c>
      <c r="AC10" s="154">
        <f t="shared" si="17"/>
        <v>3348.1043685950604</v>
      </c>
      <c r="AD10" s="138">
        <f t="shared" ref="AD10:AD42" si="18">((AC10/G10)^(1/($AC$3-$H$1) ))-1</f>
        <v>1.422773333853411E-2</v>
      </c>
      <c r="AE10" s="31">
        <f t="shared" si="16"/>
        <v>0.05</v>
      </c>
      <c r="AF10" s="146">
        <f t="shared" si="1"/>
        <v>20679.468158969492</v>
      </c>
    </row>
    <row r="11" spans="2:32">
      <c r="B11" s="20"/>
      <c r="C11" s="141"/>
      <c r="D11" s="141"/>
      <c r="E11" s="147"/>
      <c r="F11" s="147"/>
      <c r="G11" s="148">
        <f>(G10-F10)/G10</f>
        <v>1</v>
      </c>
      <c r="H11" s="148">
        <f t="shared" ref="H11:P11" si="19">(H10-G10)/H10</f>
        <v>-6.4080944350758853E-2</v>
      </c>
      <c r="I11" s="148">
        <f t="shared" si="19"/>
        <v>-0.24907846234860453</v>
      </c>
      <c r="J11" s="148">
        <f t="shared" si="19"/>
        <v>-0.15370595382746052</v>
      </c>
      <c r="K11" s="148">
        <f t="shared" si="19"/>
        <v>0.12632696390658174</v>
      </c>
      <c r="L11" s="148">
        <f t="shared" si="19"/>
        <v>0.12290502793296089</v>
      </c>
      <c r="M11" s="148">
        <f t="shared" si="19"/>
        <v>-2.9721955896452542E-2</v>
      </c>
      <c r="N11" s="148">
        <f t="shared" si="19"/>
        <v>-0.52708638360175697</v>
      </c>
      <c r="O11" s="148">
        <f t="shared" si="19"/>
        <v>-2.4756189047261814E-2</v>
      </c>
      <c r="P11" s="148">
        <f t="shared" si="19"/>
        <v>-0.23654916512059368</v>
      </c>
      <c r="Q11" s="195">
        <f t="shared" ref="Q11" si="20">(Q10-P10)/Q10</f>
        <v>0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6"/>
        <v>0.05</v>
      </c>
      <c r="AF11" s="154"/>
    </row>
    <row r="12" spans="2:32">
      <c r="B12" s="20" t="s">
        <v>2</v>
      </c>
      <c r="C12" s="141"/>
      <c r="D12" s="141"/>
      <c r="E12" s="147"/>
      <c r="F12" s="147"/>
      <c r="G12" s="147">
        <v>1107</v>
      </c>
      <c r="H12" s="147">
        <v>2532</v>
      </c>
      <c r="I12" s="147">
        <v>2863</v>
      </c>
      <c r="J12" s="147">
        <f>91+3637</f>
        <v>3728</v>
      </c>
      <c r="K12" s="147">
        <v>20961</v>
      </c>
      <c r="L12" s="147">
        <f>1329+28365</f>
        <v>29694</v>
      </c>
      <c r="M12" s="147">
        <f>35983+3093</f>
        <v>39076</v>
      </c>
      <c r="N12" s="147">
        <v>45806</v>
      </c>
      <c r="O12" s="147">
        <v>58202</v>
      </c>
      <c r="P12" s="147">
        <v>62236</v>
      </c>
      <c r="Q12" s="193">
        <f>P12</f>
        <v>62236</v>
      </c>
      <c r="R12" s="118">
        <f>((Q12/G12)^(1/($H$2-$H$1) ))-1</f>
        <v>0.56470572781968897</v>
      </c>
      <c r="S12" s="31">
        <f t="shared" si="6"/>
        <v>0.12</v>
      </c>
      <c r="T12" s="154">
        <f t="shared" si="2"/>
        <v>69704.320000000007</v>
      </c>
      <c r="U12" s="154">
        <f t="shared" ref="U12:AC12" si="21">T12*(1+$S12)</f>
        <v>78068.838400000022</v>
      </c>
      <c r="V12" s="154">
        <f t="shared" si="21"/>
        <v>87437.099008000034</v>
      </c>
      <c r="W12" s="154">
        <f t="shared" si="21"/>
        <v>97929.550888960046</v>
      </c>
      <c r="X12" s="154">
        <f t="shared" si="21"/>
        <v>109681.09699563526</v>
      </c>
      <c r="Y12" s="154">
        <f t="shared" si="21"/>
        <v>122842.82863511151</v>
      </c>
      <c r="Z12" s="154">
        <f t="shared" si="21"/>
        <v>137583.9680713249</v>
      </c>
      <c r="AA12" s="154">
        <f t="shared" si="21"/>
        <v>154094.04423988389</v>
      </c>
      <c r="AB12" s="154">
        <f t="shared" si="21"/>
        <v>172585.32954866998</v>
      </c>
      <c r="AC12" s="154">
        <f t="shared" si="21"/>
        <v>193295.5690945104</v>
      </c>
      <c r="AD12" s="138">
        <f t="shared" si="18"/>
        <v>0.29450494536236871</v>
      </c>
      <c r="AE12" s="31">
        <f t="shared" si="16"/>
        <v>0.05</v>
      </c>
      <c r="AF12" s="146">
        <f t="shared" si="1"/>
        <v>1193884.3973484468</v>
      </c>
    </row>
    <row r="13" spans="2:32">
      <c r="B13" s="20" t="s">
        <v>218</v>
      </c>
      <c r="C13" s="141"/>
      <c r="D13" s="141"/>
      <c r="E13" s="147"/>
      <c r="F13" s="147"/>
      <c r="G13" s="147">
        <v>11113</v>
      </c>
      <c r="H13" s="147">
        <v>12763</v>
      </c>
      <c r="I13" s="147">
        <v>10591</v>
      </c>
      <c r="J13" s="147">
        <v>6316</v>
      </c>
      <c r="K13" s="147">
        <v>1717</v>
      </c>
      <c r="L13" s="147">
        <v>1505</v>
      </c>
      <c r="M13" s="147">
        <v>1282</v>
      </c>
      <c r="N13" s="147">
        <v>1063</v>
      </c>
      <c r="O13" s="147">
        <v>1981</v>
      </c>
      <c r="P13" s="147">
        <v>2394</v>
      </c>
      <c r="Q13" s="193"/>
      <c r="R13" s="118">
        <f>((Q13/G13)^(1/($H$2-$H$1) ))-1</f>
        <v>-1</v>
      </c>
      <c r="S13" s="31">
        <f t="shared" si="6"/>
        <v>0.12</v>
      </c>
      <c r="T13" s="154">
        <f t="shared" si="2"/>
        <v>0</v>
      </c>
      <c r="U13" s="154">
        <f t="shared" ref="U13:AC13" si="22">T13*(1+$S13)</f>
        <v>0</v>
      </c>
      <c r="V13" s="154">
        <f t="shared" si="22"/>
        <v>0</v>
      </c>
      <c r="W13" s="154">
        <f t="shared" si="22"/>
        <v>0</v>
      </c>
      <c r="X13" s="154">
        <f t="shared" si="22"/>
        <v>0</v>
      </c>
      <c r="Y13" s="154">
        <f t="shared" si="22"/>
        <v>0</v>
      </c>
      <c r="Z13" s="154">
        <f t="shared" si="22"/>
        <v>0</v>
      </c>
      <c r="AA13" s="154">
        <f t="shared" si="22"/>
        <v>0</v>
      </c>
      <c r="AB13" s="154">
        <f t="shared" si="22"/>
        <v>0</v>
      </c>
      <c r="AC13" s="154">
        <f t="shared" si="22"/>
        <v>0</v>
      </c>
      <c r="AD13" s="138">
        <f t="shared" si="18"/>
        <v>-1</v>
      </c>
      <c r="AE13" s="31">
        <f t="shared" si="16"/>
        <v>0.05</v>
      </c>
      <c r="AF13" s="146">
        <f t="shared" si="1"/>
        <v>0</v>
      </c>
    </row>
    <row r="14" spans="2:32">
      <c r="B14" s="20" t="s">
        <v>373</v>
      </c>
      <c r="C14" s="141"/>
      <c r="D14" s="141"/>
      <c r="E14" s="147"/>
      <c r="F14" s="147"/>
      <c r="G14" s="147">
        <v>35</v>
      </c>
      <c r="H14" s="147">
        <v>47</v>
      </c>
      <c r="I14" s="147">
        <v>31</v>
      </c>
      <c r="J14" s="147">
        <v>24</v>
      </c>
      <c r="K14" s="147">
        <v>3383</v>
      </c>
      <c r="L14" s="147">
        <v>3682</v>
      </c>
      <c r="M14" s="147">
        <v>4401</v>
      </c>
      <c r="N14" s="147">
        <v>5585</v>
      </c>
      <c r="O14" s="147">
        <v>6071</v>
      </c>
      <c r="P14" s="147">
        <v>5617</v>
      </c>
      <c r="Q14" s="193"/>
      <c r="R14" s="118">
        <f>((Q14/G14)^(1/($H$2-$H$1) ))-1</f>
        <v>-1</v>
      </c>
      <c r="S14" s="31">
        <f t="shared" si="6"/>
        <v>0.12</v>
      </c>
      <c r="T14" s="154">
        <f t="shared" si="2"/>
        <v>0</v>
      </c>
      <c r="U14" s="154">
        <f t="shared" ref="U14" si="23">T14*(1+$S14)</f>
        <v>0</v>
      </c>
      <c r="V14" s="154">
        <f t="shared" ref="V14" si="24">U14*(1+$S14)</f>
        <v>0</v>
      </c>
      <c r="W14" s="154">
        <f t="shared" ref="W14" si="25">V14*(1+$S14)</f>
        <v>0</v>
      </c>
      <c r="X14" s="154">
        <f t="shared" ref="X14" si="26">W14*(1+$S14)</f>
        <v>0</v>
      </c>
      <c r="Y14" s="154">
        <f t="shared" ref="Y14" si="27">X14*(1+$S14)</f>
        <v>0</v>
      </c>
      <c r="Z14" s="154">
        <f t="shared" ref="Z14" si="28">Y14*(1+$S14)</f>
        <v>0</v>
      </c>
      <c r="AA14" s="154">
        <f t="shared" ref="AA14" si="29">Z14*(1+$S14)</f>
        <v>0</v>
      </c>
      <c r="AB14" s="154">
        <f t="shared" ref="AB14" si="30">AA14*(1+$S14)</f>
        <v>0</v>
      </c>
      <c r="AC14" s="154">
        <f t="shared" ref="AC14" si="31">AB14*(1+$S14)</f>
        <v>0</v>
      </c>
      <c r="AD14" s="138">
        <f t="shared" ref="AD14" si="32">((AC14/G14)^(1/($AC$3-$H$1) ))-1</f>
        <v>-1</v>
      </c>
      <c r="AE14" s="31">
        <f t="shared" si="16"/>
        <v>0.05</v>
      </c>
      <c r="AF14" s="146">
        <f t="shared" ref="AF14" si="33">(AC14*(1+AE14))/($C$1-AE14)</f>
        <v>0</v>
      </c>
    </row>
    <row r="15" spans="2:32">
      <c r="B15" s="20" t="s">
        <v>19</v>
      </c>
      <c r="C15" s="141"/>
      <c r="D15" s="141"/>
      <c r="E15" s="147"/>
      <c r="F15" s="147"/>
      <c r="G15" s="147">
        <v>1142</v>
      </c>
      <c r="H15" s="147">
        <v>2580</v>
      </c>
      <c r="I15" s="147">
        <v>2895</v>
      </c>
      <c r="J15" s="147">
        <v>115</v>
      </c>
      <c r="K15" s="147">
        <v>26002</v>
      </c>
      <c r="L15" s="147">
        <v>6838</v>
      </c>
      <c r="M15" s="147">
        <v>9664</v>
      </c>
      <c r="N15" s="147">
        <v>54810</v>
      </c>
      <c r="O15" s="147">
        <v>69941</v>
      </c>
      <c r="P15" s="147">
        <v>78334</v>
      </c>
      <c r="Q15" s="193"/>
      <c r="R15" s="118">
        <f>((Q15/G15)^(1/($H$2-$H$1) ))-1</f>
        <v>-1</v>
      </c>
      <c r="S15" s="31">
        <f t="shared" si="6"/>
        <v>0.12</v>
      </c>
      <c r="T15" s="154">
        <f t="shared" si="2"/>
        <v>0</v>
      </c>
      <c r="U15" s="154">
        <f t="shared" ref="U15:AC15" si="34">T15*(1+$S15)</f>
        <v>0</v>
      </c>
      <c r="V15" s="154">
        <f t="shared" si="34"/>
        <v>0</v>
      </c>
      <c r="W15" s="154">
        <f t="shared" si="34"/>
        <v>0</v>
      </c>
      <c r="X15" s="154">
        <f t="shared" si="34"/>
        <v>0</v>
      </c>
      <c r="Y15" s="154">
        <f t="shared" si="34"/>
        <v>0</v>
      </c>
      <c r="Z15" s="154">
        <f t="shared" si="34"/>
        <v>0</v>
      </c>
      <c r="AA15" s="154">
        <f t="shared" si="34"/>
        <v>0</v>
      </c>
      <c r="AB15" s="154">
        <f t="shared" si="34"/>
        <v>0</v>
      </c>
      <c r="AC15" s="154">
        <f t="shared" si="34"/>
        <v>0</v>
      </c>
      <c r="AD15" s="138">
        <f t="shared" si="18"/>
        <v>-1</v>
      </c>
      <c r="AE15" s="31">
        <f t="shared" si="16"/>
        <v>0.05</v>
      </c>
      <c r="AF15" s="146">
        <f t="shared" si="1"/>
        <v>0</v>
      </c>
    </row>
    <row r="16" spans="2:32">
      <c r="B16" s="20" t="s">
        <v>23</v>
      </c>
      <c r="C16" s="141"/>
      <c r="D16" s="141"/>
      <c r="E16" s="147"/>
      <c r="F16" s="147"/>
      <c r="G16" s="147">
        <v>972</v>
      </c>
      <c r="H16" s="147">
        <v>372</v>
      </c>
      <c r="I16" s="147">
        <v>2545</v>
      </c>
      <c r="J16" s="147">
        <v>7891</v>
      </c>
      <c r="K16" s="147">
        <v>8421</v>
      </c>
      <c r="L16" s="147">
        <v>8188</v>
      </c>
      <c r="M16" s="147">
        <v>13949</v>
      </c>
      <c r="N16" s="147">
        <v>18749</v>
      </c>
      <c r="O16" s="147">
        <v>23514</v>
      </c>
      <c r="P16" s="147">
        <v>30256</v>
      </c>
      <c r="Q16" s="193"/>
      <c r="R16" s="118">
        <f>((Q16/G16)^(1/($H$2-$H$1) ))-1</f>
        <v>-1</v>
      </c>
      <c r="S16" s="31">
        <f t="shared" si="6"/>
        <v>0.12</v>
      </c>
      <c r="T16" s="154">
        <f t="shared" si="2"/>
        <v>0</v>
      </c>
      <c r="U16" s="154">
        <f t="shared" ref="U16:AC16" si="35">T16*(1+$S16)</f>
        <v>0</v>
      </c>
      <c r="V16" s="154">
        <f t="shared" si="35"/>
        <v>0</v>
      </c>
      <c r="W16" s="154">
        <f t="shared" si="35"/>
        <v>0</v>
      </c>
      <c r="X16" s="154">
        <f t="shared" si="35"/>
        <v>0</v>
      </c>
      <c r="Y16" s="154">
        <f t="shared" si="35"/>
        <v>0</v>
      </c>
      <c r="Z16" s="154">
        <f t="shared" si="35"/>
        <v>0</v>
      </c>
      <c r="AA16" s="154">
        <f t="shared" si="35"/>
        <v>0</v>
      </c>
      <c r="AB16" s="154">
        <f t="shared" si="35"/>
        <v>0</v>
      </c>
      <c r="AC16" s="154">
        <f t="shared" si="35"/>
        <v>0</v>
      </c>
      <c r="AD16" s="138">
        <f t="shared" si="18"/>
        <v>-1</v>
      </c>
      <c r="AE16" s="31">
        <f t="shared" si="16"/>
        <v>0.05</v>
      </c>
      <c r="AF16" s="146">
        <f t="shared" si="1"/>
        <v>0</v>
      </c>
    </row>
    <row r="17" spans="2:3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93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>
      <c r="B18" s="20" t="s">
        <v>277</v>
      </c>
      <c r="C18" s="141"/>
      <c r="D18" s="141"/>
      <c r="E18" s="147"/>
      <c r="F18" s="147"/>
      <c r="G18" s="147">
        <v>134</v>
      </c>
      <c r="H18" s="147">
        <v>115</v>
      </c>
      <c r="I18" s="147">
        <v>104</v>
      </c>
      <c r="J18" s="147">
        <v>93</v>
      </c>
      <c r="K18" s="147">
        <v>10441</v>
      </c>
      <c r="L18" s="147">
        <v>11021</v>
      </c>
      <c r="M18" s="147">
        <v>12035</v>
      </c>
      <c r="N18" s="147">
        <v>12843</v>
      </c>
      <c r="O18" s="147">
        <v>13440</v>
      </c>
      <c r="P18" s="147">
        <v>13465</v>
      </c>
      <c r="Q18" s="193"/>
      <c r="R18" s="118">
        <f>((Q18/G18)^(1/($H$2-$H$1) ))-1</f>
        <v>-1</v>
      </c>
      <c r="S18" s="31">
        <f t="shared" si="6"/>
        <v>0.12</v>
      </c>
      <c r="T18" s="154">
        <f t="shared" si="2"/>
        <v>0</v>
      </c>
      <c r="U18" s="154">
        <f t="shared" ref="U18:U34" si="36">T18*(1+$S18)</f>
        <v>0</v>
      </c>
      <c r="V18" s="154">
        <f t="shared" ref="V18:V34" si="37">U18*(1+$S18)</f>
        <v>0</v>
      </c>
      <c r="W18" s="154">
        <f t="shared" ref="W18:W34" si="38">V18*(1+$S18)</f>
        <v>0</v>
      </c>
      <c r="X18" s="154">
        <f t="shared" ref="X18:X36" si="39">W18*(1+$S18)</f>
        <v>0</v>
      </c>
      <c r="Y18" s="154">
        <f t="shared" ref="Y18:Y36" si="40">X18*(1+$S18)</f>
        <v>0</v>
      </c>
      <c r="Z18" s="154">
        <f t="shared" ref="Z18:Z36" si="41">Y18*(1+$S18)</f>
        <v>0</v>
      </c>
      <c r="AA18" s="154">
        <f t="shared" ref="AA18:AA36" si="42">Z18*(1+$S18)</f>
        <v>0</v>
      </c>
      <c r="AB18" s="154">
        <f t="shared" ref="AB18:AB36" si="43">AA18*(1+$S18)</f>
        <v>0</v>
      </c>
      <c r="AC18" s="154">
        <f t="shared" ref="AC18:AC36" si="44">AB18*(1+$S18)</f>
        <v>0</v>
      </c>
      <c r="AD18" s="138">
        <f t="shared" si="18"/>
        <v>-1</v>
      </c>
      <c r="AE18" s="31">
        <f t="shared" si="16"/>
        <v>0.05</v>
      </c>
      <c r="AF18" s="146">
        <f t="shared" si="1"/>
        <v>0</v>
      </c>
    </row>
    <row r="19" spans="2:3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93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>
      <c r="B20" s="20" t="s">
        <v>283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93"/>
      <c r="R20" s="118" t="e">
        <f>((Q20/G20)^(1/($H$2-$H$1) ))-1</f>
        <v>#DIV/0!</v>
      </c>
      <c r="S20" s="31">
        <f t="shared" si="6"/>
        <v>0.12</v>
      </c>
      <c r="T20" s="154">
        <f t="shared" si="2"/>
        <v>0</v>
      </c>
      <c r="U20" s="154">
        <f t="shared" ref="U20:U22" si="45">T20*(1+$S20)</f>
        <v>0</v>
      </c>
      <c r="V20" s="154">
        <f t="shared" ref="V20:V22" si="46">U20*(1+$S20)</f>
        <v>0</v>
      </c>
      <c r="W20" s="154">
        <f t="shared" ref="W20:W22" si="47">V20*(1+$S20)</f>
        <v>0</v>
      </c>
      <c r="X20" s="154">
        <f t="shared" ref="X20:X22" si="48">W20*(1+$S20)</f>
        <v>0</v>
      </c>
      <c r="Y20" s="154">
        <f t="shared" ref="Y20:Y22" si="49">X20*(1+$S20)</f>
        <v>0</v>
      </c>
      <c r="Z20" s="154">
        <f t="shared" ref="Z20:Z22" si="50">Y20*(1+$S20)</f>
        <v>0</v>
      </c>
      <c r="AA20" s="154">
        <f t="shared" ref="AA20:AA22" si="51">Z20*(1+$S20)</f>
        <v>0</v>
      </c>
      <c r="AB20" s="154">
        <f t="shared" ref="AB20:AB22" si="52">AA20*(1+$S20)</f>
        <v>0</v>
      </c>
      <c r="AC20" s="154">
        <f t="shared" ref="AC20:AC22" si="53">AB20*(1+$S20)</f>
        <v>0</v>
      </c>
      <c r="AD20" s="138" t="e">
        <f t="shared" ref="AD20:AD22" si="54">((AC20/G20)^(1/($AC$3-$H$1) ))-1</f>
        <v>#DIV/0!</v>
      </c>
      <c r="AE20" s="31">
        <f t="shared" si="16"/>
        <v>0.05</v>
      </c>
      <c r="AF20" s="146">
        <f t="shared" si="1"/>
        <v>0</v>
      </c>
    </row>
    <row r="21" spans="2:32">
      <c r="B21" s="20" t="s">
        <v>284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93"/>
      <c r="R21" s="118" t="e">
        <f>((Q21/G21)^(1/($H$2-$H$1) ))-1</f>
        <v>#DIV/0!</v>
      </c>
      <c r="S21" s="31">
        <f t="shared" si="6"/>
        <v>0.12</v>
      </c>
      <c r="T21" s="154">
        <f t="shared" si="2"/>
        <v>0</v>
      </c>
      <c r="U21" s="154">
        <f t="shared" si="45"/>
        <v>0</v>
      </c>
      <c r="V21" s="154">
        <f t="shared" si="46"/>
        <v>0</v>
      </c>
      <c r="W21" s="154">
        <f t="shared" si="47"/>
        <v>0</v>
      </c>
      <c r="X21" s="154">
        <f t="shared" si="48"/>
        <v>0</v>
      </c>
      <c r="Y21" s="154">
        <f t="shared" si="49"/>
        <v>0</v>
      </c>
      <c r="Z21" s="154">
        <f t="shared" si="50"/>
        <v>0</v>
      </c>
      <c r="AA21" s="154">
        <f t="shared" si="51"/>
        <v>0</v>
      </c>
      <c r="AB21" s="154">
        <f t="shared" si="52"/>
        <v>0</v>
      </c>
      <c r="AC21" s="154">
        <f t="shared" si="53"/>
        <v>0</v>
      </c>
      <c r="AD21" s="138" t="e">
        <f t="shared" si="54"/>
        <v>#DIV/0!</v>
      </c>
      <c r="AE21" s="31">
        <f t="shared" si="16"/>
        <v>0.05</v>
      </c>
      <c r="AF21" s="146">
        <f t="shared" si="1"/>
        <v>0</v>
      </c>
    </row>
    <row r="22" spans="2:32">
      <c r="B22" s="20" t="s">
        <v>285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93"/>
      <c r="R22" s="118" t="e">
        <f>((Q22/G22)^(1/($H$2-$H$1) ))-1</f>
        <v>#DIV/0!</v>
      </c>
      <c r="S22" s="31">
        <f t="shared" si="6"/>
        <v>0.12</v>
      </c>
      <c r="T22" s="154">
        <f t="shared" si="2"/>
        <v>0</v>
      </c>
      <c r="U22" s="154">
        <f t="shared" si="45"/>
        <v>0</v>
      </c>
      <c r="V22" s="154">
        <f t="shared" si="46"/>
        <v>0</v>
      </c>
      <c r="W22" s="154">
        <f t="shared" si="47"/>
        <v>0</v>
      </c>
      <c r="X22" s="154">
        <f t="shared" si="48"/>
        <v>0</v>
      </c>
      <c r="Y22" s="154">
        <f t="shared" si="49"/>
        <v>0</v>
      </c>
      <c r="Z22" s="154">
        <f t="shared" si="50"/>
        <v>0</v>
      </c>
      <c r="AA22" s="154">
        <f t="shared" si="51"/>
        <v>0</v>
      </c>
      <c r="AB22" s="154">
        <f t="shared" si="52"/>
        <v>0</v>
      </c>
      <c r="AC22" s="154">
        <f t="shared" si="53"/>
        <v>0</v>
      </c>
      <c r="AD22" s="138" t="e">
        <f t="shared" si="54"/>
        <v>#DIV/0!</v>
      </c>
      <c r="AE22" s="31">
        <f t="shared" si="16"/>
        <v>0.05</v>
      </c>
      <c r="AF22" s="146">
        <f t="shared" si="1"/>
        <v>0</v>
      </c>
    </row>
    <row r="23" spans="2:32">
      <c r="B23" s="20" t="s">
        <v>295</v>
      </c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93"/>
      <c r="R23" s="118" t="e">
        <f>((Q23/G23)^(1/($H$2-$H$1) ))-1</f>
        <v>#DIV/0!</v>
      </c>
      <c r="S23" s="31">
        <f t="shared" si="6"/>
        <v>0.12</v>
      </c>
      <c r="T23" s="154">
        <f t="shared" si="2"/>
        <v>0</v>
      </c>
      <c r="U23" s="154">
        <f t="shared" ref="U23" si="55">T23*(1+$S23)</f>
        <v>0</v>
      </c>
      <c r="V23" s="154">
        <f t="shared" ref="V23" si="56">U23*(1+$S23)</f>
        <v>0</v>
      </c>
      <c r="W23" s="154">
        <f t="shared" ref="W23" si="57">V23*(1+$S23)</f>
        <v>0</v>
      </c>
      <c r="X23" s="154">
        <f t="shared" ref="X23" si="58">W23*(1+$S23)</f>
        <v>0</v>
      </c>
      <c r="Y23" s="154">
        <f t="shared" ref="Y23" si="59">X23*(1+$S23)</f>
        <v>0</v>
      </c>
      <c r="Z23" s="154">
        <f t="shared" ref="Z23" si="60">Y23*(1+$S23)</f>
        <v>0</v>
      </c>
      <c r="AA23" s="154">
        <f t="shared" ref="AA23" si="61">Z23*(1+$S23)</f>
        <v>0</v>
      </c>
      <c r="AB23" s="154">
        <f t="shared" ref="AB23" si="62">AA23*(1+$S23)</f>
        <v>0</v>
      </c>
      <c r="AC23" s="154">
        <f t="shared" ref="AC23" si="63">AB23*(1+$S23)</f>
        <v>0</v>
      </c>
      <c r="AD23" s="138" t="e">
        <f t="shared" ref="AD23" si="64">((AC23/G23)^(1/($AC$3-$H$1) ))-1</f>
        <v>#DIV/0!</v>
      </c>
      <c r="AE23" s="31">
        <f t="shared" si="16"/>
        <v>0.05</v>
      </c>
      <c r="AF23" s="146">
        <f t="shared" si="1"/>
        <v>0</v>
      </c>
    </row>
    <row r="24" spans="2:3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93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>
      <c r="B25" s="20" t="s">
        <v>89</v>
      </c>
      <c r="C25" s="141"/>
      <c r="D25" s="141"/>
      <c r="E25" s="147"/>
      <c r="F25" s="147"/>
      <c r="G25" s="147">
        <v>1825</v>
      </c>
      <c r="H25" s="147">
        <v>1812</v>
      </c>
      <c r="I25" s="147">
        <v>2443</v>
      </c>
      <c r="J25" s="147">
        <v>3531</v>
      </c>
      <c r="K25" s="147">
        <v>39164</v>
      </c>
      <c r="L25" s="147">
        <v>52551</v>
      </c>
      <c r="M25" s="147">
        <v>59274</v>
      </c>
      <c r="N25" s="147">
        <v>56326</v>
      </c>
      <c r="O25" s="147">
        <v>70351</v>
      </c>
      <c r="P25" s="147">
        <v>76555</v>
      </c>
      <c r="Q25" s="193">
        <f>P25</f>
        <v>76555</v>
      </c>
      <c r="R25" s="118">
        <f>((Q25/G25)^(1/($H$2-$H$1) ))-1</f>
        <v>0.51461128388680955</v>
      </c>
      <c r="S25" s="31">
        <f t="shared" si="6"/>
        <v>0.12</v>
      </c>
      <c r="T25" s="154">
        <f t="shared" si="2"/>
        <v>85741.6</v>
      </c>
      <c r="U25" s="154">
        <f t="shared" si="36"/>
        <v>96030.592000000019</v>
      </c>
      <c r="V25" s="154">
        <f t="shared" si="37"/>
        <v>107554.26304000003</v>
      </c>
      <c r="W25" s="154">
        <f t="shared" si="38"/>
        <v>120460.77460480006</v>
      </c>
      <c r="X25" s="154">
        <f t="shared" si="39"/>
        <v>134916.06755737608</v>
      </c>
      <c r="Y25" s="154">
        <f t="shared" si="40"/>
        <v>151105.99566426122</v>
      </c>
      <c r="Z25" s="154">
        <f t="shared" si="41"/>
        <v>169238.7151439726</v>
      </c>
      <c r="AA25" s="154">
        <f t="shared" si="42"/>
        <v>189547.36096124933</v>
      </c>
      <c r="AB25" s="154">
        <f t="shared" si="43"/>
        <v>212293.04427659928</v>
      </c>
      <c r="AC25" s="154">
        <f t="shared" si="44"/>
        <v>237768.20958979122</v>
      </c>
      <c r="AD25" s="138">
        <f t="shared" si="18"/>
        <v>0.27568822225301681</v>
      </c>
      <c r="AE25" s="31">
        <f t="shared" si="16"/>
        <v>0.05</v>
      </c>
      <c r="AF25" s="146">
        <f t="shared" si="1"/>
        <v>1468568.3533487106</v>
      </c>
    </row>
    <row r="26" spans="2:32" s="123" customFormat="1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-7.1743929359823402E-3</v>
      </c>
      <c r="I26" s="148">
        <f t="shared" ref="I26:P26" si="65">(I25-H25)/I25</f>
        <v>0.25828898894801472</v>
      </c>
      <c r="J26" s="148">
        <f t="shared" si="65"/>
        <v>0.30812800906258853</v>
      </c>
      <c r="K26" s="148">
        <f t="shared" si="65"/>
        <v>0.90984067000306401</v>
      </c>
      <c r="L26" s="148">
        <f t="shared" si="65"/>
        <v>0.25474301155068407</v>
      </c>
      <c r="M26" s="148">
        <f t="shared" si="65"/>
        <v>0.11342241117522016</v>
      </c>
      <c r="N26" s="148">
        <f t="shared" si="65"/>
        <v>-5.2338174200191739E-2</v>
      </c>
      <c r="O26" s="148">
        <f t="shared" si="65"/>
        <v>0.19935750735597219</v>
      </c>
      <c r="P26" s="148">
        <f t="shared" si="65"/>
        <v>8.1039775324929786E-2</v>
      </c>
      <c r="Q26" s="195">
        <f t="shared" ref="Q26" si="66">(Q25-P25)/Q25</f>
        <v>0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>
      <c r="B27" s="20" t="s">
        <v>261</v>
      </c>
      <c r="C27" s="141"/>
      <c r="D27" s="141"/>
      <c r="E27" s="147"/>
      <c r="F27" s="147"/>
      <c r="G27" s="147">
        <v>267</v>
      </c>
      <c r="H27" s="147">
        <v>309</v>
      </c>
      <c r="I27" s="147">
        <v>828</v>
      </c>
      <c r="J27" s="147">
        <v>334</v>
      </c>
      <c r="K27" s="147">
        <v>28857</v>
      </c>
      <c r="L27" s="147">
        <v>42634</v>
      </c>
      <c r="M27" s="147">
        <v>40967</v>
      </c>
      <c r="N27" s="147">
        <v>37966</v>
      </c>
      <c r="O27" s="147">
        <v>47128</v>
      </c>
      <c r="P27" s="147">
        <v>49725</v>
      </c>
      <c r="Q27" s="193"/>
      <c r="R27" s="118">
        <f>((Q27/G27)^(1/($H$2-$H$1) ))-1</f>
        <v>-1</v>
      </c>
      <c r="S27" s="31">
        <f t="shared" si="6"/>
        <v>0.12</v>
      </c>
      <c r="T27" s="154">
        <f t="shared" si="2"/>
        <v>0</v>
      </c>
      <c r="U27" s="154">
        <f t="shared" si="36"/>
        <v>0</v>
      </c>
      <c r="V27" s="154">
        <f t="shared" si="37"/>
        <v>0</v>
      </c>
      <c r="W27" s="154">
        <f t="shared" si="38"/>
        <v>0</v>
      </c>
      <c r="X27" s="154">
        <f t="shared" si="39"/>
        <v>0</v>
      </c>
      <c r="Y27" s="154">
        <f t="shared" si="40"/>
        <v>0</v>
      </c>
      <c r="Z27" s="154">
        <f t="shared" si="41"/>
        <v>0</v>
      </c>
      <c r="AA27" s="154">
        <f t="shared" si="42"/>
        <v>0</v>
      </c>
      <c r="AB27" s="154">
        <f t="shared" si="43"/>
        <v>0</v>
      </c>
      <c r="AC27" s="154">
        <f t="shared" si="44"/>
        <v>0</v>
      </c>
      <c r="AD27" s="138">
        <f t="shared" si="18"/>
        <v>-1</v>
      </c>
      <c r="AE27" s="31">
        <f t="shared" si="16"/>
        <v>0.05</v>
      </c>
      <c r="AF27" s="146">
        <f t="shared" si="1"/>
        <v>0</v>
      </c>
    </row>
    <row r="28" spans="2:32" s="123" customFormat="1">
      <c r="B28" s="23"/>
      <c r="C28" s="149"/>
      <c r="D28" s="149"/>
      <c r="E28" s="150"/>
      <c r="F28" s="150"/>
      <c r="G28" s="148">
        <f t="shared" ref="G28:P28" si="67">(G27-F27)/G27</f>
        <v>1</v>
      </c>
      <c r="H28" s="148">
        <f t="shared" si="67"/>
        <v>0.13592233009708737</v>
      </c>
      <c r="I28" s="148">
        <f t="shared" si="67"/>
        <v>0.62681159420289856</v>
      </c>
      <c r="J28" s="148">
        <f t="shared" si="67"/>
        <v>-1.4790419161676647</v>
      </c>
      <c r="K28" s="148">
        <f t="shared" si="67"/>
        <v>0.98842568527566965</v>
      </c>
      <c r="L28" s="148">
        <f t="shared" si="67"/>
        <v>0.32314584603837315</v>
      </c>
      <c r="M28" s="148">
        <f t="shared" si="67"/>
        <v>-4.0691288109942152E-2</v>
      </c>
      <c r="N28" s="148">
        <f t="shared" si="67"/>
        <v>-7.9044408154664694E-2</v>
      </c>
      <c r="O28" s="148">
        <f t="shared" si="67"/>
        <v>0.19440672211848584</v>
      </c>
      <c r="P28" s="148">
        <f t="shared" si="67"/>
        <v>5.2227249874308698E-2</v>
      </c>
      <c r="Q28" s="195" t="e">
        <f t="shared" ref="Q28" si="68">(Q27-P27)/Q27</f>
        <v>#DIV/0!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>
      <c r="B29" s="20" t="s">
        <v>324</v>
      </c>
      <c r="C29" s="149"/>
      <c r="D29" s="149"/>
      <c r="E29" s="150"/>
      <c r="F29" s="147"/>
      <c r="G29" s="147">
        <v>188</v>
      </c>
      <c r="H29" s="147">
        <v>175</v>
      </c>
      <c r="I29" s="147">
        <v>162</v>
      </c>
      <c r="J29" s="147">
        <v>345</v>
      </c>
      <c r="K29" s="147">
        <v>150</v>
      </c>
      <c r="L29" s="147">
        <v>288</v>
      </c>
      <c r="M29" s="147">
        <v>285</v>
      </c>
      <c r="N29" s="147">
        <v>74</v>
      </c>
      <c r="O29" s="147">
        <v>54</v>
      </c>
      <c r="P29" s="147">
        <v>45</v>
      </c>
      <c r="Q29" s="193"/>
      <c r="R29" s="118">
        <f>((Q29/G29)^(1/($H$2-$H$1) ))-1</f>
        <v>-1</v>
      </c>
      <c r="S29" s="31">
        <f t="shared" si="6"/>
        <v>0.12</v>
      </c>
      <c r="T29" s="154">
        <f t="shared" si="2"/>
        <v>0</v>
      </c>
      <c r="U29" s="154">
        <f t="shared" ref="U29" si="69">T29*(1+$S29)</f>
        <v>0</v>
      </c>
      <c r="V29" s="154">
        <f t="shared" ref="V29" si="70">U29*(1+$S29)</f>
        <v>0</v>
      </c>
      <c r="W29" s="154">
        <f t="shared" ref="W29" si="71">V29*(1+$S29)</f>
        <v>0</v>
      </c>
      <c r="X29" s="154">
        <f t="shared" ref="X29" si="72">W29*(1+$S29)</f>
        <v>0</v>
      </c>
      <c r="Y29" s="154">
        <f t="shared" ref="Y29" si="73">X29*(1+$S29)</f>
        <v>0</v>
      </c>
      <c r="Z29" s="154">
        <f t="shared" ref="Z29" si="74">Y29*(1+$S29)</f>
        <v>0</v>
      </c>
      <c r="AA29" s="154">
        <f t="shared" ref="AA29" si="75">Z29*(1+$S29)</f>
        <v>0</v>
      </c>
      <c r="AB29" s="154">
        <f t="shared" ref="AB29" si="76">AA29*(1+$S29)</f>
        <v>0</v>
      </c>
      <c r="AC29" s="154">
        <f t="shared" ref="AC29" si="77">AB29*(1+$S29)</f>
        <v>0</v>
      </c>
      <c r="AD29" s="138">
        <f t="shared" ref="AD29" si="78">((AC29/G29)^(1/($AC$3-$H$1) ))-1</f>
        <v>-1</v>
      </c>
      <c r="AE29" s="31">
        <f t="shared" si="16"/>
        <v>0.05</v>
      </c>
      <c r="AF29" s="146">
        <f t="shared" ref="AF29" si="79">(AC29*(1+AE29))/($C$1-AE29)</f>
        <v>0</v>
      </c>
    </row>
    <row r="30" spans="2:32" s="123" customFormat="1">
      <c r="B30" s="23"/>
      <c r="C30" s="149"/>
      <c r="D30" s="149"/>
      <c r="E30" s="150"/>
      <c r="F30" s="150"/>
      <c r="G30" s="148">
        <f t="shared" ref="G30:P30" si="80">(G29-F29)/G29</f>
        <v>1</v>
      </c>
      <c r="H30" s="148">
        <f t="shared" si="80"/>
        <v>-7.4285714285714288E-2</v>
      </c>
      <c r="I30" s="148">
        <f t="shared" si="80"/>
        <v>-8.0246913580246909E-2</v>
      </c>
      <c r="J30" s="148">
        <f t="shared" si="80"/>
        <v>0.5304347826086957</v>
      </c>
      <c r="K30" s="148">
        <f t="shared" si="80"/>
        <v>-1.3</v>
      </c>
      <c r="L30" s="148">
        <f t="shared" si="80"/>
        <v>0.47916666666666669</v>
      </c>
      <c r="M30" s="148">
        <f t="shared" si="80"/>
        <v>-1.0526315789473684E-2</v>
      </c>
      <c r="N30" s="148">
        <f t="shared" si="80"/>
        <v>-2.8513513513513513</v>
      </c>
      <c r="O30" s="148">
        <f t="shared" si="80"/>
        <v>-0.37037037037037035</v>
      </c>
      <c r="P30" s="148">
        <f t="shared" si="80"/>
        <v>-0.2</v>
      </c>
      <c r="Q30" s="195" t="e">
        <f t="shared" ref="Q30" si="81">(Q29-P29)/Q29</f>
        <v>#DIV/0!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93"/>
      <c r="R31" s="118" t="e">
        <f>((Q31/G31)^(1/($H$2-$H$1) ))-1</f>
        <v>#DIV/0!</v>
      </c>
      <c r="S31" s="31">
        <f t="shared" si="6"/>
        <v>0.12</v>
      </c>
      <c r="T31" s="154">
        <f t="shared" si="2"/>
        <v>0</v>
      </c>
      <c r="U31" s="154">
        <f>T31*(1+$S31)</f>
        <v>0</v>
      </c>
      <c r="V31" s="154">
        <f t="shared" ref="V31:AC32" si="82">U31*(1+$S31)</f>
        <v>0</v>
      </c>
      <c r="W31" s="154">
        <f t="shared" si="82"/>
        <v>0</v>
      </c>
      <c r="X31" s="154">
        <f t="shared" si="82"/>
        <v>0</v>
      </c>
      <c r="Y31" s="154">
        <f t="shared" si="82"/>
        <v>0</v>
      </c>
      <c r="Z31" s="154">
        <f t="shared" si="82"/>
        <v>0</v>
      </c>
      <c r="AA31" s="154">
        <f t="shared" si="82"/>
        <v>0</v>
      </c>
      <c r="AB31" s="154">
        <f t="shared" si="82"/>
        <v>0</v>
      </c>
      <c r="AC31" s="154">
        <f t="shared" si="82"/>
        <v>0</v>
      </c>
      <c r="AD31" s="138" t="e">
        <f t="shared" ref="AD31" si="83">((AC31/G31)^(1/($AC$3-$H$1) ))-1</f>
        <v>#DIV/0!</v>
      </c>
      <c r="AE31" s="31">
        <f t="shared" si="16"/>
        <v>0.05</v>
      </c>
      <c r="AF31" s="146">
        <f t="shared" si="1"/>
        <v>0</v>
      </c>
    </row>
    <row r="32" spans="2:3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93"/>
      <c r="R32" s="118" t="e">
        <f>((Q32/G32)^(1/($H$2-$H$1) ))-1</f>
        <v>#DIV/0!</v>
      </c>
      <c r="S32" s="31">
        <f t="shared" si="6"/>
        <v>0.12</v>
      </c>
      <c r="T32" s="154">
        <f t="shared" si="2"/>
        <v>0</v>
      </c>
      <c r="U32" s="154">
        <f>T32*(1+$S32)</f>
        <v>0</v>
      </c>
      <c r="V32" s="154">
        <f t="shared" si="82"/>
        <v>0</v>
      </c>
      <c r="W32" s="154">
        <f t="shared" si="82"/>
        <v>0</v>
      </c>
      <c r="X32" s="154">
        <f t="shared" si="82"/>
        <v>0</v>
      </c>
      <c r="Y32" s="154">
        <f t="shared" si="82"/>
        <v>0</v>
      </c>
      <c r="Z32" s="154">
        <f t="shared" si="82"/>
        <v>0</v>
      </c>
      <c r="AA32" s="154">
        <f t="shared" si="82"/>
        <v>0</v>
      </c>
      <c r="AB32" s="154">
        <f t="shared" si="82"/>
        <v>0</v>
      </c>
      <c r="AC32" s="154">
        <f t="shared" si="82"/>
        <v>0</v>
      </c>
      <c r="AD32" s="138" t="e">
        <f t="shared" ref="AD32" si="84">((AC32/G32)^(1/($AC$3-$H$1) ))-1</f>
        <v>#DIV/0!</v>
      </c>
      <c r="AE32" s="31">
        <f t="shared" si="16"/>
        <v>0.05</v>
      </c>
      <c r="AF32" s="146">
        <f t="shared" si="1"/>
        <v>0</v>
      </c>
    </row>
    <row r="33" spans="2:32">
      <c r="B33" s="20" t="s">
        <v>316</v>
      </c>
      <c r="C33" s="141"/>
      <c r="D33" s="141"/>
      <c r="E33" s="147"/>
      <c r="F33" s="147"/>
      <c r="G33" s="147">
        <v>107</v>
      </c>
      <c r="H33" s="147">
        <v>112</v>
      </c>
      <c r="I33" s="147">
        <v>119</v>
      </c>
      <c r="J33" s="147">
        <v>130</v>
      </c>
      <c r="K33" s="147">
        <v>12635</v>
      </c>
      <c r="L33" s="147">
        <v>20582</v>
      </c>
      <c r="M33" s="147">
        <v>17556</v>
      </c>
      <c r="N33" s="147">
        <v>18931</v>
      </c>
      <c r="O33" s="147">
        <v>25253</v>
      </c>
      <c r="P33" s="147">
        <v>27320</v>
      </c>
      <c r="Q33" s="193">
        <f>P33</f>
        <v>27320</v>
      </c>
      <c r="R33" s="118">
        <f>((Q33/G33)^(1/($H$2-$H$1) ))-1</f>
        <v>0.85120797706575546</v>
      </c>
      <c r="S33" s="31">
        <f t="shared" si="6"/>
        <v>0.12</v>
      </c>
      <c r="T33" s="154">
        <f t="shared" si="2"/>
        <v>30598.400000000001</v>
      </c>
      <c r="U33" s="154">
        <f t="shared" si="36"/>
        <v>34270.208000000006</v>
      </c>
      <c r="V33" s="154">
        <f t="shared" si="37"/>
        <v>38382.63296000001</v>
      </c>
      <c r="W33" s="154">
        <f t="shared" si="38"/>
        <v>42988.548915200015</v>
      </c>
      <c r="X33" s="154">
        <f t="shared" si="39"/>
        <v>48147.174785024021</v>
      </c>
      <c r="Y33" s="154">
        <f t="shared" si="40"/>
        <v>53924.835759226909</v>
      </c>
      <c r="Z33" s="154">
        <f t="shared" si="41"/>
        <v>60395.816050334142</v>
      </c>
      <c r="AA33" s="154">
        <f t="shared" si="42"/>
        <v>67643.313976374251</v>
      </c>
      <c r="AB33" s="154">
        <f t="shared" si="43"/>
        <v>75760.511653539172</v>
      </c>
      <c r="AC33" s="154">
        <f t="shared" si="44"/>
        <v>84851.773051963886</v>
      </c>
      <c r="AD33" s="138">
        <f t="shared" si="18"/>
        <v>0.39625215750583376</v>
      </c>
      <c r="AE33" s="31">
        <f t="shared" si="16"/>
        <v>0.05</v>
      </c>
      <c r="AF33" s="146">
        <f t="shared" si="1"/>
        <v>524084.48061507108</v>
      </c>
    </row>
    <row r="34" spans="2:32">
      <c r="B34" s="20" t="s">
        <v>308</v>
      </c>
      <c r="C34" s="141"/>
      <c r="D34" s="141"/>
      <c r="E34" s="147"/>
      <c r="F34" s="147"/>
      <c r="G34" s="147">
        <v>6.37</v>
      </c>
      <c r="H34" s="147">
        <v>7</v>
      </c>
      <c r="I34" s="147">
        <v>7</v>
      </c>
      <c r="J34" s="147">
        <v>7</v>
      </c>
      <c r="K34" s="147">
        <v>6329</v>
      </c>
      <c r="L34" s="147">
        <v>6863</v>
      </c>
      <c r="M34" s="147">
        <v>6908</v>
      </c>
      <c r="N34" s="147">
        <v>5272</v>
      </c>
      <c r="O34" s="147">
        <v>5504</v>
      </c>
      <c r="P34" s="147">
        <v>6062</v>
      </c>
      <c r="Q34" s="193">
        <f>P34</f>
        <v>6062</v>
      </c>
      <c r="R34" s="118">
        <f>((Q34/G34)^(1/($H$2-$H$1) ))-1</f>
        <v>1.1426036149065397</v>
      </c>
      <c r="S34" s="31">
        <f t="shared" si="6"/>
        <v>0.12</v>
      </c>
      <c r="T34" s="154">
        <f t="shared" si="2"/>
        <v>6789.4400000000005</v>
      </c>
      <c r="U34" s="154">
        <f t="shared" si="36"/>
        <v>7604.1728000000012</v>
      </c>
      <c r="V34" s="154">
        <f t="shared" si="37"/>
        <v>8516.6735360000021</v>
      </c>
      <c r="W34" s="154">
        <f t="shared" si="38"/>
        <v>9538.674360320003</v>
      </c>
      <c r="X34" s="154">
        <f t="shared" si="39"/>
        <v>10683.315283558404</v>
      </c>
      <c r="Y34" s="154">
        <f t="shared" si="40"/>
        <v>11965.313117585414</v>
      </c>
      <c r="Z34" s="154">
        <f t="shared" si="41"/>
        <v>13401.150691695666</v>
      </c>
      <c r="AA34" s="154">
        <f t="shared" si="42"/>
        <v>15009.288774699147</v>
      </c>
      <c r="AB34" s="154">
        <f t="shared" si="43"/>
        <v>16810.403427663048</v>
      </c>
      <c r="AC34" s="154">
        <f t="shared" si="44"/>
        <v>18827.651838982616</v>
      </c>
      <c r="AD34" s="138">
        <f t="shared" si="18"/>
        <v>0.49118949767344433</v>
      </c>
      <c r="AE34" s="31">
        <f t="shared" si="16"/>
        <v>0.05</v>
      </c>
      <c r="AF34" s="146">
        <f t="shared" si="1"/>
        <v>116288.43782901029</v>
      </c>
    </row>
    <row r="35" spans="2:3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93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>
      <c r="B36" s="20" t="s">
        <v>278</v>
      </c>
      <c r="C36" s="141"/>
      <c r="D36" s="141"/>
      <c r="E36" s="147"/>
      <c r="F36" s="147"/>
      <c r="G36" s="147">
        <v>-148</v>
      </c>
      <c r="H36" s="147">
        <v>-206</v>
      </c>
      <c r="I36" s="147">
        <v>-612</v>
      </c>
      <c r="J36" s="147">
        <v>-141</v>
      </c>
      <c r="K36" s="147">
        <v>4020</v>
      </c>
      <c r="L36" s="147">
        <v>5376</v>
      </c>
      <c r="M36" s="147">
        <v>13649</v>
      </c>
      <c r="N36" s="147">
        <v>13477</v>
      </c>
      <c r="O36" s="147">
        <v>15667</v>
      </c>
      <c r="P36" s="147">
        <v>18083</v>
      </c>
      <c r="Q36" s="193">
        <f>P36</f>
        <v>18083</v>
      </c>
      <c r="R36" s="118">
        <f>((Q36/G36)^(1/($H$2-$H$1) ))-1</f>
        <v>-2.7056497816409051</v>
      </c>
      <c r="S36" s="31">
        <f t="shared" si="6"/>
        <v>0.12</v>
      </c>
      <c r="T36" s="154">
        <f t="shared" si="2"/>
        <v>20252.960000000003</v>
      </c>
      <c r="U36" s="154">
        <f t="shared" ref="U36" si="85">T36*(1+$S36)</f>
        <v>22683.315200000005</v>
      </c>
      <c r="V36" s="154">
        <f t="shared" ref="V36" si="86">U36*(1+$S36)</f>
        <v>25405.313024000006</v>
      </c>
      <c r="W36" s="154">
        <f t="shared" ref="W36" si="87">V36*(1+$S36)</f>
        <v>28453.950586880012</v>
      </c>
      <c r="X36" s="154">
        <f t="shared" si="39"/>
        <v>31868.424657305615</v>
      </c>
      <c r="Y36" s="154">
        <f t="shared" si="40"/>
        <v>35692.635616182291</v>
      </c>
      <c r="Z36" s="154">
        <f t="shared" si="41"/>
        <v>39975.751890124171</v>
      </c>
      <c r="AA36" s="154">
        <f t="shared" si="42"/>
        <v>44772.842116939079</v>
      </c>
      <c r="AB36" s="154">
        <f t="shared" si="43"/>
        <v>50145.583170971775</v>
      </c>
      <c r="AC36" s="154">
        <f t="shared" si="44"/>
        <v>56163.053151488391</v>
      </c>
      <c r="AD36" s="138" t="e">
        <f t="shared" si="18"/>
        <v>#NUM!</v>
      </c>
      <c r="AE36" s="31">
        <f t="shared" si="16"/>
        <v>0.05</v>
      </c>
      <c r="AF36" s="146">
        <f t="shared" si="1"/>
        <v>346889.44593566365</v>
      </c>
    </row>
    <row r="37" spans="2:32" s="123" customFormat="1">
      <c r="B37" s="23"/>
      <c r="C37" s="149"/>
      <c r="D37" s="149"/>
      <c r="E37" s="150"/>
      <c r="F37" s="150"/>
      <c r="G37" s="148">
        <f t="shared" ref="G37:P37" si="88">(G36-F36)/G36</f>
        <v>1</v>
      </c>
      <c r="H37" s="148">
        <f t="shared" si="88"/>
        <v>0.28155339805825241</v>
      </c>
      <c r="I37" s="148">
        <f t="shared" si="88"/>
        <v>0.66339869281045749</v>
      </c>
      <c r="J37" s="148">
        <f t="shared" si="88"/>
        <v>-3.3404255319148937</v>
      </c>
      <c r="K37" s="148">
        <f t="shared" si="88"/>
        <v>1.0350746268656716</v>
      </c>
      <c r="L37" s="148">
        <f t="shared" si="88"/>
        <v>0.25223214285714285</v>
      </c>
      <c r="M37" s="148">
        <f t="shared" si="88"/>
        <v>0.60612499084181992</v>
      </c>
      <c r="N37" s="148">
        <f t="shared" si="88"/>
        <v>-1.2762484232395933E-2</v>
      </c>
      <c r="O37" s="148">
        <f t="shared" si="88"/>
        <v>0.13978425990936363</v>
      </c>
      <c r="P37" s="148">
        <f t="shared" si="88"/>
        <v>0.13360614942210916</v>
      </c>
      <c r="Q37" s="195">
        <f t="shared" ref="Q37" si="89">(Q36-P36)/Q36</f>
        <v>0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>
      <c r="B38" s="20" t="s">
        <v>400</v>
      </c>
      <c r="C38" s="149"/>
      <c r="D38" s="149"/>
      <c r="E38" s="150"/>
      <c r="F38" s="150"/>
      <c r="G38" s="147">
        <v>1355</v>
      </c>
      <c r="H38" s="147">
        <v>1315</v>
      </c>
      <c r="I38" s="147">
        <v>1444</v>
      </c>
      <c r="J38" s="147">
        <v>2844</v>
      </c>
      <c r="K38" s="147">
        <v>8662</v>
      </c>
      <c r="L38" s="147">
        <v>5740</v>
      </c>
      <c r="M38" s="147">
        <v>14037</v>
      </c>
      <c r="N38" s="147">
        <v>16463</v>
      </c>
      <c r="O38" s="147">
        <v>21272</v>
      </c>
      <c r="P38" s="147">
        <v>24979</v>
      </c>
      <c r="Q38" s="193">
        <f>P38</f>
        <v>24979</v>
      </c>
      <c r="R38" s="118">
        <f>((Q38/G38)^(1/($H$2-$H$1) ))-1</f>
        <v>0.38237603030265133</v>
      </c>
      <c r="S38" s="31">
        <f t="shared" si="6"/>
        <v>0.12</v>
      </c>
      <c r="T38" s="154">
        <f t="shared" si="2"/>
        <v>27976.480000000003</v>
      </c>
      <c r="U38" s="154">
        <f t="shared" ref="U38" si="90">T38*(1+$S38)</f>
        <v>31333.657600000006</v>
      </c>
      <c r="V38" s="154">
        <f t="shared" ref="V38" si="91">U38*(1+$S38)</f>
        <v>35093.69651200001</v>
      </c>
      <c r="W38" s="154">
        <f t="shared" ref="W38" si="92">V38*(1+$S38)</f>
        <v>39304.940093440011</v>
      </c>
      <c r="X38" s="154">
        <f t="shared" ref="X38" si="93">W38*(1+$S38)</f>
        <v>44021.532904652813</v>
      </c>
      <c r="Y38" s="154">
        <f t="shared" ref="Y38" si="94">X38*(1+$S38)</f>
        <v>49304.116853211155</v>
      </c>
      <c r="Z38" s="154">
        <f t="shared" ref="Z38" si="95">Y38*(1+$S38)</f>
        <v>55220.610875596496</v>
      </c>
      <c r="AA38" s="154">
        <f t="shared" ref="AA38" si="96">Z38*(1+$S38)</f>
        <v>61847.084180668084</v>
      </c>
      <c r="AB38" s="154">
        <f t="shared" ref="AB38" si="97">AA38*(1+$S38)</f>
        <v>69268.734282348261</v>
      </c>
      <c r="AC38" s="154">
        <f t="shared" ref="AC38" si="98">AB38*(1+$S38)</f>
        <v>77580.982396230058</v>
      </c>
      <c r="AD38" s="138">
        <f t="shared" ref="AD38" si="99">((AC38/G38)^(1/($AC$3-$H$1) ))-1</f>
        <v>0.2243083147793028</v>
      </c>
      <c r="AE38" s="31">
        <f t="shared" si="16"/>
        <v>0.05</v>
      </c>
      <c r="AF38" s="146">
        <f t="shared" ref="AF38" si="100">(AC38*(1+AE38))/($C$1-AE38)</f>
        <v>479176.65597671515</v>
      </c>
    </row>
    <row r="39" spans="2:32" s="123" customFormat="1">
      <c r="B39" s="23"/>
      <c r="C39" s="149"/>
      <c r="D39" s="149"/>
      <c r="E39" s="150"/>
      <c r="F39" s="150"/>
      <c r="G39" s="148">
        <f t="shared" ref="G39:P39" si="101">(G38-F38)/G38</f>
        <v>1</v>
      </c>
      <c r="H39" s="148">
        <f t="shared" si="101"/>
        <v>-3.0418250950570342E-2</v>
      </c>
      <c r="I39" s="148">
        <f t="shared" si="101"/>
        <v>8.9335180055401656E-2</v>
      </c>
      <c r="J39" s="148">
        <f t="shared" si="101"/>
        <v>0.49226441631504925</v>
      </c>
      <c r="K39" s="148">
        <f t="shared" si="101"/>
        <v>0.67166936042484415</v>
      </c>
      <c r="L39" s="148">
        <f t="shared" si="101"/>
        <v>-0.50905923344947734</v>
      </c>
      <c r="M39" s="148">
        <f t="shared" si="101"/>
        <v>0.5910807152525468</v>
      </c>
      <c r="N39" s="148">
        <f t="shared" si="101"/>
        <v>0.14736074834477314</v>
      </c>
      <c r="O39" s="148">
        <f t="shared" si="101"/>
        <v>0.22607183151560736</v>
      </c>
      <c r="P39" s="148">
        <f t="shared" si="101"/>
        <v>0.14840465991432802</v>
      </c>
      <c r="Q39" s="195">
        <f t="shared" ref="Q39" si="102">(Q38-P38)/Q38</f>
        <v>0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>
      <c r="B40" s="20" t="s">
        <v>401</v>
      </c>
      <c r="C40" s="141"/>
      <c r="D40" s="141"/>
      <c r="E40" s="147"/>
      <c r="F40" s="147"/>
      <c r="G40" s="147">
        <v>1332</v>
      </c>
      <c r="H40" s="147">
        <v>1324</v>
      </c>
      <c r="I40" s="147">
        <v>1712</v>
      </c>
      <c r="J40" s="147">
        <v>2821</v>
      </c>
      <c r="K40" s="147">
        <v>5243</v>
      </c>
      <c r="L40" s="147">
        <v>2078</v>
      </c>
      <c r="M40" s="147">
        <v>9622</v>
      </c>
      <c r="N40" s="147">
        <v>10867</v>
      </c>
      <c r="O40" s="147">
        <v>14788</v>
      </c>
      <c r="P40" s="147">
        <v>17356</v>
      </c>
      <c r="Q40" s="193">
        <f>P40</f>
        <v>17356</v>
      </c>
      <c r="R40" s="118">
        <f>((Q40/G40)^(1/($H$2-$H$1) ))-1</f>
        <v>0.33009549975080299</v>
      </c>
      <c r="S40" s="31">
        <f t="shared" si="6"/>
        <v>0.12</v>
      </c>
      <c r="T40" s="154">
        <f t="shared" si="2"/>
        <v>19438.72</v>
      </c>
      <c r="U40" s="154">
        <f t="shared" ref="U40:AC40" si="103">T40*(1+$S40)</f>
        <v>21771.366400000003</v>
      </c>
      <c r="V40" s="154">
        <f t="shared" si="103"/>
        <v>24383.930368000005</v>
      </c>
      <c r="W40" s="154">
        <f t="shared" si="103"/>
        <v>27310.002012160006</v>
      </c>
      <c r="X40" s="154">
        <f t="shared" si="103"/>
        <v>30587.202253619209</v>
      </c>
      <c r="Y40" s="154">
        <f t="shared" si="103"/>
        <v>34257.666524053515</v>
      </c>
      <c r="Z40" s="154">
        <f t="shared" si="103"/>
        <v>38368.586506939937</v>
      </c>
      <c r="AA40" s="154">
        <f t="shared" si="103"/>
        <v>42972.816887772737</v>
      </c>
      <c r="AB40" s="154">
        <f t="shared" si="103"/>
        <v>48129.554914305467</v>
      </c>
      <c r="AC40" s="154">
        <f t="shared" si="103"/>
        <v>53905.101504022125</v>
      </c>
      <c r="AD40" s="138">
        <f t="shared" si="18"/>
        <v>0.20325114097431007</v>
      </c>
      <c r="AE40" s="31">
        <f t="shared" si="16"/>
        <v>0.05</v>
      </c>
      <c r="AF40" s="146">
        <f t="shared" si="1"/>
        <v>332943.27399543079</v>
      </c>
    </row>
    <row r="41" spans="2:32" s="123" customFormat="1">
      <c r="B41" s="23"/>
      <c r="C41" s="149"/>
      <c r="D41" s="149"/>
      <c r="E41" s="150"/>
      <c r="F41" s="150"/>
      <c r="G41" s="148">
        <f>(G40-F40)/G40</f>
        <v>1</v>
      </c>
      <c r="H41" s="148">
        <f t="shared" ref="H41:P41" si="104">(H40-G40)/H40</f>
        <v>-6.0422960725075529E-3</v>
      </c>
      <c r="I41" s="148">
        <f t="shared" si="104"/>
        <v>0.22663551401869159</v>
      </c>
      <c r="J41" s="148">
        <f t="shared" si="104"/>
        <v>0.39312300602623185</v>
      </c>
      <c r="K41" s="148">
        <f t="shared" si="104"/>
        <v>0.46194926568758343</v>
      </c>
      <c r="L41" s="148">
        <f t="shared" si="104"/>
        <v>-1.5230991337824831</v>
      </c>
      <c r="M41" s="148">
        <f t="shared" si="104"/>
        <v>0.7840365828310123</v>
      </c>
      <c r="N41" s="148">
        <f t="shared" si="104"/>
        <v>0.11456703782092574</v>
      </c>
      <c r="O41" s="148">
        <f t="shared" si="104"/>
        <v>0.26514741682445225</v>
      </c>
      <c r="P41" s="148">
        <f t="shared" si="104"/>
        <v>0.1479603595298456</v>
      </c>
      <c r="Q41" s="195">
        <f t="shared" ref="Q41" si="105">(Q40-P40)/Q40</f>
        <v>0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147">
        <v>0.01</v>
      </c>
      <c r="H42" s="147">
        <v>0.01</v>
      </c>
      <c r="I42" s="147">
        <v>6.31</v>
      </c>
      <c r="J42" s="147">
        <v>6.31</v>
      </c>
      <c r="K42" s="147">
        <v>6.31</v>
      </c>
      <c r="L42" s="147">
        <v>6.31</v>
      </c>
      <c r="M42" s="147">
        <v>631.63</v>
      </c>
      <c r="N42" s="147">
        <v>631.63</v>
      </c>
      <c r="O42" s="147">
        <v>631.63</v>
      </c>
      <c r="P42" s="147">
        <v>631.63</v>
      </c>
      <c r="Q42" s="193">
        <f>P42</f>
        <v>631.63</v>
      </c>
      <c r="R42" s="118">
        <f>((Q42/G42)^(1/($H$2-$H$1) ))-1</f>
        <v>2.4149531497290062</v>
      </c>
      <c r="S42" s="31">
        <f>P1</f>
        <v>0.05</v>
      </c>
      <c r="T42" s="154">
        <f t="shared" si="2"/>
        <v>663.2115</v>
      </c>
      <c r="U42" s="154">
        <f t="shared" ref="U42:AC42" si="106">T42*(1+$S42)</f>
        <v>696.372075</v>
      </c>
      <c r="V42" s="154">
        <f t="shared" si="106"/>
        <v>731.19067875000007</v>
      </c>
      <c r="W42" s="154">
        <f t="shared" si="106"/>
        <v>767.75021268750015</v>
      </c>
      <c r="X42" s="154">
        <f t="shared" si="106"/>
        <v>806.13772332187523</v>
      </c>
      <c r="Y42" s="154">
        <f t="shared" si="106"/>
        <v>846.44460948796905</v>
      </c>
      <c r="Z42" s="154">
        <f t="shared" si="106"/>
        <v>888.7668399623675</v>
      </c>
      <c r="AA42" s="154">
        <f t="shared" si="106"/>
        <v>933.2051819604859</v>
      </c>
      <c r="AB42" s="154">
        <f t="shared" si="106"/>
        <v>979.86544105851021</v>
      </c>
      <c r="AC42" s="154">
        <f t="shared" si="106"/>
        <v>1028.8587131114357</v>
      </c>
      <c r="AD42" s="138">
        <f t="shared" si="18"/>
        <v>0.7808108252106718</v>
      </c>
      <c r="AE42" s="31">
        <f t="shared" si="16"/>
        <v>0.05</v>
      </c>
      <c r="AF42" s="146">
        <f t="shared" si="1"/>
        <v>6354.7155809823971</v>
      </c>
    </row>
    <row r="43" spans="2:32">
      <c r="B43" s="20"/>
      <c r="C43" s="142"/>
      <c r="D43" s="142"/>
      <c r="E43" s="143"/>
      <c r="F43" s="147"/>
      <c r="G43" s="148">
        <f>(G42-F42)/G42</f>
        <v>-99</v>
      </c>
      <c r="H43" s="148">
        <f t="shared" ref="H43" si="107">(H42-G42)/H42</f>
        <v>0</v>
      </c>
      <c r="I43" s="148">
        <f t="shared" ref="I43" si="108">(I42-H42)/I42</f>
        <v>0.99841521394611732</v>
      </c>
      <c r="J43" s="148">
        <f t="shared" ref="J43" si="109">(J42-I42)/J42</f>
        <v>0</v>
      </c>
      <c r="K43" s="148">
        <f t="shared" ref="K43" si="110">(K42-J42)/K42</f>
        <v>0</v>
      </c>
      <c r="L43" s="148">
        <f t="shared" ref="L43" si="111">(L42-K42)/L42</f>
        <v>0</v>
      </c>
      <c r="M43" s="148">
        <f t="shared" ref="M43" si="112">(M42-L42)/M42</f>
        <v>0.99000997419375281</v>
      </c>
      <c r="N43" s="148">
        <f t="shared" ref="N43" si="113">(N42-M42)/N42</f>
        <v>0</v>
      </c>
      <c r="O43" s="148">
        <f t="shared" ref="O43" si="114">(O42-N42)/O42</f>
        <v>0</v>
      </c>
      <c r="P43" s="148">
        <f t="shared" ref="P43:Q43" si="115">(P42-O42)/P42</f>
        <v>0</v>
      </c>
      <c r="Q43" s="195">
        <f t="shared" si="115"/>
        <v>0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>
      <c r="B44" s="20" t="s">
        <v>282</v>
      </c>
      <c r="C44" s="145"/>
      <c r="D44" s="145"/>
      <c r="E44" s="145"/>
      <c r="F44" s="147"/>
      <c r="G44" s="147">
        <v>0.01</v>
      </c>
      <c r="H44" s="147">
        <v>0.01</v>
      </c>
      <c r="I44" s="147">
        <v>200</v>
      </c>
      <c r="J44" s="147">
        <v>237</v>
      </c>
      <c r="K44" s="147">
        <v>270</v>
      </c>
      <c r="L44" s="147">
        <v>2.7</v>
      </c>
      <c r="M44" s="147">
        <v>3.5</v>
      </c>
      <c r="N44" s="147">
        <v>3.9</v>
      </c>
      <c r="O44" s="147">
        <v>10</v>
      </c>
      <c r="P44" s="147">
        <v>14</v>
      </c>
      <c r="Q44" s="193">
        <f>P44</f>
        <v>14</v>
      </c>
      <c r="R44" s="118">
        <f>((Q44/G44)^(1/($H$2-$H$1) ))-1</f>
        <v>1.2365045278203177</v>
      </c>
      <c r="S44" s="31">
        <f>P1</f>
        <v>0.05</v>
      </c>
      <c r="T44" s="154">
        <f t="shared" si="2"/>
        <v>14.700000000000001</v>
      </c>
      <c r="U44" s="154">
        <f t="shared" ref="U44" si="116">T44*(1+$S44)</f>
        <v>15.435000000000002</v>
      </c>
      <c r="V44" s="154">
        <f t="shared" ref="V44" si="117">U44*(1+$S44)</f>
        <v>16.206750000000003</v>
      </c>
      <c r="W44" s="154">
        <f t="shared" ref="W44" si="118">V44*(1+$S44)</f>
        <v>17.017087500000002</v>
      </c>
      <c r="X44" s="154">
        <f t="shared" ref="X44" si="119">W44*(1+$S44)</f>
        <v>17.867941875000003</v>
      </c>
      <c r="Y44" s="154">
        <f t="shared" ref="Y44" si="120">X44*(1+$S44)</f>
        <v>18.761338968750003</v>
      </c>
      <c r="Z44" s="154">
        <f t="shared" ref="Z44" si="121">Y44*(1+$S44)</f>
        <v>19.699405917187505</v>
      </c>
      <c r="AA44" s="154">
        <f t="shared" ref="AA44" si="122">Z44*(1+$S44)</f>
        <v>20.684376213046882</v>
      </c>
      <c r="AB44" s="154">
        <f t="shared" ref="AB44" si="123">AA44*(1+$S44)</f>
        <v>21.718595023699226</v>
      </c>
      <c r="AC44" s="154">
        <f t="shared" ref="AC44" si="124">AB44*(1+$S44)</f>
        <v>22.804524774884189</v>
      </c>
      <c r="AD44" s="138">
        <f t="shared" ref="AD44" si="125">((AC44/G44)^(1/($AC$3-$H$1) ))-1</f>
        <v>0.47197709226391971</v>
      </c>
      <c r="AE44" s="31">
        <f t="shared" si="16"/>
        <v>0.05</v>
      </c>
      <c r="AF44" s="146">
        <f t="shared" si="1"/>
        <v>140.85147655075531</v>
      </c>
    </row>
    <row r="45" spans="2:32">
      <c r="B45" s="20" t="s">
        <v>426</v>
      </c>
      <c r="C45" s="20"/>
      <c r="D45" s="20"/>
      <c r="E45" s="127"/>
      <c r="F45" s="12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93"/>
      <c r="R45" s="128"/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>
      <c r="B46" s="20" t="s">
        <v>424</v>
      </c>
      <c r="C46" s="20"/>
      <c r="D46" s="20"/>
      <c r="E46" s="127"/>
      <c r="F46" s="12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93"/>
      <c r="R46" s="128"/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>
      <c r="B47" s="20" t="s">
        <v>425</v>
      </c>
      <c r="C47" s="20"/>
      <c r="D47" s="20"/>
      <c r="E47" s="127"/>
      <c r="F47" s="12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93"/>
      <c r="R47" s="128"/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96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>
      <c r="B50" s="20" t="s">
        <v>303</v>
      </c>
      <c r="C50" s="133">
        <f t="shared" ref="C50:P50" si="126">C25/C42</f>
        <v>0</v>
      </c>
      <c r="D50" s="133">
        <f t="shared" si="126"/>
        <v>0</v>
      </c>
      <c r="E50" s="133">
        <f t="shared" si="126"/>
        <v>0</v>
      </c>
      <c r="F50" s="133">
        <f t="shared" si="126"/>
        <v>0</v>
      </c>
      <c r="G50" s="133">
        <f t="shared" si="126"/>
        <v>182500</v>
      </c>
      <c r="H50" s="133">
        <f t="shared" si="126"/>
        <v>181200</v>
      </c>
      <c r="I50" s="133">
        <f t="shared" si="126"/>
        <v>387.16323296354994</v>
      </c>
      <c r="J50" s="133">
        <f t="shared" si="126"/>
        <v>559.5879556259905</v>
      </c>
      <c r="K50" s="133">
        <f t="shared" si="126"/>
        <v>6206.6561014263079</v>
      </c>
      <c r="L50" s="133">
        <f t="shared" si="126"/>
        <v>8328.2091917591133</v>
      </c>
      <c r="M50" s="133">
        <f t="shared" si="126"/>
        <v>93.842914364422214</v>
      </c>
      <c r="N50" s="133">
        <f t="shared" si="126"/>
        <v>89.1756249703149</v>
      </c>
      <c r="O50" s="133">
        <f t="shared" si="126"/>
        <v>111.38008011019109</v>
      </c>
      <c r="P50" s="133">
        <f t="shared" si="126"/>
        <v>121.20228614853633</v>
      </c>
      <c r="Q50" s="133">
        <f t="shared" ref="Q50" si="127">Q25/Q42</f>
        <v>121.20228614853633</v>
      </c>
      <c r="R50" s="118">
        <f>((P50/G50)^(1/($H$2-$H$1) ))-1</f>
        <v>-0.5564767018818394</v>
      </c>
      <c r="S50" s="128"/>
      <c r="T50" s="158">
        <f t="shared" ref="T50:AC50" si="128">T25/T42</f>
        <v>129.28243855843877</v>
      </c>
      <c r="U50" s="158">
        <f t="shared" si="128"/>
        <v>137.90126779566802</v>
      </c>
      <c r="V50" s="158">
        <f t="shared" si="128"/>
        <v>147.09468564871256</v>
      </c>
      <c r="W50" s="158">
        <f t="shared" si="128"/>
        <v>156.9009980252934</v>
      </c>
      <c r="X50" s="158">
        <f t="shared" si="128"/>
        <v>167.36106456031297</v>
      </c>
      <c r="Y50" s="158">
        <f t="shared" si="128"/>
        <v>178.51846886433384</v>
      </c>
      <c r="Z50" s="158">
        <f t="shared" si="128"/>
        <v>190.41970012195614</v>
      </c>
      <c r="AA50" s="158">
        <f t="shared" si="128"/>
        <v>203.11434679675324</v>
      </c>
      <c r="AB50" s="158">
        <f t="shared" si="128"/>
        <v>216.65530324987014</v>
      </c>
      <c r="AC50" s="158">
        <f t="shared" si="128"/>
        <v>231.09899013319483</v>
      </c>
      <c r="AD50" s="138">
        <f t="shared" ref="AD50" si="129">((AC50/G50)^(1/($AC$3-$H$1) ))-1</f>
        <v>-0.28364753617100147</v>
      </c>
      <c r="AE50" s="31">
        <f t="shared" si="16"/>
        <v>0.05</v>
      </c>
      <c r="AF50" s="146">
        <f t="shared" ref="AF50:AF51" si="130">(AC50*(1+AE50))/($C$1-AE50)</f>
        <v>1427.3761155285565</v>
      </c>
    </row>
    <row r="51" spans="2:32">
      <c r="B51" s="20" t="s">
        <v>304</v>
      </c>
      <c r="C51" s="133">
        <f t="shared" ref="C51:P51" si="131">C27/C42</f>
        <v>0</v>
      </c>
      <c r="D51" s="133">
        <f t="shared" si="131"/>
        <v>0</v>
      </c>
      <c r="E51" s="133">
        <f t="shared" si="131"/>
        <v>0</v>
      </c>
      <c r="F51" s="133">
        <f t="shared" si="131"/>
        <v>0</v>
      </c>
      <c r="G51" s="133">
        <f t="shared" si="131"/>
        <v>26700</v>
      </c>
      <c r="H51" s="133">
        <f t="shared" si="131"/>
        <v>30900</v>
      </c>
      <c r="I51" s="133">
        <f t="shared" si="131"/>
        <v>131.22028526148972</v>
      </c>
      <c r="J51" s="133">
        <f t="shared" si="131"/>
        <v>52.931854199683045</v>
      </c>
      <c r="K51" s="133">
        <f t="shared" si="131"/>
        <v>4573.2171156893819</v>
      </c>
      <c r="L51" s="133">
        <f t="shared" si="131"/>
        <v>6756.5768621236139</v>
      </c>
      <c r="M51" s="133">
        <f t="shared" si="131"/>
        <v>64.859173883444427</v>
      </c>
      <c r="N51" s="133">
        <f t="shared" si="131"/>
        <v>60.107974605386062</v>
      </c>
      <c r="O51" s="133">
        <f t="shared" si="131"/>
        <v>74.613302091414283</v>
      </c>
      <c r="P51" s="133">
        <f t="shared" si="131"/>
        <v>78.724886405015596</v>
      </c>
      <c r="Q51" s="133">
        <f t="shared" ref="Q51" si="132">Q27/Q42</f>
        <v>0</v>
      </c>
      <c r="R51" s="118">
        <f>((P51/G51)^(1/($H$2-$H$1) ))-1</f>
        <v>-0.47658696836190795</v>
      </c>
      <c r="S51" s="128"/>
      <c r="T51" s="158">
        <f t="shared" ref="T51:AC51" si="133">T27/T42</f>
        <v>0</v>
      </c>
      <c r="U51" s="158">
        <f t="shared" si="133"/>
        <v>0</v>
      </c>
      <c r="V51" s="158">
        <f t="shared" si="133"/>
        <v>0</v>
      </c>
      <c r="W51" s="158">
        <f t="shared" si="133"/>
        <v>0</v>
      </c>
      <c r="X51" s="158">
        <f t="shared" si="133"/>
        <v>0</v>
      </c>
      <c r="Y51" s="158">
        <f t="shared" si="133"/>
        <v>0</v>
      </c>
      <c r="Z51" s="158">
        <f t="shared" si="133"/>
        <v>0</v>
      </c>
      <c r="AA51" s="158">
        <f t="shared" si="133"/>
        <v>0</v>
      </c>
      <c r="AB51" s="158">
        <f t="shared" si="133"/>
        <v>0</v>
      </c>
      <c r="AC51" s="158">
        <f t="shared" si="133"/>
        <v>0</v>
      </c>
      <c r="AD51" s="138">
        <f t="shared" ref="AD51" si="134">((AC51/G51)^(1/($AC$3-$H$1) ))-1</f>
        <v>-1</v>
      </c>
      <c r="AE51" s="31">
        <f t="shared" si="16"/>
        <v>0.05</v>
      </c>
      <c r="AF51" s="146">
        <f t="shared" si="130"/>
        <v>0</v>
      </c>
    </row>
    <row r="52" spans="2:32">
      <c r="B52" s="20" t="s">
        <v>427</v>
      </c>
      <c r="C52" s="133"/>
      <c r="D52" s="133"/>
      <c r="E52" s="133"/>
      <c r="F52" s="133"/>
      <c r="G52" s="133">
        <f>G38-G40</f>
        <v>23</v>
      </c>
      <c r="H52" s="133">
        <f t="shared" ref="H52:P52" si="135">H38-H40</f>
        <v>-9</v>
      </c>
      <c r="I52" s="133">
        <f t="shared" si="135"/>
        <v>-268</v>
      </c>
      <c r="J52" s="133">
        <f t="shared" si="135"/>
        <v>23</v>
      </c>
      <c r="K52" s="133">
        <f t="shared" si="135"/>
        <v>3419</v>
      </c>
      <c r="L52" s="133">
        <f t="shared" si="135"/>
        <v>3662</v>
      </c>
      <c r="M52" s="133">
        <f t="shared" si="135"/>
        <v>4415</v>
      </c>
      <c r="N52" s="133">
        <f t="shared" si="135"/>
        <v>5596</v>
      </c>
      <c r="O52" s="133">
        <f t="shared" si="135"/>
        <v>6484</v>
      </c>
      <c r="P52" s="133">
        <f t="shared" si="135"/>
        <v>7623</v>
      </c>
      <c r="Q52" s="133">
        <f t="shared" ref="Q52" si="136">Q38-Q40</f>
        <v>7623</v>
      </c>
      <c r="R52" s="118">
        <f>((P52/G52)^(1/($H$2-$H$1) ))-1</f>
        <v>0.90565479303154772</v>
      </c>
      <c r="S52" s="128"/>
      <c r="T52" s="133">
        <f t="shared" ref="T52:AC52" si="137">T38-T40</f>
        <v>8537.760000000002</v>
      </c>
      <c r="U52" s="133">
        <f t="shared" si="137"/>
        <v>9562.2912000000033</v>
      </c>
      <c r="V52" s="133">
        <f t="shared" si="137"/>
        <v>10709.766144000005</v>
      </c>
      <c r="W52" s="133">
        <f t="shared" si="137"/>
        <v>11994.938081280005</v>
      </c>
      <c r="X52" s="133">
        <f t="shared" si="137"/>
        <v>13434.330651033604</v>
      </c>
      <c r="Y52" s="133">
        <f t="shared" si="137"/>
        <v>15046.45032915764</v>
      </c>
      <c r="Z52" s="133">
        <f t="shared" si="137"/>
        <v>16852.024368656559</v>
      </c>
      <c r="AA52" s="133">
        <f t="shared" si="137"/>
        <v>18874.267292895347</v>
      </c>
      <c r="AB52" s="133">
        <f t="shared" si="137"/>
        <v>21139.179368042795</v>
      </c>
      <c r="AC52" s="133">
        <f t="shared" si="137"/>
        <v>23675.880892207933</v>
      </c>
      <c r="AD52" s="138">
        <f t="shared" ref="AD52" si="138">((AC52/G52)^(1/($AC$3-$H$1) ))-1</f>
        <v>0.41458456656719411</v>
      </c>
      <c r="AE52" s="31">
        <f t="shared" si="16"/>
        <v>0.05</v>
      </c>
      <c r="AF52" s="146">
        <f t="shared" ref="AF52" si="139">(AC52*(1+AE52))/($C$1-AE52)</f>
        <v>146233.3819812843</v>
      </c>
    </row>
    <row r="53" spans="2:3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>
      <c r="B54" s="20" t="s">
        <v>257</v>
      </c>
      <c r="C54" s="25">
        <f t="shared" ref="C54:P54" si="140">C40/C42</f>
        <v>0</v>
      </c>
      <c r="D54" s="25">
        <f t="shared" si="140"/>
        <v>0</v>
      </c>
      <c r="E54" s="25">
        <f t="shared" si="140"/>
        <v>0</v>
      </c>
      <c r="F54" s="133">
        <f t="shared" si="140"/>
        <v>0</v>
      </c>
      <c r="G54" s="133">
        <f t="shared" si="140"/>
        <v>133200</v>
      </c>
      <c r="H54" s="133">
        <f t="shared" si="140"/>
        <v>132400</v>
      </c>
      <c r="I54" s="133">
        <f t="shared" si="140"/>
        <v>271.31537242472268</v>
      </c>
      <c r="J54" s="133">
        <f t="shared" si="140"/>
        <v>447.06814580031698</v>
      </c>
      <c r="K54" s="133">
        <f t="shared" si="140"/>
        <v>830.90332805071318</v>
      </c>
      <c r="L54" s="133">
        <f t="shared" si="140"/>
        <v>329.31854199683045</v>
      </c>
      <c r="M54" s="133">
        <f t="shared" si="140"/>
        <v>15.233601950509001</v>
      </c>
      <c r="N54" s="133">
        <f t="shared" si="140"/>
        <v>17.204692620679829</v>
      </c>
      <c r="O54" s="133">
        <f t="shared" si="140"/>
        <v>23.412440827699761</v>
      </c>
      <c r="P54" s="133">
        <f t="shared" si="140"/>
        <v>27.478112185931636</v>
      </c>
      <c r="Q54" s="133">
        <f t="shared" ref="Q54" si="141">Q40/Q42</f>
        <v>27.478112185931636</v>
      </c>
      <c r="R54" s="118">
        <f>((P54/G54)^(1/($H$2-$H$1) ))-1</f>
        <v>-0.61050841946210799</v>
      </c>
      <c r="S54" s="128"/>
      <c r="T54" s="158">
        <f t="shared" ref="T54:AC54" si="142">T40/T42</f>
        <v>29.309986331660415</v>
      </c>
      <c r="U54" s="158">
        <f t="shared" si="142"/>
        <v>31.263985420437777</v>
      </c>
      <c r="V54" s="158">
        <f t="shared" si="142"/>
        <v>33.348251115133628</v>
      </c>
      <c r="W54" s="158">
        <f t="shared" si="142"/>
        <v>35.571467856142533</v>
      </c>
      <c r="X54" s="158">
        <f t="shared" si="142"/>
        <v>37.942899046552036</v>
      </c>
      <c r="Y54" s="158">
        <f t="shared" si="142"/>
        <v>40.472425649655506</v>
      </c>
      <c r="Z54" s="158">
        <f t="shared" si="142"/>
        <v>43.170587359632535</v>
      </c>
      <c r="AA54" s="158">
        <f t="shared" si="142"/>
        <v>46.048626516941383</v>
      </c>
      <c r="AB54" s="158">
        <f t="shared" si="142"/>
        <v>49.118534951404136</v>
      </c>
      <c r="AC54" s="158">
        <f t="shared" si="142"/>
        <v>52.393103948164416</v>
      </c>
      <c r="AD54" s="138">
        <f t="shared" ref="AD54:AD68" si="143">((AC54/G54)^(1/($AC$3-$H$1) ))-1</f>
        <v>-0.32432399672100809</v>
      </c>
      <c r="AE54" s="31">
        <f t="shared" si="16"/>
        <v>0.05</v>
      </c>
      <c r="AF54" s="146">
        <f t="shared" ref="AF54:AF82" si="144">(AC54*(1+AE54))/($C$1-AE54)</f>
        <v>323.60446556219199</v>
      </c>
    </row>
    <row r="55" spans="2:32">
      <c r="B55" s="20" t="s">
        <v>388</v>
      </c>
      <c r="C55" s="133">
        <f t="shared" ref="C55:F55" si="145">C20/C42</f>
        <v>0</v>
      </c>
      <c r="D55" s="133">
        <f t="shared" si="145"/>
        <v>0</v>
      </c>
      <c r="E55" s="133">
        <f t="shared" si="145"/>
        <v>0</v>
      </c>
      <c r="F55" s="133">
        <f t="shared" si="145"/>
        <v>0</v>
      </c>
      <c r="G55" s="133">
        <f>G20/G42</f>
        <v>0</v>
      </c>
      <c r="H55" s="133">
        <f t="shared" ref="H55:P55" si="146">H20/H42</f>
        <v>0</v>
      </c>
      <c r="I55" s="133">
        <f t="shared" si="146"/>
        <v>0</v>
      </c>
      <c r="J55" s="133">
        <f t="shared" si="146"/>
        <v>0</v>
      </c>
      <c r="K55" s="133">
        <f t="shared" si="146"/>
        <v>0</v>
      </c>
      <c r="L55" s="133">
        <f t="shared" si="146"/>
        <v>0</v>
      </c>
      <c r="M55" s="133">
        <f t="shared" si="146"/>
        <v>0</v>
      </c>
      <c r="N55" s="133">
        <f t="shared" si="146"/>
        <v>0</v>
      </c>
      <c r="O55" s="133">
        <f t="shared" si="146"/>
        <v>0</v>
      </c>
      <c r="P55" s="133">
        <f t="shared" si="146"/>
        <v>0</v>
      </c>
      <c r="Q55" s="133">
        <f t="shared" ref="Q55" si="147">Q20/Q42</f>
        <v>0</v>
      </c>
      <c r="R55" s="118" t="e">
        <f>((P55/G55)^(1/($H$2-$H$1) ))-1</f>
        <v>#DIV/0!</v>
      </c>
      <c r="S55" s="128"/>
      <c r="T55" s="133">
        <f t="shared" ref="T55:AC55" si="148">T20/T42</f>
        <v>0</v>
      </c>
      <c r="U55" s="133">
        <f t="shared" si="148"/>
        <v>0</v>
      </c>
      <c r="V55" s="133">
        <f t="shared" si="148"/>
        <v>0</v>
      </c>
      <c r="W55" s="133">
        <f t="shared" si="148"/>
        <v>0</v>
      </c>
      <c r="X55" s="133">
        <f t="shared" si="148"/>
        <v>0</v>
      </c>
      <c r="Y55" s="133">
        <f t="shared" si="148"/>
        <v>0</v>
      </c>
      <c r="Z55" s="133">
        <f t="shared" si="148"/>
        <v>0</v>
      </c>
      <c r="AA55" s="133">
        <f t="shared" si="148"/>
        <v>0</v>
      </c>
      <c r="AB55" s="133">
        <f t="shared" si="148"/>
        <v>0</v>
      </c>
      <c r="AC55" s="133">
        <f t="shared" si="148"/>
        <v>0</v>
      </c>
      <c r="AD55" s="138" t="e">
        <f t="shared" ref="AD55" si="149">((AC55/G55)^(1/($AC$3-$H$1) ))-1</f>
        <v>#DIV/0!</v>
      </c>
      <c r="AE55" s="31">
        <f t="shared" si="16"/>
        <v>0.05</v>
      </c>
      <c r="AF55" s="146">
        <f t="shared" si="144"/>
        <v>0</v>
      </c>
    </row>
    <row r="56" spans="2:32">
      <c r="B56" s="20" t="s">
        <v>245</v>
      </c>
      <c r="C56" s="25">
        <f t="shared" ref="C56:P56" si="150">C7/C42</f>
        <v>0</v>
      </c>
      <c r="D56" s="25">
        <f t="shared" si="150"/>
        <v>0</v>
      </c>
      <c r="E56" s="25">
        <f t="shared" si="150"/>
        <v>0</v>
      </c>
      <c r="F56" s="133">
        <f t="shared" si="150"/>
        <v>0</v>
      </c>
      <c r="G56" s="133">
        <f t="shared" si="150"/>
        <v>969700</v>
      </c>
      <c r="H56" s="133">
        <f t="shared" si="150"/>
        <v>1087800</v>
      </c>
      <c r="I56" s="133">
        <f t="shared" si="150"/>
        <v>1797.3058637083996</v>
      </c>
      <c r="J56" s="133">
        <f t="shared" si="150"/>
        <v>2005.3882725832013</v>
      </c>
      <c r="K56" s="133">
        <f t="shared" si="150"/>
        <v>3215.2139461172742</v>
      </c>
      <c r="L56" s="133">
        <f t="shared" si="150"/>
        <v>3231.0618066561015</v>
      </c>
      <c r="M56" s="133">
        <f t="shared" si="150"/>
        <v>43.177176511565314</v>
      </c>
      <c r="N56" s="133">
        <f t="shared" si="150"/>
        <v>52.742903281984709</v>
      </c>
      <c r="O56" s="133">
        <f t="shared" si="150"/>
        <v>64.045406329655023</v>
      </c>
      <c r="P56" s="133">
        <f t="shared" si="150"/>
        <v>76.73954688662667</v>
      </c>
      <c r="Q56" s="133">
        <f t="shared" ref="Q56" si="151">Q7/Q42</f>
        <v>76.73954688662667</v>
      </c>
      <c r="R56" s="118">
        <f>((P56/G56)^(1/($H$2-$H$1) ))-1</f>
        <v>-0.64984152004602347</v>
      </c>
      <c r="S56" s="128"/>
      <c r="T56" s="158">
        <f t="shared" ref="T56:AC56" si="152">T7/T42</f>
        <v>81.855516679068444</v>
      </c>
      <c r="U56" s="158">
        <f t="shared" si="152"/>
        <v>87.312551124339691</v>
      </c>
      <c r="V56" s="158">
        <f t="shared" si="152"/>
        <v>93.133387865962334</v>
      </c>
      <c r="W56" s="158">
        <f t="shared" si="152"/>
        <v>99.342280390359818</v>
      </c>
      <c r="X56" s="158">
        <f t="shared" si="152"/>
        <v>105.96509908305048</v>
      </c>
      <c r="Y56" s="158">
        <f t="shared" si="152"/>
        <v>113.02943902192051</v>
      </c>
      <c r="Z56" s="158">
        <f t="shared" si="152"/>
        <v>120.56473495671523</v>
      </c>
      <c r="AA56" s="158">
        <f t="shared" si="152"/>
        <v>128.60238395382959</v>
      </c>
      <c r="AB56" s="158">
        <f t="shared" si="152"/>
        <v>137.17587621741822</v>
      </c>
      <c r="AC56" s="158">
        <f t="shared" si="152"/>
        <v>146.32093463191279</v>
      </c>
      <c r="AD56" s="138">
        <f t="shared" si="143"/>
        <v>-0.3559294322517581</v>
      </c>
      <c r="AE56" s="31">
        <f t="shared" si="16"/>
        <v>0.05</v>
      </c>
      <c r="AF56" s="146">
        <f t="shared" si="144"/>
        <v>903.74694919710851</v>
      </c>
    </row>
    <row r="57" spans="2:32">
      <c r="B57" s="20" t="s">
        <v>246</v>
      </c>
      <c r="C57" s="127">
        <f t="shared" ref="C57:P57" si="153">C6/C42</f>
        <v>0</v>
      </c>
      <c r="D57" s="127">
        <f t="shared" si="153"/>
        <v>0</v>
      </c>
      <c r="E57" s="127">
        <f t="shared" si="153"/>
        <v>0</v>
      </c>
      <c r="F57" s="144">
        <f t="shared" si="153"/>
        <v>0</v>
      </c>
      <c r="G57" s="144">
        <f t="shared" si="153"/>
        <v>338000</v>
      </c>
      <c r="H57" s="144">
        <f t="shared" si="153"/>
        <v>456100</v>
      </c>
      <c r="I57" s="144">
        <f t="shared" si="153"/>
        <v>796.35499207606983</v>
      </c>
      <c r="J57" s="144">
        <f t="shared" si="153"/>
        <v>1004.4374009508717</v>
      </c>
      <c r="K57" s="144">
        <f t="shared" si="153"/>
        <v>2214.1045958795562</v>
      </c>
      <c r="L57" s="144">
        <f t="shared" si="153"/>
        <v>2230.1109350237721</v>
      </c>
      <c r="M57" s="144">
        <f t="shared" si="153"/>
        <v>33.177651473172588</v>
      </c>
      <c r="N57" s="144">
        <f t="shared" si="153"/>
        <v>42.741795038234407</v>
      </c>
      <c r="O57" s="144">
        <f t="shared" si="153"/>
        <v>54.044298085904721</v>
      </c>
      <c r="P57" s="144">
        <f t="shared" si="153"/>
        <v>66.740021848233937</v>
      </c>
      <c r="Q57" s="144">
        <f t="shared" ref="Q57" si="154">Q6/Q42</f>
        <v>66.740021848233937</v>
      </c>
      <c r="R57" s="118">
        <f>((P57/G57)^(1/($H$2-$H$1) ))-1</f>
        <v>-0.61239844025522094</v>
      </c>
      <c r="S57" s="128"/>
      <c r="T57" s="157">
        <f t="shared" ref="T57:AC57" si="155">T6/T42</f>
        <v>71.189356638116209</v>
      </c>
      <c r="U57" s="157">
        <f t="shared" si="155"/>
        <v>75.93531374732396</v>
      </c>
      <c r="V57" s="157">
        <f t="shared" si="155"/>
        <v>80.997667997145555</v>
      </c>
      <c r="W57" s="157">
        <f t="shared" si="155"/>
        <v>86.397512530288594</v>
      </c>
      <c r="X57" s="157">
        <f t="shared" si="155"/>
        <v>92.157346698974493</v>
      </c>
      <c r="Y57" s="157">
        <f t="shared" si="155"/>
        <v>98.301169812239465</v>
      </c>
      <c r="Z57" s="157">
        <f t="shared" si="155"/>
        <v>104.85458113305543</v>
      </c>
      <c r="AA57" s="157">
        <f t="shared" si="155"/>
        <v>111.84488654192582</v>
      </c>
      <c r="AB57" s="157">
        <f t="shared" si="155"/>
        <v>119.30121231138754</v>
      </c>
      <c r="AC57" s="157">
        <f t="shared" si="155"/>
        <v>127.25462646548006</v>
      </c>
      <c r="AD57" s="138">
        <f t="shared" si="143"/>
        <v>-0.32580140364111576</v>
      </c>
      <c r="AE57" s="31">
        <f t="shared" si="16"/>
        <v>0.05</v>
      </c>
      <c r="AF57" s="146">
        <f t="shared" si="144"/>
        <v>785.98445758090645</v>
      </c>
    </row>
    <row r="58" spans="2:32">
      <c r="B58" s="20" t="s">
        <v>247</v>
      </c>
      <c r="C58" s="127">
        <f t="shared" ref="C58:P58" si="156">C10/C42</f>
        <v>0</v>
      </c>
      <c r="D58" s="127">
        <f t="shared" si="156"/>
        <v>0</v>
      </c>
      <c r="E58" s="127">
        <f t="shared" si="156"/>
        <v>0</v>
      </c>
      <c r="F58" s="144">
        <f t="shared" si="156"/>
        <v>0</v>
      </c>
      <c r="G58" s="144">
        <f t="shared" si="156"/>
        <v>252400</v>
      </c>
      <c r="H58" s="144">
        <f t="shared" si="156"/>
        <v>237200</v>
      </c>
      <c r="I58" s="144">
        <f t="shared" si="156"/>
        <v>300.95087163232967</v>
      </c>
      <c r="J58" s="144">
        <f t="shared" si="156"/>
        <v>260.8557844690967</v>
      </c>
      <c r="K58" s="144">
        <f t="shared" si="156"/>
        <v>298.57369255150559</v>
      </c>
      <c r="L58" s="144">
        <f t="shared" si="156"/>
        <v>340.41204437400955</v>
      </c>
      <c r="M58" s="144">
        <f t="shared" si="156"/>
        <v>3.302566375884616</v>
      </c>
      <c r="N58" s="144">
        <f t="shared" si="156"/>
        <v>2.1626585184364262</v>
      </c>
      <c r="O58" s="144">
        <f t="shared" si="156"/>
        <v>2.1104127416367175</v>
      </c>
      <c r="P58" s="144">
        <f t="shared" si="156"/>
        <v>1.7066953754571506</v>
      </c>
      <c r="Q58" s="144">
        <f t="shared" ref="Q58" si="157">Q10/Q42</f>
        <v>1.7066953754571506</v>
      </c>
      <c r="R58" s="118">
        <f>((P58/G58)^(1/($H$2-$H$1) ))-1</f>
        <v>-0.73358236891680573</v>
      </c>
      <c r="S58" s="128"/>
      <c r="T58" s="157">
        <f t="shared" ref="T58:AC58" si="158">T10/T42</f>
        <v>1.8204750671542942</v>
      </c>
      <c r="U58" s="157">
        <f t="shared" si="158"/>
        <v>1.9418400716312474</v>
      </c>
      <c r="V58" s="157">
        <f t="shared" si="158"/>
        <v>2.0712960764066639</v>
      </c>
      <c r="W58" s="157">
        <f t="shared" si="158"/>
        <v>2.2093824815004415</v>
      </c>
      <c r="X58" s="157">
        <f t="shared" si="158"/>
        <v>2.3566746469338042</v>
      </c>
      <c r="Y58" s="157">
        <f t="shared" si="158"/>
        <v>2.5137862900627241</v>
      </c>
      <c r="Z58" s="157">
        <f t="shared" si="158"/>
        <v>2.6813720427335728</v>
      </c>
      <c r="AA58" s="157">
        <f t="shared" si="158"/>
        <v>2.8601301789158109</v>
      </c>
      <c r="AB58" s="157">
        <f t="shared" si="158"/>
        <v>3.0508055241768655</v>
      </c>
      <c r="AC58" s="157">
        <f t="shared" si="158"/>
        <v>3.2541925591219902</v>
      </c>
      <c r="AD58" s="138">
        <f t="shared" si="143"/>
        <v>-0.43046857140564043</v>
      </c>
      <c r="AE58" s="31">
        <f t="shared" si="16"/>
        <v>0.05</v>
      </c>
      <c r="AF58" s="146">
        <f t="shared" si="144"/>
        <v>20.09942462987112</v>
      </c>
    </row>
    <row r="59" spans="2:3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>
      <c r="B60" s="20" t="s">
        <v>270</v>
      </c>
      <c r="C60" s="127">
        <f t="shared" ref="C60:P60" si="159">(C7-C10)/C42</f>
        <v>0</v>
      </c>
      <c r="D60" s="127">
        <f t="shared" si="159"/>
        <v>0</v>
      </c>
      <c r="E60" s="127">
        <f t="shared" si="159"/>
        <v>0</v>
      </c>
      <c r="F60" s="144">
        <f t="shared" si="159"/>
        <v>0</v>
      </c>
      <c r="G60" s="144">
        <f t="shared" si="159"/>
        <v>717300</v>
      </c>
      <c r="H60" s="144">
        <f t="shared" si="159"/>
        <v>850600</v>
      </c>
      <c r="I60" s="144">
        <f t="shared" si="159"/>
        <v>1496.3549920760697</v>
      </c>
      <c r="J60" s="144">
        <f t="shared" si="159"/>
        <v>1744.5324881141048</v>
      </c>
      <c r="K60" s="144">
        <f t="shared" si="159"/>
        <v>2916.6402535657689</v>
      </c>
      <c r="L60" s="144">
        <f t="shared" si="159"/>
        <v>2890.6497622820921</v>
      </c>
      <c r="M60" s="144">
        <f t="shared" si="159"/>
        <v>39.874610135680697</v>
      </c>
      <c r="N60" s="144">
        <f t="shared" si="159"/>
        <v>50.580244763548279</v>
      </c>
      <c r="O60" s="144">
        <f t="shared" si="159"/>
        <v>61.934993588018301</v>
      </c>
      <c r="P60" s="144">
        <f t="shared" si="159"/>
        <v>75.032851511169511</v>
      </c>
      <c r="Q60" s="144">
        <f t="shared" ref="Q60" si="160">(Q7-Q10)/Q42</f>
        <v>75.032851511169511</v>
      </c>
      <c r="R60" s="118">
        <f>((P60/G60)^(1/($H$2-$H$1) ))-1</f>
        <v>-0.63881654608779581</v>
      </c>
      <c r="S60" s="128"/>
      <c r="T60" s="157">
        <f t="shared" ref="T60:AC60" si="161">(T7-T10)/T42</f>
        <v>80.035041611914153</v>
      </c>
      <c r="U60" s="157">
        <f t="shared" si="161"/>
        <v>85.370711052708444</v>
      </c>
      <c r="V60" s="157">
        <f t="shared" si="161"/>
        <v>91.062091789555666</v>
      </c>
      <c r="W60" s="157">
        <f t="shared" si="161"/>
        <v>97.132897908859363</v>
      </c>
      <c r="X60" s="157">
        <f t="shared" si="161"/>
        <v>103.60842443611668</v>
      </c>
      <c r="Y60" s="157">
        <f t="shared" si="161"/>
        <v>110.5156527318578</v>
      </c>
      <c r="Z60" s="157">
        <f t="shared" si="161"/>
        <v>117.88336291398166</v>
      </c>
      <c r="AA60" s="157">
        <f t="shared" si="161"/>
        <v>125.74225377491378</v>
      </c>
      <c r="AB60" s="157">
        <f t="shared" si="161"/>
        <v>134.12507069324136</v>
      </c>
      <c r="AC60" s="157">
        <f t="shared" si="161"/>
        <v>143.06674207279079</v>
      </c>
      <c r="AD60" s="138">
        <f t="shared" si="143"/>
        <v>-0.34688163951669393</v>
      </c>
      <c r="AE60" s="31">
        <f t="shared" si="16"/>
        <v>0.05</v>
      </c>
      <c r="AF60" s="146">
        <f t="shared" si="144"/>
        <v>883.64752456723738</v>
      </c>
    </row>
    <row r="61" spans="2:32">
      <c r="B61" s="20" t="s">
        <v>271</v>
      </c>
      <c r="C61" s="127">
        <f t="shared" ref="C61:P61" si="162">(C7-C10-C9)/C42</f>
        <v>0</v>
      </c>
      <c r="D61" s="127">
        <f t="shared" si="162"/>
        <v>0</v>
      </c>
      <c r="E61" s="127">
        <f t="shared" si="162"/>
        <v>0</v>
      </c>
      <c r="F61" s="144">
        <f t="shared" si="162"/>
        <v>0</v>
      </c>
      <c r="G61" s="144">
        <f t="shared" si="162"/>
        <v>321200</v>
      </c>
      <c r="H61" s="144">
        <f t="shared" si="162"/>
        <v>433300</v>
      </c>
      <c r="I61" s="144">
        <f t="shared" si="162"/>
        <v>776.70364500792402</v>
      </c>
      <c r="J61" s="144">
        <f t="shared" si="162"/>
        <v>1028.6846275752773</v>
      </c>
      <c r="K61" s="144">
        <f t="shared" si="162"/>
        <v>282.88431061806659</v>
      </c>
      <c r="L61" s="144">
        <f t="shared" si="162"/>
        <v>-393.50237717908084</v>
      </c>
      <c r="M61" s="144">
        <f t="shared" si="162"/>
        <v>-2.1927394202301982</v>
      </c>
      <c r="N61" s="144">
        <f t="shared" si="162"/>
        <v>24.76924781913462</v>
      </c>
      <c r="O61" s="144">
        <f t="shared" si="162"/>
        <v>28.244383578994032</v>
      </c>
      <c r="P61" s="144">
        <f t="shared" si="162"/>
        <v>42.798790431106816</v>
      </c>
      <c r="Q61" s="144">
        <f t="shared" ref="Q61" si="163">(Q7-Q10-Q9)/Q42</f>
        <v>42.798790431106816</v>
      </c>
      <c r="R61" s="118">
        <f>((P61/G61)^(1/($H$2-$H$1) ))-1</f>
        <v>-0.62897239955991568</v>
      </c>
      <c r="S61" s="128"/>
      <c r="T61" s="157">
        <f t="shared" ref="T61:AC61" si="164">(T7-T10-T9)/T42</f>
        <v>45.652043126513945</v>
      </c>
      <c r="U61" s="157">
        <f t="shared" si="164"/>
        <v>48.695512668281552</v>
      </c>
      <c r="V61" s="157">
        <f t="shared" si="164"/>
        <v>51.941880179500316</v>
      </c>
      <c r="W61" s="157">
        <f t="shared" si="164"/>
        <v>55.404672191467</v>
      </c>
      <c r="X61" s="157">
        <f t="shared" si="164"/>
        <v>59.098317004231475</v>
      </c>
      <c r="Y61" s="157">
        <f t="shared" si="164"/>
        <v>63.038204804513576</v>
      </c>
      <c r="Z61" s="157">
        <f t="shared" si="164"/>
        <v>67.240751791481145</v>
      </c>
      <c r="AA61" s="157">
        <f t="shared" si="164"/>
        <v>71.723468577579894</v>
      </c>
      <c r="AB61" s="157">
        <f t="shared" si="164"/>
        <v>76.505033149418551</v>
      </c>
      <c r="AC61" s="157">
        <f t="shared" si="164"/>
        <v>81.605368692713128</v>
      </c>
      <c r="AD61" s="138">
        <f t="shared" si="143"/>
        <v>-0.33893044016413321</v>
      </c>
      <c r="AE61" s="31">
        <f t="shared" si="16"/>
        <v>0.05</v>
      </c>
      <c r="AF61" s="146">
        <f t="shared" si="144"/>
        <v>504.03315957263993</v>
      </c>
    </row>
    <row r="62" spans="2:32">
      <c r="B62" s="20" t="s">
        <v>276</v>
      </c>
      <c r="C62" s="127">
        <f t="shared" ref="C62:P62" si="165">(C7+C15-C10-C9)/C42</f>
        <v>0</v>
      </c>
      <c r="D62" s="127">
        <f t="shared" si="165"/>
        <v>0</v>
      </c>
      <c r="E62" s="127">
        <f t="shared" si="165"/>
        <v>0</v>
      </c>
      <c r="F62" s="144">
        <f t="shared" si="165"/>
        <v>0</v>
      </c>
      <c r="G62" s="144">
        <f t="shared" si="165"/>
        <v>435400</v>
      </c>
      <c r="H62" s="144">
        <f t="shared" si="165"/>
        <v>691300</v>
      </c>
      <c r="I62" s="144">
        <f t="shared" si="165"/>
        <v>1235.4992076069732</v>
      </c>
      <c r="J62" s="144">
        <f t="shared" si="165"/>
        <v>1046.9096671949287</v>
      </c>
      <c r="K62" s="144">
        <f t="shared" si="165"/>
        <v>4403.6450079239303</v>
      </c>
      <c r="L62" s="144">
        <f t="shared" si="165"/>
        <v>690.17432646592715</v>
      </c>
      <c r="M62" s="144">
        <f t="shared" si="165"/>
        <v>13.107357155296613</v>
      </c>
      <c r="N62" s="144">
        <f t="shared" si="165"/>
        <v>111.54473346737805</v>
      </c>
      <c r="O62" s="144">
        <f t="shared" si="165"/>
        <v>138.97534949258269</v>
      </c>
      <c r="P62" s="144">
        <f t="shared" si="165"/>
        <v>166.81759891075473</v>
      </c>
      <c r="Q62" s="144">
        <f t="shared" ref="Q62" si="166">(Q7+Q15-Q10-Q9)/Q42</f>
        <v>42.798790431106816</v>
      </c>
      <c r="R62" s="118">
        <f>((P62/G62)^(1/($H$2-$H$1) ))-1</f>
        <v>-0.58277280841295087</v>
      </c>
      <c r="S62" s="128"/>
      <c r="T62" s="157">
        <f t="shared" ref="T62:AC62" si="167">(T7+T15-T10-T9)/T42</f>
        <v>45.652043126513945</v>
      </c>
      <c r="U62" s="157">
        <f t="shared" si="167"/>
        <v>48.695512668281552</v>
      </c>
      <c r="V62" s="157">
        <f t="shared" si="167"/>
        <v>51.941880179500316</v>
      </c>
      <c r="W62" s="157">
        <f t="shared" si="167"/>
        <v>55.404672191467</v>
      </c>
      <c r="X62" s="157">
        <f t="shared" si="167"/>
        <v>59.098317004231475</v>
      </c>
      <c r="Y62" s="157">
        <f t="shared" si="167"/>
        <v>63.038204804513576</v>
      </c>
      <c r="Z62" s="157">
        <f t="shared" si="167"/>
        <v>67.240751791481145</v>
      </c>
      <c r="AA62" s="157">
        <f t="shared" si="167"/>
        <v>71.723468577579894</v>
      </c>
      <c r="AB62" s="157">
        <f t="shared" si="167"/>
        <v>76.505033149418551</v>
      </c>
      <c r="AC62" s="157">
        <f t="shared" si="167"/>
        <v>81.605368692713128</v>
      </c>
      <c r="AD62" s="138">
        <f t="shared" si="143"/>
        <v>-0.34890926509969378</v>
      </c>
      <c r="AE62" s="31">
        <f t="shared" si="16"/>
        <v>0.05</v>
      </c>
      <c r="AF62" s="146">
        <f t="shared" si="144"/>
        <v>504.03315957263993</v>
      </c>
    </row>
    <row r="63" spans="2:3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>
      <c r="B64" s="20" t="s">
        <v>248</v>
      </c>
      <c r="C64" s="127">
        <f t="shared" ref="C64:P64" si="168">C12/C42</f>
        <v>0</v>
      </c>
      <c r="D64" s="127">
        <f t="shared" si="168"/>
        <v>0</v>
      </c>
      <c r="E64" s="127">
        <f t="shared" si="168"/>
        <v>0</v>
      </c>
      <c r="F64" s="144">
        <f t="shared" si="168"/>
        <v>0</v>
      </c>
      <c r="G64" s="144">
        <f t="shared" si="168"/>
        <v>110700</v>
      </c>
      <c r="H64" s="144">
        <f t="shared" si="168"/>
        <v>253200</v>
      </c>
      <c r="I64" s="144">
        <f t="shared" si="168"/>
        <v>453.72424722662441</v>
      </c>
      <c r="J64" s="144">
        <f t="shared" si="168"/>
        <v>590.80824088748022</v>
      </c>
      <c r="K64" s="144">
        <f t="shared" si="168"/>
        <v>3321.8700475435817</v>
      </c>
      <c r="L64" s="144">
        <f t="shared" si="168"/>
        <v>4705.8637083993663</v>
      </c>
      <c r="M64" s="144">
        <f t="shared" si="168"/>
        <v>61.865332552285359</v>
      </c>
      <c r="N64" s="144">
        <f t="shared" si="168"/>
        <v>72.520304608710802</v>
      </c>
      <c r="O64" s="144">
        <f t="shared" si="168"/>
        <v>92.145718221110457</v>
      </c>
      <c r="P64" s="144">
        <f t="shared" si="168"/>
        <v>98.532368633535455</v>
      </c>
      <c r="Q64" s="144">
        <f t="shared" ref="Q64" si="169">Q12/Q42</f>
        <v>98.532368633535455</v>
      </c>
      <c r="R64" s="118">
        <f>((P64/G64)^(1/($H$2-$H$1) ))-1</f>
        <v>-0.54180755658570123</v>
      </c>
      <c r="S64" s="128"/>
      <c r="T64" s="157">
        <f t="shared" ref="T64:AC64" si="170">T12/T42</f>
        <v>105.10119320910449</v>
      </c>
      <c r="U64" s="157">
        <f t="shared" si="170"/>
        <v>112.10793942304481</v>
      </c>
      <c r="V64" s="157">
        <f t="shared" si="170"/>
        <v>119.58180205124781</v>
      </c>
      <c r="W64" s="157">
        <f t="shared" si="170"/>
        <v>127.55392218799766</v>
      </c>
      <c r="X64" s="157">
        <f t="shared" si="170"/>
        <v>136.05751700053085</v>
      </c>
      <c r="Y64" s="157">
        <f t="shared" si="170"/>
        <v>145.12801813389956</v>
      </c>
      <c r="Z64" s="157">
        <f t="shared" si="170"/>
        <v>154.80321934282622</v>
      </c>
      <c r="AA64" s="157">
        <f t="shared" si="170"/>
        <v>165.1234339656813</v>
      </c>
      <c r="AB64" s="157">
        <f t="shared" si="170"/>
        <v>176.13166289672674</v>
      </c>
      <c r="AC64" s="157">
        <f t="shared" si="170"/>
        <v>187.87377375650854</v>
      </c>
      <c r="AD64" s="138">
        <f t="shared" si="143"/>
        <v>-0.27308115660784604</v>
      </c>
      <c r="AE64" s="31">
        <f t="shared" si="16"/>
        <v>0.05</v>
      </c>
      <c r="AF64" s="146">
        <f t="shared" si="144"/>
        <v>1160.3968379078469</v>
      </c>
    </row>
    <row r="65" spans="2:32">
      <c r="B65" s="20" t="s">
        <v>255</v>
      </c>
      <c r="C65" s="127">
        <f t="shared" ref="C65:P65" si="171">C13/C42</f>
        <v>0</v>
      </c>
      <c r="D65" s="127">
        <f t="shared" si="171"/>
        <v>0</v>
      </c>
      <c r="E65" s="127">
        <f t="shared" si="171"/>
        <v>0</v>
      </c>
      <c r="F65" s="144">
        <f t="shared" si="171"/>
        <v>0</v>
      </c>
      <c r="G65" s="144">
        <f t="shared" si="171"/>
        <v>1111300</v>
      </c>
      <c r="H65" s="144">
        <f t="shared" si="171"/>
        <v>1276300</v>
      </c>
      <c r="I65" s="144">
        <f t="shared" si="171"/>
        <v>1678.4469096671951</v>
      </c>
      <c r="J65" s="144">
        <f t="shared" si="171"/>
        <v>1000.9508716323297</v>
      </c>
      <c r="K65" s="144">
        <f t="shared" si="171"/>
        <v>272.10776545166402</v>
      </c>
      <c r="L65" s="144">
        <f t="shared" si="171"/>
        <v>238.51030110935025</v>
      </c>
      <c r="M65" s="144">
        <f t="shared" si="171"/>
        <v>2.0296692684008044</v>
      </c>
      <c r="N65" s="144">
        <f t="shared" si="171"/>
        <v>1.6829472950936466</v>
      </c>
      <c r="O65" s="144">
        <f t="shared" si="171"/>
        <v>3.1363298133400885</v>
      </c>
      <c r="P65" s="144">
        <f t="shared" si="171"/>
        <v>3.7901936260152302</v>
      </c>
      <c r="Q65" s="144">
        <f t="shared" ref="Q65" si="172">Q13/Q42</f>
        <v>0</v>
      </c>
      <c r="R65" s="118">
        <f>((P65/G65)^(1/($H$2-$H$1) ))-1</f>
        <v>-0.75309113912252412</v>
      </c>
      <c r="S65" s="128"/>
      <c r="T65" s="157">
        <f t="shared" ref="T65:AC65" si="173">T13/T42</f>
        <v>0</v>
      </c>
      <c r="U65" s="157">
        <f t="shared" si="173"/>
        <v>0</v>
      </c>
      <c r="V65" s="157">
        <f t="shared" si="173"/>
        <v>0</v>
      </c>
      <c r="W65" s="157">
        <f t="shared" si="173"/>
        <v>0</v>
      </c>
      <c r="X65" s="157">
        <f t="shared" si="173"/>
        <v>0</v>
      </c>
      <c r="Y65" s="157">
        <f t="shared" si="173"/>
        <v>0</v>
      </c>
      <c r="Z65" s="157">
        <f t="shared" si="173"/>
        <v>0</v>
      </c>
      <c r="AA65" s="157">
        <f t="shared" si="173"/>
        <v>0</v>
      </c>
      <c r="AB65" s="157">
        <f t="shared" si="173"/>
        <v>0</v>
      </c>
      <c r="AC65" s="157">
        <f t="shared" si="173"/>
        <v>0</v>
      </c>
      <c r="AD65" s="138">
        <f t="shared" si="143"/>
        <v>-1</v>
      </c>
      <c r="AE65" s="31">
        <f t="shared" si="16"/>
        <v>0.05</v>
      </c>
      <c r="AF65" s="146">
        <f t="shared" si="144"/>
        <v>0</v>
      </c>
    </row>
    <row r="66" spans="2:32">
      <c r="B66" s="20" t="s">
        <v>256</v>
      </c>
      <c r="C66" s="127">
        <f>(C64+C65)</f>
        <v>0</v>
      </c>
      <c r="D66" s="127">
        <f t="shared" ref="D66:P66" si="174">(D64+D65)</f>
        <v>0</v>
      </c>
      <c r="E66" s="127">
        <f t="shared" si="174"/>
        <v>0</v>
      </c>
      <c r="F66" s="144">
        <f t="shared" si="174"/>
        <v>0</v>
      </c>
      <c r="G66" s="144">
        <f t="shared" si="174"/>
        <v>1222000</v>
      </c>
      <c r="H66" s="144">
        <f t="shared" si="174"/>
        <v>1529500</v>
      </c>
      <c r="I66" s="144">
        <f t="shared" si="174"/>
        <v>2132.1711568938194</v>
      </c>
      <c r="J66" s="144">
        <f t="shared" si="174"/>
        <v>1591.7591125198101</v>
      </c>
      <c r="K66" s="144">
        <f t="shared" si="174"/>
        <v>3593.9778129952456</v>
      </c>
      <c r="L66" s="144">
        <f t="shared" si="174"/>
        <v>4944.3740095087169</v>
      </c>
      <c r="M66" s="144">
        <f t="shared" si="174"/>
        <v>63.895001820686161</v>
      </c>
      <c r="N66" s="144">
        <f t="shared" si="174"/>
        <v>74.203251903804443</v>
      </c>
      <c r="O66" s="144">
        <f t="shared" ref="O66" si="175">(O64+O65)</f>
        <v>95.28204803445054</v>
      </c>
      <c r="P66" s="144">
        <f t="shared" si="174"/>
        <v>102.32256225955068</v>
      </c>
      <c r="Q66" s="144">
        <f t="shared" ref="Q66" si="176">(Q64+Q65)</f>
        <v>98.532368633535455</v>
      </c>
      <c r="R66" s="118">
        <f>((P66/G66)^(1/($H$2-$H$1) ))-1</f>
        <v>-0.64763812588856806</v>
      </c>
      <c r="S66" s="128"/>
      <c r="T66" s="157">
        <f t="shared" ref="T66:AC66" si="177">(T64+T65)</f>
        <v>105.10119320910449</v>
      </c>
      <c r="U66" s="157">
        <f t="shared" si="177"/>
        <v>112.10793942304481</v>
      </c>
      <c r="V66" s="157">
        <f t="shared" si="177"/>
        <v>119.58180205124781</v>
      </c>
      <c r="W66" s="157">
        <f t="shared" si="177"/>
        <v>127.55392218799766</v>
      </c>
      <c r="X66" s="157">
        <f t="shared" si="177"/>
        <v>136.05751700053085</v>
      </c>
      <c r="Y66" s="157">
        <f t="shared" si="177"/>
        <v>145.12801813389956</v>
      </c>
      <c r="Z66" s="157">
        <f t="shared" si="177"/>
        <v>154.80321934282622</v>
      </c>
      <c r="AA66" s="157">
        <f t="shared" si="177"/>
        <v>165.1234339656813</v>
      </c>
      <c r="AB66" s="157">
        <f t="shared" si="177"/>
        <v>176.13166289672674</v>
      </c>
      <c r="AC66" s="157">
        <f t="shared" si="177"/>
        <v>187.87377375650854</v>
      </c>
      <c r="AD66" s="138">
        <f t="shared" si="143"/>
        <v>-0.35532660506801172</v>
      </c>
      <c r="AE66" s="31">
        <f t="shared" si="16"/>
        <v>0.05</v>
      </c>
      <c r="AF66" s="146">
        <f t="shared" si="144"/>
        <v>1160.3968379078469</v>
      </c>
    </row>
    <row r="67" spans="2:32">
      <c r="B67" s="20" t="s">
        <v>249</v>
      </c>
      <c r="C67" s="127">
        <f t="shared" ref="C67:P67" si="178">C15/C42</f>
        <v>0</v>
      </c>
      <c r="D67" s="127">
        <f t="shared" si="178"/>
        <v>0</v>
      </c>
      <c r="E67" s="127">
        <f t="shared" si="178"/>
        <v>0</v>
      </c>
      <c r="F67" s="144">
        <f t="shared" si="178"/>
        <v>0</v>
      </c>
      <c r="G67" s="144">
        <f t="shared" si="178"/>
        <v>114200</v>
      </c>
      <c r="H67" s="144">
        <f t="shared" si="178"/>
        <v>258000</v>
      </c>
      <c r="I67" s="144">
        <f t="shared" si="178"/>
        <v>458.79556259904916</v>
      </c>
      <c r="J67" s="144">
        <f t="shared" si="178"/>
        <v>18.225039619651348</v>
      </c>
      <c r="K67" s="144">
        <f t="shared" si="178"/>
        <v>4120.7606973058637</v>
      </c>
      <c r="L67" s="144">
        <f t="shared" si="178"/>
        <v>1083.676703645008</v>
      </c>
      <c r="M67" s="144">
        <f t="shared" si="178"/>
        <v>15.300096575526812</v>
      </c>
      <c r="N67" s="144">
        <f t="shared" si="178"/>
        <v>86.775485648243432</v>
      </c>
      <c r="O67" s="144">
        <f t="shared" si="178"/>
        <v>110.73096591358865</v>
      </c>
      <c r="P67" s="144">
        <f t="shared" si="178"/>
        <v>124.0188084796479</v>
      </c>
      <c r="Q67" s="144">
        <f t="shared" ref="Q67" si="179">Q15/Q42</f>
        <v>0</v>
      </c>
      <c r="R67" s="118">
        <f>((P67/G67)^(1/($H$2-$H$1) ))-1</f>
        <v>-0.53156770611502258</v>
      </c>
      <c r="S67" s="128"/>
      <c r="T67" s="157">
        <f t="shared" ref="T67:AC67" si="180">T15/T42</f>
        <v>0</v>
      </c>
      <c r="U67" s="157">
        <f t="shared" si="180"/>
        <v>0</v>
      </c>
      <c r="V67" s="157">
        <f t="shared" si="180"/>
        <v>0</v>
      </c>
      <c r="W67" s="157">
        <f t="shared" si="180"/>
        <v>0</v>
      </c>
      <c r="X67" s="157">
        <f t="shared" si="180"/>
        <v>0</v>
      </c>
      <c r="Y67" s="157">
        <f t="shared" si="180"/>
        <v>0</v>
      </c>
      <c r="Z67" s="157">
        <f t="shared" si="180"/>
        <v>0</v>
      </c>
      <c r="AA67" s="157">
        <f t="shared" si="180"/>
        <v>0</v>
      </c>
      <c r="AB67" s="157">
        <f t="shared" si="180"/>
        <v>0</v>
      </c>
      <c r="AC67" s="157">
        <f t="shared" si="180"/>
        <v>0</v>
      </c>
      <c r="AD67" s="138">
        <f t="shared" si="143"/>
        <v>-1</v>
      </c>
      <c r="AE67" s="31">
        <f t="shared" si="16"/>
        <v>0.05</v>
      </c>
      <c r="AF67" s="146">
        <f t="shared" si="144"/>
        <v>0</v>
      </c>
    </row>
    <row r="68" spans="2:32">
      <c r="B68" s="20" t="s">
        <v>250</v>
      </c>
      <c r="C68" s="127">
        <f t="shared" ref="C68:P68" si="181">C16/C42</f>
        <v>0</v>
      </c>
      <c r="D68" s="127">
        <f t="shared" si="181"/>
        <v>0</v>
      </c>
      <c r="E68" s="127">
        <f t="shared" si="181"/>
        <v>0</v>
      </c>
      <c r="F68" s="144">
        <f t="shared" si="181"/>
        <v>0</v>
      </c>
      <c r="G68" s="144">
        <f t="shared" si="181"/>
        <v>97200</v>
      </c>
      <c r="H68" s="144">
        <f t="shared" si="181"/>
        <v>37200</v>
      </c>
      <c r="I68" s="144">
        <f t="shared" si="181"/>
        <v>403.32805071315374</v>
      </c>
      <c r="J68" s="144">
        <f t="shared" si="181"/>
        <v>1250.554675118859</v>
      </c>
      <c r="K68" s="144">
        <f t="shared" si="181"/>
        <v>1334.5483359746436</v>
      </c>
      <c r="L68" s="144">
        <f t="shared" si="181"/>
        <v>1297.6228209191761</v>
      </c>
      <c r="M68" s="144">
        <f t="shared" si="181"/>
        <v>22.084131532701107</v>
      </c>
      <c r="N68" s="144">
        <f t="shared" si="181"/>
        <v>29.683517249022373</v>
      </c>
      <c r="O68" s="144">
        <f t="shared" si="181"/>
        <v>37.227490777828791</v>
      </c>
      <c r="P68" s="144">
        <f t="shared" si="181"/>
        <v>47.901461298545037</v>
      </c>
      <c r="Q68" s="144">
        <f t="shared" ref="Q68" si="182">Q16/Q42</f>
        <v>0</v>
      </c>
      <c r="R68" s="118">
        <f>((P68/G68)^(1/($H$2-$H$1) ))-1</f>
        <v>-0.5709377780344056</v>
      </c>
      <c r="S68" s="128"/>
      <c r="T68" s="157">
        <f t="shared" ref="T68:AC68" si="183">T16/T42</f>
        <v>0</v>
      </c>
      <c r="U68" s="157">
        <f t="shared" si="183"/>
        <v>0</v>
      </c>
      <c r="V68" s="157">
        <f t="shared" si="183"/>
        <v>0</v>
      </c>
      <c r="W68" s="157">
        <f t="shared" si="183"/>
        <v>0</v>
      </c>
      <c r="X68" s="157">
        <f t="shared" si="183"/>
        <v>0</v>
      </c>
      <c r="Y68" s="157">
        <f t="shared" si="183"/>
        <v>0</v>
      </c>
      <c r="Z68" s="157">
        <f t="shared" si="183"/>
        <v>0</v>
      </c>
      <c r="AA68" s="157">
        <f t="shared" si="183"/>
        <v>0</v>
      </c>
      <c r="AB68" s="157">
        <f t="shared" si="183"/>
        <v>0</v>
      </c>
      <c r="AC68" s="157">
        <f t="shared" si="183"/>
        <v>0</v>
      </c>
      <c r="AD68" s="138">
        <f t="shared" si="143"/>
        <v>-1</v>
      </c>
      <c r="AE68" s="137"/>
      <c r="AF68" s="146">
        <f t="shared" si="144"/>
        <v>0</v>
      </c>
    </row>
    <row r="69" spans="2:3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6"/>
        <v>0.05</v>
      </c>
      <c r="AF69" s="146">
        <f t="shared" si="144"/>
        <v>0</v>
      </c>
    </row>
    <row r="70" spans="2:32">
      <c r="B70" s="20" t="s">
        <v>282</v>
      </c>
      <c r="C70" s="159">
        <f>C44</f>
        <v>0</v>
      </c>
      <c r="D70" s="159">
        <f t="shared" ref="D70:P70" si="184">D44</f>
        <v>0</v>
      </c>
      <c r="E70" s="159">
        <f t="shared" si="184"/>
        <v>0</v>
      </c>
      <c r="F70" s="159">
        <f t="shared" si="184"/>
        <v>0</v>
      </c>
      <c r="G70" s="159">
        <f t="shared" si="184"/>
        <v>0.01</v>
      </c>
      <c r="H70" s="159">
        <f t="shared" si="184"/>
        <v>0.01</v>
      </c>
      <c r="I70" s="159">
        <f t="shared" si="184"/>
        <v>200</v>
      </c>
      <c r="J70" s="159">
        <f t="shared" si="184"/>
        <v>237</v>
      </c>
      <c r="K70" s="159">
        <f t="shared" si="184"/>
        <v>270</v>
      </c>
      <c r="L70" s="159">
        <f t="shared" si="184"/>
        <v>2.7</v>
      </c>
      <c r="M70" s="159">
        <f t="shared" si="184"/>
        <v>3.5</v>
      </c>
      <c r="N70" s="159">
        <f t="shared" si="184"/>
        <v>3.9</v>
      </c>
      <c r="O70" s="159">
        <f t="shared" si="184"/>
        <v>10</v>
      </c>
      <c r="P70" s="159">
        <f t="shared" si="184"/>
        <v>14</v>
      </c>
      <c r="Q70" s="159">
        <f t="shared" ref="Q70" si="185">Q44</f>
        <v>14</v>
      </c>
      <c r="R70" s="118">
        <f>((P70/G70)^(1/($H$2-$H$1) ))-1</f>
        <v>1.2365045278203177</v>
      </c>
      <c r="S70" s="128"/>
      <c r="T70" s="159">
        <f t="shared" ref="T70:AC70" si="186">T44</f>
        <v>14.700000000000001</v>
      </c>
      <c r="U70" s="159">
        <f t="shared" si="186"/>
        <v>15.435000000000002</v>
      </c>
      <c r="V70" s="159">
        <f t="shared" si="186"/>
        <v>16.206750000000003</v>
      </c>
      <c r="W70" s="159">
        <f t="shared" si="186"/>
        <v>17.017087500000002</v>
      </c>
      <c r="X70" s="159">
        <f t="shared" si="186"/>
        <v>17.867941875000003</v>
      </c>
      <c r="Y70" s="159">
        <f t="shared" si="186"/>
        <v>18.761338968750003</v>
      </c>
      <c r="Z70" s="159">
        <f t="shared" si="186"/>
        <v>19.699405917187505</v>
      </c>
      <c r="AA70" s="159">
        <f t="shared" si="186"/>
        <v>20.684376213046882</v>
      </c>
      <c r="AB70" s="159">
        <f t="shared" si="186"/>
        <v>21.718595023699226</v>
      </c>
      <c r="AC70" s="159">
        <f t="shared" si="186"/>
        <v>22.804524774884189</v>
      </c>
      <c r="AD70" s="138">
        <f t="shared" ref="AD70" si="187">((AC70/G70)^(1/($AC$3-$H$1) ))-1</f>
        <v>0.47197709226391971</v>
      </c>
      <c r="AE70" s="31">
        <f t="shared" si="16"/>
        <v>0.05</v>
      </c>
      <c r="AF70" s="146">
        <f t="shared" si="144"/>
        <v>140.85147655075531</v>
      </c>
    </row>
    <row r="71" spans="2:3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>
      <c r="B72" s="20" t="s">
        <v>317</v>
      </c>
      <c r="C72" s="127">
        <f t="shared" ref="C72:P72" si="188">C20+C21</f>
        <v>0</v>
      </c>
      <c r="D72" s="127">
        <f t="shared" si="188"/>
        <v>0</v>
      </c>
      <c r="E72" s="127">
        <f t="shared" si="188"/>
        <v>0</v>
      </c>
      <c r="F72" s="144">
        <f t="shared" si="188"/>
        <v>0</v>
      </c>
      <c r="G72" s="144">
        <f t="shared" si="188"/>
        <v>0</v>
      </c>
      <c r="H72" s="144">
        <f t="shared" si="188"/>
        <v>0</v>
      </c>
      <c r="I72" s="144">
        <f t="shared" si="188"/>
        <v>0</v>
      </c>
      <c r="J72" s="144">
        <f t="shared" si="188"/>
        <v>0</v>
      </c>
      <c r="K72" s="144">
        <f t="shared" si="188"/>
        <v>0</v>
      </c>
      <c r="L72" s="144">
        <f t="shared" si="188"/>
        <v>0</v>
      </c>
      <c r="M72" s="144">
        <f t="shared" si="188"/>
        <v>0</v>
      </c>
      <c r="N72" s="144">
        <f t="shared" si="188"/>
        <v>0</v>
      </c>
      <c r="O72" s="144">
        <f t="shared" si="188"/>
        <v>0</v>
      </c>
      <c r="P72" s="144">
        <f t="shared" si="188"/>
        <v>0</v>
      </c>
      <c r="Q72" s="144">
        <f t="shared" ref="Q72" si="189">Q20+Q21</f>
        <v>0</v>
      </c>
      <c r="R72" s="118" t="e">
        <f>((P72/G72)^(1/($H$2-$H$1) ))-1</f>
        <v>#DIV/0!</v>
      </c>
      <c r="S72" s="128"/>
      <c r="T72" s="144">
        <f t="shared" ref="T72:AC72" si="190">T20+T21</f>
        <v>0</v>
      </c>
      <c r="U72" s="144">
        <f t="shared" si="190"/>
        <v>0</v>
      </c>
      <c r="V72" s="144">
        <f t="shared" si="190"/>
        <v>0</v>
      </c>
      <c r="W72" s="144">
        <f t="shared" si="190"/>
        <v>0</v>
      </c>
      <c r="X72" s="144">
        <f t="shared" si="190"/>
        <v>0</v>
      </c>
      <c r="Y72" s="144">
        <f t="shared" si="190"/>
        <v>0</v>
      </c>
      <c r="Z72" s="144">
        <f t="shared" si="190"/>
        <v>0</v>
      </c>
      <c r="AA72" s="144">
        <f t="shared" si="190"/>
        <v>0</v>
      </c>
      <c r="AB72" s="144">
        <f t="shared" si="190"/>
        <v>0</v>
      </c>
      <c r="AC72" s="144">
        <f t="shared" si="190"/>
        <v>0</v>
      </c>
      <c r="AD72" s="138" t="e">
        <f t="shared" ref="AD72:AD77" si="191">((AC72/G72)^(1/($AC$3-$H$1) ))-1</f>
        <v>#DIV/0!</v>
      </c>
      <c r="AE72" s="31">
        <f t="shared" si="16"/>
        <v>0.05</v>
      </c>
      <c r="AF72" s="146">
        <f t="shared" si="144"/>
        <v>0</v>
      </c>
    </row>
    <row r="73" spans="2:3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>
      <c r="B74" s="20" t="s">
        <v>318</v>
      </c>
      <c r="C74" s="127">
        <f t="shared" ref="C74:P74" si="192">C72/C42</f>
        <v>0</v>
      </c>
      <c r="D74" s="127">
        <f t="shared" si="192"/>
        <v>0</v>
      </c>
      <c r="E74" s="127">
        <f t="shared" si="192"/>
        <v>0</v>
      </c>
      <c r="F74" s="144">
        <f t="shared" si="192"/>
        <v>0</v>
      </c>
      <c r="G74" s="144">
        <f t="shared" si="192"/>
        <v>0</v>
      </c>
      <c r="H74" s="144">
        <f t="shared" si="192"/>
        <v>0</v>
      </c>
      <c r="I74" s="144">
        <f t="shared" si="192"/>
        <v>0</v>
      </c>
      <c r="J74" s="144">
        <f t="shared" si="192"/>
        <v>0</v>
      </c>
      <c r="K74" s="144">
        <f t="shared" si="192"/>
        <v>0</v>
      </c>
      <c r="L74" s="144">
        <f t="shared" si="192"/>
        <v>0</v>
      </c>
      <c r="M74" s="144">
        <f t="shared" si="192"/>
        <v>0</v>
      </c>
      <c r="N74" s="144">
        <f t="shared" si="192"/>
        <v>0</v>
      </c>
      <c r="O74" s="144">
        <f t="shared" si="192"/>
        <v>0</v>
      </c>
      <c r="P74" s="144">
        <f t="shared" si="192"/>
        <v>0</v>
      </c>
      <c r="Q74" s="144">
        <f t="shared" ref="Q74" si="193">Q72/Q42</f>
        <v>0</v>
      </c>
      <c r="R74" s="118" t="e">
        <f>((P74/G74)^(1/($H$2-$H$1) ))-1</f>
        <v>#DIV/0!</v>
      </c>
      <c r="S74" s="128"/>
      <c r="T74" s="146">
        <f t="shared" ref="T74:AC74" si="194">T72/T42</f>
        <v>0</v>
      </c>
      <c r="U74" s="146">
        <f t="shared" si="194"/>
        <v>0</v>
      </c>
      <c r="V74" s="146">
        <f t="shared" si="194"/>
        <v>0</v>
      </c>
      <c r="W74" s="146">
        <f t="shared" si="194"/>
        <v>0</v>
      </c>
      <c r="X74" s="146">
        <f t="shared" si="194"/>
        <v>0</v>
      </c>
      <c r="Y74" s="146">
        <f t="shared" si="194"/>
        <v>0</v>
      </c>
      <c r="Z74" s="146">
        <f t="shared" si="194"/>
        <v>0</v>
      </c>
      <c r="AA74" s="146">
        <f t="shared" si="194"/>
        <v>0</v>
      </c>
      <c r="AB74" s="146">
        <f t="shared" si="194"/>
        <v>0</v>
      </c>
      <c r="AC74" s="146">
        <f t="shared" si="194"/>
        <v>0</v>
      </c>
      <c r="AD74" s="138" t="e">
        <f t="shared" si="191"/>
        <v>#DIV/0!</v>
      </c>
      <c r="AE74" s="31">
        <f t="shared" si="16"/>
        <v>0.05</v>
      </c>
      <c r="AF74" s="146">
        <f t="shared" si="144"/>
        <v>0</v>
      </c>
    </row>
    <row r="75" spans="2:32">
      <c r="B75" s="20" t="s">
        <v>287</v>
      </c>
      <c r="C75" s="127">
        <f t="shared" ref="C75:P75" si="195">C20/C42</f>
        <v>0</v>
      </c>
      <c r="D75" s="127">
        <f t="shared" si="195"/>
        <v>0</v>
      </c>
      <c r="E75" s="127">
        <f t="shared" si="195"/>
        <v>0</v>
      </c>
      <c r="F75" s="144">
        <f t="shared" si="195"/>
        <v>0</v>
      </c>
      <c r="G75" s="144">
        <f t="shared" si="195"/>
        <v>0</v>
      </c>
      <c r="H75" s="144">
        <f t="shared" si="195"/>
        <v>0</v>
      </c>
      <c r="I75" s="144">
        <f t="shared" si="195"/>
        <v>0</v>
      </c>
      <c r="J75" s="144">
        <f t="shared" si="195"/>
        <v>0</v>
      </c>
      <c r="K75" s="144">
        <f t="shared" si="195"/>
        <v>0</v>
      </c>
      <c r="L75" s="144">
        <f t="shared" si="195"/>
        <v>0</v>
      </c>
      <c r="M75" s="144">
        <f t="shared" si="195"/>
        <v>0</v>
      </c>
      <c r="N75" s="144">
        <f t="shared" si="195"/>
        <v>0</v>
      </c>
      <c r="O75" s="144">
        <f t="shared" si="195"/>
        <v>0</v>
      </c>
      <c r="P75" s="144">
        <f t="shared" si="195"/>
        <v>0</v>
      </c>
      <c r="Q75" s="144">
        <f t="shared" ref="Q75" si="196">Q20/Q42</f>
        <v>0</v>
      </c>
      <c r="R75" s="118" t="e">
        <f>((P75/G75)^(1/($H$2-$H$1) ))-1</f>
        <v>#DIV/0!</v>
      </c>
      <c r="S75" s="128"/>
      <c r="T75" s="146">
        <f t="shared" ref="T75:AC75" si="197">T20/T42</f>
        <v>0</v>
      </c>
      <c r="U75" s="146">
        <f t="shared" si="197"/>
        <v>0</v>
      </c>
      <c r="V75" s="146">
        <f t="shared" si="197"/>
        <v>0</v>
      </c>
      <c r="W75" s="146">
        <f t="shared" si="197"/>
        <v>0</v>
      </c>
      <c r="X75" s="146">
        <f t="shared" si="197"/>
        <v>0</v>
      </c>
      <c r="Y75" s="146">
        <f t="shared" si="197"/>
        <v>0</v>
      </c>
      <c r="Z75" s="146">
        <f t="shared" si="197"/>
        <v>0</v>
      </c>
      <c r="AA75" s="146">
        <f t="shared" si="197"/>
        <v>0</v>
      </c>
      <c r="AB75" s="146">
        <f t="shared" si="197"/>
        <v>0</v>
      </c>
      <c r="AC75" s="146">
        <f t="shared" si="197"/>
        <v>0</v>
      </c>
      <c r="AD75" s="138" t="e">
        <f t="shared" si="191"/>
        <v>#DIV/0!</v>
      </c>
      <c r="AE75" s="31">
        <f t="shared" si="16"/>
        <v>0.05</v>
      </c>
      <c r="AF75" s="146">
        <f t="shared" si="144"/>
        <v>0</v>
      </c>
    </row>
    <row r="76" spans="2:32">
      <c r="B76" s="20" t="s">
        <v>288</v>
      </c>
      <c r="C76" s="127">
        <f t="shared" ref="C76:P76" si="198">C21/C42</f>
        <v>0</v>
      </c>
      <c r="D76" s="127">
        <f t="shared" si="198"/>
        <v>0</v>
      </c>
      <c r="E76" s="127">
        <f t="shared" si="198"/>
        <v>0</v>
      </c>
      <c r="F76" s="144">
        <f t="shared" si="198"/>
        <v>0</v>
      </c>
      <c r="G76" s="144">
        <f t="shared" si="198"/>
        <v>0</v>
      </c>
      <c r="H76" s="144">
        <f t="shared" si="198"/>
        <v>0</v>
      </c>
      <c r="I76" s="144">
        <f t="shared" si="198"/>
        <v>0</v>
      </c>
      <c r="J76" s="144">
        <f t="shared" si="198"/>
        <v>0</v>
      </c>
      <c r="K76" s="144">
        <f t="shared" si="198"/>
        <v>0</v>
      </c>
      <c r="L76" s="144">
        <f t="shared" si="198"/>
        <v>0</v>
      </c>
      <c r="M76" s="144">
        <f t="shared" si="198"/>
        <v>0</v>
      </c>
      <c r="N76" s="144">
        <f t="shared" si="198"/>
        <v>0</v>
      </c>
      <c r="O76" s="144">
        <f t="shared" si="198"/>
        <v>0</v>
      </c>
      <c r="P76" s="144">
        <f t="shared" si="198"/>
        <v>0</v>
      </c>
      <c r="Q76" s="144">
        <f t="shared" ref="Q76" si="199">Q21/Q42</f>
        <v>0</v>
      </c>
      <c r="R76" s="118" t="e">
        <f>((P76/G76)^(1/($H$2-$H$1) ))-1</f>
        <v>#DIV/0!</v>
      </c>
      <c r="S76" s="128"/>
      <c r="T76" s="146">
        <f t="shared" ref="T76:AC76" si="200">T21/T42</f>
        <v>0</v>
      </c>
      <c r="U76" s="146">
        <f t="shared" si="200"/>
        <v>0</v>
      </c>
      <c r="V76" s="146">
        <f t="shared" si="200"/>
        <v>0</v>
      </c>
      <c r="W76" s="146">
        <f t="shared" si="200"/>
        <v>0</v>
      </c>
      <c r="X76" s="146">
        <f t="shared" si="200"/>
        <v>0</v>
      </c>
      <c r="Y76" s="146">
        <f t="shared" si="200"/>
        <v>0</v>
      </c>
      <c r="Z76" s="146">
        <f t="shared" si="200"/>
        <v>0</v>
      </c>
      <c r="AA76" s="146">
        <f t="shared" si="200"/>
        <v>0</v>
      </c>
      <c r="AB76" s="146">
        <f t="shared" si="200"/>
        <v>0</v>
      </c>
      <c r="AC76" s="146">
        <f t="shared" si="200"/>
        <v>0</v>
      </c>
      <c r="AD76" s="138" t="e">
        <f t="shared" si="191"/>
        <v>#DIV/0!</v>
      </c>
      <c r="AE76" s="31">
        <f t="shared" si="16"/>
        <v>0.05</v>
      </c>
      <c r="AF76" s="146">
        <f t="shared" si="144"/>
        <v>0</v>
      </c>
    </row>
    <row r="77" spans="2:32">
      <c r="B77" s="20" t="s">
        <v>289</v>
      </c>
      <c r="C77" s="127">
        <f t="shared" ref="C77:P77" si="201">C22/C42</f>
        <v>0</v>
      </c>
      <c r="D77" s="127">
        <f t="shared" si="201"/>
        <v>0</v>
      </c>
      <c r="E77" s="127">
        <f t="shared" si="201"/>
        <v>0</v>
      </c>
      <c r="F77" s="144">
        <f t="shared" si="201"/>
        <v>0</v>
      </c>
      <c r="G77" s="144">
        <f t="shared" si="201"/>
        <v>0</v>
      </c>
      <c r="H77" s="144">
        <f t="shared" si="201"/>
        <v>0</v>
      </c>
      <c r="I77" s="144">
        <f t="shared" si="201"/>
        <v>0</v>
      </c>
      <c r="J77" s="144">
        <f t="shared" si="201"/>
        <v>0</v>
      </c>
      <c r="K77" s="144">
        <f t="shared" si="201"/>
        <v>0</v>
      </c>
      <c r="L77" s="144">
        <f t="shared" si="201"/>
        <v>0</v>
      </c>
      <c r="M77" s="144">
        <f t="shared" si="201"/>
        <v>0</v>
      </c>
      <c r="N77" s="144">
        <f t="shared" si="201"/>
        <v>0</v>
      </c>
      <c r="O77" s="144">
        <f t="shared" si="201"/>
        <v>0</v>
      </c>
      <c r="P77" s="144">
        <f t="shared" si="201"/>
        <v>0</v>
      </c>
      <c r="Q77" s="144">
        <f t="shared" ref="Q77" si="202">Q22/Q42</f>
        <v>0</v>
      </c>
      <c r="R77" s="118" t="e">
        <f>((P77/G77)^(1/($H$2-$H$1) ))-1</f>
        <v>#DIV/0!</v>
      </c>
      <c r="S77" s="128"/>
      <c r="T77" s="146">
        <f t="shared" ref="T77:AC77" si="203">T22/T42</f>
        <v>0</v>
      </c>
      <c r="U77" s="146">
        <f t="shared" si="203"/>
        <v>0</v>
      </c>
      <c r="V77" s="146">
        <f t="shared" si="203"/>
        <v>0</v>
      </c>
      <c r="W77" s="146">
        <f t="shared" si="203"/>
        <v>0</v>
      </c>
      <c r="X77" s="146">
        <f t="shared" si="203"/>
        <v>0</v>
      </c>
      <c r="Y77" s="146">
        <f t="shared" si="203"/>
        <v>0</v>
      </c>
      <c r="Z77" s="146">
        <f t="shared" si="203"/>
        <v>0</v>
      </c>
      <c r="AA77" s="146">
        <f t="shared" si="203"/>
        <v>0</v>
      </c>
      <c r="AB77" s="146">
        <f t="shared" si="203"/>
        <v>0</v>
      </c>
      <c r="AC77" s="146">
        <f t="shared" si="203"/>
        <v>0</v>
      </c>
      <c r="AD77" s="138" t="e">
        <f t="shared" si="191"/>
        <v>#DIV/0!</v>
      </c>
      <c r="AE77" s="31">
        <f t="shared" si="16"/>
        <v>0.05</v>
      </c>
      <c r="AF77" s="146">
        <f t="shared" si="144"/>
        <v>0</v>
      </c>
    </row>
    <row r="78" spans="2:32">
      <c r="B78" s="20" t="s">
        <v>296</v>
      </c>
      <c r="C78" s="127">
        <f t="shared" ref="C78:P78" si="204">C23/C42</f>
        <v>0</v>
      </c>
      <c r="D78" s="127">
        <f t="shared" si="204"/>
        <v>0</v>
      </c>
      <c r="E78" s="127">
        <f t="shared" si="204"/>
        <v>0</v>
      </c>
      <c r="F78" s="144">
        <f t="shared" si="204"/>
        <v>0</v>
      </c>
      <c r="G78" s="144">
        <f t="shared" si="204"/>
        <v>0</v>
      </c>
      <c r="H78" s="144">
        <f t="shared" si="204"/>
        <v>0</v>
      </c>
      <c r="I78" s="144">
        <f t="shared" si="204"/>
        <v>0</v>
      </c>
      <c r="J78" s="144">
        <f t="shared" si="204"/>
        <v>0</v>
      </c>
      <c r="K78" s="144">
        <f t="shared" si="204"/>
        <v>0</v>
      </c>
      <c r="L78" s="144">
        <f t="shared" si="204"/>
        <v>0</v>
      </c>
      <c r="M78" s="144">
        <f t="shared" si="204"/>
        <v>0</v>
      </c>
      <c r="N78" s="144">
        <f t="shared" si="204"/>
        <v>0</v>
      </c>
      <c r="O78" s="144">
        <f t="shared" si="204"/>
        <v>0</v>
      </c>
      <c r="P78" s="144">
        <f t="shared" si="204"/>
        <v>0</v>
      </c>
      <c r="Q78" s="144">
        <f t="shared" ref="Q78" si="205">Q23/Q42</f>
        <v>0</v>
      </c>
      <c r="R78" s="118" t="e">
        <f>((P78/G78)^(1/($H$2-$H$1) ))-1</f>
        <v>#DIV/0!</v>
      </c>
      <c r="S78" s="128"/>
      <c r="T78" s="146">
        <f t="shared" ref="T78:AC78" si="206">T23/T42</f>
        <v>0</v>
      </c>
      <c r="U78" s="146">
        <f t="shared" si="206"/>
        <v>0</v>
      </c>
      <c r="V78" s="146">
        <f t="shared" si="206"/>
        <v>0</v>
      </c>
      <c r="W78" s="146">
        <f t="shared" si="206"/>
        <v>0</v>
      </c>
      <c r="X78" s="146">
        <f t="shared" si="206"/>
        <v>0</v>
      </c>
      <c r="Y78" s="146">
        <f t="shared" si="206"/>
        <v>0</v>
      </c>
      <c r="Z78" s="146">
        <f t="shared" si="206"/>
        <v>0</v>
      </c>
      <c r="AA78" s="146">
        <f t="shared" si="206"/>
        <v>0</v>
      </c>
      <c r="AB78" s="146">
        <f t="shared" si="206"/>
        <v>0</v>
      </c>
      <c r="AC78" s="146">
        <f t="shared" si="206"/>
        <v>0</v>
      </c>
      <c r="AD78" s="138" t="e">
        <f t="shared" ref="AD78" si="207">((AC78/G78)^(1/($AC$3-$H$1) ))-1</f>
        <v>#DIV/0!</v>
      </c>
      <c r="AE78" s="31">
        <f t="shared" si="16"/>
        <v>0.05</v>
      </c>
      <c r="AF78" s="146">
        <f t="shared" si="144"/>
        <v>0</v>
      </c>
    </row>
    <row r="79" spans="2:3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>
      <c r="B80" s="20" t="s">
        <v>311</v>
      </c>
      <c r="C80" s="144">
        <f t="shared" ref="C80:P80" si="208">C36/C42</f>
        <v>0</v>
      </c>
      <c r="D80" s="144">
        <f t="shared" si="208"/>
        <v>0</v>
      </c>
      <c r="E80" s="144">
        <f t="shared" si="208"/>
        <v>0</v>
      </c>
      <c r="F80" s="144">
        <f t="shared" si="208"/>
        <v>0</v>
      </c>
      <c r="G80" s="144">
        <f t="shared" si="208"/>
        <v>-14800</v>
      </c>
      <c r="H80" s="144">
        <f t="shared" si="208"/>
        <v>-20600</v>
      </c>
      <c r="I80" s="144">
        <f t="shared" si="208"/>
        <v>-96.988906497622821</v>
      </c>
      <c r="J80" s="144">
        <f t="shared" si="208"/>
        <v>-22.345483359746435</v>
      </c>
      <c r="K80" s="144">
        <f t="shared" si="208"/>
        <v>637.08399366085587</v>
      </c>
      <c r="L80" s="144">
        <f t="shared" si="208"/>
        <v>851.98098256735341</v>
      </c>
      <c r="M80" s="144">
        <f t="shared" si="208"/>
        <v>21.609169925431029</v>
      </c>
      <c r="N80" s="144">
        <f t="shared" si="208"/>
        <v>21.336858603929517</v>
      </c>
      <c r="O80" s="144">
        <f t="shared" si="208"/>
        <v>24.804078337001094</v>
      </c>
      <c r="P80" s="144">
        <f t="shared" si="208"/>
        <v>28.629102480882796</v>
      </c>
      <c r="Q80" s="144">
        <f t="shared" ref="Q80" si="209">Q36/Q42</f>
        <v>28.629102480882796</v>
      </c>
      <c r="R80" s="118">
        <f>((P80/G80)^(1/($H$2-$H$1) ))-1</f>
        <v>-1.4994650605312865</v>
      </c>
      <c r="S80" s="128"/>
      <c r="T80" s="144">
        <f t="shared" ref="T80:AC80" si="210">T36/T42</f>
        <v>30.537709312941651</v>
      </c>
      <c r="U80" s="144">
        <f t="shared" si="210"/>
        <v>32.5735566004711</v>
      </c>
      <c r="V80" s="144">
        <f t="shared" si="210"/>
        <v>34.745127040502503</v>
      </c>
      <c r="W80" s="144">
        <f t="shared" si="210"/>
        <v>37.061468843202675</v>
      </c>
      <c r="X80" s="144">
        <f t="shared" si="210"/>
        <v>39.532233432749514</v>
      </c>
      <c r="Y80" s="144">
        <f t="shared" si="210"/>
        <v>42.16771566159948</v>
      </c>
      <c r="Z80" s="144">
        <f t="shared" si="210"/>
        <v>44.97889670570612</v>
      </c>
      <c r="AA80" s="144">
        <f t="shared" si="210"/>
        <v>47.977489819419866</v>
      </c>
      <c r="AB80" s="144">
        <f t="shared" si="210"/>
        <v>51.175989140714535</v>
      </c>
      <c r="AC80" s="144">
        <f t="shared" si="210"/>
        <v>54.587721750095504</v>
      </c>
      <c r="AD80" s="138" t="e">
        <f t="shared" ref="AD80:AD82" si="211">((AC80/G80)^(1/($AC$3-$H$1) ))-1</f>
        <v>#NUM!</v>
      </c>
      <c r="AE80" s="31">
        <f t="shared" si="16"/>
        <v>0.05</v>
      </c>
      <c r="AF80" s="146">
        <f t="shared" si="144"/>
        <v>337.15945786823698</v>
      </c>
    </row>
    <row r="81" spans="2:32">
      <c r="B81" s="20" t="s">
        <v>312</v>
      </c>
      <c r="C81" s="144">
        <f t="shared" ref="C81:P81" si="212">C40/C42</f>
        <v>0</v>
      </c>
      <c r="D81" s="144">
        <f t="shared" si="212"/>
        <v>0</v>
      </c>
      <c r="E81" s="144">
        <f t="shared" si="212"/>
        <v>0</v>
      </c>
      <c r="F81" s="144">
        <f t="shared" si="212"/>
        <v>0</v>
      </c>
      <c r="G81" s="144">
        <f t="shared" si="212"/>
        <v>133200</v>
      </c>
      <c r="H81" s="144">
        <f t="shared" si="212"/>
        <v>132400</v>
      </c>
      <c r="I81" s="144">
        <f t="shared" si="212"/>
        <v>271.31537242472268</v>
      </c>
      <c r="J81" s="144">
        <f t="shared" si="212"/>
        <v>447.06814580031698</v>
      </c>
      <c r="K81" s="144">
        <f t="shared" si="212"/>
        <v>830.90332805071318</v>
      </c>
      <c r="L81" s="144">
        <f t="shared" si="212"/>
        <v>329.31854199683045</v>
      </c>
      <c r="M81" s="144">
        <f t="shared" si="212"/>
        <v>15.233601950509001</v>
      </c>
      <c r="N81" s="144">
        <f t="shared" si="212"/>
        <v>17.204692620679829</v>
      </c>
      <c r="O81" s="144">
        <f t="shared" si="212"/>
        <v>23.412440827699761</v>
      </c>
      <c r="P81" s="144">
        <f t="shared" si="212"/>
        <v>27.478112185931636</v>
      </c>
      <c r="Q81" s="144">
        <f t="shared" ref="Q81" si="213">Q40/Q42</f>
        <v>27.478112185931636</v>
      </c>
      <c r="R81" s="118">
        <f>((P81/G81)^(1/($H$2-$H$1) ))-1</f>
        <v>-0.61050841946210799</v>
      </c>
      <c r="S81" s="128"/>
      <c r="T81" s="144">
        <f t="shared" ref="T81:AC81" si="214">T40/T42</f>
        <v>29.309986331660415</v>
      </c>
      <c r="U81" s="144">
        <f t="shared" si="214"/>
        <v>31.263985420437777</v>
      </c>
      <c r="V81" s="144">
        <f t="shared" si="214"/>
        <v>33.348251115133628</v>
      </c>
      <c r="W81" s="144">
        <f t="shared" si="214"/>
        <v>35.571467856142533</v>
      </c>
      <c r="X81" s="144">
        <f t="shared" si="214"/>
        <v>37.942899046552036</v>
      </c>
      <c r="Y81" s="144">
        <f t="shared" si="214"/>
        <v>40.472425649655506</v>
      </c>
      <c r="Z81" s="144">
        <f t="shared" si="214"/>
        <v>43.170587359632535</v>
      </c>
      <c r="AA81" s="144">
        <f t="shared" si="214"/>
        <v>46.048626516941383</v>
      </c>
      <c r="AB81" s="144">
        <f t="shared" si="214"/>
        <v>49.118534951404136</v>
      </c>
      <c r="AC81" s="144">
        <f t="shared" si="214"/>
        <v>52.393103948164416</v>
      </c>
      <c r="AD81" s="138">
        <f t="shared" si="211"/>
        <v>-0.32432399672100809</v>
      </c>
      <c r="AE81" s="31">
        <f t="shared" si="16"/>
        <v>0.05</v>
      </c>
      <c r="AF81" s="146">
        <f t="shared" si="144"/>
        <v>323.60446556219199</v>
      </c>
    </row>
    <row r="82" spans="2:32">
      <c r="B82" s="20" t="s">
        <v>313</v>
      </c>
      <c r="C82" s="144">
        <f t="shared" ref="C82:P82" si="215">C6/C42</f>
        <v>0</v>
      </c>
      <c r="D82" s="144">
        <f t="shared" si="215"/>
        <v>0</v>
      </c>
      <c r="E82" s="144">
        <f t="shared" si="215"/>
        <v>0</v>
      </c>
      <c r="F82" s="144">
        <f t="shared" si="215"/>
        <v>0</v>
      </c>
      <c r="G82" s="144">
        <f t="shared" si="215"/>
        <v>338000</v>
      </c>
      <c r="H82" s="144">
        <f t="shared" si="215"/>
        <v>456100</v>
      </c>
      <c r="I82" s="144">
        <f t="shared" si="215"/>
        <v>796.35499207606983</v>
      </c>
      <c r="J82" s="144">
        <f t="shared" si="215"/>
        <v>1004.4374009508717</v>
      </c>
      <c r="K82" s="144">
        <f t="shared" si="215"/>
        <v>2214.1045958795562</v>
      </c>
      <c r="L82" s="144">
        <f t="shared" si="215"/>
        <v>2230.1109350237721</v>
      </c>
      <c r="M82" s="144">
        <f t="shared" si="215"/>
        <v>33.177651473172588</v>
      </c>
      <c r="N82" s="144">
        <f t="shared" si="215"/>
        <v>42.741795038234407</v>
      </c>
      <c r="O82" s="144">
        <f t="shared" si="215"/>
        <v>54.044298085904721</v>
      </c>
      <c r="P82" s="144">
        <f t="shared" si="215"/>
        <v>66.740021848233937</v>
      </c>
      <c r="Q82" s="144">
        <f t="shared" ref="Q82" si="216">Q6/Q42</f>
        <v>66.740021848233937</v>
      </c>
      <c r="R82" s="118">
        <f>((P82/G82)^(1/($H$2-$H$1) ))-1</f>
        <v>-0.61239844025522094</v>
      </c>
      <c r="S82" s="128"/>
      <c r="T82" s="144">
        <f t="shared" ref="T82:AC82" si="217">T6/T42</f>
        <v>71.189356638116209</v>
      </c>
      <c r="U82" s="144">
        <f t="shared" si="217"/>
        <v>75.93531374732396</v>
      </c>
      <c r="V82" s="144">
        <f t="shared" si="217"/>
        <v>80.997667997145555</v>
      </c>
      <c r="W82" s="144">
        <f t="shared" si="217"/>
        <v>86.397512530288594</v>
      </c>
      <c r="X82" s="144">
        <f t="shared" si="217"/>
        <v>92.157346698974493</v>
      </c>
      <c r="Y82" s="144">
        <f t="shared" si="217"/>
        <v>98.301169812239465</v>
      </c>
      <c r="Z82" s="144">
        <f t="shared" si="217"/>
        <v>104.85458113305543</v>
      </c>
      <c r="AA82" s="144">
        <f t="shared" si="217"/>
        <v>111.84488654192582</v>
      </c>
      <c r="AB82" s="144">
        <f t="shared" si="217"/>
        <v>119.30121231138754</v>
      </c>
      <c r="AC82" s="144">
        <f t="shared" si="217"/>
        <v>127.25462646548006</v>
      </c>
      <c r="AD82" s="138">
        <f t="shared" si="211"/>
        <v>-0.32580140364111576</v>
      </c>
      <c r="AE82" s="31">
        <f t="shared" ref="AE82" si="218">$L$1</f>
        <v>0.05</v>
      </c>
      <c r="AF82" s="146">
        <f t="shared" si="144"/>
        <v>785.98445758090645</v>
      </c>
    </row>
    <row r="83" spans="2:3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>
      <c r="B86" s="20" t="s">
        <v>309</v>
      </c>
      <c r="C86" s="152"/>
      <c r="D86" s="152"/>
      <c r="E86" s="152" t="e">
        <f t="shared" ref="E86:P86" si="219">E36/E25</f>
        <v>#DIV/0!</v>
      </c>
      <c r="F86" s="152" t="e">
        <f t="shared" si="219"/>
        <v>#DIV/0!</v>
      </c>
      <c r="G86" s="152">
        <f t="shared" si="219"/>
        <v>-8.109589041095891E-2</v>
      </c>
      <c r="H86" s="152">
        <f t="shared" si="219"/>
        <v>-0.11368653421633554</v>
      </c>
      <c r="I86" s="152">
        <f t="shared" si="219"/>
        <v>-0.25051166598444535</v>
      </c>
      <c r="J86" s="152">
        <f t="shared" si="219"/>
        <v>-3.9932030586236192E-2</v>
      </c>
      <c r="K86" s="152">
        <f t="shared" si="219"/>
        <v>0.10264528648759065</v>
      </c>
      <c r="L86" s="152">
        <f t="shared" si="219"/>
        <v>0.10230062225266884</v>
      </c>
      <c r="M86" s="152">
        <f t="shared" si="219"/>
        <v>0.23026959543813477</v>
      </c>
      <c r="N86" s="152">
        <f t="shared" si="219"/>
        <v>0.23926783368249122</v>
      </c>
      <c r="O86" s="152">
        <f t="shared" si="219"/>
        <v>0.22269761623857515</v>
      </c>
      <c r="P86" s="152">
        <f t="shared" si="219"/>
        <v>0.23620926131539416</v>
      </c>
      <c r="Q86" s="152">
        <f t="shared" ref="Q86" si="220">Q36/Q25</f>
        <v>0.23620926131539416</v>
      </c>
      <c r="R86" s="118">
        <f t="shared" ref="R86:R137" si="221">((P86/G86)^(1/($H$2-$H$1) ))-1</f>
        <v>-2.1261303806372358</v>
      </c>
      <c r="S86" s="152"/>
      <c r="T86" s="152">
        <f t="shared" ref="T86:AC86" si="222">T36/T25</f>
        <v>0.23620926131539419</v>
      </c>
      <c r="U86" s="152">
        <f t="shared" si="222"/>
        <v>0.23620926131539416</v>
      </c>
      <c r="V86" s="152">
        <f t="shared" si="222"/>
        <v>0.23620926131539416</v>
      </c>
      <c r="W86" s="152">
        <f t="shared" si="222"/>
        <v>0.23620926131539416</v>
      </c>
      <c r="X86" s="152">
        <f t="shared" si="222"/>
        <v>0.23620926131539413</v>
      </c>
      <c r="Y86" s="152">
        <f t="shared" si="222"/>
        <v>0.23620926131539413</v>
      </c>
      <c r="Z86" s="152">
        <f t="shared" si="222"/>
        <v>0.2362092613153941</v>
      </c>
      <c r="AA86" s="152">
        <f t="shared" si="222"/>
        <v>0.23620926131539413</v>
      </c>
      <c r="AB86" s="152">
        <f t="shared" si="222"/>
        <v>0.23620926131539413</v>
      </c>
      <c r="AC86" s="152">
        <f t="shared" si="222"/>
        <v>0.2362092613153941</v>
      </c>
      <c r="AD86" s="138" t="e">
        <f t="shared" ref="AD86:AD124" si="223">((AC86/G86)^(1/($AC$3-$H$1) ))-1</f>
        <v>#NUM!</v>
      </c>
      <c r="AE86" s="146"/>
      <c r="AF86" s="146"/>
    </row>
    <row r="87" spans="2:32">
      <c r="B87" s="20" t="s">
        <v>266</v>
      </c>
      <c r="C87" s="152"/>
      <c r="D87" s="152"/>
      <c r="E87" s="152" t="e">
        <f t="shared" ref="E87:P87" si="224">E40/E25</f>
        <v>#DIV/0!</v>
      </c>
      <c r="F87" s="152" t="e">
        <f t="shared" si="224"/>
        <v>#DIV/0!</v>
      </c>
      <c r="G87" s="152">
        <f t="shared" si="224"/>
        <v>0.72986301369863016</v>
      </c>
      <c r="H87" s="152">
        <f t="shared" si="224"/>
        <v>0.73068432671081673</v>
      </c>
      <c r="I87" s="152">
        <f t="shared" si="224"/>
        <v>0.70077773229635698</v>
      </c>
      <c r="J87" s="152">
        <f t="shared" si="224"/>
        <v>0.79892381761540643</v>
      </c>
      <c r="K87" s="152">
        <f t="shared" si="224"/>
        <v>0.13387294454090493</v>
      </c>
      <c r="L87" s="152">
        <f t="shared" si="224"/>
        <v>3.9542539628170732E-2</v>
      </c>
      <c r="M87" s="152">
        <f t="shared" si="224"/>
        <v>0.16233087019603873</v>
      </c>
      <c r="N87" s="152">
        <f t="shared" si="224"/>
        <v>0.19293044064907858</v>
      </c>
      <c r="O87" s="152">
        <f t="shared" si="224"/>
        <v>0.21020312433369817</v>
      </c>
      <c r="P87" s="152">
        <f t="shared" si="224"/>
        <v>0.22671282084775651</v>
      </c>
      <c r="Q87" s="152">
        <f t="shared" ref="Q87" si="225">Q40/Q25</f>
        <v>0.22671282084775651</v>
      </c>
      <c r="R87" s="118">
        <f t="shared" si="221"/>
        <v>-0.12182385414593</v>
      </c>
      <c r="S87" s="152"/>
      <c r="T87" s="152">
        <f t="shared" ref="T87:AC87" si="226">T40/T25</f>
        <v>0.22671282084775651</v>
      </c>
      <c r="U87" s="152">
        <f t="shared" si="226"/>
        <v>0.22671282084775649</v>
      </c>
      <c r="V87" s="152">
        <f t="shared" si="226"/>
        <v>0.22671282084775649</v>
      </c>
      <c r="W87" s="152">
        <f t="shared" si="226"/>
        <v>0.22671282084775646</v>
      </c>
      <c r="X87" s="152">
        <f t="shared" si="226"/>
        <v>0.22671282084775643</v>
      </c>
      <c r="Y87" s="152">
        <f t="shared" si="226"/>
        <v>0.22671282084775643</v>
      </c>
      <c r="Z87" s="152">
        <f t="shared" si="226"/>
        <v>0.2267128208477564</v>
      </c>
      <c r="AA87" s="152">
        <f t="shared" si="226"/>
        <v>0.2267128208477564</v>
      </c>
      <c r="AB87" s="152">
        <f t="shared" si="226"/>
        <v>0.2267128208477564</v>
      </c>
      <c r="AC87" s="152">
        <f t="shared" si="226"/>
        <v>0.22671282084775637</v>
      </c>
      <c r="AD87" s="138">
        <f t="shared" si="223"/>
        <v>-5.6782746767681358E-2</v>
      </c>
      <c r="AE87" s="146"/>
      <c r="AF87" s="146"/>
    </row>
    <row r="88" spans="2:32">
      <c r="B88" s="20" t="s">
        <v>359</v>
      </c>
      <c r="C88" s="152"/>
      <c r="D88" s="152"/>
      <c r="E88" s="152" t="e">
        <f t="shared" ref="E88:O88" si="227">E40/E7</f>
        <v>#DIV/0!</v>
      </c>
      <c r="F88" s="152" t="e">
        <f t="shared" si="227"/>
        <v>#DIV/0!</v>
      </c>
      <c r="G88" s="152">
        <f>G40/G7</f>
        <v>0.13736207074352894</v>
      </c>
      <c r="H88" s="152">
        <f t="shared" si="227"/>
        <v>0.12171355028497885</v>
      </c>
      <c r="I88" s="152">
        <f t="shared" si="227"/>
        <v>0.15095670575786968</v>
      </c>
      <c r="J88" s="152">
        <f t="shared" si="227"/>
        <v>0.22293345977556503</v>
      </c>
      <c r="K88" s="152">
        <f t="shared" si="227"/>
        <v>0.25842862776025238</v>
      </c>
      <c r="L88" s="152">
        <f t="shared" si="227"/>
        <v>0.1019226996272317</v>
      </c>
      <c r="M88" s="152">
        <f t="shared" si="227"/>
        <v>0.35281607509533586</v>
      </c>
      <c r="N88" s="152">
        <f t="shared" si="227"/>
        <v>0.32619919553340937</v>
      </c>
      <c r="O88" s="152">
        <f t="shared" si="227"/>
        <v>0.36556003263046005</v>
      </c>
      <c r="P88" s="152">
        <f t="shared" ref="P88:Q88" si="228">P40/P7</f>
        <v>0.35806977367910708</v>
      </c>
      <c r="Q88" s="152">
        <f t="shared" si="228"/>
        <v>0.35806977367910708</v>
      </c>
      <c r="R88" s="118">
        <f t="shared" si="221"/>
        <v>0.11232942463391216</v>
      </c>
      <c r="S88" s="20"/>
      <c r="T88" s="152">
        <f t="shared" ref="T88" si="229">T40/T7</f>
        <v>0.35806977367910708</v>
      </c>
      <c r="U88" s="152">
        <f t="shared" ref="U88:AC88" si="230">U40/U7</f>
        <v>0.35806977367910708</v>
      </c>
      <c r="V88" s="152">
        <f t="shared" si="230"/>
        <v>0.35806977367910708</v>
      </c>
      <c r="W88" s="152">
        <f t="shared" si="230"/>
        <v>0.35806977367910708</v>
      </c>
      <c r="X88" s="152">
        <f t="shared" si="230"/>
        <v>0.35806977367910703</v>
      </c>
      <c r="Y88" s="152">
        <f t="shared" si="230"/>
        <v>0.35806977367910703</v>
      </c>
      <c r="Z88" s="152">
        <f t="shared" si="230"/>
        <v>0.35806977367910697</v>
      </c>
      <c r="AA88" s="152">
        <f t="shared" si="230"/>
        <v>0.35806977367910703</v>
      </c>
      <c r="AB88" s="152">
        <f t="shared" si="230"/>
        <v>0.35806977367910703</v>
      </c>
      <c r="AC88" s="152">
        <f t="shared" si="230"/>
        <v>0.35806977367910703</v>
      </c>
      <c r="AD88" s="138">
        <f t="shared" si="223"/>
        <v>4.9071386139017292E-2</v>
      </c>
      <c r="AE88" s="146"/>
      <c r="AF88" s="146"/>
    </row>
    <row r="89" spans="2:32">
      <c r="B89" s="20" t="s">
        <v>360</v>
      </c>
      <c r="C89" s="152"/>
      <c r="D89" s="152"/>
      <c r="E89" s="152" t="e">
        <f t="shared" ref="E89:F89" si="231">(E40)/(E7+E10)</f>
        <v>#DIV/0!</v>
      </c>
      <c r="F89" s="152" t="e">
        <f t="shared" si="231"/>
        <v>#DIV/0!</v>
      </c>
      <c r="G89" s="152">
        <f>(G40)/(G7+G10)</f>
        <v>0.10899271745356354</v>
      </c>
      <c r="H89" s="152">
        <f t="shared" ref="H89:O89" si="232">(H40)/(H7+H10)</f>
        <v>9.9924528301886792E-2</v>
      </c>
      <c r="I89" s="152">
        <f t="shared" si="232"/>
        <v>0.12930513595166163</v>
      </c>
      <c r="J89" s="152">
        <f t="shared" si="232"/>
        <v>0.19727272727272727</v>
      </c>
      <c r="K89" s="152">
        <f t="shared" si="232"/>
        <v>0.23646942089121414</v>
      </c>
      <c r="L89" s="152">
        <f t="shared" si="232"/>
        <v>9.2208022719204821E-2</v>
      </c>
      <c r="M89" s="152">
        <f t="shared" si="232"/>
        <v>0.32774712173853804</v>
      </c>
      <c r="N89" s="152">
        <f t="shared" si="232"/>
        <v>0.3133506343713956</v>
      </c>
      <c r="O89" s="152">
        <f t="shared" si="232"/>
        <v>0.3538984348824965</v>
      </c>
      <c r="P89" s="152">
        <f t="shared" ref="P89:Q89" si="233">(P40)/(P7+P10)</f>
        <v>0.35027952128196332</v>
      </c>
      <c r="Q89" s="152">
        <f t="shared" si="233"/>
        <v>0.35027952128196332</v>
      </c>
      <c r="R89" s="118">
        <f t="shared" si="221"/>
        <v>0.1385058116324478</v>
      </c>
      <c r="S89" s="20"/>
      <c r="T89" s="152">
        <f t="shared" ref="T89:AC89" si="234">(T40)/(T7+T10)</f>
        <v>0.35027952128196332</v>
      </c>
      <c r="U89" s="152">
        <f t="shared" si="234"/>
        <v>0.35027952128196332</v>
      </c>
      <c r="V89" s="152">
        <f t="shared" si="234"/>
        <v>0.35027952128196332</v>
      </c>
      <c r="W89" s="152">
        <f t="shared" si="234"/>
        <v>0.35027952128196327</v>
      </c>
      <c r="X89" s="152">
        <f t="shared" si="234"/>
        <v>0.35027952128196327</v>
      </c>
      <c r="Y89" s="152">
        <f t="shared" si="234"/>
        <v>0.35027952128196327</v>
      </c>
      <c r="Z89" s="152">
        <f t="shared" si="234"/>
        <v>0.35027952128196321</v>
      </c>
      <c r="AA89" s="152">
        <f t="shared" si="234"/>
        <v>0.35027952128196327</v>
      </c>
      <c r="AB89" s="152">
        <f t="shared" si="234"/>
        <v>0.35027952128196321</v>
      </c>
      <c r="AC89" s="152">
        <f t="shared" si="234"/>
        <v>0.35027952128196321</v>
      </c>
      <c r="AD89" s="138">
        <f t="shared" si="223"/>
        <v>6.01098342963724E-2</v>
      </c>
      <c r="AE89" s="146"/>
      <c r="AF89" s="146"/>
    </row>
    <row r="90" spans="2:32">
      <c r="B90" s="20" t="s">
        <v>376</v>
      </c>
      <c r="C90" s="152"/>
      <c r="D90" s="152"/>
      <c r="E90" s="152"/>
      <c r="F90" s="152"/>
      <c r="G90" s="152">
        <f>G20/G25</f>
        <v>0</v>
      </c>
      <c r="H90" s="152">
        <f t="shared" ref="H90:P90" si="235">H20/H25</f>
        <v>0</v>
      </c>
      <c r="I90" s="152">
        <f t="shared" si="235"/>
        <v>0</v>
      </c>
      <c r="J90" s="152">
        <f t="shared" si="235"/>
        <v>0</v>
      </c>
      <c r="K90" s="152">
        <f t="shared" si="235"/>
        <v>0</v>
      </c>
      <c r="L90" s="152">
        <f t="shared" si="235"/>
        <v>0</v>
      </c>
      <c r="M90" s="152">
        <f t="shared" si="235"/>
        <v>0</v>
      </c>
      <c r="N90" s="152">
        <f t="shared" si="235"/>
        <v>0</v>
      </c>
      <c r="O90" s="152">
        <f t="shared" si="235"/>
        <v>0</v>
      </c>
      <c r="P90" s="152">
        <f t="shared" si="235"/>
        <v>0</v>
      </c>
      <c r="Q90" s="152">
        <f t="shared" ref="Q90" si="236">Q20/Q25</f>
        <v>0</v>
      </c>
      <c r="R90" s="118" t="e">
        <f t="shared" si="221"/>
        <v>#DIV/0!</v>
      </c>
      <c r="S90" s="20"/>
      <c r="T90" s="152">
        <f t="shared" ref="T90:AC90" si="237">T20/T25</f>
        <v>0</v>
      </c>
      <c r="U90" s="152">
        <f t="shared" si="237"/>
        <v>0</v>
      </c>
      <c r="V90" s="152">
        <f t="shared" si="237"/>
        <v>0</v>
      </c>
      <c r="W90" s="152">
        <f t="shared" si="237"/>
        <v>0</v>
      </c>
      <c r="X90" s="152">
        <f t="shared" si="237"/>
        <v>0</v>
      </c>
      <c r="Y90" s="152">
        <f t="shared" si="237"/>
        <v>0</v>
      </c>
      <c r="Z90" s="152">
        <f t="shared" si="237"/>
        <v>0</v>
      </c>
      <c r="AA90" s="152">
        <f t="shared" si="237"/>
        <v>0</v>
      </c>
      <c r="AB90" s="152">
        <f t="shared" si="237"/>
        <v>0</v>
      </c>
      <c r="AC90" s="152">
        <f t="shared" si="237"/>
        <v>0</v>
      </c>
      <c r="AD90" s="138" t="e">
        <f t="shared" si="223"/>
        <v>#DIV/0!</v>
      </c>
      <c r="AE90" s="146"/>
      <c r="AF90" s="146"/>
    </row>
    <row r="91" spans="2:32">
      <c r="B91" s="20" t="s">
        <v>428</v>
      </c>
      <c r="C91" s="152"/>
      <c r="D91" s="152"/>
      <c r="E91" s="152"/>
      <c r="F91" s="152"/>
      <c r="G91" s="152">
        <f>G52/G25</f>
        <v>1.2602739726027398E-2</v>
      </c>
      <c r="H91" s="152">
        <f t="shared" ref="H91:P91" si="238">H52/H25</f>
        <v>-4.9668874172185433E-3</v>
      </c>
      <c r="I91" s="152">
        <f t="shared" si="238"/>
        <v>-0.10970118706508392</v>
      </c>
      <c r="J91" s="152">
        <f t="shared" si="238"/>
        <v>6.5137354856981029E-3</v>
      </c>
      <c r="K91" s="152">
        <f t="shared" si="238"/>
        <v>8.7299560821162289E-2</v>
      </c>
      <c r="L91" s="152">
        <f t="shared" si="238"/>
        <v>6.9684687256189232E-2</v>
      </c>
      <c r="M91" s="152">
        <f t="shared" si="238"/>
        <v>7.4484596956507068E-2</v>
      </c>
      <c r="N91" s="152">
        <f t="shared" si="238"/>
        <v>9.9350211270106167E-2</v>
      </c>
      <c r="O91" s="152">
        <f t="shared" si="238"/>
        <v>9.2166422652130028E-2</v>
      </c>
      <c r="P91" s="152">
        <f t="shared" si="238"/>
        <v>9.9575468617333948E-2</v>
      </c>
      <c r="Q91" s="152">
        <f t="shared" ref="Q91" si="239">Q52/Q25</f>
        <v>9.9575468617333948E-2</v>
      </c>
      <c r="R91" s="118">
        <f t="shared" si="221"/>
        <v>0.2581807710696824</v>
      </c>
      <c r="S91" s="20"/>
      <c r="T91" s="152">
        <f t="shared" ref="T91:AC91" si="240">T52/T25</f>
        <v>9.9575468617333962E-2</v>
      </c>
      <c r="U91" s="152">
        <f t="shared" si="240"/>
        <v>9.9575468617333962E-2</v>
      </c>
      <c r="V91" s="152">
        <f t="shared" si="240"/>
        <v>9.9575468617333948E-2</v>
      </c>
      <c r="W91" s="152">
        <f t="shared" si="240"/>
        <v>9.9575468617333934E-2</v>
      </c>
      <c r="X91" s="152">
        <f t="shared" si="240"/>
        <v>9.957546861733392E-2</v>
      </c>
      <c r="Y91" s="152">
        <f t="shared" si="240"/>
        <v>9.9575468617333934E-2</v>
      </c>
      <c r="Z91" s="152">
        <f t="shared" si="240"/>
        <v>9.957546861733392E-2</v>
      </c>
      <c r="AA91" s="152">
        <f t="shared" si="240"/>
        <v>9.957546861733392E-2</v>
      </c>
      <c r="AB91" s="152">
        <f t="shared" si="240"/>
        <v>9.9575468617333934E-2</v>
      </c>
      <c r="AC91" s="152">
        <f t="shared" si="240"/>
        <v>9.9575468617333934E-2</v>
      </c>
      <c r="AD91" s="138">
        <f t="shared" si="223"/>
        <v>0.10887953803388584</v>
      </c>
      <c r="AE91" s="146"/>
      <c r="AF91" s="146"/>
    </row>
    <row r="92" spans="2:3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>
      <c r="B93" s="20" t="s">
        <v>323</v>
      </c>
      <c r="C93" s="152"/>
      <c r="D93" s="152"/>
      <c r="E93" s="152"/>
      <c r="F93" s="152"/>
      <c r="G93" s="152">
        <f>G29/G25</f>
        <v>0.10301369863013699</v>
      </c>
      <c r="H93" s="152">
        <f t="shared" ref="H93:P93" si="241">H29/H25</f>
        <v>9.6578366445916108E-2</v>
      </c>
      <c r="I93" s="152">
        <f t="shared" si="241"/>
        <v>6.6311911584117894E-2</v>
      </c>
      <c r="J93" s="152">
        <f t="shared" si="241"/>
        <v>9.7706032285471534E-2</v>
      </c>
      <c r="K93" s="152">
        <f t="shared" si="241"/>
        <v>3.8300480032683075E-3</v>
      </c>
      <c r="L93" s="152">
        <f t="shared" si="241"/>
        <v>5.4803904778215444E-3</v>
      </c>
      <c r="M93" s="152">
        <f t="shared" si="241"/>
        <v>4.8081789654823362E-3</v>
      </c>
      <c r="N93" s="152">
        <f t="shared" si="241"/>
        <v>1.3137804921350708E-3</v>
      </c>
      <c r="O93" s="152">
        <f t="shared" si="241"/>
        <v>7.6757970746684477E-4</v>
      </c>
      <c r="P93" s="152">
        <f t="shared" si="241"/>
        <v>5.8781268369146363E-4</v>
      </c>
      <c r="Q93" s="152">
        <f t="shared" ref="Q93" si="242">Q29/Q25</f>
        <v>0</v>
      </c>
      <c r="R93" s="118">
        <f t="shared" si="221"/>
        <v>-0.43674522022483542</v>
      </c>
      <c r="S93" s="20"/>
      <c r="T93" s="152">
        <f t="shared" ref="T93:AC93" si="243">T29/T25</f>
        <v>0</v>
      </c>
      <c r="U93" s="152">
        <f t="shared" si="243"/>
        <v>0</v>
      </c>
      <c r="V93" s="152">
        <f t="shared" si="243"/>
        <v>0</v>
      </c>
      <c r="W93" s="152">
        <f t="shared" si="243"/>
        <v>0</v>
      </c>
      <c r="X93" s="152">
        <f t="shared" si="243"/>
        <v>0</v>
      </c>
      <c r="Y93" s="152">
        <f t="shared" si="243"/>
        <v>0</v>
      </c>
      <c r="Z93" s="152">
        <f t="shared" si="243"/>
        <v>0</v>
      </c>
      <c r="AA93" s="152">
        <f t="shared" si="243"/>
        <v>0</v>
      </c>
      <c r="AB93" s="152">
        <f t="shared" si="243"/>
        <v>0</v>
      </c>
      <c r="AC93" s="152">
        <f t="shared" si="243"/>
        <v>0</v>
      </c>
      <c r="AD93" s="138">
        <f t="shared" si="223"/>
        <v>-1</v>
      </c>
      <c r="AE93" s="146"/>
      <c r="AF93" s="146"/>
    </row>
    <row r="94" spans="2:32">
      <c r="B94" s="20" t="s">
        <v>369</v>
      </c>
      <c r="C94" s="152"/>
      <c r="D94" s="152"/>
      <c r="E94" s="152"/>
      <c r="F94" s="152"/>
      <c r="G94" s="152">
        <f>G29/G36</f>
        <v>-1.2702702702702702</v>
      </c>
      <c r="H94" s="152">
        <f t="shared" ref="H94:P94" si="244">H29/H36</f>
        <v>-0.84951456310679607</v>
      </c>
      <c r="I94" s="152">
        <f t="shared" si="244"/>
        <v>-0.26470588235294118</v>
      </c>
      <c r="J94" s="152">
        <f t="shared" si="244"/>
        <v>-2.4468085106382977</v>
      </c>
      <c r="K94" s="152">
        <f t="shared" si="244"/>
        <v>3.7313432835820892E-2</v>
      </c>
      <c r="L94" s="152">
        <f t="shared" si="244"/>
        <v>5.3571428571428568E-2</v>
      </c>
      <c r="M94" s="152">
        <f t="shared" si="244"/>
        <v>2.0880650597113342E-2</v>
      </c>
      <c r="N94" s="152">
        <f t="shared" si="244"/>
        <v>5.4908362395191812E-3</v>
      </c>
      <c r="O94" s="152">
        <f t="shared" si="244"/>
        <v>3.4467351758473222E-3</v>
      </c>
      <c r="P94" s="152">
        <f t="shared" si="244"/>
        <v>2.4885251341038544E-3</v>
      </c>
      <c r="Q94" s="152">
        <f t="shared" ref="Q94" si="245">Q29/Q36</f>
        <v>0</v>
      </c>
      <c r="R94" s="118">
        <f t="shared" ref="R94" si="246">((P94/G94)^(1/($H$2-$H$1) ))-1</f>
        <v>-1.5001683548013682</v>
      </c>
      <c r="S94" s="20"/>
      <c r="T94" s="152">
        <f t="shared" ref="T94:AC94" si="247">T29/T36</f>
        <v>0</v>
      </c>
      <c r="U94" s="152">
        <f t="shared" si="247"/>
        <v>0</v>
      </c>
      <c r="V94" s="152">
        <f t="shared" si="247"/>
        <v>0</v>
      </c>
      <c r="W94" s="152">
        <f t="shared" si="247"/>
        <v>0</v>
      </c>
      <c r="X94" s="152">
        <f t="shared" si="247"/>
        <v>0</v>
      </c>
      <c r="Y94" s="152">
        <f t="shared" si="247"/>
        <v>0</v>
      </c>
      <c r="Z94" s="152">
        <f t="shared" si="247"/>
        <v>0</v>
      </c>
      <c r="AA94" s="152">
        <f t="shared" si="247"/>
        <v>0</v>
      </c>
      <c r="AB94" s="152">
        <f t="shared" si="247"/>
        <v>0</v>
      </c>
      <c r="AC94" s="152">
        <f t="shared" si="247"/>
        <v>0</v>
      </c>
      <c r="AD94" s="138">
        <f t="shared" ref="AD94" si="248">((AC94/G94)^(1/($AC$3-$H$1) ))-1</f>
        <v>-1</v>
      </c>
      <c r="AE94" s="146"/>
      <c r="AF94" s="146"/>
    </row>
    <row r="95" spans="2:32" ht="12" customHeight="1">
      <c r="B95" s="20" t="s">
        <v>368</v>
      </c>
      <c r="C95" s="152"/>
      <c r="D95" s="152"/>
      <c r="E95" s="152"/>
      <c r="F95" s="152"/>
      <c r="G95" s="171">
        <f t="shared" ref="G95:P95" si="249">G29/G40</f>
        <v>0.14114114114114115</v>
      </c>
      <c r="H95" s="171">
        <f t="shared" si="249"/>
        <v>0.13217522658610273</v>
      </c>
      <c r="I95" s="171">
        <f t="shared" si="249"/>
        <v>9.4626168224299062E-2</v>
      </c>
      <c r="J95" s="171">
        <f t="shared" si="249"/>
        <v>0.12229705778092875</v>
      </c>
      <c r="K95" s="171">
        <f t="shared" si="249"/>
        <v>2.8609574670989891E-2</v>
      </c>
      <c r="L95" s="171">
        <f t="shared" si="249"/>
        <v>0.13859480269489893</v>
      </c>
      <c r="M95" s="171">
        <f t="shared" si="249"/>
        <v>2.9619621700270216E-2</v>
      </c>
      <c r="N95" s="171">
        <f t="shared" si="249"/>
        <v>6.8096070672678749E-3</v>
      </c>
      <c r="O95" s="171">
        <f t="shared" si="249"/>
        <v>3.6516094130375982E-3</v>
      </c>
      <c r="P95" s="171">
        <f t="shared" si="249"/>
        <v>2.5927633095183221E-3</v>
      </c>
      <c r="Q95" s="171">
        <f t="shared" ref="Q95" si="250">Q29/Q40</f>
        <v>0</v>
      </c>
      <c r="R95" s="118">
        <f t="shared" ref="R95" si="251">((P95/G95)^(1/($H$2-$H$1) ))-1</f>
        <v>-0.35860842675546445</v>
      </c>
      <c r="S95" s="20"/>
      <c r="T95" s="171">
        <f t="shared" ref="T95:AC95" si="252">T29/T40</f>
        <v>0</v>
      </c>
      <c r="U95" s="171">
        <f t="shared" si="252"/>
        <v>0</v>
      </c>
      <c r="V95" s="171">
        <f t="shared" si="252"/>
        <v>0</v>
      </c>
      <c r="W95" s="171">
        <f t="shared" si="252"/>
        <v>0</v>
      </c>
      <c r="X95" s="171">
        <f t="shared" si="252"/>
        <v>0</v>
      </c>
      <c r="Y95" s="171">
        <f t="shared" si="252"/>
        <v>0</v>
      </c>
      <c r="Z95" s="171">
        <f t="shared" si="252"/>
        <v>0</v>
      </c>
      <c r="AA95" s="171">
        <f t="shared" si="252"/>
        <v>0</v>
      </c>
      <c r="AB95" s="171">
        <f t="shared" si="252"/>
        <v>0</v>
      </c>
      <c r="AC95" s="171">
        <f t="shared" si="252"/>
        <v>0</v>
      </c>
      <c r="AD95" s="138">
        <f t="shared" ref="AD95" si="253">((AC95/G95)^(1/($AC$3-$H$1) ))-1</f>
        <v>-1</v>
      </c>
      <c r="AE95" s="146"/>
      <c r="AF95" s="146"/>
    </row>
    <row r="96" spans="2:32" ht="12" customHeight="1">
      <c r="B96" s="20" t="s">
        <v>325</v>
      </c>
      <c r="C96" s="152"/>
      <c r="D96" s="152"/>
      <c r="E96" s="152"/>
      <c r="F96" s="152"/>
      <c r="G96" s="171">
        <f t="shared" ref="G96:P96" si="254">G29/G12</f>
        <v>0.16982836495031617</v>
      </c>
      <c r="H96" s="171">
        <f t="shared" si="254"/>
        <v>6.9115323854660349E-2</v>
      </c>
      <c r="I96" s="171">
        <f t="shared" si="254"/>
        <v>5.658400279427174E-2</v>
      </c>
      <c r="J96" s="171">
        <f t="shared" si="254"/>
        <v>9.2542918454935619E-2</v>
      </c>
      <c r="K96" s="171">
        <f t="shared" si="254"/>
        <v>7.1561471303850004E-3</v>
      </c>
      <c r="L96" s="171">
        <f t="shared" si="254"/>
        <v>9.6989290765811271E-3</v>
      </c>
      <c r="M96" s="171">
        <f t="shared" si="254"/>
        <v>7.2934793735285088E-3</v>
      </c>
      <c r="N96" s="171">
        <f t="shared" si="254"/>
        <v>1.6155088852988692E-3</v>
      </c>
      <c r="O96" s="171">
        <f t="shared" si="254"/>
        <v>9.2780316827600429E-4</v>
      </c>
      <c r="P96" s="171">
        <f t="shared" si="254"/>
        <v>7.2305418085995244E-4</v>
      </c>
      <c r="Q96" s="171">
        <f t="shared" ref="Q96" si="255">Q29/Q12</f>
        <v>0</v>
      </c>
      <c r="R96" s="118">
        <f t="shared" si="221"/>
        <v>-0.45477796240996837</v>
      </c>
      <c r="S96" s="20"/>
      <c r="T96" s="152">
        <f t="shared" ref="T96:AC96" si="256">T29/T12</f>
        <v>0</v>
      </c>
      <c r="U96" s="152">
        <f t="shared" si="256"/>
        <v>0</v>
      </c>
      <c r="V96" s="152">
        <f t="shared" si="256"/>
        <v>0</v>
      </c>
      <c r="W96" s="152">
        <f t="shared" si="256"/>
        <v>0</v>
      </c>
      <c r="X96" s="152">
        <f t="shared" si="256"/>
        <v>0</v>
      </c>
      <c r="Y96" s="152">
        <f t="shared" si="256"/>
        <v>0</v>
      </c>
      <c r="Z96" s="152">
        <f t="shared" si="256"/>
        <v>0</v>
      </c>
      <c r="AA96" s="152">
        <f t="shared" si="256"/>
        <v>0</v>
      </c>
      <c r="AB96" s="152">
        <f t="shared" si="256"/>
        <v>0</v>
      </c>
      <c r="AC96" s="152">
        <f t="shared" si="256"/>
        <v>0</v>
      </c>
      <c r="AD96" s="138">
        <f t="shared" si="223"/>
        <v>-1</v>
      </c>
      <c r="AE96" s="146"/>
      <c r="AF96" s="146"/>
    </row>
    <row r="97" spans="2:32" ht="12" customHeight="1">
      <c r="B97" s="20" t="s">
        <v>370</v>
      </c>
      <c r="C97" s="152"/>
      <c r="D97" s="152"/>
      <c r="E97" s="152"/>
      <c r="F97" s="152"/>
      <c r="G97" s="171" t="e">
        <f>G29/G23</f>
        <v>#DIV/0!</v>
      </c>
      <c r="H97" s="171" t="e">
        <f t="shared" ref="H97:P97" si="257">H29/H23</f>
        <v>#DIV/0!</v>
      </c>
      <c r="I97" s="171" t="e">
        <f t="shared" si="257"/>
        <v>#DIV/0!</v>
      </c>
      <c r="J97" s="171" t="e">
        <f t="shared" si="257"/>
        <v>#DIV/0!</v>
      </c>
      <c r="K97" s="171" t="e">
        <f t="shared" si="257"/>
        <v>#DIV/0!</v>
      </c>
      <c r="L97" s="171" t="e">
        <f t="shared" si="257"/>
        <v>#DIV/0!</v>
      </c>
      <c r="M97" s="171" t="e">
        <f t="shared" si="257"/>
        <v>#DIV/0!</v>
      </c>
      <c r="N97" s="171" t="e">
        <f t="shared" si="257"/>
        <v>#DIV/0!</v>
      </c>
      <c r="O97" s="171" t="e">
        <f t="shared" si="257"/>
        <v>#DIV/0!</v>
      </c>
      <c r="P97" s="171" t="e">
        <f t="shared" si="257"/>
        <v>#DIV/0!</v>
      </c>
      <c r="Q97" s="171" t="e">
        <f t="shared" ref="Q97" si="258">Q29/Q23</f>
        <v>#DIV/0!</v>
      </c>
      <c r="R97" s="118" t="e">
        <f t="shared" ref="R97" si="259">((P97/G97)^(1/($H$2-$H$1) ))-1</f>
        <v>#DIV/0!</v>
      </c>
      <c r="S97" s="20"/>
      <c r="T97" s="171" t="e">
        <f t="shared" ref="T97:AC97" si="260">T29/T23</f>
        <v>#DIV/0!</v>
      </c>
      <c r="U97" s="171" t="e">
        <f t="shared" si="260"/>
        <v>#DIV/0!</v>
      </c>
      <c r="V97" s="171" t="e">
        <f t="shared" si="260"/>
        <v>#DIV/0!</v>
      </c>
      <c r="W97" s="171" t="e">
        <f t="shared" si="260"/>
        <v>#DIV/0!</v>
      </c>
      <c r="X97" s="171" t="e">
        <f t="shared" si="260"/>
        <v>#DIV/0!</v>
      </c>
      <c r="Y97" s="171" t="e">
        <f t="shared" si="260"/>
        <v>#DIV/0!</v>
      </c>
      <c r="Z97" s="171" t="e">
        <f t="shared" si="260"/>
        <v>#DIV/0!</v>
      </c>
      <c r="AA97" s="171" t="e">
        <f t="shared" si="260"/>
        <v>#DIV/0!</v>
      </c>
      <c r="AB97" s="171" t="e">
        <f t="shared" si="260"/>
        <v>#DIV/0!</v>
      </c>
      <c r="AC97" s="171" t="e">
        <f t="shared" si="260"/>
        <v>#DIV/0!</v>
      </c>
      <c r="AD97" s="138" t="e">
        <f t="shared" ref="AD97" si="261">((AC97/G97)^(1/($AC$3-$H$1) ))-1</f>
        <v>#DIV/0!</v>
      </c>
      <c r="AE97" s="146"/>
      <c r="AF97" s="146"/>
    </row>
    <row r="98" spans="2:32" ht="12" customHeight="1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>
      <c r="B99" s="20" t="s">
        <v>402</v>
      </c>
      <c r="C99" s="152"/>
      <c r="D99" s="152"/>
      <c r="E99" s="152"/>
      <c r="F99" s="152"/>
      <c r="G99" s="127">
        <f>1/G93</f>
        <v>9.7074468085106389</v>
      </c>
      <c r="H99" s="127">
        <f t="shared" ref="H99:P99" si="262">1/H93</f>
        <v>10.354285714285714</v>
      </c>
      <c r="I99" s="127">
        <f t="shared" si="262"/>
        <v>15.080246913580245</v>
      </c>
      <c r="J99" s="127">
        <f t="shared" si="262"/>
        <v>10.234782608695653</v>
      </c>
      <c r="K99" s="127">
        <f t="shared" si="262"/>
        <v>261.09333333333336</v>
      </c>
      <c r="L99" s="127">
        <f t="shared" si="262"/>
        <v>182.46875</v>
      </c>
      <c r="M99" s="127">
        <f t="shared" si="262"/>
        <v>207.97894736842105</v>
      </c>
      <c r="N99" s="127">
        <f t="shared" si="262"/>
        <v>761.16216216216219</v>
      </c>
      <c r="O99" s="127">
        <f t="shared" si="262"/>
        <v>1302.7962962962963</v>
      </c>
      <c r="P99" s="127">
        <f t="shared" si="262"/>
        <v>1701.2222222222222</v>
      </c>
      <c r="Q99" s="127" t="e">
        <f t="shared" ref="Q99" si="263">1/Q93</f>
        <v>#DIV/0!</v>
      </c>
      <c r="R99" s="118">
        <f t="shared" si="221"/>
        <v>0.77539549757424475</v>
      </c>
      <c r="S99" s="20"/>
      <c r="T99" s="127" t="e">
        <f t="shared" ref="T99:AC99" si="264">1/T93</f>
        <v>#DIV/0!</v>
      </c>
      <c r="U99" s="127" t="e">
        <f t="shared" si="264"/>
        <v>#DIV/0!</v>
      </c>
      <c r="V99" s="127" t="e">
        <f t="shared" si="264"/>
        <v>#DIV/0!</v>
      </c>
      <c r="W99" s="127" t="e">
        <f t="shared" si="264"/>
        <v>#DIV/0!</v>
      </c>
      <c r="X99" s="127" t="e">
        <f t="shared" si="264"/>
        <v>#DIV/0!</v>
      </c>
      <c r="Y99" s="127" t="e">
        <f t="shared" si="264"/>
        <v>#DIV/0!</v>
      </c>
      <c r="Z99" s="127" t="e">
        <f t="shared" si="264"/>
        <v>#DIV/0!</v>
      </c>
      <c r="AA99" s="127" t="e">
        <f t="shared" si="264"/>
        <v>#DIV/0!</v>
      </c>
      <c r="AB99" s="127" t="e">
        <f t="shared" si="264"/>
        <v>#DIV/0!</v>
      </c>
      <c r="AC99" s="127" t="e">
        <f t="shared" si="264"/>
        <v>#DIV/0!</v>
      </c>
      <c r="AD99" s="138" t="e">
        <f t="shared" si="223"/>
        <v>#DIV/0!</v>
      </c>
      <c r="AE99" s="146"/>
      <c r="AF99" s="146"/>
    </row>
    <row r="100" spans="2:32" ht="12" customHeight="1">
      <c r="B100" s="20" t="s">
        <v>403</v>
      </c>
      <c r="C100" s="152"/>
      <c r="D100" s="152"/>
      <c r="E100" s="152"/>
      <c r="F100" s="152"/>
      <c r="G100" s="127">
        <f t="shared" ref="G100:P103" si="265">1/G94</f>
        <v>-0.78723404255319152</v>
      </c>
      <c r="H100" s="127">
        <f t="shared" si="265"/>
        <v>-1.1771428571428573</v>
      </c>
      <c r="I100" s="127">
        <f t="shared" si="265"/>
        <v>-3.7777777777777777</v>
      </c>
      <c r="J100" s="127">
        <f t="shared" si="265"/>
        <v>-0.40869565217391307</v>
      </c>
      <c r="K100" s="127">
        <f t="shared" si="265"/>
        <v>26.8</v>
      </c>
      <c r="L100" s="127">
        <f t="shared" si="265"/>
        <v>18.666666666666668</v>
      </c>
      <c r="M100" s="127">
        <f t="shared" si="265"/>
        <v>47.891228070175437</v>
      </c>
      <c r="N100" s="127">
        <f t="shared" si="265"/>
        <v>182.12162162162161</v>
      </c>
      <c r="O100" s="127">
        <f t="shared" si="265"/>
        <v>290.12962962962962</v>
      </c>
      <c r="P100" s="127">
        <f t="shared" si="265"/>
        <v>401.84444444444443</v>
      </c>
      <c r="Q100" s="127" t="e">
        <f t="shared" ref="Q100" si="266">1/Q94</f>
        <v>#DIV/0!</v>
      </c>
      <c r="R100" s="118">
        <f t="shared" si="221"/>
        <v>-2.9993268074649189</v>
      </c>
      <c r="S100" s="20"/>
      <c r="T100" s="127" t="e">
        <f t="shared" ref="T100:AC100" si="267">1/T94</f>
        <v>#DIV/0!</v>
      </c>
      <c r="U100" s="127" t="e">
        <f t="shared" si="267"/>
        <v>#DIV/0!</v>
      </c>
      <c r="V100" s="127" t="e">
        <f t="shared" si="267"/>
        <v>#DIV/0!</v>
      </c>
      <c r="W100" s="127" t="e">
        <f t="shared" si="267"/>
        <v>#DIV/0!</v>
      </c>
      <c r="X100" s="127" t="e">
        <f t="shared" si="267"/>
        <v>#DIV/0!</v>
      </c>
      <c r="Y100" s="127" t="e">
        <f t="shared" si="267"/>
        <v>#DIV/0!</v>
      </c>
      <c r="Z100" s="127" t="e">
        <f t="shared" si="267"/>
        <v>#DIV/0!</v>
      </c>
      <c r="AA100" s="127" t="e">
        <f t="shared" si="267"/>
        <v>#DIV/0!</v>
      </c>
      <c r="AB100" s="127" t="e">
        <f t="shared" si="267"/>
        <v>#DIV/0!</v>
      </c>
      <c r="AC100" s="127" t="e">
        <f t="shared" si="267"/>
        <v>#DIV/0!</v>
      </c>
      <c r="AD100" s="138" t="e">
        <f t="shared" si="223"/>
        <v>#DIV/0!</v>
      </c>
      <c r="AE100" s="146"/>
      <c r="AF100" s="146"/>
    </row>
    <row r="101" spans="2:32" ht="12" customHeight="1">
      <c r="B101" s="20" t="s">
        <v>404</v>
      </c>
      <c r="C101" s="152"/>
      <c r="D101" s="152"/>
      <c r="E101" s="152"/>
      <c r="F101" s="152"/>
      <c r="G101" s="127">
        <f t="shared" si="265"/>
        <v>7.0851063829787231</v>
      </c>
      <c r="H101" s="127">
        <f t="shared" si="265"/>
        <v>7.5657142857142849</v>
      </c>
      <c r="I101" s="127">
        <f t="shared" si="265"/>
        <v>10.567901234567902</v>
      </c>
      <c r="J101" s="127">
        <f t="shared" si="265"/>
        <v>8.1768115942028974</v>
      </c>
      <c r="K101" s="127">
        <f t="shared" si="265"/>
        <v>34.953333333333333</v>
      </c>
      <c r="L101" s="127">
        <f t="shared" si="265"/>
        <v>7.2152777777777786</v>
      </c>
      <c r="M101" s="127">
        <f t="shared" si="265"/>
        <v>33.761403508771927</v>
      </c>
      <c r="N101" s="127">
        <f t="shared" si="265"/>
        <v>146.85135135135135</v>
      </c>
      <c r="O101" s="127">
        <f t="shared" si="265"/>
        <v>273.85185185185185</v>
      </c>
      <c r="P101" s="127">
        <f t="shared" si="265"/>
        <v>385.68888888888893</v>
      </c>
      <c r="Q101" s="127" t="e">
        <f t="shared" ref="Q101" si="268">1/Q95</f>
        <v>#DIV/0!</v>
      </c>
      <c r="R101" s="118">
        <f t="shared" si="221"/>
        <v>0.55910997542641905</v>
      </c>
      <c r="S101" s="20"/>
      <c r="T101" s="127" t="e">
        <f t="shared" ref="T101:AC101" si="269">1/T95</f>
        <v>#DIV/0!</v>
      </c>
      <c r="U101" s="127" t="e">
        <f t="shared" si="269"/>
        <v>#DIV/0!</v>
      </c>
      <c r="V101" s="127" t="e">
        <f t="shared" si="269"/>
        <v>#DIV/0!</v>
      </c>
      <c r="W101" s="127" t="e">
        <f t="shared" si="269"/>
        <v>#DIV/0!</v>
      </c>
      <c r="X101" s="127" t="e">
        <f t="shared" si="269"/>
        <v>#DIV/0!</v>
      </c>
      <c r="Y101" s="127" t="e">
        <f t="shared" si="269"/>
        <v>#DIV/0!</v>
      </c>
      <c r="Z101" s="127" t="e">
        <f t="shared" si="269"/>
        <v>#DIV/0!</v>
      </c>
      <c r="AA101" s="127" t="e">
        <f t="shared" si="269"/>
        <v>#DIV/0!</v>
      </c>
      <c r="AB101" s="127" t="e">
        <f t="shared" si="269"/>
        <v>#DIV/0!</v>
      </c>
      <c r="AC101" s="127" t="e">
        <f t="shared" si="269"/>
        <v>#DIV/0!</v>
      </c>
      <c r="AD101" s="138" t="e">
        <f t="shared" si="223"/>
        <v>#DIV/0!</v>
      </c>
      <c r="AE101" s="146"/>
      <c r="AF101" s="146"/>
    </row>
    <row r="102" spans="2:32" ht="12" customHeight="1">
      <c r="B102" s="20" t="s">
        <v>405</v>
      </c>
      <c r="C102" s="152"/>
      <c r="D102" s="152"/>
      <c r="E102" s="152"/>
      <c r="F102" s="152"/>
      <c r="G102" s="127">
        <f t="shared" si="265"/>
        <v>5.8882978723404253</v>
      </c>
      <c r="H102" s="127">
        <f t="shared" si="265"/>
        <v>14.468571428571428</v>
      </c>
      <c r="I102" s="127">
        <f t="shared" si="265"/>
        <v>17.672839506172842</v>
      </c>
      <c r="J102" s="127">
        <f t="shared" si="265"/>
        <v>10.805797101449276</v>
      </c>
      <c r="K102" s="127">
        <f t="shared" si="265"/>
        <v>139.74</v>
      </c>
      <c r="L102" s="127">
        <f t="shared" si="265"/>
        <v>103.10416666666667</v>
      </c>
      <c r="M102" s="127">
        <f t="shared" si="265"/>
        <v>137.10877192982457</v>
      </c>
      <c r="N102" s="127">
        <f t="shared" si="265"/>
        <v>619</v>
      </c>
      <c r="O102" s="127">
        <f t="shared" si="265"/>
        <v>1077.8148148148148</v>
      </c>
      <c r="P102" s="127">
        <f t="shared" si="265"/>
        <v>1383.0222222222221</v>
      </c>
      <c r="Q102" s="127" t="e">
        <f t="shared" ref="Q102" si="270">1/Q96</f>
        <v>#DIV/0!</v>
      </c>
      <c r="R102" s="118">
        <f t="shared" si="221"/>
        <v>0.83411515136137848</v>
      </c>
      <c r="S102" s="20"/>
      <c r="T102" s="127" t="e">
        <f t="shared" ref="T102:AC102" si="271">1/T96</f>
        <v>#DIV/0!</v>
      </c>
      <c r="U102" s="127" t="e">
        <f t="shared" si="271"/>
        <v>#DIV/0!</v>
      </c>
      <c r="V102" s="127" t="e">
        <f t="shared" si="271"/>
        <v>#DIV/0!</v>
      </c>
      <c r="W102" s="127" t="e">
        <f t="shared" si="271"/>
        <v>#DIV/0!</v>
      </c>
      <c r="X102" s="127" t="e">
        <f t="shared" si="271"/>
        <v>#DIV/0!</v>
      </c>
      <c r="Y102" s="127" t="e">
        <f t="shared" si="271"/>
        <v>#DIV/0!</v>
      </c>
      <c r="Z102" s="127" t="e">
        <f t="shared" si="271"/>
        <v>#DIV/0!</v>
      </c>
      <c r="AA102" s="127" t="e">
        <f t="shared" si="271"/>
        <v>#DIV/0!</v>
      </c>
      <c r="AB102" s="127" t="e">
        <f t="shared" si="271"/>
        <v>#DIV/0!</v>
      </c>
      <c r="AC102" s="127" t="e">
        <f t="shared" si="271"/>
        <v>#DIV/0!</v>
      </c>
      <c r="AD102" s="138" t="e">
        <f t="shared" si="223"/>
        <v>#DIV/0!</v>
      </c>
      <c r="AE102" s="146"/>
      <c r="AF102" s="146"/>
    </row>
    <row r="103" spans="2:32" ht="12" customHeight="1">
      <c r="B103" s="20" t="s">
        <v>406</v>
      </c>
      <c r="C103" s="152"/>
      <c r="D103" s="152"/>
      <c r="E103" s="152"/>
      <c r="F103" s="152"/>
      <c r="G103" s="127" t="e">
        <f t="shared" si="265"/>
        <v>#DIV/0!</v>
      </c>
      <c r="H103" s="127" t="e">
        <f t="shared" si="265"/>
        <v>#DIV/0!</v>
      </c>
      <c r="I103" s="127" t="e">
        <f t="shared" si="265"/>
        <v>#DIV/0!</v>
      </c>
      <c r="J103" s="127" t="e">
        <f t="shared" si="265"/>
        <v>#DIV/0!</v>
      </c>
      <c r="K103" s="127" t="e">
        <f t="shared" si="265"/>
        <v>#DIV/0!</v>
      </c>
      <c r="L103" s="127" t="e">
        <f t="shared" si="265"/>
        <v>#DIV/0!</v>
      </c>
      <c r="M103" s="127" t="e">
        <f t="shared" si="265"/>
        <v>#DIV/0!</v>
      </c>
      <c r="N103" s="127" t="e">
        <f t="shared" si="265"/>
        <v>#DIV/0!</v>
      </c>
      <c r="O103" s="127" t="e">
        <f t="shared" si="265"/>
        <v>#DIV/0!</v>
      </c>
      <c r="P103" s="127" t="e">
        <f t="shared" si="265"/>
        <v>#DIV/0!</v>
      </c>
      <c r="Q103" s="127" t="e">
        <f t="shared" ref="Q103" si="272">1/Q97</f>
        <v>#DIV/0!</v>
      </c>
      <c r="R103" s="118" t="e">
        <f t="shared" si="221"/>
        <v>#DIV/0!</v>
      </c>
      <c r="S103" s="20"/>
      <c r="T103" s="127" t="e">
        <f t="shared" ref="T103:AC103" si="273">1/T97</f>
        <v>#DIV/0!</v>
      </c>
      <c r="U103" s="127" t="e">
        <f t="shared" si="273"/>
        <v>#DIV/0!</v>
      </c>
      <c r="V103" s="127" t="e">
        <f t="shared" si="273"/>
        <v>#DIV/0!</v>
      </c>
      <c r="W103" s="127" t="e">
        <f t="shared" si="273"/>
        <v>#DIV/0!</v>
      </c>
      <c r="X103" s="127" t="e">
        <f t="shared" si="273"/>
        <v>#DIV/0!</v>
      </c>
      <c r="Y103" s="127" t="e">
        <f t="shared" si="273"/>
        <v>#DIV/0!</v>
      </c>
      <c r="Z103" s="127" t="e">
        <f t="shared" si="273"/>
        <v>#DIV/0!</v>
      </c>
      <c r="AA103" s="127" t="e">
        <f t="shared" si="273"/>
        <v>#DIV/0!</v>
      </c>
      <c r="AB103" s="127" t="e">
        <f t="shared" si="273"/>
        <v>#DIV/0!</v>
      </c>
      <c r="AC103" s="127" t="e">
        <f t="shared" si="273"/>
        <v>#DIV/0!</v>
      </c>
      <c r="AD103" s="138" t="e">
        <f t="shared" si="223"/>
        <v>#DIV/0!</v>
      </c>
      <c r="AE103" s="146"/>
      <c r="AF103" s="146"/>
    </row>
    <row r="104" spans="2:32" ht="12" customHeight="1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>
      <c r="B106" s="20" t="s">
        <v>326</v>
      </c>
      <c r="C106" s="152"/>
      <c r="D106" s="152"/>
      <c r="E106" s="152"/>
      <c r="F106" s="163">
        <f t="shared" ref="F106:O106" si="274">F10-(F12+F13)</f>
        <v>0</v>
      </c>
      <c r="G106" s="163">
        <f t="shared" si="274"/>
        <v>-9696</v>
      </c>
      <c r="H106" s="163">
        <f t="shared" si="274"/>
        <v>-12923</v>
      </c>
      <c r="I106" s="163">
        <f t="shared" si="274"/>
        <v>-11555</v>
      </c>
      <c r="J106" s="163">
        <f t="shared" si="274"/>
        <v>-8398</v>
      </c>
      <c r="K106" s="163">
        <f t="shared" si="274"/>
        <v>-20794</v>
      </c>
      <c r="L106" s="163">
        <f t="shared" si="274"/>
        <v>-29051</v>
      </c>
      <c r="M106" s="163">
        <f t="shared" si="274"/>
        <v>-38272</v>
      </c>
      <c r="N106" s="163">
        <f t="shared" si="274"/>
        <v>-45503</v>
      </c>
      <c r="O106" s="163">
        <f t="shared" si="274"/>
        <v>-58850</v>
      </c>
      <c r="P106" s="163">
        <f>P10-(P12+P13)</f>
        <v>-63552</v>
      </c>
      <c r="Q106" s="163">
        <f>Q10-(Q12+Q13)</f>
        <v>-61158</v>
      </c>
      <c r="R106" s="118">
        <f t="shared" si="221"/>
        <v>0.23232792716982442</v>
      </c>
      <c r="S106" s="20"/>
      <c r="T106" s="163">
        <f>T10-(T12+T13)</f>
        <v>-68496.960000000006</v>
      </c>
      <c r="U106" s="163">
        <f t="shared" ref="U106:AC106" si="275">U10-(U12+U13)</f>
        <v>-76716.595200000025</v>
      </c>
      <c r="V106" s="163">
        <f t="shared" si="275"/>
        <v>-85922.586624000032</v>
      </c>
      <c r="W106" s="163">
        <f t="shared" si="275"/>
        <v>-96233.297018880039</v>
      </c>
      <c r="X106" s="163">
        <f t="shared" si="275"/>
        <v>-107781.29266114566</v>
      </c>
      <c r="Y106" s="163">
        <f t="shared" si="275"/>
        <v>-120715.04778048316</v>
      </c>
      <c r="Z106" s="163">
        <f t="shared" si="275"/>
        <v>-135200.85351414114</v>
      </c>
      <c r="AA106" s="163">
        <f t="shared" si="275"/>
        <v>-151424.95593583808</v>
      </c>
      <c r="AB106" s="163">
        <f t="shared" si="275"/>
        <v>-169595.95064813868</v>
      </c>
      <c r="AC106" s="163">
        <f t="shared" si="275"/>
        <v>-189947.46472591534</v>
      </c>
      <c r="AD106" s="138">
        <f t="shared" si="223"/>
        <v>0.16038483586744023</v>
      </c>
      <c r="AE106" s="146"/>
      <c r="AF106" s="146"/>
    </row>
    <row r="107" spans="2:32" ht="12" customHeight="1">
      <c r="B107" s="20" t="s">
        <v>321</v>
      </c>
      <c r="C107" s="20"/>
      <c r="D107" s="20"/>
      <c r="E107" s="20"/>
      <c r="F107" s="20"/>
      <c r="G107" s="152">
        <f t="shared" ref="G107:P107" si="276">G40/G18</f>
        <v>9.9402985074626873</v>
      </c>
      <c r="H107" s="152">
        <f t="shared" si="276"/>
        <v>11.513043478260869</v>
      </c>
      <c r="I107" s="152">
        <f t="shared" si="276"/>
        <v>16.46153846153846</v>
      </c>
      <c r="J107" s="152">
        <f t="shared" si="276"/>
        <v>30.333333333333332</v>
      </c>
      <c r="K107" s="152">
        <f t="shared" si="276"/>
        <v>0.50215496599942533</v>
      </c>
      <c r="L107" s="152">
        <f t="shared" si="276"/>
        <v>0.18854913347246166</v>
      </c>
      <c r="M107" s="152">
        <f t="shared" si="276"/>
        <v>0.79950145409223095</v>
      </c>
      <c r="N107" s="152">
        <f t="shared" si="276"/>
        <v>0.84614186716499262</v>
      </c>
      <c r="O107" s="152">
        <f t="shared" si="276"/>
        <v>1.100297619047619</v>
      </c>
      <c r="P107" s="152">
        <f t="shared" si="276"/>
        <v>1.288971407352395</v>
      </c>
      <c r="Q107" s="152" t="e">
        <f t="shared" ref="Q107" si="277">Q40/Q18</f>
        <v>#DIV/0!</v>
      </c>
      <c r="R107" s="118">
        <f t="shared" si="221"/>
        <v>-0.20305730292617907</v>
      </c>
      <c r="S107" s="20"/>
      <c r="T107" s="152" t="e">
        <f t="shared" ref="T107:AC107" si="278">T40/T18</f>
        <v>#DIV/0!</v>
      </c>
      <c r="U107" s="152" t="e">
        <f t="shared" si="278"/>
        <v>#DIV/0!</v>
      </c>
      <c r="V107" s="152" t="e">
        <f t="shared" si="278"/>
        <v>#DIV/0!</v>
      </c>
      <c r="W107" s="152" t="e">
        <f t="shared" si="278"/>
        <v>#DIV/0!</v>
      </c>
      <c r="X107" s="152" t="e">
        <f t="shared" si="278"/>
        <v>#DIV/0!</v>
      </c>
      <c r="Y107" s="152" t="e">
        <f t="shared" si="278"/>
        <v>#DIV/0!</v>
      </c>
      <c r="Z107" s="152" t="e">
        <f t="shared" si="278"/>
        <v>#DIV/0!</v>
      </c>
      <c r="AA107" s="152" t="e">
        <f t="shared" si="278"/>
        <v>#DIV/0!</v>
      </c>
      <c r="AB107" s="152" t="e">
        <f t="shared" si="278"/>
        <v>#DIV/0!</v>
      </c>
      <c r="AC107" s="152" t="e">
        <f t="shared" si="278"/>
        <v>#DIV/0!</v>
      </c>
      <c r="AD107" s="138" t="e">
        <f t="shared" si="223"/>
        <v>#DIV/0!</v>
      </c>
      <c r="AE107" s="20"/>
      <c r="AF107" s="20"/>
    </row>
    <row r="108" spans="2:32">
      <c r="B108" s="20" t="s">
        <v>322</v>
      </c>
      <c r="C108" s="20"/>
      <c r="D108" s="20"/>
      <c r="E108" s="20"/>
      <c r="F108" s="20"/>
      <c r="G108" s="152">
        <f t="shared" ref="G108:P108" si="279">G40/G25</f>
        <v>0.72986301369863016</v>
      </c>
      <c r="H108" s="152">
        <f t="shared" si="279"/>
        <v>0.73068432671081673</v>
      </c>
      <c r="I108" s="152">
        <f t="shared" si="279"/>
        <v>0.70077773229635698</v>
      </c>
      <c r="J108" s="152">
        <f t="shared" si="279"/>
        <v>0.79892381761540643</v>
      </c>
      <c r="K108" s="152">
        <f t="shared" si="279"/>
        <v>0.13387294454090493</v>
      </c>
      <c r="L108" s="152">
        <f t="shared" si="279"/>
        <v>3.9542539628170732E-2</v>
      </c>
      <c r="M108" s="152">
        <f t="shared" si="279"/>
        <v>0.16233087019603873</v>
      </c>
      <c r="N108" s="152">
        <f t="shared" si="279"/>
        <v>0.19293044064907858</v>
      </c>
      <c r="O108" s="152">
        <f t="shared" si="279"/>
        <v>0.21020312433369817</v>
      </c>
      <c r="P108" s="152">
        <f t="shared" si="279"/>
        <v>0.22671282084775651</v>
      </c>
      <c r="Q108" s="152">
        <f t="shared" ref="Q108" si="280">Q40/Q25</f>
        <v>0.22671282084775651</v>
      </c>
      <c r="R108" s="118">
        <f t="shared" si="221"/>
        <v>-0.12182385414593</v>
      </c>
      <c r="S108" s="20"/>
      <c r="T108" s="152">
        <f t="shared" ref="T108:AC108" si="281">T40/T25</f>
        <v>0.22671282084775651</v>
      </c>
      <c r="U108" s="152">
        <f t="shared" si="281"/>
        <v>0.22671282084775649</v>
      </c>
      <c r="V108" s="152">
        <f t="shared" si="281"/>
        <v>0.22671282084775649</v>
      </c>
      <c r="W108" s="152">
        <f t="shared" si="281"/>
        <v>0.22671282084775646</v>
      </c>
      <c r="X108" s="152">
        <f t="shared" si="281"/>
        <v>0.22671282084775643</v>
      </c>
      <c r="Y108" s="152">
        <f t="shared" si="281"/>
        <v>0.22671282084775643</v>
      </c>
      <c r="Z108" s="152">
        <f t="shared" si="281"/>
        <v>0.2267128208477564</v>
      </c>
      <c r="AA108" s="152">
        <f t="shared" si="281"/>
        <v>0.2267128208477564</v>
      </c>
      <c r="AB108" s="152">
        <f t="shared" si="281"/>
        <v>0.2267128208477564</v>
      </c>
      <c r="AC108" s="152">
        <f t="shared" si="281"/>
        <v>0.22671282084775637</v>
      </c>
      <c r="AD108" s="138">
        <f t="shared" si="223"/>
        <v>-5.6782746767681358E-2</v>
      </c>
      <c r="AE108" s="20"/>
      <c r="AF108" s="20"/>
    </row>
    <row r="109" spans="2:32">
      <c r="B109" s="20" t="s">
        <v>348</v>
      </c>
      <c r="C109" s="20"/>
      <c r="D109" s="20"/>
      <c r="E109" s="152"/>
      <c r="F109" s="152"/>
      <c r="G109" s="152">
        <f t="shared" ref="G109:O109" si="282">G25/G18</f>
        <v>13.619402985074627</v>
      </c>
      <c r="H109" s="152">
        <f t="shared" si="282"/>
        <v>15.756521739130434</v>
      </c>
      <c r="I109" s="152">
        <f t="shared" si="282"/>
        <v>23.490384615384617</v>
      </c>
      <c r="J109" s="152">
        <f t="shared" si="282"/>
        <v>37.967741935483872</v>
      </c>
      <c r="K109" s="152">
        <f t="shared" si="282"/>
        <v>3.7509817067330715</v>
      </c>
      <c r="L109" s="152">
        <f t="shared" si="282"/>
        <v>4.7682605934125757</v>
      </c>
      <c r="M109" s="152">
        <f t="shared" si="282"/>
        <v>4.9251350228500206</v>
      </c>
      <c r="N109" s="152">
        <f t="shared" si="282"/>
        <v>4.3857354200731917</v>
      </c>
      <c r="O109" s="152">
        <f t="shared" si="282"/>
        <v>5.2344494047619046</v>
      </c>
      <c r="P109" s="152">
        <f>P25/P18</f>
        <v>5.685480876346082</v>
      </c>
      <c r="Q109" s="152" t="e">
        <f>Q25/Q18</f>
        <v>#DIV/0!</v>
      </c>
      <c r="R109" s="118">
        <f t="shared" si="221"/>
        <v>-9.2502454278401647E-2</v>
      </c>
      <c r="S109" s="20"/>
      <c r="T109" s="152" t="e">
        <f>T25/T18</f>
        <v>#DIV/0!</v>
      </c>
      <c r="U109" s="152" t="e">
        <f t="shared" ref="U109:AC109" si="283">U25/U18</f>
        <v>#DIV/0!</v>
      </c>
      <c r="V109" s="152" t="e">
        <f t="shared" si="283"/>
        <v>#DIV/0!</v>
      </c>
      <c r="W109" s="152" t="e">
        <f t="shared" si="283"/>
        <v>#DIV/0!</v>
      </c>
      <c r="X109" s="152" t="e">
        <f t="shared" si="283"/>
        <v>#DIV/0!</v>
      </c>
      <c r="Y109" s="152" t="e">
        <f t="shared" si="283"/>
        <v>#DIV/0!</v>
      </c>
      <c r="Z109" s="152" t="e">
        <f t="shared" si="283"/>
        <v>#DIV/0!</v>
      </c>
      <c r="AA109" s="152" t="e">
        <f t="shared" si="283"/>
        <v>#DIV/0!</v>
      </c>
      <c r="AB109" s="152" t="e">
        <f t="shared" si="283"/>
        <v>#DIV/0!</v>
      </c>
      <c r="AC109" s="152" t="e">
        <f t="shared" si="283"/>
        <v>#DIV/0!</v>
      </c>
      <c r="AD109" s="138" t="e">
        <f t="shared" si="223"/>
        <v>#DIV/0!</v>
      </c>
      <c r="AE109" s="20"/>
      <c r="AF109" s="20"/>
    </row>
    <row r="110" spans="2:3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>
      <c r="B111" s="20" t="s">
        <v>334</v>
      </c>
      <c r="C111" s="20"/>
      <c r="D111" s="20"/>
      <c r="E111" s="165">
        <f t="shared" ref="E111:F111" si="284">E70*E42</f>
        <v>0</v>
      </c>
      <c r="F111" s="165">
        <f t="shared" si="284"/>
        <v>0</v>
      </c>
      <c r="G111" s="165">
        <f>G70*G42</f>
        <v>1E-4</v>
      </c>
      <c r="H111" s="165">
        <f t="shared" ref="H111:P111" si="285">H70*H42</f>
        <v>1E-4</v>
      </c>
      <c r="I111" s="165">
        <f t="shared" si="285"/>
        <v>1262</v>
      </c>
      <c r="J111" s="165">
        <f t="shared" si="285"/>
        <v>1495.4699999999998</v>
      </c>
      <c r="K111" s="165">
        <f t="shared" si="285"/>
        <v>1703.6999999999998</v>
      </c>
      <c r="L111" s="165">
        <f t="shared" si="285"/>
        <v>17.036999999999999</v>
      </c>
      <c r="M111" s="165">
        <f t="shared" si="285"/>
        <v>2210.7049999999999</v>
      </c>
      <c r="N111" s="165">
        <f t="shared" si="285"/>
        <v>2463.357</v>
      </c>
      <c r="O111" s="165">
        <f t="shared" si="285"/>
        <v>6316.3</v>
      </c>
      <c r="P111" s="165">
        <f t="shared" si="285"/>
        <v>8842.82</v>
      </c>
      <c r="Q111" s="165">
        <f t="shared" ref="Q111" si="286">Q70*Q42</f>
        <v>8842.82</v>
      </c>
      <c r="R111" s="118">
        <f t="shared" si="221"/>
        <v>6.637558181663179</v>
      </c>
      <c r="S111" s="20"/>
      <c r="T111" s="165">
        <f t="shared" ref="T111:AC111" si="287">T70*T42</f>
        <v>9749.2090500000013</v>
      </c>
      <c r="U111" s="165">
        <f t="shared" si="287"/>
        <v>10748.502977625001</v>
      </c>
      <c r="V111" s="165">
        <f t="shared" si="287"/>
        <v>11850.224532831566</v>
      </c>
      <c r="W111" s="165">
        <f t="shared" si="287"/>
        <v>13064.872547446803</v>
      </c>
      <c r="X111" s="165">
        <f t="shared" si="287"/>
        <v>14404.021983560102</v>
      </c>
      <c r="Y111" s="165">
        <f t="shared" si="287"/>
        <v>15880.434236875013</v>
      </c>
      <c r="Z111" s="165">
        <f t="shared" si="287"/>
        <v>17508.178746154703</v>
      </c>
      <c r="AA111" s="165">
        <f t="shared" si="287"/>
        <v>19302.767067635563</v>
      </c>
      <c r="AB111" s="165">
        <f t="shared" si="287"/>
        <v>21281.300692068209</v>
      </c>
      <c r="AC111" s="165">
        <f t="shared" si="287"/>
        <v>23462.634013005201</v>
      </c>
      <c r="AD111" s="138">
        <f t="shared" si="223"/>
        <v>1.6213127403657155</v>
      </c>
      <c r="AE111" s="20"/>
      <c r="AF111" s="20"/>
    </row>
    <row r="112" spans="2:32">
      <c r="B112" s="20" t="s">
        <v>335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288">(G111*0.17)+G111</f>
        <v>1.1700000000000001E-4</v>
      </c>
      <c r="H112" s="165">
        <f t="shared" si="288"/>
        <v>1.1700000000000001E-4</v>
      </c>
      <c r="I112" s="165">
        <f t="shared" si="288"/>
        <v>1476.54</v>
      </c>
      <c r="J112" s="165">
        <f t="shared" si="288"/>
        <v>1749.6998999999998</v>
      </c>
      <c r="K112" s="165">
        <f t="shared" si="288"/>
        <v>1993.3289999999997</v>
      </c>
      <c r="L112" s="165">
        <f t="shared" si="288"/>
        <v>19.93329</v>
      </c>
      <c r="M112" s="165">
        <f t="shared" si="288"/>
        <v>2586.5248499999998</v>
      </c>
      <c r="N112" s="165">
        <f t="shared" si="288"/>
        <v>2882.1276899999998</v>
      </c>
      <c r="O112" s="165">
        <f t="shared" si="288"/>
        <v>7390.0709999999999</v>
      </c>
      <c r="P112" s="165">
        <f t="shared" si="288"/>
        <v>10346.099399999999</v>
      </c>
      <c r="Q112" s="165">
        <f t="shared" ref="Q112" si="289">(Q111*0.17)+Q111</f>
        <v>10346.099399999999</v>
      </c>
      <c r="R112" s="118">
        <f t="shared" si="221"/>
        <v>6.637558181663179</v>
      </c>
      <c r="S112" s="20"/>
      <c r="T112" s="165">
        <f t="shared" ref="T112:AC112" si="290">(T111*0.17)+T111</f>
        <v>11406.574588500001</v>
      </c>
      <c r="U112" s="165">
        <f t="shared" si="290"/>
        <v>12575.748483821251</v>
      </c>
      <c r="V112" s="165">
        <f t="shared" si="290"/>
        <v>13864.762703412933</v>
      </c>
      <c r="W112" s="165">
        <f t="shared" si="290"/>
        <v>15285.90088051276</v>
      </c>
      <c r="X112" s="165">
        <f t="shared" si="290"/>
        <v>16852.70572076532</v>
      </c>
      <c r="Y112" s="165">
        <f t="shared" si="290"/>
        <v>18580.108057143767</v>
      </c>
      <c r="Z112" s="165">
        <f t="shared" si="290"/>
        <v>20484.569133001001</v>
      </c>
      <c r="AA112" s="165">
        <f t="shared" si="290"/>
        <v>22584.237469133608</v>
      </c>
      <c r="AB112" s="165">
        <f t="shared" si="290"/>
        <v>24899.121809719803</v>
      </c>
      <c r="AC112" s="165">
        <f t="shared" si="290"/>
        <v>27451.281795216084</v>
      </c>
      <c r="AD112" s="138">
        <f t="shared" si="223"/>
        <v>1.6213127403657155</v>
      </c>
      <c r="AE112" s="20"/>
      <c r="AF112" s="20"/>
    </row>
    <row r="113" spans="2:32">
      <c r="B113" s="20" t="s">
        <v>336</v>
      </c>
      <c r="C113" s="20"/>
      <c r="D113" s="20"/>
      <c r="E113" s="20"/>
      <c r="F113" s="152" t="e">
        <f t="shared" ref="F113:P113" si="291">F112/F40</f>
        <v>#DIV/0!</v>
      </c>
      <c r="G113" s="152">
        <f t="shared" si="291"/>
        <v>8.7837837837837849E-8</v>
      </c>
      <c r="H113" s="152">
        <f t="shared" si="291"/>
        <v>8.8368580060422963E-8</v>
      </c>
      <c r="I113" s="152">
        <f t="shared" si="291"/>
        <v>0.86246495327102801</v>
      </c>
      <c r="J113" s="152">
        <f t="shared" si="291"/>
        <v>0.62024101382488472</v>
      </c>
      <c r="K113" s="152">
        <f t="shared" si="291"/>
        <v>0.3801886324623307</v>
      </c>
      <c r="L113" s="152">
        <f t="shared" si="291"/>
        <v>9.5925360923965353E-3</v>
      </c>
      <c r="M113" s="152">
        <f t="shared" si="291"/>
        <v>0.2688136406152567</v>
      </c>
      <c r="N113" s="152">
        <f t="shared" si="291"/>
        <v>0.2652183390080059</v>
      </c>
      <c r="O113" s="152">
        <f t="shared" si="291"/>
        <v>0.49973431160400322</v>
      </c>
      <c r="P113" s="152">
        <f t="shared" si="291"/>
        <v>0.59611082046554498</v>
      </c>
      <c r="Q113" s="152">
        <f t="shared" ref="Q113" si="292">Q112/Q40</f>
        <v>0.59611082046554498</v>
      </c>
      <c r="R113" s="118">
        <f t="shared" si="221"/>
        <v>4.7421126401029809</v>
      </c>
      <c r="S113" s="20"/>
      <c r="T113" s="152">
        <f t="shared" ref="T113:AC113" si="293">T112/T40</f>
        <v>0.58679658889577091</v>
      </c>
      <c r="U113" s="152">
        <f t="shared" si="293"/>
        <v>0.57762789219427446</v>
      </c>
      <c r="V113" s="152">
        <f t="shared" si="293"/>
        <v>0.56860245637873907</v>
      </c>
      <c r="W113" s="152">
        <f t="shared" si="293"/>
        <v>0.55971804299782124</v>
      </c>
      <c r="X113" s="152">
        <f t="shared" si="293"/>
        <v>0.55097244857598038</v>
      </c>
      <c r="Y113" s="152">
        <f t="shared" si="293"/>
        <v>0.54236350406698075</v>
      </c>
      <c r="Z113" s="152">
        <f t="shared" si="293"/>
        <v>0.53388907431593402</v>
      </c>
      <c r="AA113" s="152">
        <f t="shared" si="293"/>
        <v>0.52554705752974762</v>
      </c>
      <c r="AB113" s="152">
        <f t="shared" si="293"/>
        <v>0.51733538475584528</v>
      </c>
      <c r="AC113" s="152">
        <f t="shared" si="293"/>
        <v>0.50925201936903519</v>
      </c>
      <c r="AD113" s="138">
        <f t="shared" si="223"/>
        <v>1.1785250402864</v>
      </c>
      <c r="AE113" s="20"/>
      <c r="AF113" s="20"/>
    </row>
    <row r="114" spans="2:32">
      <c r="B114" s="20" t="s">
        <v>329</v>
      </c>
      <c r="C114" s="20"/>
      <c r="D114" s="20"/>
      <c r="E114" s="20"/>
      <c r="F114" s="152" t="e">
        <f>1-F113</f>
        <v>#DIV/0!</v>
      </c>
      <c r="G114" s="152">
        <f>1-G113</f>
        <v>0.99999991216216211</v>
      </c>
      <c r="H114" s="152">
        <f t="shared" ref="H114:P114" si="294">1-H113</f>
        <v>0.99999991163141999</v>
      </c>
      <c r="I114" s="152">
        <f t="shared" si="294"/>
        <v>0.13753504672897199</v>
      </c>
      <c r="J114" s="152">
        <f t="shared" si="294"/>
        <v>0.37975898617511528</v>
      </c>
      <c r="K114" s="152">
        <f t="shared" si="294"/>
        <v>0.6198113675376693</v>
      </c>
      <c r="L114" s="152">
        <f t="shared" si="294"/>
        <v>0.99040746390760348</v>
      </c>
      <c r="M114" s="152">
        <f t="shared" si="294"/>
        <v>0.7311863593847433</v>
      </c>
      <c r="N114" s="152">
        <f t="shared" si="294"/>
        <v>0.73478166099199416</v>
      </c>
      <c r="O114" s="152">
        <f t="shared" si="294"/>
        <v>0.50026568839599683</v>
      </c>
      <c r="P114" s="152">
        <f t="shared" si="294"/>
        <v>0.40388917953445502</v>
      </c>
      <c r="Q114" s="152">
        <f t="shared" ref="Q114" si="295">1-Q113</f>
        <v>0.40388917953445502</v>
      </c>
      <c r="R114" s="118">
        <f t="shared" si="221"/>
        <v>-9.5827358849676303E-2</v>
      </c>
      <c r="S114" s="20"/>
      <c r="T114" s="152">
        <f t="shared" ref="T114:AC114" si="296">1-T113</f>
        <v>0.41320341110422909</v>
      </c>
      <c r="U114" s="152">
        <f t="shared" si="296"/>
        <v>0.42237210780572554</v>
      </c>
      <c r="V114" s="152">
        <f t="shared" si="296"/>
        <v>0.43139754362126093</v>
      </c>
      <c r="W114" s="152">
        <f t="shared" si="296"/>
        <v>0.44028195700217876</v>
      </c>
      <c r="X114" s="152">
        <f t="shared" si="296"/>
        <v>0.44902755142401962</v>
      </c>
      <c r="Y114" s="152">
        <f t="shared" si="296"/>
        <v>0.45763649593301925</v>
      </c>
      <c r="Z114" s="152">
        <f t="shared" si="296"/>
        <v>0.46611092568406598</v>
      </c>
      <c r="AA114" s="152">
        <f t="shared" si="296"/>
        <v>0.47445294247025238</v>
      </c>
      <c r="AB114" s="152">
        <f t="shared" si="296"/>
        <v>0.48266461524415472</v>
      </c>
      <c r="AC114" s="152">
        <f t="shared" si="296"/>
        <v>0.49074798063096481</v>
      </c>
      <c r="AD114" s="138">
        <f t="shared" si="223"/>
        <v>-3.496530376608642E-2</v>
      </c>
      <c r="AE114" s="20"/>
      <c r="AF114" s="20"/>
    </row>
    <row r="115" spans="2:32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28"/>
      <c r="S115" s="20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28"/>
      <c r="AE115" s="20"/>
      <c r="AF115" s="20"/>
    </row>
    <row r="116" spans="2:32">
      <c r="B116" s="20" t="s">
        <v>333</v>
      </c>
      <c r="C116" s="152"/>
      <c r="D116" s="152"/>
      <c r="E116" s="152"/>
      <c r="F116" s="152" t="e">
        <f>F31/F25</f>
        <v>#DIV/0!</v>
      </c>
      <c r="G116" s="152">
        <f>G31/G25</f>
        <v>0</v>
      </c>
      <c r="H116" s="152">
        <f t="shared" ref="H116:P116" si="297">H31/H25</f>
        <v>0</v>
      </c>
      <c r="I116" s="152">
        <f t="shared" si="297"/>
        <v>0</v>
      </c>
      <c r="J116" s="152">
        <f t="shared" si="297"/>
        <v>0</v>
      </c>
      <c r="K116" s="152">
        <f t="shared" si="297"/>
        <v>0</v>
      </c>
      <c r="L116" s="152">
        <f t="shared" si="297"/>
        <v>0</v>
      </c>
      <c r="M116" s="152">
        <f t="shared" si="297"/>
        <v>0</v>
      </c>
      <c r="N116" s="152">
        <f t="shared" si="297"/>
        <v>0</v>
      </c>
      <c r="O116" s="152">
        <f t="shared" si="297"/>
        <v>0</v>
      </c>
      <c r="P116" s="152">
        <f t="shared" si="297"/>
        <v>0</v>
      </c>
      <c r="Q116" s="152">
        <f t="shared" ref="Q116" si="298">Q31/Q25</f>
        <v>0</v>
      </c>
      <c r="R116" s="118" t="e">
        <f t="shared" si="221"/>
        <v>#DIV/0!</v>
      </c>
      <c r="S116" s="20"/>
      <c r="T116" s="152">
        <f t="shared" ref="T116:AC116" si="299">T31/T25</f>
        <v>0</v>
      </c>
      <c r="U116" s="152">
        <f t="shared" si="299"/>
        <v>0</v>
      </c>
      <c r="V116" s="152">
        <f t="shared" si="299"/>
        <v>0</v>
      </c>
      <c r="W116" s="152">
        <f t="shared" si="299"/>
        <v>0</v>
      </c>
      <c r="X116" s="152">
        <f t="shared" si="299"/>
        <v>0</v>
      </c>
      <c r="Y116" s="152">
        <f t="shared" si="299"/>
        <v>0</v>
      </c>
      <c r="Z116" s="152">
        <f t="shared" si="299"/>
        <v>0</v>
      </c>
      <c r="AA116" s="152">
        <f t="shared" si="299"/>
        <v>0</v>
      </c>
      <c r="AB116" s="152">
        <f t="shared" si="299"/>
        <v>0</v>
      </c>
      <c r="AC116" s="152">
        <f t="shared" si="299"/>
        <v>0</v>
      </c>
      <c r="AD116" s="138" t="e">
        <f t="shared" si="223"/>
        <v>#DIV/0!</v>
      </c>
      <c r="AE116" s="20"/>
      <c r="AF116" s="20"/>
    </row>
    <row r="117" spans="2:32">
      <c r="B117" s="20" t="s">
        <v>330</v>
      </c>
      <c r="C117" s="152"/>
      <c r="D117" s="152"/>
      <c r="E117" s="152"/>
      <c r="F117" s="152" t="e">
        <f>F32/F25</f>
        <v>#DIV/0!</v>
      </c>
      <c r="G117" s="152">
        <f>G32/G25</f>
        <v>0</v>
      </c>
      <c r="H117" s="152">
        <f t="shared" ref="H117:P117" si="300">H32/H25</f>
        <v>0</v>
      </c>
      <c r="I117" s="152">
        <f t="shared" si="300"/>
        <v>0</v>
      </c>
      <c r="J117" s="152">
        <f t="shared" si="300"/>
        <v>0</v>
      </c>
      <c r="K117" s="152">
        <f t="shared" si="300"/>
        <v>0</v>
      </c>
      <c r="L117" s="152">
        <f t="shared" si="300"/>
        <v>0</v>
      </c>
      <c r="M117" s="152">
        <f t="shared" si="300"/>
        <v>0</v>
      </c>
      <c r="N117" s="152">
        <f t="shared" si="300"/>
        <v>0</v>
      </c>
      <c r="O117" s="152">
        <f t="shared" si="300"/>
        <v>0</v>
      </c>
      <c r="P117" s="152">
        <f t="shared" si="300"/>
        <v>0</v>
      </c>
      <c r="Q117" s="152">
        <f t="shared" ref="Q117" si="301">Q32/Q25</f>
        <v>0</v>
      </c>
      <c r="R117" s="118" t="e">
        <f t="shared" si="221"/>
        <v>#DIV/0!</v>
      </c>
      <c r="S117" s="20"/>
      <c r="T117" s="152">
        <f t="shared" ref="T117:AC117" si="302">T32/T25</f>
        <v>0</v>
      </c>
      <c r="U117" s="152">
        <f t="shared" si="302"/>
        <v>0</v>
      </c>
      <c r="V117" s="152">
        <f t="shared" si="302"/>
        <v>0</v>
      </c>
      <c r="W117" s="152">
        <f t="shared" si="302"/>
        <v>0</v>
      </c>
      <c r="X117" s="152">
        <f t="shared" si="302"/>
        <v>0</v>
      </c>
      <c r="Y117" s="152">
        <f t="shared" si="302"/>
        <v>0</v>
      </c>
      <c r="Z117" s="152">
        <f t="shared" si="302"/>
        <v>0</v>
      </c>
      <c r="AA117" s="152">
        <f t="shared" si="302"/>
        <v>0</v>
      </c>
      <c r="AB117" s="152">
        <f t="shared" si="302"/>
        <v>0</v>
      </c>
      <c r="AC117" s="152">
        <f t="shared" si="302"/>
        <v>0</v>
      </c>
      <c r="AD117" s="138" t="e">
        <f t="shared" si="223"/>
        <v>#DIV/0!</v>
      </c>
      <c r="AE117" s="20"/>
      <c r="AF117" s="20"/>
    </row>
    <row r="118" spans="2:32">
      <c r="B118" s="20"/>
      <c r="C118" s="20"/>
      <c r="D118" s="20"/>
      <c r="E118" s="20"/>
      <c r="F118" s="20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28"/>
      <c r="S118" s="20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28"/>
      <c r="AE118" s="20"/>
      <c r="AF118" s="20"/>
    </row>
    <row r="119" spans="2:32">
      <c r="B119" s="20" t="s">
        <v>354</v>
      </c>
      <c r="C119" s="20"/>
      <c r="D119" s="20"/>
      <c r="E119" s="20"/>
      <c r="F119" s="20"/>
      <c r="G119" s="152">
        <f>G27/G25</f>
        <v>0.1463013698630137</v>
      </c>
      <c r="H119" s="152">
        <f t="shared" ref="H119:P119" si="303">H27/H25</f>
        <v>0.17052980132450332</v>
      </c>
      <c r="I119" s="152">
        <f t="shared" si="303"/>
        <v>0.33892754809660253</v>
      </c>
      <c r="J119" s="152">
        <f t="shared" si="303"/>
        <v>9.4590767487963745E-2</v>
      </c>
      <c r="K119" s="152">
        <f t="shared" si="303"/>
        <v>0.73682463486875704</v>
      </c>
      <c r="L119" s="152">
        <f t="shared" si="303"/>
        <v>0.81128808205362413</v>
      </c>
      <c r="M119" s="152">
        <f t="shared" si="303"/>
        <v>0.6911462023821574</v>
      </c>
      <c r="N119" s="152">
        <f t="shared" si="303"/>
        <v>0.67404040762702833</v>
      </c>
      <c r="O119" s="152">
        <f t="shared" si="303"/>
        <v>0.66989808247217519</v>
      </c>
      <c r="P119" s="152">
        <f t="shared" si="303"/>
        <v>0.64953301547906739</v>
      </c>
      <c r="Q119" s="152">
        <f t="shared" ref="Q119" si="304">Q27/Q25</f>
        <v>0</v>
      </c>
      <c r="R119" s="118">
        <f t="shared" si="221"/>
        <v>0.18012522421910693</v>
      </c>
      <c r="S119" s="20"/>
      <c r="T119" s="152">
        <f t="shared" ref="T119:AC119" si="305">T27/T25</f>
        <v>0</v>
      </c>
      <c r="U119" s="152">
        <f t="shared" si="305"/>
        <v>0</v>
      </c>
      <c r="V119" s="152">
        <f t="shared" si="305"/>
        <v>0</v>
      </c>
      <c r="W119" s="152">
        <f t="shared" si="305"/>
        <v>0</v>
      </c>
      <c r="X119" s="152">
        <f t="shared" si="305"/>
        <v>0</v>
      </c>
      <c r="Y119" s="152">
        <f t="shared" si="305"/>
        <v>0</v>
      </c>
      <c r="Z119" s="152">
        <f t="shared" si="305"/>
        <v>0</v>
      </c>
      <c r="AA119" s="152">
        <f t="shared" si="305"/>
        <v>0</v>
      </c>
      <c r="AB119" s="152">
        <f t="shared" si="305"/>
        <v>0</v>
      </c>
      <c r="AC119" s="152">
        <f t="shared" si="305"/>
        <v>0</v>
      </c>
      <c r="AD119" s="138">
        <f t="shared" si="223"/>
        <v>-1</v>
      </c>
      <c r="AE119" s="20"/>
      <c r="AF119" s="20"/>
    </row>
    <row r="120" spans="2:32">
      <c r="B120" s="20" t="str">
        <f>B33</f>
        <v>Top Expenses ( Raw material )</v>
      </c>
      <c r="C120" s="20"/>
      <c r="D120" s="20"/>
      <c r="E120" s="20"/>
      <c r="F120" s="20"/>
      <c r="G120" s="152">
        <f>G33/G25</f>
        <v>5.8630136986301373E-2</v>
      </c>
      <c r="H120" s="152">
        <f t="shared" ref="H120:P120" si="306">H33/H25</f>
        <v>6.1810154525386317E-2</v>
      </c>
      <c r="I120" s="152">
        <f t="shared" si="306"/>
        <v>4.8710601719197708E-2</v>
      </c>
      <c r="J120" s="152">
        <f t="shared" si="306"/>
        <v>3.6816765788728403E-2</v>
      </c>
      <c r="K120" s="152">
        <f t="shared" si="306"/>
        <v>0.32261771014196711</v>
      </c>
      <c r="L120" s="152">
        <f t="shared" si="306"/>
        <v>0.39165762782820496</v>
      </c>
      <c r="M120" s="152">
        <f t="shared" si="306"/>
        <v>0.29618382427371193</v>
      </c>
      <c r="N120" s="152">
        <f t="shared" si="306"/>
        <v>0.33609700671093279</v>
      </c>
      <c r="O120" s="152">
        <f t="shared" si="306"/>
        <v>0.35895722875296726</v>
      </c>
      <c r="P120" s="152">
        <f t="shared" si="306"/>
        <v>0.35686761152112861</v>
      </c>
      <c r="Q120" s="152">
        <f t="shared" ref="Q120" si="307">Q33/Q25</f>
        <v>0.35686761152112861</v>
      </c>
      <c r="R120" s="118">
        <f t="shared" si="221"/>
        <v>0.22223305527948289</v>
      </c>
      <c r="S120" s="20"/>
      <c r="T120" s="152">
        <f t="shared" ref="T120:AC120" si="308">T33/T25</f>
        <v>0.35686761152112861</v>
      </c>
      <c r="U120" s="152">
        <f t="shared" si="308"/>
        <v>0.35686761152112861</v>
      </c>
      <c r="V120" s="152">
        <f t="shared" si="308"/>
        <v>0.35686761152112856</v>
      </c>
      <c r="W120" s="152">
        <f t="shared" si="308"/>
        <v>0.35686761152112856</v>
      </c>
      <c r="X120" s="152">
        <f t="shared" si="308"/>
        <v>0.35686761152112856</v>
      </c>
      <c r="Y120" s="152">
        <f t="shared" si="308"/>
        <v>0.35686761152112856</v>
      </c>
      <c r="Z120" s="152">
        <f t="shared" si="308"/>
        <v>0.3568676115211285</v>
      </c>
      <c r="AA120" s="152">
        <f t="shared" si="308"/>
        <v>0.35686761152112856</v>
      </c>
      <c r="AB120" s="152">
        <f t="shared" si="308"/>
        <v>0.35686761152112856</v>
      </c>
      <c r="AC120" s="152">
        <f t="shared" si="308"/>
        <v>0.35686761152112856</v>
      </c>
      <c r="AD120" s="138">
        <f t="shared" si="223"/>
        <v>9.4508934980905401E-2</v>
      </c>
      <c r="AE120" s="20"/>
      <c r="AF120" s="20"/>
    </row>
    <row r="121" spans="2:32">
      <c r="B121" s="20" t="str">
        <f>B34</f>
        <v>2nd highest Expenses Comp. ( Empl )</v>
      </c>
      <c r="C121" s="20"/>
      <c r="D121" s="20"/>
      <c r="E121" s="20"/>
      <c r="F121" s="20"/>
      <c r="G121" s="152">
        <f>G34/G25</f>
        <v>3.4904109589041095E-3</v>
      </c>
      <c r="H121" s="152">
        <f t="shared" ref="H121:P121" si="309">H34/H25</f>
        <v>3.8631346578366448E-3</v>
      </c>
      <c r="I121" s="152">
        <f t="shared" si="309"/>
        <v>2.8653295128939827E-3</v>
      </c>
      <c r="J121" s="152">
        <f t="shared" si="309"/>
        <v>1.9824412347776836E-3</v>
      </c>
      <c r="K121" s="152">
        <f t="shared" si="309"/>
        <v>0.16160249208456745</v>
      </c>
      <c r="L121" s="152">
        <f t="shared" si="309"/>
        <v>0.13059694392114327</v>
      </c>
      <c r="M121" s="152">
        <f t="shared" si="309"/>
        <v>0.11654350980193677</v>
      </c>
      <c r="N121" s="152">
        <f t="shared" si="309"/>
        <v>9.3597983169406665E-2</v>
      </c>
      <c r="O121" s="152">
        <f t="shared" si="309"/>
        <v>7.823627240550951E-2</v>
      </c>
      <c r="P121" s="152">
        <f t="shared" si="309"/>
        <v>7.9184899745281173E-2</v>
      </c>
      <c r="Q121" s="152">
        <f t="shared" ref="Q121" si="310">Q34/Q25</f>
        <v>7.9184899745281173E-2</v>
      </c>
      <c r="R121" s="118">
        <f t="shared" si="221"/>
        <v>0.41462277331525654</v>
      </c>
      <c r="S121" s="20"/>
      <c r="T121" s="152">
        <f t="shared" ref="T121:AC121" si="311">T34/T25</f>
        <v>7.9184899745281173E-2</v>
      </c>
      <c r="U121" s="152">
        <f t="shared" si="311"/>
        <v>7.9184899745281173E-2</v>
      </c>
      <c r="V121" s="152">
        <f t="shared" si="311"/>
        <v>7.9184899745281159E-2</v>
      </c>
      <c r="W121" s="152">
        <f t="shared" si="311"/>
        <v>7.9184899745281159E-2</v>
      </c>
      <c r="X121" s="152">
        <f t="shared" si="311"/>
        <v>7.9184899745281159E-2</v>
      </c>
      <c r="Y121" s="152">
        <f t="shared" si="311"/>
        <v>7.9184899745281159E-2</v>
      </c>
      <c r="Z121" s="152">
        <f t="shared" si="311"/>
        <v>7.9184899745281159E-2</v>
      </c>
      <c r="AA121" s="152">
        <f t="shared" si="311"/>
        <v>7.9184899745281159E-2</v>
      </c>
      <c r="AB121" s="152">
        <f t="shared" si="311"/>
        <v>7.9184899745281159E-2</v>
      </c>
      <c r="AC121" s="152">
        <f t="shared" si="311"/>
        <v>7.9184899745281159E-2</v>
      </c>
      <c r="AD121" s="138">
        <f t="shared" si="223"/>
        <v>0.16892942308413472</v>
      </c>
      <c r="AE121" s="20"/>
      <c r="AF121" s="20"/>
    </row>
    <row r="122" spans="2:32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128"/>
      <c r="S122" s="128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39"/>
      <c r="AE122" s="20"/>
      <c r="AF122" s="20"/>
    </row>
    <row r="123" spans="2:32">
      <c r="B123" s="108" t="s">
        <v>362</v>
      </c>
      <c r="C123" s="20"/>
      <c r="D123" s="20"/>
      <c r="E123" s="20"/>
      <c r="F123" s="20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118"/>
      <c r="S123" s="128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138"/>
      <c r="AE123" s="20"/>
      <c r="AF123" s="20"/>
    </row>
    <row r="124" spans="2:32">
      <c r="B124" s="20" t="s">
        <v>365</v>
      </c>
      <c r="C124" s="20"/>
      <c r="D124" s="20"/>
      <c r="E124" s="20"/>
      <c r="F124" s="20"/>
      <c r="G124" s="25">
        <f>G15/G9</f>
        <v>0.28831103256753343</v>
      </c>
      <c r="H124" s="25">
        <f t="shared" ref="H124:AC124" si="312">H15/H9</f>
        <v>0.61826024442846872</v>
      </c>
      <c r="I124" s="25">
        <f t="shared" si="312"/>
        <v>0.63752477427879317</v>
      </c>
      <c r="J124" s="25">
        <f t="shared" si="312"/>
        <v>2.5459375691830863E-2</v>
      </c>
      <c r="K124" s="25">
        <f t="shared" si="312"/>
        <v>1.5645947409591432</v>
      </c>
      <c r="L124" s="25">
        <f t="shared" si="312"/>
        <v>0.32997152921874245</v>
      </c>
      <c r="M124" s="25">
        <f t="shared" si="312"/>
        <v>0.36370479093748825</v>
      </c>
      <c r="N124" s="25">
        <f t="shared" si="312"/>
        <v>3.3619579218548732</v>
      </c>
      <c r="O124" s="25">
        <f t="shared" si="312"/>
        <v>3.286701127819549</v>
      </c>
      <c r="P124" s="25">
        <f t="shared" si="312"/>
        <v>3.8474459724950885</v>
      </c>
      <c r="Q124" s="25">
        <f t="shared" ref="Q124" si="313">Q15/Q9</f>
        <v>0</v>
      </c>
      <c r="R124" s="118">
        <f t="shared" si="221"/>
        <v>0.33362763243555782</v>
      </c>
      <c r="S124" s="20"/>
      <c r="T124" s="20">
        <f t="shared" si="312"/>
        <v>0</v>
      </c>
      <c r="U124" s="20">
        <f t="shared" si="312"/>
        <v>0</v>
      </c>
      <c r="V124" s="20">
        <f t="shared" si="312"/>
        <v>0</v>
      </c>
      <c r="W124" s="20">
        <f t="shared" si="312"/>
        <v>0</v>
      </c>
      <c r="X124" s="20">
        <f t="shared" si="312"/>
        <v>0</v>
      </c>
      <c r="Y124" s="20">
        <f t="shared" si="312"/>
        <v>0</v>
      </c>
      <c r="Z124" s="20">
        <f t="shared" si="312"/>
        <v>0</v>
      </c>
      <c r="AA124" s="20">
        <f t="shared" si="312"/>
        <v>0</v>
      </c>
      <c r="AB124" s="20">
        <f t="shared" si="312"/>
        <v>0</v>
      </c>
      <c r="AC124" s="20">
        <f t="shared" si="312"/>
        <v>0</v>
      </c>
      <c r="AD124" s="138">
        <f t="shared" si="223"/>
        <v>-1</v>
      </c>
      <c r="AE124" s="20"/>
      <c r="AF124" s="20"/>
    </row>
    <row r="125" spans="2:32">
      <c r="B125" s="20" t="s">
        <v>355</v>
      </c>
      <c r="C125" s="20"/>
      <c r="D125" s="20"/>
      <c r="E125" s="20"/>
      <c r="F125" s="20"/>
      <c r="G125" s="25">
        <f>G12/G9</f>
        <v>0.27947488008078769</v>
      </c>
      <c r="H125" s="25">
        <f t="shared" ref="H125:P125" si="314">H12/H9</f>
        <v>0.60675772825305541</v>
      </c>
      <c r="I125" s="25">
        <f t="shared" si="314"/>
        <v>0.63047786831094477</v>
      </c>
      <c r="J125" s="25">
        <f t="shared" si="314"/>
        <v>0.82532654416648221</v>
      </c>
      <c r="K125" s="25">
        <f t="shared" si="314"/>
        <v>1.2612672242613876</v>
      </c>
      <c r="L125" s="25">
        <f t="shared" si="314"/>
        <v>1.4329006417989674</v>
      </c>
      <c r="M125" s="25">
        <f t="shared" si="314"/>
        <v>1.4706258703097361</v>
      </c>
      <c r="N125" s="25">
        <f t="shared" si="314"/>
        <v>2.8096669324664174</v>
      </c>
      <c r="O125" s="25">
        <f t="shared" si="314"/>
        <v>2.7350563909774435</v>
      </c>
      <c r="P125" s="25">
        <f t="shared" si="314"/>
        <v>3.0567779960707271</v>
      </c>
      <c r="Q125" s="25">
        <f t="shared" ref="Q125" si="315">Q12/Q9</f>
        <v>3.0567779960707271</v>
      </c>
      <c r="R125" s="118">
        <f t="shared" si="221"/>
        <v>0.30447475865214058</v>
      </c>
      <c r="S125" s="128"/>
      <c r="T125" s="20">
        <f t="shared" ref="T125:AC125" si="316">T12/T9</f>
        <v>3.0567779960707271</v>
      </c>
      <c r="U125" s="20">
        <f t="shared" si="316"/>
        <v>3.0567779960707275</v>
      </c>
      <c r="V125" s="20">
        <f t="shared" si="316"/>
        <v>3.0567779960707275</v>
      </c>
      <c r="W125" s="20">
        <f t="shared" si="316"/>
        <v>3.0567779960707275</v>
      </c>
      <c r="X125" s="20">
        <f t="shared" si="316"/>
        <v>3.0567779960707275</v>
      </c>
      <c r="Y125" s="20">
        <f t="shared" si="316"/>
        <v>3.0567779960707275</v>
      </c>
      <c r="Z125" s="20">
        <f t="shared" si="316"/>
        <v>3.0567779960707271</v>
      </c>
      <c r="AA125" s="20">
        <f t="shared" si="316"/>
        <v>3.0567779960707271</v>
      </c>
      <c r="AB125" s="20">
        <f t="shared" si="316"/>
        <v>3.0567779960707271</v>
      </c>
      <c r="AC125" s="20">
        <f t="shared" si="316"/>
        <v>3.0567779960707271</v>
      </c>
      <c r="AD125" s="118">
        <f t="shared" ref="AD125" si="317">((AC125/T125)^(1/($H$2-$H$1) ))-1</f>
        <v>0</v>
      </c>
      <c r="AE125" s="20"/>
      <c r="AF125" s="20"/>
    </row>
    <row r="126" spans="2:32">
      <c r="B126" s="20" t="s">
        <v>357</v>
      </c>
      <c r="C126" s="20"/>
      <c r="D126" s="20"/>
      <c r="E126" s="20"/>
      <c r="F126" s="20"/>
      <c r="G126" s="25">
        <f>G25/360</f>
        <v>5.0694444444444446</v>
      </c>
      <c r="H126" s="25">
        <f t="shared" ref="H126:P126" si="318">H25/360</f>
        <v>5.0333333333333332</v>
      </c>
      <c r="I126" s="25">
        <f t="shared" si="318"/>
        <v>6.7861111111111114</v>
      </c>
      <c r="J126" s="25">
        <f t="shared" si="318"/>
        <v>9.8083333333333336</v>
      </c>
      <c r="K126" s="25">
        <f t="shared" si="318"/>
        <v>108.78888888888889</v>
      </c>
      <c r="L126" s="25">
        <f t="shared" si="318"/>
        <v>145.97499999999999</v>
      </c>
      <c r="M126" s="25">
        <f t="shared" si="318"/>
        <v>164.65</v>
      </c>
      <c r="N126" s="25">
        <f t="shared" si="318"/>
        <v>156.46111111111111</v>
      </c>
      <c r="O126" s="25">
        <f t="shared" si="318"/>
        <v>195.41944444444445</v>
      </c>
      <c r="P126" s="25">
        <f t="shared" si="318"/>
        <v>212.65277777777777</v>
      </c>
      <c r="Q126" s="25">
        <f t="shared" ref="Q126" si="319">Q25/360</f>
        <v>212.65277777777777</v>
      </c>
      <c r="R126" s="118">
        <f t="shared" si="221"/>
        <v>0.51461128388680955</v>
      </c>
      <c r="S126" s="128"/>
      <c r="T126" s="25">
        <f t="shared" ref="T126:AC126" si="320">T25/360</f>
        <v>238.17111111111112</v>
      </c>
      <c r="U126" s="25">
        <f t="shared" si="320"/>
        <v>266.75164444444448</v>
      </c>
      <c r="V126" s="25">
        <f t="shared" si="320"/>
        <v>298.76184177777787</v>
      </c>
      <c r="W126" s="25">
        <f t="shared" si="320"/>
        <v>334.61326279111125</v>
      </c>
      <c r="X126" s="25">
        <f t="shared" si="320"/>
        <v>374.76685432604467</v>
      </c>
      <c r="Y126" s="25">
        <f t="shared" si="320"/>
        <v>419.73887684517007</v>
      </c>
      <c r="Z126" s="25">
        <f t="shared" si="320"/>
        <v>470.10754206659055</v>
      </c>
      <c r="AA126" s="25">
        <f t="shared" si="320"/>
        <v>526.52044711458143</v>
      </c>
      <c r="AB126" s="25">
        <f t="shared" si="320"/>
        <v>589.70290076833135</v>
      </c>
      <c r="AC126" s="25">
        <f t="shared" si="320"/>
        <v>660.46724886053119</v>
      </c>
      <c r="AD126" s="118">
        <f t="shared" ref="AD126:AD137" si="321">((AC126/T126)^(1/($H$2-$H$1) ))-1</f>
        <v>0.12000000000000011</v>
      </c>
      <c r="AE126" s="20"/>
      <c r="AF126" s="20"/>
    </row>
    <row r="127" spans="2:32">
      <c r="B127" s="20" t="s">
        <v>356</v>
      </c>
      <c r="C127" s="20"/>
      <c r="D127" s="20"/>
      <c r="E127" s="20"/>
      <c r="F127" s="20"/>
      <c r="G127" s="25">
        <f>G27/360</f>
        <v>0.7416666666666667</v>
      </c>
      <c r="H127" s="25">
        <f t="shared" ref="H127:P127" si="322">H27/360</f>
        <v>0.85833333333333328</v>
      </c>
      <c r="I127" s="25">
        <f t="shared" si="322"/>
        <v>2.2999999999999998</v>
      </c>
      <c r="J127" s="25">
        <f t="shared" si="322"/>
        <v>0.92777777777777781</v>
      </c>
      <c r="K127" s="25">
        <f t="shared" si="322"/>
        <v>80.158333333333331</v>
      </c>
      <c r="L127" s="25">
        <f t="shared" si="322"/>
        <v>118.42777777777778</v>
      </c>
      <c r="M127" s="25">
        <f t="shared" si="322"/>
        <v>113.79722222222222</v>
      </c>
      <c r="N127" s="25">
        <f t="shared" si="322"/>
        <v>105.46111111111111</v>
      </c>
      <c r="O127" s="25">
        <f t="shared" si="322"/>
        <v>130.9111111111111</v>
      </c>
      <c r="P127" s="25">
        <f t="shared" si="322"/>
        <v>138.125</v>
      </c>
      <c r="Q127" s="25">
        <f t="shared" ref="Q127" si="323">Q27/360</f>
        <v>0</v>
      </c>
      <c r="R127" s="118">
        <f t="shared" si="221"/>
        <v>0.78743098100171016</v>
      </c>
      <c r="S127" s="128"/>
      <c r="T127" s="25">
        <f t="shared" ref="T127:AC127" si="324">T27/360</f>
        <v>0</v>
      </c>
      <c r="U127" s="25">
        <f t="shared" si="324"/>
        <v>0</v>
      </c>
      <c r="V127" s="25">
        <f t="shared" si="324"/>
        <v>0</v>
      </c>
      <c r="W127" s="25">
        <f t="shared" si="324"/>
        <v>0</v>
      </c>
      <c r="X127" s="25">
        <f t="shared" si="324"/>
        <v>0</v>
      </c>
      <c r="Y127" s="25">
        <f t="shared" si="324"/>
        <v>0</v>
      </c>
      <c r="Z127" s="25">
        <f t="shared" si="324"/>
        <v>0</v>
      </c>
      <c r="AA127" s="25">
        <f t="shared" si="324"/>
        <v>0</v>
      </c>
      <c r="AB127" s="25">
        <f t="shared" si="324"/>
        <v>0</v>
      </c>
      <c r="AC127" s="25">
        <f t="shared" si="324"/>
        <v>0</v>
      </c>
      <c r="AD127" s="118" t="e">
        <f t="shared" si="321"/>
        <v>#DIV/0!</v>
      </c>
      <c r="AE127" s="20"/>
      <c r="AF127" s="20"/>
    </row>
    <row r="128" spans="2:3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128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128"/>
      <c r="AE128" s="20"/>
      <c r="AF128" s="20"/>
    </row>
    <row r="129" spans="2:32">
      <c r="B129" s="20" t="s">
        <v>366</v>
      </c>
      <c r="C129" s="20"/>
      <c r="D129" s="20"/>
      <c r="E129" s="20"/>
      <c r="F129" s="20"/>
      <c r="G129" s="25">
        <f>G10/G7</f>
        <v>0.26028668660410437</v>
      </c>
      <c r="H129" s="25">
        <f t="shared" ref="H129:P129" si="325">H10/H7</f>
        <v>0.21805478948336091</v>
      </c>
      <c r="I129" s="25">
        <f t="shared" si="325"/>
        <v>0.16744555153866503</v>
      </c>
      <c r="J129" s="25">
        <f t="shared" si="325"/>
        <v>0.13007744586691955</v>
      </c>
      <c r="K129" s="25">
        <f t="shared" si="325"/>
        <v>9.2862776025236599E-2</v>
      </c>
      <c r="L129" s="25">
        <f t="shared" si="325"/>
        <v>0.1053560918187169</v>
      </c>
      <c r="M129" s="25">
        <f t="shared" si="325"/>
        <v>7.6488706365503076E-2</v>
      </c>
      <c r="N129" s="25">
        <f t="shared" si="325"/>
        <v>4.1003782193672331E-2</v>
      </c>
      <c r="O129" s="25">
        <f t="shared" si="325"/>
        <v>3.2951820631349965E-2</v>
      </c>
      <c r="P129" s="25">
        <f t="shared" si="325"/>
        <v>2.2240102329227785E-2</v>
      </c>
      <c r="Q129" s="25">
        <f t="shared" ref="Q129" si="326">Q10/Q7</f>
        <v>2.2240102329227785E-2</v>
      </c>
      <c r="R129" s="118">
        <f t="shared" si="221"/>
        <v>-0.23915128053385626</v>
      </c>
      <c r="S129" s="128"/>
      <c r="T129" s="25">
        <f t="shared" ref="T129:AC129" si="327">T10/T7</f>
        <v>2.2240102329227785E-2</v>
      </c>
      <c r="U129" s="25">
        <f t="shared" si="327"/>
        <v>2.2240102329227789E-2</v>
      </c>
      <c r="V129" s="25">
        <f t="shared" si="327"/>
        <v>2.2240102329227789E-2</v>
      </c>
      <c r="W129" s="25">
        <f t="shared" si="327"/>
        <v>2.2240102329227789E-2</v>
      </c>
      <c r="X129" s="25">
        <f t="shared" si="327"/>
        <v>2.2240102329227785E-2</v>
      </c>
      <c r="Y129" s="25">
        <f t="shared" si="327"/>
        <v>2.2240102329227785E-2</v>
      </c>
      <c r="Z129" s="25">
        <f t="shared" si="327"/>
        <v>2.2240102329227785E-2</v>
      </c>
      <c r="AA129" s="25">
        <f t="shared" si="327"/>
        <v>2.2240102329227785E-2</v>
      </c>
      <c r="AB129" s="25">
        <f t="shared" si="327"/>
        <v>2.2240102329227785E-2</v>
      </c>
      <c r="AC129" s="25">
        <f t="shared" si="327"/>
        <v>2.2240102329227785E-2</v>
      </c>
      <c r="AD129" s="118">
        <f t="shared" si="321"/>
        <v>0</v>
      </c>
      <c r="AE129" s="20"/>
      <c r="AF129" s="20"/>
    </row>
    <row r="130" spans="2:32">
      <c r="B130" s="20" t="s">
        <v>358</v>
      </c>
      <c r="C130" s="20"/>
      <c r="D130" s="20"/>
      <c r="E130" s="20"/>
      <c r="F130" s="20"/>
      <c r="G130" s="25">
        <f>G10/(G10+G7)</f>
        <v>0.20652974388347925</v>
      </c>
      <c r="H130" s="25">
        <f t="shared" ref="H130:P130" si="328">H10/(H10+H7)</f>
        <v>0.17901886792452831</v>
      </c>
      <c r="I130" s="25">
        <f t="shared" si="328"/>
        <v>0.14342900302114803</v>
      </c>
      <c r="J130" s="25">
        <f t="shared" si="328"/>
        <v>0.11510489510489511</v>
      </c>
      <c r="K130" s="25">
        <f t="shared" si="328"/>
        <v>8.497203680317518E-2</v>
      </c>
      <c r="L130" s="25">
        <f t="shared" si="328"/>
        <v>9.5314164004259849E-2</v>
      </c>
      <c r="M130" s="25">
        <f t="shared" si="328"/>
        <v>7.1053886504530275E-2</v>
      </c>
      <c r="N130" s="25">
        <f t="shared" si="328"/>
        <v>3.9388696655132643E-2</v>
      </c>
      <c r="O130" s="25">
        <f t="shared" si="328"/>
        <v>3.1900636576843916E-2</v>
      </c>
      <c r="P130" s="25">
        <f t="shared" si="328"/>
        <v>2.175624129649438E-2</v>
      </c>
      <c r="Q130" s="25">
        <f t="shared" ref="Q130" si="329">Q10/(Q10+Q7)</f>
        <v>2.175624129649438E-2</v>
      </c>
      <c r="R130" s="118">
        <f t="shared" si="221"/>
        <v>-0.22124626958384852</v>
      </c>
      <c r="S130" s="128"/>
      <c r="T130" s="25">
        <f t="shared" ref="T130:AC130" si="330">T10/(T10+T7)</f>
        <v>2.175624129649438E-2</v>
      </c>
      <c r="U130" s="25">
        <f t="shared" si="330"/>
        <v>2.1756241296494384E-2</v>
      </c>
      <c r="V130" s="25">
        <f t="shared" si="330"/>
        <v>2.1756241296494384E-2</v>
      </c>
      <c r="W130" s="25">
        <f t="shared" si="330"/>
        <v>2.175624129649438E-2</v>
      </c>
      <c r="X130" s="25">
        <f t="shared" si="330"/>
        <v>2.175624129649438E-2</v>
      </c>
      <c r="Y130" s="25">
        <f t="shared" si="330"/>
        <v>2.175624129649438E-2</v>
      </c>
      <c r="Z130" s="25">
        <f t="shared" si="330"/>
        <v>2.1756241296494377E-2</v>
      </c>
      <c r="AA130" s="25">
        <f t="shared" si="330"/>
        <v>2.175624129649438E-2</v>
      </c>
      <c r="AB130" s="25">
        <f t="shared" si="330"/>
        <v>2.175624129649438E-2</v>
      </c>
      <c r="AC130" s="25">
        <f t="shared" si="330"/>
        <v>2.175624129649438E-2</v>
      </c>
      <c r="AD130" s="118">
        <f t="shared" si="321"/>
        <v>0</v>
      </c>
      <c r="AE130" s="20"/>
      <c r="AF130" s="20"/>
    </row>
    <row r="131" spans="2:32">
      <c r="B131" s="20"/>
      <c r="C131" s="20"/>
      <c r="D131" s="20"/>
      <c r="E131" s="20"/>
      <c r="F131" s="20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128"/>
      <c r="S131" s="128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137"/>
      <c r="AE131" s="20"/>
      <c r="AF131" s="20"/>
    </row>
    <row r="132" spans="2:32">
      <c r="B132" s="20" t="s">
        <v>363</v>
      </c>
      <c r="C132" s="20"/>
      <c r="D132" s="20"/>
      <c r="E132" s="20"/>
      <c r="F132" s="20"/>
      <c r="G132" s="25">
        <f>G16</f>
        <v>972</v>
      </c>
      <c r="H132" s="25">
        <f t="shared" ref="H132:P132" si="331">H16</f>
        <v>372</v>
      </c>
      <c r="I132" s="25">
        <f t="shared" si="331"/>
        <v>2545</v>
      </c>
      <c r="J132" s="25">
        <f t="shared" si="331"/>
        <v>7891</v>
      </c>
      <c r="K132" s="25">
        <f t="shared" si="331"/>
        <v>8421</v>
      </c>
      <c r="L132" s="25">
        <f t="shared" si="331"/>
        <v>8188</v>
      </c>
      <c r="M132" s="25">
        <f t="shared" si="331"/>
        <v>13949</v>
      </c>
      <c r="N132" s="25">
        <f t="shared" si="331"/>
        <v>18749</v>
      </c>
      <c r="O132" s="25">
        <f t="shared" si="331"/>
        <v>23514</v>
      </c>
      <c r="P132" s="25">
        <f t="shared" si="331"/>
        <v>30256</v>
      </c>
      <c r="Q132" s="25">
        <f t="shared" ref="Q132" si="332">Q16</f>
        <v>0</v>
      </c>
      <c r="R132" s="118">
        <f t="shared" si="221"/>
        <v>0.46522738633113248</v>
      </c>
      <c r="S132" s="128"/>
      <c r="T132" s="25">
        <f t="shared" ref="T132:AC132" si="333">T16</f>
        <v>0</v>
      </c>
      <c r="U132" s="25">
        <f t="shared" si="333"/>
        <v>0</v>
      </c>
      <c r="V132" s="25">
        <f t="shared" si="333"/>
        <v>0</v>
      </c>
      <c r="W132" s="25">
        <f t="shared" si="333"/>
        <v>0</v>
      </c>
      <c r="X132" s="25">
        <f t="shared" si="333"/>
        <v>0</v>
      </c>
      <c r="Y132" s="25">
        <f t="shared" si="333"/>
        <v>0</v>
      </c>
      <c r="Z132" s="25">
        <f t="shared" si="333"/>
        <v>0</v>
      </c>
      <c r="AA132" s="25">
        <f t="shared" si="333"/>
        <v>0</v>
      </c>
      <c r="AB132" s="25">
        <f t="shared" si="333"/>
        <v>0</v>
      </c>
      <c r="AC132" s="25">
        <f t="shared" si="333"/>
        <v>0</v>
      </c>
      <c r="AD132" s="118" t="e">
        <f t="shared" si="321"/>
        <v>#DIV/0!</v>
      </c>
      <c r="AE132" s="20"/>
      <c r="AF132" s="20"/>
    </row>
    <row r="133" spans="2:32">
      <c r="B133" s="20" t="s">
        <v>364</v>
      </c>
      <c r="C133" s="20"/>
      <c r="D133" s="20"/>
      <c r="E133" s="20"/>
      <c r="F133" s="20"/>
      <c r="G133" s="119">
        <f t="shared" ref="G133:P133" si="334">G132*365/G25</f>
        <v>194.4</v>
      </c>
      <c r="H133" s="119">
        <f t="shared" si="334"/>
        <v>74.933774834437088</v>
      </c>
      <c r="I133" s="119">
        <f t="shared" si="334"/>
        <v>380.23945968072042</v>
      </c>
      <c r="J133" s="119">
        <f t="shared" si="334"/>
        <v>815.6938544321722</v>
      </c>
      <c r="K133" s="119">
        <f t="shared" si="334"/>
        <v>78.481896639771222</v>
      </c>
      <c r="L133" s="119">
        <f t="shared" si="334"/>
        <v>56.870849270232725</v>
      </c>
      <c r="M133" s="119">
        <f t="shared" si="334"/>
        <v>85.895755305867667</v>
      </c>
      <c r="N133" s="119">
        <f t="shared" si="334"/>
        <v>121.49602315094273</v>
      </c>
      <c r="O133" s="119">
        <f t="shared" si="334"/>
        <v>121.99698653892624</v>
      </c>
      <c r="P133" s="119">
        <f t="shared" si="334"/>
        <v>144.25498007968127</v>
      </c>
      <c r="Q133" s="119">
        <f t="shared" ref="Q133" si="335">Q132*365/Q25</f>
        <v>0</v>
      </c>
      <c r="R133" s="118">
        <f t="shared" si="221"/>
        <v>-3.2604997784611567E-2</v>
      </c>
      <c r="S133" s="128"/>
      <c r="T133" s="119">
        <f t="shared" ref="T133:AC133" si="336">T132*365/T25</f>
        <v>0</v>
      </c>
      <c r="U133" s="119">
        <f t="shared" si="336"/>
        <v>0</v>
      </c>
      <c r="V133" s="119">
        <f t="shared" si="336"/>
        <v>0</v>
      </c>
      <c r="W133" s="119">
        <f t="shared" si="336"/>
        <v>0</v>
      </c>
      <c r="X133" s="119">
        <f t="shared" si="336"/>
        <v>0</v>
      </c>
      <c r="Y133" s="119">
        <f t="shared" si="336"/>
        <v>0</v>
      </c>
      <c r="Z133" s="119">
        <f t="shared" si="336"/>
        <v>0</v>
      </c>
      <c r="AA133" s="119">
        <f t="shared" si="336"/>
        <v>0</v>
      </c>
      <c r="AB133" s="119">
        <f t="shared" si="336"/>
        <v>0</v>
      </c>
      <c r="AC133" s="119">
        <f t="shared" si="336"/>
        <v>0</v>
      </c>
      <c r="AD133" s="118" t="e">
        <f t="shared" si="321"/>
        <v>#DIV/0!</v>
      </c>
      <c r="AE133" s="20"/>
      <c r="AF133" s="20"/>
    </row>
    <row r="134" spans="2:32">
      <c r="B134" s="20" t="s">
        <v>367</v>
      </c>
      <c r="C134" s="20"/>
      <c r="D134" s="20"/>
      <c r="E134" s="20"/>
      <c r="F134" s="20"/>
      <c r="G134" s="133">
        <f>G80/G29</f>
        <v>-78.723404255319153</v>
      </c>
      <c r="H134" s="133">
        <f t="shared" ref="H134:P134" si="337">H80/H29</f>
        <v>-117.71428571428571</v>
      </c>
      <c r="I134" s="133">
        <f t="shared" si="337"/>
        <v>-0.59869695368902975</v>
      </c>
      <c r="J134" s="133">
        <f t="shared" si="337"/>
        <v>-6.4769516984772277E-2</v>
      </c>
      <c r="K134" s="133">
        <f t="shared" si="337"/>
        <v>4.2472266244057062</v>
      </c>
      <c r="L134" s="133">
        <f t="shared" si="337"/>
        <v>2.9582673005810882</v>
      </c>
      <c r="M134" s="133">
        <f t="shared" si="337"/>
        <v>7.5821648861161509E-2</v>
      </c>
      <c r="N134" s="133">
        <f t="shared" si="337"/>
        <v>0.28833592708012862</v>
      </c>
      <c r="O134" s="133">
        <f t="shared" si="337"/>
        <v>0.45933478401853878</v>
      </c>
      <c r="P134" s="133">
        <f t="shared" si="337"/>
        <v>0.63620227735295098</v>
      </c>
      <c r="Q134" s="133" t="e">
        <f t="shared" ref="Q134" si="338">Q80/Q29</f>
        <v>#DIV/0!</v>
      </c>
      <c r="R134" s="118">
        <f t="shared" si="221"/>
        <v>-1.5854624411534242</v>
      </c>
      <c r="S134" s="128"/>
      <c r="T134" s="133" t="e">
        <f t="shared" ref="T134:AC134" si="339">T80/T29</f>
        <v>#DIV/0!</v>
      </c>
      <c r="U134" s="133" t="e">
        <f t="shared" si="339"/>
        <v>#DIV/0!</v>
      </c>
      <c r="V134" s="133" t="e">
        <f t="shared" si="339"/>
        <v>#DIV/0!</v>
      </c>
      <c r="W134" s="133" t="e">
        <f t="shared" si="339"/>
        <v>#DIV/0!</v>
      </c>
      <c r="X134" s="133" t="e">
        <f t="shared" si="339"/>
        <v>#DIV/0!</v>
      </c>
      <c r="Y134" s="133" t="e">
        <f t="shared" si="339"/>
        <v>#DIV/0!</v>
      </c>
      <c r="Z134" s="133" t="e">
        <f t="shared" si="339"/>
        <v>#DIV/0!</v>
      </c>
      <c r="AA134" s="133" t="e">
        <f t="shared" si="339"/>
        <v>#DIV/0!</v>
      </c>
      <c r="AB134" s="133" t="e">
        <f t="shared" si="339"/>
        <v>#DIV/0!</v>
      </c>
      <c r="AC134" s="133" t="e">
        <f t="shared" si="339"/>
        <v>#DIV/0!</v>
      </c>
      <c r="AD134" s="118" t="e">
        <f t="shared" si="321"/>
        <v>#DIV/0!</v>
      </c>
      <c r="AE134" s="20"/>
      <c r="AF134" s="20"/>
    </row>
    <row r="135" spans="2:3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28"/>
      <c r="S135" s="128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137"/>
      <c r="AE135" s="20"/>
      <c r="AF135" s="20"/>
    </row>
    <row r="136" spans="2:32">
      <c r="B136" s="20" t="s">
        <v>374</v>
      </c>
      <c r="C136" s="20"/>
      <c r="D136" s="20"/>
      <c r="E136" s="20"/>
      <c r="F136" s="20"/>
      <c r="G136" s="180">
        <f>G25/G14</f>
        <v>52.142857142857146</v>
      </c>
      <c r="H136" s="180">
        <f t="shared" ref="H136:P136" si="340">H25/H14</f>
        <v>38.553191489361701</v>
      </c>
      <c r="I136" s="180">
        <f t="shared" si="340"/>
        <v>78.806451612903231</v>
      </c>
      <c r="J136" s="180">
        <f t="shared" si="340"/>
        <v>147.125</v>
      </c>
      <c r="K136" s="180">
        <f t="shared" si="340"/>
        <v>11.576707064735443</v>
      </c>
      <c r="L136" s="180">
        <f t="shared" si="340"/>
        <v>14.272406300923411</v>
      </c>
      <c r="M136" s="180">
        <f t="shared" si="340"/>
        <v>13.468302658486708</v>
      </c>
      <c r="N136" s="180">
        <f t="shared" si="340"/>
        <v>10.085228290062668</v>
      </c>
      <c r="O136" s="180">
        <f t="shared" si="340"/>
        <v>11.588041508812386</v>
      </c>
      <c r="P136" s="180">
        <f t="shared" si="340"/>
        <v>13.629161474096493</v>
      </c>
      <c r="Q136" s="180" t="e">
        <f t="shared" ref="Q136" si="341">Q25/Q14</f>
        <v>#DIV/0!</v>
      </c>
      <c r="R136" s="118">
        <f t="shared" si="221"/>
        <v>-0.13850511865338289</v>
      </c>
      <c r="S136" s="128"/>
      <c r="T136" s="20" t="e">
        <f t="shared" ref="T136" si="342">T25/T14</f>
        <v>#DIV/0!</v>
      </c>
      <c r="U136" s="20" t="e">
        <f t="shared" ref="U136:AC136" si="343">U25/U14</f>
        <v>#DIV/0!</v>
      </c>
      <c r="V136" s="20" t="e">
        <f t="shared" si="343"/>
        <v>#DIV/0!</v>
      </c>
      <c r="W136" s="20" t="e">
        <f t="shared" si="343"/>
        <v>#DIV/0!</v>
      </c>
      <c r="X136" s="20" t="e">
        <f t="shared" si="343"/>
        <v>#DIV/0!</v>
      </c>
      <c r="Y136" s="20" t="e">
        <f t="shared" si="343"/>
        <v>#DIV/0!</v>
      </c>
      <c r="Z136" s="20" t="e">
        <f t="shared" si="343"/>
        <v>#DIV/0!</v>
      </c>
      <c r="AA136" s="20" t="e">
        <f t="shared" si="343"/>
        <v>#DIV/0!</v>
      </c>
      <c r="AB136" s="20" t="e">
        <f t="shared" si="343"/>
        <v>#DIV/0!</v>
      </c>
      <c r="AC136" s="20" t="e">
        <f t="shared" si="343"/>
        <v>#DIV/0!</v>
      </c>
      <c r="AD136" s="118" t="e">
        <f t="shared" si="321"/>
        <v>#DIV/0!</v>
      </c>
      <c r="AE136" s="20"/>
      <c r="AF136" s="20"/>
    </row>
    <row r="137" spans="2:32">
      <c r="B137" s="20" t="s">
        <v>375</v>
      </c>
      <c r="C137" s="20"/>
      <c r="D137" s="20"/>
      <c r="E137" s="20"/>
      <c r="F137" s="20"/>
      <c r="G137" s="180">
        <f>G27/G14</f>
        <v>7.628571428571429</v>
      </c>
      <c r="H137" s="180">
        <f t="shared" ref="H137:P137" si="344">H27/H14</f>
        <v>6.5744680851063828</v>
      </c>
      <c r="I137" s="180">
        <f t="shared" si="344"/>
        <v>26.70967741935484</v>
      </c>
      <c r="J137" s="180">
        <f t="shared" si="344"/>
        <v>13.916666666666666</v>
      </c>
      <c r="K137" s="180">
        <f t="shared" si="344"/>
        <v>8.5300029559562525</v>
      </c>
      <c r="L137" s="180">
        <f t="shared" si="344"/>
        <v>11.579033134166213</v>
      </c>
      <c r="M137" s="180">
        <f t="shared" si="344"/>
        <v>9.3085662349466034</v>
      </c>
      <c r="N137" s="180">
        <f t="shared" si="344"/>
        <v>6.7978513876454789</v>
      </c>
      <c r="O137" s="180">
        <f t="shared" si="344"/>
        <v>7.7628067863613905</v>
      </c>
      <c r="P137" s="180">
        <f t="shared" si="344"/>
        <v>8.8525903507210248</v>
      </c>
      <c r="Q137" s="180" t="e">
        <f t="shared" ref="Q137" si="345">Q27/Q14</f>
        <v>#DIV/0!</v>
      </c>
      <c r="R137" s="118">
        <f t="shared" si="221"/>
        <v>1.6671840012789207E-2</v>
      </c>
      <c r="S137" s="128"/>
      <c r="T137" s="20" t="e">
        <f t="shared" ref="T137:AC137" si="346">T27/T14</f>
        <v>#DIV/0!</v>
      </c>
      <c r="U137" s="20" t="e">
        <f t="shared" si="346"/>
        <v>#DIV/0!</v>
      </c>
      <c r="V137" s="20" t="e">
        <f t="shared" si="346"/>
        <v>#DIV/0!</v>
      </c>
      <c r="W137" s="20" t="e">
        <f t="shared" si="346"/>
        <v>#DIV/0!</v>
      </c>
      <c r="X137" s="20" t="e">
        <f t="shared" si="346"/>
        <v>#DIV/0!</v>
      </c>
      <c r="Y137" s="20" t="e">
        <f t="shared" si="346"/>
        <v>#DIV/0!</v>
      </c>
      <c r="Z137" s="20" t="e">
        <f t="shared" si="346"/>
        <v>#DIV/0!</v>
      </c>
      <c r="AA137" s="20" t="e">
        <f t="shared" si="346"/>
        <v>#DIV/0!</v>
      </c>
      <c r="AB137" s="20" t="e">
        <f t="shared" si="346"/>
        <v>#DIV/0!</v>
      </c>
      <c r="AC137" s="20" t="e">
        <f t="shared" si="346"/>
        <v>#DIV/0!</v>
      </c>
      <c r="AD137" s="118" t="e">
        <f t="shared" si="321"/>
        <v>#DIV/0!</v>
      </c>
      <c r="AE137" s="20"/>
      <c r="AF137" s="20"/>
    </row>
    <row r="138" spans="2:32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28"/>
      <c r="S138" s="128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37"/>
      <c r="AE138" s="20"/>
      <c r="AF138" s="20"/>
    </row>
    <row r="139" spans="2:32">
      <c r="B139" s="108" t="s">
        <v>244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3"/>
      <c r="S139" s="23"/>
      <c r="T139" s="122" t="s">
        <v>66</v>
      </c>
      <c r="U139" s="20"/>
      <c r="V139" s="20"/>
      <c r="W139" s="20"/>
      <c r="X139" s="20"/>
      <c r="Y139" s="20"/>
      <c r="Z139" s="20"/>
      <c r="AA139" s="20"/>
      <c r="AB139" s="20"/>
      <c r="AC139" s="20"/>
      <c r="AD139" s="137"/>
      <c r="AE139" s="20"/>
      <c r="AF139" s="20"/>
    </row>
    <row r="140" spans="2:32">
      <c r="B140" s="23" t="s">
        <v>280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5"/>
      <c r="Q140" s="25"/>
      <c r="R140" s="160">
        <f>AVERAGE(G54:Q54)</f>
        <v>24326.310213458488</v>
      </c>
      <c r="S140" s="23"/>
      <c r="T140" s="134"/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>
      <c r="B141" s="20" t="s">
        <v>25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140">
        <f>T141+U141</f>
        <v>62.798108311637861</v>
      </c>
      <c r="T141" s="133">
        <f>PV($C$1, ($AC$3-$T$3), 0, -AC54)</f>
        <v>8.7505560762118328</v>
      </c>
      <c r="U141" s="133">
        <f>PV($C$1, ($AC$3-$T$3), 0, -AF54)</f>
        <v>54.047552235426032</v>
      </c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>
      <c r="B142" s="20" t="s">
        <v>272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 t="shared" ref="S142:S160" si="347">T142+U142</f>
        <v>175.37952915265041</v>
      </c>
      <c r="T142" s="133">
        <f>PV($C$1, ($AC$3-$T$3), 0, -AC56)</f>
        <v>24.438131111434888</v>
      </c>
      <c r="U142" s="133">
        <f>PV($C$1, ($AC$3-$T$3), 0, -AF56)</f>
        <v>150.94139804121551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>
      <c r="B143" s="20" t="s">
        <v>273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si="347"/>
        <v>152.52674901343028</v>
      </c>
      <c r="T143" s="133">
        <f>PV($C$1, ($AC$3-$T$3), 0, -AC57)</f>
        <v>21.253727321543558</v>
      </c>
      <c r="U143" s="133">
        <f>PV($C$1, ($AC$3-$T$3), 0, -AF57)</f>
        <v>131.27302169188673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>
      <c r="B144" s="20" t="s">
        <v>274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47"/>
        <v>3.9004586748067327</v>
      </c>
      <c r="T144" s="133">
        <f>PV($C$1, ($AC$3-$T$3), 0, -AC58)</f>
        <v>0.5435065366533971</v>
      </c>
      <c r="U144" s="133">
        <f>PV($C$1, ($AC$3-$T$3), 0, -AF58)</f>
        <v>3.3569521381533356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>
      <c r="B145" s="20" t="s">
        <v>275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47"/>
        <v>225.18455109951003</v>
      </c>
      <c r="T145" s="133">
        <f>PV($C$1, ($AC$3-$T$3), 0, -AC64)</f>
        <v>31.378175153210414</v>
      </c>
      <c r="U145" s="133">
        <f>PV($C$1, ($AC$3-$T$3), 0, -AF64)</f>
        <v>193.80637594629962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/>
      <c r="T146" s="133"/>
      <c r="U146" s="20"/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>
      <c r="B147" s="20" t="s">
        <v>270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>
        <f t="shared" si="347"/>
        <v>171.47907047784366</v>
      </c>
      <c r="T147" s="133">
        <f>PV($C$1, ($AC$3-$T$3), 0, -AC60)</f>
        <v>23.894624574781488</v>
      </c>
      <c r="U147" s="133">
        <f>PV($C$1, ($AC$3-$T$3), 0, -$AF$60)</f>
        <v>147.58444590306217</v>
      </c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>
      <c r="B148" s="20" t="s">
        <v>271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47"/>
        <v>97.811780478710915</v>
      </c>
      <c r="T148" s="133">
        <f>PV($C$1, ($AC$3-$T$3), 0, -AC61)</f>
        <v>13.629510394574472</v>
      </c>
      <c r="U148" s="133">
        <f>PV($C$1, ($AC$3-$T$3), 0, -$AF$61)</f>
        <v>84.182270084136448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>
      <c r="B149" s="20" t="s">
        <v>276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47"/>
        <v>97.811780478710915</v>
      </c>
      <c r="T149" s="133">
        <f>PV($C$1, ($AC$3-$T$3), 0, -AC62)</f>
        <v>13.629510394574472</v>
      </c>
      <c r="U149" s="133">
        <f>PV($C$1, ($AC$3-$T$3), 0, -$AF$62)</f>
        <v>84.182270084136448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/>
      <c r="T150" s="133"/>
      <c r="U150" s="20"/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>
      <c r="B151" s="20" t="s">
        <v>249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>
        <f t="shared" si="347"/>
        <v>0</v>
      </c>
      <c r="T151" s="133">
        <f>PV($C$1, ($AC$3-$T$3), 0, -AC67)</f>
        <v>0</v>
      </c>
      <c r="U151" s="133">
        <f>PV($C$1, ($AC$3-$T$3), 0, -AF67)</f>
        <v>0</v>
      </c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>
      <c r="B152" s="20" t="s">
        <v>250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47"/>
        <v>0</v>
      </c>
      <c r="T152" s="133">
        <f>PV($C$1, ($AC$3-$T$3), 0, -AC68)</f>
        <v>0</v>
      </c>
      <c r="U152" s="133">
        <f>PV($C$1, ($AC$3-$T$3), 0, -AF68)</f>
        <v>0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/>
      <c r="T153" s="133"/>
      <c r="U153" s="133"/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>
      <c r="B154" s="20" t="s">
        <v>293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>
        <f t="shared" ref="S154" si="348">T154+U154</f>
        <v>231683.08745681823</v>
      </c>
      <c r="T154" s="133">
        <f>PV($C$1, ($AC$3-$T$3), 0, -AC12)</f>
        <v>32283.708907917291</v>
      </c>
      <c r="U154" s="133">
        <f>PV($C$1, ($AC$3-$T$3), 0, -AF12)</f>
        <v>199399.37854890095</v>
      </c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>
      <c r="B155" s="20" t="s">
        <v>294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>T155+U155</f>
        <v>366.80190531928224</v>
      </c>
      <c r="T155" s="140">
        <f>T154/P42</f>
        <v>51.111740905145879</v>
      </c>
      <c r="U155" s="140">
        <f>U154/P42</f>
        <v>315.69016441413635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/>
      <c r="T156" s="140"/>
      <c r="U156" s="140"/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>
      <c r="B157" s="108" t="s">
        <v>297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33"/>
      <c r="U157" s="133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>
      <c r="B158" s="20" t="s">
        <v>282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>
        <f t="shared" ref="S158" si="349">T158+U158</f>
        <v>132.6735891110433</v>
      </c>
      <c r="T158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109.14895225818508</v>
      </c>
      <c r="U158" s="133">
        <f>PV($C$1, ($AC$3-$T$3), 0, -AF70)</f>
        <v>23.524636852858226</v>
      </c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>
      <c r="B159" s="23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/>
      <c r="T159" s="133"/>
      <c r="U159" s="133"/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>
      <c r="B160" s="20" t="s">
        <v>290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>
        <f t="shared" si="347"/>
        <v>0</v>
      </c>
      <c r="T160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0</v>
      </c>
      <c r="U160" s="133">
        <f>PV($C$1, ($AC$3-$T$3), 0, -AF72)</f>
        <v>0</v>
      </c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/>
      <c r="T161" s="133"/>
      <c r="U161" s="133"/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>
      <c r="B162" s="20" t="s">
        <v>286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>
        <f t="shared" ref="S162:S165" si="350">T162+U162</f>
        <v>0</v>
      </c>
      <c r="T162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0</v>
      </c>
      <c r="U162" s="133">
        <f>PV($C$1, ($AC$3-$T$3), 0, -AF74)</f>
        <v>0</v>
      </c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>
      <c r="B163" s="20" t="s">
        <v>287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si="350"/>
        <v>0</v>
      </c>
      <c r="T163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0</v>
      </c>
      <c r="U163" s="133">
        <f>PV($C$1, ($AC$3-$T$3), 0, -AF75)</f>
        <v>0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>
      <c r="B164" s="20" t="s">
        <v>288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50"/>
        <v>0</v>
      </c>
      <c r="T164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0</v>
      </c>
      <c r="U164" s="133">
        <f>PV($C$1, ($AC$3-$T$3), 0, -AF76)</f>
        <v>0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>
      <c r="B165" s="20" t="s">
        <v>289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50"/>
        <v>0</v>
      </c>
      <c r="T165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0</v>
      </c>
      <c r="U165" s="133">
        <f>PV($C$1, ($AC$3-$T$3), 0, -AF77)</f>
        <v>0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/>
      <c r="T166" s="133"/>
      <c r="U166" s="133"/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>
      <c r="B167" s="20" t="s">
        <v>298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>
        <f>T167+U167</f>
        <v>0</v>
      </c>
      <c r="T167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0</v>
      </c>
      <c r="U167" s="133">
        <f>PV($C$1, ($AC$3-$T$3), 0, -AF78)</f>
        <v>0</v>
      </c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183">
        <v>41729</v>
      </c>
      <c r="P168" s="20">
        <v>275</v>
      </c>
      <c r="Q168" s="20"/>
      <c r="R168" s="20"/>
      <c r="S168" s="20"/>
      <c r="T168" s="121"/>
      <c r="U168" s="20"/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>
      <c r="B169" s="108" t="s">
        <v>251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3" t="s">
        <v>390</v>
      </c>
      <c r="P169" s="20">
        <v>400</v>
      </c>
      <c r="Q169" s="20"/>
      <c r="R169" s="20">
        <v>250</v>
      </c>
      <c r="S169" s="23" t="s">
        <v>391</v>
      </c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>
      <c r="B170" s="20" t="s">
        <v>204</v>
      </c>
      <c r="C170" s="22">
        <v>0</v>
      </c>
      <c r="D170" s="22">
        <v>0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350</v>
      </c>
      <c r="O170" s="22">
        <v>340</v>
      </c>
      <c r="P170" s="22">
        <v>300</v>
      </c>
      <c r="Q170" s="22">
        <v>250</v>
      </c>
      <c r="R170" s="118" t="e">
        <f t="shared" ref="R170:R175" si="351">((P170/G170)^(1/($H$2-$H$1) ))-1</f>
        <v>#DIV/0!</v>
      </c>
      <c r="S170" s="31">
        <f>L2-3%</f>
        <v>0.09</v>
      </c>
      <c r="T170" s="119">
        <f t="shared" ref="T170" si="352">P170*(1+$S170)</f>
        <v>327</v>
      </c>
      <c r="U170" s="119">
        <f t="shared" ref="U170:AC170" si="353">T170*(1+$S170)</f>
        <v>356.43</v>
      </c>
      <c r="V170" s="119">
        <f t="shared" si="353"/>
        <v>388.50870000000003</v>
      </c>
      <c r="W170" s="119">
        <f t="shared" si="353"/>
        <v>423.47448300000008</v>
      </c>
      <c r="X170" s="119">
        <f t="shared" si="353"/>
        <v>461.58718647000012</v>
      </c>
      <c r="Y170" s="119">
        <f t="shared" si="353"/>
        <v>503.13003325230017</v>
      </c>
      <c r="Z170" s="119">
        <f t="shared" si="353"/>
        <v>548.41173624500721</v>
      </c>
      <c r="AA170" s="119">
        <f t="shared" si="353"/>
        <v>597.76879250705792</v>
      </c>
      <c r="AB170" s="119">
        <f t="shared" si="353"/>
        <v>651.56798383269313</v>
      </c>
      <c r="AC170" s="119">
        <f t="shared" si="353"/>
        <v>710.20910237763553</v>
      </c>
      <c r="AD170" s="138" t="e">
        <f t="shared" ref="AD170:AD175" si="354">((AC170/G170)^(1/($AC$3-$H$1) ))-1</f>
        <v>#DIV/0!</v>
      </c>
      <c r="AE170" s="31">
        <v>0.08</v>
      </c>
      <c r="AF170" s="127" t="e">
        <f t="shared" ref="AF170:AF178" si="355">(AC170*(1+AD170))/($C$1-AE170)</f>
        <v>#DIV/0!</v>
      </c>
    </row>
    <row r="171" spans="2:32">
      <c r="B171" s="20" t="s">
        <v>361</v>
      </c>
      <c r="C171" s="25" t="e">
        <f t="shared" ref="C171:P171" si="356">C170/C50</f>
        <v>#DIV/0!</v>
      </c>
      <c r="D171" s="25" t="e">
        <f t="shared" si="356"/>
        <v>#DIV/0!</v>
      </c>
      <c r="E171" s="25" t="e">
        <f t="shared" si="356"/>
        <v>#DIV/0!</v>
      </c>
      <c r="F171" s="25" t="e">
        <f t="shared" si="356"/>
        <v>#DIV/0!</v>
      </c>
      <c r="G171" s="25">
        <f t="shared" si="356"/>
        <v>0</v>
      </c>
      <c r="H171" s="25">
        <f t="shared" si="356"/>
        <v>0</v>
      </c>
      <c r="I171" s="25">
        <f t="shared" si="356"/>
        <v>0</v>
      </c>
      <c r="J171" s="25">
        <f t="shared" si="356"/>
        <v>0</v>
      </c>
      <c r="K171" s="25">
        <f t="shared" si="356"/>
        <v>0</v>
      </c>
      <c r="L171" s="25">
        <f t="shared" si="356"/>
        <v>0</v>
      </c>
      <c r="M171" s="25">
        <f t="shared" si="356"/>
        <v>0</v>
      </c>
      <c r="N171" s="25">
        <f t="shared" si="356"/>
        <v>3.9248393281965699</v>
      </c>
      <c r="O171" s="25">
        <f t="shared" si="356"/>
        <v>3.052610481727339</v>
      </c>
      <c r="P171" s="25">
        <f t="shared" si="356"/>
        <v>2.4752008360002611</v>
      </c>
      <c r="Q171" s="25">
        <f t="shared" ref="Q171" si="357">Q170/Q50</f>
        <v>2.0626673633335511</v>
      </c>
      <c r="R171" s="118" t="e">
        <f t="shared" ref="R171" si="358">((P171/G171)^(1/($H$2-$H$1) ))-1</f>
        <v>#DIV/0!</v>
      </c>
      <c r="S171" s="128"/>
      <c r="T171" s="25">
        <f t="shared" ref="T171:AC171" si="359">T170/T50</f>
        <v>2.5293458542877665</v>
      </c>
      <c r="U171" s="25">
        <f t="shared" si="359"/>
        <v>2.5846752948503116</v>
      </c>
      <c r="V171" s="25">
        <f t="shared" si="359"/>
        <v>2.6412150669251622</v>
      </c>
      <c r="W171" s="25">
        <f t="shared" si="359"/>
        <v>2.6989916465141501</v>
      </c>
      <c r="X171" s="25">
        <f t="shared" si="359"/>
        <v>2.7580320887816474</v>
      </c>
      <c r="Y171" s="25">
        <f t="shared" si="359"/>
        <v>2.818364040723746</v>
      </c>
      <c r="Z171" s="25">
        <f t="shared" si="359"/>
        <v>2.8800157541145772</v>
      </c>
      <c r="AA171" s="25">
        <f t="shared" si="359"/>
        <v>2.9430160987358338</v>
      </c>
      <c r="AB171" s="25">
        <f t="shared" si="359"/>
        <v>3.0073945758956797</v>
      </c>
      <c r="AC171" s="25">
        <f t="shared" si="359"/>
        <v>3.0731813322433976</v>
      </c>
      <c r="AD171" s="138" t="e">
        <f t="shared" ref="AD171" si="360">((AC171/G171)^(1/($AC$3-$H$1) ))-1</f>
        <v>#DIV/0!</v>
      </c>
      <c r="AE171" s="31">
        <v>0.08</v>
      </c>
      <c r="AF171" s="127" t="e">
        <f t="shared" ref="AF171" si="361">(AC171*(1+AD171))/($C$1-AE171)</f>
        <v>#DIV/0!</v>
      </c>
    </row>
    <row r="172" spans="2:32">
      <c r="B172" s="20" t="s">
        <v>389</v>
      </c>
      <c r="C172" s="25" t="e">
        <f t="shared" ref="C172:P172" si="362">C170/C54</f>
        <v>#DIV/0!</v>
      </c>
      <c r="D172" s="25" t="e">
        <f t="shared" si="362"/>
        <v>#DIV/0!</v>
      </c>
      <c r="E172" s="25" t="e">
        <f t="shared" si="362"/>
        <v>#DIV/0!</v>
      </c>
      <c r="F172" s="25" t="e">
        <f t="shared" si="362"/>
        <v>#DIV/0!</v>
      </c>
      <c r="G172" s="25">
        <f t="shared" si="362"/>
        <v>0</v>
      </c>
      <c r="H172" s="25">
        <f t="shared" si="362"/>
        <v>0</v>
      </c>
      <c r="I172" s="25">
        <f t="shared" si="362"/>
        <v>0</v>
      </c>
      <c r="J172" s="25">
        <f t="shared" si="362"/>
        <v>0</v>
      </c>
      <c r="K172" s="25">
        <f t="shared" si="362"/>
        <v>0</v>
      </c>
      <c r="L172" s="25">
        <f t="shared" si="362"/>
        <v>0</v>
      </c>
      <c r="M172" s="25">
        <f t="shared" si="362"/>
        <v>0</v>
      </c>
      <c r="N172" s="25">
        <f t="shared" si="362"/>
        <v>20.343287015735712</v>
      </c>
      <c r="O172" s="25">
        <f t="shared" si="362"/>
        <v>14.522193670543684</v>
      </c>
      <c r="P172" s="25">
        <f t="shared" si="362"/>
        <v>10.917780594607052</v>
      </c>
      <c r="Q172" s="25">
        <f t="shared" ref="Q172" si="363">Q170/Q54</f>
        <v>9.0981504955058767</v>
      </c>
      <c r="R172" s="118" t="e">
        <f t="shared" si="351"/>
        <v>#DIV/0!</v>
      </c>
      <c r="S172" s="128"/>
      <c r="T172" s="119">
        <f t="shared" ref="T172:AC172" si="364">T170/T54</f>
        <v>11.156607045114081</v>
      </c>
      <c r="U172" s="119">
        <f t="shared" si="364"/>
        <v>11.40065782422595</v>
      </c>
      <c r="V172" s="119">
        <f t="shared" si="364"/>
        <v>11.650047214130895</v>
      </c>
      <c r="W172" s="119">
        <f t="shared" si="364"/>
        <v>11.904891996940011</v>
      </c>
      <c r="X172" s="119">
        <f t="shared" si="364"/>
        <v>12.165311509373074</v>
      </c>
      <c r="Y172" s="119">
        <f t="shared" si="364"/>
        <v>12.431427698640611</v>
      </c>
      <c r="Z172" s="119">
        <f t="shared" si="364"/>
        <v>12.703365179548376</v>
      </c>
      <c r="AA172" s="119">
        <f t="shared" si="364"/>
        <v>12.981251292850995</v>
      </c>
      <c r="AB172" s="119">
        <f t="shared" si="364"/>
        <v>13.265216164882112</v>
      </c>
      <c r="AC172" s="119">
        <f t="shared" si="364"/>
        <v>13.555392768488908</v>
      </c>
      <c r="AD172" s="138" t="e">
        <f t="shared" si="354"/>
        <v>#DIV/0!</v>
      </c>
      <c r="AE172" s="31">
        <v>0.08</v>
      </c>
      <c r="AF172" s="127" t="e">
        <f t="shared" si="355"/>
        <v>#DIV/0!</v>
      </c>
    </row>
    <row r="173" spans="2:32">
      <c r="B173" s="20" t="s">
        <v>258</v>
      </c>
      <c r="C173" s="25" t="e">
        <f t="shared" ref="C173:P173" si="365">C170/C57</f>
        <v>#DIV/0!</v>
      </c>
      <c r="D173" s="25" t="e">
        <f t="shared" si="365"/>
        <v>#DIV/0!</v>
      </c>
      <c r="E173" s="25" t="e">
        <f t="shared" si="365"/>
        <v>#DIV/0!</v>
      </c>
      <c r="F173" s="25" t="e">
        <f t="shared" si="365"/>
        <v>#DIV/0!</v>
      </c>
      <c r="G173" s="25">
        <f t="shared" si="365"/>
        <v>0</v>
      </c>
      <c r="H173" s="25">
        <f t="shared" si="365"/>
        <v>0</v>
      </c>
      <c r="I173" s="25">
        <f t="shared" si="365"/>
        <v>0</v>
      </c>
      <c r="J173" s="25">
        <f t="shared" si="365"/>
        <v>0</v>
      </c>
      <c r="K173" s="25">
        <f t="shared" si="365"/>
        <v>0</v>
      </c>
      <c r="L173" s="25">
        <f t="shared" si="365"/>
        <v>0</v>
      </c>
      <c r="M173" s="25">
        <f t="shared" si="365"/>
        <v>0</v>
      </c>
      <c r="N173" s="25">
        <f t="shared" si="365"/>
        <v>8.1887061525354667</v>
      </c>
      <c r="O173" s="25">
        <f t="shared" si="365"/>
        <v>6.2911354581673304</v>
      </c>
      <c r="P173" s="25">
        <f t="shared" si="365"/>
        <v>4.4950539675008896</v>
      </c>
      <c r="Q173" s="25">
        <f t="shared" ref="Q173" si="366">Q170/Q57</f>
        <v>3.745878306250741</v>
      </c>
      <c r="R173" s="118" t="e">
        <f t="shared" si="351"/>
        <v>#DIV/0!</v>
      </c>
      <c r="S173" s="128"/>
      <c r="T173" s="119">
        <f t="shared" ref="T173:AC173" si="367">T170/T57</f>
        <v>4.5933832730399704</v>
      </c>
      <c r="U173" s="119">
        <f t="shared" si="367"/>
        <v>4.69386353213772</v>
      </c>
      <c r="V173" s="119">
        <f t="shared" si="367"/>
        <v>4.7965417969032327</v>
      </c>
      <c r="W173" s="119">
        <f t="shared" si="367"/>
        <v>4.901466148710492</v>
      </c>
      <c r="X173" s="119">
        <f t="shared" si="367"/>
        <v>5.008685720713534</v>
      </c>
      <c r="Y173" s="119">
        <f t="shared" si="367"/>
        <v>5.1182507208541432</v>
      </c>
      <c r="Z173" s="119">
        <f t="shared" si="367"/>
        <v>5.2302124553728273</v>
      </c>
      <c r="AA173" s="119">
        <f t="shared" si="367"/>
        <v>5.3446233528341081</v>
      </c>
      <c r="AB173" s="119">
        <f t="shared" si="367"/>
        <v>5.461536988677353</v>
      </c>
      <c r="AC173" s="119">
        <f t="shared" si="367"/>
        <v>5.58100811030467</v>
      </c>
      <c r="AD173" s="138" t="e">
        <f t="shared" si="354"/>
        <v>#DIV/0!</v>
      </c>
      <c r="AE173" s="31">
        <v>0.08</v>
      </c>
      <c r="AF173" s="127" t="e">
        <f t="shared" si="355"/>
        <v>#DIV/0!</v>
      </c>
    </row>
    <row r="174" spans="2:32">
      <c r="B174" s="20" t="s">
        <v>259</v>
      </c>
      <c r="C174" s="25" t="e">
        <f t="shared" ref="C174:P174" si="368">C170/C66</f>
        <v>#DIV/0!</v>
      </c>
      <c r="D174" s="25" t="e">
        <f t="shared" si="368"/>
        <v>#DIV/0!</v>
      </c>
      <c r="E174" s="25" t="e">
        <f t="shared" si="368"/>
        <v>#DIV/0!</v>
      </c>
      <c r="F174" s="25" t="e">
        <f t="shared" si="368"/>
        <v>#DIV/0!</v>
      </c>
      <c r="G174" s="25">
        <f t="shared" si="368"/>
        <v>0</v>
      </c>
      <c r="H174" s="25">
        <f t="shared" si="368"/>
        <v>0</v>
      </c>
      <c r="I174" s="25">
        <f t="shared" si="368"/>
        <v>0</v>
      </c>
      <c r="J174" s="25">
        <f t="shared" si="368"/>
        <v>0</v>
      </c>
      <c r="K174" s="25">
        <f t="shared" si="368"/>
        <v>0</v>
      </c>
      <c r="L174" s="25">
        <f t="shared" si="368"/>
        <v>0</v>
      </c>
      <c r="M174" s="25">
        <f t="shared" si="368"/>
        <v>0</v>
      </c>
      <c r="N174" s="25">
        <f t="shared" si="368"/>
        <v>4.7167744137916321</v>
      </c>
      <c r="O174" s="25">
        <f t="shared" si="368"/>
        <v>3.5683531894388785</v>
      </c>
      <c r="P174" s="25">
        <f t="shared" si="368"/>
        <v>2.9319046882252824</v>
      </c>
      <c r="Q174" s="25">
        <f t="shared" ref="Q174" si="369">Q170/Q66</f>
        <v>2.5372372903142875</v>
      </c>
      <c r="R174" s="118" t="e">
        <f t="shared" si="351"/>
        <v>#DIV/0!</v>
      </c>
      <c r="S174" s="128"/>
      <c r="T174" s="119">
        <f t="shared" ref="T174:AC174" si="370">T170/T66</f>
        <v>3.1112872272478951</v>
      </c>
      <c r="U174" s="119">
        <f t="shared" si="370"/>
        <v>3.1793466353439421</v>
      </c>
      <c r="V174" s="119">
        <f t="shared" si="370"/>
        <v>3.2488948429920907</v>
      </c>
      <c r="W174" s="119">
        <f t="shared" si="370"/>
        <v>3.3199644176825434</v>
      </c>
      <c r="X174" s="119">
        <f t="shared" si="370"/>
        <v>3.392588639319349</v>
      </c>
      <c r="Y174" s="119">
        <f t="shared" si="370"/>
        <v>3.4668015158044603</v>
      </c>
      <c r="Z174" s="119">
        <f t="shared" si="370"/>
        <v>3.5426377989626823</v>
      </c>
      <c r="AA174" s="119">
        <f t="shared" si="370"/>
        <v>3.6201330008149912</v>
      </c>
      <c r="AB174" s="119">
        <f t="shared" si="370"/>
        <v>3.699323410207819</v>
      </c>
      <c r="AC174" s="119">
        <f t="shared" si="370"/>
        <v>3.7802461098061149</v>
      </c>
      <c r="AD174" s="138" t="e">
        <f t="shared" si="354"/>
        <v>#DIV/0!</v>
      </c>
      <c r="AE174" s="31">
        <v>0.08</v>
      </c>
      <c r="AF174" s="127" t="e">
        <f t="shared" si="355"/>
        <v>#DIV/0!</v>
      </c>
    </row>
    <row r="175" spans="2:32">
      <c r="B175" s="20" t="s">
        <v>260</v>
      </c>
      <c r="C175" s="25" t="e">
        <f t="shared" ref="C175:P175" si="371">C170/C68</f>
        <v>#DIV/0!</v>
      </c>
      <c r="D175" s="25" t="e">
        <f t="shared" si="371"/>
        <v>#DIV/0!</v>
      </c>
      <c r="E175" s="25" t="e">
        <f t="shared" si="371"/>
        <v>#DIV/0!</v>
      </c>
      <c r="F175" s="25" t="e">
        <f t="shared" si="371"/>
        <v>#DIV/0!</v>
      </c>
      <c r="G175" s="25">
        <f t="shared" si="371"/>
        <v>0</v>
      </c>
      <c r="H175" s="25">
        <f t="shared" si="371"/>
        <v>0</v>
      </c>
      <c r="I175" s="25">
        <f t="shared" si="371"/>
        <v>0</v>
      </c>
      <c r="J175" s="25">
        <f t="shared" si="371"/>
        <v>0</v>
      </c>
      <c r="K175" s="25">
        <f t="shared" si="371"/>
        <v>0</v>
      </c>
      <c r="L175" s="25">
        <f t="shared" si="371"/>
        <v>0</v>
      </c>
      <c r="M175" s="25">
        <f t="shared" si="371"/>
        <v>0</v>
      </c>
      <c r="N175" s="25">
        <f t="shared" si="371"/>
        <v>11.791055522961225</v>
      </c>
      <c r="O175" s="25">
        <f t="shared" si="371"/>
        <v>9.1330356383431148</v>
      </c>
      <c r="P175" s="25">
        <f t="shared" si="371"/>
        <v>6.2628569539925962</v>
      </c>
      <c r="Q175" s="25" t="e">
        <f t="shared" ref="Q175" si="372">Q170/Q68</f>
        <v>#DIV/0!</v>
      </c>
      <c r="R175" s="118" t="e">
        <f t="shared" si="351"/>
        <v>#DIV/0!</v>
      </c>
      <c r="S175" s="128"/>
      <c r="T175" s="119" t="e">
        <f t="shared" ref="T175:AC175" si="373">T170/T68</f>
        <v>#DIV/0!</v>
      </c>
      <c r="U175" s="119" t="e">
        <f t="shared" si="373"/>
        <v>#DIV/0!</v>
      </c>
      <c r="V175" s="119" t="e">
        <f t="shared" si="373"/>
        <v>#DIV/0!</v>
      </c>
      <c r="W175" s="119" t="e">
        <f t="shared" si="373"/>
        <v>#DIV/0!</v>
      </c>
      <c r="X175" s="119" t="e">
        <f t="shared" si="373"/>
        <v>#DIV/0!</v>
      </c>
      <c r="Y175" s="119" t="e">
        <f t="shared" si="373"/>
        <v>#DIV/0!</v>
      </c>
      <c r="Z175" s="119" t="e">
        <f t="shared" si="373"/>
        <v>#DIV/0!</v>
      </c>
      <c r="AA175" s="119" t="e">
        <f t="shared" si="373"/>
        <v>#DIV/0!</v>
      </c>
      <c r="AB175" s="119" t="e">
        <f t="shared" si="373"/>
        <v>#DIV/0!</v>
      </c>
      <c r="AC175" s="119" t="e">
        <f t="shared" si="373"/>
        <v>#DIV/0!</v>
      </c>
      <c r="AD175" s="138" t="e">
        <f t="shared" si="354"/>
        <v>#DIV/0!</v>
      </c>
      <c r="AE175" s="31">
        <v>0.08</v>
      </c>
      <c r="AF175" s="127" t="e">
        <f t="shared" si="355"/>
        <v>#DIV/0!</v>
      </c>
    </row>
    <row r="176" spans="2:32">
      <c r="B176" s="20" t="s">
        <v>281</v>
      </c>
      <c r="C176" s="25" t="e">
        <f>C172/C122</f>
        <v>#DIV/0!</v>
      </c>
      <c r="D176" s="25" t="e">
        <f>D172/D122</f>
        <v>#DIV/0!</v>
      </c>
      <c r="E176" s="25" t="e">
        <f>E172/E122</f>
        <v>#DIV/0!</v>
      </c>
      <c r="F176" s="25" t="e">
        <f>F172/F122</f>
        <v>#DIV/0!</v>
      </c>
      <c r="G176" s="182">
        <f t="shared" ref="G176:P176" si="374">G170/G62</f>
        <v>0</v>
      </c>
      <c r="H176" s="182">
        <f t="shared" si="374"/>
        <v>0</v>
      </c>
      <c r="I176" s="182">
        <f t="shared" si="374"/>
        <v>0</v>
      </c>
      <c r="J176" s="182">
        <f t="shared" si="374"/>
        <v>0</v>
      </c>
      <c r="K176" s="182">
        <f t="shared" si="374"/>
        <v>0</v>
      </c>
      <c r="L176" s="182">
        <f t="shared" si="374"/>
        <v>0</v>
      </c>
      <c r="M176" s="182">
        <f t="shared" si="374"/>
        <v>0</v>
      </c>
      <c r="N176" s="182">
        <f t="shared" si="374"/>
        <v>3.1377545951316446</v>
      </c>
      <c r="O176" s="182">
        <f t="shared" si="374"/>
        <v>2.4464770280584633</v>
      </c>
      <c r="P176" s="182">
        <f t="shared" si="374"/>
        <v>1.7983714066073817</v>
      </c>
      <c r="Q176" s="182">
        <f t="shared" ref="Q176" si="375">Q170/Q62</f>
        <v>5.8412865756667776</v>
      </c>
      <c r="R176" s="118" t="e">
        <f t="shared" ref="R176:R179" si="376">((P176/G176)^(1/($H$2-$H$1) ))-1</f>
        <v>#DIV/0!</v>
      </c>
      <c r="S176" s="128"/>
      <c r="T176" s="135">
        <f t="shared" ref="T176:AC176" si="377">T170/T62</f>
        <v>7.1628776634113853</v>
      </c>
      <c r="U176" s="135">
        <f t="shared" si="377"/>
        <v>7.3195656122985078</v>
      </c>
      <c r="V176" s="135">
        <f t="shared" si="377"/>
        <v>7.4796811100675393</v>
      </c>
      <c r="W176" s="135">
        <f t="shared" si="377"/>
        <v>7.6432991343502676</v>
      </c>
      <c r="X176" s="135">
        <f t="shared" si="377"/>
        <v>7.8104963029141796</v>
      </c>
      <c r="Y176" s="135">
        <f t="shared" si="377"/>
        <v>7.9813509095404269</v>
      </c>
      <c r="Z176" s="135">
        <f t="shared" si="377"/>
        <v>8.1559429606866249</v>
      </c>
      <c r="AA176" s="135">
        <f t="shared" si="377"/>
        <v>8.334354212951645</v>
      </c>
      <c r="AB176" s="135">
        <f t="shared" si="377"/>
        <v>8.5166682113599617</v>
      </c>
      <c r="AC176" s="135">
        <f t="shared" si="377"/>
        <v>8.7029703284834614</v>
      </c>
      <c r="AD176" s="138" t="e">
        <f t="shared" ref="AD176" si="378">((AC176/G176)^(1/($AC$3-$H$1) ))-1</f>
        <v>#DIV/0!</v>
      </c>
      <c r="AE176" s="31">
        <v>0.08</v>
      </c>
      <c r="AF176" s="127" t="e">
        <f t="shared" si="355"/>
        <v>#DIV/0!</v>
      </c>
    </row>
    <row r="177" spans="2:46">
      <c r="B177" s="20" t="s">
        <v>371</v>
      </c>
      <c r="C177" s="161" t="e">
        <f t="shared" ref="C177:P177" si="379">C54/C170</f>
        <v>#DIV/0!</v>
      </c>
      <c r="D177" s="161" t="e">
        <f t="shared" si="379"/>
        <v>#DIV/0!</v>
      </c>
      <c r="E177" s="161" t="e">
        <f t="shared" si="379"/>
        <v>#DIV/0!</v>
      </c>
      <c r="F177" s="161" t="e">
        <f t="shared" si="379"/>
        <v>#DIV/0!</v>
      </c>
      <c r="G177" s="161" t="e">
        <f t="shared" si="379"/>
        <v>#DIV/0!</v>
      </c>
      <c r="H177" s="161" t="e">
        <f t="shared" si="379"/>
        <v>#DIV/0!</v>
      </c>
      <c r="I177" s="161" t="e">
        <f t="shared" si="379"/>
        <v>#DIV/0!</v>
      </c>
      <c r="J177" s="161" t="e">
        <f t="shared" si="379"/>
        <v>#DIV/0!</v>
      </c>
      <c r="K177" s="161" t="e">
        <f t="shared" si="379"/>
        <v>#DIV/0!</v>
      </c>
      <c r="L177" s="161" t="e">
        <f t="shared" si="379"/>
        <v>#DIV/0!</v>
      </c>
      <c r="M177" s="161" t="e">
        <f t="shared" si="379"/>
        <v>#DIV/0!</v>
      </c>
      <c r="N177" s="161">
        <f t="shared" si="379"/>
        <v>4.9156264630513799E-2</v>
      </c>
      <c r="O177" s="161">
        <f t="shared" si="379"/>
        <v>6.8860120081469883E-2</v>
      </c>
      <c r="P177" s="161">
        <f t="shared" si="379"/>
        <v>9.1593707286438786E-2</v>
      </c>
      <c r="Q177" s="161">
        <f t="shared" ref="Q177" si="380">Q54/Q170</f>
        <v>0.10991244874372655</v>
      </c>
      <c r="R177" s="118" t="e">
        <f t="shared" si="376"/>
        <v>#DIV/0!</v>
      </c>
      <c r="S177" s="128"/>
      <c r="T177" s="161">
        <f t="shared" ref="T177:AC177" si="381">T54/T170</f>
        <v>8.9632985723732156E-2</v>
      </c>
      <c r="U177" s="161">
        <f t="shared" si="381"/>
        <v>8.7714236793866335E-2</v>
      </c>
      <c r="V177" s="161">
        <f t="shared" si="381"/>
        <v>8.5836562000113831E-2</v>
      </c>
      <c r="W177" s="161">
        <f t="shared" si="381"/>
        <v>8.3999082079622089E-2</v>
      </c>
      <c r="X177" s="161">
        <f t="shared" si="381"/>
        <v>8.2200936591679097E-2</v>
      </c>
      <c r="Y177" s="161">
        <f t="shared" si="381"/>
        <v>8.0441283514793002E-2</v>
      </c>
      <c r="Z177" s="161">
        <f t="shared" si="381"/>
        <v>7.8719298852396799E-2</v>
      </c>
      <c r="AA177" s="161">
        <f t="shared" si="381"/>
        <v>7.7034176246993824E-2</v>
      </c>
      <c r="AB177" s="161">
        <f t="shared" si="381"/>
        <v>7.538512660256276E-2</v>
      </c>
      <c r="AC177" s="161">
        <f t="shared" si="381"/>
        <v>7.3771377715046133E-2</v>
      </c>
      <c r="AD177" s="138" t="e">
        <f t="shared" ref="AD177:AD179" si="382">((AC177/G177)^(1/($AC$3-$H$1) ))-1</f>
        <v>#DIV/0!</v>
      </c>
      <c r="AE177" s="31">
        <v>0.08</v>
      </c>
      <c r="AF177" s="127" t="e">
        <f t="shared" si="355"/>
        <v>#DIV/0!</v>
      </c>
    </row>
    <row r="178" spans="2:46">
      <c r="B178" s="20" t="s">
        <v>320</v>
      </c>
      <c r="C178" s="152" t="e">
        <f t="shared" ref="C178:P178" si="383">C44/C170</f>
        <v>#DIV/0!</v>
      </c>
      <c r="D178" s="152" t="e">
        <f t="shared" si="383"/>
        <v>#DIV/0!</v>
      </c>
      <c r="E178" s="152" t="e">
        <f t="shared" si="383"/>
        <v>#DIV/0!</v>
      </c>
      <c r="F178" s="152" t="e">
        <f t="shared" si="383"/>
        <v>#DIV/0!</v>
      </c>
      <c r="G178" s="152" t="e">
        <f t="shared" si="383"/>
        <v>#DIV/0!</v>
      </c>
      <c r="H178" s="152" t="e">
        <f t="shared" si="383"/>
        <v>#DIV/0!</v>
      </c>
      <c r="I178" s="152" t="e">
        <f t="shared" si="383"/>
        <v>#DIV/0!</v>
      </c>
      <c r="J178" s="152" t="e">
        <f t="shared" si="383"/>
        <v>#DIV/0!</v>
      </c>
      <c r="K178" s="152" t="e">
        <f t="shared" si="383"/>
        <v>#DIV/0!</v>
      </c>
      <c r="L178" s="152" t="e">
        <f t="shared" si="383"/>
        <v>#DIV/0!</v>
      </c>
      <c r="M178" s="152" t="e">
        <f t="shared" si="383"/>
        <v>#DIV/0!</v>
      </c>
      <c r="N178" s="152">
        <f t="shared" si="383"/>
        <v>1.1142857142857142E-2</v>
      </c>
      <c r="O178" s="152">
        <f t="shared" si="383"/>
        <v>2.9411764705882353E-2</v>
      </c>
      <c r="P178" s="152">
        <f t="shared" si="383"/>
        <v>4.6666666666666669E-2</v>
      </c>
      <c r="Q178" s="152">
        <f t="shared" ref="Q178" si="384">Q44/Q170</f>
        <v>5.6000000000000001E-2</v>
      </c>
      <c r="R178" s="118" t="e">
        <f t="shared" si="376"/>
        <v>#DIV/0!</v>
      </c>
      <c r="S178" s="128"/>
      <c r="T178" s="152">
        <f t="shared" ref="T178:AC178" si="385">T44/T170</f>
        <v>4.4954128440366975E-2</v>
      </c>
      <c r="U178" s="152">
        <f t="shared" si="385"/>
        <v>4.3304435653564517E-2</v>
      </c>
      <c r="V178" s="152">
        <f t="shared" si="385"/>
        <v>4.171528205159885E-2</v>
      </c>
      <c r="W178" s="152">
        <f t="shared" si="385"/>
        <v>4.0184446013008059E-2</v>
      </c>
      <c r="X178" s="152">
        <f t="shared" si="385"/>
        <v>3.8709787443723359E-2</v>
      </c>
      <c r="Y178" s="152">
        <f t="shared" si="385"/>
        <v>3.7289244785238096E-2</v>
      </c>
      <c r="Z178" s="152">
        <f t="shared" si="385"/>
        <v>3.592083213256881E-2</v>
      </c>
      <c r="AA178" s="152">
        <f t="shared" si="385"/>
        <v>3.4602636457979126E-2</v>
      </c>
      <c r="AB178" s="152">
        <f t="shared" si="385"/>
        <v>3.3332814936585395E-2</v>
      </c>
      <c r="AC178" s="152">
        <f t="shared" si="385"/>
        <v>3.2109592370105203E-2</v>
      </c>
      <c r="AD178" s="138" t="e">
        <f t="shared" si="382"/>
        <v>#DIV/0!</v>
      </c>
      <c r="AE178" s="31">
        <v>0.08</v>
      </c>
      <c r="AF178" s="127" t="e">
        <f t="shared" si="355"/>
        <v>#DIV/0!</v>
      </c>
    </row>
    <row r="179" spans="2:46">
      <c r="B179" s="20" t="s">
        <v>446</v>
      </c>
      <c r="C179" s="181" t="e">
        <f t="shared" ref="C179:O179" si="386">(C172)/($L$2*100)</f>
        <v>#DIV/0!</v>
      </c>
      <c r="D179" s="181" t="e">
        <f t="shared" si="386"/>
        <v>#DIV/0!</v>
      </c>
      <c r="E179" s="181" t="e">
        <f t="shared" si="386"/>
        <v>#DIV/0!</v>
      </c>
      <c r="F179" s="181" t="e">
        <f t="shared" si="386"/>
        <v>#DIV/0!</v>
      </c>
      <c r="G179" s="181">
        <f t="shared" si="386"/>
        <v>0</v>
      </c>
      <c r="H179" s="181">
        <f t="shared" si="386"/>
        <v>0</v>
      </c>
      <c r="I179" s="181">
        <f t="shared" si="386"/>
        <v>0</v>
      </c>
      <c r="J179" s="181">
        <f t="shared" si="386"/>
        <v>0</v>
      </c>
      <c r="K179" s="181">
        <f t="shared" si="386"/>
        <v>0</v>
      </c>
      <c r="L179" s="181">
        <f t="shared" si="386"/>
        <v>0</v>
      </c>
      <c r="M179" s="181">
        <f t="shared" si="386"/>
        <v>0</v>
      </c>
      <c r="N179" s="181">
        <f t="shared" si="386"/>
        <v>1.6952739179779759</v>
      </c>
      <c r="O179" s="181">
        <f t="shared" si="386"/>
        <v>1.2101828058786404</v>
      </c>
      <c r="P179" s="181">
        <f>(P172)/($L$2*100)</f>
        <v>0.90981504955058767</v>
      </c>
      <c r="Q179" s="181">
        <f>(Q172)/($L$2*100)</f>
        <v>0.7581792079588231</v>
      </c>
      <c r="R179" s="118" t="e">
        <f t="shared" si="376"/>
        <v>#DIV/0!</v>
      </c>
      <c r="S179" s="128"/>
      <c r="T179" s="181">
        <f>(T172)/($L$2*100)</f>
        <v>0.92971725375950676</v>
      </c>
      <c r="U179" s="181">
        <f t="shared" ref="U179:AC179" si="387">(U172)/($L$2*100)</f>
        <v>0.95005481868549591</v>
      </c>
      <c r="V179" s="181">
        <f t="shared" si="387"/>
        <v>0.97083726784424129</v>
      </c>
      <c r="W179" s="181">
        <f t="shared" si="387"/>
        <v>0.99207433307833426</v>
      </c>
      <c r="X179" s="181">
        <f t="shared" si="387"/>
        <v>1.0137759591144229</v>
      </c>
      <c r="Y179" s="181">
        <f t="shared" si="387"/>
        <v>1.035952308220051</v>
      </c>
      <c r="Z179" s="181">
        <f t="shared" si="387"/>
        <v>1.0586137649623646</v>
      </c>
      <c r="AA179" s="181">
        <f t="shared" si="387"/>
        <v>1.0817709410709162</v>
      </c>
      <c r="AB179" s="181">
        <f t="shared" si="387"/>
        <v>1.1054346804068427</v>
      </c>
      <c r="AC179" s="181">
        <f t="shared" si="387"/>
        <v>1.1296160640407422</v>
      </c>
      <c r="AD179" s="138" t="e">
        <f t="shared" si="382"/>
        <v>#DIV/0!</v>
      </c>
      <c r="AE179" s="31">
        <v>0.08</v>
      </c>
      <c r="AF179" s="181" t="e">
        <f>(AF172)/($L$2*100)</f>
        <v>#DIV/0!</v>
      </c>
    </row>
    <row r="180" spans="2:46">
      <c r="B180" s="20" t="s">
        <v>447</v>
      </c>
      <c r="C180" s="152"/>
      <c r="D180" s="152"/>
      <c r="E180" s="152"/>
      <c r="F180" s="152"/>
      <c r="G180" s="152">
        <f t="shared" ref="G180:P180" si="388">G179-1</f>
        <v>-1</v>
      </c>
      <c r="H180" s="152">
        <f t="shared" si="388"/>
        <v>-1</v>
      </c>
      <c r="I180" s="152">
        <f t="shared" si="388"/>
        <v>-1</v>
      </c>
      <c r="J180" s="152">
        <f t="shared" si="388"/>
        <v>-1</v>
      </c>
      <c r="K180" s="152">
        <f t="shared" si="388"/>
        <v>-1</v>
      </c>
      <c r="L180" s="152">
        <f t="shared" si="388"/>
        <v>-1</v>
      </c>
      <c r="M180" s="152">
        <f t="shared" si="388"/>
        <v>-1</v>
      </c>
      <c r="N180" s="152">
        <f t="shared" si="388"/>
        <v>0.69527391797797589</v>
      </c>
      <c r="O180" s="152">
        <f t="shared" si="388"/>
        <v>0.21018280587864036</v>
      </c>
      <c r="P180" s="152">
        <f t="shared" si="388"/>
        <v>-9.0184950449412327E-2</v>
      </c>
      <c r="Q180" s="152">
        <f>Q179-1</f>
        <v>-0.2418207920411769</v>
      </c>
      <c r="R180" s="128"/>
      <c r="S180" s="128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5"/>
      <c r="AD180" s="137"/>
      <c r="AE180" s="20"/>
      <c r="AF180" s="127"/>
    </row>
    <row r="181" spans="2:46">
      <c r="B181" s="20"/>
      <c r="C181" s="129"/>
      <c r="D181" s="129"/>
      <c r="E181" s="129"/>
      <c r="F181" s="129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28"/>
      <c r="S181" s="128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7"/>
      <c r="AE181" s="20"/>
      <c r="AF181" s="20"/>
    </row>
    <row r="182" spans="2:46">
      <c r="B182" s="108" t="s">
        <v>301</v>
      </c>
      <c r="C182" s="20"/>
      <c r="D182" s="20"/>
      <c r="E182" s="20"/>
      <c r="F182" s="20"/>
      <c r="G182" s="20"/>
      <c r="H182" s="20"/>
      <c r="I182" s="20"/>
      <c r="J182" s="20"/>
      <c r="K182" s="207" t="s">
        <v>351</v>
      </c>
      <c r="L182" s="208"/>
      <c r="M182" s="20"/>
      <c r="N182" s="20"/>
      <c r="O182" s="20"/>
      <c r="P182" s="108" t="s">
        <v>430</v>
      </c>
      <c r="Q182" s="108" t="s">
        <v>429</v>
      </c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137"/>
      <c r="AE182" s="20"/>
      <c r="AF182" s="20"/>
    </row>
    <row r="183" spans="2:46">
      <c r="B183" s="20" t="s">
        <v>299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20" t="s">
        <v>352</v>
      </c>
      <c r="L183" s="22">
        <v>1</v>
      </c>
      <c r="M183" s="20"/>
      <c r="N183" s="20"/>
      <c r="O183" s="20"/>
      <c r="P183" s="128">
        <f>(Q170-S158)/Q170</f>
        <v>0.46930564355582682</v>
      </c>
      <c r="Q183" s="128">
        <f>(Q170-T158)/Q170</f>
        <v>0.56340419096725969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>
      <c r="B184" s="20" t="s">
        <v>349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172">
        <f>$L$183</f>
        <v>1</v>
      </c>
      <c r="L184" s="20"/>
      <c r="M184" s="128">
        <f>(P170-(K184*S149))/P170</f>
        <v>0.67396073173763027</v>
      </c>
      <c r="N184" s="20"/>
      <c r="O184" s="20"/>
      <c r="P184" s="128">
        <f>(Q170-S149)/Q170</f>
        <v>0.60875287808515632</v>
      </c>
      <c r="Q184" s="128">
        <f>(Q170-T149)/Q170</f>
        <v>0.94548195842170213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>
      <c r="B185" s="20" t="s">
        <v>350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$L$183</f>
        <v>1</v>
      </c>
      <c r="L185" s="20"/>
      <c r="M185" s="128">
        <f>(P170-(K185*S142))/P170</f>
        <v>0.4154015694911653</v>
      </c>
      <c r="N185" s="20"/>
      <c r="O185" s="20"/>
      <c r="P185" s="128">
        <f>(Q170-S142)/Q170</f>
        <v>0.29848188338939835</v>
      </c>
      <c r="Q185" s="128">
        <f>(Q170-T142)/Q170</f>
        <v>0.90224747555426044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>
      <c r="B186" s="20" t="s">
        <v>353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$L$183</f>
        <v>1</v>
      </c>
      <c r="L186" s="20"/>
      <c r="M186" s="128">
        <f>(P170-(K186*S155))/P170</f>
        <v>-0.22267301773094081</v>
      </c>
      <c r="N186" s="20"/>
      <c r="O186" s="20"/>
      <c r="P186" s="128">
        <f>(Q170-S155)/Q170</f>
        <v>-0.46720762127712895</v>
      </c>
      <c r="Q186" s="128">
        <f>(Q170-T155)/Q170</f>
        <v>0.79555303637941643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>
      <c r="B187" s="20" t="s">
        <v>399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$L$183</f>
        <v>1</v>
      </c>
      <c r="L187" s="20"/>
      <c r="M187" s="128">
        <f>(P170-(K187*S167))/P170</f>
        <v>1</v>
      </c>
      <c r="N187" s="20"/>
      <c r="O187" s="20"/>
      <c r="P187" s="128">
        <f>(Q170-S167)/Q170</f>
        <v>1</v>
      </c>
      <c r="Q187" s="128">
        <f>(Q170-T167)/Q170</f>
        <v>1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>
      <c r="B188" s="20" t="s">
        <v>300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5">
        <f>Q170/S141</f>
        <v>3.9810116374742699</v>
      </c>
      <c r="Q188" s="25">
        <f>Q170/T141</f>
        <v>28.569612927756527</v>
      </c>
      <c r="R188" s="20"/>
      <c r="S188" s="20"/>
      <c r="T188" s="115" t="s">
        <v>11</v>
      </c>
      <c r="U188" s="115" t="s">
        <v>12</v>
      </c>
      <c r="V188" s="115" t="s">
        <v>13</v>
      </c>
      <c r="W188" s="115" t="s">
        <v>14</v>
      </c>
      <c r="X188" s="115" t="s">
        <v>15</v>
      </c>
      <c r="Y188" s="115" t="s">
        <v>234</v>
      </c>
      <c r="Z188" s="115" t="s">
        <v>235</v>
      </c>
      <c r="AA188" s="115" t="s">
        <v>236</v>
      </c>
      <c r="AB188" s="115" t="s">
        <v>237</v>
      </c>
      <c r="AC188" s="115" t="s">
        <v>238</v>
      </c>
      <c r="AD188" s="115" t="s">
        <v>407</v>
      </c>
      <c r="AE188" s="115" t="s">
        <v>408</v>
      </c>
      <c r="AF188" s="115" t="s">
        <v>409</v>
      </c>
      <c r="AG188" s="115" t="s">
        <v>410</v>
      </c>
      <c r="AH188" s="115" t="s">
        <v>411</v>
      </c>
      <c r="AI188" s="115" t="s">
        <v>412</v>
      </c>
      <c r="AJ188" s="115" t="s">
        <v>413</v>
      </c>
      <c r="AK188" s="115" t="s">
        <v>414</v>
      </c>
      <c r="AL188" s="115" t="s">
        <v>415</v>
      </c>
      <c r="AM188" s="115" t="s">
        <v>416</v>
      </c>
      <c r="AN188" s="115" t="s">
        <v>417</v>
      </c>
      <c r="AO188" s="115" t="s">
        <v>418</v>
      </c>
      <c r="AP188" s="115" t="s">
        <v>419</v>
      </c>
      <c r="AQ188" s="115" t="s">
        <v>420</v>
      </c>
      <c r="AR188" s="115" t="s">
        <v>421</v>
      </c>
      <c r="AS188" s="115" t="s">
        <v>422</v>
      </c>
      <c r="AT188" s="115" t="s">
        <v>423</v>
      </c>
    </row>
    <row r="189" spans="2:46">
      <c r="B189" s="20" t="s">
        <v>371</v>
      </c>
      <c r="C189" s="20"/>
      <c r="D189" s="20"/>
      <c r="E189" s="20"/>
      <c r="F189" s="20"/>
      <c r="G189" s="189" t="s">
        <v>448</v>
      </c>
      <c r="H189" s="190"/>
      <c r="I189" s="189" t="s">
        <v>449</v>
      </c>
      <c r="J189" s="190"/>
      <c r="K189" s="20"/>
      <c r="L189" s="189" t="s">
        <v>450</v>
      </c>
      <c r="M189" s="190"/>
      <c r="N189" s="189" t="s">
        <v>451</v>
      </c>
      <c r="O189" s="190"/>
      <c r="P189" s="152">
        <f>1/P188</f>
        <v>0.25119243324655144</v>
      </c>
      <c r="Q189" s="152">
        <f>1/Q188</f>
        <v>3.5002224304847333E-2</v>
      </c>
      <c r="R189" s="20"/>
      <c r="S189" s="20"/>
      <c r="T189" s="129">
        <f>Q170-T190</f>
        <v>-25292.625724131412</v>
      </c>
      <c r="U189" s="185">
        <f>T189-U190</f>
        <v>-52112.3827344694</v>
      </c>
      <c r="V189" s="185">
        <f t="shared" ref="V189:X189" si="389">U189-V190</f>
        <v>-80273.127595324288</v>
      </c>
      <c r="W189" s="185">
        <f t="shared" si="389"/>
        <v>-109841.90969922191</v>
      </c>
      <c r="X189" s="185">
        <f t="shared" si="389"/>
        <v>-140889.13090831443</v>
      </c>
      <c r="Y189" s="185">
        <f>X189-Y190</f>
        <v>-173488.71317786156</v>
      </c>
      <c r="Z189" s="185">
        <f t="shared" ref="Z189:AC189" si="390">Y189-Z190</f>
        <v>-207718.27456088606</v>
      </c>
      <c r="AA189" s="185">
        <f t="shared" si="390"/>
        <v>-243659.31401306178</v>
      </c>
      <c r="AB189" s="185">
        <f t="shared" si="390"/>
        <v>-281397.40543784632</v>
      </c>
      <c r="AC189" s="185">
        <f t="shared" si="390"/>
        <v>-321022.40143387008</v>
      </c>
      <c r="AD189" s="185">
        <f t="shared" ref="AD189" si="391">AC189-AD190</f>
        <v>-362628.64722969499</v>
      </c>
      <c r="AE189" s="185">
        <f t="shared" ref="AE189" si="392">AD189-AE190</f>
        <v>-406315.20531531115</v>
      </c>
      <c r="AF189" s="185">
        <f t="shared" ref="AF189" si="393">AE189-AF190</f>
        <v>-452186.09130520816</v>
      </c>
      <c r="AG189" s="185">
        <f t="shared" ref="AG189" si="394">AF189-AG190</f>
        <v>-500350.5215946</v>
      </c>
      <c r="AH189" s="185">
        <f t="shared" ref="AH189" si="395">AG189-AH190</f>
        <v>-550923.17339846143</v>
      </c>
      <c r="AI189" s="185">
        <f t="shared" ref="AI189" si="396">AH189-AI190</f>
        <v>-604024.45779251598</v>
      </c>
      <c r="AJ189" s="185">
        <f t="shared" ref="AJ189" si="397">AI189-AJ190</f>
        <v>-659780.80640627327</v>
      </c>
      <c r="AK189" s="185">
        <f t="shared" ref="AK189" si="398">AJ189-AK190</f>
        <v>-718324.9724507184</v>
      </c>
      <c r="AL189" s="185">
        <f t="shared" ref="AL189" si="399">AK189-AL190</f>
        <v>-779796.34679738572</v>
      </c>
      <c r="AM189" s="185">
        <f t="shared" ref="AM189" si="400">AL189-AM190</f>
        <v>-844341.28986138641</v>
      </c>
      <c r="AN189" s="185">
        <f t="shared" ref="AN189" si="401">AM189-AN190</f>
        <v>-912113.48007858719</v>
      </c>
      <c r="AO189" s="185">
        <f t="shared" ref="AO189" si="402">AN189-AO190</f>
        <v>-983274.27980664803</v>
      </c>
      <c r="AP189" s="185">
        <f t="shared" ref="AP189" si="403">AO189-AP190</f>
        <v>-1057993.1195211119</v>
      </c>
      <c r="AQ189" s="185">
        <f t="shared" ref="AQ189" si="404">AP189-AQ190</f>
        <v>-1136447.9012212991</v>
      </c>
      <c r="AR189" s="185">
        <f t="shared" ref="AR189" si="405">AQ189-AR190</f>
        <v>-1218825.4220064955</v>
      </c>
      <c r="AS189" s="185">
        <f t="shared" ref="AS189" si="406">AR189-AS190</f>
        <v>-1305321.8188309518</v>
      </c>
      <c r="AT189" s="185">
        <f t="shared" ref="AT189" si="407">AS189-AT190</f>
        <v>-1396143.0354966309</v>
      </c>
    </row>
    <row r="190" spans="2:46">
      <c r="B190" s="20" t="s">
        <v>396</v>
      </c>
      <c r="C190" s="20"/>
      <c r="D190" s="20"/>
      <c r="E190" s="20"/>
      <c r="F190" s="20"/>
      <c r="G190" s="191">
        <v>0</v>
      </c>
      <c r="H190" s="190"/>
      <c r="I190" s="191">
        <v>0.05</v>
      </c>
      <c r="J190" s="190"/>
      <c r="K190" s="184">
        <f>P1</f>
        <v>0.05</v>
      </c>
      <c r="L190" s="191">
        <v>0.12</v>
      </c>
      <c r="M190" s="190"/>
      <c r="N190" s="191">
        <v>0.2</v>
      </c>
      <c r="O190" s="190"/>
      <c r="P190" s="181">
        <f>Q170/R140</f>
        <v>1.0276938746825975E-2</v>
      </c>
      <c r="Q190" s="181" t="e">
        <f>Q170/S140</f>
        <v>#DIV/0!</v>
      </c>
      <c r="R190" s="20"/>
      <c r="S190" s="20"/>
      <c r="T190" s="186">
        <f>R140*(1+$K$190)</f>
        <v>25542.625724131412</v>
      </c>
      <c r="U190" s="186">
        <f>T190*(1+$K$190)</f>
        <v>26819.757010337984</v>
      </c>
      <c r="V190" s="186">
        <f t="shared" ref="V190:AC190" si="408">U190*(1+$K$190)</f>
        <v>28160.744860854884</v>
      </c>
      <c r="W190" s="186">
        <f t="shared" si="408"/>
        <v>29568.782103897629</v>
      </c>
      <c r="X190" s="186">
        <f t="shared" si="408"/>
        <v>31047.221209092513</v>
      </c>
      <c r="Y190" s="186">
        <f t="shared" si="408"/>
        <v>32599.58226954714</v>
      </c>
      <c r="Z190" s="186">
        <f t="shared" si="408"/>
        <v>34229.561383024498</v>
      </c>
      <c r="AA190" s="186">
        <f t="shared" si="408"/>
        <v>35941.039452175726</v>
      </c>
      <c r="AB190" s="186">
        <f t="shared" si="408"/>
        <v>37738.091424784514</v>
      </c>
      <c r="AC190" s="186">
        <f t="shared" si="408"/>
        <v>39624.995996023739</v>
      </c>
      <c r="AD190" s="186">
        <f t="shared" ref="AD190" si="409">AC190*(1+$K$190)</f>
        <v>41606.245795824929</v>
      </c>
      <c r="AE190" s="186">
        <f t="shared" ref="AE190" si="410">AD190*(1+$K$190)</f>
        <v>43686.558085616176</v>
      </c>
      <c r="AF190" s="186">
        <f t="shared" ref="AF190" si="411">AE190*(1+$K$190)</f>
        <v>45870.885989896989</v>
      </c>
      <c r="AG190" s="186">
        <f t="shared" ref="AG190" si="412">AF190*(1+$K$190)</f>
        <v>48164.430289391843</v>
      </c>
      <c r="AH190" s="186">
        <f t="shared" ref="AH190" si="413">AG190*(1+$K$190)</f>
        <v>50572.651803861438</v>
      </c>
      <c r="AI190" s="186">
        <f t="shared" ref="AI190" si="414">AH190*(1+$K$190)</f>
        <v>53101.284394054514</v>
      </c>
      <c r="AJ190" s="186">
        <f t="shared" ref="AJ190" si="415">AI190*(1+$K$190)</f>
        <v>55756.34861375724</v>
      </c>
      <c r="AK190" s="186">
        <f t="shared" ref="AK190" si="416">AJ190*(1+$K$190)</f>
        <v>58544.166044445104</v>
      </c>
      <c r="AL190" s="186">
        <f t="shared" ref="AL190" si="417">AK190*(1+$K$190)</f>
        <v>61471.374346667362</v>
      </c>
      <c r="AM190" s="186">
        <f t="shared" ref="AM190" si="418">AL190*(1+$K$190)</f>
        <v>64544.943064000734</v>
      </c>
      <c r="AN190" s="186">
        <f t="shared" ref="AN190" si="419">AM190*(1+$K$190)</f>
        <v>67772.190217200769</v>
      </c>
      <c r="AO190" s="186">
        <f t="shared" ref="AO190" si="420">AN190*(1+$K$190)</f>
        <v>71160.799728060811</v>
      </c>
      <c r="AP190" s="186">
        <f t="shared" ref="AP190" si="421">AO190*(1+$K$190)</f>
        <v>74718.839714463858</v>
      </c>
      <c r="AQ190" s="186">
        <f t="shared" ref="AQ190" si="422">AP190*(1+$K$190)</f>
        <v>78454.781700187057</v>
      </c>
      <c r="AR190" s="186">
        <f t="shared" ref="AR190" si="423">AQ190*(1+$K$190)</f>
        <v>82377.520785196408</v>
      </c>
      <c r="AS190" s="186">
        <f t="shared" ref="AS190" si="424">AR190*(1+$K$190)</f>
        <v>86496.396824456227</v>
      </c>
      <c r="AT190" s="186">
        <f t="shared" ref="AT190" si="425">AS190*(1+$K$190)</f>
        <v>90821.216665679036</v>
      </c>
    </row>
    <row r="191" spans="2:46">
      <c r="B191" s="20" t="s">
        <v>395</v>
      </c>
      <c r="C191" s="20"/>
      <c r="D191" s="20"/>
      <c r="E191" s="20"/>
      <c r="F191" s="20"/>
      <c r="G191" s="191">
        <v>0</v>
      </c>
      <c r="H191" s="192">
        <f>Q172</f>
        <v>9.0981504955058767</v>
      </c>
      <c r="I191" s="191">
        <v>0.05</v>
      </c>
      <c r="J191" s="190"/>
      <c r="K191" s="184">
        <f>P1</f>
        <v>0.05</v>
      </c>
      <c r="L191" s="191">
        <v>0.12</v>
      </c>
      <c r="M191" s="190"/>
      <c r="N191" s="191">
        <v>0.2</v>
      </c>
      <c r="O191" s="190"/>
      <c r="P191" s="181">
        <f>Q170/P54</f>
        <v>9.0981504955058767</v>
      </c>
      <c r="Q191" s="181">
        <f>Q170/Q54</f>
        <v>9.0981504955058767</v>
      </c>
      <c r="R191" s="20"/>
      <c r="S191" s="20"/>
      <c r="T191" s="186">
        <f>Q54*(1+$K$191)</f>
        <v>28.852017795228218</v>
      </c>
      <c r="U191" s="186">
        <f>T191*(1+$K$191)</f>
        <v>30.294618684989629</v>
      </c>
      <c r="V191" s="186">
        <f t="shared" ref="V191:AC191" si="426">U191*(1+$K$191)</f>
        <v>31.809349619239111</v>
      </c>
      <c r="W191" s="186">
        <f t="shared" si="426"/>
        <v>33.399817100201069</v>
      </c>
      <c r="X191" s="186">
        <f t="shared" si="426"/>
        <v>35.069807955211125</v>
      </c>
      <c r="Y191" s="186">
        <f t="shared" si="426"/>
        <v>36.823298352971683</v>
      </c>
      <c r="Z191" s="186">
        <f t="shared" si="426"/>
        <v>38.664463270620267</v>
      </c>
      <c r="AA191" s="186">
        <f t="shared" si="426"/>
        <v>40.597686434151285</v>
      </c>
      <c r="AB191" s="186">
        <f t="shared" si="426"/>
        <v>42.627570755858848</v>
      </c>
      <c r="AC191" s="186">
        <f t="shared" si="426"/>
        <v>44.758949293651796</v>
      </c>
      <c r="AD191" s="186">
        <f t="shared" ref="AD191" si="427">AC191*(1+$K$191)</f>
        <v>46.996896758334387</v>
      </c>
      <c r="AE191" s="186">
        <f t="shared" ref="AE191" si="428">AD191*(1+$K$191)</f>
        <v>49.346741596251107</v>
      </c>
      <c r="AF191" s="186">
        <f t="shared" ref="AF191" si="429">AE191*(1+$K$191)</f>
        <v>51.814078676063666</v>
      </c>
      <c r="AG191" s="186">
        <f t="shared" ref="AG191" si="430">AF191*(1+$K$191)</f>
        <v>54.404782609866849</v>
      </c>
      <c r="AH191" s="186">
        <f t="shared" ref="AH191" si="431">AG191*(1+$K$191)</f>
        <v>57.125021740360197</v>
      </c>
      <c r="AI191" s="186">
        <f t="shared" ref="AI191" si="432">AH191*(1+$K$191)</f>
        <v>59.981272827378206</v>
      </c>
      <c r="AJ191" s="186">
        <f t="shared" ref="AJ191" si="433">AI191*(1+$K$191)</f>
        <v>62.980336468747119</v>
      </c>
      <c r="AK191" s="186">
        <f t="shared" ref="AK191" si="434">AJ191*(1+$K$191)</f>
        <v>66.129353292184476</v>
      </c>
      <c r="AL191" s="186">
        <f t="shared" ref="AL191" si="435">AK191*(1+$K$191)</f>
        <v>69.435820956793705</v>
      </c>
      <c r="AM191" s="186">
        <f t="shared" ref="AM191" si="436">AL191*(1+$K$191)</f>
        <v>72.907612004633393</v>
      </c>
      <c r="AN191" s="186">
        <f t="shared" ref="AN191" si="437">AM191*(1+$K$191)</f>
        <v>76.552992604865068</v>
      </c>
      <c r="AO191" s="186">
        <f t="shared" ref="AO191" si="438">AN191*(1+$K$191)</f>
        <v>80.380642235108326</v>
      </c>
      <c r="AP191" s="186">
        <f t="shared" ref="AP191" si="439">AO191*(1+$K$191)</f>
        <v>84.399674346863748</v>
      </c>
      <c r="AQ191" s="186">
        <f t="shared" ref="AQ191" si="440">AP191*(1+$K$191)</f>
        <v>88.619658064206945</v>
      </c>
      <c r="AR191" s="186">
        <f t="shared" ref="AR191" si="441">AQ191*(1+$K$191)</f>
        <v>93.050640967417294</v>
      </c>
      <c r="AS191" s="186">
        <f t="shared" ref="AS191" si="442">AR191*(1+$K$191)</f>
        <v>97.703173015788167</v>
      </c>
      <c r="AT191" s="186">
        <f t="shared" ref="AT191" si="443">AS191*(1+$K$191)</f>
        <v>102.58833166657757</v>
      </c>
    </row>
    <row r="192" spans="2:46"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129">
        <f>Q170-T191</f>
        <v>221.14798220477178</v>
      </c>
      <c r="U192" s="185">
        <f>T192-U191</f>
        <v>190.85336351978214</v>
      </c>
      <c r="V192" s="185">
        <f t="shared" ref="V192:AA192" si="444">U192-V191</f>
        <v>159.04401390054304</v>
      </c>
      <c r="W192" s="185">
        <f t="shared" si="444"/>
        <v>125.64419680034197</v>
      </c>
      <c r="X192" s="185">
        <f t="shared" si="444"/>
        <v>90.574388845130841</v>
      </c>
      <c r="Y192" s="185">
        <f t="shared" si="444"/>
        <v>53.751090492159157</v>
      </c>
      <c r="Z192" s="185">
        <f t="shared" si="444"/>
        <v>15.08662722153889</v>
      </c>
      <c r="AA192" s="185">
        <f t="shared" si="444"/>
        <v>-25.511059212612395</v>
      </c>
      <c r="AB192" s="185">
        <f>AA192-AB191</f>
        <v>-68.138629968471236</v>
      </c>
      <c r="AC192" s="185">
        <f t="shared" ref="AC192" si="445">AB192-AC191</f>
        <v>-112.89757926212303</v>
      </c>
      <c r="AD192" s="185">
        <f t="shared" ref="AD192" si="446">AC192-AD191</f>
        <v>-159.89447602045743</v>
      </c>
      <c r="AE192" s="185">
        <f t="shared" ref="AE192" si="447">AD192-AE191</f>
        <v>-209.24121761670852</v>
      </c>
      <c r="AF192" s="185">
        <f t="shared" ref="AF192" si="448">AE192-AF191</f>
        <v>-261.0552962927722</v>
      </c>
      <c r="AG192" s="185">
        <f t="shared" ref="AG192" si="449">AF192-AG191</f>
        <v>-315.46007890263905</v>
      </c>
      <c r="AH192" s="185">
        <f t="shared" ref="AH192" si="450">AG192-AH191</f>
        <v>-372.58510064299924</v>
      </c>
      <c r="AI192" s="185">
        <f t="shared" ref="AI192" si="451">AH192-AI191</f>
        <v>-432.56637347037747</v>
      </c>
      <c r="AJ192" s="185">
        <f t="shared" ref="AJ192" si="452">AI192-AJ191</f>
        <v>-495.54670993912458</v>
      </c>
      <c r="AK192" s="185">
        <f t="shared" ref="AK192" si="453">AJ192-AK191</f>
        <v>-561.67606323130906</v>
      </c>
      <c r="AL192" s="185">
        <f t="shared" ref="AL192" si="454">AK192-AL191</f>
        <v>-631.11188418810275</v>
      </c>
      <c r="AM192" s="185">
        <f t="shared" ref="AM192" si="455">AL192-AM191</f>
        <v>-704.01949619273614</v>
      </c>
      <c r="AN192" s="185">
        <f t="shared" ref="AN192" si="456">AM192-AN191</f>
        <v>-780.57248879760118</v>
      </c>
      <c r="AO192" s="185">
        <f t="shared" ref="AO192" si="457">AN192-AO191</f>
        <v>-860.95313103270951</v>
      </c>
      <c r="AP192" s="185">
        <f t="shared" ref="AP192" si="458">AO192-AP191</f>
        <v>-945.35280537957328</v>
      </c>
      <c r="AQ192" s="185">
        <f t="shared" ref="AQ192" si="459">AP192-AQ191</f>
        <v>-1033.9724634437803</v>
      </c>
      <c r="AR192" s="185">
        <f t="shared" ref="AR192" si="460">AQ192-AR191</f>
        <v>-1127.0231044111977</v>
      </c>
      <c r="AS192" s="185">
        <f t="shared" ref="AS192" si="461">AR192-AS191</f>
        <v>-1224.7262774269859</v>
      </c>
      <c r="AT192" s="185">
        <f t="shared" ref="AT192" si="462">AS192-AT191</f>
        <v>-1327.3146090935634</v>
      </c>
    </row>
    <row r="193" spans="2:32">
      <c r="B193" s="108" t="s">
        <v>302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 spans="2:32">
      <c r="B194" s="20" t="s">
        <v>305</v>
      </c>
      <c r="C194" s="25" t="e">
        <f t="shared" ref="C194:P194" si="463">C10/C7</f>
        <v>#DIV/0!</v>
      </c>
      <c r="D194" s="25" t="e">
        <f t="shared" si="463"/>
        <v>#DIV/0!</v>
      </c>
      <c r="E194" s="25" t="e">
        <f t="shared" si="463"/>
        <v>#DIV/0!</v>
      </c>
      <c r="F194" s="25" t="e">
        <f t="shared" si="463"/>
        <v>#DIV/0!</v>
      </c>
      <c r="G194" s="25">
        <f t="shared" si="463"/>
        <v>0.26028668660410437</v>
      </c>
      <c r="H194" s="25">
        <f t="shared" si="463"/>
        <v>0.21805478948336091</v>
      </c>
      <c r="I194" s="25">
        <f t="shared" si="463"/>
        <v>0.16744555153866503</v>
      </c>
      <c r="J194" s="25">
        <f t="shared" si="463"/>
        <v>0.13007744586691955</v>
      </c>
      <c r="K194" s="25">
        <f t="shared" si="463"/>
        <v>9.2862776025236599E-2</v>
      </c>
      <c r="L194" s="25">
        <f t="shared" si="463"/>
        <v>0.1053560918187169</v>
      </c>
      <c r="M194" s="25">
        <f t="shared" si="463"/>
        <v>7.6488706365503076E-2</v>
      </c>
      <c r="N194" s="25">
        <f t="shared" si="463"/>
        <v>4.1003782193672331E-2</v>
      </c>
      <c r="O194" s="25">
        <f t="shared" si="463"/>
        <v>3.2951820631349965E-2</v>
      </c>
      <c r="P194" s="25">
        <f t="shared" si="463"/>
        <v>2.2240102329227785E-2</v>
      </c>
      <c r="Q194" s="25">
        <f t="shared" ref="Q194" si="464">Q10/Q7</f>
        <v>2.2240102329227785E-2</v>
      </c>
      <c r="R194" s="118">
        <f t="shared" ref="R194:R196" si="465">((P194/G194)^(1/($H$2-$H$1) ))-1</f>
        <v>-0.23915128053385626</v>
      </c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32">
      <c r="B195" s="20" t="s">
        <v>306</v>
      </c>
      <c r="C195" s="112" t="e">
        <f>C10/C12</f>
        <v>#DIV/0!</v>
      </c>
      <c r="D195" s="112" t="e">
        <f>D10/D12</f>
        <v>#DIV/0!</v>
      </c>
      <c r="E195" s="112" t="e">
        <f>E10/E12</f>
        <v>#DIV/0!</v>
      </c>
      <c r="F195" s="112" t="e">
        <f>F10/F12</f>
        <v>#DIV/0!</v>
      </c>
      <c r="G195" s="112">
        <f>G10/G12</f>
        <v>2.2800361336946704</v>
      </c>
      <c r="H195" s="112">
        <f t="shared" ref="H195:P195" si="466">H10/H12</f>
        <v>0.93680884676145337</v>
      </c>
      <c r="I195" s="112">
        <f t="shared" si="466"/>
        <v>0.66329025497729655</v>
      </c>
      <c r="J195" s="112">
        <f t="shared" si="466"/>
        <v>0.4415236051502146</v>
      </c>
      <c r="K195" s="112">
        <f t="shared" si="466"/>
        <v>8.9881207957635614E-2</v>
      </c>
      <c r="L195" s="112">
        <f t="shared" si="466"/>
        <v>7.2337846029500913E-2</v>
      </c>
      <c r="M195" s="112">
        <f t="shared" si="466"/>
        <v>5.3383150783089361E-2</v>
      </c>
      <c r="N195" s="112">
        <f t="shared" si="466"/>
        <v>2.9821420774571016E-2</v>
      </c>
      <c r="O195" s="112">
        <f t="shared" si="466"/>
        <v>2.2902993024294698E-2</v>
      </c>
      <c r="P195" s="112">
        <f t="shared" si="466"/>
        <v>1.7321164599267306E-2</v>
      </c>
      <c r="Q195" s="112">
        <f t="shared" ref="Q195" si="467">Q10/Q12</f>
        <v>1.7321164599267306E-2</v>
      </c>
      <c r="R195" s="118">
        <f t="shared" si="465"/>
        <v>-0.41854643193602636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32">
      <c r="B196" s="20" t="s">
        <v>307</v>
      </c>
      <c r="C196" s="25" t="e">
        <f>C10/(C12+C13)</f>
        <v>#DIV/0!</v>
      </c>
      <c r="D196" s="25" t="e">
        <f>D10/(D12+D13)</f>
        <v>#DIV/0!</v>
      </c>
      <c r="E196" s="25" t="e">
        <f>E10/(E12+E13)</f>
        <v>#DIV/0!</v>
      </c>
      <c r="F196" s="25" t="e">
        <f>F10/(F12+F13)</f>
        <v>#DIV/0!</v>
      </c>
      <c r="G196" s="25">
        <f>G10/(G12+G13)</f>
        <v>0.20654664484451718</v>
      </c>
      <c r="H196" s="25">
        <f t="shared" ref="H196:P196" si="468">H10/(H12+H13)</f>
        <v>0.15508336057535141</v>
      </c>
      <c r="I196" s="25">
        <f t="shared" si="468"/>
        <v>0.14114761409246321</v>
      </c>
      <c r="J196" s="25">
        <f t="shared" si="468"/>
        <v>0.16387893269613699</v>
      </c>
      <c r="K196" s="25">
        <f t="shared" si="468"/>
        <v>8.3076109004321372E-2</v>
      </c>
      <c r="L196" s="25">
        <f t="shared" si="468"/>
        <v>6.8848360524375776E-2</v>
      </c>
      <c r="M196" s="25">
        <f t="shared" si="468"/>
        <v>5.1687397789781458E-2</v>
      </c>
      <c r="N196" s="25">
        <f t="shared" si="468"/>
        <v>2.9145063901512728E-2</v>
      </c>
      <c r="O196" s="25">
        <f t="shared" si="468"/>
        <v>2.2149111875446555E-2</v>
      </c>
      <c r="P196" s="25">
        <f t="shared" si="468"/>
        <v>1.6679560575584094E-2</v>
      </c>
      <c r="Q196" s="25">
        <f t="shared" ref="Q196" si="469">Q10/(Q12+Q13)</f>
        <v>1.7321164599267306E-2</v>
      </c>
      <c r="R196" s="118">
        <f t="shared" si="465"/>
        <v>-0.24390903029724009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32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32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32">
      <c r="B199" s="20"/>
      <c r="C199" s="174" t="s">
        <v>377</v>
      </c>
      <c r="D199" s="175"/>
      <c r="E199" s="175"/>
      <c r="F199" s="175"/>
      <c r="G199" s="175"/>
      <c r="H199" s="175"/>
      <c r="I199" s="175"/>
      <c r="J199" s="175"/>
      <c r="K199" s="20"/>
      <c r="L199" s="204" t="s">
        <v>337</v>
      </c>
      <c r="M199" s="205"/>
      <c r="N199" s="206"/>
      <c r="O199" s="23" t="s">
        <v>340</v>
      </c>
      <c r="P199" s="20"/>
      <c r="Q199" s="137"/>
      <c r="R199" s="204" t="s">
        <v>338</v>
      </c>
      <c r="S199" s="205"/>
      <c r="T199" s="206"/>
      <c r="U199" s="23" t="s">
        <v>340</v>
      </c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32">
      <c r="B200" s="20"/>
      <c r="C200" s="166" t="s">
        <v>339</v>
      </c>
      <c r="D200" s="166" t="s">
        <v>0</v>
      </c>
      <c r="E200" s="166" t="s">
        <v>378</v>
      </c>
      <c r="F200" s="166" t="s">
        <v>379</v>
      </c>
      <c r="G200" s="166" t="s">
        <v>380</v>
      </c>
      <c r="H200" s="166" t="s">
        <v>381</v>
      </c>
      <c r="I200" s="166" t="s">
        <v>382</v>
      </c>
      <c r="J200" s="166" t="s">
        <v>383</v>
      </c>
      <c r="K200" s="20"/>
      <c r="L200" s="166" t="s">
        <v>339</v>
      </c>
      <c r="M200" s="166"/>
      <c r="N200" s="166" t="s">
        <v>0</v>
      </c>
      <c r="O200" s="166" t="s">
        <v>372</v>
      </c>
      <c r="P200" s="20"/>
      <c r="Q200" s="20"/>
      <c r="R200" s="166" t="s">
        <v>339</v>
      </c>
      <c r="S200" s="166"/>
      <c r="T200" s="166" t="s">
        <v>0</v>
      </c>
      <c r="U200" s="166" t="s">
        <v>372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32">
      <c r="B201" s="20"/>
      <c r="C201" s="167" t="s">
        <v>341</v>
      </c>
      <c r="D201" s="21">
        <v>1</v>
      </c>
      <c r="E201" s="176" t="s">
        <v>384</v>
      </c>
      <c r="F201" s="22">
        <v>1</v>
      </c>
      <c r="G201" s="22">
        <v>1</v>
      </c>
      <c r="H201" s="167">
        <f>F201/G201</f>
        <v>1</v>
      </c>
      <c r="I201" s="167">
        <f>H201*D202</f>
        <v>1</v>
      </c>
      <c r="J201" s="177">
        <f>I201+D202</f>
        <v>2</v>
      </c>
      <c r="K201" s="20"/>
      <c r="L201" s="167" t="s">
        <v>341</v>
      </c>
      <c r="M201" s="167"/>
      <c r="N201" s="21">
        <v>1</v>
      </c>
      <c r="O201" s="173">
        <f>N201</f>
        <v>1</v>
      </c>
      <c r="P201" s="20"/>
      <c r="Q201" s="20"/>
      <c r="R201" s="167" t="s">
        <v>341</v>
      </c>
      <c r="S201" s="167"/>
      <c r="T201" s="21">
        <v>1</v>
      </c>
      <c r="U201" s="173">
        <f>T201</f>
        <v>1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32">
      <c r="B202" s="20"/>
      <c r="C202" s="167" t="s">
        <v>342</v>
      </c>
      <c r="D202" s="21">
        <v>1</v>
      </c>
      <c r="E202" s="176" t="s">
        <v>385</v>
      </c>
      <c r="F202" s="22">
        <v>0</v>
      </c>
      <c r="G202" s="22">
        <v>1</v>
      </c>
      <c r="H202" s="167">
        <f>F202/G202</f>
        <v>0</v>
      </c>
      <c r="I202" s="167">
        <f>H202*J201</f>
        <v>0</v>
      </c>
      <c r="J202" s="167">
        <f>I202+J201</f>
        <v>2</v>
      </c>
      <c r="K202" s="20"/>
      <c r="L202" s="167" t="s">
        <v>342</v>
      </c>
      <c r="M202" s="167"/>
      <c r="N202" s="21">
        <v>1</v>
      </c>
      <c r="O202" s="173">
        <f>N202</f>
        <v>1</v>
      </c>
      <c r="P202" s="20"/>
      <c r="Q202" s="20"/>
      <c r="R202" s="167" t="s">
        <v>342</v>
      </c>
      <c r="S202" s="167"/>
      <c r="T202" s="21">
        <v>1</v>
      </c>
      <c r="U202" s="173">
        <f>T202</f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32">
      <c r="B203" s="20"/>
      <c r="C203" s="167" t="s">
        <v>344</v>
      </c>
      <c r="D203" s="168">
        <f>D201*D202</f>
        <v>1</v>
      </c>
      <c r="E203" s="176" t="s">
        <v>397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I203+J202</f>
        <v>2</v>
      </c>
      <c r="K203" s="20"/>
      <c r="L203" s="167" t="s">
        <v>343</v>
      </c>
      <c r="M203" s="167"/>
      <c r="N203" s="168">
        <f>N201*N202</f>
        <v>1</v>
      </c>
      <c r="O203" s="173">
        <f>N203</f>
        <v>1</v>
      </c>
      <c r="P203" s="20"/>
      <c r="Q203" s="20"/>
      <c r="R203" s="167" t="s">
        <v>344</v>
      </c>
      <c r="S203" s="167"/>
      <c r="T203" s="168">
        <f>T201*T202</f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32">
      <c r="B204" s="20"/>
      <c r="C204" s="167"/>
      <c r="D204" s="168"/>
      <c r="E204" s="176" t="s">
        <v>386</v>
      </c>
      <c r="F204" s="22">
        <v>10</v>
      </c>
      <c r="G204" s="22">
        <v>1</v>
      </c>
      <c r="H204" s="167">
        <f>F204/G204</f>
        <v>10</v>
      </c>
      <c r="I204" s="167">
        <f>H204*J203</f>
        <v>20</v>
      </c>
      <c r="J204" s="167">
        <f>I204</f>
        <v>20</v>
      </c>
      <c r="K204" s="20"/>
      <c r="L204" s="167" t="s">
        <v>345</v>
      </c>
      <c r="M204" s="167"/>
      <c r="N204" s="21">
        <v>1</v>
      </c>
      <c r="O204" s="21">
        <v>1</v>
      </c>
      <c r="P204" s="20"/>
      <c r="Q204" s="20"/>
      <c r="R204" s="167" t="s">
        <v>345</v>
      </c>
      <c r="S204" s="167"/>
      <c r="T204" s="21">
        <v>1</v>
      </c>
      <c r="U204" s="21">
        <v>1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32">
      <c r="B205" s="20"/>
      <c r="C205" s="167" t="s">
        <v>345</v>
      </c>
      <c r="D205" s="21">
        <v>1</v>
      </c>
      <c r="E205" s="176"/>
      <c r="F205" s="167"/>
      <c r="G205" s="167"/>
      <c r="H205" s="169" t="s">
        <v>387</v>
      </c>
      <c r="I205" s="167"/>
      <c r="J205" s="167">
        <f>J204</f>
        <v>20</v>
      </c>
      <c r="K205" s="20"/>
      <c r="L205" s="167" t="s">
        <v>346</v>
      </c>
      <c r="M205" s="167"/>
      <c r="N205" s="168">
        <f>N204*N202</f>
        <v>1</v>
      </c>
      <c r="O205" s="168">
        <f>O204*O202</f>
        <v>1</v>
      </c>
      <c r="P205" s="20"/>
      <c r="Q205" s="20"/>
      <c r="R205" s="167" t="s">
        <v>342</v>
      </c>
      <c r="S205" s="167"/>
      <c r="T205" s="21">
        <v>1</v>
      </c>
      <c r="U205" s="127">
        <f>T205</f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32">
      <c r="B206" s="20"/>
      <c r="C206" s="167" t="s">
        <v>342</v>
      </c>
      <c r="D206" s="21">
        <v>1</v>
      </c>
      <c r="E206" s="176" t="s">
        <v>386</v>
      </c>
      <c r="F206" s="22">
        <v>10</v>
      </c>
      <c r="G206" s="22">
        <v>2</v>
      </c>
      <c r="H206" s="167">
        <f>F206/G206</f>
        <v>5</v>
      </c>
      <c r="I206" s="177">
        <f>H206*D202</f>
        <v>5</v>
      </c>
      <c r="J206" s="177">
        <f>I206</f>
        <v>5</v>
      </c>
      <c r="K206" s="20"/>
      <c r="L206" s="167"/>
      <c r="M206" s="167"/>
      <c r="N206" s="168"/>
      <c r="O206" s="168"/>
      <c r="P206" s="20"/>
      <c r="Q206" s="20"/>
      <c r="R206" s="167" t="s">
        <v>344</v>
      </c>
      <c r="S206" s="167"/>
      <c r="T206" s="168">
        <f>T205*T204</f>
        <v>1</v>
      </c>
      <c r="U206" s="168">
        <f>U205*U204</f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32">
      <c r="B207" s="20"/>
      <c r="C207" s="167" t="s">
        <v>344</v>
      </c>
      <c r="D207" s="168">
        <f>D206*D205</f>
        <v>1</v>
      </c>
      <c r="E207" s="167"/>
      <c r="F207" s="167"/>
      <c r="G207" s="167"/>
      <c r="H207" s="169" t="s">
        <v>387</v>
      </c>
      <c r="I207" s="167"/>
      <c r="J207" s="167">
        <f>J206</f>
        <v>5</v>
      </c>
      <c r="K207" s="20"/>
      <c r="L207" s="167"/>
      <c r="M207" s="167"/>
      <c r="N207" s="168"/>
      <c r="O207" s="168"/>
      <c r="P207" s="20"/>
      <c r="Q207" s="20"/>
      <c r="R207" s="167"/>
      <c r="S207" s="167"/>
      <c r="T207" s="168"/>
      <c r="U207" s="168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32">
      <c r="B208" s="20"/>
      <c r="C208" s="167"/>
      <c r="D208" s="168"/>
      <c r="E208" s="176" t="s">
        <v>386</v>
      </c>
      <c r="F208" s="22">
        <v>10</v>
      </c>
      <c r="G208" s="22">
        <v>2</v>
      </c>
      <c r="H208" s="167">
        <f>F208/G208</f>
        <v>5</v>
      </c>
      <c r="I208" s="167">
        <f>H208*J207</f>
        <v>25</v>
      </c>
      <c r="J208" s="167">
        <f>I208</f>
        <v>25</v>
      </c>
      <c r="K208" s="20"/>
      <c r="L208" s="169" t="s">
        <v>347</v>
      </c>
      <c r="M208" s="169"/>
      <c r="N208" s="170">
        <f>N205/N203</f>
        <v>1</v>
      </c>
      <c r="O208" s="170">
        <f>O205/O203</f>
        <v>1</v>
      </c>
      <c r="P208" s="20"/>
      <c r="Q208" s="20"/>
      <c r="R208" s="169" t="s">
        <v>347</v>
      </c>
      <c r="S208" s="169"/>
      <c r="T208" s="170">
        <f>T206/T203</f>
        <v>1</v>
      </c>
      <c r="U208" s="170">
        <f>U206/U203</f>
        <v>1</v>
      </c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>
      <c r="B209" s="20"/>
      <c r="C209" s="169" t="s">
        <v>347</v>
      </c>
      <c r="D209" s="170">
        <f>D207/D203</f>
        <v>1</v>
      </c>
      <c r="E209" s="176"/>
      <c r="F209" s="167"/>
      <c r="G209" s="167"/>
      <c r="H209" s="169" t="s">
        <v>387</v>
      </c>
      <c r="I209" s="167"/>
      <c r="J209" s="167">
        <f>J208</f>
        <v>25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>
      <c r="B211" s="20"/>
      <c r="C211" s="20"/>
      <c r="D211" s="137"/>
      <c r="E211" s="178"/>
      <c r="F211" s="178"/>
      <c r="G211" s="179"/>
      <c r="H211" s="20"/>
      <c r="I211" s="137"/>
      <c r="J211" s="178"/>
      <c r="K211" s="179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ht="14.25">
      <c r="B212" s="20"/>
      <c r="C212" s="20"/>
      <c r="D212" s="197" t="s">
        <v>27</v>
      </c>
      <c r="E212" s="198"/>
      <c r="F212" s="198"/>
      <c r="G212" s="199"/>
      <c r="H212" s="20"/>
      <c r="I212" s="197" t="s">
        <v>392</v>
      </c>
      <c r="J212" s="198"/>
      <c r="K212" s="199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>
      <c r="B213" s="20"/>
      <c r="C213" s="20"/>
      <c r="D213" s="20" t="s">
        <v>28</v>
      </c>
      <c r="E213" s="127"/>
      <c r="F213" s="127"/>
      <c r="G213" s="21">
        <f>D203</f>
        <v>1</v>
      </c>
      <c r="H213" s="20"/>
      <c r="I213" s="20" t="s">
        <v>28</v>
      </c>
      <c r="J213" s="127"/>
      <c r="K213" s="21">
        <f>G213</f>
        <v>1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>
      <c r="B214" s="20"/>
      <c r="C214" s="20"/>
      <c r="D214" s="20" t="s">
        <v>29</v>
      </c>
      <c r="E214" s="127"/>
      <c r="F214" s="127"/>
      <c r="G214" s="21">
        <f>D207</f>
        <v>1</v>
      </c>
      <c r="H214" s="20"/>
      <c r="I214" s="20" t="s">
        <v>29</v>
      </c>
      <c r="J214" s="20"/>
      <c r="K214" s="21">
        <f>G214</f>
        <v>1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>
      <c r="B215" s="20"/>
      <c r="C215" s="20"/>
      <c r="D215" s="20" t="s">
        <v>30</v>
      </c>
      <c r="E215" s="20"/>
      <c r="F215" s="20"/>
      <c r="G215" s="22">
        <v>1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>
      <c r="B216" s="20"/>
      <c r="C216" s="20"/>
      <c r="D216" s="23" t="s">
        <v>31</v>
      </c>
      <c r="E216" s="3"/>
      <c r="F216" s="3"/>
      <c r="G216" s="3">
        <f>((G214/G213)^(1/G215))-1</f>
        <v>0</v>
      </c>
      <c r="H216" s="20"/>
      <c r="I216" s="23" t="s">
        <v>393</v>
      </c>
      <c r="J216" s="23"/>
      <c r="K216" s="23">
        <f>(K214-K213)/K213</f>
        <v>0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>
      <c r="B217" s="20"/>
      <c r="C217" s="20"/>
      <c r="D217" s="23" t="s">
        <v>32</v>
      </c>
      <c r="E217" s="165"/>
      <c r="F217" s="165"/>
      <c r="G217" s="24">
        <f>G215*12</f>
        <v>12</v>
      </c>
      <c r="H217" s="20"/>
      <c r="I217" s="23" t="s">
        <v>394</v>
      </c>
      <c r="J217" s="23"/>
      <c r="K217" s="23">
        <f>K214/K213</f>
        <v>1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>
      <c r="B218" s="20"/>
      <c r="C218" s="20"/>
      <c r="D218" s="20" t="s">
        <v>30</v>
      </c>
      <c r="E218" s="25"/>
      <c r="F218" s="25"/>
      <c r="G218" s="25">
        <f>G217/12</f>
        <v>1</v>
      </c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>
      <c r="B219" s="20"/>
      <c r="C219" s="20"/>
      <c r="D219" s="23" t="s">
        <v>33</v>
      </c>
      <c r="E219" s="3"/>
      <c r="F219" s="3"/>
      <c r="G219" s="3">
        <f>((G214/G213)^(1/G218))-1</f>
        <v>0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>
      <c r="C221" s="20"/>
      <c r="D221" s="20"/>
      <c r="E221" s="20"/>
      <c r="F221" s="20"/>
      <c r="G221" s="20"/>
      <c r="H221" s="20"/>
      <c r="I221" s="20"/>
      <c r="J221" s="20"/>
      <c r="K221" s="20"/>
    </row>
  </sheetData>
  <mergeCells count="7">
    <mergeCell ref="D212:G212"/>
    <mergeCell ref="I212:K212"/>
    <mergeCell ref="AE2:AF2"/>
    <mergeCell ref="AE3:AF3"/>
    <mergeCell ref="L199:N199"/>
    <mergeCell ref="R199:T199"/>
    <mergeCell ref="K182:L182"/>
  </mergeCells>
  <pageMargins left="0.7" right="0.7" top="0.75" bottom="0.75" header="0.3" footer="0.3"/>
  <pageSetup orientation="portrait" r:id="rId1"/>
  <ignoredErrors>
    <ignoredError sqref="C172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A5" zoomScale="80" zoomScaleNormal="80" workbookViewId="0">
      <selection activeCell="F26" sqref="F26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9" t="s">
        <v>27</v>
      </c>
      <c r="K5" s="209"/>
      <c r="M5" s="209" t="s">
        <v>65</v>
      </c>
      <c r="N5" s="209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9" t="s">
        <v>36</v>
      </c>
      <c r="K14" s="209"/>
      <c r="L14" s="209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209" t="s">
        <v>27</v>
      </c>
      <c r="S5" s="209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9" t="s">
        <v>36</v>
      </c>
      <c r="S14" s="209"/>
      <c r="T14" s="209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209" t="s">
        <v>27</v>
      </c>
      <c r="C2" s="209"/>
      <c r="E2" s="209" t="s">
        <v>65</v>
      </c>
      <c r="F2" s="209"/>
      <c r="H2" s="213" t="s">
        <v>36</v>
      </c>
      <c r="I2" s="214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210" t="s">
        <v>68</v>
      </c>
      <c r="E10" s="211"/>
      <c r="F10" s="211"/>
      <c r="G10" s="211"/>
      <c r="H10" s="212"/>
      <c r="I10" s="210" t="s">
        <v>72</v>
      </c>
      <c r="J10" s="211"/>
      <c r="K10" s="211"/>
      <c r="L10" s="212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>
      <c r="B3" s="215" t="s">
        <v>431</v>
      </c>
      <c r="C3" s="216"/>
      <c r="F3" s="215" t="s">
        <v>432</v>
      </c>
      <c r="G3" s="216"/>
    </row>
    <row r="4" spans="2:7">
      <c r="B4" s="188" t="s">
        <v>433</v>
      </c>
      <c r="C4" s="188"/>
      <c r="F4" s="188" t="s">
        <v>434</v>
      </c>
      <c r="G4" s="188"/>
    </row>
    <row r="5" spans="2:7">
      <c r="B5" s="188" t="s">
        <v>435</v>
      </c>
      <c r="C5" s="188"/>
      <c r="F5" s="188" t="s">
        <v>292</v>
      </c>
      <c r="G5" s="188"/>
    </row>
    <row r="6" spans="2:7">
      <c r="B6" s="188" t="s">
        <v>436</v>
      </c>
      <c r="C6" s="188"/>
      <c r="F6" s="188" t="s">
        <v>437</v>
      </c>
      <c r="G6" s="188"/>
    </row>
    <row r="7" spans="2:7">
      <c r="B7" s="188" t="s">
        <v>438</v>
      </c>
      <c r="C7" s="188"/>
      <c r="F7" s="188" t="s">
        <v>439</v>
      </c>
      <c r="G7" s="188"/>
    </row>
    <row r="8" spans="2:7">
      <c r="B8" s="188" t="s">
        <v>440</v>
      </c>
      <c r="C8" s="188"/>
      <c r="F8" s="188" t="s">
        <v>441</v>
      </c>
      <c r="G8" s="188"/>
    </row>
    <row r="9" spans="2:7">
      <c r="B9" s="188" t="s">
        <v>442</v>
      </c>
      <c r="C9" s="188"/>
      <c r="F9" s="188" t="s">
        <v>443</v>
      </c>
      <c r="G9" s="188"/>
    </row>
    <row r="10" spans="2:7">
      <c r="B10" s="188" t="s">
        <v>441</v>
      </c>
      <c r="C10" s="188"/>
      <c r="F10" s="188"/>
      <c r="G10" s="188"/>
    </row>
    <row r="11" spans="2:7">
      <c r="B11" s="188" t="s">
        <v>444</v>
      </c>
      <c r="C11" s="188"/>
      <c r="F11" s="188"/>
      <c r="G11" s="188"/>
    </row>
    <row r="12" spans="2:7">
      <c r="B12" s="188" t="s">
        <v>445</v>
      </c>
      <c r="C12" s="188"/>
      <c r="F12" s="188"/>
      <c r="G12" s="188"/>
    </row>
    <row r="13" spans="2:7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2016-04-03T05:36:51Z</dcterms:modified>
</cp:coreProperties>
</file>
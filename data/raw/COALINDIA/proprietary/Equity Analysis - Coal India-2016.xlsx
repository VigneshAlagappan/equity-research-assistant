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R16" i="18"/>
  <c r="Q16"/>
  <c r="P58" l="1"/>
  <c r="O58"/>
  <c r="N58"/>
  <c r="M58"/>
  <c r="L58"/>
  <c r="K58"/>
  <c r="J58"/>
  <c r="I58"/>
  <c r="H58"/>
  <c r="G58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M12"/>
  <c r="L12"/>
  <c r="J12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T201"/>
  <c r="T126"/>
  <c r="T127"/>
  <c r="T128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T211" s="1"/>
  <c r="H211"/>
  <c r="G212"/>
  <c r="T212" s="1"/>
  <c r="H212"/>
  <c r="G31"/>
  <c r="H31"/>
  <c r="G32"/>
  <c r="H32"/>
  <c r="G33"/>
  <c r="H33"/>
  <c r="G34"/>
  <c r="H34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H60"/>
  <c r="G60"/>
  <c r="G66"/>
  <c r="T66" s="1"/>
  <c r="H66"/>
  <c r="H202" s="1"/>
  <c r="G67"/>
  <c r="T67" s="1"/>
  <c r="H67"/>
  <c r="G68"/>
  <c r="T68" s="1"/>
  <c r="H68"/>
  <c r="G70"/>
  <c r="T70" s="1"/>
  <c r="H70"/>
  <c r="H204" s="1"/>
  <c r="G71"/>
  <c r="T71" s="1"/>
  <c r="H71"/>
  <c r="H205" s="1"/>
  <c r="G72"/>
  <c r="T72" s="1"/>
  <c r="H72"/>
  <c r="H203" s="1"/>
  <c r="G73"/>
  <c r="T73" s="1"/>
  <c r="H73"/>
  <c r="G74"/>
  <c r="T74" s="1"/>
  <c r="H74"/>
  <c r="H75"/>
  <c r="H206" s="1"/>
  <c r="G76"/>
  <c r="T76" s="1"/>
  <c r="H76"/>
  <c r="G78"/>
  <c r="T78" s="1"/>
  <c r="H78"/>
  <c r="G79"/>
  <c r="T79" s="1"/>
  <c r="H79"/>
  <c r="G80"/>
  <c r="T80" s="1"/>
  <c r="H80"/>
  <c r="H209" s="1"/>
  <c r="G82"/>
  <c r="T82" s="1"/>
  <c r="H82"/>
  <c r="G83"/>
  <c r="T83" s="1"/>
  <c r="H83"/>
  <c r="G84"/>
  <c r="G207" s="1"/>
  <c r="T207" s="1"/>
  <c r="H84"/>
  <c r="H207" s="1"/>
  <c r="G85"/>
  <c r="T85" s="1"/>
  <c r="H85"/>
  <c r="G86"/>
  <c r="G208" s="1"/>
  <c r="T208" s="1"/>
  <c r="H86"/>
  <c r="H208" s="1"/>
  <c r="G88"/>
  <c r="T88" s="1"/>
  <c r="H88"/>
  <c r="G90"/>
  <c r="T90" s="1"/>
  <c r="H90"/>
  <c r="G92"/>
  <c r="T92" s="1"/>
  <c r="H92"/>
  <c r="G93"/>
  <c r="T93" s="1"/>
  <c r="H93"/>
  <c r="G94"/>
  <c r="T94" s="1"/>
  <c r="H94"/>
  <c r="G95"/>
  <c r="T95" s="1"/>
  <c r="H95"/>
  <c r="G96"/>
  <c r="T96" s="1"/>
  <c r="H96"/>
  <c r="G98"/>
  <c r="T98" s="1"/>
  <c r="H98"/>
  <c r="G99"/>
  <c r="T99" s="1"/>
  <c r="H99"/>
  <c r="H100"/>
  <c r="G102"/>
  <c r="T102" s="1"/>
  <c r="H102"/>
  <c r="G105"/>
  <c r="T105" s="1"/>
  <c r="H105"/>
  <c r="G106"/>
  <c r="T106" s="1"/>
  <c r="H106"/>
  <c r="G107"/>
  <c r="T107" s="1"/>
  <c r="H107"/>
  <c r="G108"/>
  <c r="T108" s="1"/>
  <c r="H108"/>
  <c r="G109"/>
  <c r="T109" s="1"/>
  <c r="H109"/>
  <c r="G110"/>
  <c r="T110" s="1"/>
  <c r="H110"/>
  <c r="G112"/>
  <c r="T112" s="1"/>
  <c r="H112"/>
  <c r="G113"/>
  <c r="T113" s="1"/>
  <c r="H113"/>
  <c r="G114"/>
  <c r="T114" s="1"/>
  <c r="H114"/>
  <c r="G115"/>
  <c r="T115" s="1"/>
  <c r="H115"/>
  <c r="G116"/>
  <c r="T116" s="1"/>
  <c r="H116"/>
  <c r="G118"/>
  <c r="T118" s="1"/>
  <c r="H118"/>
  <c r="G119"/>
  <c r="T119" s="1"/>
  <c r="H119"/>
  <c r="G120"/>
  <c r="T120" s="1"/>
  <c r="H120"/>
  <c r="G121"/>
  <c r="T121" s="1"/>
  <c r="H121"/>
  <c r="G122"/>
  <c r="T122" s="1"/>
  <c r="H122"/>
  <c r="G124"/>
  <c r="T124" s="1"/>
  <c r="H124"/>
  <c r="G125"/>
  <c r="T125" s="1"/>
  <c r="H125"/>
  <c r="G126"/>
  <c r="H126"/>
  <c r="G127"/>
  <c r="H127"/>
  <c r="G128"/>
  <c r="H128"/>
  <c r="G129"/>
  <c r="T129" s="1"/>
  <c r="H129"/>
  <c r="G130"/>
  <c r="T130" s="1"/>
  <c r="H130"/>
  <c r="G131"/>
  <c r="T131" s="1"/>
  <c r="H131"/>
  <c r="G132"/>
  <c r="T132" s="1"/>
  <c r="H132"/>
  <c r="G134"/>
  <c r="T134" s="1"/>
  <c r="H134"/>
  <c r="G135"/>
  <c r="T135" s="1"/>
  <c r="H135"/>
  <c r="G136"/>
  <c r="T136" s="1"/>
  <c r="H136"/>
  <c r="G137"/>
  <c r="T137" s="1"/>
  <c r="H137"/>
  <c r="G139"/>
  <c r="T139" s="1"/>
  <c r="H139"/>
  <c r="G140"/>
  <c r="T140" s="1"/>
  <c r="H140"/>
  <c r="G141"/>
  <c r="T141" s="1"/>
  <c r="H141"/>
  <c r="G142"/>
  <c r="T142" s="1"/>
  <c r="H142"/>
  <c r="G143"/>
  <c r="T143" s="1"/>
  <c r="H143"/>
  <c r="G145"/>
  <c r="T145" s="1"/>
  <c r="H145"/>
  <c r="G146"/>
  <c r="T146" s="1"/>
  <c r="H146"/>
  <c r="G147"/>
  <c r="T147" s="1"/>
  <c r="H147"/>
  <c r="G149"/>
  <c r="T149" s="1"/>
  <c r="H149"/>
  <c r="G150"/>
  <c r="T150" s="1"/>
  <c r="H150"/>
  <c r="G151"/>
  <c r="T151" s="1"/>
  <c r="H151"/>
  <c r="G154"/>
  <c r="T154" s="1"/>
  <c r="H154"/>
  <c r="G155"/>
  <c r="T155" s="1"/>
  <c r="H155"/>
  <c r="G156"/>
  <c r="T156" s="1"/>
  <c r="H156"/>
  <c r="G157"/>
  <c r="T157" s="1"/>
  <c r="H157"/>
  <c r="G159"/>
  <c r="T159" s="1"/>
  <c r="H159"/>
  <c r="G160"/>
  <c r="T160" s="1"/>
  <c r="H160"/>
  <c r="G162"/>
  <c r="T162" s="1"/>
  <c r="H162"/>
  <c r="G163"/>
  <c r="T163" s="1"/>
  <c r="H163"/>
  <c r="G164"/>
  <c r="T164" s="1"/>
  <c r="H164"/>
  <c r="G166"/>
  <c r="T166" s="1"/>
  <c r="H166"/>
  <c r="G167"/>
  <c r="T167" s="1"/>
  <c r="H167"/>
  <c r="I47"/>
  <c r="I45"/>
  <c r="I43"/>
  <c r="I42"/>
  <c r="I41"/>
  <c r="I40"/>
  <c r="I38"/>
  <c r="I36"/>
  <c r="I34"/>
  <c r="I33"/>
  <c r="H215" l="1"/>
  <c r="H216"/>
  <c r="H217" s="1"/>
  <c r="G214"/>
  <c r="T214" s="1"/>
  <c r="G205"/>
  <c r="T205" s="1"/>
  <c r="G204"/>
  <c r="T204" s="1"/>
  <c r="G203"/>
  <c r="H214"/>
  <c r="T84"/>
  <c r="T86"/>
  <c r="G209"/>
  <c r="T209" s="1"/>
  <c r="G202"/>
  <c r="T202" s="1"/>
  <c r="G100"/>
  <c r="T100" s="1"/>
  <c r="G75"/>
  <c r="S129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R130"/>
  <c r="Q130"/>
  <c r="P130"/>
  <c r="O130"/>
  <c r="N130"/>
  <c r="M130"/>
  <c r="L130"/>
  <c r="K130"/>
  <c r="J130"/>
  <c r="I130"/>
  <c r="V57"/>
  <c r="T203" l="1"/>
  <c r="G215"/>
  <c r="T215" s="1"/>
  <c r="G216"/>
  <c r="G206"/>
  <c r="T206" s="1"/>
  <c r="T75"/>
  <c r="AF47"/>
  <c r="AH47"/>
  <c r="S126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I32"/>
  <c r="I31"/>
  <c r="T216" l="1"/>
  <c r="G217"/>
  <c r="T217" s="1"/>
  <c r="I37"/>
  <c r="J3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R125"/>
  <c r="Q125"/>
  <c r="P125"/>
  <c r="O125"/>
  <c r="N125"/>
  <c r="M125"/>
  <c r="L125"/>
  <c r="K125"/>
  <c r="J125"/>
  <c r="I125"/>
  <c r="S124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Q60"/>
  <c r="P60"/>
  <c r="O60"/>
  <c r="N60"/>
  <c r="M60"/>
  <c r="L60"/>
  <c r="K60"/>
  <c r="J60"/>
  <c r="I60"/>
  <c r="S58"/>
  <c r="R58"/>
  <c r="Q58"/>
  <c r="S56"/>
  <c r="R56"/>
  <c r="Q56"/>
  <c r="S54"/>
  <c r="R54"/>
  <c r="Q54"/>
  <c r="S52"/>
  <c r="R52"/>
  <c r="Q52"/>
  <c r="S30"/>
  <c r="R30"/>
  <c r="Q30"/>
  <c r="S28"/>
  <c r="R28"/>
  <c r="Q28"/>
  <c r="S26"/>
  <c r="R26"/>
  <c r="Q26"/>
  <c r="S11"/>
  <c r="R11"/>
  <c r="Q11"/>
  <c r="S8"/>
  <c r="R8"/>
  <c r="Q8"/>
  <c r="Z38" l="1"/>
  <c r="Y127"/>
  <c r="Z36"/>
  <c r="Y128"/>
  <c r="Y126"/>
  <c r="S102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V225" l="1"/>
  <c r="H225"/>
  <c r="G225"/>
  <c r="V220"/>
  <c r="H220"/>
  <c r="G220"/>
  <c r="AB38"/>
  <c r="AA127"/>
  <c r="AB36"/>
  <c r="AA126"/>
  <c r="AA128"/>
  <c r="AH45"/>
  <c r="AH40"/>
  <c r="AH49"/>
  <c r="AH41"/>
  <c r="AH42"/>
  <c r="AH43"/>
  <c r="M225"/>
  <c r="M226" s="1"/>
  <c r="M227" s="1"/>
  <c r="V221"/>
  <c r="V222" s="1"/>
  <c r="V219"/>
  <c r="S225"/>
  <c r="T225" s="1"/>
  <c r="R225"/>
  <c r="R224" s="1"/>
  <c r="V226"/>
  <c r="V227" s="1"/>
  <c r="V224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T220" s="1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S205" s="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H219" l="1"/>
  <c r="H221"/>
  <c r="H222" s="1"/>
  <c r="G224"/>
  <c r="G226"/>
  <c r="G227" s="1"/>
  <c r="G219"/>
  <c r="G221"/>
  <c r="G222" s="1"/>
  <c r="H224"/>
  <c r="H226"/>
  <c r="H227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19"/>
  <c r="T219" s="1"/>
  <c r="M221"/>
  <c r="M222" s="1"/>
  <c r="M219"/>
  <c r="J226"/>
  <c r="J227" s="1"/>
  <c r="J224"/>
  <c r="Q226"/>
  <c r="Q227" s="1"/>
  <c r="Q224"/>
  <c r="S226"/>
  <c r="S224"/>
  <c r="T224" s="1"/>
  <c r="R221"/>
  <c r="R205"/>
  <c r="S227" l="1"/>
  <c r="T227" s="1"/>
  <c r="T226"/>
  <c r="S222"/>
  <c r="T222" s="1"/>
  <c r="T22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S146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S66"/>
  <c r="S202" s="1"/>
  <c r="S67"/>
  <c r="S68"/>
  <c r="S110" s="1"/>
  <c r="S72"/>
  <c r="S214" s="1"/>
  <c r="S73"/>
  <c r="S74"/>
  <c r="S75"/>
  <c r="S206" s="1"/>
  <c r="S76"/>
  <c r="S78"/>
  <c r="S79"/>
  <c r="S80"/>
  <c r="S209" s="1"/>
  <c r="S82"/>
  <c r="S83"/>
  <c r="S85"/>
  <c r="S86"/>
  <c r="S208" s="1"/>
  <c r="S88"/>
  <c r="S139" s="1"/>
  <c r="S140" s="1"/>
  <c r="S90"/>
  <c r="S92" s="1"/>
  <c r="S93"/>
  <c r="S94"/>
  <c r="S95"/>
  <c r="S96"/>
  <c r="S98"/>
  <c r="S164" s="1"/>
  <c r="S99"/>
  <c r="S100"/>
  <c r="S105"/>
  <c r="S106"/>
  <c r="S107"/>
  <c r="S108"/>
  <c r="S109"/>
  <c r="S112"/>
  <c r="S118" s="1"/>
  <c r="S113"/>
  <c r="S119" s="1"/>
  <c r="S114"/>
  <c r="S120" s="1"/>
  <c r="S115"/>
  <c r="S121" s="1"/>
  <c r="S116"/>
  <c r="S122" s="1"/>
  <c r="S134"/>
  <c r="S135"/>
  <c r="S136"/>
  <c r="S137"/>
  <c r="S145"/>
  <c r="S149"/>
  <c r="S150"/>
  <c r="S151"/>
  <c r="S154"/>
  <c r="S155"/>
  <c r="S156"/>
  <c r="S157"/>
  <c r="S159"/>
  <c r="S160"/>
  <c r="S162"/>
  <c r="S163" s="1"/>
  <c r="S166"/>
  <c r="S167"/>
  <c r="V17"/>
  <c r="V19"/>
  <c r="V24"/>
  <c r="R238" l="1"/>
  <c r="S203"/>
  <c r="S84"/>
  <c r="S207" s="1"/>
  <c r="S141"/>
  <c r="S142" s="1"/>
  <c r="S143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16" l="1"/>
  <c r="S217" s="1"/>
  <c r="S215"/>
  <c r="J238"/>
  <c r="U59"/>
  <c r="V59" s="1"/>
  <c r="M234" l="1"/>
  <c r="M233"/>
  <c r="M232"/>
  <c r="M231"/>
  <c r="AG53" l="1"/>
  <c r="U53"/>
  <c r="V53" l="1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<sst xmlns="http://schemas.openxmlformats.org/spreadsheetml/2006/main" count="700" uniqueCount="496">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</sst>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86965632"/>
        <c:axId val="87602304"/>
      </c:lineChart>
      <c:catAx>
        <c:axId val="86965632"/>
        <c:scaling>
          <c:orientation val="minMax"/>
        </c:scaling>
        <c:axPos val="b"/>
        <c:tickLblPos val="nextTo"/>
        <c:crossAx val="87602304"/>
        <c:crosses val="autoZero"/>
        <c:auto val="1"/>
        <c:lblAlgn val="ctr"/>
        <c:lblOffset val="100"/>
      </c:catAx>
      <c:valAx>
        <c:axId val="87602304"/>
        <c:scaling>
          <c:orientation val="minMax"/>
        </c:scaling>
        <c:axPos val="l"/>
        <c:majorGridlines/>
        <c:numFmt formatCode="General" sourceLinked="1"/>
        <c:tickLblPos val="nextTo"/>
        <c:crossAx val="8696563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P4" activePane="bottomRight" state="frozen"/>
      <selection pane="topRight" activeCell="C1" sqref="C1"/>
      <selection pane="bottomLeft" activeCell="A5" sqref="A5"/>
      <selection pane="bottomRight" activeCell="Q20" sqref="Q20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325</v>
      </c>
      <c r="N1" s="162">
        <v>0.05</v>
      </c>
      <c r="P1" s="104" t="s">
        <v>396</v>
      </c>
      <c r="R1" s="162">
        <v>0.05</v>
      </c>
    </row>
    <row r="2" spans="2:34">
      <c r="B2" s="151" t="s">
        <v>314</v>
      </c>
      <c r="C2" s="120"/>
      <c r="H2" s="104" t="s">
        <v>253</v>
      </c>
      <c r="J2" s="126">
        <v>2016</v>
      </c>
      <c r="L2" s="104" t="s">
        <v>326</v>
      </c>
      <c r="N2" s="162">
        <v>0.15</v>
      </c>
      <c r="P2" s="104" t="s">
        <v>464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09" t="s">
        <v>290</v>
      </c>
      <c r="AH2" s="210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1" t="s">
        <v>291</v>
      </c>
      <c r="AH3" s="212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3380</v>
      </c>
      <c r="H6" s="146">
        <v>4561</v>
      </c>
      <c r="I6" s="146">
        <v>5025</v>
      </c>
      <c r="J6" s="146">
        <v>6338</v>
      </c>
      <c r="K6" s="146">
        <v>13971</v>
      </c>
      <c r="L6" s="146">
        <v>14072</v>
      </c>
      <c r="M6" s="146">
        <v>20956</v>
      </c>
      <c r="N6" s="146">
        <v>26997</v>
      </c>
      <c r="O6" s="146">
        <v>34136</v>
      </c>
      <c r="P6" s="146">
        <v>42155</v>
      </c>
      <c r="Q6" s="203">
        <v>36088</v>
      </c>
      <c r="R6" s="203">
        <v>34036</v>
      </c>
      <c r="S6" s="203">
        <v>0</v>
      </c>
      <c r="T6" s="118">
        <f>((S6/G6)^(1/($J$2-$J$1) ))-1</f>
        <v>-1</v>
      </c>
      <c r="U6" s="31">
        <f>$N$2</f>
        <v>0.15</v>
      </c>
      <c r="V6" s="152">
        <f>S6*(1+$U6)</f>
        <v>0</v>
      </c>
      <c r="W6" s="152">
        <f>V6*(1+$U6)</f>
        <v>0</v>
      </c>
      <c r="X6" s="152">
        <f t="shared" ref="X6:AE6" si="0">W6*(1+$U6)</f>
        <v>0</v>
      </c>
      <c r="Y6" s="152">
        <f t="shared" si="0"/>
        <v>0</v>
      </c>
      <c r="Z6" s="152">
        <f t="shared" si="0"/>
        <v>0</v>
      </c>
      <c r="AA6" s="152">
        <f t="shared" si="0"/>
        <v>0</v>
      </c>
      <c r="AB6" s="152">
        <f t="shared" si="0"/>
        <v>0</v>
      </c>
      <c r="AC6" s="152">
        <f t="shared" si="0"/>
        <v>0</v>
      </c>
      <c r="AD6" s="152">
        <f t="shared" si="0"/>
        <v>0</v>
      </c>
      <c r="AE6" s="152">
        <f t="shared" si="0"/>
        <v>0</v>
      </c>
      <c r="AF6" s="137">
        <f>((AE6/I6)^(1/($AE$3-$J$1) ))-1</f>
        <v>-1</v>
      </c>
      <c r="AG6" s="31">
        <f>$N$1</f>
        <v>0.05</v>
      </c>
      <c r="AH6" s="145">
        <f t="shared" ref="AH6:AH59" si="1">(AE6*(1+AG6))/($C$1-AG6)</f>
        <v>0</v>
      </c>
    </row>
    <row r="7" spans="2:34">
      <c r="B7" s="20" t="s">
        <v>240</v>
      </c>
      <c r="C7" s="140"/>
      <c r="D7" s="140"/>
      <c r="E7" s="146"/>
      <c r="F7" s="146"/>
      <c r="G7" s="146">
        <v>9697</v>
      </c>
      <c r="H7" s="146">
        <v>10878</v>
      </c>
      <c r="I7" s="146">
        <v>11341</v>
      </c>
      <c r="J7" s="146">
        <v>12654</v>
      </c>
      <c r="K7" s="146">
        <v>20288</v>
      </c>
      <c r="L7" s="146">
        <v>20388</v>
      </c>
      <c r="M7" s="146">
        <v>27272</v>
      </c>
      <c r="N7" s="146">
        <v>33314</v>
      </c>
      <c r="O7" s="146">
        <v>40453</v>
      </c>
      <c r="P7" s="146">
        <v>48471</v>
      </c>
      <c r="Q7" s="203">
        <v>42404</v>
      </c>
      <c r="R7" s="203">
        <v>40353</v>
      </c>
      <c r="S7" s="203">
        <v>0</v>
      </c>
      <c r="T7" s="118">
        <f>((S7/G7)^(1/($J$2-$J$1) ))-1</f>
        <v>-1</v>
      </c>
      <c r="U7" s="31">
        <f>$N$2</f>
        <v>0.15</v>
      </c>
      <c r="V7" s="152">
        <f t="shared" ref="V7:V59" si="2">S7*(1+$U7)</f>
        <v>0</v>
      </c>
      <c r="W7" s="152">
        <f t="shared" ref="W7:AE7" si="3">V7*(1+$U7)</f>
        <v>0</v>
      </c>
      <c r="X7" s="152">
        <f t="shared" si="3"/>
        <v>0</v>
      </c>
      <c r="Y7" s="152">
        <f t="shared" si="3"/>
        <v>0</v>
      </c>
      <c r="Z7" s="152">
        <f t="shared" si="3"/>
        <v>0</v>
      </c>
      <c r="AA7" s="152">
        <f t="shared" si="3"/>
        <v>0</v>
      </c>
      <c r="AB7" s="152">
        <f t="shared" si="3"/>
        <v>0</v>
      </c>
      <c r="AC7" s="152">
        <f t="shared" si="3"/>
        <v>0</v>
      </c>
      <c r="AD7" s="152">
        <f t="shared" si="3"/>
        <v>0</v>
      </c>
      <c r="AE7" s="152">
        <f t="shared" si="3"/>
        <v>0</v>
      </c>
      <c r="AF7" s="137">
        <f>((AE7/I7)^(1/($AE$3-$J$1) ))-1</f>
        <v>-1</v>
      </c>
      <c r="AG7" s="31">
        <f>$N$1</f>
        <v>0.05</v>
      </c>
      <c r="AH7" s="145">
        <f t="shared" si="1"/>
        <v>0</v>
      </c>
    </row>
    <row r="8" spans="2:34">
      <c r="B8" s="20"/>
      <c r="C8" s="140"/>
      <c r="D8" s="140"/>
      <c r="E8" s="146"/>
      <c r="F8" s="146"/>
      <c r="G8" s="226">
        <f>(G7-F7)/G7</f>
        <v>1</v>
      </c>
      <c r="H8" s="149">
        <f>(H7-G7)/H7</f>
        <v>0.10856775142489428</v>
      </c>
      <c r="I8" s="149">
        <f t="shared" ref="I8:P8" si="4">(I7-H7)/I7</f>
        <v>4.0825324045498636E-2</v>
      </c>
      <c r="J8" s="149">
        <f t="shared" si="4"/>
        <v>0.10376165639323534</v>
      </c>
      <c r="K8" s="149">
        <f t="shared" si="4"/>
        <v>0.37628154574132494</v>
      </c>
      <c r="L8" s="149">
        <f t="shared" si="4"/>
        <v>4.904845987835982E-3</v>
      </c>
      <c r="M8" s="149">
        <f t="shared" si="4"/>
        <v>0.25242006453505428</v>
      </c>
      <c r="N8" s="149">
        <f t="shared" si="4"/>
        <v>0.18136519181125052</v>
      </c>
      <c r="O8" s="149">
        <f t="shared" si="4"/>
        <v>0.17647640471658468</v>
      </c>
      <c r="P8" s="149">
        <f t="shared" si="4"/>
        <v>0.16541849765839367</v>
      </c>
      <c r="Q8" s="149">
        <f t="shared" ref="I8:S8" si="5">(Q7-P7)/P7</f>
        <v>-0.12516762600317716</v>
      </c>
      <c r="R8" s="149">
        <f t="shared" si="5"/>
        <v>-4.8368078483161964E-2</v>
      </c>
      <c r="S8" s="149">
        <f t="shared" si="5"/>
        <v>-1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3961</v>
      </c>
      <c r="H9" s="146">
        <v>4173</v>
      </c>
      <c r="I9" s="146">
        <v>4541</v>
      </c>
      <c r="J9" s="146">
        <v>4517</v>
      </c>
      <c r="K9" s="146">
        <v>16619</v>
      </c>
      <c r="L9" s="146">
        <v>20723</v>
      </c>
      <c r="M9" s="146">
        <v>26571</v>
      </c>
      <c r="N9" s="146">
        <v>16303</v>
      </c>
      <c r="O9" s="146">
        <v>21280</v>
      </c>
      <c r="P9" s="146">
        <v>20360</v>
      </c>
      <c r="Q9" s="203">
        <v>24434</v>
      </c>
      <c r="R9" s="203">
        <v>28422</v>
      </c>
      <c r="S9" s="203">
        <v>0</v>
      </c>
      <c r="T9" s="118">
        <f>((S9/G9)^(1/($J$2-$J$1) ))-1</f>
        <v>-1</v>
      </c>
      <c r="U9" s="31">
        <f t="shared" ref="U9:U55" si="6">$N$2</f>
        <v>0.15</v>
      </c>
      <c r="V9" s="152">
        <f t="shared" si="2"/>
        <v>0</v>
      </c>
      <c r="W9" s="152">
        <f t="shared" ref="W9" si="7">V9*(1+$U9)</f>
        <v>0</v>
      </c>
      <c r="X9" s="152">
        <f t="shared" ref="X9" si="8">W9*(1+$U9)</f>
        <v>0</v>
      </c>
      <c r="Y9" s="152">
        <f t="shared" ref="Y9" si="9">X9*(1+$U9)</f>
        <v>0</v>
      </c>
      <c r="Z9" s="152">
        <f t="shared" ref="Z9" si="10">Y9*(1+$U9)</f>
        <v>0</v>
      </c>
      <c r="AA9" s="152">
        <f t="shared" ref="AA9" si="11">Z9*(1+$U9)</f>
        <v>0</v>
      </c>
      <c r="AB9" s="152">
        <f t="shared" ref="AB9" si="12">AA9*(1+$U9)</f>
        <v>0</v>
      </c>
      <c r="AC9" s="152">
        <f t="shared" ref="AC9" si="13">AB9*(1+$U9)</f>
        <v>0</v>
      </c>
      <c r="AD9" s="152">
        <f t="shared" ref="AD9" si="14">AC9*(1+$U9)</f>
        <v>0</v>
      </c>
      <c r="AE9" s="152">
        <f t="shared" ref="AE9" si="15">AD9*(1+$U9)</f>
        <v>0</v>
      </c>
      <c r="AF9" s="137">
        <f>((AE9/I9)^(1/($AE$3-$J$1) ))-1</f>
        <v>-1</v>
      </c>
      <c r="AG9" s="31">
        <f t="shared" ref="AG9:AG99" si="16">$N$1</f>
        <v>0.05</v>
      </c>
      <c r="AH9" s="145">
        <f t="shared" si="1"/>
        <v>0</v>
      </c>
    </row>
    <row r="10" spans="2:34">
      <c r="B10" s="20" t="s">
        <v>4</v>
      </c>
      <c r="C10" s="140"/>
      <c r="D10" s="140"/>
      <c r="E10" s="146"/>
      <c r="F10" s="146"/>
      <c r="G10" s="146">
        <v>2524</v>
      </c>
      <c r="H10" s="146">
        <v>2372</v>
      </c>
      <c r="I10" s="146">
        <v>1899</v>
      </c>
      <c r="J10" s="146">
        <v>1646</v>
      </c>
      <c r="K10" s="146">
        <v>1884</v>
      </c>
      <c r="L10" s="146">
        <v>2148</v>
      </c>
      <c r="M10" s="146">
        <v>2086</v>
      </c>
      <c r="N10" s="146">
        <v>1366</v>
      </c>
      <c r="O10" s="146">
        <v>1333</v>
      </c>
      <c r="P10" s="146">
        <v>1078</v>
      </c>
      <c r="Q10" s="203">
        <v>37339</v>
      </c>
      <c r="R10" s="203">
        <v>41699</v>
      </c>
      <c r="S10" s="203">
        <v>0</v>
      </c>
      <c r="T10" s="118">
        <f>((S10/G10)^(1/($J$2-$J$1) ))-1</f>
        <v>-1</v>
      </c>
      <c r="U10" s="31">
        <f t="shared" si="6"/>
        <v>0.15</v>
      </c>
      <c r="V10" s="152">
        <f t="shared" si="2"/>
        <v>0</v>
      </c>
      <c r="W10" s="152">
        <f t="shared" ref="W10:AE10" si="17">V10*(1+$U10)</f>
        <v>0</v>
      </c>
      <c r="X10" s="152">
        <f t="shared" si="17"/>
        <v>0</v>
      </c>
      <c r="Y10" s="152">
        <f t="shared" si="17"/>
        <v>0</v>
      </c>
      <c r="Z10" s="152">
        <f t="shared" si="17"/>
        <v>0</v>
      </c>
      <c r="AA10" s="152">
        <f t="shared" si="17"/>
        <v>0</v>
      </c>
      <c r="AB10" s="152">
        <f t="shared" si="17"/>
        <v>0</v>
      </c>
      <c r="AC10" s="152">
        <f t="shared" si="17"/>
        <v>0</v>
      </c>
      <c r="AD10" s="152">
        <f t="shared" si="17"/>
        <v>0</v>
      </c>
      <c r="AE10" s="152">
        <f t="shared" si="17"/>
        <v>0</v>
      </c>
      <c r="AF10" s="137">
        <f t="shared" ref="AF10:AF57" si="18">((AE10/I10)^(1/($AE$3-$J$1) ))-1</f>
        <v>-1</v>
      </c>
      <c r="AG10" s="31">
        <f t="shared" si="16"/>
        <v>0.05</v>
      </c>
      <c r="AH10" s="145">
        <f t="shared" si="1"/>
        <v>0</v>
      </c>
    </row>
    <row r="11" spans="2:34">
      <c r="B11" s="20"/>
      <c r="C11" s="140"/>
      <c r="D11" s="140"/>
      <c r="E11" s="146"/>
      <c r="F11" s="146"/>
      <c r="G11" s="226">
        <f>(G10-F10)/G10</f>
        <v>1</v>
      </c>
      <c r="H11" s="226">
        <f t="shared" ref="H11:P11" si="19">(H10-G10)/H10</f>
        <v>-6.4080944350758853E-2</v>
      </c>
      <c r="I11" s="226">
        <f t="shared" si="19"/>
        <v>-0.24907846234860453</v>
      </c>
      <c r="J11" s="226">
        <f t="shared" si="19"/>
        <v>-0.15370595382746052</v>
      </c>
      <c r="K11" s="226">
        <f t="shared" si="19"/>
        <v>0.12632696390658174</v>
      </c>
      <c r="L11" s="226">
        <f t="shared" si="19"/>
        <v>0.12290502793296089</v>
      </c>
      <c r="M11" s="226">
        <f t="shared" si="19"/>
        <v>-2.9721955896452542E-2</v>
      </c>
      <c r="N11" s="226">
        <f t="shared" si="19"/>
        <v>-0.52708638360175697</v>
      </c>
      <c r="O11" s="226">
        <f t="shared" si="19"/>
        <v>-2.4756189047261814E-2</v>
      </c>
      <c r="P11" s="226">
        <f t="shared" si="19"/>
        <v>-0.23654916512059368</v>
      </c>
      <c r="Q11" s="149">
        <f t="shared" ref="I11:S11" si="20">(Q10-P10)/P10</f>
        <v>33.637291280148425</v>
      </c>
      <c r="R11" s="149">
        <f t="shared" si="20"/>
        <v>0.11676799057285947</v>
      </c>
      <c r="S11" s="149">
        <f t="shared" si="20"/>
        <v>-1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1107</v>
      </c>
      <c r="H12" s="146">
        <v>2532</v>
      </c>
      <c r="I12" s="146">
        <v>2863</v>
      </c>
      <c r="J12" s="146">
        <f>91+3637</f>
        <v>3728</v>
      </c>
      <c r="K12" s="146">
        <v>20961</v>
      </c>
      <c r="L12" s="146">
        <f>1329+28365</f>
        <v>29694</v>
      </c>
      <c r="M12" s="146">
        <f>35983+3093</f>
        <v>39076</v>
      </c>
      <c r="N12" s="146">
        <v>45806</v>
      </c>
      <c r="O12" s="146">
        <v>58202</v>
      </c>
      <c r="P12" s="146">
        <v>62236</v>
      </c>
      <c r="Q12" s="203">
        <v>52389</v>
      </c>
      <c r="R12" s="203">
        <v>53092</v>
      </c>
      <c r="S12" s="203">
        <v>0</v>
      </c>
      <c r="T12" s="118">
        <f>((S12/G12)^(1/($J$2-$J$1) ))-1</f>
        <v>-1</v>
      </c>
      <c r="U12" s="31">
        <f t="shared" si="6"/>
        <v>0.15</v>
      </c>
      <c r="V12" s="152">
        <f t="shared" si="2"/>
        <v>0</v>
      </c>
      <c r="W12" s="152">
        <f t="shared" ref="W12:AE12" si="21">V12*(1+$U12)</f>
        <v>0</v>
      </c>
      <c r="X12" s="152">
        <f t="shared" si="21"/>
        <v>0</v>
      </c>
      <c r="Y12" s="152">
        <f t="shared" si="21"/>
        <v>0</v>
      </c>
      <c r="Z12" s="152">
        <f t="shared" si="21"/>
        <v>0</v>
      </c>
      <c r="AA12" s="152">
        <f t="shared" si="21"/>
        <v>0</v>
      </c>
      <c r="AB12" s="152">
        <f t="shared" si="21"/>
        <v>0</v>
      </c>
      <c r="AC12" s="152">
        <f t="shared" si="21"/>
        <v>0</v>
      </c>
      <c r="AD12" s="152">
        <f t="shared" si="21"/>
        <v>0</v>
      </c>
      <c r="AE12" s="152">
        <f t="shared" si="21"/>
        <v>0</v>
      </c>
      <c r="AF12" s="137">
        <f t="shared" si="18"/>
        <v>-1</v>
      </c>
      <c r="AG12" s="31">
        <f t="shared" si="16"/>
        <v>0.05</v>
      </c>
      <c r="AH12" s="145">
        <f t="shared" si="1"/>
        <v>0</v>
      </c>
    </row>
    <row r="13" spans="2:34">
      <c r="B13" s="20" t="s">
        <v>218</v>
      </c>
      <c r="C13" s="140"/>
      <c r="D13" s="140"/>
      <c r="E13" s="146"/>
      <c r="F13" s="146"/>
      <c r="G13" s="146">
        <v>11113</v>
      </c>
      <c r="H13" s="146">
        <v>12763</v>
      </c>
      <c r="I13" s="146">
        <v>10591</v>
      </c>
      <c r="J13" s="146">
        <v>6316</v>
      </c>
      <c r="K13" s="146">
        <v>1717</v>
      </c>
      <c r="L13" s="146">
        <v>1505</v>
      </c>
      <c r="M13" s="146">
        <v>1282</v>
      </c>
      <c r="N13" s="146">
        <v>1063</v>
      </c>
      <c r="O13" s="146">
        <v>1981</v>
      </c>
      <c r="P13" s="146">
        <v>2394</v>
      </c>
      <c r="Q13" s="203">
        <v>2587</v>
      </c>
      <c r="R13" s="203">
        <v>1850</v>
      </c>
      <c r="S13" s="203">
        <v>0</v>
      </c>
      <c r="T13" s="118">
        <f t="shared" ref="T13:T59" si="22">((S13/G13)^(1/($J$2-$J$1) ))-1</f>
        <v>-1</v>
      </c>
      <c r="U13" s="31">
        <f t="shared" si="6"/>
        <v>0.15</v>
      </c>
      <c r="V13" s="152">
        <f t="shared" si="2"/>
        <v>0</v>
      </c>
      <c r="W13" s="152">
        <f t="shared" ref="W13:AE13" si="23">V13*(1+$U13)</f>
        <v>0</v>
      </c>
      <c r="X13" s="152">
        <f t="shared" si="23"/>
        <v>0</v>
      </c>
      <c r="Y13" s="152">
        <f t="shared" si="23"/>
        <v>0</v>
      </c>
      <c r="Z13" s="152">
        <f t="shared" si="23"/>
        <v>0</v>
      </c>
      <c r="AA13" s="152">
        <f t="shared" si="23"/>
        <v>0</v>
      </c>
      <c r="AB13" s="152">
        <f t="shared" si="23"/>
        <v>0</v>
      </c>
      <c r="AC13" s="152">
        <f t="shared" si="23"/>
        <v>0</v>
      </c>
      <c r="AD13" s="152">
        <f t="shared" si="23"/>
        <v>0</v>
      </c>
      <c r="AE13" s="152">
        <f t="shared" si="23"/>
        <v>0</v>
      </c>
      <c r="AF13" s="137">
        <f t="shared" si="18"/>
        <v>-1</v>
      </c>
      <c r="AG13" s="31">
        <f t="shared" si="16"/>
        <v>0.05</v>
      </c>
      <c r="AH13" s="145">
        <f t="shared" si="1"/>
        <v>0</v>
      </c>
    </row>
    <row r="14" spans="2:34">
      <c r="B14" s="20" t="s">
        <v>371</v>
      </c>
      <c r="C14" s="140"/>
      <c r="D14" s="140"/>
      <c r="E14" s="146"/>
      <c r="F14" s="146"/>
      <c r="G14" s="146">
        <v>35</v>
      </c>
      <c r="H14" s="146">
        <v>47</v>
      </c>
      <c r="I14" s="146">
        <v>31</v>
      </c>
      <c r="J14" s="146">
        <v>24</v>
      </c>
      <c r="K14" s="146">
        <v>3383</v>
      </c>
      <c r="L14" s="146">
        <v>3682</v>
      </c>
      <c r="M14" s="146">
        <v>4401</v>
      </c>
      <c r="N14" s="146">
        <v>5585</v>
      </c>
      <c r="O14" s="146">
        <v>6071</v>
      </c>
      <c r="P14" s="146">
        <v>5617</v>
      </c>
      <c r="Q14" s="203">
        <v>5568</v>
      </c>
      <c r="R14" s="203">
        <v>6183</v>
      </c>
      <c r="S14" s="203">
        <v>0</v>
      </c>
      <c r="T14" s="118">
        <f t="shared" si="22"/>
        <v>-1</v>
      </c>
      <c r="U14" s="31">
        <f t="shared" si="6"/>
        <v>0.15</v>
      </c>
      <c r="V14" s="152">
        <f t="shared" si="2"/>
        <v>0</v>
      </c>
      <c r="W14" s="152">
        <f t="shared" ref="W14" si="24">V14*(1+$U14)</f>
        <v>0</v>
      </c>
      <c r="X14" s="152">
        <f t="shared" ref="X14" si="25">W14*(1+$U14)</f>
        <v>0</v>
      </c>
      <c r="Y14" s="152">
        <f t="shared" ref="Y14" si="26">X14*(1+$U14)</f>
        <v>0</v>
      </c>
      <c r="Z14" s="152">
        <f t="shared" ref="Z14" si="27">Y14*(1+$U14)</f>
        <v>0</v>
      </c>
      <c r="AA14" s="152">
        <f t="shared" ref="AA14" si="28">Z14*(1+$U14)</f>
        <v>0</v>
      </c>
      <c r="AB14" s="152">
        <f t="shared" ref="AB14" si="29">AA14*(1+$U14)</f>
        <v>0</v>
      </c>
      <c r="AC14" s="152">
        <f t="shared" ref="AC14" si="30">AB14*(1+$U14)</f>
        <v>0</v>
      </c>
      <c r="AD14" s="152">
        <f t="shared" ref="AD14" si="31">AC14*(1+$U14)</f>
        <v>0</v>
      </c>
      <c r="AE14" s="152">
        <f t="shared" ref="AE14" si="32">AD14*(1+$U14)</f>
        <v>0</v>
      </c>
      <c r="AF14" s="137">
        <f t="shared" ref="AF14" si="33">((AE14/I14)^(1/($AE$3-$J$1) ))-1</f>
        <v>-1</v>
      </c>
      <c r="AG14" s="31">
        <f t="shared" si="16"/>
        <v>0.05</v>
      </c>
      <c r="AH14" s="145">
        <f t="shared" ref="AH14" si="34">(AE14*(1+AG14))/($C$1-AG14)</f>
        <v>0</v>
      </c>
    </row>
    <row r="15" spans="2:34">
      <c r="B15" s="20" t="s">
        <v>19</v>
      </c>
      <c r="C15" s="140"/>
      <c r="D15" s="140"/>
      <c r="E15" s="146"/>
      <c r="F15" s="146"/>
      <c r="G15" s="146">
        <v>1142</v>
      </c>
      <c r="H15" s="146">
        <v>2580</v>
      </c>
      <c r="I15" s="146">
        <v>2895</v>
      </c>
      <c r="J15" s="146">
        <v>115</v>
      </c>
      <c r="K15" s="146">
        <v>26002</v>
      </c>
      <c r="L15" s="146">
        <v>6838</v>
      </c>
      <c r="M15" s="146">
        <v>9664</v>
      </c>
      <c r="N15" s="146">
        <v>54810</v>
      </c>
      <c r="O15" s="146">
        <v>69941</v>
      </c>
      <c r="P15" s="146">
        <v>78334</v>
      </c>
      <c r="Q15" s="203">
        <v>80226</v>
      </c>
      <c r="R15" s="203">
        <v>83703</v>
      </c>
      <c r="S15" s="203">
        <v>0</v>
      </c>
      <c r="T15" s="118">
        <f t="shared" si="22"/>
        <v>-1</v>
      </c>
      <c r="U15" s="31">
        <f t="shared" si="6"/>
        <v>0.15</v>
      </c>
      <c r="V15" s="152">
        <f t="shared" si="2"/>
        <v>0</v>
      </c>
      <c r="W15" s="152">
        <f t="shared" ref="W15:AE15" si="35">V15*(1+$U15)</f>
        <v>0</v>
      </c>
      <c r="X15" s="152">
        <f t="shared" si="35"/>
        <v>0</v>
      </c>
      <c r="Y15" s="152">
        <f t="shared" si="35"/>
        <v>0</v>
      </c>
      <c r="Z15" s="152">
        <f t="shared" si="35"/>
        <v>0</v>
      </c>
      <c r="AA15" s="152">
        <f t="shared" si="35"/>
        <v>0</v>
      </c>
      <c r="AB15" s="152">
        <f t="shared" si="35"/>
        <v>0</v>
      </c>
      <c r="AC15" s="152">
        <f t="shared" si="35"/>
        <v>0</v>
      </c>
      <c r="AD15" s="152">
        <f t="shared" si="35"/>
        <v>0</v>
      </c>
      <c r="AE15" s="152">
        <f t="shared" si="35"/>
        <v>0</v>
      </c>
      <c r="AF15" s="137">
        <f t="shared" si="18"/>
        <v>-1</v>
      </c>
      <c r="AG15" s="31">
        <f t="shared" si="16"/>
        <v>0.05</v>
      </c>
      <c r="AH15" s="145">
        <f t="shared" si="1"/>
        <v>0</v>
      </c>
    </row>
    <row r="16" spans="2:34">
      <c r="B16" s="20" t="s">
        <v>23</v>
      </c>
      <c r="C16" s="140"/>
      <c r="D16" s="140"/>
      <c r="E16" s="146"/>
      <c r="F16" s="146"/>
      <c r="G16" s="146">
        <v>972</v>
      </c>
      <c r="H16" s="146">
        <v>372</v>
      </c>
      <c r="I16" s="146">
        <v>2545</v>
      </c>
      <c r="J16" s="146">
        <v>7891</v>
      </c>
      <c r="K16" s="146">
        <v>8421</v>
      </c>
      <c r="L16" s="146">
        <v>8188</v>
      </c>
      <c r="M16" s="146">
        <v>13949</v>
      </c>
      <c r="N16" s="146">
        <v>18749</v>
      </c>
      <c r="O16" s="146">
        <v>23514</v>
      </c>
      <c r="P16" s="146">
        <v>30256</v>
      </c>
      <c r="Q16" s="203">
        <f>Q15-Q9</f>
        <v>55792</v>
      </c>
      <c r="R16" s="203">
        <f>R15-R9</f>
        <v>55281</v>
      </c>
      <c r="S16" s="203">
        <v>0</v>
      </c>
      <c r="T16" s="118">
        <f t="shared" si="22"/>
        <v>-1</v>
      </c>
      <c r="U16" s="31">
        <f t="shared" si="6"/>
        <v>0.15</v>
      </c>
      <c r="V16" s="152">
        <f t="shared" si="2"/>
        <v>0</v>
      </c>
      <c r="W16" s="152">
        <f t="shared" ref="W16:AE16" si="36">V16*(1+$U16)</f>
        <v>0</v>
      </c>
      <c r="X16" s="152">
        <f t="shared" si="36"/>
        <v>0</v>
      </c>
      <c r="Y16" s="152">
        <f t="shared" si="36"/>
        <v>0</v>
      </c>
      <c r="Z16" s="152">
        <f t="shared" si="36"/>
        <v>0</v>
      </c>
      <c r="AA16" s="152">
        <f t="shared" si="36"/>
        <v>0</v>
      </c>
      <c r="AB16" s="152">
        <f t="shared" si="36"/>
        <v>0</v>
      </c>
      <c r="AC16" s="152">
        <f t="shared" si="36"/>
        <v>0</v>
      </c>
      <c r="AD16" s="152">
        <f t="shared" si="36"/>
        <v>0</v>
      </c>
      <c r="AE16" s="152">
        <f t="shared" si="36"/>
        <v>0</v>
      </c>
      <c r="AF16" s="137">
        <f t="shared" si="18"/>
        <v>-1</v>
      </c>
      <c r="AG16" s="31">
        <f t="shared" si="16"/>
        <v>0.05</v>
      </c>
      <c r="AH16" s="145">
        <f t="shared" si="1"/>
        <v>0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134</v>
      </c>
      <c r="H18" s="146">
        <v>115</v>
      </c>
      <c r="I18" s="146">
        <v>104</v>
      </c>
      <c r="J18" s="146">
        <v>93</v>
      </c>
      <c r="K18" s="146">
        <v>10441</v>
      </c>
      <c r="L18" s="146">
        <v>11021</v>
      </c>
      <c r="M18" s="146">
        <v>12035</v>
      </c>
      <c r="N18" s="146">
        <v>12843</v>
      </c>
      <c r="O18" s="146">
        <v>13440</v>
      </c>
      <c r="P18" s="146">
        <v>13465</v>
      </c>
      <c r="Q18" s="203">
        <v>19100</v>
      </c>
      <c r="R18" s="203">
        <v>21274</v>
      </c>
      <c r="S18" s="203">
        <v>0</v>
      </c>
      <c r="T18" s="118">
        <f t="shared" si="22"/>
        <v>-1</v>
      </c>
      <c r="U18" s="31">
        <f t="shared" si="6"/>
        <v>0.15</v>
      </c>
      <c r="V18" s="152">
        <f t="shared" si="2"/>
        <v>0</v>
      </c>
      <c r="W18" s="152">
        <f t="shared" ref="W18:W34" si="37">V18*(1+$U18)</f>
        <v>0</v>
      </c>
      <c r="X18" s="152">
        <f t="shared" ref="X18:X34" si="38">W18*(1+$U18)</f>
        <v>0</v>
      </c>
      <c r="Y18" s="152">
        <f t="shared" ref="Y18:Y34" si="39">X18*(1+$U18)</f>
        <v>0</v>
      </c>
      <c r="Z18" s="152">
        <f t="shared" ref="Z18:Z51" si="40">Y18*(1+$U18)</f>
        <v>0</v>
      </c>
      <c r="AA18" s="152">
        <f t="shared" ref="AA18:AA51" si="41">Z18*(1+$U18)</f>
        <v>0</v>
      </c>
      <c r="AB18" s="152">
        <f t="shared" ref="AB18:AB51" si="42">AA18*(1+$U18)</f>
        <v>0</v>
      </c>
      <c r="AC18" s="152">
        <f t="shared" ref="AC18:AC51" si="43">AB18*(1+$U18)</f>
        <v>0</v>
      </c>
      <c r="AD18" s="152">
        <f t="shared" ref="AD18:AD51" si="44">AC18*(1+$U18)</f>
        <v>0</v>
      </c>
      <c r="AE18" s="152">
        <f t="shared" ref="AE18:AE51" si="45">AD18*(1+$U18)</f>
        <v>0</v>
      </c>
      <c r="AF18" s="137">
        <f t="shared" si="18"/>
        <v>-1</v>
      </c>
      <c r="AG18" s="31">
        <f t="shared" si="16"/>
        <v>0.05</v>
      </c>
      <c r="AH18" s="145">
        <f t="shared" si="1"/>
        <v>0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203">
        <v>0</v>
      </c>
      <c r="R20" s="203">
        <v>0</v>
      </c>
      <c r="S20" s="203">
        <v>0</v>
      </c>
      <c r="T20" s="118" t="e">
        <f t="shared" si="22"/>
        <v>#DIV/0!</v>
      </c>
      <c r="U20" s="31">
        <f t="shared" si="6"/>
        <v>0.15</v>
      </c>
      <c r="V20" s="152">
        <f t="shared" si="2"/>
        <v>0</v>
      </c>
      <c r="W20" s="152">
        <f t="shared" ref="W20:W22" si="46">V20*(1+$U20)</f>
        <v>0</v>
      </c>
      <c r="X20" s="152">
        <f t="shared" ref="X20:X22" si="47">W20*(1+$U20)</f>
        <v>0</v>
      </c>
      <c r="Y20" s="152">
        <f t="shared" ref="Y20:Y22" si="48">X20*(1+$U20)</f>
        <v>0</v>
      </c>
      <c r="Z20" s="152">
        <f t="shared" ref="Z20:Z22" si="49">Y20*(1+$U20)</f>
        <v>0</v>
      </c>
      <c r="AA20" s="152">
        <f t="shared" ref="AA20:AA22" si="50">Z20*(1+$U20)</f>
        <v>0</v>
      </c>
      <c r="AB20" s="152">
        <f t="shared" ref="AB20:AB22" si="51">AA20*(1+$U20)</f>
        <v>0</v>
      </c>
      <c r="AC20" s="152">
        <f t="shared" ref="AC20:AC22" si="52">AB20*(1+$U20)</f>
        <v>0</v>
      </c>
      <c r="AD20" s="152">
        <f t="shared" ref="AD20:AD22" si="53">AC20*(1+$U20)</f>
        <v>0</v>
      </c>
      <c r="AE20" s="152">
        <f t="shared" ref="AE20:AE22" si="54">AD20*(1+$U20)</f>
        <v>0</v>
      </c>
      <c r="AF20" s="137" t="e">
        <f t="shared" ref="AF20:AF22" si="55">((AE20/I20)^(1/($AE$3-$J$1) ))-1</f>
        <v>#DIV/0!</v>
      </c>
      <c r="AG20" s="31">
        <f t="shared" si="16"/>
        <v>0.05</v>
      </c>
      <c r="AH20" s="145">
        <f t="shared" si="1"/>
        <v>0</v>
      </c>
    </row>
    <row r="21" spans="2:34">
      <c r="B21" s="20" t="s">
        <v>284</v>
      </c>
      <c r="C21" s="140"/>
      <c r="D21" s="140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203">
        <v>0</v>
      </c>
      <c r="R21" s="203">
        <v>0</v>
      </c>
      <c r="S21" s="203">
        <v>0</v>
      </c>
      <c r="T21" s="118" t="e">
        <f t="shared" si="22"/>
        <v>#DIV/0!</v>
      </c>
      <c r="U21" s="31">
        <f t="shared" si="6"/>
        <v>0.15</v>
      </c>
      <c r="V21" s="152">
        <f t="shared" si="2"/>
        <v>0</v>
      </c>
      <c r="W21" s="152">
        <f t="shared" si="46"/>
        <v>0</v>
      </c>
      <c r="X21" s="152">
        <f t="shared" si="47"/>
        <v>0</v>
      </c>
      <c r="Y21" s="152">
        <f t="shared" si="48"/>
        <v>0</v>
      </c>
      <c r="Z21" s="152">
        <f t="shared" si="49"/>
        <v>0</v>
      </c>
      <c r="AA21" s="152">
        <f t="shared" si="50"/>
        <v>0</v>
      </c>
      <c r="AB21" s="152">
        <f t="shared" si="51"/>
        <v>0</v>
      </c>
      <c r="AC21" s="152">
        <f t="shared" si="52"/>
        <v>0</v>
      </c>
      <c r="AD21" s="152">
        <f t="shared" si="53"/>
        <v>0</v>
      </c>
      <c r="AE21" s="152">
        <f t="shared" si="54"/>
        <v>0</v>
      </c>
      <c r="AF21" s="137" t="e">
        <f t="shared" si="55"/>
        <v>#DIV/0!</v>
      </c>
      <c r="AG21" s="31">
        <f t="shared" si="16"/>
        <v>0.05</v>
      </c>
      <c r="AH21" s="145">
        <f t="shared" si="1"/>
        <v>0</v>
      </c>
    </row>
    <row r="22" spans="2:34">
      <c r="B22" s="20" t="s">
        <v>285</v>
      </c>
      <c r="C22" s="140"/>
      <c r="D22" s="140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203">
        <v>0</v>
      </c>
      <c r="R22" s="203">
        <v>0</v>
      </c>
      <c r="S22" s="203">
        <v>0</v>
      </c>
      <c r="T22" s="118" t="e">
        <f t="shared" si="22"/>
        <v>#DIV/0!</v>
      </c>
      <c r="U22" s="31">
        <f t="shared" si="6"/>
        <v>0.15</v>
      </c>
      <c r="V22" s="152">
        <f t="shared" si="2"/>
        <v>0</v>
      </c>
      <c r="W22" s="152">
        <f t="shared" si="46"/>
        <v>0</v>
      </c>
      <c r="X22" s="152">
        <f t="shared" si="47"/>
        <v>0</v>
      </c>
      <c r="Y22" s="152">
        <f t="shared" si="48"/>
        <v>0</v>
      </c>
      <c r="Z22" s="152">
        <f t="shared" si="49"/>
        <v>0</v>
      </c>
      <c r="AA22" s="152">
        <f t="shared" si="50"/>
        <v>0</v>
      </c>
      <c r="AB22" s="152">
        <f t="shared" si="51"/>
        <v>0</v>
      </c>
      <c r="AC22" s="152">
        <f t="shared" si="52"/>
        <v>0</v>
      </c>
      <c r="AD22" s="152">
        <f t="shared" si="53"/>
        <v>0</v>
      </c>
      <c r="AE22" s="152">
        <f t="shared" si="54"/>
        <v>0</v>
      </c>
      <c r="AF22" s="137" t="e">
        <f t="shared" si="55"/>
        <v>#DIV/0!</v>
      </c>
      <c r="AG22" s="31">
        <f t="shared" si="16"/>
        <v>0.05</v>
      </c>
      <c r="AH22" s="145">
        <f t="shared" si="1"/>
        <v>0</v>
      </c>
    </row>
    <row r="23" spans="2:34">
      <c r="B23" s="20" t="s">
        <v>294</v>
      </c>
      <c r="C23" s="140"/>
      <c r="D23" s="140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203">
        <v>0</v>
      </c>
      <c r="R23" s="203">
        <v>0</v>
      </c>
      <c r="S23" s="203">
        <v>0</v>
      </c>
      <c r="T23" s="118" t="e">
        <f t="shared" si="22"/>
        <v>#DIV/0!</v>
      </c>
      <c r="U23" s="31">
        <f t="shared" si="6"/>
        <v>0.15</v>
      </c>
      <c r="V23" s="152">
        <f t="shared" si="2"/>
        <v>0</v>
      </c>
      <c r="W23" s="152">
        <f t="shared" ref="W23" si="56">V23*(1+$U23)</f>
        <v>0</v>
      </c>
      <c r="X23" s="152">
        <f t="shared" ref="X23" si="57">W23*(1+$U23)</f>
        <v>0</v>
      </c>
      <c r="Y23" s="152">
        <f t="shared" ref="Y23" si="58">X23*(1+$U23)</f>
        <v>0</v>
      </c>
      <c r="Z23" s="152">
        <f t="shared" ref="Z23" si="59">Y23*(1+$U23)</f>
        <v>0</v>
      </c>
      <c r="AA23" s="152">
        <f t="shared" ref="AA23" si="60">Z23*(1+$U23)</f>
        <v>0</v>
      </c>
      <c r="AB23" s="152">
        <f t="shared" ref="AB23" si="61">AA23*(1+$U23)</f>
        <v>0</v>
      </c>
      <c r="AC23" s="152">
        <f t="shared" ref="AC23" si="62">AB23*(1+$U23)</f>
        <v>0</v>
      </c>
      <c r="AD23" s="152">
        <f t="shared" ref="AD23" si="63">AC23*(1+$U23)</f>
        <v>0</v>
      </c>
      <c r="AE23" s="152">
        <f t="shared" ref="AE23" si="64">AD23*(1+$U23)</f>
        <v>0</v>
      </c>
      <c r="AF23" s="137" t="e">
        <f t="shared" ref="AF23" si="65">((AE23/I23)^(1/($AE$3-$J$1) ))-1</f>
        <v>#DIV/0!</v>
      </c>
      <c r="AG23" s="31">
        <f t="shared" si="16"/>
        <v>0.05</v>
      </c>
      <c r="AH23" s="145">
        <f t="shared" si="1"/>
        <v>0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1825</v>
      </c>
      <c r="H25" s="146">
        <v>1812</v>
      </c>
      <c r="I25" s="146">
        <v>2443</v>
      </c>
      <c r="J25" s="146">
        <v>3531</v>
      </c>
      <c r="K25" s="146">
        <v>39164</v>
      </c>
      <c r="L25" s="146">
        <v>52551</v>
      </c>
      <c r="M25" s="146">
        <v>59274</v>
      </c>
      <c r="N25" s="146">
        <v>56326</v>
      </c>
      <c r="O25" s="146">
        <v>70351</v>
      </c>
      <c r="P25" s="146">
        <v>76555</v>
      </c>
      <c r="Q25" s="203">
        <v>0</v>
      </c>
      <c r="R25" s="203">
        <v>0</v>
      </c>
      <c r="S25" s="203">
        <v>0</v>
      </c>
      <c r="T25" s="118">
        <f t="shared" si="22"/>
        <v>-1</v>
      </c>
      <c r="U25" s="31">
        <f t="shared" si="6"/>
        <v>0.15</v>
      </c>
      <c r="V25" s="152">
        <f t="shared" si="2"/>
        <v>0</v>
      </c>
      <c r="W25" s="152">
        <f t="shared" si="37"/>
        <v>0</v>
      </c>
      <c r="X25" s="152">
        <f t="shared" si="38"/>
        <v>0</v>
      </c>
      <c r="Y25" s="152">
        <f t="shared" si="39"/>
        <v>0</v>
      </c>
      <c r="Z25" s="152">
        <f t="shared" si="40"/>
        <v>0</v>
      </c>
      <c r="AA25" s="152">
        <f t="shared" si="41"/>
        <v>0</v>
      </c>
      <c r="AB25" s="152">
        <f t="shared" si="42"/>
        <v>0</v>
      </c>
      <c r="AC25" s="152">
        <f t="shared" si="43"/>
        <v>0</v>
      </c>
      <c r="AD25" s="152">
        <f t="shared" si="44"/>
        <v>0</v>
      </c>
      <c r="AE25" s="152">
        <f t="shared" si="45"/>
        <v>0</v>
      </c>
      <c r="AF25" s="137">
        <f t="shared" si="18"/>
        <v>-1</v>
      </c>
      <c r="AG25" s="31">
        <f t="shared" si="16"/>
        <v>0.05</v>
      </c>
      <c r="AH25" s="145">
        <f t="shared" si="1"/>
        <v>0</v>
      </c>
    </row>
    <row r="26" spans="2:34" s="123" customFormat="1">
      <c r="B26" s="23"/>
      <c r="C26" s="147"/>
      <c r="D26" s="147"/>
      <c r="E26" s="148"/>
      <c r="F26" s="148"/>
      <c r="G26" s="226">
        <f>(G25-F25)/G25</f>
        <v>1</v>
      </c>
      <c r="H26" s="226">
        <f>(H25-G25)/H25</f>
        <v>-7.1743929359823402E-3</v>
      </c>
      <c r="I26" s="226">
        <f t="shared" ref="I26:P26" si="66">(I25-H25)/I25</f>
        <v>0.25828898894801472</v>
      </c>
      <c r="J26" s="226">
        <f t="shared" si="66"/>
        <v>0.30812800906258853</v>
      </c>
      <c r="K26" s="226">
        <f t="shared" si="66"/>
        <v>0.90984067000306401</v>
      </c>
      <c r="L26" s="226">
        <f t="shared" si="66"/>
        <v>0.25474301155068407</v>
      </c>
      <c r="M26" s="226">
        <f t="shared" si="66"/>
        <v>0.11342241117522016</v>
      </c>
      <c r="N26" s="226">
        <f t="shared" si="66"/>
        <v>-5.2338174200191739E-2</v>
      </c>
      <c r="O26" s="226">
        <f t="shared" si="66"/>
        <v>0.19935750735597219</v>
      </c>
      <c r="P26" s="226">
        <f t="shared" si="66"/>
        <v>8.1039775324929786E-2</v>
      </c>
      <c r="Q26" s="149">
        <f t="shared" ref="I26:S26" si="67">(Q25-P25)/P25</f>
        <v>-1</v>
      </c>
      <c r="R26" s="149" t="e">
        <f t="shared" si="67"/>
        <v>#DIV/0!</v>
      </c>
      <c r="S26" s="149" t="e">
        <f t="shared" si="67"/>
        <v>#DIV/0!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267</v>
      </c>
      <c r="H27" s="146">
        <v>309</v>
      </c>
      <c r="I27" s="146">
        <v>828</v>
      </c>
      <c r="J27" s="146">
        <v>334</v>
      </c>
      <c r="K27" s="146">
        <v>28857</v>
      </c>
      <c r="L27" s="146">
        <v>42634</v>
      </c>
      <c r="M27" s="146">
        <v>40967</v>
      </c>
      <c r="N27" s="146">
        <v>37966</v>
      </c>
      <c r="O27" s="146">
        <v>47128</v>
      </c>
      <c r="P27" s="146">
        <v>49725</v>
      </c>
      <c r="Q27" s="203">
        <v>0</v>
      </c>
      <c r="R27" s="203">
        <v>0</v>
      </c>
      <c r="S27" s="203">
        <v>0</v>
      </c>
      <c r="T27" s="118">
        <f t="shared" si="22"/>
        <v>-1</v>
      </c>
      <c r="U27" s="31">
        <f t="shared" si="6"/>
        <v>0.15</v>
      </c>
      <c r="V27" s="152">
        <f t="shared" si="2"/>
        <v>0</v>
      </c>
      <c r="W27" s="152">
        <f t="shared" si="37"/>
        <v>0</v>
      </c>
      <c r="X27" s="152">
        <f t="shared" si="38"/>
        <v>0</v>
      </c>
      <c r="Y27" s="152">
        <f t="shared" si="39"/>
        <v>0</v>
      </c>
      <c r="Z27" s="152">
        <f t="shared" si="40"/>
        <v>0</v>
      </c>
      <c r="AA27" s="152">
        <f t="shared" si="41"/>
        <v>0</v>
      </c>
      <c r="AB27" s="152">
        <f t="shared" si="42"/>
        <v>0</v>
      </c>
      <c r="AC27" s="152">
        <f t="shared" si="43"/>
        <v>0</v>
      </c>
      <c r="AD27" s="152">
        <f t="shared" si="44"/>
        <v>0</v>
      </c>
      <c r="AE27" s="152">
        <f t="shared" si="45"/>
        <v>0</v>
      </c>
      <c r="AF27" s="137">
        <f t="shared" si="18"/>
        <v>-1</v>
      </c>
      <c r="AG27" s="31">
        <f t="shared" si="16"/>
        <v>0.05</v>
      </c>
      <c r="AH27" s="145">
        <f t="shared" si="1"/>
        <v>0</v>
      </c>
    </row>
    <row r="28" spans="2:34" s="123" customFormat="1">
      <c r="B28" s="23"/>
      <c r="C28" s="147"/>
      <c r="D28" s="147"/>
      <c r="E28" s="148"/>
      <c r="F28" s="148"/>
      <c r="G28" s="226">
        <f t="shared" ref="G28:P28" si="68">(G27-F27)/G27</f>
        <v>1</v>
      </c>
      <c r="H28" s="226">
        <f t="shared" si="68"/>
        <v>0.13592233009708737</v>
      </c>
      <c r="I28" s="226">
        <f t="shared" si="68"/>
        <v>0.62681159420289856</v>
      </c>
      <c r="J28" s="226">
        <f t="shared" si="68"/>
        <v>-1.4790419161676647</v>
      </c>
      <c r="K28" s="226">
        <f t="shared" si="68"/>
        <v>0.98842568527566965</v>
      </c>
      <c r="L28" s="226">
        <f t="shared" si="68"/>
        <v>0.32314584603837315</v>
      </c>
      <c r="M28" s="226">
        <f t="shared" si="68"/>
        <v>-4.0691288109942152E-2</v>
      </c>
      <c r="N28" s="226">
        <f t="shared" si="68"/>
        <v>-7.9044408154664694E-2</v>
      </c>
      <c r="O28" s="226">
        <f t="shared" si="68"/>
        <v>0.19440672211848584</v>
      </c>
      <c r="P28" s="226">
        <f t="shared" si="68"/>
        <v>5.2227249874308698E-2</v>
      </c>
      <c r="Q28" s="149">
        <f t="shared" ref="I28:S28" si="69">(Q27-P27)/P27</f>
        <v>-1</v>
      </c>
      <c r="R28" s="149" t="e">
        <f t="shared" si="69"/>
        <v>#DIV/0!</v>
      </c>
      <c r="S28" s="149" t="e">
        <f t="shared" si="69"/>
        <v>#DIV/0!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322</v>
      </c>
      <c r="C29" s="147"/>
      <c r="D29" s="147"/>
      <c r="E29" s="148"/>
      <c r="F29" s="148"/>
      <c r="G29" s="146">
        <v>188</v>
      </c>
      <c r="H29" s="146">
        <v>175</v>
      </c>
      <c r="I29" s="146">
        <v>162</v>
      </c>
      <c r="J29" s="146">
        <v>345</v>
      </c>
      <c r="K29" s="146">
        <v>150</v>
      </c>
      <c r="L29" s="146">
        <v>288</v>
      </c>
      <c r="M29" s="146">
        <v>285</v>
      </c>
      <c r="N29" s="146">
        <v>74</v>
      </c>
      <c r="O29" s="146">
        <v>54</v>
      </c>
      <c r="P29" s="146">
        <v>45</v>
      </c>
      <c r="Q29" s="203">
        <v>0</v>
      </c>
      <c r="R29" s="203">
        <v>0</v>
      </c>
      <c r="S29" s="203">
        <v>0</v>
      </c>
      <c r="T29" s="118">
        <f t="shared" si="22"/>
        <v>-1</v>
      </c>
      <c r="U29" s="31">
        <f t="shared" si="6"/>
        <v>0.15</v>
      </c>
      <c r="V29" s="152">
        <f t="shared" si="2"/>
        <v>0</v>
      </c>
      <c r="W29" s="152">
        <f t="shared" ref="W29" si="70">V29*(1+$U29)</f>
        <v>0</v>
      </c>
      <c r="X29" s="152">
        <f t="shared" ref="X29" si="71">W29*(1+$U29)</f>
        <v>0</v>
      </c>
      <c r="Y29" s="152">
        <f t="shared" ref="Y29" si="72">X29*(1+$U29)</f>
        <v>0</v>
      </c>
      <c r="Z29" s="152">
        <f t="shared" ref="Z29" si="73">Y29*(1+$U29)</f>
        <v>0</v>
      </c>
      <c r="AA29" s="152">
        <f t="shared" ref="AA29" si="74">Z29*(1+$U29)</f>
        <v>0</v>
      </c>
      <c r="AB29" s="152">
        <f t="shared" ref="AB29" si="75">AA29*(1+$U29)</f>
        <v>0</v>
      </c>
      <c r="AC29" s="152">
        <f t="shared" ref="AC29" si="76">AB29*(1+$U29)</f>
        <v>0</v>
      </c>
      <c r="AD29" s="152">
        <f t="shared" ref="AD29" si="77">AC29*(1+$U29)</f>
        <v>0</v>
      </c>
      <c r="AE29" s="152">
        <f t="shared" ref="AE29" si="78">AD29*(1+$U29)</f>
        <v>0</v>
      </c>
      <c r="AF29" s="137">
        <f t="shared" ref="AF29" si="79">((AE29/I29)^(1/($AE$3-$J$1) ))-1</f>
        <v>-1</v>
      </c>
      <c r="AG29" s="31">
        <f t="shared" si="16"/>
        <v>0.05</v>
      </c>
      <c r="AH29" s="145">
        <f t="shared" ref="AH29" si="80">(AE29*(1+AG29))/($C$1-AG29)</f>
        <v>0</v>
      </c>
    </row>
    <row r="30" spans="2:34" s="123" customFormat="1">
      <c r="B30" s="23"/>
      <c r="C30" s="147"/>
      <c r="D30" s="147"/>
      <c r="E30" s="148"/>
      <c r="F30" s="148"/>
      <c r="G30" s="226">
        <f t="shared" ref="G30:P30" si="81">(G29-F29)/G29</f>
        <v>1</v>
      </c>
      <c r="H30" s="226">
        <f t="shared" si="81"/>
        <v>-7.4285714285714288E-2</v>
      </c>
      <c r="I30" s="226">
        <f t="shared" si="81"/>
        <v>-8.0246913580246909E-2</v>
      </c>
      <c r="J30" s="226">
        <f t="shared" si="81"/>
        <v>0.5304347826086957</v>
      </c>
      <c r="K30" s="226">
        <f t="shared" si="81"/>
        <v>-1.3</v>
      </c>
      <c r="L30" s="226">
        <f t="shared" si="81"/>
        <v>0.47916666666666669</v>
      </c>
      <c r="M30" s="226">
        <f t="shared" si="81"/>
        <v>-1.0526315789473684E-2</v>
      </c>
      <c r="N30" s="226">
        <f t="shared" si="81"/>
        <v>-2.8513513513513513</v>
      </c>
      <c r="O30" s="226">
        <f t="shared" si="81"/>
        <v>-0.37037037037037035</v>
      </c>
      <c r="P30" s="226">
        <f t="shared" si="81"/>
        <v>-0.2</v>
      </c>
      <c r="Q30" s="149">
        <f t="shared" ref="I30:S30" si="82">(Q29-P29)/P29</f>
        <v>-1</v>
      </c>
      <c r="R30" s="149" t="e">
        <f t="shared" si="82"/>
        <v>#DIV/0!</v>
      </c>
      <c r="S30" s="149" t="e">
        <f t="shared" si="82"/>
        <v>#DIV/0!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330</v>
      </c>
      <c r="C31" s="140"/>
      <c r="D31" s="140"/>
      <c r="E31" s="146"/>
      <c r="F31" s="146"/>
      <c r="G31" s="203">
        <f t="shared" ref="G31:H31" si="83">H31</f>
        <v>0</v>
      </c>
      <c r="H31" s="203">
        <f t="shared" si="83"/>
        <v>0</v>
      </c>
      <c r="I31" s="203">
        <f>J31</f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118" t="e">
        <f t="shared" si="22"/>
        <v>#DIV/0!</v>
      </c>
      <c r="U31" s="31">
        <f t="shared" si="6"/>
        <v>0.15</v>
      </c>
      <c r="V31" s="152">
        <f t="shared" si="2"/>
        <v>0</v>
      </c>
      <c r="W31" s="152">
        <f>V31*(1+$U31)</f>
        <v>0</v>
      </c>
      <c r="X31" s="152">
        <f t="shared" ref="X31:AE32" si="84">W31*(1+$U31)</f>
        <v>0</v>
      </c>
      <c r="Y31" s="152">
        <f t="shared" si="84"/>
        <v>0</v>
      </c>
      <c r="Z31" s="152">
        <f t="shared" si="84"/>
        <v>0</v>
      </c>
      <c r="AA31" s="152">
        <f t="shared" si="84"/>
        <v>0</v>
      </c>
      <c r="AB31" s="152">
        <f t="shared" si="84"/>
        <v>0</v>
      </c>
      <c r="AC31" s="152">
        <f t="shared" si="84"/>
        <v>0</v>
      </c>
      <c r="AD31" s="152">
        <f t="shared" si="84"/>
        <v>0</v>
      </c>
      <c r="AE31" s="152">
        <f t="shared" si="84"/>
        <v>0</v>
      </c>
      <c r="AF31" s="137" t="e">
        <f t="shared" ref="AF31" si="85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329</v>
      </c>
      <c r="C32" s="140"/>
      <c r="D32" s="140"/>
      <c r="E32" s="146"/>
      <c r="F32" s="146"/>
      <c r="G32" s="203">
        <f t="shared" ref="G32:H32" si="86">H32</f>
        <v>0</v>
      </c>
      <c r="H32" s="203">
        <f t="shared" si="86"/>
        <v>0</v>
      </c>
      <c r="I32" s="203">
        <f>J32</f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118" t="e">
        <f t="shared" si="22"/>
        <v>#DIV/0!</v>
      </c>
      <c r="U32" s="31">
        <f t="shared" si="6"/>
        <v>0.15</v>
      </c>
      <c r="V32" s="152">
        <f t="shared" si="2"/>
        <v>0</v>
      </c>
      <c r="W32" s="152">
        <f>V32*(1+$U32)</f>
        <v>0</v>
      </c>
      <c r="X32" s="152">
        <f t="shared" si="84"/>
        <v>0</v>
      </c>
      <c r="Y32" s="152">
        <f t="shared" si="84"/>
        <v>0</v>
      </c>
      <c r="Z32" s="152">
        <f t="shared" si="84"/>
        <v>0</v>
      </c>
      <c r="AA32" s="152">
        <f t="shared" si="84"/>
        <v>0</v>
      </c>
      <c r="AB32" s="152">
        <f t="shared" si="84"/>
        <v>0</v>
      </c>
      <c r="AC32" s="152">
        <f t="shared" si="84"/>
        <v>0</v>
      </c>
      <c r="AD32" s="152">
        <f t="shared" si="84"/>
        <v>0</v>
      </c>
      <c r="AE32" s="152">
        <f t="shared" si="84"/>
        <v>0</v>
      </c>
      <c r="AF32" s="137" t="e">
        <f t="shared" ref="AF32" si="87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489</v>
      </c>
      <c r="C33" s="140"/>
      <c r="D33" s="140"/>
      <c r="E33" s="146"/>
      <c r="F33" s="146"/>
      <c r="G33" s="203">
        <f t="shared" ref="G33:H33" si="88">H33</f>
        <v>0</v>
      </c>
      <c r="H33" s="203">
        <f t="shared" si="88"/>
        <v>0</v>
      </c>
      <c r="I33" s="203">
        <f>J33</f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118" t="e">
        <f t="shared" si="22"/>
        <v>#DIV/0!</v>
      </c>
      <c r="U33" s="31">
        <f t="shared" si="6"/>
        <v>0.15</v>
      </c>
      <c r="V33" s="152">
        <f t="shared" si="2"/>
        <v>0</v>
      </c>
      <c r="W33" s="152">
        <f t="shared" si="37"/>
        <v>0</v>
      </c>
      <c r="X33" s="152">
        <f t="shared" si="38"/>
        <v>0</v>
      </c>
      <c r="Y33" s="152">
        <f t="shared" si="39"/>
        <v>0</v>
      </c>
      <c r="Z33" s="152">
        <f t="shared" si="40"/>
        <v>0</v>
      </c>
      <c r="AA33" s="152">
        <f t="shared" si="41"/>
        <v>0</v>
      </c>
      <c r="AB33" s="152">
        <f t="shared" si="42"/>
        <v>0</v>
      </c>
      <c r="AC33" s="152">
        <f t="shared" si="43"/>
        <v>0</v>
      </c>
      <c r="AD33" s="152">
        <f t="shared" si="44"/>
        <v>0</v>
      </c>
      <c r="AE33" s="152">
        <f t="shared" si="45"/>
        <v>0</v>
      </c>
      <c r="AF33" s="137" t="e">
        <f t="shared" si="18"/>
        <v>#DIV/0!</v>
      </c>
      <c r="AG33" s="31">
        <f t="shared" si="16"/>
        <v>0.05</v>
      </c>
      <c r="AH33" s="145">
        <f t="shared" si="1"/>
        <v>0</v>
      </c>
    </row>
    <row r="34" spans="1:34">
      <c r="B34" s="20" t="s">
        <v>307</v>
      </c>
      <c r="C34" s="140"/>
      <c r="D34" s="140"/>
      <c r="E34" s="146"/>
      <c r="F34" s="146"/>
      <c r="G34" s="203">
        <f t="shared" ref="G34:H34" si="89">H34</f>
        <v>0</v>
      </c>
      <c r="H34" s="203">
        <f t="shared" si="89"/>
        <v>0</v>
      </c>
      <c r="I34" s="203">
        <f>J34</f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118" t="e">
        <f t="shared" si="22"/>
        <v>#DIV/0!</v>
      </c>
      <c r="U34" s="31">
        <f t="shared" si="6"/>
        <v>0.15</v>
      </c>
      <c r="V34" s="152">
        <f t="shared" si="2"/>
        <v>0</v>
      </c>
      <c r="W34" s="152">
        <f t="shared" si="37"/>
        <v>0</v>
      </c>
      <c r="X34" s="152">
        <f t="shared" si="38"/>
        <v>0</v>
      </c>
      <c r="Y34" s="152">
        <f t="shared" si="39"/>
        <v>0</v>
      </c>
      <c r="Z34" s="152">
        <f t="shared" si="40"/>
        <v>0</v>
      </c>
      <c r="AA34" s="152">
        <f t="shared" si="41"/>
        <v>0</v>
      </c>
      <c r="AB34" s="152">
        <f t="shared" si="42"/>
        <v>0</v>
      </c>
      <c r="AC34" s="152">
        <f t="shared" si="43"/>
        <v>0</v>
      </c>
      <c r="AD34" s="152">
        <f t="shared" si="44"/>
        <v>0</v>
      </c>
      <c r="AE34" s="152">
        <f t="shared" si="45"/>
        <v>0</v>
      </c>
      <c r="AF34" s="137" t="e">
        <f t="shared" si="18"/>
        <v>#DIV/0!</v>
      </c>
      <c r="AG34" s="31">
        <f t="shared" si="16"/>
        <v>0.05</v>
      </c>
      <c r="AH34" s="145">
        <f t="shared" si="1"/>
        <v>0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5" t="s">
        <v>482</v>
      </c>
      <c r="B36" s="200" t="s">
        <v>476</v>
      </c>
      <c r="C36" s="140"/>
      <c r="D36" s="140"/>
      <c r="E36" s="146"/>
      <c r="F36" s="146"/>
      <c r="G36" s="203">
        <f t="shared" ref="G36:H36" si="90">H36</f>
        <v>0</v>
      </c>
      <c r="H36" s="203">
        <f t="shared" si="90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0.15</v>
      </c>
      <c r="V36" s="152">
        <f t="shared" ref="V36:V49" si="91">S36*(1+$U36)</f>
        <v>0</v>
      </c>
      <c r="W36" s="152">
        <f t="shared" ref="W36:W49" si="92">V36*(1+$U36)</f>
        <v>0</v>
      </c>
      <c r="X36" s="152">
        <f t="shared" ref="X36:X49" si="93">W36*(1+$U36)</f>
        <v>0</v>
      </c>
      <c r="Y36" s="152">
        <f t="shared" ref="Y36:Y49" si="94">X36*(1+$U36)</f>
        <v>0</v>
      </c>
      <c r="Z36" s="152">
        <f t="shared" ref="Z36:Z49" si="95">Y36*(1+$U36)</f>
        <v>0</v>
      </c>
      <c r="AA36" s="152">
        <f t="shared" ref="AA36:AA49" si="96">Z36*(1+$U36)</f>
        <v>0</v>
      </c>
      <c r="AB36" s="152">
        <f t="shared" ref="AB36:AB49" si="97">AA36*(1+$U36)</f>
        <v>0</v>
      </c>
      <c r="AC36" s="152">
        <f t="shared" ref="AC36:AC49" si="98">AB36*(1+$U36)</f>
        <v>0</v>
      </c>
      <c r="AD36" s="152">
        <f t="shared" ref="AD36:AD49" si="99">AC36*(1+$U36)</f>
        <v>0</v>
      </c>
      <c r="AE36" s="152">
        <f t="shared" ref="AE36:AE49" si="100">AD36*(1+$U36)</f>
        <v>0</v>
      </c>
      <c r="AF36" s="137" t="e">
        <f t="shared" ref="AF36:AF49" si="101">((AE36/I36)^(1/($AE$3-$J$1) ))-1</f>
        <v>#DIV/0!</v>
      </c>
      <c r="AG36" s="31">
        <f t="shared" si="16"/>
        <v>0.05</v>
      </c>
      <c r="AH36" s="145">
        <f t="shared" ref="AH36:AH49" si="102">(AE36*(1+AG36))/($C$1-AG36)</f>
        <v>0</v>
      </c>
    </row>
    <row r="37" spans="1:34">
      <c r="A37" s="205"/>
      <c r="B37" s="200"/>
      <c r="C37" s="140"/>
      <c r="D37" s="140"/>
      <c r="E37" s="146"/>
      <c r="F37" s="146"/>
      <c r="G37" s="149" t="e">
        <f t="shared" ref="G37" si="103">(G36-F36)/F36</f>
        <v>#DIV/0!</v>
      </c>
      <c r="H37" s="149" t="e">
        <f t="shared" ref="H37" si="104">(H36-G36)/G36</f>
        <v>#DIV/0!</v>
      </c>
      <c r="I37" s="149" t="e">
        <f t="shared" ref="I37" si="105">(I36-H36)/H36</f>
        <v>#DIV/0!</v>
      </c>
      <c r="J37" s="149" t="e">
        <f t="shared" ref="J37" si="106">(J36-I36)/I36</f>
        <v>#DIV/0!</v>
      </c>
      <c r="K37" s="149" t="e">
        <f t="shared" ref="K37" si="107">(K36-J36)/J36</f>
        <v>#DIV/0!</v>
      </c>
      <c r="L37" s="149" t="e">
        <f t="shared" ref="L37" si="108">(L36-K36)/K36</f>
        <v>#DIV/0!</v>
      </c>
      <c r="M37" s="149" t="e">
        <f t="shared" ref="M37" si="109">(M36-L36)/L36</f>
        <v>#DIV/0!</v>
      </c>
      <c r="N37" s="149" t="e">
        <f t="shared" ref="N37" si="110">(N36-M36)/M36</f>
        <v>#DIV/0!</v>
      </c>
      <c r="O37" s="149" t="e">
        <f t="shared" ref="O37" si="111">(O36-N36)/N36</f>
        <v>#DIV/0!</v>
      </c>
      <c r="P37" s="149" t="e">
        <f t="shared" ref="P37" si="112">(P36-O36)/O36</f>
        <v>#DIV/0!</v>
      </c>
      <c r="Q37" s="149" t="e">
        <f t="shared" ref="Q37" si="113">(Q36-P36)/P36</f>
        <v>#DIV/0!</v>
      </c>
      <c r="R37" s="149" t="e">
        <f t="shared" ref="R37" si="114">(R36-Q36)/Q36</f>
        <v>#DIV/0!</v>
      </c>
      <c r="S37" s="149" t="e">
        <f t="shared" ref="S37" si="115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5"/>
      <c r="B38" s="200" t="s">
        <v>477</v>
      </c>
      <c r="C38" s="140"/>
      <c r="D38" s="140"/>
      <c r="E38" s="146"/>
      <c r="F38" s="146"/>
      <c r="G38" s="203">
        <f t="shared" ref="G38:H38" si="116">H38</f>
        <v>0</v>
      </c>
      <c r="H38" s="203">
        <f t="shared" si="116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0.15</v>
      </c>
      <c r="V38" s="152">
        <f t="shared" si="91"/>
        <v>0</v>
      </c>
      <c r="W38" s="152">
        <f t="shared" si="92"/>
        <v>0</v>
      </c>
      <c r="X38" s="152">
        <f t="shared" si="93"/>
        <v>0</v>
      </c>
      <c r="Y38" s="152">
        <f t="shared" si="94"/>
        <v>0</v>
      </c>
      <c r="Z38" s="152">
        <f t="shared" si="95"/>
        <v>0</v>
      </c>
      <c r="AA38" s="152">
        <f t="shared" si="96"/>
        <v>0</v>
      </c>
      <c r="AB38" s="152">
        <f t="shared" si="97"/>
        <v>0</v>
      </c>
      <c r="AC38" s="152">
        <f t="shared" si="98"/>
        <v>0</v>
      </c>
      <c r="AD38" s="152">
        <f t="shared" si="99"/>
        <v>0</v>
      </c>
      <c r="AE38" s="152">
        <f t="shared" si="100"/>
        <v>0</v>
      </c>
      <c r="AF38" s="137" t="e">
        <f t="shared" si="101"/>
        <v>#DIV/0!</v>
      </c>
      <c r="AG38" s="31">
        <f t="shared" si="16"/>
        <v>0.05</v>
      </c>
      <c r="AH38" s="145">
        <f t="shared" si="102"/>
        <v>0</v>
      </c>
    </row>
    <row r="39" spans="1:34">
      <c r="A39" s="205"/>
      <c r="B39" s="200"/>
      <c r="C39" s="140"/>
      <c r="D39" s="140"/>
      <c r="E39" s="146"/>
      <c r="F39" s="146"/>
      <c r="G39" s="149" t="e">
        <f t="shared" ref="G39" si="117">(G38-F38)/F38</f>
        <v>#DIV/0!</v>
      </c>
      <c r="H39" s="149" t="e">
        <f t="shared" ref="H39" si="118">(H38-G38)/G38</f>
        <v>#DIV/0!</v>
      </c>
      <c r="I39" s="149" t="e">
        <f t="shared" ref="I39" si="119">(I38-H38)/H38</f>
        <v>#DIV/0!</v>
      </c>
      <c r="J39" s="149" t="e">
        <f t="shared" ref="J39" si="120">(J38-I38)/I38</f>
        <v>#DIV/0!</v>
      </c>
      <c r="K39" s="149" t="e">
        <f t="shared" ref="K39" si="121">(K38-J38)/J38</f>
        <v>#DIV/0!</v>
      </c>
      <c r="L39" s="149" t="e">
        <f t="shared" ref="L39" si="122">(L38-K38)/K38</f>
        <v>#DIV/0!</v>
      </c>
      <c r="M39" s="149" t="e">
        <f t="shared" ref="M39" si="123">(M38-L38)/L38</f>
        <v>#DIV/0!</v>
      </c>
      <c r="N39" s="149" t="e">
        <f t="shared" ref="N39" si="124">(N38-M38)/M38</f>
        <v>#DIV/0!</v>
      </c>
      <c r="O39" s="149" t="e">
        <f t="shared" ref="O39" si="125">(O38-N38)/N38</f>
        <v>#DIV/0!</v>
      </c>
      <c r="P39" s="149" t="e">
        <f t="shared" ref="P39" si="126">(P38-O38)/O38</f>
        <v>#DIV/0!</v>
      </c>
      <c r="Q39" s="149" t="e">
        <f t="shared" ref="Q39" si="127">(Q38-P38)/P38</f>
        <v>#DIV/0!</v>
      </c>
      <c r="R39" s="149" t="e">
        <f t="shared" ref="R39" si="128">(R38-Q38)/Q38</f>
        <v>#DIV/0!</v>
      </c>
      <c r="S39" s="149" t="e">
        <f t="shared" ref="S39" si="129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5"/>
      <c r="B40" s="200" t="s">
        <v>481</v>
      </c>
      <c r="C40" s="140"/>
      <c r="D40" s="140"/>
      <c r="E40" s="146"/>
      <c r="F40" s="146"/>
      <c r="G40" s="203">
        <f t="shared" ref="G40:H40" si="130">H40</f>
        <v>0</v>
      </c>
      <c r="H40" s="203">
        <f t="shared" si="130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0.15</v>
      </c>
      <c r="V40" s="152">
        <f t="shared" si="91"/>
        <v>0</v>
      </c>
      <c r="W40" s="152">
        <f t="shared" si="92"/>
        <v>0</v>
      </c>
      <c r="X40" s="152">
        <f t="shared" si="93"/>
        <v>0</v>
      </c>
      <c r="Y40" s="152">
        <f t="shared" si="94"/>
        <v>0</v>
      </c>
      <c r="Z40" s="152">
        <f t="shared" si="95"/>
        <v>0</v>
      </c>
      <c r="AA40" s="152">
        <f t="shared" si="96"/>
        <v>0</v>
      </c>
      <c r="AB40" s="152">
        <f t="shared" si="97"/>
        <v>0</v>
      </c>
      <c r="AC40" s="152">
        <f t="shared" si="98"/>
        <v>0</v>
      </c>
      <c r="AD40" s="152">
        <f t="shared" si="99"/>
        <v>0</v>
      </c>
      <c r="AE40" s="152">
        <f t="shared" si="100"/>
        <v>0</v>
      </c>
      <c r="AF40" s="137" t="e">
        <f t="shared" si="101"/>
        <v>#DIV/0!</v>
      </c>
      <c r="AG40" s="31">
        <f t="shared" si="16"/>
        <v>0.05</v>
      </c>
      <c r="AH40" s="145">
        <f t="shared" si="102"/>
        <v>0</v>
      </c>
    </row>
    <row r="41" spans="1:34">
      <c r="A41" s="205"/>
      <c r="B41" s="200" t="s">
        <v>478</v>
      </c>
      <c r="C41" s="140"/>
      <c r="D41" s="140"/>
      <c r="E41" s="146"/>
      <c r="F41" s="146"/>
      <c r="G41" s="203">
        <f t="shared" ref="G41:H41" si="131">H41</f>
        <v>0</v>
      </c>
      <c r="H41" s="203">
        <f t="shared" si="131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0.15</v>
      </c>
      <c r="V41" s="152">
        <f t="shared" si="91"/>
        <v>0</v>
      </c>
      <c r="W41" s="152">
        <f t="shared" si="92"/>
        <v>0</v>
      </c>
      <c r="X41" s="152">
        <f t="shared" si="93"/>
        <v>0</v>
      </c>
      <c r="Y41" s="152">
        <f t="shared" si="94"/>
        <v>0</v>
      </c>
      <c r="Z41" s="152">
        <f t="shared" si="95"/>
        <v>0</v>
      </c>
      <c r="AA41" s="152">
        <f t="shared" si="96"/>
        <v>0</v>
      </c>
      <c r="AB41" s="152">
        <f t="shared" si="97"/>
        <v>0</v>
      </c>
      <c r="AC41" s="152">
        <f t="shared" si="98"/>
        <v>0</v>
      </c>
      <c r="AD41" s="152">
        <f t="shared" si="99"/>
        <v>0</v>
      </c>
      <c r="AE41" s="152">
        <f t="shared" si="100"/>
        <v>0</v>
      </c>
      <c r="AF41" s="137" t="e">
        <f t="shared" si="101"/>
        <v>#DIV/0!</v>
      </c>
      <c r="AG41" s="31">
        <f t="shared" si="16"/>
        <v>0.05</v>
      </c>
      <c r="AH41" s="145">
        <f t="shared" si="102"/>
        <v>0</v>
      </c>
    </row>
    <row r="42" spans="1:34">
      <c r="A42" s="205"/>
      <c r="B42" s="200" t="s">
        <v>480</v>
      </c>
      <c r="C42" s="140"/>
      <c r="D42" s="140"/>
      <c r="E42" s="146"/>
      <c r="F42" s="146"/>
      <c r="G42" s="203">
        <f t="shared" ref="G42:H42" si="132">H42</f>
        <v>0</v>
      </c>
      <c r="H42" s="203">
        <f t="shared" si="132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0.15</v>
      </c>
      <c r="V42" s="152">
        <f t="shared" si="91"/>
        <v>0</v>
      </c>
      <c r="W42" s="152">
        <f t="shared" si="92"/>
        <v>0</v>
      </c>
      <c r="X42" s="152">
        <f t="shared" si="93"/>
        <v>0</v>
      </c>
      <c r="Y42" s="152">
        <f t="shared" si="94"/>
        <v>0</v>
      </c>
      <c r="Z42" s="152">
        <f t="shared" si="95"/>
        <v>0</v>
      </c>
      <c r="AA42" s="152">
        <f t="shared" si="96"/>
        <v>0</v>
      </c>
      <c r="AB42" s="152">
        <f t="shared" si="97"/>
        <v>0</v>
      </c>
      <c r="AC42" s="152">
        <f t="shared" si="98"/>
        <v>0</v>
      </c>
      <c r="AD42" s="152">
        <f t="shared" si="99"/>
        <v>0</v>
      </c>
      <c r="AE42" s="152">
        <f t="shared" si="100"/>
        <v>0</v>
      </c>
      <c r="AF42" s="137" t="e">
        <f t="shared" si="101"/>
        <v>#DIV/0!</v>
      </c>
      <c r="AG42" s="31">
        <f t="shared" si="16"/>
        <v>0.05</v>
      </c>
      <c r="AH42" s="145">
        <f t="shared" si="102"/>
        <v>0</v>
      </c>
    </row>
    <row r="43" spans="1:34">
      <c r="A43" s="205"/>
      <c r="B43" s="200" t="s">
        <v>479</v>
      </c>
      <c r="C43" s="140"/>
      <c r="D43" s="140"/>
      <c r="E43" s="146"/>
      <c r="F43" s="146"/>
      <c r="G43" s="203">
        <f t="shared" ref="G43:H43" si="133">H43</f>
        <v>0</v>
      </c>
      <c r="H43" s="203">
        <f t="shared" si="133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0.15</v>
      </c>
      <c r="V43" s="152">
        <f t="shared" si="91"/>
        <v>0</v>
      </c>
      <c r="W43" s="152">
        <f t="shared" si="92"/>
        <v>0</v>
      </c>
      <c r="X43" s="152">
        <f t="shared" si="93"/>
        <v>0</v>
      </c>
      <c r="Y43" s="152">
        <f t="shared" si="94"/>
        <v>0</v>
      </c>
      <c r="Z43" s="152">
        <f t="shared" si="95"/>
        <v>0</v>
      </c>
      <c r="AA43" s="152">
        <f t="shared" si="96"/>
        <v>0</v>
      </c>
      <c r="AB43" s="152">
        <f t="shared" si="97"/>
        <v>0</v>
      </c>
      <c r="AC43" s="152">
        <f t="shared" si="98"/>
        <v>0</v>
      </c>
      <c r="AD43" s="152">
        <f t="shared" si="99"/>
        <v>0</v>
      </c>
      <c r="AE43" s="152">
        <f t="shared" si="100"/>
        <v>0</v>
      </c>
      <c r="AF43" s="137" t="e">
        <f t="shared" si="101"/>
        <v>#DIV/0!</v>
      </c>
      <c r="AG43" s="31">
        <f t="shared" si="16"/>
        <v>0.05</v>
      </c>
      <c r="AH43" s="145">
        <f t="shared" si="102"/>
        <v>0</v>
      </c>
    </row>
    <row r="44" spans="1:34">
      <c r="A44" s="205"/>
      <c r="B44" s="200"/>
      <c r="C44" s="140"/>
      <c r="D44" s="140"/>
      <c r="E44" s="146"/>
      <c r="F44" s="146"/>
      <c r="G44" s="149" t="e">
        <f t="shared" ref="G44" si="134">(G43-F43)/F43</f>
        <v>#DIV/0!</v>
      </c>
      <c r="H44" s="149" t="e">
        <f t="shared" ref="H44" si="135">(H43-G43)/G43</f>
        <v>#DIV/0!</v>
      </c>
      <c r="I44" s="149" t="e">
        <f t="shared" ref="I44" si="136">(I43-H43)/H43</f>
        <v>#DIV/0!</v>
      </c>
      <c r="J44" s="149" t="e">
        <f t="shared" ref="J44" si="137">(J43-I43)/I43</f>
        <v>#DIV/0!</v>
      </c>
      <c r="K44" s="149" t="e">
        <f t="shared" ref="K44" si="138">(K43-J43)/J43</f>
        <v>#DIV/0!</v>
      </c>
      <c r="L44" s="149" t="e">
        <f t="shared" ref="L44" si="139">(L43-K43)/K43</f>
        <v>#DIV/0!</v>
      </c>
      <c r="M44" s="149" t="e">
        <f t="shared" ref="M44" si="140">(M43-L43)/L43</f>
        <v>#DIV/0!</v>
      </c>
      <c r="N44" s="149" t="e">
        <f t="shared" ref="N44" si="141">(N43-M43)/M43</f>
        <v>#DIV/0!</v>
      </c>
      <c r="O44" s="149" t="e">
        <f t="shared" ref="O44" si="142">(O43-N43)/N43</f>
        <v>#DIV/0!</v>
      </c>
      <c r="P44" s="149" t="e">
        <f t="shared" ref="P44" si="143">(P43-O43)/O43</f>
        <v>#DIV/0!</v>
      </c>
      <c r="Q44" s="149" t="e">
        <f t="shared" ref="Q44" si="144">(Q43-P43)/P43</f>
        <v>#DIV/0!</v>
      </c>
      <c r="R44" s="149" t="e">
        <f t="shared" ref="R44" si="145">(R43-Q43)/Q43</f>
        <v>#DIV/0!</v>
      </c>
      <c r="S44" s="149" t="e">
        <f t="shared" ref="S44" si="146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5"/>
      <c r="B45" s="200" t="s">
        <v>218</v>
      </c>
      <c r="C45" s="140"/>
      <c r="D45" s="140"/>
      <c r="E45" s="146"/>
      <c r="F45" s="146"/>
      <c r="G45" s="203">
        <f t="shared" ref="G45:H45" si="147">H45</f>
        <v>0</v>
      </c>
      <c r="H45" s="203">
        <f t="shared" si="147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0.15</v>
      </c>
      <c r="V45" s="152">
        <f t="shared" si="91"/>
        <v>0</v>
      </c>
      <c r="W45" s="152">
        <f t="shared" si="92"/>
        <v>0</v>
      </c>
      <c r="X45" s="152">
        <f t="shared" si="93"/>
        <v>0</v>
      </c>
      <c r="Y45" s="152">
        <f t="shared" si="94"/>
        <v>0</v>
      </c>
      <c r="Z45" s="152">
        <f t="shared" si="95"/>
        <v>0</v>
      </c>
      <c r="AA45" s="152">
        <f t="shared" si="96"/>
        <v>0</v>
      </c>
      <c r="AB45" s="152">
        <f t="shared" si="97"/>
        <v>0</v>
      </c>
      <c r="AC45" s="152">
        <f t="shared" si="98"/>
        <v>0</v>
      </c>
      <c r="AD45" s="152">
        <f t="shared" si="99"/>
        <v>0</v>
      </c>
      <c r="AE45" s="152">
        <f t="shared" si="100"/>
        <v>0</v>
      </c>
      <c r="AF45" s="137" t="e">
        <f t="shared" si="101"/>
        <v>#DIV/0!</v>
      </c>
      <c r="AG45" s="31">
        <f t="shared" si="16"/>
        <v>0.05</v>
      </c>
      <c r="AH45" s="145">
        <f t="shared" si="102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8">(G45-F45)/F45</f>
        <v>#DIV/0!</v>
      </c>
      <c r="H46" s="149" t="e">
        <f t="shared" ref="H46" si="149">(H45-G45)/G45</f>
        <v>#DIV/0!</v>
      </c>
      <c r="I46" s="149" t="e">
        <f t="shared" ref="I46" si="150">(I45-H45)/H45</f>
        <v>#DIV/0!</v>
      </c>
      <c r="J46" s="149" t="e">
        <f t="shared" ref="J46" si="151">(J45-I45)/I45</f>
        <v>#DIV/0!</v>
      </c>
      <c r="K46" s="149" t="e">
        <f t="shared" ref="K46" si="152">(K45-J45)/J45</f>
        <v>#DIV/0!</v>
      </c>
      <c r="L46" s="149" t="e">
        <f t="shared" ref="L46" si="153">(L45-K45)/K45</f>
        <v>#DIV/0!</v>
      </c>
      <c r="M46" s="149" t="e">
        <f t="shared" ref="M46" si="154">(M45-L45)/L45</f>
        <v>#DIV/0!</v>
      </c>
      <c r="N46" s="149" t="e">
        <f t="shared" ref="N46" si="155">(N45-M45)/M45</f>
        <v>#DIV/0!</v>
      </c>
      <c r="O46" s="149" t="e">
        <f t="shared" ref="O46" si="156">(O45-N45)/N45</f>
        <v>#DIV/0!</v>
      </c>
      <c r="P46" s="149" t="e">
        <f t="shared" ref="P46" si="157">(P45-O45)/O45</f>
        <v>#DIV/0!</v>
      </c>
      <c r="Q46" s="149" t="e">
        <f t="shared" ref="Q46" si="158">(Q45-P45)/P45</f>
        <v>#DIV/0!</v>
      </c>
      <c r="R46" s="149" t="e">
        <f t="shared" ref="R46" si="159">(R45-Q45)/Q45</f>
        <v>#DIV/0!</v>
      </c>
      <c r="S46" s="149" t="e">
        <f t="shared" ref="S46" si="160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493</v>
      </c>
      <c r="C47" s="140"/>
      <c r="D47" s="140"/>
      <c r="E47" s="146"/>
      <c r="F47" s="146"/>
      <c r="G47" s="203">
        <f t="shared" ref="G47:H47" si="161">H47</f>
        <v>0</v>
      </c>
      <c r="H47" s="203">
        <f t="shared" si="161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0.15</v>
      </c>
      <c r="V47" s="152">
        <f t="shared" ref="V47" si="162">S47*(1+$U47)</f>
        <v>0</v>
      </c>
      <c r="W47" s="152">
        <f t="shared" ref="W47" si="163">V47*(1+$U47)</f>
        <v>0</v>
      </c>
      <c r="X47" s="152">
        <f t="shared" ref="X47" si="164">W47*(1+$U47)</f>
        <v>0</v>
      </c>
      <c r="Y47" s="152">
        <f t="shared" ref="Y47" si="165">X47*(1+$U47)</f>
        <v>0</v>
      </c>
      <c r="Z47" s="152">
        <f t="shared" ref="Z47" si="166">Y47*(1+$U47)</f>
        <v>0</v>
      </c>
      <c r="AA47" s="152">
        <f t="shared" ref="AA47" si="167">Z47*(1+$U47)</f>
        <v>0</v>
      </c>
      <c r="AB47" s="152">
        <f t="shared" ref="AB47" si="168">AA47*(1+$U47)</f>
        <v>0</v>
      </c>
      <c r="AC47" s="152">
        <f t="shared" ref="AC47" si="169">AB47*(1+$U47)</f>
        <v>0</v>
      </c>
      <c r="AD47" s="152">
        <f t="shared" ref="AD47" si="170">AC47*(1+$U47)</f>
        <v>0</v>
      </c>
      <c r="AE47" s="152">
        <f t="shared" ref="AE47" si="171">AD47*(1+$U47)</f>
        <v>0</v>
      </c>
      <c r="AF47" s="137" t="e">
        <f t="shared" ref="AF47" si="172">((AE47/I47)^(1/($AE$3-$J$1) ))-1</f>
        <v>#DIV/0!</v>
      </c>
      <c r="AG47" s="31">
        <f t="shared" si="16"/>
        <v>0.05</v>
      </c>
      <c r="AH47" s="145">
        <f t="shared" si="102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73">(G47-F47)/F47</f>
        <v>#DIV/0!</v>
      </c>
      <c r="H48" s="149" t="e">
        <f t="shared" ref="H48" si="174">(H47-G47)/G47</f>
        <v>#DIV/0!</v>
      </c>
      <c r="I48" s="149" t="e">
        <f t="shared" ref="I48" si="175">(I47-H47)/H47</f>
        <v>#DIV/0!</v>
      </c>
      <c r="J48" s="149" t="e">
        <f t="shared" ref="J48" si="176">(J47-I47)/I47</f>
        <v>#DIV/0!</v>
      </c>
      <c r="K48" s="149" t="e">
        <f t="shared" ref="K48" si="177">(K47-J47)/J47</f>
        <v>#DIV/0!</v>
      </c>
      <c r="L48" s="149" t="e">
        <f t="shared" ref="L48" si="178">(L47-K47)/K47</f>
        <v>#DIV/0!</v>
      </c>
      <c r="M48" s="149" t="e">
        <f t="shared" ref="M48" si="179">(M47-L47)/L47</f>
        <v>#DIV/0!</v>
      </c>
      <c r="N48" s="149" t="e">
        <f t="shared" ref="N48" si="180">(N47-M47)/M47</f>
        <v>#DIV/0!</v>
      </c>
      <c r="O48" s="149" t="e">
        <f t="shared" ref="O48" si="181">(O47-N47)/N47</f>
        <v>#DIV/0!</v>
      </c>
      <c r="P48" s="149" t="e">
        <f t="shared" ref="P48" si="182">(P47-O47)/O47</f>
        <v>#DIV/0!</v>
      </c>
      <c r="Q48" s="149" t="e">
        <f t="shared" ref="Q48" si="183">(Q47-P47)/P47</f>
        <v>#DIV/0!</v>
      </c>
      <c r="R48" s="149" t="e">
        <f t="shared" ref="R48" si="184">(R47-Q47)/Q47</f>
        <v>#DIV/0!</v>
      </c>
      <c r="S48" s="149" t="e">
        <f t="shared" ref="S48" si="185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483</v>
      </c>
      <c r="C49" s="140"/>
      <c r="D49" s="140"/>
      <c r="E49" s="146"/>
      <c r="F49" s="146"/>
      <c r="G49" s="203">
        <f t="shared" ref="G49:H49" si="186">H49</f>
        <v>0</v>
      </c>
      <c r="H49" s="203">
        <f t="shared" si="186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0.15</v>
      </c>
      <c r="V49" s="152">
        <f t="shared" si="91"/>
        <v>0</v>
      </c>
      <c r="W49" s="152">
        <f t="shared" si="92"/>
        <v>0</v>
      </c>
      <c r="X49" s="152">
        <f t="shared" si="93"/>
        <v>0</v>
      </c>
      <c r="Y49" s="152">
        <f t="shared" si="94"/>
        <v>0</v>
      </c>
      <c r="Z49" s="152">
        <f t="shared" si="95"/>
        <v>0</v>
      </c>
      <c r="AA49" s="152">
        <f t="shared" si="96"/>
        <v>0</v>
      </c>
      <c r="AB49" s="152">
        <f t="shared" si="97"/>
        <v>0</v>
      </c>
      <c r="AC49" s="152">
        <f t="shared" si="98"/>
        <v>0</v>
      </c>
      <c r="AD49" s="152">
        <f t="shared" si="99"/>
        <v>0</v>
      </c>
      <c r="AE49" s="152">
        <f t="shared" si="100"/>
        <v>0</v>
      </c>
      <c r="AF49" s="137" t="e">
        <f t="shared" si="101"/>
        <v>#DIV/0!</v>
      </c>
      <c r="AG49" s="31">
        <f t="shared" si="16"/>
        <v>0.05</v>
      </c>
      <c r="AH49" s="145">
        <f t="shared" si="102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-148</v>
      </c>
      <c r="H51" s="146">
        <v>-206</v>
      </c>
      <c r="I51" s="146">
        <v>-612</v>
      </c>
      <c r="J51" s="146">
        <v>-141</v>
      </c>
      <c r="K51" s="146">
        <v>4020</v>
      </c>
      <c r="L51" s="146">
        <v>5376</v>
      </c>
      <c r="M51" s="146">
        <v>13649</v>
      </c>
      <c r="N51" s="146">
        <v>13477</v>
      </c>
      <c r="O51" s="146">
        <v>15667</v>
      </c>
      <c r="P51" s="146">
        <v>18083</v>
      </c>
      <c r="Q51" s="203">
        <v>0</v>
      </c>
      <c r="R51" s="203">
        <v>0</v>
      </c>
      <c r="S51" s="203">
        <v>0</v>
      </c>
      <c r="T51" s="118">
        <f t="shared" si="22"/>
        <v>-1</v>
      </c>
      <c r="U51" s="31">
        <f t="shared" si="6"/>
        <v>0.15</v>
      </c>
      <c r="V51" s="152">
        <f t="shared" si="2"/>
        <v>0</v>
      </c>
      <c r="W51" s="152">
        <f t="shared" ref="W51" si="187">V51*(1+$U51)</f>
        <v>0</v>
      </c>
      <c r="X51" s="152">
        <f t="shared" ref="X51" si="188">W51*(1+$U51)</f>
        <v>0</v>
      </c>
      <c r="Y51" s="152">
        <f t="shared" ref="Y51" si="189">X51*(1+$U51)</f>
        <v>0</v>
      </c>
      <c r="Z51" s="152">
        <f t="shared" si="40"/>
        <v>0</v>
      </c>
      <c r="AA51" s="152">
        <f t="shared" si="41"/>
        <v>0</v>
      </c>
      <c r="AB51" s="152">
        <f t="shared" si="42"/>
        <v>0</v>
      </c>
      <c r="AC51" s="152">
        <f t="shared" si="43"/>
        <v>0</v>
      </c>
      <c r="AD51" s="152">
        <f t="shared" si="44"/>
        <v>0</v>
      </c>
      <c r="AE51" s="152">
        <f t="shared" si="45"/>
        <v>0</v>
      </c>
      <c r="AF51" s="137">
        <f t="shared" si="18"/>
        <v>-1</v>
      </c>
      <c r="AG51" s="31">
        <f t="shared" si="16"/>
        <v>0.05</v>
      </c>
      <c r="AH51" s="145">
        <f t="shared" si="1"/>
        <v>0</v>
      </c>
    </row>
    <row r="52" spans="1:34" s="123" customFormat="1">
      <c r="B52" s="23"/>
      <c r="C52" s="147"/>
      <c r="D52" s="147"/>
      <c r="E52" s="148"/>
      <c r="F52" s="148"/>
      <c r="G52" s="226">
        <f t="shared" ref="G52:P52" si="190">(G51-F51)/G51</f>
        <v>1</v>
      </c>
      <c r="H52" s="226">
        <f t="shared" si="190"/>
        <v>0.28155339805825241</v>
      </c>
      <c r="I52" s="226">
        <f t="shared" si="190"/>
        <v>0.66339869281045749</v>
      </c>
      <c r="J52" s="226">
        <f t="shared" si="190"/>
        <v>-3.3404255319148937</v>
      </c>
      <c r="K52" s="226">
        <f t="shared" si="190"/>
        <v>1.0350746268656716</v>
      </c>
      <c r="L52" s="226">
        <f t="shared" si="190"/>
        <v>0.25223214285714285</v>
      </c>
      <c r="M52" s="226">
        <f t="shared" si="190"/>
        <v>0.60612499084181992</v>
      </c>
      <c r="N52" s="226">
        <f t="shared" si="190"/>
        <v>-1.2762484232395933E-2</v>
      </c>
      <c r="O52" s="226">
        <f t="shared" si="190"/>
        <v>0.13978425990936363</v>
      </c>
      <c r="P52" s="226">
        <f t="shared" si="190"/>
        <v>0.13360614942210916</v>
      </c>
      <c r="Q52" s="149">
        <f t="shared" ref="I52:S52" si="191">(Q51-P51)/P51</f>
        <v>-1</v>
      </c>
      <c r="R52" s="149" t="e">
        <f t="shared" si="191"/>
        <v>#DIV/0!</v>
      </c>
      <c r="S52" s="149" t="e">
        <f t="shared" si="191"/>
        <v>#DIV/0!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398</v>
      </c>
      <c r="C53" s="147"/>
      <c r="D53" s="147"/>
      <c r="E53" s="148"/>
      <c r="F53" s="148"/>
      <c r="G53" s="146">
        <v>1355</v>
      </c>
      <c r="H53" s="146">
        <v>1315</v>
      </c>
      <c r="I53" s="146">
        <v>1444</v>
      </c>
      <c r="J53" s="146">
        <v>2844</v>
      </c>
      <c r="K53" s="146">
        <v>8662</v>
      </c>
      <c r="L53" s="146">
        <v>5740</v>
      </c>
      <c r="M53" s="146">
        <v>14037</v>
      </c>
      <c r="N53" s="146">
        <v>16463</v>
      </c>
      <c r="O53" s="146">
        <v>21272</v>
      </c>
      <c r="P53" s="146">
        <v>24979</v>
      </c>
      <c r="Q53" s="203">
        <v>0</v>
      </c>
      <c r="R53" s="203">
        <v>0</v>
      </c>
      <c r="S53" s="203">
        <v>0</v>
      </c>
      <c r="T53" s="118">
        <f t="shared" si="22"/>
        <v>-1</v>
      </c>
      <c r="U53" s="31">
        <f t="shared" si="6"/>
        <v>0.15</v>
      </c>
      <c r="V53" s="152">
        <f t="shared" si="2"/>
        <v>0</v>
      </c>
      <c r="W53" s="152">
        <f t="shared" ref="W53" si="192">V53*(1+$U53)</f>
        <v>0</v>
      </c>
      <c r="X53" s="152">
        <f t="shared" ref="X53" si="193">W53*(1+$U53)</f>
        <v>0</v>
      </c>
      <c r="Y53" s="152">
        <f t="shared" ref="Y53" si="194">X53*(1+$U53)</f>
        <v>0</v>
      </c>
      <c r="Z53" s="152">
        <f t="shared" ref="Z53" si="195">Y53*(1+$U53)</f>
        <v>0</v>
      </c>
      <c r="AA53" s="152">
        <f t="shared" ref="AA53" si="196">Z53*(1+$U53)</f>
        <v>0</v>
      </c>
      <c r="AB53" s="152">
        <f t="shared" ref="AB53" si="197">AA53*(1+$U53)</f>
        <v>0</v>
      </c>
      <c r="AC53" s="152">
        <f t="shared" ref="AC53" si="198">AB53*(1+$U53)</f>
        <v>0</v>
      </c>
      <c r="AD53" s="152">
        <f t="shared" ref="AD53" si="199">AC53*(1+$U53)</f>
        <v>0</v>
      </c>
      <c r="AE53" s="152">
        <f t="shared" ref="AE53" si="200">AD53*(1+$U53)</f>
        <v>0</v>
      </c>
      <c r="AF53" s="137">
        <f t="shared" ref="AF53" si="201">((AE53/I53)^(1/($AE$3-$J$1) ))-1</f>
        <v>-1</v>
      </c>
      <c r="AG53" s="31">
        <f t="shared" si="16"/>
        <v>0.05</v>
      </c>
      <c r="AH53" s="145">
        <f t="shared" ref="AH53" si="202">(AE53*(1+AG53))/($C$1-AG53)</f>
        <v>0</v>
      </c>
    </row>
    <row r="54" spans="1:34" s="123" customFormat="1">
      <c r="B54" s="23"/>
      <c r="C54" s="147"/>
      <c r="D54" s="147"/>
      <c r="E54" s="148"/>
      <c r="F54" s="148"/>
      <c r="G54" s="226">
        <f t="shared" ref="G54:P54" si="203">(G53-F53)/G53</f>
        <v>1</v>
      </c>
      <c r="H54" s="226">
        <f t="shared" si="203"/>
        <v>-3.0418250950570342E-2</v>
      </c>
      <c r="I54" s="226">
        <f t="shared" si="203"/>
        <v>8.9335180055401656E-2</v>
      </c>
      <c r="J54" s="226">
        <f t="shared" si="203"/>
        <v>0.49226441631504925</v>
      </c>
      <c r="K54" s="226">
        <f t="shared" si="203"/>
        <v>0.67166936042484415</v>
      </c>
      <c r="L54" s="226">
        <f t="shared" si="203"/>
        <v>-0.50905923344947734</v>
      </c>
      <c r="M54" s="226">
        <f t="shared" si="203"/>
        <v>0.5910807152525468</v>
      </c>
      <c r="N54" s="226">
        <f t="shared" si="203"/>
        <v>0.14736074834477314</v>
      </c>
      <c r="O54" s="226">
        <f t="shared" si="203"/>
        <v>0.22607183151560736</v>
      </c>
      <c r="P54" s="226">
        <f t="shared" si="203"/>
        <v>0.14840465991432802</v>
      </c>
      <c r="Q54" s="149">
        <f t="shared" ref="I54:S54" si="204">(Q53-P53)/P53</f>
        <v>-1</v>
      </c>
      <c r="R54" s="149" t="e">
        <f t="shared" si="204"/>
        <v>#DIV/0!</v>
      </c>
      <c r="S54" s="149" t="e">
        <f t="shared" si="204"/>
        <v>#DIV/0!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399</v>
      </c>
      <c r="C55" s="140"/>
      <c r="D55" s="140"/>
      <c r="E55" s="146"/>
      <c r="F55" s="146"/>
      <c r="G55" s="146">
        <v>1332</v>
      </c>
      <c r="H55" s="146">
        <v>1324</v>
      </c>
      <c r="I55" s="146">
        <v>1712</v>
      </c>
      <c r="J55" s="146">
        <v>2821</v>
      </c>
      <c r="K55" s="146">
        <v>5243</v>
      </c>
      <c r="L55" s="146">
        <v>2078</v>
      </c>
      <c r="M55" s="146">
        <v>9622</v>
      </c>
      <c r="N55" s="146">
        <v>10867</v>
      </c>
      <c r="O55" s="146">
        <v>14788</v>
      </c>
      <c r="P55" s="146">
        <v>17356</v>
      </c>
      <c r="Q55" s="203">
        <v>0</v>
      </c>
      <c r="R55" s="203">
        <v>0</v>
      </c>
      <c r="S55" s="203">
        <v>0</v>
      </c>
      <c r="T55" s="118">
        <f t="shared" si="22"/>
        <v>-1</v>
      </c>
      <c r="U55" s="31">
        <f t="shared" si="6"/>
        <v>0.15</v>
      </c>
      <c r="V55" s="152">
        <f t="shared" si="2"/>
        <v>0</v>
      </c>
      <c r="W55" s="152">
        <f t="shared" ref="W55:AE55" si="205">V55*(1+$U55)</f>
        <v>0</v>
      </c>
      <c r="X55" s="152">
        <f t="shared" si="205"/>
        <v>0</v>
      </c>
      <c r="Y55" s="152">
        <f t="shared" si="205"/>
        <v>0</v>
      </c>
      <c r="Z55" s="152">
        <f t="shared" si="205"/>
        <v>0</v>
      </c>
      <c r="AA55" s="152">
        <f t="shared" si="205"/>
        <v>0</v>
      </c>
      <c r="AB55" s="152">
        <f t="shared" si="205"/>
        <v>0</v>
      </c>
      <c r="AC55" s="152">
        <f t="shared" si="205"/>
        <v>0</v>
      </c>
      <c r="AD55" s="152">
        <f t="shared" si="205"/>
        <v>0</v>
      </c>
      <c r="AE55" s="152">
        <f t="shared" si="205"/>
        <v>0</v>
      </c>
      <c r="AF55" s="137">
        <f t="shared" si="18"/>
        <v>-1</v>
      </c>
      <c r="AG55" s="31">
        <f t="shared" si="16"/>
        <v>0.05</v>
      </c>
      <c r="AH55" s="145">
        <f t="shared" si="1"/>
        <v>0</v>
      </c>
    </row>
    <row r="56" spans="1:34" s="123" customFormat="1">
      <c r="B56" s="23"/>
      <c r="C56" s="147"/>
      <c r="D56" s="147"/>
      <c r="E56" s="148"/>
      <c r="F56" s="148"/>
      <c r="G56" s="226">
        <f>(G55-F55)/G55</f>
        <v>1</v>
      </c>
      <c r="H56" s="226">
        <f t="shared" ref="H56:P56" si="206">(H55-G55)/H55</f>
        <v>-6.0422960725075529E-3</v>
      </c>
      <c r="I56" s="226">
        <f t="shared" si="206"/>
        <v>0.22663551401869159</v>
      </c>
      <c r="J56" s="226">
        <f t="shared" si="206"/>
        <v>0.39312300602623185</v>
      </c>
      <c r="K56" s="226">
        <f t="shared" si="206"/>
        <v>0.46194926568758343</v>
      </c>
      <c r="L56" s="226">
        <f t="shared" si="206"/>
        <v>-1.5230991337824831</v>
      </c>
      <c r="M56" s="226">
        <f t="shared" si="206"/>
        <v>0.7840365828310123</v>
      </c>
      <c r="N56" s="226">
        <f t="shared" si="206"/>
        <v>0.11456703782092574</v>
      </c>
      <c r="O56" s="226">
        <f t="shared" si="206"/>
        <v>0.26514741682445225</v>
      </c>
      <c r="P56" s="226">
        <f t="shared" si="206"/>
        <v>0.1479603595298456</v>
      </c>
      <c r="Q56" s="149">
        <f t="shared" ref="I56:S56" si="207">(Q55-P55)/P55</f>
        <v>-1</v>
      </c>
      <c r="R56" s="149" t="e">
        <f t="shared" si="207"/>
        <v>#DIV/0!</v>
      </c>
      <c r="S56" s="149" t="e">
        <f t="shared" si="207"/>
        <v>#DIV/0!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6">
        <v>0.01</v>
      </c>
      <c r="H57" s="146">
        <v>0.01</v>
      </c>
      <c r="I57" s="146">
        <v>6.31</v>
      </c>
      <c r="J57" s="146">
        <v>6.31</v>
      </c>
      <c r="K57" s="146">
        <v>6.31</v>
      </c>
      <c r="L57" s="146">
        <v>6.31</v>
      </c>
      <c r="M57" s="146">
        <v>631.63</v>
      </c>
      <c r="N57" s="146">
        <v>631.63</v>
      </c>
      <c r="O57" s="146">
        <v>631.63</v>
      </c>
      <c r="P57" s="146">
        <v>631.63</v>
      </c>
      <c r="Q57" s="203">
        <v>0</v>
      </c>
      <c r="R57" s="203">
        <v>0</v>
      </c>
      <c r="S57" s="203">
        <v>0</v>
      </c>
      <c r="T57" s="118">
        <f t="shared" si="22"/>
        <v>-1</v>
      </c>
      <c r="U57" s="31">
        <v>0.02</v>
      </c>
      <c r="V57" s="152">
        <f t="shared" si="2"/>
        <v>0</v>
      </c>
      <c r="W57" s="152">
        <f>V57*(1+$U57)</f>
        <v>0</v>
      </c>
      <c r="X57" s="152">
        <f t="shared" ref="X57:AE57" si="208">W57*(1+$U57)</f>
        <v>0</v>
      </c>
      <c r="Y57" s="152">
        <f t="shared" si="208"/>
        <v>0</v>
      </c>
      <c r="Z57" s="152">
        <f t="shared" si="208"/>
        <v>0</v>
      </c>
      <c r="AA57" s="152">
        <f t="shared" si="208"/>
        <v>0</v>
      </c>
      <c r="AB57" s="152">
        <f t="shared" si="208"/>
        <v>0</v>
      </c>
      <c r="AC57" s="152">
        <f t="shared" si="208"/>
        <v>0</v>
      </c>
      <c r="AD57" s="152">
        <f t="shared" si="208"/>
        <v>0</v>
      </c>
      <c r="AE57" s="152">
        <f t="shared" si="208"/>
        <v>0</v>
      </c>
      <c r="AF57" s="137">
        <f t="shared" si="18"/>
        <v>-1</v>
      </c>
      <c r="AG57" s="31">
        <f t="shared" si="16"/>
        <v>0.05</v>
      </c>
      <c r="AH57" s="145">
        <f t="shared" si="1"/>
        <v>0</v>
      </c>
    </row>
    <row r="58" spans="1:34">
      <c r="B58" s="20"/>
      <c r="C58" s="141"/>
      <c r="D58" s="141"/>
      <c r="E58" s="142"/>
      <c r="F58" s="142"/>
      <c r="G58" s="226">
        <f>(G57-F57)/G57</f>
        <v>1</v>
      </c>
      <c r="H58" s="226">
        <f t="shared" ref="H58:P58" si="209">(H57-G57)/H57</f>
        <v>0</v>
      </c>
      <c r="I58" s="226">
        <f t="shared" si="209"/>
        <v>0.99841521394611732</v>
      </c>
      <c r="J58" s="226">
        <f t="shared" si="209"/>
        <v>0</v>
      </c>
      <c r="K58" s="226">
        <f t="shared" si="209"/>
        <v>0</v>
      </c>
      <c r="L58" s="226">
        <f t="shared" si="209"/>
        <v>0</v>
      </c>
      <c r="M58" s="226">
        <f t="shared" si="209"/>
        <v>0.99000997419375281</v>
      </c>
      <c r="N58" s="226">
        <f t="shared" si="209"/>
        <v>0</v>
      </c>
      <c r="O58" s="226">
        <f t="shared" si="209"/>
        <v>0</v>
      </c>
      <c r="P58" s="226">
        <f t="shared" si="209"/>
        <v>0</v>
      </c>
      <c r="Q58" s="149">
        <f t="shared" ref="I58:S58" si="210">(Q57-P57)/P57</f>
        <v>-1</v>
      </c>
      <c r="R58" s="149" t="e">
        <f t="shared" si="210"/>
        <v>#DIV/0!</v>
      </c>
      <c r="S58" s="149" t="e">
        <f t="shared" si="210"/>
        <v>#DIV/0!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6">
        <v>0.01</v>
      </c>
      <c r="H59" s="146">
        <v>0.01</v>
      </c>
      <c r="I59" s="146">
        <v>200</v>
      </c>
      <c r="J59" s="146">
        <v>237</v>
      </c>
      <c r="K59" s="146">
        <v>270</v>
      </c>
      <c r="L59" s="146">
        <v>2.7</v>
      </c>
      <c r="M59" s="146">
        <v>3.5</v>
      </c>
      <c r="N59" s="146">
        <v>3.9</v>
      </c>
      <c r="O59" s="146">
        <v>10</v>
      </c>
      <c r="P59" s="146">
        <v>14</v>
      </c>
      <c r="Q59" s="203">
        <v>0</v>
      </c>
      <c r="R59" s="203">
        <v>0</v>
      </c>
      <c r="S59" s="203">
        <v>0</v>
      </c>
      <c r="T59" s="118">
        <f t="shared" si="22"/>
        <v>-1</v>
      </c>
      <c r="U59" s="31">
        <f>R1</f>
        <v>0.05</v>
      </c>
      <c r="V59" s="152">
        <f t="shared" si="2"/>
        <v>0</v>
      </c>
      <c r="W59" s="152">
        <f t="shared" ref="W59" si="211">V59*(1+$U59)</f>
        <v>0</v>
      </c>
      <c r="X59" s="152">
        <f t="shared" ref="X59" si="212">W59*(1+$U59)</f>
        <v>0</v>
      </c>
      <c r="Y59" s="152">
        <f t="shared" ref="Y59" si="213">X59*(1+$U59)</f>
        <v>0</v>
      </c>
      <c r="Z59" s="152">
        <f t="shared" ref="Z59" si="214">Y59*(1+$U59)</f>
        <v>0</v>
      </c>
      <c r="AA59" s="152">
        <f t="shared" ref="AA59" si="215">Z59*(1+$U59)</f>
        <v>0</v>
      </c>
      <c r="AB59" s="152">
        <f t="shared" ref="AB59" si="216">AA59*(1+$U59)</f>
        <v>0</v>
      </c>
      <c r="AC59" s="152">
        <f t="shared" ref="AC59" si="217">AB59*(1+$U59)</f>
        <v>0</v>
      </c>
      <c r="AD59" s="152">
        <f t="shared" ref="AD59" si="218">AC59*(1+$U59)</f>
        <v>0</v>
      </c>
      <c r="AE59" s="152">
        <f t="shared" ref="AE59" si="219">AD59*(1+$U59)</f>
        <v>0</v>
      </c>
      <c r="AF59" s="137">
        <f t="shared" ref="AF59" si="220">((AE59/I59)^(1/($AE$3-$J$1) ))-1</f>
        <v>-1</v>
      </c>
      <c r="AG59" s="31">
        <f t="shared" si="16"/>
        <v>0.05</v>
      </c>
      <c r="AH59" s="145">
        <f t="shared" si="1"/>
        <v>0</v>
      </c>
    </row>
    <row r="60" spans="1:34">
      <c r="B60" s="20"/>
      <c r="C60" s="144"/>
      <c r="D60" s="144"/>
      <c r="E60" s="144"/>
      <c r="F60" s="144"/>
      <c r="G60" s="149" t="e">
        <f t="shared" ref="G60" si="221">(G59-F59)/F59</f>
        <v>#DIV/0!</v>
      </c>
      <c r="H60" s="149">
        <f t="shared" ref="H60" si="222">(H59-G59)/G59</f>
        <v>0</v>
      </c>
      <c r="I60" s="149">
        <f t="shared" ref="I60:S60" si="223">(I59-H59)/H59</f>
        <v>19999</v>
      </c>
      <c r="J60" s="149">
        <f t="shared" si="223"/>
        <v>0.185</v>
      </c>
      <c r="K60" s="149">
        <f t="shared" si="223"/>
        <v>0.13924050632911392</v>
      </c>
      <c r="L60" s="149">
        <f t="shared" si="223"/>
        <v>-0.99</v>
      </c>
      <c r="M60" s="149">
        <f t="shared" si="223"/>
        <v>0.29629629629629622</v>
      </c>
      <c r="N60" s="149">
        <f t="shared" si="223"/>
        <v>0.11428571428571425</v>
      </c>
      <c r="O60" s="149">
        <f t="shared" si="223"/>
        <v>1.5641025641025641</v>
      </c>
      <c r="P60" s="149">
        <f t="shared" si="223"/>
        <v>0.4</v>
      </c>
      <c r="Q60" s="149">
        <f t="shared" si="223"/>
        <v>-1</v>
      </c>
      <c r="R60" s="149" t="e">
        <f t="shared" si="223"/>
        <v>#DIV/0!</v>
      </c>
      <c r="S60" s="149" t="e">
        <f t="shared" si="223"/>
        <v>#DIV/0!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424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422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423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4">G25/G57</f>
        <v>182500</v>
      </c>
      <c r="H66" s="133">
        <f t="shared" si="224"/>
        <v>181200</v>
      </c>
      <c r="I66" s="133">
        <f t="shared" ref="I66:R66" si="225">I25/I57</f>
        <v>387.16323296354994</v>
      </c>
      <c r="J66" s="133">
        <f t="shared" si="225"/>
        <v>559.5879556259905</v>
      </c>
      <c r="K66" s="133">
        <f t="shared" si="225"/>
        <v>6206.6561014263079</v>
      </c>
      <c r="L66" s="133">
        <f t="shared" si="225"/>
        <v>8328.2091917591133</v>
      </c>
      <c r="M66" s="133">
        <f t="shared" si="225"/>
        <v>93.842914364422214</v>
      </c>
      <c r="N66" s="133">
        <f t="shared" si="225"/>
        <v>89.1756249703149</v>
      </c>
      <c r="O66" s="133">
        <f t="shared" si="225"/>
        <v>111.38008011019109</v>
      </c>
      <c r="P66" s="133">
        <f t="shared" si="225"/>
        <v>121.20228614853633</v>
      </c>
      <c r="Q66" s="133" t="e">
        <f t="shared" si="225"/>
        <v>#DIV/0!</v>
      </c>
      <c r="R66" s="133" t="e">
        <f t="shared" si="225"/>
        <v>#DIV/0!</v>
      </c>
      <c r="S66" s="133" t="e">
        <f t="shared" ref="S66" si="226">S25/S57</f>
        <v>#DIV/0!</v>
      </c>
      <c r="T66" s="118" t="e">
        <f t="shared" ref="T66:T68" si="227">((S66/G66)^(1/($J$2-$J$1) ))-1</f>
        <v>#DIV/0!</v>
      </c>
      <c r="U66" s="128"/>
      <c r="V66" s="156" t="e">
        <f t="shared" ref="V66:AE66" si="228">V25/V57</f>
        <v>#DIV/0!</v>
      </c>
      <c r="W66" s="156" t="e">
        <f t="shared" si="228"/>
        <v>#DIV/0!</v>
      </c>
      <c r="X66" s="156" t="e">
        <f t="shared" si="228"/>
        <v>#DIV/0!</v>
      </c>
      <c r="Y66" s="156" t="e">
        <f t="shared" si="228"/>
        <v>#DIV/0!</v>
      </c>
      <c r="Z66" s="156" t="e">
        <f t="shared" si="228"/>
        <v>#DIV/0!</v>
      </c>
      <c r="AA66" s="156" t="e">
        <f t="shared" si="228"/>
        <v>#DIV/0!</v>
      </c>
      <c r="AB66" s="156" t="e">
        <f t="shared" si="228"/>
        <v>#DIV/0!</v>
      </c>
      <c r="AC66" s="156" t="e">
        <f t="shared" si="228"/>
        <v>#DIV/0!</v>
      </c>
      <c r="AD66" s="156" t="e">
        <f t="shared" si="228"/>
        <v>#DIV/0!</v>
      </c>
      <c r="AE66" s="156" t="e">
        <f t="shared" si="228"/>
        <v>#DIV/0!</v>
      </c>
      <c r="AF66" s="137" t="e">
        <f t="shared" ref="AF66" si="229">((AE66/I66)^(1/($AE$3-$J$1) ))-1</f>
        <v>#DIV/0!</v>
      </c>
      <c r="AG66" s="31">
        <f t="shared" si="16"/>
        <v>0.05</v>
      </c>
      <c r="AH66" s="145" t="e">
        <f t="shared" ref="AH66:AH67" si="230">(AE66*(1+AG66))/($C$1-AG66)</f>
        <v>#DIV/0!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31">G27/G57</f>
        <v>26700</v>
      </c>
      <c r="H67" s="133">
        <f t="shared" si="231"/>
        <v>30900</v>
      </c>
      <c r="I67" s="133">
        <f t="shared" ref="I67:R67" si="232">I27/I57</f>
        <v>131.22028526148972</v>
      </c>
      <c r="J67" s="133">
        <f t="shared" si="232"/>
        <v>52.931854199683045</v>
      </c>
      <c r="K67" s="133">
        <f t="shared" si="232"/>
        <v>4573.2171156893819</v>
      </c>
      <c r="L67" s="133">
        <f t="shared" si="232"/>
        <v>6756.5768621236139</v>
      </c>
      <c r="M67" s="133">
        <f t="shared" si="232"/>
        <v>64.859173883444427</v>
      </c>
      <c r="N67" s="133">
        <f t="shared" si="232"/>
        <v>60.107974605386062</v>
      </c>
      <c r="O67" s="133">
        <f t="shared" si="232"/>
        <v>74.613302091414283</v>
      </c>
      <c r="P67" s="133">
        <f t="shared" si="232"/>
        <v>78.724886405015596</v>
      </c>
      <c r="Q67" s="133" t="e">
        <f t="shared" si="232"/>
        <v>#DIV/0!</v>
      </c>
      <c r="R67" s="133" t="e">
        <f t="shared" si="232"/>
        <v>#DIV/0!</v>
      </c>
      <c r="S67" s="133" t="e">
        <f t="shared" ref="S67" si="233">S27/S57</f>
        <v>#DIV/0!</v>
      </c>
      <c r="T67" s="118" t="e">
        <f t="shared" si="227"/>
        <v>#DIV/0!</v>
      </c>
      <c r="U67" s="128"/>
      <c r="V67" s="156" t="e">
        <f t="shared" ref="V67:AE67" si="234">V27/V57</f>
        <v>#DIV/0!</v>
      </c>
      <c r="W67" s="156" t="e">
        <f t="shared" si="234"/>
        <v>#DIV/0!</v>
      </c>
      <c r="X67" s="156" t="e">
        <f t="shared" si="234"/>
        <v>#DIV/0!</v>
      </c>
      <c r="Y67" s="156" t="e">
        <f t="shared" si="234"/>
        <v>#DIV/0!</v>
      </c>
      <c r="Z67" s="156" t="e">
        <f t="shared" si="234"/>
        <v>#DIV/0!</v>
      </c>
      <c r="AA67" s="156" t="e">
        <f t="shared" si="234"/>
        <v>#DIV/0!</v>
      </c>
      <c r="AB67" s="156" t="e">
        <f t="shared" si="234"/>
        <v>#DIV/0!</v>
      </c>
      <c r="AC67" s="156" t="e">
        <f t="shared" si="234"/>
        <v>#DIV/0!</v>
      </c>
      <c r="AD67" s="156" t="e">
        <f t="shared" si="234"/>
        <v>#DIV/0!</v>
      </c>
      <c r="AE67" s="156" t="e">
        <f t="shared" si="234"/>
        <v>#DIV/0!</v>
      </c>
      <c r="AF67" s="137" t="e">
        <f t="shared" ref="AF67" si="235">((AE67/I67)^(1/($AE$3-$J$1) ))-1</f>
        <v>#DIV/0!</v>
      </c>
      <c r="AG67" s="31">
        <f t="shared" si="16"/>
        <v>0.05</v>
      </c>
      <c r="AH67" s="145" t="e">
        <f t="shared" si="230"/>
        <v>#DIV/0!</v>
      </c>
    </row>
    <row r="68" spans="2:34">
      <c r="B68" s="20" t="s">
        <v>425</v>
      </c>
      <c r="C68" s="133"/>
      <c r="D68" s="133"/>
      <c r="E68" s="133"/>
      <c r="F68" s="133"/>
      <c r="G68" s="133">
        <f t="shared" ref="G68:H68" si="236">G53-G55</f>
        <v>23</v>
      </c>
      <c r="H68" s="133">
        <f t="shared" si="236"/>
        <v>-9</v>
      </c>
      <c r="I68" s="133">
        <f>I53-I55</f>
        <v>-268</v>
      </c>
      <c r="J68" s="133">
        <f t="shared" ref="J68:R68" si="237">J53-J55</f>
        <v>23</v>
      </c>
      <c r="K68" s="133">
        <f t="shared" si="237"/>
        <v>3419</v>
      </c>
      <c r="L68" s="133">
        <f t="shared" si="237"/>
        <v>3662</v>
      </c>
      <c r="M68" s="133">
        <f t="shared" si="237"/>
        <v>4415</v>
      </c>
      <c r="N68" s="133">
        <f t="shared" si="237"/>
        <v>5596</v>
      </c>
      <c r="O68" s="133">
        <f t="shared" si="237"/>
        <v>6484</v>
      </c>
      <c r="P68" s="133">
        <f t="shared" si="237"/>
        <v>7623</v>
      </c>
      <c r="Q68" s="133">
        <f t="shared" si="237"/>
        <v>0</v>
      </c>
      <c r="R68" s="133">
        <f t="shared" si="237"/>
        <v>0</v>
      </c>
      <c r="S68" s="133">
        <f t="shared" ref="S68" si="238">S53-S55</f>
        <v>0</v>
      </c>
      <c r="T68" s="118">
        <f t="shared" si="227"/>
        <v>-1</v>
      </c>
      <c r="U68" s="128"/>
      <c r="V68" s="133">
        <f t="shared" ref="V68:AE68" si="239">V53-V55</f>
        <v>0</v>
      </c>
      <c r="W68" s="133">
        <f t="shared" si="239"/>
        <v>0</v>
      </c>
      <c r="X68" s="133">
        <f t="shared" si="239"/>
        <v>0</v>
      </c>
      <c r="Y68" s="133">
        <f t="shared" si="239"/>
        <v>0</v>
      </c>
      <c r="Z68" s="133">
        <f t="shared" si="239"/>
        <v>0</v>
      </c>
      <c r="AA68" s="133">
        <f t="shared" si="239"/>
        <v>0</v>
      </c>
      <c r="AB68" s="133">
        <f t="shared" si="239"/>
        <v>0</v>
      </c>
      <c r="AC68" s="133">
        <f t="shared" si="239"/>
        <v>0</v>
      </c>
      <c r="AD68" s="133">
        <f t="shared" si="239"/>
        <v>0</v>
      </c>
      <c r="AE68" s="133">
        <f t="shared" si="239"/>
        <v>0</v>
      </c>
      <c r="AF68" s="137">
        <f t="shared" ref="AF68" si="240">((AE68/I68)^(1/($AE$3-$J$1) ))-1</f>
        <v>-1</v>
      </c>
      <c r="AG68" s="31">
        <f t="shared" si="16"/>
        <v>0.05</v>
      </c>
      <c r="AH68" s="145">
        <f t="shared" ref="AH68" si="241">(AE68*(1+AG68))/($C$1-AG68)</f>
        <v>0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460</v>
      </c>
      <c r="C70" s="133"/>
      <c r="D70" s="133"/>
      <c r="E70" s="133"/>
      <c r="F70" s="133"/>
      <c r="G70" s="25">
        <f t="shared" ref="G70:H70" si="242">G51/G57</f>
        <v>-14800</v>
      </c>
      <c r="H70" s="25">
        <f t="shared" si="242"/>
        <v>-20600</v>
      </c>
      <c r="I70" s="25">
        <f t="shared" ref="I70:R70" si="243">I51/I57</f>
        <v>-96.988906497622821</v>
      </c>
      <c r="J70" s="25">
        <f t="shared" si="243"/>
        <v>-22.345483359746435</v>
      </c>
      <c r="K70" s="25">
        <f t="shared" si="243"/>
        <v>637.08399366085587</v>
      </c>
      <c r="L70" s="25">
        <f t="shared" si="243"/>
        <v>851.98098256735341</v>
      </c>
      <c r="M70" s="25">
        <f t="shared" si="243"/>
        <v>21.609169925431029</v>
      </c>
      <c r="N70" s="25">
        <f t="shared" si="243"/>
        <v>21.336858603929517</v>
      </c>
      <c r="O70" s="25">
        <f t="shared" si="243"/>
        <v>24.804078337001094</v>
      </c>
      <c r="P70" s="25">
        <f t="shared" si="243"/>
        <v>28.629102480882796</v>
      </c>
      <c r="Q70" s="25" t="e">
        <f t="shared" si="243"/>
        <v>#DIV/0!</v>
      </c>
      <c r="R70" s="25" t="e">
        <f t="shared" si="243"/>
        <v>#DIV/0!</v>
      </c>
      <c r="S70" s="25" t="e">
        <f>S51/S57</f>
        <v>#DIV/0!</v>
      </c>
      <c r="T70" s="118" t="e">
        <f t="shared" ref="T70:T134" si="244">((S70/G70)^(1/($J$2-$J$1) ))-1</f>
        <v>#DIV/0!</v>
      </c>
      <c r="U70" s="128"/>
      <c r="V70" s="112" t="e">
        <f>V51/V57</f>
        <v>#DIV/0!</v>
      </c>
      <c r="W70" s="112" t="e">
        <f t="shared" ref="W70:AE70" si="245">W51/W57</f>
        <v>#DIV/0!</v>
      </c>
      <c r="X70" s="112" t="e">
        <f t="shared" si="245"/>
        <v>#DIV/0!</v>
      </c>
      <c r="Y70" s="112" t="e">
        <f t="shared" si="245"/>
        <v>#DIV/0!</v>
      </c>
      <c r="Z70" s="112" t="e">
        <f t="shared" si="245"/>
        <v>#DIV/0!</v>
      </c>
      <c r="AA70" s="112" t="e">
        <f t="shared" si="245"/>
        <v>#DIV/0!</v>
      </c>
      <c r="AB70" s="112" t="e">
        <f t="shared" si="245"/>
        <v>#DIV/0!</v>
      </c>
      <c r="AC70" s="112" t="e">
        <f t="shared" si="245"/>
        <v>#DIV/0!</v>
      </c>
      <c r="AD70" s="112" t="e">
        <f t="shared" si="245"/>
        <v>#DIV/0!</v>
      </c>
      <c r="AE70" s="112" t="e">
        <f t="shared" si="245"/>
        <v>#DIV/0!</v>
      </c>
      <c r="AF70" s="137" t="e">
        <f t="shared" ref="AF70:AF71" si="246">((AE70/I70)^(1/($AE$3-$J$1) ))-1</f>
        <v>#DIV/0!</v>
      </c>
      <c r="AG70" s="31">
        <f t="shared" si="16"/>
        <v>0.05</v>
      </c>
      <c r="AH70" s="145" t="e">
        <f t="shared" ref="AH70:AH71" si="247">(AE70*(1+AG70))/($C$1-AG70)</f>
        <v>#DIV/0!</v>
      </c>
    </row>
    <row r="71" spans="2:34">
      <c r="B71" s="20" t="s">
        <v>461</v>
      </c>
      <c r="C71" s="133"/>
      <c r="D71" s="133"/>
      <c r="E71" s="133"/>
      <c r="F71" s="133"/>
      <c r="G71" s="25">
        <f t="shared" ref="G71:H71" si="248">G53/G57</f>
        <v>135500</v>
      </c>
      <c r="H71" s="25">
        <f t="shared" si="248"/>
        <v>131500</v>
      </c>
      <c r="I71" s="25">
        <f t="shared" ref="I71:R71" si="249">I53/I57</f>
        <v>228.84310618066561</v>
      </c>
      <c r="J71" s="25">
        <f t="shared" si="249"/>
        <v>450.71315372424726</v>
      </c>
      <c r="K71" s="25">
        <f t="shared" si="249"/>
        <v>1372.7416798732172</v>
      </c>
      <c r="L71" s="25">
        <f t="shared" si="249"/>
        <v>909.66719492868469</v>
      </c>
      <c r="M71" s="25">
        <f t="shared" si="249"/>
        <v>22.223453604166998</v>
      </c>
      <c r="N71" s="25">
        <f t="shared" si="249"/>
        <v>26.064309801624368</v>
      </c>
      <c r="O71" s="25">
        <f t="shared" si="249"/>
        <v>33.677944366163736</v>
      </c>
      <c r="P71" s="25">
        <f t="shared" si="249"/>
        <v>39.546886626664346</v>
      </c>
      <c r="Q71" s="25" t="e">
        <f t="shared" si="249"/>
        <v>#DIV/0!</v>
      </c>
      <c r="R71" s="25" t="e">
        <f t="shared" si="249"/>
        <v>#DIV/0!</v>
      </c>
      <c r="S71" s="25" t="e">
        <f>S53/S57</f>
        <v>#DIV/0!</v>
      </c>
      <c r="T71" s="118" t="e">
        <f t="shared" si="244"/>
        <v>#DIV/0!</v>
      </c>
      <c r="U71" s="128"/>
      <c r="V71" s="112" t="e">
        <f>V53/V57</f>
        <v>#DIV/0!</v>
      </c>
      <c r="W71" s="112" t="e">
        <f t="shared" ref="W71:AE71" si="250">W53/W57</f>
        <v>#DIV/0!</v>
      </c>
      <c r="X71" s="112" t="e">
        <f t="shared" si="250"/>
        <v>#DIV/0!</v>
      </c>
      <c r="Y71" s="112" t="e">
        <f t="shared" si="250"/>
        <v>#DIV/0!</v>
      </c>
      <c r="Z71" s="112" t="e">
        <f t="shared" si="250"/>
        <v>#DIV/0!</v>
      </c>
      <c r="AA71" s="112" t="e">
        <f t="shared" si="250"/>
        <v>#DIV/0!</v>
      </c>
      <c r="AB71" s="112" t="e">
        <f t="shared" si="250"/>
        <v>#DIV/0!</v>
      </c>
      <c r="AC71" s="112" t="e">
        <f t="shared" si="250"/>
        <v>#DIV/0!</v>
      </c>
      <c r="AD71" s="112" t="e">
        <f t="shared" si="250"/>
        <v>#DIV/0!</v>
      </c>
      <c r="AE71" s="112" t="e">
        <f t="shared" si="250"/>
        <v>#DIV/0!</v>
      </c>
      <c r="AF71" s="137" t="e">
        <f t="shared" si="246"/>
        <v>#DIV/0!</v>
      </c>
      <c r="AG71" s="31">
        <f t="shared" si="16"/>
        <v>0.05</v>
      </c>
      <c r="AH71" s="145" t="e">
        <f t="shared" si="247"/>
        <v>#DIV/0!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51">G55/G57</f>
        <v>133200</v>
      </c>
      <c r="H72" s="133">
        <f t="shared" si="251"/>
        <v>132400</v>
      </c>
      <c r="I72" s="133">
        <f t="shared" ref="I72:R72" si="252">I55/I57</f>
        <v>271.31537242472268</v>
      </c>
      <c r="J72" s="133">
        <f t="shared" si="252"/>
        <v>447.06814580031698</v>
      </c>
      <c r="K72" s="133">
        <f t="shared" si="252"/>
        <v>830.90332805071318</v>
      </c>
      <c r="L72" s="133">
        <f t="shared" si="252"/>
        <v>329.31854199683045</v>
      </c>
      <c r="M72" s="133">
        <f t="shared" si="252"/>
        <v>15.233601950509001</v>
      </c>
      <c r="N72" s="133">
        <f t="shared" si="252"/>
        <v>17.204692620679829</v>
      </c>
      <c r="O72" s="133">
        <f t="shared" si="252"/>
        <v>23.412440827699761</v>
      </c>
      <c r="P72" s="133">
        <f t="shared" si="252"/>
        <v>27.478112185931636</v>
      </c>
      <c r="Q72" s="133" t="e">
        <f t="shared" si="252"/>
        <v>#DIV/0!</v>
      </c>
      <c r="R72" s="133" t="e">
        <f t="shared" si="252"/>
        <v>#DIV/0!</v>
      </c>
      <c r="S72" s="133" t="e">
        <f t="shared" ref="S72" si="253">S55/S57</f>
        <v>#DIV/0!</v>
      </c>
      <c r="T72" s="118" t="e">
        <f t="shared" si="244"/>
        <v>#DIV/0!</v>
      </c>
      <c r="U72" s="128"/>
      <c r="V72" s="156" t="e">
        <f t="shared" ref="V72:AE72" si="254">V55/V57</f>
        <v>#DIV/0!</v>
      </c>
      <c r="W72" s="156" t="e">
        <f t="shared" si="254"/>
        <v>#DIV/0!</v>
      </c>
      <c r="X72" s="156" t="e">
        <f t="shared" si="254"/>
        <v>#DIV/0!</v>
      </c>
      <c r="Y72" s="156" t="e">
        <f t="shared" si="254"/>
        <v>#DIV/0!</v>
      </c>
      <c r="Z72" s="156" t="e">
        <f t="shared" si="254"/>
        <v>#DIV/0!</v>
      </c>
      <c r="AA72" s="156" t="e">
        <f t="shared" si="254"/>
        <v>#DIV/0!</v>
      </c>
      <c r="AB72" s="156" t="e">
        <f t="shared" si="254"/>
        <v>#DIV/0!</v>
      </c>
      <c r="AC72" s="156" t="e">
        <f t="shared" si="254"/>
        <v>#DIV/0!</v>
      </c>
      <c r="AD72" s="156" t="e">
        <f t="shared" si="254"/>
        <v>#DIV/0!</v>
      </c>
      <c r="AE72" s="156" t="e">
        <f t="shared" si="254"/>
        <v>#DIV/0!</v>
      </c>
      <c r="AF72" s="137" t="e">
        <f t="shared" ref="AF72:AF86" si="255">((AE72/I72)^(1/($AE$3-$J$1) ))-1</f>
        <v>#DIV/0!</v>
      </c>
      <c r="AG72" s="31">
        <f t="shared" si="16"/>
        <v>0.05</v>
      </c>
      <c r="AH72" s="145" t="e">
        <f t="shared" ref="AH72:AH100" si="256">(AE72*(1+AG72))/($C$1-AG72)</f>
        <v>#DIV/0!</v>
      </c>
    </row>
    <row r="73" spans="2:34">
      <c r="B73" s="20" t="s">
        <v>386</v>
      </c>
      <c r="C73" s="133"/>
      <c r="D73" s="133"/>
      <c r="E73" s="133"/>
      <c r="F73" s="133"/>
      <c r="G73" s="133">
        <f t="shared" ref="G73:H73" si="257">G20/G57</f>
        <v>0</v>
      </c>
      <c r="H73" s="133">
        <f t="shared" si="257"/>
        <v>0</v>
      </c>
      <c r="I73" s="133">
        <f>I20/I57</f>
        <v>0</v>
      </c>
      <c r="J73" s="133">
        <f t="shared" ref="J73:R73" si="258">J20/J57</f>
        <v>0</v>
      </c>
      <c r="K73" s="133">
        <f t="shared" si="258"/>
        <v>0</v>
      </c>
      <c r="L73" s="133">
        <f t="shared" si="258"/>
        <v>0</v>
      </c>
      <c r="M73" s="133">
        <f t="shared" si="258"/>
        <v>0</v>
      </c>
      <c r="N73" s="133">
        <f t="shared" si="258"/>
        <v>0</v>
      </c>
      <c r="O73" s="133">
        <f t="shared" si="258"/>
        <v>0</v>
      </c>
      <c r="P73" s="133">
        <f t="shared" si="258"/>
        <v>0</v>
      </c>
      <c r="Q73" s="133" t="e">
        <f t="shared" si="258"/>
        <v>#DIV/0!</v>
      </c>
      <c r="R73" s="133" t="e">
        <f t="shared" si="258"/>
        <v>#DIV/0!</v>
      </c>
      <c r="S73" s="133" t="e">
        <f t="shared" ref="S73" si="259">S20/S57</f>
        <v>#DIV/0!</v>
      </c>
      <c r="T73" s="118" t="e">
        <f t="shared" si="244"/>
        <v>#DIV/0!</v>
      </c>
      <c r="U73" s="128"/>
      <c r="V73" s="133" t="e">
        <f t="shared" ref="V73:AE73" si="260">V20/V57</f>
        <v>#DIV/0!</v>
      </c>
      <c r="W73" s="133" t="e">
        <f t="shared" si="260"/>
        <v>#DIV/0!</v>
      </c>
      <c r="X73" s="133" t="e">
        <f t="shared" si="260"/>
        <v>#DIV/0!</v>
      </c>
      <c r="Y73" s="133" t="e">
        <f t="shared" si="260"/>
        <v>#DIV/0!</v>
      </c>
      <c r="Z73" s="133" t="e">
        <f t="shared" si="260"/>
        <v>#DIV/0!</v>
      </c>
      <c r="AA73" s="133" t="e">
        <f t="shared" si="260"/>
        <v>#DIV/0!</v>
      </c>
      <c r="AB73" s="133" t="e">
        <f t="shared" si="260"/>
        <v>#DIV/0!</v>
      </c>
      <c r="AC73" s="133" t="e">
        <f t="shared" si="260"/>
        <v>#DIV/0!</v>
      </c>
      <c r="AD73" s="133" t="e">
        <f t="shared" si="260"/>
        <v>#DIV/0!</v>
      </c>
      <c r="AE73" s="133" t="e">
        <f t="shared" si="260"/>
        <v>#DIV/0!</v>
      </c>
      <c r="AF73" s="137" t="e">
        <f t="shared" ref="AF73" si="261">((AE73/I73)^(1/($AE$3-$J$1) ))-1</f>
        <v>#DIV/0!</v>
      </c>
      <c r="AG73" s="31">
        <f t="shared" si="16"/>
        <v>0.05</v>
      </c>
      <c r="AH73" s="145" t="e">
        <f t="shared" si="256"/>
        <v>#DIV/0!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62">G7/G57</f>
        <v>969700</v>
      </c>
      <c r="H74" s="133">
        <f t="shared" si="262"/>
        <v>1087800</v>
      </c>
      <c r="I74" s="133">
        <f t="shared" ref="I74:R74" si="263">I7/I57</f>
        <v>1797.3058637083996</v>
      </c>
      <c r="J74" s="133">
        <f t="shared" si="263"/>
        <v>2005.3882725832013</v>
      </c>
      <c r="K74" s="133">
        <f t="shared" si="263"/>
        <v>3215.2139461172742</v>
      </c>
      <c r="L74" s="133">
        <f t="shared" si="263"/>
        <v>3231.0618066561015</v>
      </c>
      <c r="M74" s="133">
        <f t="shared" si="263"/>
        <v>43.177176511565314</v>
      </c>
      <c r="N74" s="133">
        <f t="shared" si="263"/>
        <v>52.742903281984709</v>
      </c>
      <c r="O74" s="133">
        <f t="shared" si="263"/>
        <v>64.045406329655023</v>
      </c>
      <c r="P74" s="133">
        <f t="shared" si="263"/>
        <v>76.73954688662667</v>
      </c>
      <c r="Q74" s="133" t="e">
        <f t="shared" si="263"/>
        <v>#DIV/0!</v>
      </c>
      <c r="R74" s="133" t="e">
        <f t="shared" si="263"/>
        <v>#DIV/0!</v>
      </c>
      <c r="S74" s="133" t="e">
        <f t="shared" ref="S74" si="264">S7/S57</f>
        <v>#DIV/0!</v>
      </c>
      <c r="T74" s="118" t="e">
        <f t="shared" si="244"/>
        <v>#DIV/0!</v>
      </c>
      <c r="U74" s="128"/>
      <c r="V74" s="156" t="e">
        <f t="shared" ref="V74:AE74" si="265">V7/V57</f>
        <v>#DIV/0!</v>
      </c>
      <c r="W74" s="156" t="e">
        <f t="shared" si="265"/>
        <v>#DIV/0!</v>
      </c>
      <c r="X74" s="156" t="e">
        <f t="shared" si="265"/>
        <v>#DIV/0!</v>
      </c>
      <c r="Y74" s="156" t="e">
        <f t="shared" si="265"/>
        <v>#DIV/0!</v>
      </c>
      <c r="Z74" s="156" t="e">
        <f t="shared" si="265"/>
        <v>#DIV/0!</v>
      </c>
      <c r="AA74" s="156" t="e">
        <f t="shared" si="265"/>
        <v>#DIV/0!</v>
      </c>
      <c r="AB74" s="156" t="e">
        <f t="shared" si="265"/>
        <v>#DIV/0!</v>
      </c>
      <c r="AC74" s="156" t="e">
        <f t="shared" si="265"/>
        <v>#DIV/0!</v>
      </c>
      <c r="AD74" s="156" t="e">
        <f t="shared" si="265"/>
        <v>#DIV/0!</v>
      </c>
      <c r="AE74" s="156" t="e">
        <f t="shared" si="265"/>
        <v>#DIV/0!</v>
      </c>
      <c r="AF74" s="137" t="e">
        <f t="shared" si="255"/>
        <v>#DIV/0!</v>
      </c>
      <c r="AG74" s="31">
        <f t="shared" si="16"/>
        <v>0.05</v>
      </c>
      <c r="AH74" s="145" t="e">
        <f t="shared" si="256"/>
        <v>#DIV/0!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6">G6/G57</f>
        <v>338000</v>
      </c>
      <c r="H75" s="143">
        <f t="shared" si="266"/>
        <v>456100</v>
      </c>
      <c r="I75" s="143">
        <f t="shared" ref="I75:R75" si="267">I6/I57</f>
        <v>796.35499207606983</v>
      </c>
      <c r="J75" s="143">
        <f t="shared" si="267"/>
        <v>1004.4374009508717</v>
      </c>
      <c r="K75" s="143">
        <f t="shared" si="267"/>
        <v>2214.1045958795562</v>
      </c>
      <c r="L75" s="143">
        <f t="shared" si="267"/>
        <v>2230.1109350237721</v>
      </c>
      <c r="M75" s="143">
        <f t="shared" si="267"/>
        <v>33.177651473172588</v>
      </c>
      <c r="N75" s="143">
        <f t="shared" si="267"/>
        <v>42.741795038234407</v>
      </c>
      <c r="O75" s="143">
        <f t="shared" si="267"/>
        <v>54.044298085904721</v>
      </c>
      <c r="P75" s="143">
        <f t="shared" si="267"/>
        <v>66.740021848233937</v>
      </c>
      <c r="Q75" s="143" t="e">
        <f t="shared" si="267"/>
        <v>#DIV/0!</v>
      </c>
      <c r="R75" s="143" t="e">
        <f t="shared" si="267"/>
        <v>#DIV/0!</v>
      </c>
      <c r="S75" s="143" t="e">
        <f t="shared" ref="S75" si="268">S6/S57</f>
        <v>#DIV/0!</v>
      </c>
      <c r="T75" s="118" t="e">
        <f t="shared" si="244"/>
        <v>#DIV/0!</v>
      </c>
      <c r="U75" s="128"/>
      <c r="V75" s="155" t="e">
        <f t="shared" ref="V75:AE75" si="269">V6/V57</f>
        <v>#DIV/0!</v>
      </c>
      <c r="W75" s="155" t="e">
        <f t="shared" si="269"/>
        <v>#DIV/0!</v>
      </c>
      <c r="X75" s="155" t="e">
        <f t="shared" si="269"/>
        <v>#DIV/0!</v>
      </c>
      <c r="Y75" s="155" t="e">
        <f t="shared" si="269"/>
        <v>#DIV/0!</v>
      </c>
      <c r="Z75" s="155" t="e">
        <f t="shared" si="269"/>
        <v>#DIV/0!</v>
      </c>
      <c r="AA75" s="155" t="e">
        <f t="shared" si="269"/>
        <v>#DIV/0!</v>
      </c>
      <c r="AB75" s="155" t="e">
        <f t="shared" si="269"/>
        <v>#DIV/0!</v>
      </c>
      <c r="AC75" s="155" t="e">
        <f t="shared" si="269"/>
        <v>#DIV/0!</v>
      </c>
      <c r="AD75" s="155" t="e">
        <f t="shared" si="269"/>
        <v>#DIV/0!</v>
      </c>
      <c r="AE75" s="155" t="e">
        <f t="shared" si="269"/>
        <v>#DIV/0!</v>
      </c>
      <c r="AF75" s="137" t="e">
        <f t="shared" si="255"/>
        <v>#DIV/0!</v>
      </c>
      <c r="AG75" s="31">
        <f t="shared" si="16"/>
        <v>0.05</v>
      </c>
      <c r="AH75" s="145" t="e">
        <f t="shared" si="256"/>
        <v>#DIV/0!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70">G10/G57</f>
        <v>252400</v>
      </c>
      <c r="H76" s="143">
        <f t="shared" si="270"/>
        <v>237200</v>
      </c>
      <c r="I76" s="143">
        <f t="shared" ref="I76:R76" si="271">I10/I57</f>
        <v>300.95087163232967</v>
      </c>
      <c r="J76" s="143">
        <f t="shared" si="271"/>
        <v>260.8557844690967</v>
      </c>
      <c r="K76" s="143">
        <f t="shared" si="271"/>
        <v>298.57369255150559</v>
      </c>
      <c r="L76" s="143">
        <f t="shared" si="271"/>
        <v>340.41204437400955</v>
      </c>
      <c r="M76" s="143">
        <f t="shared" si="271"/>
        <v>3.302566375884616</v>
      </c>
      <c r="N76" s="143">
        <f t="shared" si="271"/>
        <v>2.1626585184364262</v>
      </c>
      <c r="O76" s="143">
        <f t="shared" si="271"/>
        <v>2.1104127416367175</v>
      </c>
      <c r="P76" s="143">
        <f t="shared" si="271"/>
        <v>1.7066953754571506</v>
      </c>
      <c r="Q76" s="143" t="e">
        <f t="shared" si="271"/>
        <v>#DIV/0!</v>
      </c>
      <c r="R76" s="143" t="e">
        <f t="shared" si="271"/>
        <v>#DIV/0!</v>
      </c>
      <c r="S76" s="143" t="e">
        <f t="shared" ref="S76" si="272">S10/S57</f>
        <v>#DIV/0!</v>
      </c>
      <c r="T76" s="118" t="e">
        <f t="shared" si="244"/>
        <v>#DIV/0!</v>
      </c>
      <c r="U76" s="128"/>
      <c r="V76" s="155" t="e">
        <f t="shared" ref="V76:AE76" si="273">V10/V57</f>
        <v>#DIV/0!</v>
      </c>
      <c r="W76" s="155" t="e">
        <f t="shared" si="273"/>
        <v>#DIV/0!</v>
      </c>
      <c r="X76" s="155" t="e">
        <f t="shared" si="273"/>
        <v>#DIV/0!</v>
      </c>
      <c r="Y76" s="155" t="e">
        <f t="shared" si="273"/>
        <v>#DIV/0!</v>
      </c>
      <c r="Z76" s="155" t="e">
        <f t="shared" si="273"/>
        <v>#DIV/0!</v>
      </c>
      <c r="AA76" s="155" t="e">
        <f t="shared" si="273"/>
        <v>#DIV/0!</v>
      </c>
      <c r="AB76" s="155" t="e">
        <f t="shared" si="273"/>
        <v>#DIV/0!</v>
      </c>
      <c r="AC76" s="155" t="e">
        <f t="shared" si="273"/>
        <v>#DIV/0!</v>
      </c>
      <c r="AD76" s="155" t="e">
        <f t="shared" si="273"/>
        <v>#DIV/0!</v>
      </c>
      <c r="AE76" s="155" t="e">
        <f t="shared" si="273"/>
        <v>#DIV/0!</v>
      </c>
      <c r="AF76" s="137" t="e">
        <f t="shared" si="255"/>
        <v>#DIV/0!</v>
      </c>
      <c r="AG76" s="31">
        <f t="shared" si="16"/>
        <v>0.05</v>
      </c>
      <c r="AH76" s="145" t="e">
        <f t="shared" si="256"/>
        <v>#DIV/0!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4">(G7-G10)/G57</f>
        <v>717300</v>
      </c>
      <c r="H78" s="143">
        <f t="shared" si="274"/>
        <v>850600</v>
      </c>
      <c r="I78" s="143">
        <f t="shared" ref="I78:R78" si="275">(I7-I10)/I57</f>
        <v>1496.3549920760697</v>
      </c>
      <c r="J78" s="143">
        <f t="shared" si="275"/>
        <v>1744.5324881141048</v>
      </c>
      <c r="K78" s="143">
        <f t="shared" si="275"/>
        <v>2916.6402535657689</v>
      </c>
      <c r="L78" s="143">
        <f t="shared" si="275"/>
        <v>2890.6497622820921</v>
      </c>
      <c r="M78" s="143">
        <f t="shared" si="275"/>
        <v>39.874610135680697</v>
      </c>
      <c r="N78" s="143">
        <f t="shared" si="275"/>
        <v>50.580244763548279</v>
      </c>
      <c r="O78" s="143">
        <f t="shared" si="275"/>
        <v>61.934993588018301</v>
      </c>
      <c r="P78" s="143">
        <f t="shared" si="275"/>
        <v>75.032851511169511</v>
      </c>
      <c r="Q78" s="143" t="e">
        <f t="shared" si="275"/>
        <v>#DIV/0!</v>
      </c>
      <c r="R78" s="143" t="e">
        <f t="shared" si="275"/>
        <v>#DIV/0!</v>
      </c>
      <c r="S78" s="143" t="e">
        <f t="shared" ref="S78" si="276">(S7-S10)/S57</f>
        <v>#DIV/0!</v>
      </c>
      <c r="T78" s="118" t="e">
        <f t="shared" si="244"/>
        <v>#DIV/0!</v>
      </c>
      <c r="U78" s="128"/>
      <c r="V78" s="155" t="e">
        <f t="shared" ref="V78:AE78" si="277">(V7-V10)/V57</f>
        <v>#DIV/0!</v>
      </c>
      <c r="W78" s="155" t="e">
        <f t="shared" si="277"/>
        <v>#DIV/0!</v>
      </c>
      <c r="X78" s="155" t="e">
        <f t="shared" si="277"/>
        <v>#DIV/0!</v>
      </c>
      <c r="Y78" s="155" t="e">
        <f t="shared" si="277"/>
        <v>#DIV/0!</v>
      </c>
      <c r="Z78" s="155" t="e">
        <f t="shared" si="277"/>
        <v>#DIV/0!</v>
      </c>
      <c r="AA78" s="155" t="e">
        <f t="shared" si="277"/>
        <v>#DIV/0!</v>
      </c>
      <c r="AB78" s="155" t="e">
        <f t="shared" si="277"/>
        <v>#DIV/0!</v>
      </c>
      <c r="AC78" s="155" t="e">
        <f t="shared" si="277"/>
        <v>#DIV/0!</v>
      </c>
      <c r="AD78" s="155" t="e">
        <f t="shared" si="277"/>
        <v>#DIV/0!</v>
      </c>
      <c r="AE78" s="155" t="e">
        <f t="shared" si="277"/>
        <v>#DIV/0!</v>
      </c>
      <c r="AF78" s="137" t="e">
        <f t="shared" si="255"/>
        <v>#DIV/0!</v>
      </c>
      <c r="AG78" s="31">
        <f t="shared" si="16"/>
        <v>0.05</v>
      </c>
      <c r="AH78" s="145" t="e">
        <f t="shared" si="256"/>
        <v>#DIV/0!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8">(G7-G10-G9)/G57</f>
        <v>321200</v>
      </c>
      <c r="H79" s="143">
        <f t="shared" si="278"/>
        <v>433300</v>
      </c>
      <c r="I79" s="143">
        <f t="shared" ref="I79:R79" si="279">(I7-I10-I9)/I57</f>
        <v>776.70364500792402</v>
      </c>
      <c r="J79" s="143">
        <f t="shared" si="279"/>
        <v>1028.6846275752773</v>
      </c>
      <c r="K79" s="143">
        <f t="shared" si="279"/>
        <v>282.88431061806659</v>
      </c>
      <c r="L79" s="143">
        <f t="shared" si="279"/>
        <v>-393.50237717908084</v>
      </c>
      <c r="M79" s="143">
        <f t="shared" si="279"/>
        <v>-2.1927394202301982</v>
      </c>
      <c r="N79" s="143">
        <f t="shared" si="279"/>
        <v>24.76924781913462</v>
      </c>
      <c r="O79" s="143">
        <f t="shared" si="279"/>
        <v>28.244383578994032</v>
      </c>
      <c r="P79" s="143">
        <f t="shared" si="279"/>
        <v>42.798790431106816</v>
      </c>
      <c r="Q79" s="143" t="e">
        <f t="shared" si="279"/>
        <v>#DIV/0!</v>
      </c>
      <c r="R79" s="143" t="e">
        <f t="shared" si="279"/>
        <v>#DIV/0!</v>
      </c>
      <c r="S79" s="143" t="e">
        <f t="shared" ref="S79" si="280">(S7-S10-S9)/S57</f>
        <v>#DIV/0!</v>
      </c>
      <c r="T79" s="118" t="e">
        <f t="shared" si="244"/>
        <v>#DIV/0!</v>
      </c>
      <c r="U79" s="128"/>
      <c r="V79" s="155" t="e">
        <f t="shared" ref="V79:AE79" si="281">(V7-V10-V9)/V57</f>
        <v>#DIV/0!</v>
      </c>
      <c r="W79" s="155" t="e">
        <f t="shared" si="281"/>
        <v>#DIV/0!</v>
      </c>
      <c r="X79" s="155" t="e">
        <f t="shared" si="281"/>
        <v>#DIV/0!</v>
      </c>
      <c r="Y79" s="155" t="e">
        <f t="shared" si="281"/>
        <v>#DIV/0!</v>
      </c>
      <c r="Z79" s="155" t="e">
        <f t="shared" si="281"/>
        <v>#DIV/0!</v>
      </c>
      <c r="AA79" s="155" t="e">
        <f t="shared" si="281"/>
        <v>#DIV/0!</v>
      </c>
      <c r="AB79" s="155" t="e">
        <f t="shared" si="281"/>
        <v>#DIV/0!</v>
      </c>
      <c r="AC79" s="155" t="e">
        <f t="shared" si="281"/>
        <v>#DIV/0!</v>
      </c>
      <c r="AD79" s="155" t="e">
        <f t="shared" si="281"/>
        <v>#DIV/0!</v>
      </c>
      <c r="AE79" s="155" t="e">
        <f t="shared" si="281"/>
        <v>#DIV/0!</v>
      </c>
      <c r="AF79" s="137" t="e">
        <f t="shared" si="255"/>
        <v>#DIV/0!</v>
      </c>
      <c r="AG79" s="31">
        <f t="shared" si="16"/>
        <v>0.05</v>
      </c>
      <c r="AH79" s="145" t="e">
        <f t="shared" si="256"/>
        <v>#DIV/0!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82">(G7+G15-G10-G9)/G57</f>
        <v>435400</v>
      </c>
      <c r="H80" s="143">
        <f t="shared" si="282"/>
        <v>691300</v>
      </c>
      <c r="I80" s="143">
        <f t="shared" ref="I80:R80" si="283">(I7+I15-I10-I9)/I57</f>
        <v>1235.4992076069732</v>
      </c>
      <c r="J80" s="143">
        <f t="shared" si="283"/>
        <v>1046.9096671949287</v>
      </c>
      <c r="K80" s="143">
        <f t="shared" si="283"/>
        <v>4403.6450079239303</v>
      </c>
      <c r="L80" s="143">
        <f t="shared" si="283"/>
        <v>690.17432646592715</v>
      </c>
      <c r="M80" s="143">
        <f t="shared" si="283"/>
        <v>13.107357155296613</v>
      </c>
      <c r="N80" s="143">
        <f t="shared" si="283"/>
        <v>111.54473346737805</v>
      </c>
      <c r="O80" s="143">
        <f t="shared" si="283"/>
        <v>138.97534949258269</v>
      </c>
      <c r="P80" s="143">
        <f t="shared" si="283"/>
        <v>166.81759891075473</v>
      </c>
      <c r="Q80" s="143" t="e">
        <f t="shared" si="283"/>
        <v>#DIV/0!</v>
      </c>
      <c r="R80" s="143" t="e">
        <f t="shared" si="283"/>
        <v>#DIV/0!</v>
      </c>
      <c r="S80" s="143" t="e">
        <f t="shared" ref="S80" si="284">(S7+S15-S10-S9)/S57</f>
        <v>#DIV/0!</v>
      </c>
      <c r="T80" s="118" t="e">
        <f t="shared" si="244"/>
        <v>#DIV/0!</v>
      </c>
      <c r="U80" s="128"/>
      <c r="V80" s="155" t="e">
        <f t="shared" ref="V80:AE80" si="285">(V7+V15-V10-V9)/V57</f>
        <v>#DIV/0!</v>
      </c>
      <c r="W80" s="155" t="e">
        <f t="shared" si="285"/>
        <v>#DIV/0!</v>
      </c>
      <c r="X80" s="155" t="e">
        <f t="shared" si="285"/>
        <v>#DIV/0!</v>
      </c>
      <c r="Y80" s="155" t="e">
        <f t="shared" si="285"/>
        <v>#DIV/0!</v>
      </c>
      <c r="Z80" s="155" t="e">
        <f t="shared" si="285"/>
        <v>#DIV/0!</v>
      </c>
      <c r="AA80" s="155" t="e">
        <f t="shared" si="285"/>
        <v>#DIV/0!</v>
      </c>
      <c r="AB80" s="155" t="e">
        <f t="shared" si="285"/>
        <v>#DIV/0!</v>
      </c>
      <c r="AC80" s="155" t="e">
        <f t="shared" si="285"/>
        <v>#DIV/0!</v>
      </c>
      <c r="AD80" s="155" t="e">
        <f t="shared" si="285"/>
        <v>#DIV/0!</v>
      </c>
      <c r="AE80" s="155" t="e">
        <f t="shared" si="285"/>
        <v>#DIV/0!</v>
      </c>
      <c r="AF80" s="137" t="e">
        <f t="shared" si="255"/>
        <v>#DIV/0!</v>
      </c>
      <c r="AG80" s="31">
        <f t="shared" si="16"/>
        <v>0.05</v>
      </c>
      <c r="AH80" s="145" t="e">
        <f t="shared" si="256"/>
        <v>#DIV/0!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6">G12/G57</f>
        <v>110700</v>
      </c>
      <c r="H82" s="143">
        <f t="shared" si="286"/>
        <v>253200</v>
      </c>
      <c r="I82" s="143">
        <f t="shared" ref="I82:R82" si="287">I12/I57</f>
        <v>453.72424722662441</v>
      </c>
      <c r="J82" s="143">
        <f t="shared" si="287"/>
        <v>590.80824088748022</v>
      </c>
      <c r="K82" s="143">
        <f t="shared" si="287"/>
        <v>3321.8700475435817</v>
      </c>
      <c r="L82" s="143">
        <f t="shared" si="287"/>
        <v>4705.8637083993663</v>
      </c>
      <c r="M82" s="143">
        <f t="shared" si="287"/>
        <v>61.865332552285359</v>
      </c>
      <c r="N82" s="143">
        <f t="shared" si="287"/>
        <v>72.520304608710802</v>
      </c>
      <c r="O82" s="143">
        <f t="shared" si="287"/>
        <v>92.145718221110457</v>
      </c>
      <c r="P82" s="143">
        <f t="shared" si="287"/>
        <v>98.532368633535455</v>
      </c>
      <c r="Q82" s="143" t="e">
        <f t="shared" si="287"/>
        <v>#DIV/0!</v>
      </c>
      <c r="R82" s="143" t="e">
        <f t="shared" si="287"/>
        <v>#DIV/0!</v>
      </c>
      <c r="S82" s="143" t="e">
        <f t="shared" ref="S82" si="288">S12/S57</f>
        <v>#DIV/0!</v>
      </c>
      <c r="T82" s="118" t="e">
        <f t="shared" si="244"/>
        <v>#DIV/0!</v>
      </c>
      <c r="U82" s="128"/>
      <c r="V82" s="155" t="e">
        <f t="shared" ref="V82:AE82" si="289">V12/V57</f>
        <v>#DIV/0!</v>
      </c>
      <c r="W82" s="155" t="e">
        <f t="shared" si="289"/>
        <v>#DIV/0!</v>
      </c>
      <c r="X82" s="155" t="e">
        <f t="shared" si="289"/>
        <v>#DIV/0!</v>
      </c>
      <c r="Y82" s="155" t="e">
        <f t="shared" si="289"/>
        <v>#DIV/0!</v>
      </c>
      <c r="Z82" s="155" t="e">
        <f t="shared" si="289"/>
        <v>#DIV/0!</v>
      </c>
      <c r="AA82" s="155" t="e">
        <f t="shared" si="289"/>
        <v>#DIV/0!</v>
      </c>
      <c r="AB82" s="155" t="e">
        <f t="shared" si="289"/>
        <v>#DIV/0!</v>
      </c>
      <c r="AC82" s="155" t="e">
        <f t="shared" si="289"/>
        <v>#DIV/0!</v>
      </c>
      <c r="AD82" s="155" t="e">
        <f t="shared" si="289"/>
        <v>#DIV/0!</v>
      </c>
      <c r="AE82" s="155" t="e">
        <f t="shared" si="289"/>
        <v>#DIV/0!</v>
      </c>
      <c r="AF82" s="137" t="e">
        <f t="shared" si="255"/>
        <v>#DIV/0!</v>
      </c>
      <c r="AG82" s="31">
        <f t="shared" si="16"/>
        <v>0.05</v>
      </c>
      <c r="AH82" s="145" t="e">
        <f t="shared" si="256"/>
        <v>#DIV/0!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90">G13/G57</f>
        <v>1111300</v>
      </c>
      <c r="H83" s="143">
        <f t="shared" si="290"/>
        <v>1276300</v>
      </c>
      <c r="I83" s="143">
        <f t="shared" ref="I83:R83" si="291">I13/I57</f>
        <v>1678.4469096671951</v>
      </c>
      <c r="J83" s="143">
        <f t="shared" si="291"/>
        <v>1000.9508716323297</v>
      </c>
      <c r="K83" s="143">
        <f t="shared" si="291"/>
        <v>272.10776545166402</v>
      </c>
      <c r="L83" s="143">
        <f t="shared" si="291"/>
        <v>238.51030110935025</v>
      </c>
      <c r="M83" s="143">
        <f t="shared" si="291"/>
        <v>2.0296692684008044</v>
      </c>
      <c r="N83" s="143">
        <f t="shared" si="291"/>
        <v>1.6829472950936466</v>
      </c>
      <c r="O83" s="143">
        <f t="shared" si="291"/>
        <v>3.1363298133400885</v>
      </c>
      <c r="P83" s="143">
        <f t="shared" si="291"/>
        <v>3.7901936260152302</v>
      </c>
      <c r="Q83" s="143" t="e">
        <f t="shared" si="291"/>
        <v>#DIV/0!</v>
      </c>
      <c r="R83" s="143" t="e">
        <f t="shared" si="291"/>
        <v>#DIV/0!</v>
      </c>
      <c r="S83" s="143" t="e">
        <f t="shared" ref="S83" si="292">S13/S57</f>
        <v>#DIV/0!</v>
      </c>
      <c r="T83" s="118" t="e">
        <f t="shared" si="244"/>
        <v>#DIV/0!</v>
      </c>
      <c r="U83" s="128"/>
      <c r="V83" s="155" t="e">
        <f t="shared" ref="V83:AE83" si="293">V13/V57</f>
        <v>#DIV/0!</v>
      </c>
      <c r="W83" s="155" t="e">
        <f t="shared" si="293"/>
        <v>#DIV/0!</v>
      </c>
      <c r="X83" s="155" t="e">
        <f t="shared" si="293"/>
        <v>#DIV/0!</v>
      </c>
      <c r="Y83" s="155" t="e">
        <f t="shared" si="293"/>
        <v>#DIV/0!</v>
      </c>
      <c r="Z83" s="155" t="e">
        <f t="shared" si="293"/>
        <v>#DIV/0!</v>
      </c>
      <c r="AA83" s="155" t="e">
        <f t="shared" si="293"/>
        <v>#DIV/0!</v>
      </c>
      <c r="AB83" s="155" t="e">
        <f t="shared" si="293"/>
        <v>#DIV/0!</v>
      </c>
      <c r="AC83" s="155" t="e">
        <f t="shared" si="293"/>
        <v>#DIV/0!</v>
      </c>
      <c r="AD83" s="155" t="e">
        <f t="shared" si="293"/>
        <v>#DIV/0!</v>
      </c>
      <c r="AE83" s="155" t="e">
        <f t="shared" si="293"/>
        <v>#DIV/0!</v>
      </c>
      <c r="AF83" s="137" t="e">
        <f t="shared" si="255"/>
        <v>#DIV/0!</v>
      </c>
      <c r="AG83" s="31">
        <f t="shared" si="16"/>
        <v>0.05</v>
      </c>
      <c r="AH83" s="145" t="e">
        <f t="shared" si="256"/>
        <v>#DIV/0!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4">(G82+G83)</f>
        <v>1222000</v>
      </c>
      <c r="H84" s="143">
        <f t="shared" si="294"/>
        <v>1529500</v>
      </c>
      <c r="I84" s="143">
        <f t="shared" ref="I84:R84" si="295">(I82+I83)</f>
        <v>2132.1711568938194</v>
      </c>
      <c r="J84" s="143">
        <f t="shared" si="295"/>
        <v>1591.7591125198101</v>
      </c>
      <c r="K84" s="143">
        <f t="shared" si="295"/>
        <v>3593.9778129952456</v>
      </c>
      <c r="L84" s="143">
        <f t="shared" si="295"/>
        <v>4944.3740095087169</v>
      </c>
      <c r="M84" s="143">
        <f t="shared" si="295"/>
        <v>63.895001820686161</v>
      </c>
      <c r="N84" s="143">
        <f t="shared" si="295"/>
        <v>74.203251903804443</v>
      </c>
      <c r="O84" s="143">
        <f t="shared" si="295"/>
        <v>95.28204803445054</v>
      </c>
      <c r="P84" s="143">
        <f t="shared" si="295"/>
        <v>102.32256225955068</v>
      </c>
      <c r="Q84" s="143" t="e">
        <f t="shared" ref="Q84" si="296">(Q82+Q83)</f>
        <v>#DIV/0!</v>
      </c>
      <c r="R84" s="143" t="e">
        <f t="shared" si="295"/>
        <v>#DIV/0!</v>
      </c>
      <c r="S84" s="143" t="e">
        <f t="shared" ref="S84" si="297">(S82+S83)</f>
        <v>#DIV/0!</v>
      </c>
      <c r="T84" s="118" t="e">
        <f t="shared" si="244"/>
        <v>#DIV/0!</v>
      </c>
      <c r="U84" s="128"/>
      <c r="V84" s="155" t="e">
        <f t="shared" ref="V84:AE84" si="298">(V82+V83)</f>
        <v>#DIV/0!</v>
      </c>
      <c r="W84" s="155" t="e">
        <f t="shared" si="298"/>
        <v>#DIV/0!</v>
      </c>
      <c r="X84" s="155" t="e">
        <f t="shared" si="298"/>
        <v>#DIV/0!</v>
      </c>
      <c r="Y84" s="155" t="e">
        <f t="shared" si="298"/>
        <v>#DIV/0!</v>
      </c>
      <c r="Z84" s="155" t="e">
        <f t="shared" si="298"/>
        <v>#DIV/0!</v>
      </c>
      <c r="AA84" s="155" t="e">
        <f t="shared" si="298"/>
        <v>#DIV/0!</v>
      </c>
      <c r="AB84" s="155" t="e">
        <f t="shared" si="298"/>
        <v>#DIV/0!</v>
      </c>
      <c r="AC84" s="155" t="e">
        <f t="shared" si="298"/>
        <v>#DIV/0!</v>
      </c>
      <c r="AD84" s="155" t="e">
        <f t="shared" si="298"/>
        <v>#DIV/0!</v>
      </c>
      <c r="AE84" s="155" t="e">
        <f t="shared" si="298"/>
        <v>#DIV/0!</v>
      </c>
      <c r="AF84" s="137" t="e">
        <f t="shared" si="255"/>
        <v>#DIV/0!</v>
      </c>
      <c r="AG84" s="31">
        <f t="shared" si="16"/>
        <v>0.05</v>
      </c>
      <c r="AH84" s="145" t="e">
        <f t="shared" si="256"/>
        <v>#DIV/0!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9">G15/G57</f>
        <v>114200</v>
      </c>
      <c r="H85" s="143">
        <f t="shared" si="299"/>
        <v>258000</v>
      </c>
      <c r="I85" s="143">
        <f t="shared" ref="I85:R85" si="300">I15/I57</f>
        <v>458.79556259904916</v>
      </c>
      <c r="J85" s="143">
        <f t="shared" si="300"/>
        <v>18.225039619651348</v>
      </c>
      <c r="K85" s="143">
        <f t="shared" si="300"/>
        <v>4120.7606973058637</v>
      </c>
      <c r="L85" s="143">
        <f t="shared" si="300"/>
        <v>1083.676703645008</v>
      </c>
      <c r="M85" s="143">
        <f t="shared" si="300"/>
        <v>15.300096575526812</v>
      </c>
      <c r="N85" s="143">
        <f t="shared" si="300"/>
        <v>86.775485648243432</v>
      </c>
      <c r="O85" s="143">
        <f t="shared" si="300"/>
        <v>110.73096591358865</v>
      </c>
      <c r="P85" s="143">
        <f t="shared" si="300"/>
        <v>124.0188084796479</v>
      </c>
      <c r="Q85" s="143" t="e">
        <f t="shared" si="300"/>
        <v>#DIV/0!</v>
      </c>
      <c r="R85" s="143" t="e">
        <f t="shared" si="300"/>
        <v>#DIV/0!</v>
      </c>
      <c r="S85" s="143" t="e">
        <f t="shared" ref="S85" si="301">S15/S57</f>
        <v>#DIV/0!</v>
      </c>
      <c r="T85" s="118" t="e">
        <f t="shared" si="244"/>
        <v>#DIV/0!</v>
      </c>
      <c r="U85" s="128"/>
      <c r="V85" s="155" t="e">
        <f t="shared" ref="V85:AE85" si="302">V15/V57</f>
        <v>#DIV/0!</v>
      </c>
      <c r="W85" s="155" t="e">
        <f t="shared" si="302"/>
        <v>#DIV/0!</v>
      </c>
      <c r="X85" s="155" t="e">
        <f t="shared" si="302"/>
        <v>#DIV/0!</v>
      </c>
      <c r="Y85" s="155" t="e">
        <f t="shared" si="302"/>
        <v>#DIV/0!</v>
      </c>
      <c r="Z85" s="155" t="e">
        <f t="shared" si="302"/>
        <v>#DIV/0!</v>
      </c>
      <c r="AA85" s="155" t="e">
        <f t="shared" si="302"/>
        <v>#DIV/0!</v>
      </c>
      <c r="AB85" s="155" t="e">
        <f t="shared" si="302"/>
        <v>#DIV/0!</v>
      </c>
      <c r="AC85" s="155" t="e">
        <f t="shared" si="302"/>
        <v>#DIV/0!</v>
      </c>
      <c r="AD85" s="155" t="e">
        <f t="shared" si="302"/>
        <v>#DIV/0!</v>
      </c>
      <c r="AE85" s="155" t="e">
        <f t="shared" si="302"/>
        <v>#DIV/0!</v>
      </c>
      <c r="AF85" s="137" t="e">
        <f t="shared" si="255"/>
        <v>#DIV/0!</v>
      </c>
      <c r="AG85" s="31">
        <f t="shared" si="16"/>
        <v>0.05</v>
      </c>
      <c r="AH85" s="145" t="e">
        <f t="shared" si="256"/>
        <v>#DIV/0!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303">G16/G57</f>
        <v>97200</v>
      </c>
      <c r="H86" s="143">
        <f t="shared" si="303"/>
        <v>37200</v>
      </c>
      <c r="I86" s="143">
        <f t="shared" ref="I86:R86" si="304">I16/I57</f>
        <v>403.32805071315374</v>
      </c>
      <c r="J86" s="143">
        <f t="shared" si="304"/>
        <v>1250.554675118859</v>
      </c>
      <c r="K86" s="143">
        <f t="shared" si="304"/>
        <v>1334.5483359746436</v>
      </c>
      <c r="L86" s="143">
        <f t="shared" si="304"/>
        <v>1297.6228209191761</v>
      </c>
      <c r="M86" s="143">
        <f t="shared" si="304"/>
        <v>22.084131532701107</v>
      </c>
      <c r="N86" s="143">
        <f t="shared" si="304"/>
        <v>29.683517249022373</v>
      </c>
      <c r="O86" s="143">
        <f t="shared" si="304"/>
        <v>37.227490777828791</v>
      </c>
      <c r="P86" s="143">
        <f t="shared" si="304"/>
        <v>47.901461298545037</v>
      </c>
      <c r="Q86" s="143" t="e">
        <f t="shared" si="304"/>
        <v>#DIV/0!</v>
      </c>
      <c r="R86" s="143" t="e">
        <f t="shared" si="304"/>
        <v>#DIV/0!</v>
      </c>
      <c r="S86" s="143" t="e">
        <f t="shared" ref="S86" si="305">S16/S57</f>
        <v>#DIV/0!</v>
      </c>
      <c r="T86" s="118" t="e">
        <f t="shared" si="244"/>
        <v>#DIV/0!</v>
      </c>
      <c r="U86" s="128"/>
      <c r="V86" s="155" t="e">
        <f t="shared" ref="V86:AE86" si="306">V16/V57</f>
        <v>#DIV/0!</v>
      </c>
      <c r="W86" s="155" t="e">
        <f t="shared" si="306"/>
        <v>#DIV/0!</v>
      </c>
      <c r="X86" s="155" t="e">
        <f t="shared" si="306"/>
        <v>#DIV/0!</v>
      </c>
      <c r="Y86" s="155" t="e">
        <f t="shared" si="306"/>
        <v>#DIV/0!</v>
      </c>
      <c r="Z86" s="155" t="e">
        <f t="shared" si="306"/>
        <v>#DIV/0!</v>
      </c>
      <c r="AA86" s="155" t="e">
        <f t="shared" si="306"/>
        <v>#DIV/0!</v>
      </c>
      <c r="AB86" s="155" t="e">
        <f t="shared" si="306"/>
        <v>#DIV/0!</v>
      </c>
      <c r="AC86" s="155" t="e">
        <f t="shared" si="306"/>
        <v>#DIV/0!</v>
      </c>
      <c r="AD86" s="155" t="e">
        <f t="shared" si="306"/>
        <v>#DIV/0!</v>
      </c>
      <c r="AE86" s="155" t="e">
        <f t="shared" si="306"/>
        <v>#DIV/0!</v>
      </c>
      <c r="AF86" s="137" t="e">
        <f t="shared" si="255"/>
        <v>#DIV/0!</v>
      </c>
      <c r="AG86" s="136"/>
      <c r="AH86" s="145" t="e">
        <f t="shared" si="256"/>
        <v>#DIV/0!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256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7">G59</f>
        <v>0.01</v>
      </c>
      <c r="H88" s="157">
        <f t="shared" si="307"/>
        <v>0.01</v>
      </c>
      <c r="I88" s="157">
        <f t="shared" ref="I88:R88" si="308">I59</f>
        <v>200</v>
      </c>
      <c r="J88" s="157">
        <f t="shared" si="308"/>
        <v>237</v>
      </c>
      <c r="K88" s="157">
        <f t="shared" si="308"/>
        <v>270</v>
      </c>
      <c r="L88" s="157">
        <f t="shared" si="308"/>
        <v>2.7</v>
      </c>
      <c r="M88" s="157">
        <f t="shared" si="308"/>
        <v>3.5</v>
      </c>
      <c r="N88" s="157">
        <f t="shared" si="308"/>
        <v>3.9</v>
      </c>
      <c r="O88" s="157">
        <f t="shared" si="308"/>
        <v>10</v>
      </c>
      <c r="P88" s="157">
        <f t="shared" si="308"/>
        <v>14</v>
      </c>
      <c r="Q88" s="157">
        <f t="shared" si="308"/>
        <v>0</v>
      </c>
      <c r="R88" s="157">
        <f t="shared" si="308"/>
        <v>0</v>
      </c>
      <c r="S88" s="157">
        <f t="shared" ref="S88" si="309">S59</f>
        <v>0</v>
      </c>
      <c r="T88" s="118">
        <f t="shared" si="244"/>
        <v>-1</v>
      </c>
      <c r="U88" s="128"/>
      <c r="V88" s="157">
        <f t="shared" ref="V88:AE88" si="310">V59</f>
        <v>0</v>
      </c>
      <c r="W88" s="157">
        <f t="shared" si="310"/>
        <v>0</v>
      </c>
      <c r="X88" s="157">
        <f t="shared" si="310"/>
        <v>0</v>
      </c>
      <c r="Y88" s="157">
        <f t="shared" si="310"/>
        <v>0</v>
      </c>
      <c r="Z88" s="157">
        <f t="shared" si="310"/>
        <v>0</v>
      </c>
      <c r="AA88" s="157">
        <f t="shared" si="310"/>
        <v>0</v>
      </c>
      <c r="AB88" s="157">
        <f t="shared" si="310"/>
        <v>0</v>
      </c>
      <c r="AC88" s="157">
        <f t="shared" si="310"/>
        <v>0</v>
      </c>
      <c r="AD88" s="157">
        <f t="shared" si="310"/>
        <v>0</v>
      </c>
      <c r="AE88" s="157">
        <f t="shared" si="310"/>
        <v>0</v>
      </c>
      <c r="AF88" s="137">
        <f t="shared" ref="AF88" si="311">((AE88/I88)^(1/($AE$3-$J$1) ))-1</f>
        <v>-1</v>
      </c>
      <c r="AG88" s="31">
        <f t="shared" si="16"/>
        <v>0.05</v>
      </c>
      <c r="AH88" s="145">
        <f t="shared" si="256"/>
        <v>0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315</v>
      </c>
      <c r="C90" s="127"/>
      <c r="D90" s="127"/>
      <c r="E90" s="127"/>
      <c r="F90" s="127"/>
      <c r="G90" s="143">
        <f t="shared" ref="G90:H90" si="312">G20+G21</f>
        <v>0</v>
      </c>
      <c r="H90" s="143">
        <f t="shared" si="312"/>
        <v>0</v>
      </c>
      <c r="I90" s="143">
        <f t="shared" ref="I90:R90" si="313">I20+I21</f>
        <v>0</v>
      </c>
      <c r="J90" s="143">
        <f t="shared" si="313"/>
        <v>0</v>
      </c>
      <c r="K90" s="143">
        <f t="shared" si="313"/>
        <v>0</v>
      </c>
      <c r="L90" s="143">
        <f t="shared" si="313"/>
        <v>0</v>
      </c>
      <c r="M90" s="143">
        <f t="shared" si="313"/>
        <v>0</v>
      </c>
      <c r="N90" s="143">
        <f t="shared" si="313"/>
        <v>0</v>
      </c>
      <c r="O90" s="143">
        <f t="shared" si="313"/>
        <v>0</v>
      </c>
      <c r="P90" s="143">
        <f t="shared" si="313"/>
        <v>0</v>
      </c>
      <c r="Q90" s="143">
        <f t="shared" si="313"/>
        <v>0</v>
      </c>
      <c r="R90" s="143">
        <f t="shared" si="313"/>
        <v>0</v>
      </c>
      <c r="S90" s="143">
        <f t="shared" ref="S90" si="314">S20+S21</f>
        <v>0</v>
      </c>
      <c r="T90" s="118" t="e">
        <f t="shared" si="244"/>
        <v>#DIV/0!</v>
      </c>
      <c r="U90" s="128"/>
      <c r="V90" s="143">
        <f t="shared" ref="V90:AE90" si="315">V20+V21</f>
        <v>0</v>
      </c>
      <c r="W90" s="143">
        <f t="shared" si="315"/>
        <v>0</v>
      </c>
      <c r="X90" s="143">
        <f t="shared" si="315"/>
        <v>0</v>
      </c>
      <c r="Y90" s="143">
        <f t="shared" si="315"/>
        <v>0</v>
      </c>
      <c r="Z90" s="143">
        <f t="shared" si="315"/>
        <v>0</v>
      </c>
      <c r="AA90" s="143">
        <f t="shared" si="315"/>
        <v>0</v>
      </c>
      <c r="AB90" s="143">
        <f t="shared" si="315"/>
        <v>0</v>
      </c>
      <c r="AC90" s="143">
        <f t="shared" si="315"/>
        <v>0</v>
      </c>
      <c r="AD90" s="143">
        <f t="shared" si="315"/>
        <v>0</v>
      </c>
      <c r="AE90" s="143">
        <f t="shared" si="315"/>
        <v>0</v>
      </c>
      <c r="AF90" s="137" t="e">
        <f t="shared" ref="AF90:AF95" si="316">((AE90/I90)^(1/($AE$3-$J$1) ))-1</f>
        <v>#DIV/0!</v>
      </c>
      <c r="AG90" s="31">
        <f t="shared" si="16"/>
        <v>0.05</v>
      </c>
      <c r="AH90" s="145">
        <f t="shared" si="256"/>
        <v>0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316</v>
      </c>
      <c r="C92" s="127"/>
      <c r="D92" s="127"/>
      <c r="E92" s="127"/>
      <c r="F92" s="127"/>
      <c r="G92" s="143">
        <f t="shared" ref="G92:H92" si="317">G90/G57</f>
        <v>0</v>
      </c>
      <c r="H92" s="143">
        <f t="shared" si="317"/>
        <v>0</v>
      </c>
      <c r="I92" s="143">
        <f t="shared" ref="I92:R92" si="318">I90/I57</f>
        <v>0</v>
      </c>
      <c r="J92" s="143">
        <f t="shared" si="318"/>
        <v>0</v>
      </c>
      <c r="K92" s="143">
        <f t="shared" si="318"/>
        <v>0</v>
      </c>
      <c r="L92" s="143">
        <f t="shared" si="318"/>
        <v>0</v>
      </c>
      <c r="M92" s="143">
        <f t="shared" si="318"/>
        <v>0</v>
      </c>
      <c r="N92" s="143">
        <f t="shared" si="318"/>
        <v>0</v>
      </c>
      <c r="O92" s="143">
        <f t="shared" si="318"/>
        <v>0</v>
      </c>
      <c r="P92" s="143">
        <f t="shared" si="318"/>
        <v>0</v>
      </c>
      <c r="Q92" s="143" t="e">
        <f t="shared" si="318"/>
        <v>#DIV/0!</v>
      </c>
      <c r="R92" s="143" t="e">
        <f t="shared" si="318"/>
        <v>#DIV/0!</v>
      </c>
      <c r="S92" s="143" t="e">
        <f t="shared" ref="S92" si="319">S90/S57</f>
        <v>#DIV/0!</v>
      </c>
      <c r="T92" s="118" t="e">
        <f t="shared" si="244"/>
        <v>#DIV/0!</v>
      </c>
      <c r="U92" s="128"/>
      <c r="V92" s="145" t="e">
        <f t="shared" ref="V92:AE92" si="320">V90/V57</f>
        <v>#DIV/0!</v>
      </c>
      <c r="W92" s="145" t="e">
        <f t="shared" si="320"/>
        <v>#DIV/0!</v>
      </c>
      <c r="X92" s="145" t="e">
        <f t="shared" si="320"/>
        <v>#DIV/0!</v>
      </c>
      <c r="Y92" s="145" t="e">
        <f t="shared" si="320"/>
        <v>#DIV/0!</v>
      </c>
      <c r="Z92" s="145" t="e">
        <f t="shared" si="320"/>
        <v>#DIV/0!</v>
      </c>
      <c r="AA92" s="145" t="e">
        <f t="shared" si="320"/>
        <v>#DIV/0!</v>
      </c>
      <c r="AB92" s="145" t="e">
        <f t="shared" si="320"/>
        <v>#DIV/0!</v>
      </c>
      <c r="AC92" s="145" t="e">
        <f t="shared" si="320"/>
        <v>#DIV/0!</v>
      </c>
      <c r="AD92" s="145" t="e">
        <f t="shared" si="320"/>
        <v>#DIV/0!</v>
      </c>
      <c r="AE92" s="145" t="e">
        <f t="shared" si="320"/>
        <v>#DIV/0!</v>
      </c>
      <c r="AF92" s="137" t="e">
        <f t="shared" si="316"/>
        <v>#DIV/0!</v>
      </c>
      <c r="AG92" s="31">
        <f t="shared" si="16"/>
        <v>0.05</v>
      </c>
      <c r="AH92" s="145" t="e">
        <f t="shared" si="256"/>
        <v>#DIV/0!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21">G20/G57</f>
        <v>0</v>
      </c>
      <c r="H93" s="143">
        <f t="shared" si="321"/>
        <v>0</v>
      </c>
      <c r="I93" s="143">
        <f t="shared" ref="I93:R93" si="322">I20/I57</f>
        <v>0</v>
      </c>
      <c r="J93" s="143">
        <f t="shared" si="322"/>
        <v>0</v>
      </c>
      <c r="K93" s="143">
        <f t="shared" si="322"/>
        <v>0</v>
      </c>
      <c r="L93" s="143">
        <f t="shared" si="322"/>
        <v>0</v>
      </c>
      <c r="M93" s="143">
        <f t="shared" si="322"/>
        <v>0</v>
      </c>
      <c r="N93" s="143">
        <f t="shared" si="322"/>
        <v>0</v>
      </c>
      <c r="O93" s="143">
        <f t="shared" si="322"/>
        <v>0</v>
      </c>
      <c r="P93" s="143">
        <f t="shared" si="322"/>
        <v>0</v>
      </c>
      <c r="Q93" s="143" t="e">
        <f t="shared" si="322"/>
        <v>#DIV/0!</v>
      </c>
      <c r="R93" s="143" t="e">
        <f t="shared" si="322"/>
        <v>#DIV/0!</v>
      </c>
      <c r="S93" s="143" t="e">
        <f t="shared" ref="S93" si="323">S20/S57</f>
        <v>#DIV/0!</v>
      </c>
      <c r="T93" s="118" t="e">
        <f t="shared" si="244"/>
        <v>#DIV/0!</v>
      </c>
      <c r="U93" s="128"/>
      <c r="V93" s="145" t="e">
        <f t="shared" ref="V93:AE93" si="324">V20/V57</f>
        <v>#DIV/0!</v>
      </c>
      <c r="W93" s="145" t="e">
        <f t="shared" si="324"/>
        <v>#DIV/0!</v>
      </c>
      <c r="X93" s="145" t="e">
        <f t="shared" si="324"/>
        <v>#DIV/0!</v>
      </c>
      <c r="Y93" s="145" t="e">
        <f t="shared" si="324"/>
        <v>#DIV/0!</v>
      </c>
      <c r="Z93" s="145" t="e">
        <f t="shared" si="324"/>
        <v>#DIV/0!</v>
      </c>
      <c r="AA93" s="145" t="e">
        <f t="shared" si="324"/>
        <v>#DIV/0!</v>
      </c>
      <c r="AB93" s="145" t="e">
        <f t="shared" si="324"/>
        <v>#DIV/0!</v>
      </c>
      <c r="AC93" s="145" t="e">
        <f t="shared" si="324"/>
        <v>#DIV/0!</v>
      </c>
      <c r="AD93" s="145" t="e">
        <f t="shared" si="324"/>
        <v>#DIV/0!</v>
      </c>
      <c r="AE93" s="145" t="e">
        <f t="shared" si="324"/>
        <v>#DIV/0!</v>
      </c>
      <c r="AF93" s="137" t="e">
        <f t="shared" si="316"/>
        <v>#DIV/0!</v>
      </c>
      <c r="AG93" s="31">
        <f t="shared" si="16"/>
        <v>0.05</v>
      </c>
      <c r="AH93" s="145" t="e">
        <f t="shared" si="256"/>
        <v>#DIV/0!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5">G21/G57</f>
        <v>0</v>
      </c>
      <c r="H94" s="143">
        <f t="shared" si="325"/>
        <v>0</v>
      </c>
      <c r="I94" s="143">
        <f t="shared" ref="I94:R94" si="326">I21/I57</f>
        <v>0</v>
      </c>
      <c r="J94" s="143">
        <f t="shared" si="326"/>
        <v>0</v>
      </c>
      <c r="K94" s="143">
        <f t="shared" si="326"/>
        <v>0</v>
      </c>
      <c r="L94" s="143">
        <f t="shared" si="326"/>
        <v>0</v>
      </c>
      <c r="M94" s="143">
        <f t="shared" si="326"/>
        <v>0</v>
      </c>
      <c r="N94" s="143">
        <f t="shared" si="326"/>
        <v>0</v>
      </c>
      <c r="O94" s="143">
        <f t="shared" si="326"/>
        <v>0</v>
      </c>
      <c r="P94" s="143">
        <f t="shared" si="326"/>
        <v>0</v>
      </c>
      <c r="Q94" s="143" t="e">
        <f t="shared" si="326"/>
        <v>#DIV/0!</v>
      </c>
      <c r="R94" s="143" t="e">
        <f t="shared" si="326"/>
        <v>#DIV/0!</v>
      </c>
      <c r="S94" s="143" t="e">
        <f t="shared" ref="S94" si="327">S21/S57</f>
        <v>#DIV/0!</v>
      </c>
      <c r="T94" s="118" t="e">
        <f t="shared" si="244"/>
        <v>#DIV/0!</v>
      </c>
      <c r="U94" s="128"/>
      <c r="V94" s="145" t="e">
        <f t="shared" ref="V94:AE94" si="328">V21/V57</f>
        <v>#DIV/0!</v>
      </c>
      <c r="W94" s="145" t="e">
        <f t="shared" si="328"/>
        <v>#DIV/0!</v>
      </c>
      <c r="X94" s="145" t="e">
        <f t="shared" si="328"/>
        <v>#DIV/0!</v>
      </c>
      <c r="Y94" s="145" t="e">
        <f t="shared" si="328"/>
        <v>#DIV/0!</v>
      </c>
      <c r="Z94" s="145" t="e">
        <f t="shared" si="328"/>
        <v>#DIV/0!</v>
      </c>
      <c r="AA94" s="145" t="e">
        <f t="shared" si="328"/>
        <v>#DIV/0!</v>
      </c>
      <c r="AB94" s="145" t="e">
        <f t="shared" si="328"/>
        <v>#DIV/0!</v>
      </c>
      <c r="AC94" s="145" t="e">
        <f t="shared" si="328"/>
        <v>#DIV/0!</v>
      </c>
      <c r="AD94" s="145" t="e">
        <f t="shared" si="328"/>
        <v>#DIV/0!</v>
      </c>
      <c r="AE94" s="145" t="e">
        <f t="shared" si="328"/>
        <v>#DIV/0!</v>
      </c>
      <c r="AF94" s="137" t="e">
        <f t="shared" si="316"/>
        <v>#DIV/0!</v>
      </c>
      <c r="AG94" s="31">
        <f t="shared" si="16"/>
        <v>0.05</v>
      </c>
      <c r="AH94" s="145" t="e">
        <f t="shared" si="256"/>
        <v>#DIV/0!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9">G22/G57</f>
        <v>0</v>
      </c>
      <c r="H95" s="143">
        <f t="shared" si="329"/>
        <v>0</v>
      </c>
      <c r="I95" s="143">
        <f t="shared" ref="I95:R95" si="330">I22/I57</f>
        <v>0</v>
      </c>
      <c r="J95" s="143">
        <f t="shared" si="330"/>
        <v>0</v>
      </c>
      <c r="K95" s="143">
        <f t="shared" si="330"/>
        <v>0</v>
      </c>
      <c r="L95" s="143">
        <f t="shared" si="330"/>
        <v>0</v>
      </c>
      <c r="M95" s="143">
        <f t="shared" si="330"/>
        <v>0</v>
      </c>
      <c r="N95" s="143">
        <f t="shared" si="330"/>
        <v>0</v>
      </c>
      <c r="O95" s="143">
        <f t="shared" si="330"/>
        <v>0</v>
      </c>
      <c r="P95" s="143">
        <f t="shared" si="330"/>
        <v>0</v>
      </c>
      <c r="Q95" s="143" t="e">
        <f t="shared" si="330"/>
        <v>#DIV/0!</v>
      </c>
      <c r="R95" s="143" t="e">
        <f t="shared" si="330"/>
        <v>#DIV/0!</v>
      </c>
      <c r="S95" s="143" t="e">
        <f t="shared" ref="S95" si="331">S22/S57</f>
        <v>#DIV/0!</v>
      </c>
      <c r="T95" s="118" t="e">
        <f t="shared" si="244"/>
        <v>#DIV/0!</v>
      </c>
      <c r="U95" s="128"/>
      <c r="V95" s="145" t="e">
        <f t="shared" ref="V95:AE95" si="332">V22/V57</f>
        <v>#DIV/0!</v>
      </c>
      <c r="W95" s="145" t="e">
        <f t="shared" si="332"/>
        <v>#DIV/0!</v>
      </c>
      <c r="X95" s="145" t="e">
        <f t="shared" si="332"/>
        <v>#DIV/0!</v>
      </c>
      <c r="Y95" s="145" t="e">
        <f t="shared" si="332"/>
        <v>#DIV/0!</v>
      </c>
      <c r="Z95" s="145" t="e">
        <f t="shared" si="332"/>
        <v>#DIV/0!</v>
      </c>
      <c r="AA95" s="145" t="e">
        <f t="shared" si="332"/>
        <v>#DIV/0!</v>
      </c>
      <c r="AB95" s="145" t="e">
        <f t="shared" si="332"/>
        <v>#DIV/0!</v>
      </c>
      <c r="AC95" s="145" t="e">
        <f t="shared" si="332"/>
        <v>#DIV/0!</v>
      </c>
      <c r="AD95" s="145" t="e">
        <f t="shared" si="332"/>
        <v>#DIV/0!</v>
      </c>
      <c r="AE95" s="145" t="e">
        <f t="shared" si="332"/>
        <v>#DIV/0!</v>
      </c>
      <c r="AF95" s="137" t="e">
        <f t="shared" si="316"/>
        <v>#DIV/0!</v>
      </c>
      <c r="AG95" s="31">
        <f t="shared" si="16"/>
        <v>0.05</v>
      </c>
      <c r="AH95" s="145" t="e">
        <f t="shared" si="256"/>
        <v>#DIV/0!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33">G23/G57</f>
        <v>0</v>
      </c>
      <c r="H96" s="143">
        <f t="shared" si="333"/>
        <v>0</v>
      </c>
      <c r="I96" s="143">
        <f t="shared" ref="I96:R96" si="334">I23/I57</f>
        <v>0</v>
      </c>
      <c r="J96" s="143">
        <f t="shared" si="334"/>
        <v>0</v>
      </c>
      <c r="K96" s="143">
        <f t="shared" si="334"/>
        <v>0</v>
      </c>
      <c r="L96" s="143">
        <f t="shared" si="334"/>
        <v>0</v>
      </c>
      <c r="M96" s="143">
        <f t="shared" si="334"/>
        <v>0</v>
      </c>
      <c r="N96" s="143">
        <f t="shared" si="334"/>
        <v>0</v>
      </c>
      <c r="O96" s="143">
        <f t="shared" si="334"/>
        <v>0</v>
      </c>
      <c r="P96" s="143">
        <f t="shared" si="334"/>
        <v>0</v>
      </c>
      <c r="Q96" s="143" t="e">
        <f t="shared" si="334"/>
        <v>#DIV/0!</v>
      </c>
      <c r="R96" s="143" t="e">
        <f t="shared" si="334"/>
        <v>#DIV/0!</v>
      </c>
      <c r="S96" s="143" t="e">
        <f t="shared" ref="S96" si="335">S23/S57</f>
        <v>#DIV/0!</v>
      </c>
      <c r="T96" s="118" t="e">
        <f t="shared" si="244"/>
        <v>#DIV/0!</v>
      </c>
      <c r="U96" s="128"/>
      <c r="V96" s="145" t="e">
        <f t="shared" ref="V96:AE96" si="336">V23/V57</f>
        <v>#DIV/0!</v>
      </c>
      <c r="W96" s="145" t="e">
        <f t="shared" si="336"/>
        <v>#DIV/0!</v>
      </c>
      <c r="X96" s="145" t="e">
        <f t="shared" si="336"/>
        <v>#DIV/0!</v>
      </c>
      <c r="Y96" s="145" t="e">
        <f t="shared" si="336"/>
        <v>#DIV/0!</v>
      </c>
      <c r="Z96" s="145" t="e">
        <f t="shared" si="336"/>
        <v>#DIV/0!</v>
      </c>
      <c r="AA96" s="145" t="e">
        <f t="shared" si="336"/>
        <v>#DIV/0!</v>
      </c>
      <c r="AB96" s="145" t="e">
        <f t="shared" si="336"/>
        <v>#DIV/0!</v>
      </c>
      <c r="AC96" s="145" t="e">
        <f t="shared" si="336"/>
        <v>#DIV/0!</v>
      </c>
      <c r="AD96" s="145" t="e">
        <f t="shared" si="336"/>
        <v>#DIV/0!</v>
      </c>
      <c r="AE96" s="145" t="e">
        <f t="shared" si="336"/>
        <v>#DIV/0!</v>
      </c>
      <c r="AF96" s="137" t="e">
        <f t="shared" ref="AF96" si="337">((AE96/I96)^(1/($AE$3-$J$1) ))-1</f>
        <v>#DIV/0!</v>
      </c>
      <c r="AG96" s="31">
        <f t="shared" si="16"/>
        <v>0.05</v>
      </c>
      <c r="AH96" s="145" t="e">
        <f t="shared" si="256"/>
        <v>#DIV/0!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310</v>
      </c>
      <c r="C98" s="143"/>
      <c r="D98" s="143"/>
      <c r="E98" s="143"/>
      <c r="F98" s="143"/>
      <c r="G98" s="143">
        <f t="shared" ref="G98:H98" si="338">G51/G57</f>
        <v>-14800</v>
      </c>
      <c r="H98" s="143">
        <f t="shared" si="338"/>
        <v>-20600</v>
      </c>
      <c r="I98" s="143">
        <f t="shared" ref="I98:R98" si="339">I51/I57</f>
        <v>-96.988906497622821</v>
      </c>
      <c r="J98" s="143">
        <f t="shared" si="339"/>
        <v>-22.345483359746435</v>
      </c>
      <c r="K98" s="143">
        <f t="shared" si="339"/>
        <v>637.08399366085587</v>
      </c>
      <c r="L98" s="143">
        <f t="shared" si="339"/>
        <v>851.98098256735341</v>
      </c>
      <c r="M98" s="143">
        <f t="shared" si="339"/>
        <v>21.609169925431029</v>
      </c>
      <c r="N98" s="143">
        <f t="shared" si="339"/>
        <v>21.336858603929517</v>
      </c>
      <c r="O98" s="143">
        <f t="shared" si="339"/>
        <v>24.804078337001094</v>
      </c>
      <c r="P98" s="143">
        <f t="shared" si="339"/>
        <v>28.629102480882796</v>
      </c>
      <c r="Q98" s="143" t="e">
        <f t="shared" si="339"/>
        <v>#DIV/0!</v>
      </c>
      <c r="R98" s="143" t="e">
        <f t="shared" si="339"/>
        <v>#DIV/0!</v>
      </c>
      <c r="S98" s="143" t="e">
        <f t="shared" ref="S98" si="340">S51/S57</f>
        <v>#DIV/0!</v>
      </c>
      <c r="T98" s="118" t="e">
        <f t="shared" si="244"/>
        <v>#DIV/0!</v>
      </c>
      <c r="U98" s="128"/>
      <c r="V98" s="143" t="e">
        <f t="shared" ref="V98:AE98" si="341">V51/V57</f>
        <v>#DIV/0!</v>
      </c>
      <c r="W98" s="143" t="e">
        <f t="shared" si="341"/>
        <v>#DIV/0!</v>
      </c>
      <c r="X98" s="143" t="e">
        <f t="shared" si="341"/>
        <v>#DIV/0!</v>
      </c>
      <c r="Y98" s="143" t="e">
        <f t="shared" si="341"/>
        <v>#DIV/0!</v>
      </c>
      <c r="Z98" s="143" t="e">
        <f t="shared" si="341"/>
        <v>#DIV/0!</v>
      </c>
      <c r="AA98" s="143" t="e">
        <f t="shared" si="341"/>
        <v>#DIV/0!</v>
      </c>
      <c r="AB98" s="143" t="e">
        <f t="shared" si="341"/>
        <v>#DIV/0!</v>
      </c>
      <c r="AC98" s="143" t="e">
        <f t="shared" si="341"/>
        <v>#DIV/0!</v>
      </c>
      <c r="AD98" s="143" t="e">
        <f t="shared" si="341"/>
        <v>#DIV/0!</v>
      </c>
      <c r="AE98" s="143" t="e">
        <f t="shared" si="341"/>
        <v>#DIV/0!</v>
      </c>
      <c r="AF98" s="137" t="e">
        <f t="shared" ref="AF98:AF100" si="342">((AE98/I98)^(1/($AE$3-$J$1) ))-1</f>
        <v>#DIV/0!</v>
      </c>
      <c r="AG98" s="31">
        <f t="shared" si="16"/>
        <v>0.05</v>
      </c>
      <c r="AH98" s="145" t="e">
        <f t="shared" si="256"/>
        <v>#DIV/0!</v>
      </c>
    </row>
    <row r="99" spans="2:34">
      <c r="B99" s="20" t="s">
        <v>311</v>
      </c>
      <c r="C99" s="143"/>
      <c r="D99" s="143"/>
      <c r="E99" s="143"/>
      <c r="F99" s="143"/>
      <c r="G99" s="143">
        <f t="shared" ref="G99:H99" si="343">G55/G57</f>
        <v>133200</v>
      </c>
      <c r="H99" s="143">
        <f t="shared" si="343"/>
        <v>132400</v>
      </c>
      <c r="I99" s="143">
        <f t="shared" ref="I99:R99" si="344">I55/I57</f>
        <v>271.31537242472268</v>
      </c>
      <c r="J99" s="143">
        <f t="shared" si="344"/>
        <v>447.06814580031698</v>
      </c>
      <c r="K99" s="143">
        <f t="shared" si="344"/>
        <v>830.90332805071318</v>
      </c>
      <c r="L99" s="143">
        <f t="shared" si="344"/>
        <v>329.31854199683045</v>
      </c>
      <c r="M99" s="143">
        <f t="shared" si="344"/>
        <v>15.233601950509001</v>
      </c>
      <c r="N99" s="143">
        <f t="shared" si="344"/>
        <v>17.204692620679829</v>
      </c>
      <c r="O99" s="143">
        <f t="shared" si="344"/>
        <v>23.412440827699761</v>
      </c>
      <c r="P99" s="143">
        <f t="shared" si="344"/>
        <v>27.478112185931636</v>
      </c>
      <c r="Q99" s="143" t="e">
        <f t="shared" si="344"/>
        <v>#DIV/0!</v>
      </c>
      <c r="R99" s="143" t="e">
        <f t="shared" si="344"/>
        <v>#DIV/0!</v>
      </c>
      <c r="S99" s="143" t="e">
        <f t="shared" ref="S99" si="345">S55/S57</f>
        <v>#DIV/0!</v>
      </c>
      <c r="T99" s="118" t="e">
        <f t="shared" si="244"/>
        <v>#DIV/0!</v>
      </c>
      <c r="U99" s="128"/>
      <c r="V99" s="143" t="e">
        <f t="shared" ref="V99:AE99" si="346">V55/V57</f>
        <v>#DIV/0!</v>
      </c>
      <c r="W99" s="143" t="e">
        <f t="shared" si="346"/>
        <v>#DIV/0!</v>
      </c>
      <c r="X99" s="143" t="e">
        <f t="shared" si="346"/>
        <v>#DIV/0!</v>
      </c>
      <c r="Y99" s="143" t="e">
        <f t="shared" si="346"/>
        <v>#DIV/0!</v>
      </c>
      <c r="Z99" s="143" t="e">
        <f t="shared" si="346"/>
        <v>#DIV/0!</v>
      </c>
      <c r="AA99" s="143" t="e">
        <f t="shared" si="346"/>
        <v>#DIV/0!</v>
      </c>
      <c r="AB99" s="143" t="e">
        <f t="shared" si="346"/>
        <v>#DIV/0!</v>
      </c>
      <c r="AC99" s="143" t="e">
        <f t="shared" si="346"/>
        <v>#DIV/0!</v>
      </c>
      <c r="AD99" s="143" t="e">
        <f t="shared" si="346"/>
        <v>#DIV/0!</v>
      </c>
      <c r="AE99" s="143" t="e">
        <f t="shared" si="346"/>
        <v>#DIV/0!</v>
      </c>
      <c r="AF99" s="137" t="e">
        <f t="shared" si="342"/>
        <v>#DIV/0!</v>
      </c>
      <c r="AG99" s="31">
        <f t="shared" si="16"/>
        <v>0.05</v>
      </c>
      <c r="AH99" s="145" t="e">
        <f t="shared" si="256"/>
        <v>#DIV/0!</v>
      </c>
    </row>
    <row r="100" spans="2:34">
      <c r="B100" s="20" t="s">
        <v>312</v>
      </c>
      <c r="C100" s="143"/>
      <c r="D100" s="143"/>
      <c r="E100" s="143"/>
      <c r="F100" s="143"/>
      <c r="G100" s="143">
        <f t="shared" ref="G100:H100" si="347">G6/G57</f>
        <v>338000</v>
      </c>
      <c r="H100" s="143">
        <f t="shared" si="347"/>
        <v>456100</v>
      </c>
      <c r="I100" s="143">
        <f t="shared" ref="I100:R100" si="348">I6/I57</f>
        <v>796.35499207606983</v>
      </c>
      <c r="J100" s="143">
        <f t="shared" si="348"/>
        <v>1004.4374009508717</v>
      </c>
      <c r="K100" s="143">
        <f t="shared" si="348"/>
        <v>2214.1045958795562</v>
      </c>
      <c r="L100" s="143">
        <f t="shared" si="348"/>
        <v>2230.1109350237721</v>
      </c>
      <c r="M100" s="143">
        <f t="shared" si="348"/>
        <v>33.177651473172588</v>
      </c>
      <c r="N100" s="143">
        <f t="shared" si="348"/>
        <v>42.741795038234407</v>
      </c>
      <c r="O100" s="143">
        <f t="shared" si="348"/>
        <v>54.044298085904721</v>
      </c>
      <c r="P100" s="143">
        <f t="shared" si="348"/>
        <v>66.740021848233937</v>
      </c>
      <c r="Q100" s="143" t="e">
        <f t="shared" si="348"/>
        <v>#DIV/0!</v>
      </c>
      <c r="R100" s="143" t="e">
        <f t="shared" si="348"/>
        <v>#DIV/0!</v>
      </c>
      <c r="S100" s="143" t="e">
        <f t="shared" ref="S100" si="349">S6/S57</f>
        <v>#DIV/0!</v>
      </c>
      <c r="T100" s="118" t="e">
        <f t="shared" si="244"/>
        <v>#DIV/0!</v>
      </c>
      <c r="U100" s="128"/>
      <c r="V100" s="143" t="e">
        <f t="shared" ref="V100:AE100" si="350">V6/V57</f>
        <v>#DIV/0!</v>
      </c>
      <c r="W100" s="143" t="e">
        <f t="shared" si="350"/>
        <v>#DIV/0!</v>
      </c>
      <c r="X100" s="143" t="e">
        <f t="shared" si="350"/>
        <v>#DIV/0!</v>
      </c>
      <c r="Y100" s="143" t="e">
        <f t="shared" si="350"/>
        <v>#DIV/0!</v>
      </c>
      <c r="Z100" s="143" t="e">
        <f t="shared" si="350"/>
        <v>#DIV/0!</v>
      </c>
      <c r="AA100" s="143" t="e">
        <f t="shared" si="350"/>
        <v>#DIV/0!</v>
      </c>
      <c r="AB100" s="143" t="e">
        <f t="shared" si="350"/>
        <v>#DIV/0!</v>
      </c>
      <c r="AC100" s="143" t="e">
        <f t="shared" si="350"/>
        <v>#DIV/0!</v>
      </c>
      <c r="AD100" s="143" t="e">
        <f t="shared" si="350"/>
        <v>#DIV/0!</v>
      </c>
      <c r="AE100" s="143" t="e">
        <f t="shared" si="350"/>
        <v>#DIV/0!</v>
      </c>
      <c r="AF100" s="137" t="e">
        <f t="shared" si="342"/>
        <v>#DIV/0!</v>
      </c>
      <c r="AG100" s="31">
        <f t="shared" ref="AG100" si="351">$N$1</f>
        <v>0.05</v>
      </c>
      <c r="AH100" s="145" t="e">
        <f t="shared" si="256"/>
        <v>#DIV/0!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465</v>
      </c>
      <c r="C102" s="127"/>
      <c r="D102" s="127"/>
      <c r="E102" s="127"/>
      <c r="F102" s="127"/>
      <c r="G102" s="143" t="e">
        <f t="shared" ref="G102:H102" si="352">G55/$S$57</f>
        <v>#DIV/0!</v>
      </c>
      <c r="H102" s="143" t="e">
        <f t="shared" si="352"/>
        <v>#DIV/0!</v>
      </c>
      <c r="I102" s="143" t="e">
        <f t="shared" ref="I102:S102" si="353">I55/$S$57</f>
        <v>#DIV/0!</v>
      </c>
      <c r="J102" s="143" t="e">
        <f t="shared" si="353"/>
        <v>#DIV/0!</v>
      </c>
      <c r="K102" s="143" t="e">
        <f t="shared" si="353"/>
        <v>#DIV/0!</v>
      </c>
      <c r="L102" s="143" t="e">
        <f t="shared" si="353"/>
        <v>#DIV/0!</v>
      </c>
      <c r="M102" s="143" t="e">
        <f t="shared" si="353"/>
        <v>#DIV/0!</v>
      </c>
      <c r="N102" s="143" t="e">
        <f t="shared" si="353"/>
        <v>#DIV/0!</v>
      </c>
      <c r="O102" s="143" t="e">
        <f t="shared" si="353"/>
        <v>#DIV/0!</v>
      </c>
      <c r="P102" s="143" t="e">
        <f t="shared" si="353"/>
        <v>#DIV/0!</v>
      </c>
      <c r="Q102" s="143" t="e">
        <f t="shared" si="353"/>
        <v>#DIV/0!</v>
      </c>
      <c r="R102" s="143" t="e">
        <f t="shared" si="353"/>
        <v>#DIV/0!</v>
      </c>
      <c r="S102" s="143" t="e">
        <f t="shared" si="353"/>
        <v>#DIV/0!</v>
      </c>
      <c r="T102" s="118" t="e">
        <f t="shared" si="244"/>
        <v>#DIV/0!</v>
      </c>
      <c r="U102" s="128"/>
      <c r="V102" s="143" t="e">
        <f t="shared" ref="V102:AE102" si="354">V55/V57</f>
        <v>#DIV/0!</v>
      </c>
      <c r="W102" s="143" t="e">
        <f t="shared" si="354"/>
        <v>#DIV/0!</v>
      </c>
      <c r="X102" s="143" t="e">
        <f t="shared" si="354"/>
        <v>#DIV/0!</v>
      </c>
      <c r="Y102" s="143" t="e">
        <f t="shared" si="354"/>
        <v>#DIV/0!</v>
      </c>
      <c r="Z102" s="143" t="e">
        <f t="shared" si="354"/>
        <v>#DIV/0!</v>
      </c>
      <c r="AA102" s="143" t="e">
        <f t="shared" si="354"/>
        <v>#DIV/0!</v>
      </c>
      <c r="AB102" s="143" t="e">
        <f t="shared" si="354"/>
        <v>#DIV/0!</v>
      </c>
      <c r="AC102" s="143" t="e">
        <f t="shared" si="354"/>
        <v>#DIV/0!</v>
      </c>
      <c r="AD102" s="143" t="e">
        <f t="shared" si="354"/>
        <v>#DIV/0!</v>
      </c>
      <c r="AE102" s="143" t="e">
        <f t="shared" si="354"/>
        <v>#DIV/0!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355">G51/G25</f>
        <v>-8.109589041095891E-2</v>
      </c>
      <c r="H105" s="150">
        <f t="shared" si="355"/>
        <v>-0.11368653421633554</v>
      </c>
      <c r="I105" s="150">
        <f t="shared" ref="I105:R105" si="356">I51/I25</f>
        <v>-0.25051166598444535</v>
      </c>
      <c r="J105" s="150">
        <f t="shared" si="356"/>
        <v>-3.9932030586236192E-2</v>
      </c>
      <c r="K105" s="150">
        <f t="shared" si="356"/>
        <v>0.10264528648759065</v>
      </c>
      <c r="L105" s="150">
        <f t="shared" si="356"/>
        <v>0.10230062225266884</v>
      </c>
      <c r="M105" s="150">
        <f t="shared" si="356"/>
        <v>0.23026959543813477</v>
      </c>
      <c r="N105" s="150">
        <f t="shared" si="356"/>
        <v>0.23926783368249122</v>
      </c>
      <c r="O105" s="150">
        <f t="shared" si="356"/>
        <v>0.22269761623857515</v>
      </c>
      <c r="P105" s="150">
        <f t="shared" si="356"/>
        <v>0.23620926131539416</v>
      </c>
      <c r="Q105" s="150" t="e">
        <f t="shared" si="356"/>
        <v>#DIV/0!</v>
      </c>
      <c r="R105" s="150" t="e">
        <f t="shared" si="356"/>
        <v>#DIV/0!</v>
      </c>
      <c r="S105" s="150" t="e">
        <f t="shared" ref="S105" si="357">S51/S25</f>
        <v>#DIV/0!</v>
      </c>
      <c r="T105" s="118" t="e">
        <f t="shared" si="244"/>
        <v>#DIV/0!</v>
      </c>
      <c r="U105" s="150"/>
      <c r="V105" s="150" t="e">
        <f t="shared" ref="V105:AE105" si="358">V51/V25</f>
        <v>#DIV/0!</v>
      </c>
      <c r="W105" s="150" t="e">
        <f t="shared" si="358"/>
        <v>#DIV/0!</v>
      </c>
      <c r="X105" s="150" t="e">
        <f t="shared" si="358"/>
        <v>#DIV/0!</v>
      </c>
      <c r="Y105" s="150" t="e">
        <f t="shared" si="358"/>
        <v>#DIV/0!</v>
      </c>
      <c r="Z105" s="150" t="e">
        <f t="shared" si="358"/>
        <v>#DIV/0!</v>
      </c>
      <c r="AA105" s="150" t="e">
        <f t="shared" si="358"/>
        <v>#DIV/0!</v>
      </c>
      <c r="AB105" s="150" t="e">
        <f t="shared" si="358"/>
        <v>#DIV/0!</v>
      </c>
      <c r="AC105" s="150" t="e">
        <f t="shared" si="358"/>
        <v>#DIV/0!</v>
      </c>
      <c r="AD105" s="150" t="e">
        <f t="shared" si="358"/>
        <v>#DIV/0!</v>
      </c>
      <c r="AE105" s="150" t="e">
        <f t="shared" si="358"/>
        <v>#DIV/0!</v>
      </c>
      <c r="AF105" s="137" t="e">
        <f t="shared" ref="AF105:AF154" si="359">((AE105/I105)^(1/($AE$3-$J$1) ))-1</f>
        <v>#DIV/0!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60">G55/G25</f>
        <v>0.72986301369863016</v>
      </c>
      <c r="H106" s="150">
        <f t="shared" si="360"/>
        <v>0.73068432671081673</v>
      </c>
      <c r="I106" s="150">
        <f t="shared" ref="I106:R106" si="361">I55/I25</f>
        <v>0.70077773229635698</v>
      </c>
      <c r="J106" s="150">
        <f t="shared" si="361"/>
        <v>0.79892381761540643</v>
      </c>
      <c r="K106" s="150">
        <f t="shared" si="361"/>
        <v>0.13387294454090493</v>
      </c>
      <c r="L106" s="150">
        <f t="shared" si="361"/>
        <v>3.9542539628170732E-2</v>
      </c>
      <c r="M106" s="150">
        <f t="shared" si="361"/>
        <v>0.16233087019603873</v>
      </c>
      <c r="N106" s="150">
        <f t="shared" si="361"/>
        <v>0.19293044064907858</v>
      </c>
      <c r="O106" s="150">
        <f t="shared" si="361"/>
        <v>0.21020312433369817</v>
      </c>
      <c r="P106" s="150">
        <f t="shared" si="361"/>
        <v>0.22671282084775651</v>
      </c>
      <c r="Q106" s="150" t="e">
        <f t="shared" si="361"/>
        <v>#DIV/0!</v>
      </c>
      <c r="R106" s="150" t="e">
        <f t="shared" si="361"/>
        <v>#DIV/0!</v>
      </c>
      <c r="S106" s="150" t="e">
        <f t="shared" ref="S106" si="362">S55/S25</f>
        <v>#DIV/0!</v>
      </c>
      <c r="T106" s="118" t="e">
        <f t="shared" si="244"/>
        <v>#DIV/0!</v>
      </c>
      <c r="U106" s="150"/>
      <c r="V106" s="150" t="e">
        <f t="shared" ref="V106:AE106" si="363">V55/V25</f>
        <v>#DIV/0!</v>
      </c>
      <c r="W106" s="150" t="e">
        <f t="shared" si="363"/>
        <v>#DIV/0!</v>
      </c>
      <c r="X106" s="150" t="e">
        <f t="shared" si="363"/>
        <v>#DIV/0!</v>
      </c>
      <c r="Y106" s="150" t="e">
        <f t="shared" si="363"/>
        <v>#DIV/0!</v>
      </c>
      <c r="Z106" s="150" t="e">
        <f t="shared" si="363"/>
        <v>#DIV/0!</v>
      </c>
      <c r="AA106" s="150" t="e">
        <f t="shared" si="363"/>
        <v>#DIV/0!</v>
      </c>
      <c r="AB106" s="150" t="e">
        <f t="shared" si="363"/>
        <v>#DIV/0!</v>
      </c>
      <c r="AC106" s="150" t="e">
        <f t="shared" si="363"/>
        <v>#DIV/0!</v>
      </c>
      <c r="AD106" s="150" t="e">
        <f t="shared" si="363"/>
        <v>#DIV/0!</v>
      </c>
      <c r="AE106" s="150" t="e">
        <f t="shared" si="363"/>
        <v>#DIV/0!</v>
      </c>
      <c r="AF106" s="137" t="e">
        <f t="shared" si="359"/>
        <v>#DIV/0!</v>
      </c>
      <c r="AG106" s="145"/>
      <c r="AH106" s="145"/>
    </row>
    <row r="107" spans="2:34">
      <c r="B107" s="20" t="s">
        <v>357</v>
      </c>
      <c r="C107" s="150"/>
      <c r="D107" s="150"/>
      <c r="E107" s="150"/>
      <c r="F107" s="150"/>
      <c r="G107" s="150">
        <f t="shared" ref="G107:H107" si="364">G55/G7</f>
        <v>0.13736207074352894</v>
      </c>
      <c r="H107" s="150">
        <f t="shared" si="364"/>
        <v>0.12171355028497885</v>
      </c>
      <c r="I107" s="150">
        <f>I55/I7</f>
        <v>0.15095670575786968</v>
      </c>
      <c r="J107" s="150">
        <f t="shared" ref="J107:Q107" si="365">J55/J7</f>
        <v>0.22293345977556503</v>
      </c>
      <c r="K107" s="150">
        <f t="shared" si="365"/>
        <v>0.25842862776025238</v>
      </c>
      <c r="L107" s="150">
        <f t="shared" si="365"/>
        <v>0.1019226996272317</v>
      </c>
      <c r="M107" s="150">
        <f t="shared" si="365"/>
        <v>0.35281607509533586</v>
      </c>
      <c r="N107" s="150">
        <f t="shared" si="365"/>
        <v>0.32619919553340937</v>
      </c>
      <c r="O107" s="150">
        <f t="shared" si="365"/>
        <v>0.36556003263046005</v>
      </c>
      <c r="P107" s="150">
        <f t="shared" si="365"/>
        <v>0.35806977367910708</v>
      </c>
      <c r="Q107" s="150">
        <f t="shared" si="365"/>
        <v>0</v>
      </c>
      <c r="R107" s="150">
        <f t="shared" ref="R107:S107" si="366">R55/R7</f>
        <v>0</v>
      </c>
      <c r="S107" s="150" t="e">
        <f t="shared" si="366"/>
        <v>#DIV/0!</v>
      </c>
      <c r="T107" s="118" t="e">
        <f t="shared" si="244"/>
        <v>#DIV/0!</v>
      </c>
      <c r="U107" s="20"/>
      <c r="V107" s="150" t="e">
        <f t="shared" ref="V107" si="367">V55/V7</f>
        <v>#DIV/0!</v>
      </c>
      <c r="W107" s="150" t="e">
        <f t="shared" ref="W107:AE107" si="368">W55/W7</f>
        <v>#DIV/0!</v>
      </c>
      <c r="X107" s="150" t="e">
        <f t="shared" si="368"/>
        <v>#DIV/0!</v>
      </c>
      <c r="Y107" s="150" t="e">
        <f t="shared" si="368"/>
        <v>#DIV/0!</v>
      </c>
      <c r="Z107" s="150" t="e">
        <f t="shared" si="368"/>
        <v>#DIV/0!</v>
      </c>
      <c r="AA107" s="150" t="e">
        <f t="shared" si="368"/>
        <v>#DIV/0!</v>
      </c>
      <c r="AB107" s="150" t="e">
        <f t="shared" si="368"/>
        <v>#DIV/0!</v>
      </c>
      <c r="AC107" s="150" t="e">
        <f t="shared" si="368"/>
        <v>#DIV/0!</v>
      </c>
      <c r="AD107" s="150" t="e">
        <f t="shared" si="368"/>
        <v>#DIV/0!</v>
      </c>
      <c r="AE107" s="150" t="e">
        <f t="shared" si="368"/>
        <v>#DIV/0!</v>
      </c>
      <c r="AF107" s="137" t="e">
        <f t="shared" si="359"/>
        <v>#DIV/0!</v>
      </c>
      <c r="AG107" s="145"/>
      <c r="AH107" s="145"/>
    </row>
    <row r="108" spans="2:34">
      <c r="B108" s="20" t="s">
        <v>358</v>
      </c>
      <c r="C108" s="150"/>
      <c r="D108" s="150"/>
      <c r="E108" s="150"/>
      <c r="F108" s="150"/>
      <c r="G108" s="150">
        <f t="shared" ref="G108:H108" si="369">(G55)/(G7+G10)</f>
        <v>0.10899271745356354</v>
      </c>
      <c r="H108" s="150">
        <f t="shared" si="369"/>
        <v>9.9924528301886792E-2</v>
      </c>
      <c r="I108" s="150">
        <f>(I55)/(I7+I10)</f>
        <v>0.12930513595166163</v>
      </c>
      <c r="J108" s="150">
        <f t="shared" ref="J108:Q108" si="370">(J55)/(J7+J10)</f>
        <v>0.19727272727272727</v>
      </c>
      <c r="K108" s="150">
        <f t="shared" si="370"/>
        <v>0.23646942089121414</v>
      </c>
      <c r="L108" s="150">
        <f t="shared" si="370"/>
        <v>9.2208022719204821E-2</v>
      </c>
      <c r="M108" s="150">
        <f t="shared" si="370"/>
        <v>0.32774712173853804</v>
      </c>
      <c r="N108" s="150">
        <f t="shared" si="370"/>
        <v>0.3133506343713956</v>
      </c>
      <c r="O108" s="150">
        <f t="shared" si="370"/>
        <v>0.3538984348824965</v>
      </c>
      <c r="P108" s="150">
        <f t="shared" si="370"/>
        <v>0.35027952128196332</v>
      </c>
      <c r="Q108" s="150">
        <f t="shared" si="370"/>
        <v>0</v>
      </c>
      <c r="R108" s="150">
        <f t="shared" ref="R108:S108" si="371">(R55)/(R7+R10)</f>
        <v>0</v>
      </c>
      <c r="S108" s="150" t="e">
        <f t="shared" si="371"/>
        <v>#DIV/0!</v>
      </c>
      <c r="T108" s="118" t="e">
        <f t="shared" si="244"/>
        <v>#DIV/0!</v>
      </c>
      <c r="U108" s="20"/>
      <c r="V108" s="150" t="e">
        <f t="shared" ref="V108:AE108" si="372">(V55)/(V7+V10)</f>
        <v>#DIV/0!</v>
      </c>
      <c r="W108" s="150" t="e">
        <f t="shared" si="372"/>
        <v>#DIV/0!</v>
      </c>
      <c r="X108" s="150" t="e">
        <f t="shared" si="372"/>
        <v>#DIV/0!</v>
      </c>
      <c r="Y108" s="150" t="e">
        <f t="shared" si="372"/>
        <v>#DIV/0!</v>
      </c>
      <c r="Z108" s="150" t="e">
        <f t="shared" si="372"/>
        <v>#DIV/0!</v>
      </c>
      <c r="AA108" s="150" t="e">
        <f t="shared" si="372"/>
        <v>#DIV/0!</v>
      </c>
      <c r="AB108" s="150" t="e">
        <f t="shared" si="372"/>
        <v>#DIV/0!</v>
      </c>
      <c r="AC108" s="150" t="e">
        <f t="shared" si="372"/>
        <v>#DIV/0!</v>
      </c>
      <c r="AD108" s="150" t="e">
        <f t="shared" si="372"/>
        <v>#DIV/0!</v>
      </c>
      <c r="AE108" s="150" t="e">
        <f t="shared" si="372"/>
        <v>#DIV/0!</v>
      </c>
      <c r="AF108" s="137" t="e">
        <f t="shared" si="359"/>
        <v>#DIV/0!</v>
      </c>
      <c r="AG108" s="145"/>
      <c r="AH108" s="145"/>
    </row>
    <row r="109" spans="2:34">
      <c r="B109" s="20" t="s">
        <v>374</v>
      </c>
      <c r="C109" s="150"/>
      <c r="D109" s="150"/>
      <c r="E109" s="150"/>
      <c r="F109" s="150"/>
      <c r="G109" s="150">
        <f t="shared" ref="G109:H109" si="373">G20/G25</f>
        <v>0</v>
      </c>
      <c r="H109" s="150">
        <f t="shared" si="373"/>
        <v>0</v>
      </c>
      <c r="I109" s="150">
        <f>I20/I25</f>
        <v>0</v>
      </c>
      <c r="J109" s="150">
        <f t="shared" ref="J109:R109" si="374">J20/J25</f>
        <v>0</v>
      </c>
      <c r="K109" s="150">
        <f t="shared" si="374"/>
        <v>0</v>
      </c>
      <c r="L109" s="150">
        <f t="shared" si="374"/>
        <v>0</v>
      </c>
      <c r="M109" s="150">
        <f t="shared" si="374"/>
        <v>0</v>
      </c>
      <c r="N109" s="150">
        <f t="shared" si="374"/>
        <v>0</v>
      </c>
      <c r="O109" s="150">
        <f t="shared" si="374"/>
        <v>0</v>
      </c>
      <c r="P109" s="150">
        <f t="shared" si="374"/>
        <v>0</v>
      </c>
      <c r="Q109" s="150" t="e">
        <f t="shared" si="374"/>
        <v>#DIV/0!</v>
      </c>
      <c r="R109" s="150" t="e">
        <f t="shared" si="374"/>
        <v>#DIV/0!</v>
      </c>
      <c r="S109" s="150" t="e">
        <f t="shared" ref="S109" si="375">S20/S25</f>
        <v>#DIV/0!</v>
      </c>
      <c r="T109" s="118" t="e">
        <f t="shared" si="244"/>
        <v>#DIV/0!</v>
      </c>
      <c r="U109" s="20"/>
      <c r="V109" s="150" t="e">
        <f t="shared" ref="V109:AE109" si="376">V20/V25</f>
        <v>#DIV/0!</v>
      </c>
      <c r="W109" s="150" t="e">
        <f t="shared" si="376"/>
        <v>#DIV/0!</v>
      </c>
      <c r="X109" s="150" t="e">
        <f t="shared" si="376"/>
        <v>#DIV/0!</v>
      </c>
      <c r="Y109" s="150" t="e">
        <f t="shared" si="376"/>
        <v>#DIV/0!</v>
      </c>
      <c r="Z109" s="150" t="e">
        <f t="shared" si="376"/>
        <v>#DIV/0!</v>
      </c>
      <c r="AA109" s="150" t="e">
        <f t="shared" si="376"/>
        <v>#DIV/0!</v>
      </c>
      <c r="AB109" s="150" t="e">
        <f t="shared" si="376"/>
        <v>#DIV/0!</v>
      </c>
      <c r="AC109" s="150" t="e">
        <f t="shared" si="376"/>
        <v>#DIV/0!</v>
      </c>
      <c r="AD109" s="150" t="e">
        <f t="shared" si="376"/>
        <v>#DIV/0!</v>
      </c>
      <c r="AE109" s="150" t="e">
        <f t="shared" si="376"/>
        <v>#DIV/0!</v>
      </c>
      <c r="AF109" s="137" t="e">
        <f t="shared" si="359"/>
        <v>#DIV/0!</v>
      </c>
      <c r="AG109" s="145"/>
      <c r="AH109" s="145"/>
    </row>
    <row r="110" spans="2:34">
      <c r="B110" s="20" t="s">
        <v>426</v>
      </c>
      <c r="C110" s="150"/>
      <c r="D110" s="150"/>
      <c r="E110" s="150"/>
      <c r="F110" s="150"/>
      <c r="G110" s="150">
        <f t="shared" ref="G110:H110" si="377">G68/G25</f>
        <v>1.2602739726027398E-2</v>
      </c>
      <c r="H110" s="150">
        <f t="shared" si="377"/>
        <v>-4.9668874172185433E-3</v>
      </c>
      <c r="I110" s="150">
        <f>I68/I25</f>
        <v>-0.10970118706508392</v>
      </c>
      <c r="J110" s="150">
        <f t="shared" ref="J110:R110" si="378">J68/J25</f>
        <v>6.5137354856981029E-3</v>
      </c>
      <c r="K110" s="150">
        <f t="shared" si="378"/>
        <v>8.7299560821162289E-2</v>
      </c>
      <c r="L110" s="150">
        <f t="shared" si="378"/>
        <v>6.9684687256189232E-2</v>
      </c>
      <c r="M110" s="150">
        <f t="shared" si="378"/>
        <v>7.4484596956507068E-2</v>
      </c>
      <c r="N110" s="150">
        <f t="shared" si="378"/>
        <v>9.9350211270106167E-2</v>
      </c>
      <c r="O110" s="150">
        <f t="shared" si="378"/>
        <v>9.2166422652130028E-2</v>
      </c>
      <c r="P110" s="150">
        <f t="shared" si="378"/>
        <v>9.9575468617333948E-2</v>
      </c>
      <c r="Q110" s="150" t="e">
        <f t="shared" si="378"/>
        <v>#DIV/0!</v>
      </c>
      <c r="R110" s="150" t="e">
        <f t="shared" si="378"/>
        <v>#DIV/0!</v>
      </c>
      <c r="S110" s="150" t="e">
        <f t="shared" ref="S110" si="379">S68/S25</f>
        <v>#DIV/0!</v>
      </c>
      <c r="T110" s="118" t="e">
        <f t="shared" si="244"/>
        <v>#DIV/0!</v>
      </c>
      <c r="U110" s="20"/>
      <c r="V110" s="150" t="e">
        <f t="shared" ref="V110:AE110" si="380">V68/V25</f>
        <v>#DIV/0!</v>
      </c>
      <c r="W110" s="150" t="e">
        <f t="shared" si="380"/>
        <v>#DIV/0!</v>
      </c>
      <c r="X110" s="150" t="e">
        <f t="shared" si="380"/>
        <v>#DIV/0!</v>
      </c>
      <c r="Y110" s="150" t="e">
        <f t="shared" si="380"/>
        <v>#DIV/0!</v>
      </c>
      <c r="Z110" s="150" t="e">
        <f t="shared" si="380"/>
        <v>#DIV/0!</v>
      </c>
      <c r="AA110" s="150" t="e">
        <f t="shared" si="380"/>
        <v>#DIV/0!</v>
      </c>
      <c r="AB110" s="150" t="e">
        <f t="shared" si="380"/>
        <v>#DIV/0!</v>
      </c>
      <c r="AC110" s="150" t="e">
        <f t="shared" si="380"/>
        <v>#DIV/0!</v>
      </c>
      <c r="AD110" s="150" t="e">
        <f t="shared" si="380"/>
        <v>#DIV/0!</v>
      </c>
      <c r="AE110" s="150" t="e">
        <f t="shared" si="380"/>
        <v>#DIV/0!</v>
      </c>
      <c r="AF110" s="137" t="e">
        <f t="shared" si="359"/>
        <v>#DIV/0!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321</v>
      </c>
      <c r="C112" s="150"/>
      <c r="D112" s="150"/>
      <c r="E112" s="150"/>
      <c r="F112" s="150"/>
      <c r="G112" s="150">
        <f t="shared" ref="G112:H112" si="381">G29/G25</f>
        <v>0.10301369863013699</v>
      </c>
      <c r="H112" s="150">
        <f t="shared" si="381"/>
        <v>9.6578366445916108E-2</v>
      </c>
      <c r="I112" s="150">
        <f>I29/I25</f>
        <v>6.6311911584117894E-2</v>
      </c>
      <c r="J112" s="150">
        <f t="shared" ref="J112:R112" si="382">J29/J25</f>
        <v>9.7706032285471534E-2</v>
      </c>
      <c r="K112" s="150">
        <f t="shared" si="382"/>
        <v>3.8300480032683075E-3</v>
      </c>
      <c r="L112" s="150">
        <f t="shared" si="382"/>
        <v>5.4803904778215444E-3</v>
      </c>
      <c r="M112" s="150">
        <f t="shared" si="382"/>
        <v>4.8081789654823362E-3</v>
      </c>
      <c r="N112" s="150">
        <f t="shared" si="382"/>
        <v>1.3137804921350708E-3</v>
      </c>
      <c r="O112" s="150">
        <f t="shared" si="382"/>
        <v>7.6757970746684477E-4</v>
      </c>
      <c r="P112" s="150">
        <f t="shared" si="382"/>
        <v>5.8781268369146363E-4</v>
      </c>
      <c r="Q112" s="150" t="e">
        <f t="shared" si="382"/>
        <v>#DIV/0!</v>
      </c>
      <c r="R112" s="150" t="e">
        <f t="shared" si="382"/>
        <v>#DIV/0!</v>
      </c>
      <c r="S112" s="150" t="e">
        <f t="shared" ref="S112" si="383">S29/S25</f>
        <v>#DIV/0!</v>
      </c>
      <c r="T112" s="118" t="e">
        <f t="shared" si="244"/>
        <v>#DIV/0!</v>
      </c>
      <c r="U112" s="20"/>
      <c r="V112" s="150" t="e">
        <f t="shared" ref="V112:AE112" si="384">V29/V25</f>
        <v>#DIV/0!</v>
      </c>
      <c r="W112" s="150" t="e">
        <f t="shared" si="384"/>
        <v>#DIV/0!</v>
      </c>
      <c r="X112" s="150" t="e">
        <f t="shared" si="384"/>
        <v>#DIV/0!</v>
      </c>
      <c r="Y112" s="150" t="e">
        <f t="shared" si="384"/>
        <v>#DIV/0!</v>
      </c>
      <c r="Z112" s="150" t="e">
        <f t="shared" si="384"/>
        <v>#DIV/0!</v>
      </c>
      <c r="AA112" s="150" t="e">
        <f t="shared" si="384"/>
        <v>#DIV/0!</v>
      </c>
      <c r="AB112" s="150" t="e">
        <f t="shared" si="384"/>
        <v>#DIV/0!</v>
      </c>
      <c r="AC112" s="150" t="e">
        <f t="shared" si="384"/>
        <v>#DIV/0!</v>
      </c>
      <c r="AD112" s="150" t="e">
        <f t="shared" si="384"/>
        <v>#DIV/0!</v>
      </c>
      <c r="AE112" s="150" t="e">
        <f t="shared" si="384"/>
        <v>#DIV/0!</v>
      </c>
      <c r="AF112" s="137" t="e">
        <f t="shared" si="359"/>
        <v>#DIV/0!</v>
      </c>
      <c r="AG112" s="145"/>
      <c r="AH112" s="145"/>
    </row>
    <row r="113" spans="1:34">
      <c r="B113" s="20" t="s">
        <v>367</v>
      </c>
      <c r="C113" s="150"/>
      <c r="D113" s="150"/>
      <c r="E113" s="150"/>
      <c r="F113" s="150"/>
      <c r="G113" s="150">
        <f t="shared" ref="G113:H113" si="385">G29/G51</f>
        <v>-1.2702702702702702</v>
      </c>
      <c r="H113" s="150">
        <f t="shared" si="385"/>
        <v>-0.84951456310679607</v>
      </c>
      <c r="I113" s="150">
        <f>I29/I51</f>
        <v>-0.26470588235294118</v>
      </c>
      <c r="J113" s="150">
        <f t="shared" ref="J113:R113" si="386">J29/J51</f>
        <v>-2.4468085106382977</v>
      </c>
      <c r="K113" s="150">
        <f t="shared" si="386"/>
        <v>3.7313432835820892E-2</v>
      </c>
      <c r="L113" s="150">
        <f t="shared" si="386"/>
        <v>5.3571428571428568E-2</v>
      </c>
      <c r="M113" s="150">
        <f t="shared" si="386"/>
        <v>2.0880650597113342E-2</v>
      </c>
      <c r="N113" s="150">
        <f t="shared" si="386"/>
        <v>5.4908362395191812E-3</v>
      </c>
      <c r="O113" s="150">
        <f t="shared" si="386"/>
        <v>3.4467351758473222E-3</v>
      </c>
      <c r="P113" s="150">
        <f t="shared" si="386"/>
        <v>2.4885251341038544E-3</v>
      </c>
      <c r="Q113" s="150" t="e">
        <f t="shared" si="386"/>
        <v>#DIV/0!</v>
      </c>
      <c r="R113" s="150" t="e">
        <f t="shared" si="386"/>
        <v>#DIV/0!</v>
      </c>
      <c r="S113" s="150" t="e">
        <f t="shared" ref="S113" si="387">S29/S51</f>
        <v>#DIV/0!</v>
      </c>
      <c r="T113" s="118" t="e">
        <f t="shared" si="244"/>
        <v>#DIV/0!</v>
      </c>
      <c r="U113" s="20"/>
      <c r="V113" s="150" t="e">
        <f t="shared" ref="V113:AE113" si="388">V29/V51</f>
        <v>#DIV/0!</v>
      </c>
      <c r="W113" s="150" t="e">
        <f t="shared" si="388"/>
        <v>#DIV/0!</v>
      </c>
      <c r="X113" s="150" t="e">
        <f t="shared" si="388"/>
        <v>#DIV/0!</v>
      </c>
      <c r="Y113" s="150" t="e">
        <f t="shared" si="388"/>
        <v>#DIV/0!</v>
      </c>
      <c r="Z113" s="150" t="e">
        <f t="shared" si="388"/>
        <v>#DIV/0!</v>
      </c>
      <c r="AA113" s="150" t="e">
        <f t="shared" si="388"/>
        <v>#DIV/0!</v>
      </c>
      <c r="AB113" s="150" t="e">
        <f t="shared" si="388"/>
        <v>#DIV/0!</v>
      </c>
      <c r="AC113" s="150" t="e">
        <f t="shared" si="388"/>
        <v>#DIV/0!</v>
      </c>
      <c r="AD113" s="150" t="e">
        <f t="shared" si="388"/>
        <v>#DIV/0!</v>
      </c>
      <c r="AE113" s="150" t="e">
        <f t="shared" si="388"/>
        <v>#DIV/0!</v>
      </c>
      <c r="AF113" s="137" t="e">
        <f t="shared" ref="AF113" si="389">((AE113/I113)^(1/($AE$3-$J$1) ))-1</f>
        <v>#DIV/0!</v>
      </c>
      <c r="AG113" s="145"/>
      <c r="AH113" s="145"/>
    </row>
    <row r="114" spans="1:34" ht="12" customHeight="1">
      <c r="B114" s="20" t="s">
        <v>366</v>
      </c>
      <c r="C114" s="150"/>
      <c r="D114" s="150"/>
      <c r="E114" s="150"/>
      <c r="F114" s="150"/>
      <c r="G114" s="169">
        <f t="shared" ref="G114:H114" si="390">G29/G55</f>
        <v>0.14114114114114115</v>
      </c>
      <c r="H114" s="169">
        <f t="shared" si="390"/>
        <v>0.13217522658610273</v>
      </c>
      <c r="I114" s="169">
        <f t="shared" ref="I114:R114" si="391">I29/I55</f>
        <v>9.4626168224299062E-2</v>
      </c>
      <c r="J114" s="169">
        <f t="shared" si="391"/>
        <v>0.12229705778092875</v>
      </c>
      <c r="K114" s="169">
        <f t="shared" si="391"/>
        <v>2.8609574670989891E-2</v>
      </c>
      <c r="L114" s="169">
        <f t="shared" si="391"/>
        <v>0.13859480269489893</v>
      </c>
      <c r="M114" s="169">
        <f t="shared" si="391"/>
        <v>2.9619621700270216E-2</v>
      </c>
      <c r="N114" s="169">
        <f t="shared" si="391"/>
        <v>6.8096070672678749E-3</v>
      </c>
      <c r="O114" s="169">
        <f t="shared" si="391"/>
        <v>3.6516094130375982E-3</v>
      </c>
      <c r="P114" s="169">
        <f t="shared" si="391"/>
        <v>2.5927633095183221E-3</v>
      </c>
      <c r="Q114" s="169" t="e">
        <f t="shared" si="391"/>
        <v>#DIV/0!</v>
      </c>
      <c r="R114" s="169" t="e">
        <f t="shared" si="391"/>
        <v>#DIV/0!</v>
      </c>
      <c r="S114" s="169" t="e">
        <f t="shared" ref="S114" si="392">S29/S55</f>
        <v>#DIV/0!</v>
      </c>
      <c r="T114" s="118" t="e">
        <f t="shared" si="244"/>
        <v>#DIV/0!</v>
      </c>
      <c r="U114" s="20"/>
      <c r="V114" s="169" t="e">
        <f t="shared" ref="V114:AE114" si="393">V29/V55</f>
        <v>#DIV/0!</v>
      </c>
      <c r="W114" s="169" t="e">
        <f t="shared" si="393"/>
        <v>#DIV/0!</v>
      </c>
      <c r="X114" s="169" t="e">
        <f t="shared" si="393"/>
        <v>#DIV/0!</v>
      </c>
      <c r="Y114" s="169" t="e">
        <f t="shared" si="393"/>
        <v>#DIV/0!</v>
      </c>
      <c r="Z114" s="169" t="e">
        <f t="shared" si="393"/>
        <v>#DIV/0!</v>
      </c>
      <c r="AA114" s="169" t="e">
        <f t="shared" si="393"/>
        <v>#DIV/0!</v>
      </c>
      <c r="AB114" s="169" t="e">
        <f t="shared" si="393"/>
        <v>#DIV/0!</v>
      </c>
      <c r="AC114" s="169" t="e">
        <f t="shared" si="393"/>
        <v>#DIV/0!</v>
      </c>
      <c r="AD114" s="169" t="e">
        <f t="shared" si="393"/>
        <v>#DIV/0!</v>
      </c>
      <c r="AE114" s="169" t="e">
        <f t="shared" si="393"/>
        <v>#DIV/0!</v>
      </c>
      <c r="AF114" s="137" t="e">
        <f t="shared" ref="AF114" si="394">((AE114/I114)^(1/($AE$3-$J$1) ))-1</f>
        <v>#DIV/0!</v>
      </c>
      <c r="AG114" s="145"/>
      <c r="AH114" s="145"/>
    </row>
    <row r="115" spans="1:34" ht="12" customHeight="1">
      <c r="B115" s="20" t="s">
        <v>323</v>
      </c>
      <c r="C115" s="150"/>
      <c r="D115" s="150"/>
      <c r="E115" s="150"/>
      <c r="F115" s="150"/>
      <c r="G115" s="169">
        <f t="shared" ref="G115:H115" si="395">G29/G12</f>
        <v>0.16982836495031617</v>
      </c>
      <c r="H115" s="169">
        <f t="shared" si="395"/>
        <v>6.9115323854660349E-2</v>
      </c>
      <c r="I115" s="169">
        <f t="shared" ref="I115:R115" si="396">I29/I12</f>
        <v>5.658400279427174E-2</v>
      </c>
      <c r="J115" s="169">
        <f t="shared" si="396"/>
        <v>9.2542918454935619E-2</v>
      </c>
      <c r="K115" s="169">
        <f t="shared" si="396"/>
        <v>7.1561471303850004E-3</v>
      </c>
      <c r="L115" s="169">
        <f t="shared" si="396"/>
        <v>9.6989290765811271E-3</v>
      </c>
      <c r="M115" s="169">
        <f t="shared" si="396"/>
        <v>7.2934793735285088E-3</v>
      </c>
      <c r="N115" s="169">
        <f t="shared" si="396"/>
        <v>1.6155088852988692E-3</v>
      </c>
      <c r="O115" s="169">
        <f t="shared" si="396"/>
        <v>9.2780316827600429E-4</v>
      </c>
      <c r="P115" s="169">
        <f t="shared" si="396"/>
        <v>7.2305418085995244E-4</v>
      </c>
      <c r="Q115" s="169">
        <f t="shared" si="396"/>
        <v>0</v>
      </c>
      <c r="R115" s="169">
        <f t="shared" si="396"/>
        <v>0</v>
      </c>
      <c r="S115" s="169" t="e">
        <f t="shared" ref="S115" si="397">S29/S12</f>
        <v>#DIV/0!</v>
      </c>
      <c r="T115" s="118" t="e">
        <f t="shared" si="244"/>
        <v>#DIV/0!</v>
      </c>
      <c r="U115" s="20"/>
      <c r="V115" s="150" t="e">
        <f t="shared" ref="V115:AE115" si="398">V29/V12</f>
        <v>#DIV/0!</v>
      </c>
      <c r="W115" s="150" t="e">
        <f t="shared" si="398"/>
        <v>#DIV/0!</v>
      </c>
      <c r="X115" s="150" t="e">
        <f t="shared" si="398"/>
        <v>#DIV/0!</v>
      </c>
      <c r="Y115" s="150" t="e">
        <f t="shared" si="398"/>
        <v>#DIV/0!</v>
      </c>
      <c r="Z115" s="150" t="e">
        <f t="shared" si="398"/>
        <v>#DIV/0!</v>
      </c>
      <c r="AA115" s="150" t="e">
        <f t="shared" si="398"/>
        <v>#DIV/0!</v>
      </c>
      <c r="AB115" s="150" t="e">
        <f t="shared" si="398"/>
        <v>#DIV/0!</v>
      </c>
      <c r="AC115" s="150" t="e">
        <f t="shared" si="398"/>
        <v>#DIV/0!</v>
      </c>
      <c r="AD115" s="150" t="e">
        <f t="shared" si="398"/>
        <v>#DIV/0!</v>
      </c>
      <c r="AE115" s="150" t="e">
        <f t="shared" si="398"/>
        <v>#DIV/0!</v>
      </c>
      <c r="AF115" s="137" t="e">
        <f t="shared" si="359"/>
        <v>#DIV/0!</v>
      </c>
      <c r="AG115" s="145"/>
      <c r="AH115" s="145"/>
    </row>
    <row r="116" spans="1:34" ht="12" customHeight="1">
      <c r="B116" s="20" t="s">
        <v>368</v>
      </c>
      <c r="C116" s="150"/>
      <c r="D116" s="150"/>
      <c r="E116" s="150"/>
      <c r="F116" s="150"/>
      <c r="G116" s="169" t="e">
        <f t="shared" ref="G116:H116" si="399">G29/G23</f>
        <v>#DIV/0!</v>
      </c>
      <c r="H116" s="169" t="e">
        <f t="shared" si="399"/>
        <v>#DIV/0!</v>
      </c>
      <c r="I116" s="169" t="e">
        <f>I29/I23</f>
        <v>#DIV/0!</v>
      </c>
      <c r="J116" s="169" t="e">
        <f t="shared" ref="J116:R116" si="400">J29/J23</f>
        <v>#DIV/0!</v>
      </c>
      <c r="K116" s="169" t="e">
        <f t="shared" si="400"/>
        <v>#DIV/0!</v>
      </c>
      <c r="L116" s="169" t="e">
        <f t="shared" si="400"/>
        <v>#DIV/0!</v>
      </c>
      <c r="M116" s="169" t="e">
        <f t="shared" si="400"/>
        <v>#DIV/0!</v>
      </c>
      <c r="N116" s="169" t="e">
        <f t="shared" si="400"/>
        <v>#DIV/0!</v>
      </c>
      <c r="O116" s="169" t="e">
        <f t="shared" si="400"/>
        <v>#DIV/0!</v>
      </c>
      <c r="P116" s="169" t="e">
        <f t="shared" si="400"/>
        <v>#DIV/0!</v>
      </c>
      <c r="Q116" s="169" t="e">
        <f t="shared" si="400"/>
        <v>#DIV/0!</v>
      </c>
      <c r="R116" s="169" t="e">
        <f t="shared" si="400"/>
        <v>#DIV/0!</v>
      </c>
      <c r="S116" s="169" t="e">
        <f t="shared" ref="S116" si="401">S29/S23</f>
        <v>#DIV/0!</v>
      </c>
      <c r="T116" s="118" t="e">
        <f t="shared" si="244"/>
        <v>#DIV/0!</v>
      </c>
      <c r="U116" s="20"/>
      <c r="V116" s="169" t="e">
        <f t="shared" ref="V116:AE116" si="402">V29/V23</f>
        <v>#DIV/0!</v>
      </c>
      <c r="W116" s="169" t="e">
        <f t="shared" si="402"/>
        <v>#DIV/0!</v>
      </c>
      <c r="X116" s="169" t="e">
        <f t="shared" si="402"/>
        <v>#DIV/0!</v>
      </c>
      <c r="Y116" s="169" t="e">
        <f t="shared" si="402"/>
        <v>#DIV/0!</v>
      </c>
      <c r="Z116" s="169" t="e">
        <f t="shared" si="402"/>
        <v>#DIV/0!</v>
      </c>
      <c r="AA116" s="169" t="e">
        <f t="shared" si="402"/>
        <v>#DIV/0!</v>
      </c>
      <c r="AB116" s="169" t="e">
        <f t="shared" si="402"/>
        <v>#DIV/0!</v>
      </c>
      <c r="AC116" s="169" t="e">
        <f t="shared" si="402"/>
        <v>#DIV/0!</v>
      </c>
      <c r="AD116" s="169" t="e">
        <f t="shared" si="402"/>
        <v>#DIV/0!</v>
      </c>
      <c r="AE116" s="169" t="e">
        <f t="shared" si="402"/>
        <v>#DIV/0!</v>
      </c>
      <c r="AF116" s="137" t="e">
        <f t="shared" ref="AF116" si="403">((AE116/I116)^(1/($AE$3-$J$1) ))-1</f>
        <v>#DIV/0!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400</v>
      </c>
      <c r="C118" s="150"/>
      <c r="D118" s="150"/>
      <c r="E118" s="150"/>
      <c r="F118" s="150"/>
      <c r="G118" s="127">
        <f t="shared" ref="G118:H118" si="404">1/G112</f>
        <v>9.7074468085106389</v>
      </c>
      <c r="H118" s="127">
        <f t="shared" si="404"/>
        <v>10.354285714285714</v>
      </c>
      <c r="I118" s="127">
        <f>1/I112</f>
        <v>15.080246913580245</v>
      </c>
      <c r="J118" s="127">
        <f t="shared" ref="J118:R118" si="405">1/J112</f>
        <v>10.234782608695653</v>
      </c>
      <c r="K118" s="127">
        <f t="shared" si="405"/>
        <v>261.09333333333336</v>
      </c>
      <c r="L118" s="127">
        <f t="shared" si="405"/>
        <v>182.46875</v>
      </c>
      <c r="M118" s="127">
        <f t="shared" si="405"/>
        <v>207.97894736842105</v>
      </c>
      <c r="N118" s="127">
        <f t="shared" si="405"/>
        <v>761.16216216216219</v>
      </c>
      <c r="O118" s="127">
        <f t="shared" si="405"/>
        <v>1302.7962962962963</v>
      </c>
      <c r="P118" s="127">
        <f t="shared" si="405"/>
        <v>1701.2222222222222</v>
      </c>
      <c r="Q118" s="127" t="e">
        <f t="shared" si="405"/>
        <v>#DIV/0!</v>
      </c>
      <c r="R118" s="127" t="e">
        <f t="shared" si="405"/>
        <v>#DIV/0!</v>
      </c>
      <c r="S118" s="127" t="e">
        <f t="shared" ref="S118" si="406">1/S112</f>
        <v>#DIV/0!</v>
      </c>
      <c r="T118" s="118" t="e">
        <f t="shared" si="244"/>
        <v>#DIV/0!</v>
      </c>
      <c r="U118" s="20"/>
      <c r="V118" s="127" t="e">
        <f t="shared" ref="V118:AE118" si="407">1/V112</f>
        <v>#DIV/0!</v>
      </c>
      <c r="W118" s="127" t="e">
        <f t="shared" si="407"/>
        <v>#DIV/0!</v>
      </c>
      <c r="X118" s="127" t="e">
        <f t="shared" si="407"/>
        <v>#DIV/0!</v>
      </c>
      <c r="Y118" s="127" t="e">
        <f t="shared" si="407"/>
        <v>#DIV/0!</v>
      </c>
      <c r="Z118" s="127" t="e">
        <f t="shared" si="407"/>
        <v>#DIV/0!</v>
      </c>
      <c r="AA118" s="127" t="e">
        <f t="shared" si="407"/>
        <v>#DIV/0!</v>
      </c>
      <c r="AB118" s="127" t="e">
        <f t="shared" si="407"/>
        <v>#DIV/0!</v>
      </c>
      <c r="AC118" s="127" t="e">
        <f t="shared" si="407"/>
        <v>#DIV/0!</v>
      </c>
      <c r="AD118" s="127" t="e">
        <f t="shared" si="407"/>
        <v>#DIV/0!</v>
      </c>
      <c r="AE118" s="127" t="e">
        <f t="shared" si="407"/>
        <v>#DIV/0!</v>
      </c>
      <c r="AF118" s="137" t="e">
        <f t="shared" si="359"/>
        <v>#DIV/0!</v>
      </c>
      <c r="AG118" s="145"/>
      <c r="AH118" s="145"/>
    </row>
    <row r="119" spans="1:34" ht="12" customHeight="1">
      <c r="B119" s="20" t="s">
        <v>401</v>
      </c>
      <c r="C119" s="150"/>
      <c r="D119" s="150"/>
      <c r="E119" s="150"/>
      <c r="F119" s="150"/>
      <c r="G119" s="127">
        <f t="shared" ref="G119:H119" si="408">1/G113</f>
        <v>-0.78723404255319152</v>
      </c>
      <c r="H119" s="127">
        <f t="shared" si="408"/>
        <v>-1.1771428571428573</v>
      </c>
      <c r="I119" s="127">
        <f t="shared" ref="I119:R122" si="409">1/I113</f>
        <v>-3.7777777777777777</v>
      </c>
      <c r="J119" s="127">
        <f t="shared" si="409"/>
        <v>-0.40869565217391307</v>
      </c>
      <c r="K119" s="127">
        <f t="shared" si="409"/>
        <v>26.8</v>
      </c>
      <c r="L119" s="127">
        <f t="shared" si="409"/>
        <v>18.666666666666668</v>
      </c>
      <c r="M119" s="127">
        <f t="shared" si="409"/>
        <v>47.891228070175437</v>
      </c>
      <c r="N119" s="127">
        <f t="shared" si="409"/>
        <v>182.12162162162161</v>
      </c>
      <c r="O119" s="127">
        <f t="shared" si="409"/>
        <v>290.12962962962962</v>
      </c>
      <c r="P119" s="127">
        <f t="shared" si="409"/>
        <v>401.84444444444443</v>
      </c>
      <c r="Q119" s="127" t="e">
        <f t="shared" si="409"/>
        <v>#DIV/0!</v>
      </c>
      <c r="R119" s="127" t="e">
        <f t="shared" si="409"/>
        <v>#DIV/0!</v>
      </c>
      <c r="S119" s="127" t="e">
        <f t="shared" ref="S119" si="410">1/S113</f>
        <v>#DIV/0!</v>
      </c>
      <c r="T119" s="118" t="e">
        <f t="shared" si="244"/>
        <v>#DIV/0!</v>
      </c>
      <c r="U119" s="20"/>
      <c r="V119" s="127" t="e">
        <f t="shared" ref="V119:AE119" si="411">1/V113</f>
        <v>#DIV/0!</v>
      </c>
      <c r="W119" s="127" t="e">
        <f t="shared" si="411"/>
        <v>#DIV/0!</v>
      </c>
      <c r="X119" s="127" t="e">
        <f t="shared" si="411"/>
        <v>#DIV/0!</v>
      </c>
      <c r="Y119" s="127" t="e">
        <f t="shared" si="411"/>
        <v>#DIV/0!</v>
      </c>
      <c r="Z119" s="127" t="e">
        <f t="shared" si="411"/>
        <v>#DIV/0!</v>
      </c>
      <c r="AA119" s="127" t="e">
        <f t="shared" si="411"/>
        <v>#DIV/0!</v>
      </c>
      <c r="AB119" s="127" t="e">
        <f t="shared" si="411"/>
        <v>#DIV/0!</v>
      </c>
      <c r="AC119" s="127" t="e">
        <f t="shared" si="411"/>
        <v>#DIV/0!</v>
      </c>
      <c r="AD119" s="127" t="e">
        <f t="shared" si="411"/>
        <v>#DIV/0!</v>
      </c>
      <c r="AE119" s="127" t="e">
        <f t="shared" si="411"/>
        <v>#DIV/0!</v>
      </c>
      <c r="AF119" s="137" t="e">
        <f t="shared" si="359"/>
        <v>#DIV/0!</v>
      </c>
      <c r="AG119" s="145"/>
      <c r="AH119" s="145"/>
    </row>
    <row r="120" spans="1:34" ht="12" customHeight="1">
      <c r="B120" s="20" t="s">
        <v>402</v>
      </c>
      <c r="C120" s="150"/>
      <c r="D120" s="150"/>
      <c r="E120" s="150"/>
      <c r="F120" s="150"/>
      <c r="G120" s="127">
        <f t="shared" ref="G120:H120" si="412">1/G114</f>
        <v>7.0851063829787231</v>
      </c>
      <c r="H120" s="127">
        <f t="shared" si="412"/>
        <v>7.5657142857142849</v>
      </c>
      <c r="I120" s="127">
        <f t="shared" si="409"/>
        <v>10.567901234567902</v>
      </c>
      <c r="J120" s="127">
        <f t="shared" si="409"/>
        <v>8.1768115942028974</v>
      </c>
      <c r="K120" s="127">
        <f t="shared" si="409"/>
        <v>34.953333333333333</v>
      </c>
      <c r="L120" s="127">
        <f t="shared" si="409"/>
        <v>7.2152777777777786</v>
      </c>
      <c r="M120" s="127">
        <f t="shared" si="409"/>
        <v>33.761403508771927</v>
      </c>
      <c r="N120" s="127">
        <f t="shared" si="409"/>
        <v>146.85135135135135</v>
      </c>
      <c r="O120" s="127">
        <f t="shared" si="409"/>
        <v>273.85185185185185</v>
      </c>
      <c r="P120" s="127">
        <f t="shared" si="409"/>
        <v>385.68888888888893</v>
      </c>
      <c r="Q120" s="127" t="e">
        <f t="shared" si="409"/>
        <v>#DIV/0!</v>
      </c>
      <c r="R120" s="127" t="e">
        <f t="shared" si="409"/>
        <v>#DIV/0!</v>
      </c>
      <c r="S120" s="127" t="e">
        <f t="shared" ref="S120" si="413">1/S114</f>
        <v>#DIV/0!</v>
      </c>
      <c r="T120" s="118" t="e">
        <f t="shared" si="244"/>
        <v>#DIV/0!</v>
      </c>
      <c r="U120" s="20"/>
      <c r="V120" s="127" t="e">
        <f t="shared" ref="V120:AE120" si="414">1/V114</f>
        <v>#DIV/0!</v>
      </c>
      <c r="W120" s="127" t="e">
        <f t="shared" si="414"/>
        <v>#DIV/0!</v>
      </c>
      <c r="X120" s="127" t="e">
        <f t="shared" si="414"/>
        <v>#DIV/0!</v>
      </c>
      <c r="Y120" s="127" t="e">
        <f t="shared" si="414"/>
        <v>#DIV/0!</v>
      </c>
      <c r="Z120" s="127" t="e">
        <f t="shared" si="414"/>
        <v>#DIV/0!</v>
      </c>
      <c r="AA120" s="127" t="e">
        <f t="shared" si="414"/>
        <v>#DIV/0!</v>
      </c>
      <c r="AB120" s="127" t="e">
        <f t="shared" si="414"/>
        <v>#DIV/0!</v>
      </c>
      <c r="AC120" s="127" t="e">
        <f t="shared" si="414"/>
        <v>#DIV/0!</v>
      </c>
      <c r="AD120" s="127" t="e">
        <f t="shared" si="414"/>
        <v>#DIV/0!</v>
      </c>
      <c r="AE120" s="127" t="e">
        <f t="shared" si="414"/>
        <v>#DIV/0!</v>
      </c>
      <c r="AF120" s="137" t="e">
        <f t="shared" si="359"/>
        <v>#DIV/0!</v>
      </c>
      <c r="AG120" s="145"/>
      <c r="AH120" s="145"/>
    </row>
    <row r="121" spans="1:34" ht="12" customHeight="1">
      <c r="B121" s="20" t="s">
        <v>403</v>
      </c>
      <c r="C121" s="150"/>
      <c r="D121" s="150"/>
      <c r="E121" s="150"/>
      <c r="F121" s="150"/>
      <c r="G121" s="127">
        <f t="shared" ref="G121:H121" si="415">1/G115</f>
        <v>5.8882978723404253</v>
      </c>
      <c r="H121" s="127">
        <f t="shared" si="415"/>
        <v>14.468571428571428</v>
      </c>
      <c r="I121" s="127">
        <f t="shared" si="409"/>
        <v>17.672839506172842</v>
      </c>
      <c r="J121" s="127">
        <f t="shared" si="409"/>
        <v>10.805797101449276</v>
      </c>
      <c r="K121" s="127">
        <f t="shared" si="409"/>
        <v>139.74</v>
      </c>
      <c r="L121" s="127">
        <f t="shared" si="409"/>
        <v>103.10416666666667</v>
      </c>
      <c r="M121" s="127">
        <f t="shared" si="409"/>
        <v>137.10877192982457</v>
      </c>
      <c r="N121" s="127">
        <f t="shared" si="409"/>
        <v>619</v>
      </c>
      <c r="O121" s="127">
        <f t="shared" si="409"/>
        <v>1077.8148148148148</v>
      </c>
      <c r="P121" s="127">
        <f t="shared" si="409"/>
        <v>1383.0222222222221</v>
      </c>
      <c r="Q121" s="127" t="e">
        <f t="shared" si="409"/>
        <v>#DIV/0!</v>
      </c>
      <c r="R121" s="127" t="e">
        <f t="shared" si="409"/>
        <v>#DIV/0!</v>
      </c>
      <c r="S121" s="127" t="e">
        <f t="shared" ref="S121" si="416">1/S115</f>
        <v>#DIV/0!</v>
      </c>
      <c r="T121" s="118" t="e">
        <f t="shared" si="244"/>
        <v>#DIV/0!</v>
      </c>
      <c r="U121" s="20"/>
      <c r="V121" s="127" t="e">
        <f t="shared" ref="V121:AE121" si="417">1/V115</f>
        <v>#DIV/0!</v>
      </c>
      <c r="W121" s="127" t="e">
        <f t="shared" si="417"/>
        <v>#DIV/0!</v>
      </c>
      <c r="X121" s="127" t="e">
        <f t="shared" si="417"/>
        <v>#DIV/0!</v>
      </c>
      <c r="Y121" s="127" t="e">
        <f t="shared" si="417"/>
        <v>#DIV/0!</v>
      </c>
      <c r="Z121" s="127" t="e">
        <f t="shared" si="417"/>
        <v>#DIV/0!</v>
      </c>
      <c r="AA121" s="127" t="e">
        <f t="shared" si="417"/>
        <v>#DIV/0!</v>
      </c>
      <c r="AB121" s="127" t="e">
        <f t="shared" si="417"/>
        <v>#DIV/0!</v>
      </c>
      <c r="AC121" s="127" t="e">
        <f t="shared" si="417"/>
        <v>#DIV/0!</v>
      </c>
      <c r="AD121" s="127" t="e">
        <f t="shared" si="417"/>
        <v>#DIV/0!</v>
      </c>
      <c r="AE121" s="127" t="e">
        <f t="shared" si="417"/>
        <v>#DIV/0!</v>
      </c>
      <c r="AF121" s="137" t="e">
        <f t="shared" si="359"/>
        <v>#DIV/0!</v>
      </c>
      <c r="AG121" s="145"/>
      <c r="AH121" s="145"/>
    </row>
    <row r="122" spans="1:34" ht="12" customHeight="1">
      <c r="B122" s="20" t="s">
        <v>404</v>
      </c>
      <c r="C122" s="150"/>
      <c r="D122" s="150"/>
      <c r="E122" s="150"/>
      <c r="F122" s="150"/>
      <c r="G122" s="127" t="e">
        <f t="shared" ref="G122:H122" si="418">1/G116</f>
        <v>#DIV/0!</v>
      </c>
      <c r="H122" s="127" t="e">
        <f t="shared" si="418"/>
        <v>#DIV/0!</v>
      </c>
      <c r="I122" s="127" t="e">
        <f t="shared" si="409"/>
        <v>#DIV/0!</v>
      </c>
      <c r="J122" s="127" t="e">
        <f t="shared" si="409"/>
        <v>#DIV/0!</v>
      </c>
      <c r="K122" s="127" t="e">
        <f t="shared" si="409"/>
        <v>#DIV/0!</v>
      </c>
      <c r="L122" s="127" t="e">
        <f t="shared" si="409"/>
        <v>#DIV/0!</v>
      </c>
      <c r="M122" s="127" t="e">
        <f t="shared" si="409"/>
        <v>#DIV/0!</v>
      </c>
      <c r="N122" s="127" t="e">
        <f t="shared" si="409"/>
        <v>#DIV/0!</v>
      </c>
      <c r="O122" s="127" t="e">
        <f t="shared" si="409"/>
        <v>#DIV/0!</v>
      </c>
      <c r="P122" s="127" t="e">
        <f t="shared" si="409"/>
        <v>#DIV/0!</v>
      </c>
      <c r="Q122" s="127" t="e">
        <f t="shared" si="409"/>
        <v>#DIV/0!</v>
      </c>
      <c r="R122" s="127" t="e">
        <f t="shared" si="409"/>
        <v>#DIV/0!</v>
      </c>
      <c r="S122" s="127" t="e">
        <f t="shared" ref="S122" si="419">1/S116</f>
        <v>#DIV/0!</v>
      </c>
      <c r="T122" s="118" t="e">
        <f t="shared" si="244"/>
        <v>#DIV/0!</v>
      </c>
      <c r="U122" s="20"/>
      <c r="V122" s="127" t="e">
        <f t="shared" ref="V122:AE122" si="420">1/V116</f>
        <v>#DIV/0!</v>
      </c>
      <c r="W122" s="127" t="e">
        <f t="shared" si="420"/>
        <v>#DIV/0!</v>
      </c>
      <c r="X122" s="127" t="e">
        <f t="shared" si="420"/>
        <v>#DIV/0!</v>
      </c>
      <c r="Y122" s="127" t="e">
        <f t="shared" si="420"/>
        <v>#DIV/0!</v>
      </c>
      <c r="Z122" s="127" t="e">
        <f t="shared" si="420"/>
        <v>#DIV/0!</v>
      </c>
      <c r="AA122" s="127" t="e">
        <f t="shared" si="420"/>
        <v>#DIV/0!</v>
      </c>
      <c r="AB122" s="127" t="e">
        <f t="shared" si="420"/>
        <v>#DIV/0!</v>
      </c>
      <c r="AC122" s="127" t="e">
        <f t="shared" si="420"/>
        <v>#DIV/0!</v>
      </c>
      <c r="AD122" s="127" t="e">
        <f t="shared" si="420"/>
        <v>#DIV/0!</v>
      </c>
      <c r="AE122" s="127" t="e">
        <f t="shared" si="420"/>
        <v>#DIV/0!</v>
      </c>
      <c r="AF122" s="137" t="e">
        <f t="shared" si="359"/>
        <v>#DIV/0!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5" t="s">
        <v>482</v>
      </c>
      <c r="B124" s="200" t="s">
        <v>490</v>
      </c>
      <c r="C124" s="150"/>
      <c r="D124" s="150"/>
      <c r="E124" s="150"/>
      <c r="F124" s="150"/>
      <c r="G124" s="169" t="e">
        <f t="shared" ref="G124:H124" si="421">G25/(G36+G38)</f>
        <v>#DIV/0!</v>
      </c>
      <c r="H124" s="169" t="e">
        <f t="shared" si="421"/>
        <v>#DIV/0!</v>
      </c>
      <c r="I124" s="169" t="e">
        <f t="shared" ref="I124:S124" si="422">I25/(I36+I38)</f>
        <v>#DIV/0!</v>
      </c>
      <c r="J124" s="169" t="e">
        <f t="shared" si="422"/>
        <v>#DIV/0!</v>
      </c>
      <c r="K124" s="169" t="e">
        <f t="shared" si="422"/>
        <v>#DIV/0!</v>
      </c>
      <c r="L124" s="169" t="e">
        <f t="shared" si="422"/>
        <v>#DIV/0!</v>
      </c>
      <c r="M124" s="169" t="e">
        <f t="shared" si="422"/>
        <v>#DIV/0!</v>
      </c>
      <c r="N124" s="169" t="e">
        <f t="shared" si="422"/>
        <v>#DIV/0!</v>
      </c>
      <c r="O124" s="169" t="e">
        <f t="shared" si="422"/>
        <v>#DIV/0!</v>
      </c>
      <c r="P124" s="169" t="e">
        <f t="shared" si="422"/>
        <v>#DIV/0!</v>
      </c>
      <c r="Q124" s="169" t="e">
        <f t="shared" si="422"/>
        <v>#DIV/0!</v>
      </c>
      <c r="R124" s="169" t="e">
        <f t="shared" si="422"/>
        <v>#DIV/0!</v>
      </c>
      <c r="S124" s="169" t="e">
        <f t="shared" si="422"/>
        <v>#DIV/0!</v>
      </c>
      <c r="T124" s="118" t="e">
        <f t="shared" si="244"/>
        <v>#DIV/0!</v>
      </c>
      <c r="U124" s="20"/>
      <c r="V124" s="169" t="e">
        <f t="shared" ref="V124:AE124" si="423">V25/(V36+V38)</f>
        <v>#DIV/0!</v>
      </c>
      <c r="W124" s="169" t="e">
        <f t="shared" si="423"/>
        <v>#DIV/0!</v>
      </c>
      <c r="X124" s="169" t="e">
        <f t="shared" si="423"/>
        <v>#DIV/0!</v>
      </c>
      <c r="Y124" s="169" t="e">
        <f t="shared" si="423"/>
        <v>#DIV/0!</v>
      </c>
      <c r="Z124" s="169" t="e">
        <f t="shared" si="423"/>
        <v>#DIV/0!</v>
      </c>
      <c r="AA124" s="169" t="e">
        <f t="shared" si="423"/>
        <v>#DIV/0!</v>
      </c>
      <c r="AB124" s="169" t="e">
        <f t="shared" si="423"/>
        <v>#DIV/0!</v>
      </c>
      <c r="AC124" s="169" t="e">
        <f t="shared" si="423"/>
        <v>#DIV/0!</v>
      </c>
      <c r="AD124" s="169" t="e">
        <f t="shared" si="423"/>
        <v>#DIV/0!</v>
      </c>
      <c r="AE124" s="169" t="e">
        <f t="shared" si="423"/>
        <v>#DIV/0!</v>
      </c>
      <c r="AF124" s="137" t="e">
        <f t="shared" ref="AF124:AF132" si="424">((AE124/I124)^(1/($AE$3-$J$1) ))-1</f>
        <v>#DIV/0!</v>
      </c>
      <c r="AG124" s="145"/>
      <c r="AH124" s="145"/>
    </row>
    <row r="125" spans="1:34" ht="12" customHeight="1">
      <c r="A125" s="205"/>
      <c r="B125" s="200" t="s">
        <v>484</v>
      </c>
      <c r="C125" s="150"/>
      <c r="D125" s="150"/>
      <c r="E125" s="150"/>
      <c r="F125" s="150"/>
      <c r="G125" s="169" t="e">
        <f t="shared" ref="G125:H125" si="425">G25/G43</f>
        <v>#DIV/0!</v>
      </c>
      <c r="H125" s="169" t="e">
        <f t="shared" si="425"/>
        <v>#DIV/0!</v>
      </c>
      <c r="I125" s="169" t="e">
        <f t="shared" ref="I125:S125" si="426">I25/I43</f>
        <v>#DIV/0!</v>
      </c>
      <c r="J125" s="169" t="e">
        <f t="shared" si="426"/>
        <v>#DIV/0!</v>
      </c>
      <c r="K125" s="169" t="e">
        <f t="shared" si="426"/>
        <v>#DIV/0!</v>
      </c>
      <c r="L125" s="169" t="e">
        <f t="shared" si="426"/>
        <v>#DIV/0!</v>
      </c>
      <c r="M125" s="169" t="e">
        <f t="shared" si="426"/>
        <v>#DIV/0!</v>
      </c>
      <c r="N125" s="169" t="e">
        <f t="shared" si="426"/>
        <v>#DIV/0!</v>
      </c>
      <c r="O125" s="169" t="e">
        <f t="shared" si="426"/>
        <v>#DIV/0!</v>
      </c>
      <c r="P125" s="169" t="e">
        <f t="shared" si="426"/>
        <v>#DIV/0!</v>
      </c>
      <c r="Q125" s="169" t="e">
        <f t="shared" si="426"/>
        <v>#DIV/0!</v>
      </c>
      <c r="R125" s="169" t="e">
        <f t="shared" si="426"/>
        <v>#DIV/0!</v>
      </c>
      <c r="S125" s="169" t="e">
        <f t="shared" si="426"/>
        <v>#DIV/0!</v>
      </c>
      <c r="T125" s="118" t="e">
        <f t="shared" si="244"/>
        <v>#DIV/0!</v>
      </c>
      <c r="U125" s="20"/>
      <c r="V125" s="169" t="e">
        <f t="shared" ref="V125:AE125" si="427">V25/V43</f>
        <v>#DIV/0!</v>
      </c>
      <c r="W125" s="169" t="e">
        <f t="shared" si="427"/>
        <v>#DIV/0!</v>
      </c>
      <c r="X125" s="169" t="e">
        <f t="shared" si="427"/>
        <v>#DIV/0!</v>
      </c>
      <c r="Y125" s="169" t="e">
        <f t="shared" si="427"/>
        <v>#DIV/0!</v>
      </c>
      <c r="Z125" s="169" t="e">
        <f t="shared" si="427"/>
        <v>#DIV/0!</v>
      </c>
      <c r="AA125" s="169" t="e">
        <f t="shared" si="427"/>
        <v>#DIV/0!</v>
      </c>
      <c r="AB125" s="169" t="e">
        <f t="shared" si="427"/>
        <v>#DIV/0!</v>
      </c>
      <c r="AC125" s="169" t="e">
        <f t="shared" si="427"/>
        <v>#DIV/0!</v>
      </c>
      <c r="AD125" s="169" t="e">
        <f t="shared" si="427"/>
        <v>#DIV/0!</v>
      </c>
      <c r="AE125" s="169" t="e">
        <f t="shared" si="427"/>
        <v>#DIV/0!</v>
      </c>
      <c r="AF125" s="137" t="e">
        <f t="shared" si="424"/>
        <v>#DIV/0!</v>
      </c>
      <c r="AG125" s="145"/>
      <c r="AH125" s="145"/>
    </row>
    <row r="126" spans="1:34" ht="12" customHeight="1">
      <c r="A126" s="205"/>
      <c r="B126" s="200" t="s">
        <v>491</v>
      </c>
      <c r="C126" s="150"/>
      <c r="D126" s="150"/>
      <c r="E126" s="150"/>
      <c r="F126" s="150"/>
      <c r="G126" s="169" t="e">
        <f t="shared" ref="G126:H126" si="428">G43/(G36)</f>
        <v>#DIV/0!</v>
      </c>
      <c r="H126" s="169" t="e">
        <f t="shared" si="428"/>
        <v>#DIV/0!</v>
      </c>
      <c r="I126" s="169" t="e">
        <f t="shared" ref="I126:S126" si="429">I43/(I36)</f>
        <v>#DIV/0!</v>
      </c>
      <c r="J126" s="169" t="e">
        <f t="shared" si="429"/>
        <v>#DIV/0!</v>
      </c>
      <c r="K126" s="169" t="e">
        <f t="shared" si="429"/>
        <v>#DIV/0!</v>
      </c>
      <c r="L126" s="169" t="e">
        <f t="shared" si="429"/>
        <v>#DIV/0!</v>
      </c>
      <c r="M126" s="169" t="e">
        <f t="shared" si="429"/>
        <v>#DIV/0!</v>
      </c>
      <c r="N126" s="169" t="e">
        <f t="shared" si="429"/>
        <v>#DIV/0!</v>
      </c>
      <c r="O126" s="169" t="e">
        <f t="shared" si="429"/>
        <v>#DIV/0!</v>
      </c>
      <c r="P126" s="169" t="e">
        <f t="shared" si="429"/>
        <v>#DIV/0!</v>
      </c>
      <c r="Q126" s="169" t="e">
        <f t="shared" si="429"/>
        <v>#DIV/0!</v>
      </c>
      <c r="R126" s="169" t="e">
        <f t="shared" si="429"/>
        <v>#DIV/0!</v>
      </c>
      <c r="S126" s="169" t="e">
        <f t="shared" si="429"/>
        <v>#DIV/0!</v>
      </c>
      <c r="T126" s="118" t="e">
        <f t="shared" si="244"/>
        <v>#DIV/0!</v>
      </c>
      <c r="U126" s="20"/>
      <c r="V126" s="169" t="e">
        <f t="shared" ref="V126:AE126" si="430">V43/(V36+V38)</f>
        <v>#DIV/0!</v>
      </c>
      <c r="W126" s="169" t="e">
        <f t="shared" si="430"/>
        <v>#DIV/0!</v>
      </c>
      <c r="X126" s="169" t="e">
        <f t="shared" si="430"/>
        <v>#DIV/0!</v>
      </c>
      <c r="Y126" s="169" t="e">
        <f t="shared" si="430"/>
        <v>#DIV/0!</v>
      </c>
      <c r="Z126" s="169" t="e">
        <f t="shared" si="430"/>
        <v>#DIV/0!</v>
      </c>
      <c r="AA126" s="169" t="e">
        <f t="shared" si="430"/>
        <v>#DIV/0!</v>
      </c>
      <c r="AB126" s="169" t="e">
        <f t="shared" si="430"/>
        <v>#DIV/0!</v>
      </c>
      <c r="AC126" s="169" t="e">
        <f t="shared" si="430"/>
        <v>#DIV/0!</v>
      </c>
      <c r="AD126" s="169" t="e">
        <f t="shared" si="430"/>
        <v>#DIV/0!</v>
      </c>
      <c r="AE126" s="169" t="e">
        <f t="shared" si="430"/>
        <v>#DIV/0!</v>
      </c>
      <c r="AF126" s="137" t="e">
        <f t="shared" si="424"/>
        <v>#DIV/0!</v>
      </c>
      <c r="AG126" s="145"/>
      <c r="AH126" s="145"/>
    </row>
    <row r="127" spans="1:34" ht="12" customHeight="1">
      <c r="A127" s="205"/>
      <c r="B127" s="200" t="s">
        <v>488</v>
      </c>
      <c r="C127" s="150"/>
      <c r="D127" s="150"/>
      <c r="E127" s="150"/>
      <c r="F127" s="150"/>
      <c r="G127" s="169" t="e">
        <f t="shared" ref="G127:H127" si="431">G43/G38</f>
        <v>#DIV/0!</v>
      </c>
      <c r="H127" s="169" t="e">
        <f t="shared" si="431"/>
        <v>#DIV/0!</v>
      </c>
      <c r="I127" s="169" t="e">
        <f t="shared" ref="I127:S127" si="432">I43/I38</f>
        <v>#DIV/0!</v>
      </c>
      <c r="J127" s="169" t="e">
        <f t="shared" si="432"/>
        <v>#DIV/0!</v>
      </c>
      <c r="K127" s="169" t="e">
        <f t="shared" si="432"/>
        <v>#DIV/0!</v>
      </c>
      <c r="L127" s="169" t="e">
        <f t="shared" si="432"/>
        <v>#DIV/0!</v>
      </c>
      <c r="M127" s="169" t="e">
        <f t="shared" si="432"/>
        <v>#DIV/0!</v>
      </c>
      <c r="N127" s="169" t="e">
        <f t="shared" si="432"/>
        <v>#DIV/0!</v>
      </c>
      <c r="O127" s="169" t="e">
        <f t="shared" si="432"/>
        <v>#DIV/0!</v>
      </c>
      <c r="P127" s="169" t="e">
        <f t="shared" si="432"/>
        <v>#DIV/0!</v>
      </c>
      <c r="Q127" s="169" t="e">
        <f t="shared" si="432"/>
        <v>#DIV/0!</v>
      </c>
      <c r="R127" s="169" t="e">
        <f t="shared" si="432"/>
        <v>#DIV/0!</v>
      </c>
      <c r="S127" s="169" t="e">
        <f t="shared" si="432"/>
        <v>#DIV/0!</v>
      </c>
      <c r="T127" s="118" t="e">
        <f t="shared" si="244"/>
        <v>#DIV/0!</v>
      </c>
      <c r="U127" s="20"/>
      <c r="V127" s="169" t="e">
        <f t="shared" ref="V127:AE127" si="433">V43/V38</f>
        <v>#DIV/0!</v>
      </c>
      <c r="W127" s="169" t="e">
        <f t="shared" si="433"/>
        <v>#DIV/0!</v>
      </c>
      <c r="X127" s="169" t="e">
        <f t="shared" si="433"/>
        <v>#DIV/0!</v>
      </c>
      <c r="Y127" s="169" t="e">
        <f t="shared" si="433"/>
        <v>#DIV/0!</v>
      </c>
      <c r="Z127" s="169" t="e">
        <f t="shared" si="433"/>
        <v>#DIV/0!</v>
      </c>
      <c r="AA127" s="169" t="e">
        <f t="shared" si="433"/>
        <v>#DIV/0!</v>
      </c>
      <c r="AB127" s="169" t="e">
        <f t="shared" si="433"/>
        <v>#DIV/0!</v>
      </c>
      <c r="AC127" s="169" t="e">
        <f t="shared" si="433"/>
        <v>#DIV/0!</v>
      </c>
      <c r="AD127" s="169" t="e">
        <f t="shared" si="433"/>
        <v>#DIV/0!</v>
      </c>
      <c r="AE127" s="169" t="e">
        <f t="shared" si="433"/>
        <v>#DIV/0!</v>
      </c>
      <c r="AF127" s="137" t="e">
        <f t="shared" si="424"/>
        <v>#DIV/0!</v>
      </c>
      <c r="AG127" s="145"/>
      <c r="AH127" s="145"/>
    </row>
    <row r="128" spans="1:34" ht="12" customHeight="1">
      <c r="A128" s="205"/>
      <c r="B128" s="200" t="s">
        <v>487</v>
      </c>
      <c r="C128" s="150"/>
      <c r="D128" s="150"/>
      <c r="E128" s="150"/>
      <c r="F128" s="150"/>
      <c r="G128" s="169" t="e">
        <f t="shared" ref="G128:H128" si="434">G43/(G36+G38)</f>
        <v>#DIV/0!</v>
      </c>
      <c r="H128" s="169" t="e">
        <f t="shared" si="434"/>
        <v>#DIV/0!</v>
      </c>
      <c r="I128" s="169" t="e">
        <f t="shared" ref="I128:S128" si="435">I43/(I36+I38)</f>
        <v>#DIV/0!</v>
      </c>
      <c r="J128" s="169" t="e">
        <f t="shared" si="435"/>
        <v>#DIV/0!</v>
      </c>
      <c r="K128" s="169" t="e">
        <f t="shared" si="435"/>
        <v>#DIV/0!</v>
      </c>
      <c r="L128" s="169" t="e">
        <f t="shared" si="435"/>
        <v>#DIV/0!</v>
      </c>
      <c r="M128" s="169" t="e">
        <f t="shared" si="435"/>
        <v>#DIV/0!</v>
      </c>
      <c r="N128" s="169" t="e">
        <f t="shared" si="435"/>
        <v>#DIV/0!</v>
      </c>
      <c r="O128" s="169" t="e">
        <f t="shared" si="435"/>
        <v>#DIV/0!</v>
      </c>
      <c r="P128" s="169" t="e">
        <f t="shared" si="435"/>
        <v>#DIV/0!</v>
      </c>
      <c r="Q128" s="169" t="e">
        <f t="shared" si="435"/>
        <v>#DIV/0!</v>
      </c>
      <c r="R128" s="169" t="e">
        <f t="shared" si="435"/>
        <v>#DIV/0!</v>
      </c>
      <c r="S128" s="169" t="e">
        <f t="shared" si="435"/>
        <v>#DIV/0!</v>
      </c>
      <c r="T128" s="118" t="e">
        <f t="shared" si="244"/>
        <v>#DIV/0!</v>
      </c>
      <c r="U128" s="20"/>
      <c r="V128" s="169" t="e">
        <f t="shared" ref="V128:AE128" si="436">V43/(V36+V38)</f>
        <v>#DIV/0!</v>
      </c>
      <c r="W128" s="169" t="e">
        <f t="shared" si="436"/>
        <v>#DIV/0!</v>
      </c>
      <c r="X128" s="169" t="e">
        <f t="shared" si="436"/>
        <v>#DIV/0!</v>
      </c>
      <c r="Y128" s="169" t="e">
        <f t="shared" si="436"/>
        <v>#DIV/0!</v>
      </c>
      <c r="Z128" s="169" t="e">
        <f t="shared" si="436"/>
        <v>#DIV/0!</v>
      </c>
      <c r="AA128" s="169" t="e">
        <f t="shared" si="436"/>
        <v>#DIV/0!</v>
      </c>
      <c r="AB128" s="169" t="e">
        <f t="shared" si="436"/>
        <v>#DIV/0!</v>
      </c>
      <c r="AC128" s="169" t="e">
        <f t="shared" si="436"/>
        <v>#DIV/0!</v>
      </c>
      <c r="AD128" s="169" t="e">
        <f t="shared" si="436"/>
        <v>#DIV/0!</v>
      </c>
      <c r="AE128" s="169" t="e">
        <f t="shared" si="436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5"/>
      <c r="B129" s="200" t="s">
        <v>494</v>
      </c>
      <c r="C129" s="150"/>
      <c r="D129" s="150"/>
      <c r="E129" s="150"/>
      <c r="F129" s="150"/>
      <c r="G129" s="169">
        <f t="shared" ref="G129:H129" si="437">G47/G25</f>
        <v>0</v>
      </c>
      <c r="H129" s="169">
        <f t="shared" si="437"/>
        <v>0</v>
      </c>
      <c r="I129" s="169">
        <f t="shared" ref="I129:S129" si="438">I47/I25</f>
        <v>0</v>
      </c>
      <c r="J129" s="169">
        <f t="shared" si="438"/>
        <v>0</v>
      </c>
      <c r="K129" s="169">
        <f t="shared" si="438"/>
        <v>0</v>
      </c>
      <c r="L129" s="169">
        <f t="shared" si="438"/>
        <v>0</v>
      </c>
      <c r="M129" s="169">
        <f t="shared" si="438"/>
        <v>0</v>
      </c>
      <c r="N129" s="169">
        <f t="shared" si="438"/>
        <v>0</v>
      </c>
      <c r="O129" s="169">
        <f t="shared" si="438"/>
        <v>0</v>
      </c>
      <c r="P129" s="169">
        <f t="shared" si="438"/>
        <v>0</v>
      </c>
      <c r="Q129" s="169" t="e">
        <f t="shared" si="438"/>
        <v>#DIV/0!</v>
      </c>
      <c r="R129" s="169" t="e">
        <f t="shared" si="438"/>
        <v>#DIV/0!</v>
      </c>
      <c r="S129" s="169" t="e">
        <f t="shared" si="438"/>
        <v>#DIV/0!</v>
      </c>
      <c r="T129" s="118" t="e">
        <f t="shared" si="244"/>
        <v>#DIV/0!</v>
      </c>
      <c r="U129" s="20"/>
      <c r="V129" s="169" t="e">
        <f t="shared" ref="V129:AE129" si="439">V47/V25</f>
        <v>#DIV/0!</v>
      </c>
      <c r="W129" s="169" t="e">
        <f t="shared" si="439"/>
        <v>#DIV/0!</v>
      </c>
      <c r="X129" s="169" t="e">
        <f t="shared" si="439"/>
        <v>#DIV/0!</v>
      </c>
      <c r="Y129" s="169" t="e">
        <f t="shared" si="439"/>
        <v>#DIV/0!</v>
      </c>
      <c r="Z129" s="169" t="e">
        <f t="shared" si="439"/>
        <v>#DIV/0!</v>
      </c>
      <c r="AA129" s="169" t="e">
        <f t="shared" si="439"/>
        <v>#DIV/0!</v>
      </c>
      <c r="AB129" s="169" t="e">
        <f t="shared" si="439"/>
        <v>#DIV/0!</v>
      </c>
      <c r="AC129" s="169" t="e">
        <f t="shared" si="439"/>
        <v>#DIV/0!</v>
      </c>
      <c r="AD129" s="169" t="e">
        <f t="shared" si="439"/>
        <v>#DIV/0!</v>
      </c>
      <c r="AE129" s="169" t="e">
        <f t="shared" si="439"/>
        <v>#DIV/0!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5"/>
      <c r="B130" s="200" t="s">
        <v>492</v>
      </c>
      <c r="C130" s="150"/>
      <c r="D130" s="150"/>
      <c r="E130" s="150"/>
      <c r="F130" s="150"/>
      <c r="G130" s="204" t="e">
        <f t="shared" ref="G130:H130" si="440">G55/G49</f>
        <v>#DIV/0!</v>
      </c>
      <c r="H130" s="204" t="e">
        <f t="shared" si="440"/>
        <v>#DIV/0!</v>
      </c>
      <c r="I130" s="204" t="e">
        <f t="shared" ref="I130:S130" si="441">I55/I49</f>
        <v>#DIV/0!</v>
      </c>
      <c r="J130" s="204" t="e">
        <f t="shared" si="441"/>
        <v>#DIV/0!</v>
      </c>
      <c r="K130" s="204" t="e">
        <f t="shared" si="441"/>
        <v>#DIV/0!</v>
      </c>
      <c r="L130" s="204" t="e">
        <f t="shared" si="441"/>
        <v>#DIV/0!</v>
      </c>
      <c r="M130" s="204" t="e">
        <f t="shared" si="441"/>
        <v>#DIV/0!</v>
      </c>
      <c r="N130" s="204" t="e">
        <f t="shared" si="441"/>
        <v>#DIV/0!</v>
      </c>
      <c r="O130" s="204" t="e">
        <f t="shared" si="441"/>
        <v>#DIV/0!</v>
      </c>
      <c r="P130" s="204" t="e">
        <f t="shared" si="441"/>
        <v>#DIV/0!</v>
      </c>
      <c r="Q130" s="204" t="e">
        <f t="shared" si="441"/>
        <v>#DIV/0!</v>
      </c>
      <c r="R130" s="204" t="e">
        <f t="shared" si="441"/>
        <v>#DIV/0!</v>
      </c>
      <c r="S130" s="204" t="e">
        <f t="shared" si="441"/>
        <v>#DIV/0!</v>
      </c>
      <c r="T130" s="118" t="e">
        <f t="shared" si="244"/>
        <v>#DIV/0!</v>
      </c>
      <c r="U130" s="20"/>
      <c r="V130" s="204" t="e">
        <f t="shared" ref="V130:AE130" si="442">V55/V49</f>
        <v>#DIV/0!</v>
      </c>
      <c r="W130" s="204" t="e">
        <f t="shared" si="442"/>
        <v>#DIV/0!</v>
      </c>
      <c r="X130" s="204" t="e">
        <f t="shared" si="442"/>
        <v>#DIV/0!</v>
      </c>
      <c r="Y130" s="204" t="e">
        <f t="shared" si="442"/>
        <v>#DIV/0!</v>
      </c>
      <c r="Z130" s="204" t="e">
        <f t="shared" si="442"/>
        <v>#DIV/0!</v>
      </c>
      <c r="AA130" s="204" t="e">
        <f t="shared" si="442"/>
        <v>#DIV/0!</v>
      </c>
      <c r="AB130" s="204" t="e">
        <f t="shared" si="442"/>
        <v>#DIV/0!</v>
      </c>
      <c r="AC130" s="204" t="e">
        <f t="shared" si="442"/>
        <v>#DIV/0!</v>
      </c>
      <c r="AD130" s="204" t="e">
        <f t="shared" si="442"/>
        <v>#DIV/0!</v>
      </c>
      <c r="AE130" s="204" t="e">
        <f t="shared" si="442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5"/>
      <c r="B131" s="200" t="s">
        <v>485</v>
      </c>
      <c r="C131" s="150"/>
      <c r="D131" s="150"/>
      <c r="E131" s="150"/>
      <c r="F131" s="150"/>
      <c r="G131" s="169" t="e">
        <f t="shared" ref="G131:H131" si="443">G55/G43</f>
        <v>#DIV/0!</v>
      </c>
      <c r="H131" s="169" t="e">
        <f t="shared" si="443"/>
        <v>#DIV/0!</v>
      </c>
      <c r="I131" s="169" t="e">
        <f t="shared" ref="I131:S131" si="444">I55/I43</f>
        <v>#DIV/0!</v>
      </c>
      <c r="J131" s="169" t="e">
        <f t="shared" si="444"/>
        <v>#DIV/0!</v>
      </c>
      <c r="K131" s="169" t="e">
        <f t="shared" si="444"/>
        <v>#DIV/0!</v>
      </c>
      <c r="L131" s="169" t="e">
        <f t="shared" si="444"/>
        <v>#DIV/0!</v>
      </c>
      <c r="M131" s="169" t="e">
        <f t="shared" si="444"/>
        <v>#DIV/0!</v>
      </c>
      <c r="N131" s="169" t="e">
        <f t="shared" si="444"/>
        <v>#DIV/0!</v>
      </c>
      <c r="O131" s="169" t="e">
        <f t="shared" si="444"/>
        <v>#DIV/0!</v>
      </c>
      <c r="P131" s="169" t="e">
        <f t="shared" si="444"/>
        <v>#DIV/0!</v>
      </c>
      <c r="Q131" s="169" t="e">
        <f t="shared" si="444"/>
        <v>#DIV/0!</v>
      </c>
      <c r="R131" s="169" t="e">
        <f t="shared" si="444"/>
        <v>#DIV/0!</v>
      </c>
      <c r="S131" s="169" t="e">
        <f t="shared" si="444"/>
        <v>#DIV/0!</v>
      </c>
      <c r="T131" s="118" t="e">
        <f t="shared" si="244"/>
        <v>#DIV/0!</v>
      </c>
      <c r="U131" s="20"/>
      <c r="V131" s="169" t="e">
        <f t="shared" ref="V131:AE131" si="445">V55/V43</f>
        <v>#DIV/0!</v>
      </c>
      <c r="W131" s="169" t="e">
        <f t="shared" si="445"/>
        <v>#DIV/0!</v>
      </c>
      <c r="X131" s="169" t="e">
        <f t="shared" si="445"/>
        <v>#DIV/0!</v>
      </c>
      <c r="Y131" s="169" t="e">
        <f t="shared" si="445"/>
        <v>#DIV/0!</v>
      </c>
      <c r="Z131" s="169" t="e">
        <f t="shared" si="445"/>
        <v>#DIV/0!</v>
      </c>
      <c r="AA131" s="169" t="e">
        <f t="shared" si="445"/>
        <v>#DIV/0!</v>
      </c>
      <c r="AB131" s="169" t="e">
        <f t="shared" si="445"/>
        <v>#DIV/0!</v>
      </c>
      <c r="AC131" s="169" t="e">
        <f t="shared" si="445"/>
        <v>#DIV/0!</v>
      </c>
      <c r="AD131" s="169" t="e">
        <f t="shared" si="445"/>
        <v>#DIV/0!</v>
      </c>
      <c r="AE131" s="169" t="e">
        <f t="shared" si="445"/>
        <v>#DIV/0!</v>
      </c>
      <c r="AF131" s="137" t="e">
        <f t="shared" si="424"/>
        <v>#DIV/0!</v>
      </c>
      <c r="AG131" s="145"/>
      <c r="AH131" s="145"/>
    </row>
    <row r="132" spans="1:34" ht="12" customHeight="1">
      <c r="A132" s="205"/>
      <c r="B132" s="200" t="s">
        <v>486</v>
      </c>
      <c r="C132" s="150"/>
      <c r="D132" s="150"/>
      <c r="E132" s="150"/>
      <c r="F132" s="150"/>
      <c r="G132" s="169" t="e">
        <f t="shared" ref="G132:H132" si="446">G55/(G36+G38)</f>
        <v>#DIV/0!</v>
      </c>
      <c r="H132" s="169" t="e">
        <f t="shared" si="446"/>
        <v>#DIV/0!</v>
      </c>
      <c r="I132" s="169" t="e">
        <f t="shared" ref="I132:S132" si="447">I55/(I36+I38)</f>
        <v>#DIV/0!</v>
      </c>
      <c r="J132" s="169" t="e">
        <f t="shared" si="447"/>
        <v>#DIV/0!</v>
      </c>
      <c r="K132" s="169" t="e">
        <f t="shared" si="447"/>
        <v>#DIV/0!</v>
      </c>
      <c r="L132" s="169" t="e">
        <f t="shared" si="447"/>
        <v>#DIV/0!</v>
      </c>
      <c r="M132" s="169" t="e">
        <f t="shared" si="447"/>
        <v>#DIV/0!</v>
      </c>
      <c r="N132" s="169" t="e">
        <f t="shared" si="447"/>
        <v>#DIV/0!</v>
      </c>
      <c r="O132" s="169" t="e">
        <f t="shared" si="447"/>
        <v>#DIV/0!</v>
      </c>
      <c r="P132" s="169" t="e">
        <f t="shared" si="447"/>
        <v>#DIV/0!</v>
      </c>
      <c r="Q132" s="169" t="e">
        <f t="shared" si="447"/>
        <v>#DIV/0!</v>
      </c>
      <c r="R132" s="169" t="e">
        <f t="shared" si="447"/>
        <v>#DIV/0!</v>
      </c>
      <c r="S132" s="169" t="e">
        <f t="shared" si="447"/>
        <v>#DIV/0!</v>
      </c>
      <c r="T132" s="118" t="e">
        <f t="shared" si="244"/>
        <v>#DIV/0!</v>
      </c>
      <c r="U132" s="20"/>
      <c r="V132" s="169" t="e">
        <f t="shared" ref="V132:AE132" si="448">V55/(V36+V38)</f>
        <v>#DIV/0!</v>
      </c>
      <c r="W132" s="169" t="e">
        <f t="shared" si="448"/>
        <v>#DIV/0!</v>
      </c>
      <c r="X132" s="169" t="e">
        <f t="shared" si="448"/>
        <v>#DIV/0!</v>
      </c>
      <c r="Y132" s="169" t="e">
        <f t="shared" si="448"/>
        <v>#DIV/0!</v>
      </c>
      <c r="Z132" s="169" t="e">
        <f t="shared" si="448"/>
        <v>#DIV/0!</v>
      </c>
      <c r="AA132" s="169" t="e">
        <f t="shared" si="448"/>
        <v>#DIV/0!</v>
      </c>
      <c r="AB132" s="169" t="e">
        <f t="shared" si="448"/>
        <v>#DIV/0!</v>
      </c>
      <c r="AC132" s="169" t="e">
        <f t="shared" si="448"/>
        <v>#DIV/0!</v>
      </c>
      <c r="AD132" s="169" t="e">
        <f t="shared" si="448"/>
        <v>#DIV/0!</v>
      </c>
      <c r="AE132" s="169" t="e">
        <f t="shared" si="448"/>
        <v>#DIV/0!</v>
      </c>
      <c r="AF132" s="137" t="e">
        <f t="shared" si="424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324</v>
      </c>
      <c r="C134" s="150"/>
      <c r="D134" s="150"/>
      <c r="E134" s="150"/>
      <c r="F134" s="150"/>
      <c r="G134" s="161">
        <f t="shared" ref="G134:H134" si="449">G10-(G12+G13)</f>
        <v>-9696</v>
      </c>
      <c r="H134" s="161">
        <f t="shared" si="449"/>
        <v>-12923</v>
      </c>
      <c r="I134" s="161">
        <f t="shared" ref="I134:S134" si="450">I10-(I12+I13)</f>
        <v>-11555</v>
      </c>
      <c r="J134" s="161">
        <f t="shared" si="450"/>
        <v>-8398</v>
      </c>
      <c r="K134" s="161">
        <f t="shared" si="450"/>
        <v>-20794</v>
      </c>
      <c r="L134" s="161">
        <f t="shared" si="450"/>
        <v>-29051</v>
      </c>
      <c r="M134" s="161">
        <f t="shared" si="450"/>
        <v>-38272</v>
      </c>
      <c r="N134" s="161">
        <f t="shared" si="450"/>
        <v>-45503</v>
      </c>
      <c r="O134" s="161">
        <f t="shared" si="450"/>
        <v>-58850</v>
      </c>
      <c r="P134" s="161">
        <f t="shared" si="450"/>
        <v>-63552</v>
      </c>
      <c r="Q134" s="161">
        <f t="shared" si="450"/>
        <v>-17637</v>
      </c>
      <c r="R134" s="161">
        <f t="shared" si="450"/>
        <v>-13243</v>
      </c>
      <c r="S134" s="161">
        <f t="shared" si="450"/>
        <v>0</v>
      </c>
      <c r="T134" s="118">
        <f t="shared" si="244"/>
        <v>-1</v>
      </c>
      <c r="U134" s="20"/>
      <c r="V134" s="161">
        <f t="shared" ref="V134:AE134" si="451">V10-(V12+V13)</f>
        <v>0</v>
      </c>
      <c r="W134" s="161">
        <f t="shared" si="451"/>
        <v>0</v>
      </c>
      <c r="X134" s="161">
        <f t="shared" si="451"/>
        <v>0</v>
      </c>
      <c r="Y134" s="161">
        <f t="shared" si="451"/>
        <v>0</v>
      </c>
      <c r="Z134" s="161">
        <f t="shared" si="451"/>
        <v>0</v>
      </c>
      <c r="AA134" s="161">
        <f t="shared" si="451"/>
        <v>0</v>
      </c>
      <c r="AB134" s="161">
        <f t="shared" si="451"/>
        <v>0</v>
      </c>
      <c r="AC134" s="161">
        <f t="shared" si="451"/>
        <v>0</v>
      </c>
      <c r="AD134" s="161">
        <f t="shared" si="451"/>
        <v>0</v>
      </c>
      <c r="AE134" s="161">
        <f t="shared" si="451"/>
        <v>0</v>
      </c>
      <c r="AF134" s="137">
        <f t="shared" si="359"/>
        <v>-1</v>
      </c>
      <c r="AG134" s="145"/>
      <c r="AH134" s="145"/>
    </row>
    <row r="135" spans="1:34" ht="12" customHeight="1">
      <c r="B135" s="20" t="s">
        <v>319</v>
      </c>
      <c r="C135" s="20"/>
      <c r="D135" s="20"/>
      <c r="E135" s="20"/>
      <c r="F135" s="20"/>
      <c r="G135" s="150">
        <f t="shared" ref="G135:H135" si="452">G55/G18</f>
        <v>9.9402985074626873</v>
      </c>
      <c r="H135" s="150">
        <f t="shared" si="452"/>
        <v>11.513043478260869</v>
      </c>
      <c r="I135" s="150">
        <f t="shared" ref="I135:S135" si="453">I55/I18</f>
        <v>16.46153846153846</v>
      </c>
      <c r="J135" s="150">
        <f t="shared" si="453"/>
        <v>30.333333333333332</v>
      </c>
      <c r="K135" s="150">
        <f t="shared" si="453"/>
        <v>0.50215496599942533</v>
      </c>
      <c r="L135" s="150">
        <f t="shared" si="453"/>
        <v>0.18854913347246166</v>
      </c>
      <c r="M135" s="150">
        <f t="shared" si="453"/>
        <v>0.79950145409223095</v>
      </c>
      <c r="N135" s="150">
        <f t="shared" si="453"/>
        <v>0.84614186716499262</v>
      </c>
      <c r="O135" s="150">
        <f t="shared" si="453"/>
        <v>1.100297619047619</v>
      </c>
      <c r="P135" s="150">
        <f t="shared" si="453"/>
        <v>1.288971407352395</v>
      </c>
      <c r="Q135" s="150">
        <f t="shared" si="453"/>
        <v>0</v>
      </c>
      <c r="R135" s="150">
        <f t="shared" si="453"/>
        <v>0</v>
      </c>
      <c r="S135" s="150" t="e">
        <f t="shared" si="453"/>
        <v>#DIV/0!</v>
      </c>
      <c r="T135" s="118" t="e">
        <f t="shared" ref="T135:T167" si="454">((S135/G135)^(1/($J$2-$J$1) ))-1</f>
        <v>#DIV/0!</v>
      </c>
      <c r="U135" s="20"/>
      <c r="V135" s="150" t="e">
        <f t="shared" ref="V135:AE135" si="455">V55/V18</f>
        <v>#DIV/0!</v>
      </c>
      <c r="W135" s="150" t="e">
        <f t="shared" si="455"/>
        <v>#DIV/0!</v>
      </c>
      <c r="X135" s="150" t="e">
        <f t="shared" si="455"/>
        <v>#DIV/0!</v>
      </c>
      <c r="Y135" s="150" t="e">
        <f t="shared" si="455"/>
        <v>#DIV/0!</v>
      </c>
      <c r="Z135" s="150" t="e">
        <f t="shared" si="455"/>
        <v>#DIV/0!</v>
      </c>
      <c r="AA135" s="150" t="e">
        <f t="shared" si="455"/>
        <v>#DIV/0!</v>
      </c>
      <c r="AB135" s="150" t="e">
        <f t="shared" si="455"/>
        <v>#DIV/0!</v>
      </c>
      <c r="AC135" s="150" t="e">
        <f t="shared" si="455"/>
        <v>#DIV/0!</v>
      </c>
      <c r="AD135" s="150" t="e">
        <f t="shared" si="455"/>
        <v>#DIV/0!</v>
      </c>
      <c r="AE135" s="150" t="e">
        <f t="shared" si="455"/>
        <v>#DIV/0!</v>
      </c>
      <c r="AF135" s="137" t="e">
        <f t="shared" si="359"/>
        <v>#DIV/0!</v>
      </c>
      <c r="AG135" s="20"/>
      <c r="AH135" s="20"/>
    </row>
    <row r="136" spans="1:34">
      <c r="B136" s="20" t="s">
        <v>320</v>
      </c>
      <c r="C136" s="20"/>
      <c r="D136" s="20"/>
      <c r="E136" s="20"/>
      <c r="F136" s="20"/>
      <c r="G136" s="150">
        <f t="shared" ref="G136:H136" si="456">G55/G25</f>
        <v>0.72986301369863016</v>
      </c>
      <c r="H136" s="150">
        <f t="shared" si="456"/>
        <v>0.73068432671081673</v>
      </c>
      <c r="I136" s="150">
        <f t="shared" ref="I136:S136" si="457">I55/I25</f>
        <v>0.70077773229635698</v>
      </c>
      <c r="J136" s="150">
        <f t="shared" si="457"/>
        <v>0.79892381761540643</v>
      </c>
      <c r="K136" s="150">
        <f t="shared" si="457"/>
        <v>0.13387294454090493</v>
      </c>
      <c r="L136" s="150">
        <f t="shared" si="457"/>
        <v>3.9542539628170732E-2</v>
      </c>
      <c r="M136" s="150">
        <f t="shared" si="457"/>
        <v>0.16233087019603873</v>
      </c>
      <c r="N136" s="150">
        <f t="shared" si="457"/>
        <v>0.19293044064907858</v>
      </c>
      <c r="O136" s="150">
        <f t="shared" si="457"/>
        <v>0.21020312433369817</v>
      </c>
      <c r="P136" s="150">
        <f t="shared" si="457"/>
        <v>0.22671282084775651</v>
      </c>
      <c r="Q136" s="150" t="e">
        <f t="shared" si="457"/>
        <v>#DIV/0!</v>
      </c>
      <c r="R136" s="150" t="e">
        <f t="shared" si="457"/>
        <v>#DIV/0!</v>
      </c>
      <c r="S136" s="150" t="e">
        <f t="shared" si="457"/>
        <v>#DIV/0!</v>
      </c>
      <c r="T136" s="118" t="e">
        <f t="shared" si="454"/>
        <v>#DIV/0!</v>
      </c>
      <c r="U136" s="20"/>
      <c r="V136" s="150" t="e">
        <f t="shared" ref="V136:AE136" si="458">V55/V25</f>
        <v>#DIV/0!</v>
      </c>
      <c r="W136" s="150" t="e">
        <f t="shared" si="458"/>
        <v>#DIV/0!</v>
      </c>
      <c r="X136" s="150" t="e">
        <f t="shared" si="458"/>
        <v>#DIV/0!</v>
      </c>
      <c r="Y136" s="150" t="e">
        <f t="shared" si="458"/>
        <v>#DIV/0!</v>
      </c>
      <c r="Z136" s="150" t="e">
        <f t="shared" si="458"/>
        <v>#DIV/0!</v>
      </c>
      <c r="AA136" s="150" t="e">
        <f t="shared" si="458"/>
        <v>#DIV/0!</v>
      </c>
      <c r="AB136" s="150" t="e">
        <f t="shared" si="458"/>
        <v>#DIV/0!</v>
      </c>
      <c r="AC136" s="150" t="e">
        <f t="shared" si="458"/>
        <v>#DIV/0!</v>
      </c>
      <c r="AD136" s="150" t="e">
        <f t="shared" si="458"/>
        <v>#DIV/0!</v>
      </c>
      <c r="AE136" s="150" t="e">
        <f t="shared" si="458"/>
        <v>#DIV/0!</v>
      </c>
      <c r="AF136" s="137" t="e">
        <f t="shared" si="359"/>
        <v>#DIV/0!</v>
      </c>
      <c r="AG136" s="20"/>
      <c r="AH136" s="20"/>
    </row>
    <row r="137" spans="1:34">
      <c r="B137" s="20" t="s">
        <v>346</v>
      </c>
      <c r="C137" s="20"/>
      <c r="D137" s="20"/>
      <c r="E137" s="150"/>
      <c r="F137" s="150"/>
      <c r="G137" s="150">
        <f t="shared" ref="G137:H137" si="459">G25/G18</f>
        <v>13.619402985074627</v>
      </c>
      <c r="H137" s="150">
        <f t="shared" si="459"/>
        <v>15.756521739130434</v>
      </c>
      <c r="I137" s="150">
        <f t="shared" ref="I137:S137" si="460">I25/I18</f>
        <v>23.490384615384617</v>
      </c>
      <c r="J137" s="150">
        <f t="shared" si="460"/>
        <v>37.967741935483872</v>
      </c>
      <c r="K137" s="150">
        <f t="shared" si="460"/>
        <v>3.7509817067330715</v>
      </c>
      <c r="L137" s="150">
        <f t="shared" si="460"/>
        <v>4.7682605934125757</v>
      </c>
      <c r="M137" s="150">
        <f t="shared" si="460"/>
        <v>4.9251350228500206</v>
      </c>
      <c r="N137" s="150">
        <f t="shared" si="460"/>
        <v>4.3857354200731917</v>
      </c>
      <c r="O137" s="150">
        <f t="shared" si="460"/>
        <v>5.2344494047619046</v>
      </c>
      <c r="P137" s="150">
        <f t="shared" si="460"/>
        <v>5.685480876346082</v>
      </c>
      <c r="Q137" s="150">
        <f t="shared" si="460"/>
        <v>0</v>
      </c>
      <c r="R137" s="150">
        <f t="shared" si="460"/>
        <v>0</v>
      </c>
      <c r="S137" s="150" t="e">
        <f t="shared" si="460"/>
        <v>#DIV/0!</v>
      </c>
      <c r="T137" s="118" t="e">
        <f t="shared" si="454"/>
        <v>#DIV/0!</v>
      </c>
      <c r="U137" s="20"/>
      <c r="V137" s="150" t="e">
        <f t="shared" ref="V137:AE137" si="461">V25/V18</f>
        <v>#DIV/0!</v>
      </c>
      <c r="W137" s="150" t="e">
        <f t="shared" si="461"/>
        <v>#DIV/0!</v>
      </c>
      <c r="X137" s="150" t="e">
        <f t="shared" si="461"/>
        <v>#DIV/0!</v>
      </c>
      <c r="Y137" s="150" t="e">
        <f t="shared" si="461"/>
        <v>#DIV/0!</v>
      </c>
      <c r="Z137" s="150" t="e">
        <f t="shared" si="461"/>
        <v>#DIV/0!</v>
      </c>
      <c r="AA137" s="150" t="e">
        <f t="shared" si="461"/>
        <v>#DIV/0!</v>
      </c>
      <c r="AB137" s="150" t="e">
        <f t="shared" si="461"/>
        <v>#DIV/0!</v>
      </c>
      <c r="AC137" s="150" t="e">
        <f t="shared" si="461"/>
        <v>#DIV/0!</v>
      </c>
      <c r="AD137" s="150" t="e">
        <f t="shared" si="461"/>
        <v>#DIV/0!</v>
      </c>
      <c r="AE137" s="150" t="e">
        <f t="shared" si="461"/>
        <v>#DIV/0!</v>
      </c>
      <c r="AF137" s="137" t="e">
        <f t="shared" si="359"/>
        <v>#DIV/0!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332</v>
      </c>
      <c r="C139" s="20"/>
      <c r="D139" s="20"/>
      <c r="E139" s="163"/>
      <c r="F139" s="163"/>
      <c r="G139" s="163">
        <f t="shared" ref="G139:H139" si="462">G88*G57</f>
        <v>1E-4</v>
      </c>
      <c r="H139" s="163">
        <f t="shared" si="462"/>
        <v>1E-4</v>
      </c>
      <c r="I139" s="163">
        <f t="shared" ref="I139:S139" si="463">I88*I57</f>
        <v>1262</v>
      </c>
      <c r="J139" s="163">
        <f t="shared" si="463"/>
        <v>1495.4699999999998</v>
      </c>
      <c r="K139" s="163">
        <f t="shared" si="463"/>
        <v>1703.6999999999998</v>
      </c>
      <c r="L139" s="163">
        <f t="shared" si="463"/>
        <v>17.036999999999999</v>
      </c>
      <c r="M139" s="163">
        <f t="shared" si="463"/>
        <v>2210.7049999999999</v>
      </c>
      <c r="N139" s="163">
        <f t="shared" si="463"/>
        <v>2463.357</v>
      </c>
      <c r="O139" s="163">
        <f t="shared" si="463"/>
        <v>6316.3</v>
      </c>
      <c r="P139" s="163">
        <f t="shared" si="463"/>
        <v>8842.82</v>
      </c>
      <c r="Q139" s="163">
        <f t="shared" si="463"/>
        <v>0</v>
      </c>
      <c r="R139" s="163">
        <f t="shared" si="463"/>
        <v>0</v>
      </c>
      <c r="S139" s="163">
        <f t="shared" si="463"/>
        <v>0</v>
      </c>
      <c r="T139" s="118">
        <f t="shared" si="454"/>
        <v>-1</v>
      </c>
      <c r="U139" s="20"/>
      <c r="V139" s="163">
        <f t="shared" ref="V139:AE139" si="464">V88*V57</f>
        <v>0</v>
      </c>
      <c r="W139" s="163">
        <f t="shared" si="464"/>
        <v>0</v>
      </c>
      <c r="X139" s="163">
        <f t="shared" si="464"/>
        <v>0</v>
      </c>
      <c r="Y139" s="163">
        <f t="shared" si="464"/>
        <v>0</v>
      </c>
      <c r="Z139" s="163">
        <f t="shared" si="464"/>
        <v>0</v>
      </c>
      <c r="AA139" s="163">
        <f t="shared" si="464"/>
        <v>0</v>
      </c>
      <c r="AB139" s="163">
        <f t="shared" si="464"/>
        <v>0</v>
      </c>
      <c r="AC139" s="163">
        <f t="shared" si="464"/>
        <v>0</v>
      </c>
      <c r="AD139" s="163">
        <f t="shared" si="464"/>
        <v>0</v>
      </c>
      <c r="AE139" s="163">
        <f t="shared" si="464"/>
        <v>0</v>
      </c>
      <c r="AF139" s="137">
        <f t="shared" si="359"/>
        <v>-1</v>
      </c>
      <c r="AG139" s="20"/>
      <c r="AH139" s="20"/>
    </row>
    <row r="140" spans="1:34">
      <c r="B140" s="20" t="s">
        <v>333</v>
      </c>
      <c r="C140" s="20"/>
      <c r="D140" s="20"/>
      <c r="E140" s="163"/>
      <c r="F140" s="163"/>
      <c r="G140" s="163">
        <f t="shared" ref="G140:H140" si="465">(G139*0.17)+G139</f>
        <v>1.1700000000000001E-4</v>
      </c>
      <c r="H140" s="163">
        <f t="shared" si="465"/>
        <v>1.1700000000000001E-4</v>
      </c>
      <c r="I140" s="163">
        <f t="shared" ref="I140:R140" si="466">(I139*0.17)+I139</f>
        <v>1476.54</v>
      </c>
      <c r="J140" s="163">
        <f t="shared" si="466"/>
        <v>1749.6998999999998</v>
      </c>
      <c r="K140" s="163">
        <f t="shared" si="466"/>
        <v>1993.3289999999997</v>
      </c>
      <c r="L140" s="163">
        <f t="shared" si="466"/>
        <v>19.93329</v>
      </c>
      <c r="M140" s="163">
        <f t="shared" si="466"/>
        <v>2586.5248499999998</v>
      </c>
      <c r="N140" s="163">
        <f t="shared" si="466"/>
        <v>2882.1276899999998</v>
      </c>
      <c r="O140" s="163">
        <f t="shared" si="466"/>
        <v>7390.0709999999999</v>
      </c>
      <c r="P140" s="163">
        <f t="shared" si="466"/>
        <v>10346.099399999999</v>
      </c>
      <c r="Q140" s="163">
        <f t="shared" si="466"/>
        <v>0</v>
      </c>
      <c r="R140" s="163">
        <f t="shared" si="466"/>
        <v>0</v>
      </c>
      <c r="S140" s="163">
        <f t="shared" ref="S140" si="467">(S139*0.17)+S139</f>
        <v>0</v>
      </c>
      <c r="T140" s="118">
        <f t="shared" si="454"/>
        <v>-1</v>
      </c>
      <c r="U140" s="20"/>
      <c r="V140" s="163">
        <f t="shared" ref="V140:AE140" si="468">(V139*0.17)+V139</f>
        <v>0</v>
      </c>
      <c r="W140" s="163">
        <f t="shared" si="468"/>
        <v>0</v>
      </c>
      <c r="X140" s="163">
        <f t="shared" si="468"/>
        <v>0</v>
      </c>
      <c r="Y140" s="163">
        <f t="shared" si="468"/>
        <v>0</v>
      </c>
      <c r="Z140" s="163">
        <f t="shared" si="468"/>
        <v>0</v>
      </c>
      <c r="AA140" s="163">
        <f t="shared" si="468"/>
        <v>0</v>
      </c>
      <c r="AB140" s="163">
        <f t="shared" si="468"/>
        <v>0</v>
      </c>
      <c r="AC140" s="163">
        <f t="shared" si="468"/>
        <v>0</v>
      </c>
      <c r="AD140" s="163">
        <f t="shared" si="468"/>
        <v>0</v>
      </c>
      <c r="AE140" s="163">
        <f t="shared" si="468"/>
        <v>0</v>
      </c>
      <c r="AF140" s="137">
        <f t="shared" si="359"/>
        <v>-1</v>
      </c>
      <c r="AG140" s="20"/>
      <c r="AH140" s="20"/>
    </row>
    <row r="141" spans="1:34">
      <c r="B141" s="20" t="s">
        <v>334</v>
      </c>
      <c r="C141" s="20"/>
      <c r="D141" s="20"/>
      <c r="E141" s="20"/>
      <c r="F141" s="20"/>
      <c r="G141" s="150">
        <f t="shared" ref="G141:H141" si="469">G140/G55</f>
        <v>8.7837837837837849E-8</v>
      </c>
      <c r="H141" s="150">
        <f t="shared" si="469"/>
        <v>8.8368580060422963E-8</v>
      </c>
      <c r="I141" s="150">
        <f t="shared" ref="I141:S141" si="470">I140/I55</f>
        <v>0.86246495327102801</v>
      </c>
      <c r="J141" s="150">
        <f t="shared" si="470"/>
        <v>0.62024101382488472</v>
      </c>
      <c r="K141" s="150">
        <f t="shared" si="470"/>
        <v>0.3801886324623307</v>
      </c>
      <c r="L141" s="150">
        <f t="shared" si="470"/>
        <v>9.5925360923965353E-3</v>
      </c>
      <c r="M141" s="150">
        <f t="shared" si="470"/>
        <v>0.2688136406152567</v>
      </c>
      <c r="N141" s="150">
        <f t="shared" si="470"/>
        <v>0.2652183390080059</v>
      </c>
      <c r="O141" s="150">
        <f t="shared" si="470"/>
        <v>0.49973431160400322</v>
      </c>
      <c r="P141" s="150">
        <f t="shared" si="470"/>
        <v>0.59611082046554498</v>
      </c>
      <c r="Q141" s="150" t="e">
        <f t="shared" si="470"/>
        <v>#DIV/0!</v>
      </c>
      <c r="R141" s="150" t="e">
        <f t="shared" si="470"/>
        <v>#DIV/0!</v>
      </c>
      <c r="S141" s="150" t="e">
        <f t="shared" si="470"/>
        <v>#DIV/0!</v>
      </c>
      <c r="T141" s="118" t="e">
        <f t="shared" si="454"/>
        <v>#DIV/0!</v>
      </c>
      <c r="U141" s="20"/>
      <c r="V141" s="150" t="e">
        <f t="shared" ref="V141:AE141" si="471">V140/V55</f>
        <v>#DIV/0!</v>
      </c>
      <c r="W141" s="150" t="e">
        <f t="shared" si="471"/>
        <v>#DIV/0!</v>
      </c>
      <c r="X141" s="150" t="e">
        <f t="shared" si="471"/>
        <v>#DIV/0!</v>
      </c>
      <c r="Y141" s="150" t="e">
        <f t="shared" si="471"/>
        <v>#DIV/0!</v>
      </c>
      <c r="Z141" s="150" t="e">
        <f t="shared" si="471"/>
        <v>#DIV/0!</v>
      </c>
      <c r="AA141" s="150" t="e">
        <f t="shared" si="471"/>
        <v>#DIV/0!</v>
      </c>
      <c r="AB141" s="150" t="e">
        <f t="shared" si="471"/>
        <v>#DIV/0!</v>
      </c>
      <c r="AC141" s="150" t="e">
        <f t="shared" si="471"/>
        <v>#DIV/0!</v>
      </c>
      <c r="AD141" s="150" t="e">
        <f t="shared" si="471"/>
        <v>#DIV/0!</v>
      </c>
      <c r="AE141" s="150" t="e">
        <f t="shared" si="471"/>
        <v>#DIV/0!</v>
      </c>
      <c r="AF141" s="137" t="e">
        <f t="shared" si="359"/>
        <v>#DIV/0!</v>
      </c>
      <c r="AG141" s="20"/>
      <c r="AH141" s="20"/>
    </row>
    <row r="142" spans="1:34">
      <c r="B142" s="20" t="s">
        <v>327</v>
      </c>
      <c r="C142" s="20"/>
      <c r="D142" s="20"/>
      <c r="E142" s="20"/>
      <c r="F142" s="20"/>
      <c r="G142" s="150">
        <f t="shared" ref="G142:H142" si="472">1-G141</f>
        <v>0.99999991216216211</v>
      </c>
      <c r="H142" s="150">
        <f t="shared" si="472"/>
        <v>0.99999991163141999</v>
      </c>
      <c r="I142" s="150">
        <f>1-I141</f>
        <v>0.13753504672897199</v>
      </c>
      <c r="J142" s="150">
        <f t="shared" ref="J142:R142" si="473">1-J141</f>
        <v>0.37975898617511528</v>
      </c>
      <c r="K142" s="150">
        <f t="shared" si="473"/>
        <v>0.6198113675376693</v>
      </c>
      <c r="L142" s="150">
        <f t="shared" si="473"/>
        <v>0.99040746390760348</v>
      </c>
      <c r="M142" s="150">
        <f t="shared" si="473"/>
        <v>0.7311863593847433</v>
      </c>
      <c r="N142" s="150">
        <f t="shared" si="473"/>
        <v>0.73478166099199416</v>
      </c>
      <c r="O142" s="150">
        <f t="shared" si="473"/>
        <v>0.50026568839599683</v>
      </c>
      <c r="P142" s="150">
        <f t="shared" si="473"/>
        <v>0.40388917953445502</v>
      </c>
      <c r="Q142" s="150" t="e">
        <f t="shared" si="473"/>
        <v>#DIV/0!</v>
      </c>
      <c r="R142" s="150" t="e">
        <f t="shared" si="473"/>
        <v>#DIV/0!</v>
      </c>
      <c r="S142" s="150" t="e">
        <f t="shared" ref="S142" si="474">1-S141</f>
        <v>#DIV/0!</v>
      </c>
      <c r="T142" s="118" t="e">
        <f t="shared" si="454"/>
        <v>#DIV/0!</v>
      </c>
      <c r="U142" s="20"/>
      <c r="V142" s="150" t="e">
        <f t="shared" ref="V142:AE142" si="475">1-V141</f>
        <v>#DIV/0!</v>
      </c>
      <c r="W142" s="150" t="e">
        <f t="shared" si="475"/>
        <v>#DIV/0!</v>
      </c>
      <c r="X142" s="150" t="e">
        <f t="shared" si="475"/>
        <v>#DIV/0!</v>
      </c>
      <c r="Y142" s="150" t="e">
        <f t="shared" si="475"/>
        <v>#DIV/0!</v>
      </c>
      <c r="Z142" s="150" t="e">
        <f t="shared" si="475"/>
        <v>#DIV/0!</v>
      </c>
      <c r="AA142" s="150" t="e">
        <f t="shared" si="475"/>
        <v>#DIV/0!</v>
      </c>
      <c r="AB142" s="150" t="e">
        <f t="shared" si="475"/>
        <v>#DIV/0!</v>
      </c>
      <c r="AC142" s="150" t="e">
        <f t="shared" si="475"/>
        <v>#DIV/0!</v>
      </c>
      <c r="AD142" s="150" t="e">
        <f t="shared" si="475"/>
        <v>#DIV/0!</v>
      </c>
      <c r="AE142" s="150" t="e">
        <f t="shared" si="475"/>
        <v>#DIV/0!</v>
      </c>
      <c r="AF142" s="137" t="e">
        <f t="shared" si="359"/>
        <v>#DIV/0!</v>
      </c>
      <c r="AG142" s="20"/>
      <c r="AH142" s="20"/>
    </row>
    <row r="143" spans="1:34">
      <c r="B143" s="20" t="s">
        <v>450</v>
      </c>
      <c r="C143" s="20"/>
      <c r="D143" s="20"/>
      <c r="E143" s="20"/>
      <c r="F143" s="20"/>
      <c r="G143" s="150" t="e">
        <f t="shared" ref="G143:H143" si="476">G140/G20</f>
        <v>#DIV/0!</v>
      </c>
      <c r="H143" s="150" t="e">
        <f t="shared" si="476"/>
        <v>#DIV/0!</v>
      </c>
      <c r="I143" s="150" t="e">
        <f t="shared" ref="I143:S143" si="477">I140/I20</f>
        <v>#DIV/0!</v>
      </c>
      <c r="J143" s="150" t="e">
        <f t="shared" si="477"/>
        <v>#DIV/0!</v>
      </c>
      <c r="K143" s="150" t="e">
        <f t="shared" si="477"/>
        <v>#DIV/0!</v>
      </c>
      <c r="L143" s="150" t="e">
        <f t="shared" si="477"/>
        <v>#DIV/0!</v>
      </c>
      <c r="M143" s="150" t="e">
        <f t="shared" si="477"/>
        <v>#DIV/0!</v>
      </c>
      <c r="N143" s="150" t="e">
        <f t="shared" si="477"/>
        <v>#DIV/0!</v>
      </c>
      <c r="O143" s="150" t="e">
        <f t="shared" si="477"/>
        <v>#DIV/0!</v>
      </c>
      <c r="P143" s="150" t="e">
        <f t="shared" si="477"/>
        <v>#DIV/0!</v>
      </c>
      <c r="Q143" s="150" t="e">
        <f t="shared" si="477"/>
        <v>#DIV/0!</v>
      </c>
      <c r="R143" s="150" t="e">
        <f t="shared" si="477"/>
        <v>#DIV/0!</v>
      </c>
      <c r="S143" s="150" t="e">
        <f t="shared" si="477"/>
        <v>#DIV/0!</v>
      </c>
      <c r="T143" s="118" t="e">
        <f t="shared" si="454"/>
        <v>#DIV/0!</v>
      </c>
      <c r="U143" s="20"/>
      <c r="V143" s="150" t="e">
        <f t="shared" ref="V143:AE143" si="478">V140/V20</f>
        <v>#DIV/0!</v>
      </c>
      <c r="W143" s="150" t="e">
        <f t="shared" si="478"/>
        <v>#DIV/0!</v>
      </c>
      <c r="X143" s="150" t="e">
        <f t="shared" si="478"/>
        <v>#DIV/0!</v>
      </c>
      <c r="Y143" s="150" t="e">
        <f t="shared" si="478"/>
        <v>#DIV/0!</v>
      </c>
      <c r="Z143" s="150" t="e">
        <f t="shared" si="478"/>
        <v>#DIV/0!</v>
      </c>
      <c r="AA143" s="150" t="e">
        <f t="shared" si="478"/>
        <v>#DIV/0!</v>
      </c>
      <c r="AB143" s="150" t="e">
        <f t="shared" si="478"/>
        <v>#DIV/0!</v>
      </c>
      <c r="AC143" s="150" t="e">
        <f t="shared" si="478"/>
        <v>#DIV/0!</v>
      </c>
      <c r="AD143" s="150" t="e">
        <f t="shared" si="478"/>
        <v>#DIV/0!</v>
      </c>
      <c r="AE143" s="150" t="e">
        <f t="shared" si="478"/>
        <v>#DIV/0!</v>
      </c>
      <c r="AF143" s="137" t="s">
        <v>451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331</v>
      </c>
      <c r="C145" s="150"/>
      <c r="D145" s="150"/>
      <c r="E145" s="150"/>
      <c r="F145" s="150"/>
      <c r="G145" s="150">
        <f t="shared" ref="G145:H145" si="479">G31/G25</f>
        <v>0</v>
      </c>
      <c r="H145" s="150">
        <f t="shared" si="479"/>
        <v>0</v>
      </c>
      <c r="I145" s="150">
        <f t="shared" ref="I145:S145" si="480">I31/I25</f>
        <v>0</v>
      </c>
      <c r="J145" s="150">
        <f t="shared" si="480"/>
        <v>0</v>
      </c>
      <c r="K145" s="150">
        <f t="shared" si="480"/>
        <v>0</v>
      </c>
      <c r="L145" s="150">
        <f t="shared" si="480"/>
        <v>0</v>
      </c>
      <c r="M145" s="150">
        <f t="shared" si="480"/>
        <v>0</v>
      </c>
      <c r="N145" s="150">
        <f t="shared" si="480"/>
        <v>0</v>
      </c>
      <c r="O145" s="150">
        <f t="shared" si="480"/>
        <v>0</v>
      </c>
      <c r="P145" s="150">
        <f t="shared" si="480"/>
        <v>0</v>
      </c>
      <c r="Q145" s="150" t="e">
        <f t="shared" si="480"/>
        <v>#DIV/0!</v>
      </c>
      <c r="R145" s="150" t="e">
        <f t="shared" si="480"/>
        <v>#DIV/0!</v>
      </c>
      <c r="S145" s="150" t="e">
        <f t="shared" si="480"/>
        <v>#DIV/0!</v>
      </c>
      <c r="T145" s="118" t="e">
        <f t="shared" si="454"/>
        <v>#DIV/0!</v>
      </c>
      <c r="U145" s="20"/>
      <c r="V145" s="150" t="e">
        <f t="shared" ref="V145:AE145" si="481">V31/V25</f>
        <v>#DIV/0!</v>
      </c>
      <c r="W145" s="150" t="e">
        <f t="shared" si="481"/>
        <v>#DIV/0!</v>
      </c>
      <c r="X145" s="150" t="e">
        <f t="shared" si="481"/>
        <v>#DIV/0!</v>
      </c>
      <c r="Y145" s="150" t="e">
        <f t="shared" si="481"/>
        <v>#DIV/0!</v>
      </c>
      <c r="Z145" s="150" t="e">
        <f t="shared" si="481"/>
        <v>#DIV/0!</v>
      </c>
      <c r="AA145" s="150" t="e">
        <f t="shared" si="481"/>
        <v>#DIV/0!</v>
      </c>
      <c r="AB145" s="150" t="e">
        <f t="shared" si="481"/>
        <v>#DIV/0!</v>
      </c>
      <c r="AC145" s="150" t="e">
        <f t="shared" si="481"/>
        <v>#DIV/0!</v>
      </c>
      <c r="AD145" s="150" t="e">
        <f t="shared" si="481"/>
        <v>#DIV/0!</v>
      </c>
      <c r="AE145" s="150" t="e">
        <f t="shared" si="481"/>
        <v>#DIV/0!</v>
      </c>
      <c r="AF145" s="137" t="e">
        <f t="shared" si="359"/>
        <v>#DIV/0!</v>
      </c>
      <c r="AG145" s="20"/>
      <c r="AH145" s="20"/>
    </row>
    <row r="146" spans="2:34">
      <c r="B146" s="20" t="s">
        <v>328</v>
      </c>
      <c r="C146" s="150"/>
      <c r="D146" s="150"/>
      <c r="E146" s="150"/>
      <c r="F146" s="150"/>
      <c r="G146" s="150">
        <f t="shared" ref="G146:H146" si="482">G32/G25</f>
        <v>0</v>
      </c>
      <c r="H146" s="150">
        <f t="shared" si="482"/>
        <v>0</v>
      </c>
      <c r="I146" s="150">
        <f t="shared" ref="I146:S146" si="483">I32/I25</f>
        <v>0</v>
      </c>
      <c r="J146" s="150">
        <f t="shared" si="483"/>
        <v>0</v>
      </c>
      <c r="K146" s="150">
        <f t="shared" si="483"/>
        <v>0</v>
      </c>
      <c r="L146" s="150">
        <f t="shared" si="483"/>
        <v>0</v>
      </c>
      <c r="M146" s="150">
        <f t="shared" si="483"/>
        <v>0</v>
      </c>
      <c r="N146" s="150">
        <f t="shared" si="483"/>
        <v>0</v>
      </c>
      <c r="O146" s="150">
        <f t="shared" si="483"/>
        <v>0</v>
      </c>
      <c r="P146" s="150">
        <f t="shared" si="483"/>
        <v>0</v>
      </c>
      <c r="Q146" s="150" t="e">
        <f t="shared" si="483"/>
        <v>#DIV/0!</v>
      </c>
      <c r="R146" s="150" t="e">
        <f t="shared" si="483"/>
        <v>#DIV/0!</v>
      </c>
      <c r="S146" s="150" t="e">
        <f t="shared" si="483"/>
        <v>#DIV/0!</v>
      </c>
      <c r="T146" s="118" t="e">
        <f t="shared" si="454"/>
        <v>#DIV/0!</v>
      </c>
      <c r="U146" s="20"/>
      <c r="V146" s="150" t="e">
        <f t="shared" ref="V146:AE146" si="484">V32/V25</f>
        <v>#DIV/0!</v>
      </c>
      <c r="W146" s="150" t="e">
        <f t="shared" si="484"/>
        <v>#DIV/0!</v>
      </c>
      <c r="X146" s="150" t="e">
        <f t="shared" si="484"/>
        <v>#DIV/0!</v>
      </c>
      <c r="Y146" s="150" t="e">
        <f t="shared" si="484"/>
        <v>#DIV/0!</v>
      </c>
      <c r="Z146" s="150" t="e">
        <f t="shared" si="484"/>
        <v>#DIV/0!</v>
      </c>
      <c r="AA146" s="150" t="e">
        <f t="shared" si="484"/>
        <v>#DIV/0!</v>
      </c>
      <c r="AB146" s="150" t="e">
        <f t="shared" si="484"/>
        <v>#DIV/0!</v>
      </c>
      <c r="AC146" s="150" t="e">
        <f t="shared" si="484"/>
        <v>#DIV/0!</v>
      </c>
      <c r="AD146" s="150" t="e">
        <f t="shared" si="484"/>
        <v>#DIV/0!</v>
      </c>
      <c r="AE146" s="150" t="e">
        <f t="shared" si="484"/>
        <v>#DIV/0!</v>
      </c>
      <c r="AF146" s="137" t="e">
        <f t="shared" si="359"/>
        <v>#DIV/0!</v>
      </c>
      <c r="AG146" s="20"/>
      <c r="AH146" s="20"/>
    </row>
    <row r="147" spans="2:34">
      <c r="B147" s="20" t="s">
        <v>458</v>
      </c>
      <c r="C147" s="150"/>
      <c r="D147" s="150"/>
      <c r="E147" s="150"/>
      <c r="F147" s="150"/>
      <c r="G147" s="150">
        <f t="shared" ref="G147:H147" si="485">(G31+G32)/G25</f>
        <v>0</v>
      </c>
      <c r="H147" s="150">
        <f t="shared" si="485"/>
        <v>0</v>
      </c>
      <c r="I147" s="150">
        <f t="shared" ref="I147:S147" si="486">(I31+I32)/I25</f>
        <v>0</v>
      </c>
      <c r="J147" s="150">
        <f t="shared" si="486"/>
        <v>0</v>
      </c>
      <c r="K147" s="150">
        <f t="shared" si="486"/>
        <v>0</v>
      </c>
      <c r="L147" s="150">
        <f t="shared" si="486"/>
        <v>0</v>
      </c>
      <c r="M147" s="150">
        <f t="shared" si="486"/>
        <v>0</v>
      </c>
      <c r="N147" s="150">
        <f t="shared" si="486"/>
        <v>0</v>
      </c>
      <c r="O147" s="150">
        <f t="shared" si="486"/>
        <v>0</v>
      </c>
      <c r="P147" s="150">
        <f t="shared" si="486"/>
        <v>0</v>
      </c>
      <c r="Q147" s="150" t="e">
        <f t="shared" si="486"/>
        <v>#DIV/0!</v>
      </c>
      <c r="R147" s="150" t="e">
        <f t="shared" si="486"/>
        <v>#DIV/0!</v>
      </c>
      <c r="S147" s="150" t="e">
        <f t="shared" si="486"/>
        <v>#DIV/0!</v>
      </c>
      <c r="T147" s="118" t="e">
        <f t="shared" si="454"/>
        <v>#DIV/0!</v>
      </c>
      <c r="U147" s="20"/>
      <c r="V147" s="150" t="e">
        <f t="shared" ref="V147:AE147" si="487">(V31+V32)/V25</f>
        <v>#DIV/0!</v>
      </c>
      <c r="W147" s="150" t="e">
        <f t="shared" si="487"/>
        <v>#DIV/0!</v>
      </c>
      <c r="X147" s="150" t="e">
        <f t="shared" si="487"/>
        <v>#DIV/0!</v>
      </c>
      <c r="Y147" s="150" t="e">
        <f t="shared" si="487"/>
        <v>#DIV/0!</v>
      </c>
      <c r="Z147" s="150" t="e">
        <f t="shared" si="487"/>
        <v>#DIV/0!</v>
      </c>
      <c r="AA147" s="150" t="e">
        <f t="shared" si="487"/>
        <v>#DIV/0!</v>
      </c>
      <c r="AB147" s="150" t="e">
        <f t="shared" si="487"/>
        <v>#DIV/0!</v>
      </c>
      <c r="AC147" s="150" t="e">
        <f t="shared" si="487"/>
        <v>#DIV/0!</v>
      </c>
      <c r="AD147" s="150" t="e">
        <f t="shared" si="487"/>
        <v>#DIV/0!</v>
      </c>
      <c r="AE147" s="150" t="e">
        <f t="shared" si="487"/>
        <v>#DIV/0!</v>
      </c>
      <c r="AF147" s="137" t="e">
        <f t="shared" si="359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352</v>
      </c>
      <c r="C149" s="20"/>
      <c r="D149" s="20"/>
      <c r="E149" s="20"/>
      <c r="F149" s="20"/>
      <c r="G149" s="150">
        <f t="shared" ref="G149:H149" si="488">G27/G25</f>
        <v>0.1463013698630137</v>
      </c>
      <c r="H149" s="150">
        <f t="shared" si="488"/>
        <v>0.17052980132450332</v>
      </c>
      <c r="I149" s="150">
        <f t="shared" ref="I149:S149" si="489">I27/I25</f>
        <v>0.33892754809660253</v>
      </c>
      <c r="J149" s="150">
        <f t="shared" si="489"/>
        <v>9.4590767487963745E-2</v>
      </c>
      <c r="K149" s="150">
        <f t="shared" si="489"/>
        <v>0.73682463486875704</v>
      </c>
      <c r="L149" s="150">
        <f t="shared" si="489"/>
        <v>0.81128808205362413</v>
      </c>
      <c r="M149" s="150">
        <f t="shared" si="489"/>
        <v>0.6911462023821574</v>
      </c>
      <c r="N149" s="150">
        <f t="shared" si="489"/>
        <v>0.67404040762702833</v>
      </c>
      <c r="O149" s="150">
        <f t="shared" si="489"/>
        <v>0.66989808247217519</v>
      </c>
      <c r="P149" s="150">
        <f t="shared" si="489"/>
        <v>0.64953301547906739</v>
      </c>
      <c r="Q149" s="150" t="e">
        <f t="shared" si="489"/>
        <v>#DIV/0!</v>
      </c>
      <c r="R149" s="150" t="e">
        <f t="shared" si="489"/>
        <v>#DIV/0!</v>
      </c>
      <c r="S149" s="150" t="e">
        <f t="shared" si="489"/>
        <v>#DIV/0!</v>
      </c>
      <c r="T149" s="118" t="e">
        <f t="shared" si="454"/>
        <v>#DIV/0!</v>
      </c>
      <c r="U149" s="20"/>
      <c r="V149" s="150" t="e">
        <f t="shared" ref="V149:AE149" si="490">V27/V25</f>
        <v>#DIV/0!</v>
      </c>
      <c r="W149" s="150" t="e">
        <f t="shared" si="490"/>
        <v>#DIV/0!</v>
      </c>
      <c r="X149" s="150" t="e">
        <f t="shared" si="490"/>
        <v>#DIV/0!</v>
      </c>
      <c r="Y149" s="150" t="e">
        <f t="shared" si="490"/>
        <v>#DIV/0!</v>
      </c>
      <c r="Z149" s="150" t="e">
        <f t="shared" si="490"/>
        <v>#DIV/0!</v>
      </c>
      <c r="AA149" s="150" t="e">
        <f t="shared" si="490"/>
        <v>#DIV/0!</v>
      </c>
      <c r="AB149" s="150" t="e">
        <f t="shared" si="490"/>
        <v>#DIV/0!</v>
      </c>
      <c r="AC149" s="150" t="e">
        <f t="shared" si="490"/>
        <v>#DIV/0!</v>
      </c>
      <c r="AD149" s="150" t="e">
        <f t="shared" si="490"/>
        <v>#DIV/0!</v>
      </c>
      <c r="AE149" s="150" t="e">
        <f t="shared" si="490"/>
        <v>#DIV/0!</v>
      </c>
      <c r="AF149" s="137" t="e">
        <f t="shared" si="359"/>
        <v>#DIV/0!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91">G33/G25</f>
        <v>0</v>
      </c>
      <c r="H150" s="150">
        <f t="shared" si="491"/>
        <v>0</v>
      </c>
      <c r="I150" s="150">
        <f t="shared" ref="I150:S150" si="492">I33/I25</f>
        <v>0</v>
      </c>
      <c r="J150" s="150">
        <f t="shared" si="492"/>
        <v>0</v>
      </c>
      <c r="K150" s="150">
        <f t="shared" si="492"/>
        <v>0</v>
      </c>
      <c r="L150" s="150">
        <f t="shared" si="492"/>
        <v>0</v>
      </c>
      <c r="M150" s="150">
        <f t="shared" si="492"/>
        <v>0</v>
      </c>
      <c r="N150" s="150">
        <f t="shared" si="492"/>
        <v>0</v>
      </c>
      <c r="O150" s="150">
        <f t="shared" si="492"/>
        <v>0</v>
      </c>
      <c r="P150" s="150">
        <f t="shared" si="492"/>
        <v>0</v>
      </c>
      <c r="Q150" s="150" t="e">
        <f t="shared" si="492"/>
        <v>#DIV/0!</v>
      </c>
      <c r="R150" s="150" t="e">
        <f t="shared" si="492"/>
        <v>#DIV/0!</v>
      </c>
      <c r="S150" s="150" t="e">
        <f t="shared" si="492"/>
        <v>#DIV/0!</v>
      </c>
      <c r="T150" s="118" t="e">
        <f t="shared" si="454"/>
        <v>#DIV/0!</v>
      </c>
      <c r="U150" s="20"/>
      <c r="V150" s="150" t="e">
        <f t="shared" ref="V150:AE150" si="493">V33/V25</f>
        <v>#DIV/0!</v>
      </c>
      <c r="W150" s="150" t="e">
        <f t="shared" si="493"/>
        <v>#DIV/0!</v>
      </c>
      <c r="X150" s="150" t="e">
        <f t="shared" si="493"/>
        <v>#DIV/0!</v>
      </c>
      <c r="Y150" s="150" t="e">
        <f t="shared" si="493"/>
        <v>#DIV/0!</v>
      </c>
      <c r="Z150" s="150" t="e">
        <f t="shared" si="493"/>
        <v>#DIV/0!</v>
      </c>
      <c r="AA150" s="150" t="e">
        <f t="shared" si="493"/>
        <v>#DIV/0!</v>
      </c>
      <c r="AB150" s="150" t="e">
        <f t="shared" si="493"/>
        <v>#DIV/0!</v>
      </c>
      <c r="AC150" s="150" t="e">
        <f t="shared" si="493"/>
        <v>#DIV/0!</v>
      </c>
      <c r="AD150" s="150" t="e">
        <f t="shared" si="493"/>
        <v>#DIV/0!</v>
      </c>
      <c r="AE150" s="150" t="e">
        <f t="shared" si="493"/>
        <v>#DIV/0!</v>
      </c>
      <c r="AF150" s="137" t="e">
        <f t="shared" si="359"/>
        <v>#DIV/0!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94">G34/G25</f>
        <v>0</v>
      </c>
      <c r="H151" s="150">
        <f t="shared" si="494"/>
        <v>0</v>
      </c>
      <c r="I151" s="150">
        <f t="shared" ref="I151:S151" si="495">I34/I25</f>
        <v>0</v>
      </c>
      <c r="J151" s="150">
        <f t="shared" si="495"/>
        <v>0</v>
      </c>
      <c r="K151" s="150">
        <f t="shared" si="495"/>
        <v>0</v>
      </c>
      <c r="L151" s="150">
        <f t="shared" si="495"/>
        <v>0</v>
      </c>
      <c r="M151" s="150">
        <f t="shared" si="495"/>
        <v>0</v>
      </c>
      <c r="N151" s="150">
        <f t="shared" si="495"/>
        <v>0</v>
      </c>
      <c r="O151" s="150">
        <f t="shared" si="495"/>
        <v>0</v>
      </c>
      <c r="P151" s="150">
        <f t="shared" si="495"/>
        <v>0</v>
      </c>
      <c r="Q151" s="150" t="e">
        <f t="shared" si="495"/>
        <v>#DIV/0!</v>
      </c>
      <c r="R151" s="150" t="e">
        <f t="shared" si="495"/>
        <v>#DIV/0!</v>
      </c>
      <c r="S151" s="150" t="e">
        <f t="shared" si="495"/>
        <v>#DIV/0!</v>
      </c>
      <c r="T151" s="118" t="e">
        <f t="shared" si="454"/>
        <v>#DIV/0!</v>
      </c>
      <c r="U151" s="20"/>
      <c r="V151" s="150" t="e">
        <f t="shared" ref="V151:AE151" si="496">V34/V25</f>
        <v>#DIV/0!</v>
      </c>
      <c r="W151" s="150" t="e">
        <f t="shared" si="496"/>
        <v>#DIV/0!</v>
      </c>
      <c r="X151" s="150" t="e">
        <f t="shared" si="496"/>
        <v>#DIV/0!</v>
      </c>
      <c r="Y151" s="150" t="e">
        <f t="shared" si="496"/>
        <v>#DIV/0!</v>
      </c>
      <c r="Z151" s="150" t="e">
        <f t="shared" si="496"/>
        <v>#DIV/0!</v>
      </c>
      <c r="AA151" s="150" t="e">
        <f t="shared" si="496"/>
        <v>#DIV/0!</v>
      </c>
      <c r="AB151" s="150" t="e">
        <f t="shared" si="496"/>
        <v>#DIV/0!</v>
      </c>
      <c r="AC151" s="150" t="e">
        <f t="shared" si="496"/>
        <v>#DIV/0!</v>
      </c>
      <c r="AD151" s="150" t="e">
        <f t="shared" si="496"/>
        <v>#DIV/0!</v>
      </c>
      <c r="AE151" s="150" t="e">
        <f t="shared" si="496"/>
        <v>#DIV/0!</v>
      </c>
      <c r="AF151" s="137" t="e">
        <f t="shared" si="359"/>
        <v>#DIV/0!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360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363</v>
      </c>
      <c r="C154" s="20"/>
      <c r="D154" s="20"/>
      <c r="E154" s="20"/>
      <c r="F154" s="20"/>
      <c r="G154" s="25">
        <f t="shared" ref="G154:H154" si="497">G15/G9</f>
        <v>0.28831103256753343</v>
      </c>
      <c r="H154" s="25">
        <f t="shared" si="497"/>
        <v>0.61826024442846872</v>
      </c>
      <c r="I154" s="25">
        <f t="shared" ref="I154:S154" si="498">I15/I9</f>
        <v>0.63752477427879317</v>
      </c>
      <c r="J154" s="25">
        <f t="shared" si="498"/>
        <v>2.5459375691830863E-2</v>
      </c>
      <c r="K154" s="25">
        <f t="shared" si="498"/>
        <v>1.5645947409591432</v>
      </c>
      <c r="L154" s="25">
        <f t="shared" si="498"/>
        <v>0.32997152921874245</v>
      </c>
      <c r="M154" s="25">
        <f t="shared" si="498"/>
        <v>0.36370479093748825</v>
      </c>
      <c r="N154" s="25">
        <f t="shared" si="498"/>
        <v>3.3619579218548732</v>
      </c>
      <c r="O154" s="25">
        <f t="shared" si="498"/>
        <v>3.286701127819549</v>
      </c>
      <c r="P154" s="25">
        <f t="shared" si="498"/>
        <v>3.8474459724950885</v>
      </c>
      <c r="Q154" s="25">
        <f t="shared" si="498"/>
        <v>3.28337562413031</v>
      </c>
      <c r="R154" s="25">
        <f t="shared" si="498"/>
        <v>2.9450073886426007</v>
      </c>
      <c r="S154" s="25" t="e">
        <f t="shared" si="498"/>
        <v>#DIV/0!</v>
      </c>
      <c r="T154" s="118" t="e">
        <f t="shared" si="454"/>
        <v>#DIV/0!</v>
      </c>
      <c r="U154" s="20"/>
      <c r="V154" s="20" t="e">
        <f t="shared" ref="V154:AE154" si="499">V15/V9</f>
        <v>#DIV/0!</v>
      </c>
      <c r="W154" s="20" t="e">
        <f t="shared" si="499"/>
        <v>#DIV/0!</v>
      </c>
      <c r="X154" s="20" t="e">
        <f t="shared" si="499"/>
        <v>#DIV/0!</v>
      </c>
      <c r="Y154" s="20" t="e">
        <f t="shared" si="499"/>
        <v>#DIV/0!</v>
      </c>
      <c r="Z154" s="20" t="e">
        <f t="shared" si="499"/>
        <v>#DIV/0!</v>
      </c>
      <c r="AA154" s="20" t="e">
        <f t="shared" si="499"/>
        <v>#DIV/0!</v>
      </c>
      <c r="AB154" s="20" t="e">
        <f t="shared" si="499"/>
        <v>#DIV/0!</v>
      </c>
      <c r="AC154" s="20" t="e">
        <f t="shared" si="499"/>
        <v>#DIV/0!</v>
      </c>
      <c r="AD154" s="20" t="e">
        <f t="shared" si="499"/>
        <v>#DIV/0!</v>
      </c>
      <c r="AE154" s="20" t="e">
        <f t="shared" si="499"/>
        <v>#DIV/0!</v>
      </c>
      <c r="AF154" s="137" t="e">
        <f t="shared" si="359"/>
        <v>#DIV/0!</v>
      </c>
      <c r="AG154" s="20"/>
      <c r="AH154" s="20"/>
    </row>
    <row r="155" spans="2:34">
      <c r="B155" s="20" t="s">
        <v>353</v>
      </c>
      <c r="C155" s="20"/>
      <c r="D155" s="20"/>
      <c r="E155" s="20"/>
      <c r="F155" s="20"/>
      <c r="G155" s="25">
        <f t="shared" ref="G155:H155" si="500">G12/G9</f>
        <v>0.27947488008078769</v>
      </c>
      <c r="H155" s="25">
        <f t="shared" si="500"/>
        <v>0.60675772825305541</v>
      </c>
      <c r="I155" s="25">
        <f t="shared" ref="I155:S155" si="501">I12/I9</f>
        <v>0.63047786831094477</v>
      </c>
      <c r="J155" s="25">
        <f t="shared" si="501"/>
        <v>0.82532654416648221</v>
      </c>
      <c r="K155" s="25">
        <f t="shared" si="501"/>
        <v>1.2612672242613876</v>
      </c>
      <c r="L155" s="25">
        <f t="shared" si="501"/>
        <v>1.4329006417989674</v>
      </c>
      <c r="M155" s="25">
        <f t="shared" si="501"/>
        <v>1.4706258703097361</v>
      </c>
      <c r="N155" s="25">
        <f t="shared" si="501"/>
        <v>2.8096669324664174</v>
      </c>
      <c r="O155" s="25">
        <f t="shared" si="501"/>
        <v>2.7350563909774435</v>
      </c>
      <c r="P155" s="25">
        <f t="shared" si="501"/>
        <v>3.0567779960707271</v>
      </c>
      <c r="Q155" s="25">
        <f t="shared" si="501"/>
        <v>2.1441024801506097</v>
      </c>
      <c r="R155" s="25">
        <f t="shared" si="501"/>
        <v>1.8679895855323341</v>
      </c>
      <c r="S155" s="25" t="e">
        <f t="shared" si="501"/>
        <v>#DIV/0!</v>
      </c>
      <c r="T155" s="118" t="e">
        <f t="shared" si="454"/>
        <v>#DIV/0!</v>
      </c>
      <c r="U155" s="128"/>
      <c r="V155" s="20" t="e">
        <f t="shared" ref="V155:AE155" si="502">V12/V9</f>
        <v>#DIV/0!</v>
      </c>
      <c r="W155" s="20" t="e">
        <f t="shared" si="502"/>
        <v>#DIV/0!</v>
      </c>
      <c r="X155" s="20" t="e">
        <f t="shared" si="502"/>
        <v>#DIV/0!</v>
      </c>
      <c r="Y155" s="20" t="e">
        <f t="shared" si="502"/>
        <v>#DIV/0!</v>
      </c>
      <c r="Z155" s="20" t="e">
        <f t="shared" si="502"/>
        <v>#DIV/0!</v>
      </c>
      <c r="AA155" s="20" t="e">
        <f t="shared" si="502"/>
        <v>#DIV/0!</v>
      </c>
      <c r="AB155" s="20" t="e">
        <f t="shared" si="502"/>
        <v>#DIV/0!</v>
      </c>
      <c r="AC155" s="20" t="e">
        <f t="shared" si="502"/>
        <v>#DIV/0!</v>
      </c>
      <c r="AD155" s="20" t="e">
        <f t="shared" si="502"/>
        <v>#DIV/0!</v>
      </c>
      <c r="AE155" s="20" t="e">
        <f t="shared" si="502"/>
        <v>#DIV/0!</v>
      </c>
      <c r="AF155" s="118" t="e">
        <f t="shared" ref="AF155" si="503">((AE155/V155)^(1/($J$2-$J$1) ))-1</f>
        <v>#DIV/0!</v>
      </c>
      <c r="AG155" s="20"/>
      <c r="AH155" s="20"/>
    </row>
    <row r="156" spans="2:34">
      <c r="B156" s="20" t="s">
        <v>355</v>
      </c>
      <c r="C156" s="20"/>
      <c r="D156" s="20"/>
      <c r="E156" s="20"/>
      <c r="F156" s="20"/>
      <c r="G156" s="25">
        <f t="shared" ref="G156:H156" si="504">G25/360</f>
        <v>5.0694444444444446</v>
      </c>
      <c r="H156" s="25">
        <f t="shared" si="504"/>
        <v>5.0333333333333332</v>
      </c>
      <c r="I156" s="25">
        <f t="shared" ref="I156:S156" si="505">I25/360</f>
        <v>6.7861111111111114</v>
      </c>
      <c r="J156" s="25">
        <f t="shared" si="505"/>
        <v>9.8083333333333336</v>
      </c>
      <c r="K156" s="25">
        <f t="shared" si="505"/>
        <v>108.78888888888889</v>
      </c>
      <c r="L156" s="25">
        <f t="shared" si="505"/>
        <v>145.97499999999999</v>
      </c>
      <c r="M156" s="25">
        <f t="shared" si="505"/>
        <v>164.65</v>
      </c>
      <c r="N156" s="25">
        <f t="shared" si="505"/>
        <v>156.46111111111111</v>
      </c>
      <c r="O156" s="25">
        <f t="shared" si="505"/>
        <v>195.41944444444445</v>
      </c>
      <c r="P156" s="25">
        <f t="shared" si="505"/>
        <v>212.65277777777777</v>
      </c>
      <c r="Q156" s="25">
        <f t="shared" si="505"/>
        <v>0</v>
      </c>
      <c r="R156" s="25">
        <f t="shared" si="505"/>
        <v>0</v>
      </c>
      <c r="S156" s="25">
        <f t="shared" si="505"/>
        <v>0</v>
      </c>
      <c r="T156" s="118">
        <f t="shared" si="454"/>
        <v>-1</v>
      </c>
      <c r="U156" s="128"/>
      <c r="V156" s="25">
        <f t="shared" ref="V156:AE156" si="506">V25/360</f>
        <v>0</v>
      </c>
      <c r="W156" s="25">
        <f t="shared" si="506"/>
        <v>0</v>
      </c>
      <c r="X156" s="25">
        <f t="shared" si="506"/>
        <v>0</v>
      </c>
      <c r="Y156" s="25">
        <f t="shared" si="506"/>
        <v>0</v>
      </c>
      <c r="Z156" s="25">
        <f t="shared" si="506"/>
        <v>0</v>
      </c>
      <c r="AA156" s="25">
        <f t="shared" si="506"/>
        <v>0</v>
      </c>
      <c r="AB156" s="25">
        <f t="shared" si="506"/>
        <v>0</v>
      </c>
      <c r="AC156" s="25">
        <f t="shared" si="506"/>
        <v>0</v>
      </c>
      <c r="AD156" s="25">
        <f t="shared" si="506"/>
        <v>0</v>
      </c>
      <c r="AE156" s="25">
        <f t="shared" si="506"/>
        <v>0</v>
      </c>
      <c r="AF156" s="118" t="e">
        <f t="shared" ref="AF156:AF167" si="507">((AE156/V156)^(1/($J$2-$J$1) ))-1</f>
        <v>#DIV/0!</v>
      </c>
      <c r="AG156" s="20"/>
      <c r="AH156" s="20"/>
    </row>
    <row r="157" spans="2:34">
      <c r="B157" s="20" t="s">
        <v>354</v>
      </c>
      <c r="C157" s="20"/>
      <c r="D157" s="20"/>
      <c r="E157" s="20"/>
      <c r="F157" s="20"/>
      <c r="G157" s="25">
        <f t="shared" ref="G157:H157" si="508">G27/360</f>
        <v>0.7416666666666667</v>
      </c>
      <c r="H157" s="25">
        <f t="shared" si="508"/>
        <v>0.85833333333333328</v>
      </c>
      <c r="I157" s="25">
        <f t="shared" ref="I157:S157" si="509">I27/360</f>
        <v>2.2999999999999998</v>
      </c>
      <c r="J157" s="25">
        <f t="shared" si="509"/>
        <v>0.92777777777777781</v>
      </c>
      <c r="K157" s="25">
        <f t="shared" si="509"/>
        <v>80.158333333333331</v>
      </c>
      <c r="L157" s="25">
        <f t="shared" si="509"/>
        <v>118.42777777777778</v>
      </c>
      <c r="M157" s="25">
        <f t="shared" si="509"/>
        <v>113.79722222222222</v>
      </c>
      <c r="N157" s="25">
        <f t="shared" si="509"/>
        <v>105.46111111111111</v>
      </c>
      <c r="O157" s="25">
        <f t="shared" si="509"/>
        <v>130.9111111111111</v>
      </c>
      <c r="P157" s="25">
        <f t="shared" si="509"/>
        <v>138.125</v>
      </c>
      <c r="Q157" s="25">
        <f t="shared" si="509"/>
        <v>0</v>
      </c>
      <c r="R157" s="25">
        <f t="shared" si="509"/>
        <v>0</v>
      </c>
      <c r="S157" s="25">
        <f t="shared" si="509"/>
        <v>0</v>
      </c>
      <c r="T157" s="118">
        <f t="shared" si="454"/>
        <v>-1</v>
      </c>
      <c r="U157" s="128"/>
      <c r="V157" s="25">
        <f t="shared" ref="V157:AE157" si="510">V27/360</f>
        <v>0</v>
      </c>
      <c r="W157" s="25">
        <f t="shared" si="510"/>
        <v>0</v>
      </c>
      <c r="X157" s="25">
        <f t="shared" si="510"/>
        <v>0</v>
      </c>
      <c r="Y157" s="25">
        <f t="shared" si="510"/>
        <v>0</v>
      </c>
      <c r="Z157" s="25">
        <f t="shared" si="510"/>
        <v>0</v>
      </c>
      <c r="AA157" s="25">
        <f t="shared" si="510"/>
        <v>0</v>
      </c>
      <c r="AB157" s="25">
        <f t="shared" si="510"/>
        <v>0</v>
      </c>
      <c r="AC157" s="25">
        <f t="shared" si="510"/>
        <v>0</v>
      </c>
      <c r="AD157" s="25">
        <f t="shared" si="510"/>
        <v>0</v>
      </c>
      <c r="AE157" s="25">
        <f t="shared" si="510"/>
        <v>0</v>
      </c>
      <c r="AF157" s="118" t="e">
        <f t="shared" si="507"/>
        <v>#DIV/0!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364</v>
      </c>
      <c r="C159" s="20"/>
      <c r="D159" s="20"/>
      <c r="E159" s="20"/>
      <c r="F159" s="20"/>
      <c r="G159" s="25">
        <f t="shared" ref="G159:H159" si="511">G10/G7</f>
        <v>0.26028668660410437</v>
      </c>
      <c r="H159" s="25">
        <f t="shared" si="511"/>
        <v>0.21805478948336091</v>
      </c>
      <c r="I159" s="25">
        <f t="shared" ref="I159:S159" si="512">I10/I7</f>
        <v>0.16744555153866503</v>
      </c>
      <c r="J159" s="25">
        <f t="shared" si="512"/>
        <v>0.13007744586691955</v>
      </c>
      <c r="K159" s="25">
        <f t="shared" si="512"/>
        <v>9.2862776025236599E-2</v>
      </c>
      <c r="L159" s="25">
        <f t="shared" si="512"/>
        <v>0.1053560918187169</v>
      </c>
      <c r="M159" s="25">
        <f t="shared" si="512"/>
        <v>7.6488706365503076E-2</v>
      </c>
      <c r="N159" s="25">
        <f t="shared" si="512"/>
        <v>4.1003782193672331E-2</v>
      </c>
      <c r="O159" s="25">
        <f t="shared" si="512"/>
        <v>3.2951820631349965E-2</v>
      </c>
      <c r="P159" s="25">
        <f t="shared" si="512"/>
        <v>2.2240102329227785E-2</v>
      </c>
      <c r="Q159" s="25">
        <f t="shared" si="512"/>
        <v>0.88055372134704268</v>
      </c>
      <c r="R159" s="25">
        <f t="shared" si="512"/>
        <v>1.0333556365078185</v>
      </c>
      <c r="S159" s="25" t="e">
        <f t="shared" si="512"/>
        <v>#DIV/0!</v>
      </c>
      <c r="T159" s="118" t="e">
        <f t="shared" si="454"/>
        <v>#DIV/0!</v>
      </c>
      <c r="U159" s="128"/>
      <c r="V159" s="25" t="e">
        <f t="shared" ref="V159:AE159" si="513">V10/V7</f>
        <v>#DIV/0!</v>
      </c>
      <c r="W159" s="25" t="e">
        <f t="shared" si="513"/>
        <v>#DIV/0!</v>
      </c>
      <c r="X159" s="25" t="e">
        <f t="shared" si="513"/>
        <v>#DIV/0!</v>
      </c>
      <c r="Y159" s="25" t="e">
        <f t="shared" si="513"/>
        <v>#DIV/0!</v>
      </c>
      <c r="Z159" s="25" t="e">
        <f t="shared" si="513"/>
        <v>#DIV/0!</v>
      </c>
      <c r="AA159" s="25" t="e">
        <f t="shared" si="513"/>
        <v>#DIV/0!</v>
      </c>
      <c r="AB159" s="25" t="e">
        <f t="shared" si="513"/>
        <v>#DIV/0!</v>
      </c>
      <c r="AC159" s="25" t="e">
        <f t="shared" si="513"/>
        <v>#DIV/0!</v>
      </c>
      <c r="AD159" s="25" t="e">
        <f t="shared" si="513"/>
        <v>#DIV/0!</v>
      </c>
      <c r="AE159" s="25" t="e">
        <f t="shared" si="513"/>
        <v>#DIV/0!</v>
      </c>
      <c r="AF159" s="118" t="e">
        <f t="shared" si="507"/>
        <v>#DIV/0!</v>
      </c>
      <c r="AG159" s="20"/>
      <c r="AH159" s="20"/>
    </row>
    <row r="160" spans="2:34">
      <c r="B160" s="20" t="s">
        <v>356</v>
      </c>
      <c r="C160" s="20"/>
      <c r="D160" s="20"/>
      <c r="E160" s="20"/>
      <c r="F160" s="20"/>
      <c r="G160" s="25">
        <f t="shared" ref="G160:H160" si="514">G10/(G10+G7)</f>
        <v>0.20652974388347925</v>
      </c>
      <c r="H160" s="25">
        <f t="shared" si="514"/>
        <v>0.17901886792452831</v>
      </c>
      <c r="I160" s="25">
        <f t="shared" ref="I160:S160" si="515">I10/(I10+I7)</f>
        <v>0.14342900302114803</v>
      </c>
      <c r="J160" s="25">
        <f t="shared" si="515"/>
        <v>0.11510489510489511</v>
      </c>
      <c r="K160" s="25">
        <f t="shared" si="515"/>
        <v>8.497203680317518E-2</v>
      </c>
      <c r="L160" s="25">
        <f t="shared" si="515"/>
        <v>9.5314164004259849E-2</v>
      </c>
      <c r="M160" s="25">
        <f t="shared" si="515"/>
        <v>7.1053886504530275E-2</v>
      </c>
      <c r="N160" s="25">
        <f t="shared" si="515"/>
        <v>3.9388696655132643E-2</v>
      </c>
      <c r="O160" s="25">
        <f t="shared" si="515"/>
        <v>3.1900636576843916E-2</v>
      </c>
      <c r="P160" s="25">
        <f t="shared" si="515"/>
        <v>2.175624129649438E-2</v>
      </c>
      <c r="Q160" s="25">
        <f t="shared" si="515"/>
        <v>0.46824172654653073</v>
      </c>
      <c r="R160" s="25">
        <f t="shared" si="515"/>
        <v>0.50820211573148732</v>
      </c>
      <c r="S160" s="25" t="e">
        <f t="shared" si="515"/>
        <v>#DIV/0!</v>
      </c>
      <c r="T160" s="118" t="e">
        <f t="shared" si="454"/>
        <v>#DIV/0!</v>
      </c>
      <c r="U160" s="128"/>
      <c r="V160" s="25" t="e">
        <f t="shared" ref="V160:AE160" si="516">V10/(V10+V7)</f>
        <v>#DIV/0!</v>
      </c>
      <c r="W160" s="25" t="e">
        <f t="shared" si="516"/>
        <v>#DIV/0!</v>
      </c>
      <c r="X160" s="25" t="e">
        <f t="shared" si="516"/>
        <v>#DIV/0!</v>
      </c>
      <c r="Y160" s="25" t="e">
        <f t="shared" si="516"/>
        <v>#DIV/0!</v>
      </c>
      <c r="Z160" s="25" t="e">
        <f t="shared" si="516"/>
        <v>#DIV/0!</v>
      </c>
      <c r="AA160" s="25" t="e">
        <f t="shared" si="516"/>
        <v>#DIV/0!</v>
      </c>
      <c r="AB160" s="25" t="e">
        <f t="shared" si="516"/>
        <v>#DIV/0!</v>
      </c>
      <c r="AC160" s="25" t="e">
        <f t="shared" si="516"/>
        <v>#DIV/0!</v>
      </c>
      <c r="AD160" s="25" t="e">
        <f t="shared" si="516"/>
        <v>#DIV/0!</v>
      </c>
      <c r="AE160" s="25" t="e">
        <f t="shared" si="516"/>
        <v>#DIV/0!</v>
      </c>
      <c r="AF160" s="118" t="e">
        <f t="shared" si="507"/>
        <v>#DIV/0!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361</v>
      </c>
      <c r="C162" s="20"/>
      <c r="D162" s="20"/>
      <c r="E162" s="20"/>
      <c r="F162" s="20"/>
      <c r="G162" s="25">
        <f t="shared" ref="G162:H162" si="517">G16</f>
        <v>972</v>
      </c>
      <c r="H162" s="25">
        <f t="shared" si="517"/>
        <v>372</v>
      </c>
      <c r="I162" s="25">
        <f t="shared" ref="I162:S162" si="518">I16</f>
        <v>2545</v>
      </c>
      <c r="J162" s="25">
        <f t="shared" si="518"/>
        <v>7891</v>
      </c>
      <c r="K162" s="25">
        <f t="shared" si="518"/>
        <v>8421</v>
      </c>
      <c r="L162" s="25">
        <f t="shared" si="518"/>
        <v>8188</v>
      </c>
      <c r="M162" s="25">
        <f t="shared" si="518"/>
        <v>13949</v>
      </c>
      <c r="N162" s="25">
        <f t="shared" si="518"/>
        <v>18749</v>
      </c>
      <c r="O162" s="25">
        <f t="shared" si="518"/>
        <v>23514</v>
      </c>
      <c r="P162" s="25">
        <f t="shared" si="518"/>
        <v>30256</v>
      </c>
      <c r="Q162" s="25">
        <f t="shared" si="518"/>
        <v>55792</v>
      </c>
      <c r="R162" s="25">
        <f t="shared" si="518"/>
        <v>55281</v>
      </c>
      <c r="S162" s="25">
        <f t="shared" si="518"/>
        <v>0</v>
      </c>
      <c r="T162" s="118">
        <f t="shared" si="454"/>
        <v>-1</v>
      </c>
      <c r="U162" s="128"/>
      <c r="V162" s="25">
        <f t="shared" ref="V162:AE162" si="519">V16</f>
        <v>0</v>
      </c>
      <c r="W162" s="25">
        <f t="shared" si="519"/>
        <v>0</v>
      </c>
      <c r="X162" s="25">
        <f t="shared" si="519"/>
        <v>0</v>
      </c>
      <c r="Y162" s="25">
        <f t="shared" si="519"/>
        <v>0</v>
      </c>
      <c r="Z162" s="25">
        <f t="shared" si="519"/>
        <v>0</v>
      </c>
      <c r="AA162" s="25">
        <f t="shared" si="519"/>
        <v>0</v>
      </c>
      <c r="AB162" s="25">
        <f t="shared" si="519"/>
        <v>0</v>
      </c>
      <c r="AC162" s="25">
        <f t="shared" si="519"/>
        <v>0</v>
      </c>
      <c r="AD162" s="25">
        <f t="shared" si="519"/>
        <v>0</v>
      </c>
      <c r="AE162" s="25">
        <f t="shared" si="519"/>
        <v>0</v>
      </c>
      <c r="AF162" s="118" t="e">
        <f t="shared" si="507"/>
        <v>#DIV/0!</v>
      </c>
      <c r="AG162" s="20"/>
      <c r="AH162" s="20"/>
    </row>
    <row r="163" spans="2:34">
      <c r="B163" s="20" t="s">
        <v>362</v>
      </c>
      <c r="C163" s="20"/>
      <c r="D163" s="20"/>
      <c r="E163" s="20"/>
      <c r="F163" s="20"/>
      <c r="G163" s="119">
        <f t="shared" ref="G163:H163" si="520">G162*365/G25</f>
        <v>194.4</v>
      </c>
      <c r="H163" s="119">
        <f t="shared" si="520"/>
        <v>74.933774834437088</v>
      </c>
      <c r="I163" s="119">
        <f t="shared" ref="I163:S163" si="521">I162*365/I25</f>
        <v>380.23945968072042</v>
      </c>
      <c r="J163" s="119">
        <f t="shared" si="521"/>
        <v>815.6938544321722</v>
      </c>
      <c r="K163" s="119">
        <f t="shared" si="521"/>
        <v>78.481896639771222</v>
      </c>
      <c r="L163" s="119">
        <f t="shared" si="521"/>
        <v>56.870849270232725</v>
      </c>
      <c r="M163" s="119">
        <f t="shared" si="521"/>
        <v>85.895755305867667</v>
      </c>
      <c r="N163" s="119">
        <f t="shared" si="521"/>
        <v>121.49602315094273</v>
      </c>
      <c r="O163" s="119">
        <f t="shared" si="521"/>
        <v>121.99698653892624</v>
      </c>
      <c r="P163" s="119">
        <f t="shared" si="521"/>
        <v>144.25498007968127</v>
      </c>
      <c r="Q163" s="119" t="e">
        <f t="shared" si="521"/>
        <v>#DIV/0!</v>
      </c>
      <c r="R163" s="119" t="e">
        <f t="shared" si="521"/>
        <v>#DIV/0!</v>
      </c>
      <c r="S163" s="119" t="e">
        <f t="shared" si="521"/>
        <v>#DIV/0!</v>
      </c>
      <c r="T163" s="118" t="e">
        <f t="shared" si="454"/>
        <v>#DIV/0!</v>
      </c>
      <c r="U163" s="128"/>
      <c r="V163" s="119" t="e">
        <f t="shared" ref="V163:AE163" si="522">V162*365/V25</f>
        <v>#DIV/0!</v>
      </c>
      <c r="W163" s="119" t="e">
        <f t="shared" si="522"/>
        <v>#DIV/0!</v>
      </c>
      <c r="X163" s="119" t="e">
        <f t="shared" si="522"/>
        <v>#DIV/0!</v>
      </c>
      <c r="Y163" s="119" t="e">
        <f t="shared" si="522"/>
        <v>#DIV/0!</v>
      </c>
      <c r="Z163" s="119" t="e">
        <f t="shared" si="522"/>
        <v>#DIV/0!</v>
      </c>
      <c r="AA163" s="119" t="e">
        <f t="shared" si="522"/>
        <v>#DIV/0!</v>
      </c>
      <c r="AB163" s="119" t="e">
        <f t="shared" si="522"/>
        <v>#DIV/0!</v>
      </c>
      <c r="AC163" s="119" t="e">
        <f t="shared" si="522"/>
        <v>#DIV/0!</v>
      </c>
      <c r="AD163" s="119" t="e">
        <f t="shared" si="522"/>
        <v>#DIV/0!</v>
      </c>
      <c r="AE163" s="119" t="e">
        <f t="shared" si="522"/>
        <v>#DIV/0!</v>
      </c>
      <c r="AF163" s="118" t="e">
        <f t="shared" si="507"/>
        <v>#DIV/0!</v>
      </c>
      <c r="AG163" s="20"/>
      <c r="AH163" s="20"/>
    </row>
    <row r="164" spans="2:34">
      <c r="B164" s="20" t="s">
        <v>365</v>
      </c>
      <c r="C164" s="20"/>
      <c r="D164" s="20"/>
      <c r="E164" s="20"/>
      <c r="F164" s="20"/>
      <c r="G164" s="133">
        <f t="shared" ref="G164:H164" si="523">G98/G29</f>
        <v>-78.723404255319153</v>
      </c>
      <c r="H164" s="133">
        <f t="shared" si="523"/>
        <v>-117.71428571428571</v>
      </c>
      <c r="I164" s="133">
        <f t="shared" ref="I164:S164" si="524">I98/I29</f>
        <v>-0.59869695368902975</v>
      </c>
      <c r="J164" s="133">
        <f t="shared" si="524"/>
        <v>-6.4769516984772277E-2</v>
      </c>
      <c r="K164" s="133">
        <f t="shared" si="524"/>
        <v>4.2472266244057062</v>
      </c>
      <c r="L164" s="133">
        <f t="shared" si="524"/>
        <v>2.9582673005810882</v>
      </c>
      <c r="M164" s="133">
        <f t="shared" si="524"/>
        <v>7.5821648861161509E-2</v>
      </c>
      <c r="N164" s="133">
        <f t="shared" si="524"/>
        <v>0.28833592708012862</v>
      </c>
      <c r="O164" s="133">
        <f t="shared" si="524"/>
        <v>0.45933478401853878</v>
      </c>
      <c r="P164" s="133">
        <f t="shared" si="524"/>
        <v>0.63620227735295098</v>
      </c>
      <c r="Q164" s="133" t="e">
        <f t="shared" si="524"/>
        <v>#DIV/0!</v>
      </c>
      <c r="R164" s="133" t="e">
        <f t="shared" si="524"/>
        <v>#DIV/0!</v>
      </c>
      <c r="S164" s="133" t="e">
        <f t="shared" si="524"/>
        <v>#DIV/0!</v>
      </c>
      <c r="T164" s="118" t="e">
        <f t="shared" si="454"/>
        <v>#DIV/0!</v>
      </c>
      <c r="U164" s="128"/>
      <c r="V164" s="133" t="e">
        <f t="shared" ref="V164:AE164" si="525">V98/V29</f>
        <v>#DIV/0!</v>
      </c>
      <c r="W164" s="133" t="e">
        <f t="shared" si="525"/>
        <v>#DIV/0!</v>
      </c>
      <c r="X164" s="133" t="e">
        <f t="shared" si="525"/>
        <v>#DIV/0!</v>
      </c>
      <c r="Y164" s="133" t="e">
        <f t="shared" si="525"/>
        <v>#DIV/0!</v>
      </c>
      <c r="Z164" s="133" t="e">
        <f t="shared" si="525"/>
        <v>#DIV/0!</v>
      </c>
      <c r="AA164" s="133" t="e">
        <f t="shared" si="525"/>
        <v>#DIV/0!</v>
      </c>
      <c r="AB164" s="133" t="e">
        <f t="shared" si="525"/>
        <v>#DIV/0!</v>
      </c>
      <c r="AC164" s="133" t="e">
        <f t="shared" si="525"/>
        <v>#DIV/0!</v>
      </c>
      <c r="AD164" s="133" t="e">
        <f t="shared" si="525"/>
        <v>#DIV/0!</v>
      </c>
      <c r="AE164" s="133" t="e">
        <f t="shared" si="525"/>
        <v>#DIV/0!</v>
      </c>
      <c r="AF164" s="118" t="e">
        <f t="shared" si="507"/>
        <v>#DIV/0!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372</v>
      </c>
      <c r="C166" s="20"/>
      <c r="D166" s="20"/>
      <c r="E166" s="20"/>
      <c r="F166" s="20"/>
      <c r="G166" s="178">
        <f t="shared" ref="G166:H166" si="526">G25/G14</f>
        <v>52.142857142857146</v>
      </c>
      <c r="H166" s="178">
        <f t="shared" si="526"/>
        <v>38.553191489361701</v>
      </c>
      <c r="I166" s="178">
        <f t="shared" ref="I166:S166" si="527">I25/I14</f>
        <v>78.806451612903231</v>
      </c>
      <c r="J166" s="178">
        <f t="shared" si="527"/>
        <v>147.125</v>
      </c>
      <c r="K166" s="178">
        <f t="shared" si="527"/>
        <v>11.576707064735443</v>
      </c>
      <c r="L166" s="178">
        <f t="shared" si="527"/>
        <v>14.272406300923411</v>
      </c>
      <c r="M166" s="178">
        <f t="shared" si="527"/>
        <v>13.468302658486708</v>
      </c>
      <c r="N166" s="178">
        <f t="shared" si="527"/>
        <v>10.085228290062668</v>
      </c>
      <c r="O166" s="178">
        <f t="shared" si="527"/>
        <v>11.588041508812386</v>
      </c>
      <c r="P166" s="178">
        <f t="shared" si="527"/>
        <v>13.629161474096493</v>
      </c>
      <c r="Q166" s="178">
        <f t="shared" si="527"/>
        <v>0</v>
      </c>
      <c r="R166" s="178">
        <f t="shared" si="527"/>
        <v>0</v>
      </c>
      <c r="S166" s="178" t="e">
        <f t="shared" si="527"/>
        <v>#DIV/0!</v>
      </c>
      <c r="T166" s="118" t="e">
        <f t="shared" si="454"/>
        <v>#DIV/0!</v>
      </c>
      <c r="U166" s="128"/>
      <c r="V166" s="20" t="e">
        <f t="shared" ref="V166:AE166" si="528">V25/V14</f>
        <v>#DIV/0!</v>
      </c>
      <c r="W166" s="20" t="e">
        <f t="shared" si="528"/>
        <v>#DIV/0!</v>
      </c>
      <c r="X166" s="20" t="e">
        <f t="shared" si="528"/>
        <v>#DIV/0!</v>
      </c>
      <c r="Y166" s="20" t="e">
        <f t="shared" si="528"/>
        <v>#DIV/0!</v>
      </c>
      <c r="Z166" s="20" t="e">
        <f t="shared" si="528"/>
        <v>#DIV/0!</v>
      </c>
      <c r="AA166" s="20" t="e">
        <f t="shared" si="528"/>
        <v>#DIV/0!</v>
      </c>
      <c r="AB166" s="20" t="e">
        <f t="shared" si="528"/>
        <v>#DIV/0!</v>
      </c>
      <c r="AC166" s="20" t="e">
        <f t="shared" si="528"/>
        <v>#DIV/0!</v>
      </c>
      <c r="AD166" s="20" t="e">
        <f t="shared" si="528"/>
        <v>#DIV/0!</v>
      </c>
      <c r="AE166" s="20" t="e">
        <f t="shared" si="528"/>
        <v>#DIV/0!</v>
      </c>
      <c r="AF166" s="118" t="e">
        <f t="shared" si="507"/>
        <v>#DIV/0!</v>
      </c>
      <c r="AG166" s="20"/>
      <c r="AH166" s="20"/>
    </row>
    <row r="167" spans="2:34">
      <c r="B167" s="20" t="s">
        <v>373</v>
      </c>
      <c r="C167" s="20"/>
      <c r="D167" s="20"/>
      <c r="E167" s="20"/>
      <c r="F167" s="20"/>
      <c r="G167" s="178">
        <f t="shared" ref="G167:H167" si="529">G27/G14</f>
        <v>7.628571428571429</v>
      </c>
      <c r="H167" s="178">
        <f t="shared" si="529"/>
        <v>6.5744680851063828</v>
      </c>
      <c r="I167" s="178">
        <f t="shared" ref="I167:S167" si="530">I27/I14</f>
        <v>26.70967741935484</v>
      </c>
      <c r="J167" s="178">
        <f t="shared" si="530"/>
        <v>13.916666666666666</v>
      </c>
      <c r="K167" s="178">
        <f t="shared" si="530"/>
        <v>8.5300029559562525</v>
      </c>
      <c r="L167" s="178">
        <f t="shared" si="530"/>
        <v>11.579033134166213</v>
      </c>
      <c r="M167" s="178">
        <f t="shared" si="530"/>
        <v>9.3085662349466034</v>
      </c>
      <c r="N167" s="178">
        <f t="shared" si="530"/>
        <v>6.7978513876454789</v>
      </c>
      <c r="O167" s="178">
        <f t="shared" si="530"/>
        <v>7.7628067863613905</v>
      </c>
      <c r="P167" s="178">
        <f t="shared" si="530"/>
        <v>8.8525903507210248</v>
      </c>
      <c r="Q167" s="178">
        <f t="shared" si="530"/>
        <v>0</v>
      </c>
      <c r="R167" s="178">
        <f t="shared" si="530"/>
        <v>0</v>
      </c>
      <c r="S167" s="178" t="e">
        <f t="shared" si="530"/>
        <v>#DIV/0!</v>
      </c>
      <c r="T167" s="118" t="e">
        <f t="shared" si="454"/>
        <v>#DIV/0!</v>
      </c>
      <c r="U167" s="128"/>
      <c r="V167" s="20" t="e">
        <f t="shared" ref="V167:AE167" si="531">V27/V14</f>
        <v>#DIV/0!</v>
      </c>
      <c r="W167" s="20" t="e">
        <f t="shared" si="531"/>
        <v>#DIV/0!</v>
      </c>
      <c r="X167" s="20" t="e">
        <f t="shared" si="531"/>
        <v>#DIV/0!</v>
      </c>
      <c r="Y167" s="20" t="e">
        <f t="shared" si="531"/>
        <v>#DIV/0!</v>
      </c>
      <c r="Z167" s="20" t="e">
        <f t="shared" si="531"/>
        <v>#DIV/0!</v>
      </c>
      <c r="AA167" s="20" t="e">
        <f t="shared" si="531"/>
        <v>#DIV/0!</v>
      </c>
      <c r="AB167" s="20" t="e">
        <f t="shared" si="531"/>
        <v>#DIV/0!</v>
      </c>
      <c r="AC167" s="20" t="e">
        <f t="shared" si="531"/>
        <v>#DIV/0!</v>
      </c>
      <c r="AD167" s="20" t="e">
        <f t="shared" si="531"/>
        <v>#DIV/0!</v>
      </c>
      <c r="AE167" s="20" t="e">
        <f t="shared" si="531"/>
        <v>#DIV/0!</v>
      </c>
      <c r="AF167" s="118" t="e">
        <f t="shared" si="507"/>
        <v>#DIV/0!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471</v>
      </c>
      <c r="T169" s="23"/>
      <c r="U169" s="23" t="s">
        <v>472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 t="e">
        <f>AVERAGE(O102:S102)</f>
        <v>#DIV/0!</v>
      </c>
      <c r="T170" s="158" t="e">
        <f>AVERAGE(I72:S72)</f>
        <v>#DIV/0!</v>
      </c>
      <c r="U170" s="158" t="e">
        <f>AVERAGE(I102:S102)</f>
        <v>#DIV/0!</v>
      </c>
      <c r="V170" s="192" t="s">
        <v>427</v>
      </c>
      <c r="W170" s="193" t="s">
        <v>428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 t="e">
        <f>V171+W171</f>
        <v>#DIV/0!</v>
      </c>
      <c r="V171" s="133" t="e">
        <f>PV($C$1, ($AE$3-$V$3), 0, -AE72)</f>
        <v>#DIV/0!</v>
      </c>
      <c r="W171" s="133" t="e">
        <f>PV($C$1, ($AE$3-$V$3), 0, -AH72)</f>
        <v>#DIV/0!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 t="e">
        <f t="shared" ref="U172:U190" si="532">V172+W172</f>
        <v>#DIV/0!</v>
      </c>
      <c r="V172" s="133" t="e">
        <f>PV($C$1, ($AE$3-$V$3), 0, -AE74)</f>
        <v>#DIV/0!</v>
      </c>
      <c r="W172" s="133" t="e">
        <f>PV($C$1, ($AE$3-$V$3), 0, -AH74)</f>
        <v>#DIV/0!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 t="e">
        <f t="shared" si="532"/>
        <v>#DIV/0!</v>
      </c>
      <c r="V173" s="133" t="e">
        <f>PV($C$1, ($AE$3-$V$3), 0, -AE75)</f>
        <v>#DIV/0!</v>
      </c>
      <c r="W173" s="133" t="e">
        <f>PV($C$1, ($AE$3-$V$3), 0, -AH75)</f>
        <v>#DIV/0!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 t="e">
        <f t="shared" si="532"/>
        <v>#DIV/0!</v>
      </c>
      <c r="V174" s="133" t="e">
        <f>PV($C$1, ($AE$3-$V$3), 0, -AE76)</f>
        <v>#DIV/0!</v>
      </c>
      <c r="W174" s="133" t="e">
        <f>PV($C$1, ($AE$3-$V$3), 0, -AH76)</f>
        <v>#DIV/0!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 t="e">
        <f t="shared" si="532"/>
        <v>#DIV/0!</v>
      </c>
      <c r="V175" s="133" t="e">
        <f>PV($C$1, ($AE$3-$V$3), 0, -AE82)</f>
        <v>#DIV/0!</v>
      </c>
      <c r="W175" s="133" t="e">
        <f>PV($C$1, ($AE$3-$V$3), 0, -AH82)</f>
        <v>#DIV/0!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 t="e">
        <f t="shared" si="532"/>
        <v>#DIV/0!</v>
      </c>
      <c r="V177" s="133" t="e">
        <f>PV($C$1, ($AE$3-$V$3), 0, -AE78)</f>
        <v>#DIV/0!</v>
      </c>
      <c r="W177" s="133" t="e">
        <f>PV($C$1, ($AE$3-$V$3), 0, -$AH$78)</f>
        <v>#DIV/0!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 t="e">
        <f t="shared" si="532"/>
        <v>#DIV/0!</v>
      </c>
      <c r="V178" s="133" t="e">
        <f>PV($C$1, ($AE$3-$V$3), 0, -AE79)</f>
        <v>#DIV/0!</v>
      </c>
      <c r="W178" s="133" t="e">
        <f>PV($C$1, ($AE$3-$V$3), 0, -$AH$79)</f>
        <v>#DIV/0!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 t="e">
        <f t="shared" si="532"/>
        <v>#DIV/0!</v>
      </c>
      <c r="V179" s="133" t="e">
        <f>PV($C$1, ($AE$3-$V$3), 0, -AE80)</f>
        <v>#DIV/0!</v>
      </c>
      <c r="W179" s="133" t="e">
        <f>PV($C$1, ($AE$3-$V$3), 0, -$AH$80)</f>
        <v>#DIV/0!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 t="e">
        <f t="shared" si="532"/>
        <v>#DIV/0!</v>
      </c>
      <c r="V181" s="133" t="e">
        <f>PV($C$1, ($AE$3-$V$3), 0, -AE85)</f>
        <v>#DIV/0!</v>
      </c>
      <c r="W181" s="133" t="e">
        <f>PV($C$1, ($AE$3-$V$3), 0, -AH85)</f>
        <v>#DIV/0!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 t="e">
        <f t="shared" si="532"/>
        <v>#DIV/0!</v>
      </c>
      <c r="V182" s="133" t="e">
        <f>PV($C$1, ($AE$3-$V$3), 0, -AE86)</f>
        <v>#DIV/0!</v>
      </c>
      <c r="W182" s="133" t="e">
        <f>PV($C$1, ($AE$3-$V$3), 0, -AH86)</f>
        <v>#DIV/0!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33">V184+W184</f>
        <v>0</v>
      </c>
      <c r="V184" s="133">
        <f>PV($C$1, ($AE$3-$V$3), 0, -AE12)</f>
        <v>0</v>
      </c>
      <c r="W184" s="133">
        <f>PV($C$1, ($AE$3-$V$3), 0, -AH12)</f>
        <v>0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 t="e">
        <f>V185+W185</f>
        <v>#DIV/0!</v>
      </c>
      <c r="V185" s="139" t="e">
        <f>V184/R57</f>
        <v>#DIV/0!</v>
      </c>
      <c r="W185" s="139" t="e">
        <f>W184/R57</f>
        <v>#DIV/0!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4">V188+W188</f>
        <v>0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0</v>
      </c>
      <c r="W188" s="133">
        <f>PV($C$1, ($AE$3-$V$3), 0, -AH88)</f>
        <v>0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32"/>
        <v>0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0</v>
      </c>
      <c r="W190" s="133">
        <f>PV($C$1, ($AE$3-$V$3), 0, -AH90)</f>
        <v>0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 t="e">
        <f t="shared" ref="U192:U195" si="535">V192+W192</f>
        <v>#DIV/0!</v>
      </c>
      <c r="V192" s="133" t="e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#DIV/0!</v>
      </c>
      <c r="W192" s="133" t="e">
        <f>PV($C$1, ($AE$3-$V$3), 0, -AH92)</f>
        <v>#DIV/0!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 t="e">
        <f t="shared" si="535"/>
        <v>#DIV/0!</v>
      </c>
      <c r="V193" s="133" t="e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#DIV/0!</v>
      </c>
      <c r="W193" s="133" t="e">
        <f>PV($C$1, ($AE$3-$V$3), 0, -AH93)</f>
        <v>#DIV/0!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 t="e">
        <f t="shared" si="535"/>
        <v>#DIV/0!</v>
      </c>
      <c r="V194" s="133" t="e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#DIV/0!</v>
      </c>
      <c r="W194" s="133" t="e">
        <f>PV($C$1, ($AE$3-$V$3), 0, -AH94)</f>
        <v>#DIV/0!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 t="e">
        <f t="shared" si="535"/>
        <v>#DIV/0!</v>
      </c>
      <c r="V195" s="133" t="e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#DIV/0!</v>
      </c>
      <c r="W195" s="133" t="e">
        <f>PV($C$1, ($AE$3-$V$3), 0, -AH95)</f>
        <v>#DIV/0!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 t="e">
        <f>U193+U194+U195</f>
        <v>#DIV/0!</v>
      </c>
      <c r="V196" s="110" t="e">
        <f t="shared" ref="V196:W196" si="536">V193+V194+V195</f>
        <v>#DIV/0!</v>
      </c>
      <c r="W196" s="110" t="e">
        <f t="shared" si="536"/>
        <v>#DIV/0!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 t="e">
        <f>V198+W198</f>
        <v>#DIV/0!</v>
      </c>
      <c r="V198" s="133" t="e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#DIV/0!</v>
      </c>
      <c r="W198" s="133" t="e">
        <f>PV($C$1, ($AE$3-$V$3), 0, -AH96)</f>
        <v>#DIV/0!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 t="s">
        <v>495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470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388</v>
      </c>
      <c r="R200" s="20" t="s">
        <v>495</v>
      </c>
      <c r="S200" s="20"/>
      <c r="T200" s="20" t="s">
        <v>495</v>
      </c>
      <c r="U200" s="23" t="s">
        <v>389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/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350</v>
      </c>
      <c r="O201" s="22">
        <v>340</v>
      </c>
      <c r="P201" s="22">
        <v>300</v>
      </c>
      <c r="Q201" s="22">
        <v>275</v>
      </c>
      <c r="R201" s="22">
        <v>0</v>
      </c>
      <c r="S201" s="22">
        <v>0</v>
      </c>
      <c r="T201" s="118" t="e">
        <f t="shared" ref="T201:T227" si="537">((S201/G201)^(1/($J$2-$J$1) ))-1</f>
        <v>#DIV/0!</v>
      </c>
      <c r="U201" s="31">
        <v>0</v>
      </c>
      <c r="V201" s="195">
        <v>50</v>
      </c>
      <c r="W201" s="119">
        <f t="shared" ref="W201:AE201" si="538">V201*(1+$U201)</f>
        <v>50</v>
      </c>
      <c r="X201" s="119">
        <f t="shared" si="538"/>
        <v>50</v>
      </c>
      <c r="Y201" s="119">
        <f t="shared" si="538"/>
        <v>50</v>
      </c>
      <c r="Z201" s="119">
        <f t="shared" si="538"/>
        <v>50</v>
      </c>
      <c r="AA201" s="119">
        <f t="shared" si="538"/>
        <v>50</v>
      </c>
      <c r="AB201" s="119">
        <f t="shared" si="538"/>
        <v>50</v>
      </c>
      <c r="AC201" s="119">
        <f t="shared" si="538"/>
        <v>50</v>
      </c>
      <c r="AD201" s="119">
        <f t="shared" si="538"/>
        <v>50</v>
      </c>
      <c r="AE201" s="119">
        <f t="shared" si="538"/>
        <v>50</v>
      </c>
      <c r="AF201" s="137" t="e">
        <f t="shared" ref="AF201:AF208" si="539">((AE201/I201)^(1/($AE$3-$J$1) ))-1</f>
        <v>#DIV/0!</v>
      </c>
      <c r="AG201" s="31">
        <f t="shared" ref="AG201:AG208" si="540">$N$1</f>
        <v>0.05</v>
      </c>
      <c r="AH201" s="127" t="e">
        <f t="shared" ref="AH201:AH212" si="541">(AE201*(1+AF201))/($C$1-AG201)</f>
        <v>#DIV/0!</v>
      </c>
    </row>
    <row r="202" spans="2:34">
      <c r="B202" s="20" t="s">
        <v>359</v>
      </c>
      <c r="C202" s="25"/>
      <c r="D202" s="25"/>
      <c r="E202" s="25"/>
      <c r="F202" s="25"/>
      <c r="G202" s="25">
        <f t="shared" ref="G202:H202" si="542">G201/G66</f>
        <v>0</v>
      </c>
      <c r="H202" s="25">
        <f t="shared" si="542"/>
        <v>0</v>
      </c>
      <c r="I202" s="25">
        <f t="shared" ref="I202:S202" si="543">I201/I66</f>
        <v>0</v>
      </c>
      <c r="J202" s="25">
        <f t="shared" si="543"/>
        <v>0</v>
      </c>
      <c r="K202" s="25">
        <f t="shared" si="543"/>
        <v>0</v>
      </c>
      <c r="L202" s="25">
        <f t="shared" si="543"/>
        <v>0</v>
      </c>
      <c r="M202" s="25">
        <f t="shared" si="543"/>
        <v>0</v>
      </c>
      <c r="N202" s="25">
        <f t="shared" si="543"/>
        <v>3.9248393281965699</v>
      </c>
      <c r="O202" s="25">
        <f t="shared" si="543"/>
        <v>3.052610481727339</v>
      </c>
      <c r="P202" s="25">
        <f t="shared" si="543"/>
        <v>2.4752008360002611</v>
      </c>
      <c r="Q202" s="25" t="e">
        <f t="shared" si="543"/>
        <v>#DIV/0!</v>
      </c>
      <c r="R202" s="25" t="e">
        <f t="shared" si="543"/>
        <v>#DIV/0!</v>
      </c>
      <c r="S202" s="25" t="e">
        <f t="shared" si="543"/>
        <v>#DIV/0!</v>
      </c>
      <c r="T202" s="118" t="e">
        <f t="shared" si="537"/>
        <v>#DIV/0!</v>
      </c>
      <c r="U202" s="128"/>
      <c r="V202" s="25" t="e">
        <f t="shared" ref="V202:AE202" si="544">V201/V66</f>
        <v>#DIV/0!</v>
      </c>
      <c r="W202" s="25" t="e">
        <f t="shared" si="544"/>
        <v>#DIV/0!</v>
      </c>
      <c r="X202" s="25" t="e">
        <f t="shared" si="544"/>
        <v>#DIV/0!</v>
      </c>
      <c r="Y202" s="25" t="e">
        <f t="shared" si="544"/>
        <v>#DIV/0!</v>
      </c>
      <c r="Z202" s="25" t="e">
        <f t="shared" si="544"/>
        <v>#DIV/0!</v>
      </c>
      <c r="AA202" s="25" t="e">
        <f t="shared" si="544"/>
        <v>#DIV/0!</v>
      </c>
      <c r="AB202" s="25" t="e">
        <f t="shared" si="544"/>
        <v>#DIV/0!</v>
      </c>
      <c r="AC202" s="25" t="e">
        <f t="shared" si="544"/>
        <v>#DIV/0!</v>
      </c>
      <c r="AD202" s="25" t="e">
        <f t="shared" si="544"/>
        <v>#DIV/0!</v>
      </c>
      <c r="AE202" s="25" t="e">
        <f t="shared" si="544"/>
        <v>#DIV/0!</v>
      </c>
      <c r="AF202" s="137" t="e">
        <f t="shared" ref="AF202" si="545">((AE202/I202)^(1/($AE$3-$J$1) ))-1</f>
        <v>#DIV/0!</v>
      </c>
      <c r="AG202" s="31">
        <f t="shared" si="540"/>
        <v>0.05</v>
      </c>
      <c r="AH202" s="127" t="e">
        <f t="shared" ref="AH202" si="546">(AE202*(1+AF202))/($C$1-AG202)</f>
        <v>#DIV/0!</v>
      </c>
    </row>
    <row r="203" spans="2:34">
      <c r="B203" s="20" t="s">
        <v>387</v>
      </c>
      <c r="C203" s="25"/>
      <c r="D203" s="25"/>
      <c r="E203" s="25"/>
      <c r="F203" s="25"/>
      <c r="G203" s="25">
        <f t="shared" ref="G203:H203" si="547">G201/G72</f>
        <v>0</v>
      </c>
      <c r="H203" s="25">
        <f t="shared" si="547"/>
        <v>0</v>
      </c>
      <c r="I203" s="25">
        <f t="shared" ref="I203:S203" si="548">I201/I72</f>
        <v>0</v>
      </c>
      <c r="J203" s="25">
        <f t="shared" si="548"/>
        <v>0</v>
      </c>
      <c r="K203" s="25">
        <f t="shared" si="548"/>
        <v>0</v>
      </c>
      <c r="L203" s="25">
        <f t="shared" si="548"/>
        <v>0</v>
      </c>
      <c r="M203" s="25">
        <f t="shared" si="548"/>
        <v>0</v>
      </c>
      <c r="N203" s="25">
        <f t="shared" si="548"/>
        <v>20.343287015735712</v>
      </c>
      <c r="O203" s="25">
        <f t="shared" si="548"/>
        <v>14.522193670543684</v>
      </c>
      <c r="P203" s="25">
        <f t="shared" si="548"/>
        <v>10.917780594607052</v>
      </c>
      <c r="Q203" s="25" t="e">
        <f t="shared" si="548"/>
        <v>#DIV/0!</v>
      </c>
      <c r="R203" s="25" t="e">
        <f t="shared" si="548"/>
        <v>#DIV/0!</v>
      </c>
      <c r="S203" s="25" t="e">
        <f t="shared" si="548"/>
        <v>#DIV/0!</v>
      </c>
      <c r="T203" s="118" t="e">
        <f t="shared" si="537"/>
        <v>#DIV/0!</v>
      </c>
      <c r="U203" s="128"/>
      <c r="V203" s="119" t="e">
        <f t="shared" ref="V203:AE203" si="549">V201/V72</f>
        <v>#DIV/0!</v>
      </c>
      <c r="W203" s="119" t="e">
        <f t="shared" si="549"/>
        <v>#DIV/0!</v>
      </c>
      <c r="X203" s="119" t="e">
        <f t="shared" si="549"/>
        <v>#DIV/0!</v>
      </c>
      <c r="Y203" s="119" t="e">
        <f t="shared" si="549"/>
        <v>#DIV/0!</v>
      </c>
      <c r="Z203" s="119" t="e">
        <f t="shared" si="549"/>
        <v>#DIV/0!</v>
      </c>
      <c r="AA203" s="119" t="e">
        <f t="shared" si="549"/>
        <v>#DIV/0!</v>
      </c>
      <c r="AB203" s="119" t="e">
        <f t="shared" si="549"/>
        <v>#DIV/0!</v>
      </c>
      <c r="AC203" s="119" t="e">
        <f t="shared" si="549"/>
        <v>#DIV/0!</v>
      </c>
      <c r="AD203" s="119" t="e">
        <f t="shared" si="549"/>
        <v>#DIV/0!</v>
      </c>
      <c r="AE203" s="119" t="e">
        <f t="shared" si="549"/>
        <v>#DIV/0!</v>
      </c>
      <c r="AF203" s="137" t="e">
        <f t="shared" si="539"/>
        <v>#DIV/0!</v>
      </c>
      <c r="AG203" s="31">
        <f t="shared" si="540"/>
        <v>0.05</v>
      </c>
      <c r="AH203" s="127" t="e">
        <f t="shared" si="541"/>
        <v>#DIV/0!</v>
      </c>
    </row>
    <row r="204" spans="2:34">
      <c r="B204" s="20" t="s">
        <v>462</v>
      </c>
      <c r="C204" s="25"/>
      <c r="D204" s="25"/>
      <c r="E204" s="25"/>
      <c r="F204" s="25"/>
      <c r="G204" s="25">
        <f t="shared" ref="G204:H204" si="550">G201/G70</f>
        <v>0</v>
      </c>
      <c r="H204" s="25">
        <f t="shared" si="550"/>
        <v>0</v>
      </c>
      <c r="I204" s="25">
        <f t="shared" ref="I204:S204" si="551">I201/I70</f>
        <v>0</v>
      </c>
      <c r="J204" s="25">
        <f t="shared" si="551"/>
        <v>0</v>
      </c>
      <c r="K204" s="25">
        <f t="shared" si="551"/>
        <v>0</v>
      </c>
      <c r="L204" s="25">
        <f t="shared" si="551"/>
        <v>0</v>
      </c>
      <c r="M204" s="25">
        <f t="shared" si="551"/>
        <v>0</v>
      </c>
      <c r="N204" s="25">
        <f t="shared" si="551"/>
        <v>16.403539363359798</v>
      </c>
      <c r="O204" s="25">
        <f t="shared" si="551"/>
        <v>13.707423246313907</v>
      </c>
      <c r="P204" s="25">
        <f t="shared" si="551"/>
        <v>10.478847536360117</v>
      </c>
      <c r="Q204" s="25" t="e">
        <f t="shared" si="551"/>
        <v>#DIV/0!</v>
      </c>
      <c r="R204" s="25" t="e">
        <f t="shared" si="551"/>
        <v>#DIV/0!</v>
      </c>
      <c r="S204" s="25" t="e">
        <f t="shared" si="551"/>
        <v>#DIV/0!</v>
      </c>
      <c r="T204" s="118" t="e">
        <f t="shared" si="537"/>
        <v>#DIV/0!</v>
      </c>
      <c r="U204" s="128"/>
      <c r="V204" s="25" t="e">
        <f t="shared" ref="V204:AE204" si="552">V201/V70</f>
        <v>#DIV/0!</v>
      </c>
      <c r="W204" s="25" t="e">
        <f t="shared" si="552"/>
        <v>#DIV/0!</v>
      </c>
      <c r="X204" s="25" t="e">
        <f t="shared" si="552"/>
        <v>#DIV/0!</v>
      </c>
      <c r="Y204" s="25" t="e">
        <f t="shared" si="552"/>
        <v>#DIV/0!</v>
      </c>
      <c r="Z204" s="25" t="e">
        <f t="shared" si="552"/>
        <v>#DIV/0!</v>
      </c>
      <c r="AA204" s="25" t="e">
        <f t="shared" si="552"/>
        <v>#DIV/0!</v>
      </c>
      <c r="AB204" s="25" t="e">
        <f t="shared" si="552"/>
        <v>#DIV/0!</v>
      </c>
      <c r="AC204" s="25" t="e">
        <f t="shared" si="552"/>
        <v>#DIV/0!</v>
      </c>
      <c r="AD204" s="25" t="e">
        <f t="shared" si="552"/>
        <v>#DIV/0!</v>
      </c>
      <c r="AE204" s="25" t="e">
        <f t="shared" si="552"/>
        <v>#DIV/0!</v>
      </c>
      <c r="AF204" s="137" t="e">
        <f t="shared" ref="AF204:AF205" si="553">((AE204/I204)^(1/($AE$3-$J$1) ))-1</f>
        <v>#DIV/0!</v>
      </c>
      <c r="AG204" s="31">
        <f t="shared" si="540"/>
        <v>0.05</v>
      </c>
      <c r="AH204" s="127" t="e">
        <f t="shared" ref="AH204:AH205" si="554">(AE204*(1+AF204))/($C$1-AG204)</f>
        <v>#DIV/0!</v>
      </c>
    </row>
    <row r="205" spans="2:34">
      <c r="B205" s="20" t="s">
        <v>463</v>
      </c>
      <c r="C205" s="25"/>
      <c r="D205" s="25"/>
      <c r="E205" s="25"/>
      <c r="F205" s="25"/>
      <c r="G205" s="25">
        <f t="shared" ref="G205:H205" si="555">G201/G71</f>
        <v>0</v>
      </c>
      <c r="H205" s="25">
        <f t="shared" si="555"/>
        <v>0</v>
      </c>
      <c r="I205" s="25">
        <f t="shared" ref="I205:S205" si="556">I201/I71</f>
        <v>0</v>
      </c>
      <c r="J205" s="25">
        <f t="shared" si="556"/>
        <v>0</v>
      </c>
      <c r="K205" s="25">
        <f t="shared" si="556"/>
        <v>0</v>
      </c>
      <c r="L205" s="25">
        <f t="shared" si="556"/>
        <v>0</v>
      </c>
      <c r="M205" s="25">
        <f t="shared" si="556"/>
        <v>0</v>
      </c>
      <c r="N205" s="25">
        <f t="shared" si="556"/>
        <v>13.428324120755635</v>
      </c>
      <c r="O205" s="25">
        <f t="shared" si="556"/>
        <v>10.095628055660022</v>
      </c>
      <c r="P205" s="25">
        <f t="shared" si="556"/>
        <v>7.5859321830337478</v>
      </c>
      <c r="Q205" s="25" t="e">
        <f t="shared" si="556"/>
        <v>#DIV/0!</v>
      </c>
      <c r="R205" s="25" t="e">
        <f t="shared" si="556"/>
        <v>#DIV/0!</v>
      </c>
      <c r="S205" s="25" t="e">
        <f t="shared" si="556"/>
        <v>#DIV/0!</v>
      </c>
      <c r="T205" s="118" t="e">
        <f t="shared" si="537"/>
        <v>#DIV/0!</v>
      </c>
      <c r="U205" s="128"/>
      <c r="V205" s="25" t="e">
        <f t="shared" ref="V205:AE205" si="557">V201/V71</f>
        <v>#DIV/0!</v>
      </c>
      <c r="W205" s="25" t="e">
        <f t="shared" si="557"/>
        <v>#DIV/0!</v>
      </c>
      <c r="X205" s="25" t="e">
        <f t="shared" si="557"/>
        <v>#DIV/0!</v>
      </c>
      <c r="Y205" s="25" t="e">
        <f t="shared" si="557"/>
        <v>#DIV/0!</v>
      </c>
      <c r="Z205" s="25" t="e">
        <f t="shared" si="557"/>
        <v>#DIV/0!</v>
      </c>
      <c r="AA205" s="25" t="e">
        <f t="shared" si="557"/>
        <v>#DIV/0!</v>
      </c>
      <c r="AB205" s="25" t="e">
        <f t="shared" si="557"/>
        <v>#DIV/0!</v>
      </c>
      <c r="AC205" s="25" t="e">
        <f t="shared" si="557"/>
        <v>#DIV/0!</v>
      </c>
      <c r="AD205" s="25" t="e">
        <f t="shared" si="557"/>
        <v>#DIV/0!</v>
      </c>
      <c r="AE205" s="25" t="e">
        <f t="shared" si="557"/>
        <v>#DIV/0!</v>
      </c>
      <c r="AF205" s="137" t="e">
        <f t="shared" si="553"/>
        <v>#DIV/0!</v>
      </c>
      <c r="AG205" s="31">
        <f t="shared" si="540"/>
        <v>0.05</v>
      </c>
      <c r="AH205" s="127" t="e">
        <f t="shared" si="554"/>
        <v>#DIV/0!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8">G201/G75</f>
        <v>0</v>
      </c>
      <c r="H206" s="25">
        <f t="shared" si="558"/>
        <v>0</v>
      </c>
      <c r="I206" s="25">
        <f t="shared" ref="I206:S206" si="559">I201/I75</f>
        <v>0</v>
      </c>
      <c r="J206" s="25">
        <f t="shared" si="559"/>
        <v>0</v>
      </c>
      <c r="K206" s="25">
        <f t="shared" si="559"/>
        <v>0</v>
      </c>
      <c r="L206" s="25">
        <f t="shared" si="559"/>
        <v>0</v>
      </c>
      <c r="M206" s="25">
        <f t="shared" si="559"/>
        <v>0</v>
      </c>
      <c r="N206" s="25">
        <f t="shared" si="559"/>
        <v>8.1887061525354667</v>
      </c>
      <c r="O206" s="25">
        <f t="shared" si="559"/>
        <v>6.2911354581673304</v>
      </c>
      <c r="P206" s="25">
        <f t="shared" si="559"/>
        <v>4.4950539675008896</v>
      </c>
      <c r="Q206" s="25" t="e">
        <f t="shared" si="559"/>
        <v>#DIV/0!</v>
      </c>
      <c r="R206" s="25" t="e">
        <f t="shared" si="559"/>
        <v>#DIV/0!</v>
      </c>
      <c r="S206" s="25" t="e">
        <f t="shared" si="559"/>
        <v>#DIV/0!</v>
      </c>
      <c r="T206" s="118" t="e">
        <f t="shared" si="537"/>
        <v>#DIV/0!</v>
      </c>
      <c r="U206" s="128"/>
      <c r="V206" s="119" t="e">
        <f t="shared" ref="V206:AE206" si="560">V201/V75</f>
        <v>#DIV/0!</v>
      </c>
      <c r="W206" s="119" t="e">
        <f t="shared" si="560"/>
        <v>#DIV/0!</v>
      </c>
      <c r="X206" s="119" t="e">
        <f t="shared" si="560"/>
        <v>#DIV/0!</v>
      </c>
      <c r="Y206" s="119" t="e">
        <f t="shared" si="560"/>
        <v>#DIV/0!</v>
      </c>
      <c r="Z206" s="119" t="e">
        <f t="shared" si="560"/>
        <v>#DIV/0!</v>
      </c>
      <c r="AA206" s="119" t="e">
        <f t="shared" si="560"/>
        <v>#DIV/0!</v>
      </c>
      <c r="AB206" s="119" t="e">
        <f t="shared" si="560"/>
        <v>#DIV/0!</v>
      </c>
      <c r="AC206" s="119" t="e">
        <f t="shared" si="560"/>
        <v>#DIV/0!</v>
      </c>
      <c r="AD206" s="119" t="e">
        <f t="shared" si="560"/>
        <v>#DIV/0!</v>
      </c>
      <c r="AE206" s="119" t="e">
        <f t="shared" si="560"/>
        <v>#DIV/0!</v>
      </c>
      <c r="AF206" s="137" t="e">
        <f t="shared" si="539"/>
        <v>#DIV/0!</v>
      </c>
      <c r="AG206" s="31">
        <f t="shared" si="540"/>
        <v>0.05</v>
      </c>
      <c r="AH206" s="127" t="e">
        <f t="shared" si="541"/>
        <v>#DIV/0!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61">G201/G84</f>
        <v>0</v>
      </c>
      <c r="H207" s="25">
        <f t="shared" si="561"/>
        <v>0</v>
      </c>
      <c r="I207" s="25">
        <f t="shared" ref="I207:S207" si="562">I201/I84</f>
        <v>0</v>
      </c>
      <c r="J207" s="25">
        <f t="shared" si="562"/>
        <v>0</v>
      </c>
      <c r="K207" s="25">
        <f t="shared" si="562"/>
        <v>0</v>
      </c>
      <c r="L207" s="25">
        <f t="shared" si="562"/>
        <v>0</v>
      </c>
      <c r="M207" s="25">
        <f t="shared" si="562"/>
        <v>0</v>
      </c>
      <c r="N207" s="25">
        <f t="shared" si="562"/>
        <v>4.7167744137916321</v>
      </c>
      <c r="O207" s="25">
        <f t="shared" si="562"/>
        <v>3.5683531894388785</v>
      </c>
      <c r="P207" s="25">
        <f t="shared" si="562"/>
        <v>2.9319046882252824</v>
      </c>
      <c r="Q207" s="25" t="e">
        <f t="shared" si="562"/>
        <v>#DIV/0!</v>
      </c>
      <c r="R207" s="25" t="e">
        <f t="shared" si="562"/>
        <v>#DIV/0!</v>
      </c>
      <c r="S207" s="25" t="e">
        <f t="shared" si="562"/>
        <v>#DIV/0!</v>
      </c>
      <c r="T207" s="118" t="e">
        <f t="shared" si="537"/>
        <v>#DIV/0!</v>
      </c>
      <c r="U207" s="128"/>
      <c r="V207" s="119" t="e">
        <f t="shared" ref="V207:AE207" si="563">V201/V84</f>
        <v>#DIV/0!</v>
      </c>
      <c r="W207" s="119" t="e">
        <f t="shared" si="563"/>
        <v>#DIV/0!</v>
      </c>
      <c r="X207" s="119" t="e">
        <f t="shared" si="563"/>
        <v>#DIV/0!</v>
      </c>
      <c r="Y207" s="119" t="e">
        <f t="shared" si="563"/>
        <v>#DIV/0!</v>
      </c>
      <c r="Z207" s="119" t="e">
        <f t="shared" si="563"/>
        <v>#DIV/0!</v>
      </c>
      <c r="AA207" s="119" t="e">
        <f t="shared" si="563"/>
        <v>#DIV/0!</v>
      </c>
      <c r="AB207" s="119" t="e">
        <f t="shared" si="563"/>
        <v>#DIV/0!</v>
      </c>
      <c r="AC207" s="119" t="e">
        <f t="shared" si="563"/>
        <v>#DIV/0!</v>
      </c>
      <c r="AD207" s="119" t="e">
        <f t="shared" si="563"/>
        <v>#DIV/0!</v>
      </c>
      <c r="AE207" s="119" t="e">
        <f t="shared" si="563"/>
        <v>#DIV/0!</v>
      </c>
      <c r="AF207" s="137" t="e">
        <f t="shared" si="539"/>
        <v>#DIV/0!</v>
      </c>
      <c r="AG207" s="31">
        <f t="shared" si="540"/>
        <v>0.05</v>
      </c>
      <c r="AH207" s="127" t="e">
        <f t="shared" si="541"/>
        <v>#DIV/0!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4">G201/G86</f>
        <v>0</v>
      </c>
      <c r="H208" s="25">
        <f t="shared" si="564"/>
        <v>0</v>
      </c>
      <c r="I208" s="25">
        <f t="shared" ref="I208:S208" si="565">I201/I86</f>
        <v>0</v>
      </c>
      <c r="J208" s="25">
        <f t="shared" si="565"/>
        <v>0</v>
      </c>
      <c r="K208" s="25">
        <f t="shared" si="565"/>
        <v>0</v>
      </c>
      <c r="L208" s="25">
        <f t="shared" si="565"/>
        <v>0</v>
      </c>
      <c r="M208" s="25">
        <f t="shared" si="565"/>
        <v>0</v>
      </c>
      <c r="N208" s="25">
        <f t="shared" si="565"/>
        <v>11.791055522961225</v>
      </c>
      <c r="O208" s="25">
        <f t="shared" si="565"/>
        <v>9.1330356383431148</v>
      </c>
      <c r="P208" s="25">
        <f t="shared" si="565"/>
        <v>6.2628569539925962</v>
      </c>
      <c r="Q208" s="25" t="e">
        <f t="shared" si="565"/>
        <v>#DIV/0!</v>
      </c>
      <c r="R208" s="25" t="e">
        <f t="shared" si="565"/>
        <v>#DIV/0!</v>
      </c>
      <c r="S208" s="25" t="e">
        <f t="shared" si="565"/>
        <v>#DIV/0!</v>
      </c>
      <c r="T208" s="118" t="e">
        <f t="shared" si="537"/>
        <v>#DIV/0!</v>
      </c>
      <c r="U208" s="128"/>
      <c r="V208" s="119" t="e">
        <f t="shared" ref="V208:AE208" si="566">V201/V86</f>
        <v>#DIV/0!</v>
      </c>
      <c r="W208" s="119" t="e">
        <f t="shared" si="566"/>
        <v>#DIV/0!</v>
      </c>
      <c r="X208" s="119" t="e">
        <f t="shared" si="566"/>
        <v>#DIV/0!</v>
      </c>
      <c r="Y208" s="119" t="e">
        <f t="shared" si="566"/>
        <v>#DIV/0!</v>
      </c>
      <c r="Z208" s="119" t="e">
        <f t="shared" si="566"/>
        <v>#DIV/0!</v>
      </c>
      <c r="AA208" s="119" t="e">
        <f t="shared" si="566"/>
        <v>#DIV/0!</v>
      </c>
      <c r="AB208" s="119" t="e">
        <f t="shared" si="566"/>
        <v>#DIV/0!</v>
      </c>
      <c r="AC208" s="119" t="e">
        <f t="shared" si="566"/>
        <v>#DIV/0!</v>
      </c>
      <c r="AD208" s="119" t="e">
        <f t="shared" si="566"/>
        <v>#DIV/0!</v>
      </c>
      <c r="AE208" s="119" t="e">
        <f t="shared" si="566"/>
        <v>#DIV/0!</v>
      </c>
      <c r="AF208" s="137" t="e">
        <f t="shared" si="539"/>
        <v>#DIV/0!</v>
      </c>
      <c r="AG208" s="31">
        <f t="shared" si="540"/>
        <v>0.05</v>
      </c>
      <c r="AH208" s="127" t="e">
        <f t="shared" si="541"/>
        <v>#DIV/0!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7">G201/G80</f>
        <v>0</v>
      </c>
      <c r="H209" s="180">
        <f t="shared" si="567"/>
        <v>0</v>
      </c>
      <c r="I209" s="180">
        <f t="shared" ref="I209:S209" si="568">I201/I80</f>
        <v>0</v>
      </c>
      <c r="J209" s="180">
        <f t="shared" si="568"/>
        <v>0</v>
      </c>
      <c r="K209" s="180">
        <f t="shared" si="568"/>
        <v>0</v>
      </c>
      <c r="L209" s="180">
        <f t="shared" si="568"/>
        <v>0</v>
      </c>
      <c r="M209" s="180">
        <f t="shared" si="568"/>
        <v>0</v>
      </c>
      <c r="N209" s="180">
        <f t="shared" si="568"/>
        <v>3.1377545951316446</v>
      </c>
      <c r="O209" s="180">
        <f t="shared" si="568"/>
        <v>2.4464770280584633</v>
      </c>
      <c r="P209" s="180">
        <f t="shared" si="568"/>
        <v>1.7983714066073817</v>
      </c>
      <c r="Q209" s="180" t="e">
        <f t="shared" si="568"/>
        <v>#DIV/0!</v>
      </c>
      <c r="R209" s="180" t="e">
        <f t="shared" si="568"/>
        <v>#DIV/0!</v>
      </c>
      <c r="S209" s="180" t="e">
        <f t="shared" si="568"/>
        <v>#DIV/0!</v>
      </c>
      <c r="T209" s="118" t="e">
        <f t="shared" si="537"/>
        <v>#DIV/0!</v>
      </c>
      <c r="U209" s="128"/>
      <c r="V209" s="134" t="e">
        <f t="shared" ref="V209:AE209" si="569">V201/V80</f>
        <v>#DIV/0!</v>
      </c>
      <c r="W209" s="134" t="e">
        <f t="shared" si="569"/>
        <v>#DIV/0!</v>
      </c>
      <c r="X209" s="134" t="e">
        <f t="shared" si="569"/>
        <v>#DIV/0!</v>
      </c>
      <c r="Y209" s="134" t="e">
        <f t="shared" si="569"/>
        <v>#DIV/0!</v>
      </c>
      <c r="Z209" s="134" t="e">
        <f t="shared" si="569"/>
        <v>#DIV/0!</v>
      </c>
      <c r="AA209" s="134" t="e">
        <f t="shared" si="569"/>
        <v>#DIV/0!</v>
      </c>
      <c r="AB209" s="134" t="e">
        <f t="shared" si="569"/>
        <v>#DIV/0!</v>
      </c>
      <c r="AC209" s="134" t="e">
        <f t="shared" si="569"/>
        <v>#DIV/0!</v>
      </c>
      <c r="AD209" s="134" t="e">
        <f t="shared" si="569"/>
        <v>#DIV/0!</v>
      </c>
      <c r="AE209" s="134" t="e">
        <f t="shared" si="569"/>
        <v>#DIV/0!</v>
      </c>
      <c r="AF209" s="137" t="e">
        <f t="shared" ref="AF209" si="570">((AE209/I209)^(1/($AE$3-$J$1) ))-1</f>
        <v>#DIV/0!</v>
      </c>
      <c r="AG209" s="31">
        <f t="shared" ref="AG209:AG212" si="571">$N$1</f>
        <v>0.05</v>
      </c>
      <c r="AH209" s="127" t="e">
        <f t="shared" si="541"/>
        <v>#DIV/0!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71"/>
        <v>0.05</v>
      </c>
      <c r="AH210" s="127"/>
    </row>
    <row r="211" spans="2:34">
      <c r="B211" s="20" t="s">
        <v>318</v>
      </c>
      <c r="C211" s="150"/>
      <c r="D211" s="150"/>
      <c r="E211" s="150"/>
      <c r="F211" s="150"/>
      <c r="G211" s="150" t="e">
        <f t="shared" ref="G211:H211" si="572">G59/G201</f>
        <v>#DIV/0!</v>
      </c>
      <c r="H211" s="150" t="e">
        <f t="shared" si="572"/>
        <v>#DIV/0!</v>
      </c>
      <c r="I211" s="150" t="e">
        <f t="shared" ref="I211:S211" si="573">I59/I201</f>
        <v>#DIV/0!</v>
      </c>
      <c r="J211" s="150" t="e">
        <f t="shared" si="573"/>
        <v>#DIV/0!</v>
      </c>
      <c r="K211" s="150" t="e">
        <f t="shared" si="573"/>
        <v>#DIV/0!</v>
      </c>
      <c r="L211" s="150" t="e">
        <f t="shared" si="573"/>
        <v>#DIV/0!</v>
      </c>
      <c r="M211" s="150" t="e">
        <f t="shared" si="573"/>
        <v>#DIV/0!</v>
      </c>
      <c r="N211" s="150">
        <f t="shared" si="573"/>
        <v>1.1142857142857142E-2</v>
      </c>
      <c r="O211" s="150">
        <f t="shared" si="573"/>
        <v>2.9411764705882353E-2</v>
      </c>
      <c r="P211" s="150">
        <f t="shared" si="573"/>
        <v>4.6666666666666669E-2</v>
      </c>
      <c r="Q211" s="150">
        <f t="shared" si="573"/>
        <v>0</v>
      </c>
      <c r="R211" s="150" t="e">
        <f t="shared" si="573"/>
        <v>#DIV/0!</v>
      </c>
      <c r="S211" s="150" t="e">
        <f t="shared" si="573"/>
        <v>#DIV/0!</v>
      </c>
      <c r="T211" s="118" t="e">
        <f t="shared" si="537"/>
        <v>#DIV/0!</v>
      </c>
      <c r="U211" s="128"/>
      <c r="V211" s="150">
        <f t="shared" ref="V211:AE211" si="574">V59/V201</f>
        <v>0</v>
      </c>
      <c r="W211" s="150">
        <f t="shared" si="574"/>
        <v>0</v>
      </c>
      <c r="X211" s="150">
        <f t="shared" si="574"/>
        <v>0</v>
      </c>
      <c r="Y211" s="150">
        <f t="shared" si="574"/>
        <v>0</v>
      </c>
      <c r="Z211" s="150">
        <f t="shared" si="574"/>
        <v>0</v>
      </c>
      <c r="AA211" s="150">
        <f t="shared" si="574"/>
        <v>0</v>
      </c>
      <c r="AB211" s="150">
        <f t="shared" si="574"/>
        <v>0</v>
      </c>
      <c r="AC211" s="150">
        <f t="shared" si="574"/>
        <v>0</v>
      </c>
      <c r="AD211" s="150">
        <f t="shared" si="574"/>
        <v>0</v>
      </c>
      <c r="AE211" s="150">
        <f t="shared" si="574"/>
        <v>0</v>
      </c>
      <c r="AF211" s="137" t="e">
        <f t="shared" ref="AF211:AF216" si="575">((AE211/I211)^(1/($AE$3-$J$1) ))-1</f>
        <v>#DIV/0!</v>
      </c>
      <c r="AG211" s="31">
        <f t="shared" si="571"/>
        <v>0.05</v>
      </c>
      <c r="AH211" s="127" t="e">
        <f t="shared" si="541"/>
        <v>#DIV/0!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6">G201*G57</f>
        <v>0</v>
      </c>
      <c r="H212" s="163">
        <f t="shared" si="576"/>
        <v>0</v>
      </c>
      <c r="I212" s="163">
        <f t="shared" ref="I212:S212" si="577">I201*I57</f>
        <v>0</v>
      </c>
      <c r="J212" s="163">
        <f t="shared" si="577"/>
        <v>0</v>
      </c>
      <c r="K212" s="163">
        <f t="shared" si="577"/>
        <v>0</v>
      </c>
      <c r="L212" s="163">
        <f t="shared" si="577"/>
        <v>0</v>
      </c>
      <c r="M212" s="163">
        <f t="shared" si="577"/>
        <v>0</v>
      </c>
      <c r="N212" s="163">
        <f t="shared" si="577"/>
        <v>221070.5</v>
      </c>
      <c r="O212" s="163">
        <f t="shared" si="577"/>
        <v>214754.2</v>
      </c>
      <c r="P212" s="163">
        <f t="shared" si="577"/>
        <v>189489</v>
      </c>
      <c r="Q212" s="163">
        <f t="shared" si="577"/>
        <v>0</v>
      </c>
      <c r="R212" s="163">
        <f t="shared" si="577"/>
        <v>0</v>
      </c>
      <c r="S212" s="163">
        <f t="shared" si="577"/>
        <v>0</v>
      </c>
      <c r="T212" s="118" t="e">
        <f t="shared" si="537"/>
        <v>#DIV/0!</v>
      </c>
      <c r="U212" s="128"/>
      <c r="V212" s="163">
        <f t="shared" ref="V212:AE212" si="578">V201*V57</f>
        <v>0</v>
      </c>
      <c r="W212" s="163">
        <f t="shared" si="578"/>
        <v>0</v>
      </c>
      <c r="X212" s="163">
        <f t="shared" si="578"/>
        <v>0</v>
      </c>
      <c r="Y212" s="163">
        <f t="shared" si="578"/>
        <v>0</v>
      </c>
      <c r="Z212" s="163">
        <f t="shared" si="578"/>
        <v>0</v>
      </c>
      <c r="AA212" s="163">
        <f t="shared" si="578"/>
        <v>0</v>
      </c>
      <c r="AB212" s="163">
        <f t="shared" si="578"/>
        <v>0</v>
      </c>
      <c r="AC212" s="163">
        <f t="shared" si="578"/>
        <v>0</v>
      </c>
      <c r="AD212" s="163">
        <f t="shared" si="578"/>
        <v>0</v>
      </c>
      <c r="AE212" s="163">
        <f t="shared" si="578"/>
        <v>0</v>
      </c>
      <c r="AF212" s="137" t="e">
        <f t="shared" si="575"/>
        <v>#DIV/0!</v>
      </c>
      <c r="AG212" s="31">
        <f t="shared" si="571"/>
        <v>0.05</v>
      </c>
      <c r="AH212" s="127" t="e">
        <f t="shared" si="541"/>
        <v>#DIV/0!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369</v>
      </c>
      <c r="C214" s="159"/>
      <c r="D214" s="159"/>
      <c r="E214" s="159"/>
      <c r="F214" s="159"/>
      <c r="G214" s="159" t="e">
        <f t="shared" ref="G214:H214" si="579">G72/G201</f>
        <v>#DIV/0!</v>
      </c>
      <c r="H214" s="159" t="e">
        <f t="shared" si="579"/>
        <v>#DIV/0!</v>
      </c>
      <c r="I214" s="159" t="e">
        <f t="shared" ref="I214:S214" si="580">I72/I201</f>
        <v>#DIV/0!</v>
      </c>
      <c r="J214" s="159" t="e">
        <f t="shared" si="580"/>
        <v>#DIV/0!</v>
      </c>
      <c r="K214" s="159" t="e">
        <f t="shared" si="580"/>
        <v>#DIV/0!</v>
      </c>
      <c r="L214" s="159" t="e">
        <f t="shared" si="580"/>
        <v>#DIV/0!</v>
      </c>
      <c r="M214" s="159" t="e">
        <f t="shared" si="580"/>
        <v>#DIV/0!</v>
      </c>
      <c r="N214" s="159">
        <f t="shared" si="580"/>
        <v>4.9156264630513799E-2</v>
      </c>
      <c r="O214" s="159">
        <f t="shared" si="580"/>
        <v>6.8860120081469883E-2</v>
      </c>
      <c r="P214" s="159">
        <f t="shared" si="580"/>
        <v>9.1593707286438786E-2</v>
      </c>
      <c r="Q214" s="159" t="e">
        <f t="shared" si="580"/>
        <v>#DIV/0!</v>
      </c>
      <c r="R214" s="159" t="e">
        <f t="shared" si="580"/>
        <v>#DIV/0!</v>
      </c>
      <c r="S214" s="159" t="e">
        <f t="shared" si="580"/>
        <v>#DIV/0!</v>
      </c>
      <c r="T214" s="118" t="e">
        <f t="shared" si="537"/>
        <v>#DIV/0!</v>
      </c>
      <c r="U214" s="128"/>
      <c r="V214" s="159" t="e">
        <f t="shared" ref="V214:AE214" si="581">V72/V201</f>
        <v>#DIV/0!</v>
      </c>
      <c r="W214" s="159" t="e">
        <f t="shared" si="581"/>
        <v>#DIV/0!</v>
      </c>
      <c r="X214" s="159" t="e">
        <f t="shared" si="581"/>
        <v>#DIV/0!</v>
      </c>
      <c r="Y214" s="159" t="e">
        <f t="shared" si="581"/>
        <v>#DIV/0!</v>
      </c>
      <c r="Z214" s="159" t="e">
        <f t="shared" si="581"/>
        <v>#DIV/0!</v>
      </c>
      <c r="AA214" s="159" t="e">
        <f t="shared" si="581"/>
        <v>#DIV/0!</v>
      </c>
      <c r="AB214" s="159" t="e">
        <f t="shared" si="581"/>
        <v>#DIV/0!</v>
      </c>
      <c r="AC214" s="159" t="e">
        <f t="shared" si="581"/>
        <v>#DIV/0!</v>
      </c>
      <c r="AD214" s="159" t="e">
        <f t="shared" si="581"/>
        <v>#DIV/0!</v>
      </c>
      <c r="AE214" s="159" t="e">
        <f t="shared" si="581"/>
        <v>#DIV/0!</v>
      </c>
      <c r="AF214" s="137" t="e">
        <f t="shared" ref="AF214" si="582">((AE214/I214)^(1/($AE$3-$J$1) ))-1</f>
        <v>#DIV/0!</v>
      </c>
      <c r="AG214" s="31">
        <f t="shared" ref="AG214" si="583">$N$1</f>
        <v>0.05</v>
      </c>
      <c r="AH214" s="127" t="e">
        <f t="shared" ref="AH214" si="584">(AE214*(1+AF214))/($C$1-AG214)</f>
        <v>#DIV/0!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5">G203</f>
        <v>0</v>
      </c>
      <c r="H215" s="179">
        <f t="shared" si="585"/>
        <v>0</v>
      </c>
      <c r="I215" s="179">
        <f t="shared" ref="I215:S215" si="586">I203</f>
        <v>0</v>
      </c>
      <c r="J215" s="179">
        <f t="shared" si="586"/>
        <v>0</v>
      </c>
      <c r="K215" s="179">
        <f t="shared" si="586"/>
        <v>0</v>
      </c>
      <c r="L215" s="179">
        <f t="shared" si="586"/>
        <v>0</v>
      </c>
      <c r="M215" s="179">
        <f t="shared" si="586"/>
        <v>0</v>
      </c>
      <c r="N215" s="179">
        <f t="shared" si="586"/>
        <v>20.343287015735712</v>
      </c>
      <c r="O215" s="179">
        <f t="shared" si="586"/>
        <v>14.522193670543684</v>
      </c>
      <c r="P215" s="179">
        <f t="shared" si="586"/>
        <v>10.917780594607052</v>
      </c>
      <c r="Q215" s="179" t="e">
        <f t="shared" si="586"/>
        <v>#DIV/0!</v>
      </c>
      <c r="R215" s="179" t="e">
        <f t="shared" si="586"/>
        <v>#DIV/0!</v>
      </c>
      <c r="S215" s="179" t="e">
        <f t="shared" si="586"/>
        <v>#DIV/0!</v>
      </c>
      <c r="T215" s="118" t="e">
        <f t="shared" si="537"/>
        <v>#DIV/0!</v>
      </c>
      <c r="U215" s="128"/>
      <c r="V215" s="150" t="e">
        <f t="shared" ref="V215:AE215" si="587">V203</f>
        <v>#DIV/0!</v>
      </c>
      <c r="W215" s="150" t="e">
        <f t="shared" si="587"/>
        <v>#DIV/0!</v>
      </c>
      <c r="X215" s="150" t="e">
        <f t="shared" si="587"/>
        <v>#DIV/0!</v>
      </c>
      <c r="Y215" s="150" t="e">
        <f t="shared" si="587"/>
        <v>#DIV/0!</v>
      </c>
      <c r="Z215" s="150" t="e">
        <f t="shared" si="587"/>
        <v>#DIV/0!</v>
      </c>
      <c r="AA215" s="150" t="e">
        <f t="shared" si="587"/>
        <v>#DIV/0!</v>
      </c>
      <c r="AB215" s="150" t="e">
        <f t="shared" si="587"/>
        <v>#DIV/0!</v>
      </c>
      <c r="AC215" s="150" t="e">
        <f t="shared" si="587"/>
        <v>#DIV/0!</v>
      </c>
      <c r="AD215" s="150" t="e">
        <f t="shared" si="587"/>
        <v>#DIV/0!</v>
      </c>
      <c r="AE215" s="150" t="e">
        <f t="shared" si="587"/>
        <v>#DIV/0!</v>
      </c>
      <c r="AF215" s="137" t="e">
        <f t="shared" ref="AF215" si="588">((AE215/I215)^(1/($AE$3-$J$1) ))-1</f>
        <v>#DIV/0!</v>
      </c>
      <c r="AG215" s="31">
        <f t="shared" ref="AG215:AG217" si="589">$N$1</f>
        <v>0.05</v>
      </c>
      <c r="AH215" s="179" t="e">
        <f>(AH202)/($N$2*100)</f>
        <v>#DIV/0!</v>
      </c>
    </row>
    <row r="216" spans="2:34">
      <c r="B216" s="20" t="s">
        <v>444</v>
      </c>
      <c r="C216" s="179"/>
      <c r="D216" s="179"/>
      <c r="E216" s="179"/>
      <c r="F216" s="179"/>
      <c r="G216" s="179">
        <f t="shared" ref="G216:H216" si="590">(G203)/($N$2*100)</f>
        <v>0</v>
      </c>
      <c r="H216" s="179">
        <f t="shared" si="590"/>
        <v>0</v>
      </c>
      <c r="I216" s="179">
        <f t="shared" ref="I216:S216" si="591">(I203)/($N$2*100)</f>
        <v>0</v>
      </c>
      <c r="J216" s="179">
        <f t="shared" si="591"/>
        <v>0</v>
      </c>
      <c r="K216" s="179">
        <f t="shared" si="591"/>
        <v>0</v>
      </c>
      <c r="L216" s="179">
        <f t="shared" si="591"/>
        <v>0</v>
      </c>
      <c r="M216" s="179">
        <f t="shared" si="591"/>
        <v>0</v>
      </c>
      <c r="N216" s="179">
        <f t="shared" si="591"/>
        <v>1.3562191343823808</v>
      </c>
      <c r="O216" s="179">
        <f t="shared" si="591"/>
        <v>0.96814624470291233</v>
      </c>
      <c r="P216" s="179">
        <f t="shared" si="591"/>
        <v>0.72785203964047018</v>
      </c>
      <c r="Q216" s="179" t="e">
        <f t="shared" si="591"/>
        <v>#DIV/0!</v>
      </c>
      <c r="R216" s="179" t="e">
        <f t="shared" si="591"/>
        <v>#DIV/0!</v>
      </c>
      <c r="S216" s="179" t="e">
        <f t="shared" si="591"/>
        <v>#DIV/0!</v>
      </c>
      <c r="T216" s="118" t="e">
        <f t="shared" si="537"/>
        <v>#DIV/0!</v>
      </c>
      <c r="U216" s="128"/>
      <c r="V216" s="179" t="e">
        <f t="shared" ref="V216:AE216" si="592">(V203)/($N$2*100)</f>
        <v>#DIV/0!</v>
      </c>
      <c r="W216" s="179" t="e">
        <f t="shared" si="592"/>
        <v>#DIV/0!</v>
      </c>
      <c r="X216" s="179" t="e">
        <f t="shared" si="592"/>
        <v>#DIV/0!</v>
      </c>
      <c r="Y216" s="179" t="e">
        <f t="shared" si="592"/>
        <v>#DIV/0!</v>
      </c>
      <c r="Z216" s="179" t="e">
        <f t="shared" si="592"/>
        <v>#DIV/0!</v>
      </c>
      <c r="AA216" s="179" t="e">
        <f t="shared" si="592"/>
        <v>#DIV/0!</v>
      </c>
      <c r="AB216" s="179" t="e">
        <f t="shared" si="592"/>
        <v>#DIV/0!</v>
      </c>
      <c r="AC216" s="179" t="e">
        <f t="shared" si="592"/>
        <v>#DIV/0!</v>
      </c>
      <c r="AD216" s="179" t="e">
        <f t="shared" si="592"/>
        <v>#DIV/0!</v>
      </c>
      <c r="AE216" s="179" t="e">
        <f t="shared" si="592"/>
        <v>#DIV/0!</v>
      </c>
      <c r="AF216" s="137" t="e">
        <f t="shared" si="575"/>
        <v>#DIV/0!</v>
      </c>
      <c r="AG216" s="31">
        <f t="shared" si="589"/>
        <v>0.05</v>
      </c>
      <c r="AH216" s="179" t="e">
        <f>(AH203)/($N$2*100)</f>
        <v>#DIV/0!</v>
      </c>
    </row>
    <row r="217" spans="2:34">
      <c r="B217" s="20" t="s">
        <v>445</v>
      </c>
      <c r="C217" s="150"/>
      <c r="D217" s="150"/>
      <c r="E217" s="150"/>
      <c r="F217" s="150"/>
      <c r="G217" s="150">
        <f t="shared" ref="G217:H217" si="593">G216-1</f>
        <v>-1</v>
      </c>
      <c r="H217" s="150">
        <f t="shared" si="593"/>
        <v>-1</v>
      </c>
      <c r="I217" s="150">
        <f t="shared" ref="I217:R217" si="594">I216-1</f>
        <v>-1</v>
      </c>
      <c r="J217" s="150">
        <f t="shared" si="594"/>
        <v>-1</v>
      </c>
      <c r="K217" s="150">
        <f t="shared" si="594"/>
        <v>-1</v>
      </c>
      <c r="L217" s="150">
        <f t="shared" si="594"/>
        <v>-1</v>
      </c>
      <c r="M217" s="150">
        <f t="shared" si="594"/>
        <v>-1</v>
      </c>
      <c r="N217" s="150">
        <f t="shared" si="594"/>
        <v>0.35621913438238084</v>
      </c>
      <c r="O217" s="150">
        <f t="shared" si="594"/>
        <v>-3.1853755297087671E-2</v>
      </c>
      <c r="P217" s="150">
        <f t="shared" si="594"/>
        <v>-0.27214796035952982</v>
      </c>
      <c r="Q217" s="150" t="e">
        <f t="shared" si="594"/>
        <v>#DIV/0!</v>
      </c>
      <c r="R217" s="150" t="e">
        <f t="shared" si="594"/>
        <v>#DIV/0!</v>
      </c>
      <c r="S217" s="150" t="e">
        <f>S216-1</f>
        <v>#DIV/0!</v>
      </c>
      <c r="T217" s="118" t="e">
        <f t="shared" si="537"/>
        <v>#DIV/0!</v>
      </c>
      <c r="U217" s="128"/>
      <c r="V217" s="150" t="e">
        <f t="shared" ref="V217:AE217" si="595">V216-1</f>
        <v>#DIV/0!</v>
      </c>
      <c r="W217" s="150" t="e">
        <f t="shared" si="595"/>
        <v>#DIV/0!</v>
      </c>
      <c r="X217" s="150" t="e">
        <f t="shared" si="595"/>
        <v>#DIV/0!</v>
      </c>
      <c r="Y217" s="150" t="e">
        <f t="shared" si="595"/>
        <v>#DIV/0!</v>
      </c>
      <c r="Z217" s="150" t="e">
        <f t="shared" si="595"/>
        <v>#DIV/0!</v>
      </c>
      <c r="AA217" s="150" t="e">
        <f t="shared" si="595"/>
        <v>#DIV/0!</v>
      </c>
      <c r="AB217" s="150" t="e">
        <f t="shared" si="595"/>
        <v>#DIV/0!</v>
      </c>
      <c r="AC217" s="150" t="e">
        <f t="shared" si="595"/>
        <v>#DIV/0!</v>
      </c>
      <c r="AD217" s="150" t="e">
        <f t="shared" si="595"/>
        <v>#DIV/0!</v>
      </c>
      <c r="AE217" s="150" t="e">
        <f t="shared" si="595"/>
        <v>#DIV/0!</v>
      </c>
      <c r="AF217" s="137" t="e">
        <f t="shared" ref="AF217" si="596">((AE217/I217)^(1/($AE$3-$J$1) ))-1</f>
        <v>#DIV/0!</v>
      </c>
      <c r="AG217" s="31">
        <f t="shared" si="589"/>
        <v>0.05</v>
      </c>
      <c r="AH217" s="179" t="e">
        <f>(AH204)/($N$2*100)</f>
        <v>#DIV/0!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473</v>
      </c>
      <c r="C219" s="150"/>
      <c r="D219" s="150"/>
      <c r="E219" s="150"/>
      <c r="F219" s="150"/>
      <c r="G219" s="150" t="e">
        <f t="shared" ref="G219:S219" si="597">1/G220</f>
        <v>#DIV/0!</v>
      </c>
      <c r="H219" s="150" t="e">
        <f t="shared" si="597"/>
        <v>#DIV/0!</v>
      </c>
      <c r="I219" s="150" t="e">
        <f t="shared" si="597"/>
        <v>#DIV/0!</v>
      </c>
      <c r="J219" s="150" t="e">
        <f t="shared" si="597"/>
        <v>#DIV/0!</v>
      </c>
      <c r="K219" s="150" t="e">
        <f t="shared" si="597"/>
        <v>#DIV/0!</v>
      </c>
      <c r="L219" s="150" t="e">
        <f t="shared" si="597"/>
        <v>#DIV/0!</v>
      </c>
      <c r="M219" s="150" t="e">
        <f t="shared" si="597"/>
        <v>#DIV/0!</v>
      </c>
      <c r="N219" s="150" t="e">
        <f t="shared" si="597"/>
        <v>#DIV/0!</v>
      </c>
      <c r="O219" s="150" t="e">
        <f t="shared" si="597"/>
        <v>#DIV/0!</v>
      </c>
      <c r="P219" s="150" t="e">
        <f t="shared" si="597"/>
        <v>#DIV/0!</v>
      </c>
      <c r="Q219" s="150" t="e">
        <f t="shared" si="597"/>
        <v>#DIV/0!</v>
      </c>
      <c r="R219" s="150" t="e">
        <f t="shared" si="597"/>
        <v>#DIV/0!</v>
      </c>
      <c r="S219" s="150" t="e">
        <f t="shared" si="597"/>
        <v>#DIV/0!</v>
      </c>
      <c r="T219" s="118" t="e">
        <f t="shared" si="537"/>
        <v>#DIV/0!</v>
      </c>
      <c r="U219" s="128"/>
      <c r="V219" s="150" t="e">
        <f t="shared" ref="V219:AE219" si="598">1/V220</f>
        <v>#DIV/0!</v>
      </c>
      <c r="W219" s="150" t="e">
        <f t="shared" si="598"/>
        <v>#DIV/0!</v>
      </c>
      <c r="X219" s="150" t="e">
        <f t="shared" si="598"/>
        <v>#DIV/0!</v>
      </c>
      <c r="Y219" s="150" t="e">
        <f t="shared" si="598"/>
        <v>#DIV/0!</v>
      </c>
      <c r="Z219" s="150" t="e">
        <f t="shared" si="598"/>
        <v>#DIV/0!</v>
      </c>
      <c r="AA219" s="150" t="e">
        <f t="shared" si="598"/>
        <v>#DIV/0!</v>
      </c>
      <c r="AB219" s="150" t="e">
        <f t="shared" si="598"/>
        <v>#DIV/0!</v>
      </c>
      <c r="AC219" s="150" t="e">
        <f t="shared" si="598"/>
        <v>#DIV/0!</v>
      </c>
      <c r="AD219" s="150" t="e">
        <f t="shared" si="598"/>
        <v>#DIV/0!</v>
      </c>
      <c r="AE219" s="150" t="e">
        <f t="shared" si="598"/>
        <v>#DIV/0!</v>
      </c>
      <c r="AF219" s="137" t="e">
        <f t="shared" ref="AF219" si="599">((AE219/I219)^(1/($AE$3-$J$1) ))-1</f>
        <v>#DIV/0!</v>
      </c>
      <c r="AG219" s="31">
        <f t="shared" ref="AG219:AG222" si="600">$N$1</f>
        <v>0.05</v>
      </c>
      <c r="AH219" s="179" t="e">
        <f>(AH206)/($N$2*100)</f>
        <v>#DIV/0!</v>
      </c>
    </row>
    <row r="220" spans="2:34">
      <c r="B220" s="20" t="s">
        <v>474</v>
      </c>
      <c r="C220" s="129"/>
      <c r="D220" s="129"/>
      <c r="E220" s="129"/>
      <c r="F220" s="129"/>
      <c r="G220" s="134" t="e">
        <f t="shared" ref="G220:H220" si="601">G201/$U$170</f>
        <v>#DIV/0!</v>
      </c>
      <c r="H220" s="134" t="e">
        <f t="shared" si="601"/>
        <v>#DIV/0!</v>
      </c>
      <c r="I220" s="134" t="e">
        <f t="shared" ref="I220:S220" si="602">I201/$U$170</f>
        <v>#DIV/0!</v>
      </c>
      <c r="J220" s="134" t="e">
        <f t="shared" si="602"/>
        <v>#DIV/0!</v>
      </c>
      <c r="K220" s="134" t="e">
        <f t="shared" si="602"/>
        <v>#DIV/0!</v>
      </c>
      <c r="L220" s="134" t="e">
        <f t="shared" si="602"/>
        <v>#DIV/0!</v>
      </c>
      <c r="M220" s="134" t="e">
        <f t="shared" si="602"/>
        <v>#DIV/0!</v>
      </c>
      <c r="N220" s="134" t="e">
        <f t="shared" si="602"/>
        <v>#DIV/0!</v>
      </c>
      <c r="O220" s="134" t="e">
        <f t="shared" si="602"/>
        <v>#DIV/0!</v>
      </c>
      <c r="P220" s="134" t="e">
        <f t="shared" si="602"/>
        <v>#DIV/0!</v>
      </c>
      <c r="Q220" s="134" t="e">
        <f t="shared" si="602"/>
        <v>#DIV/0!</v>
      </c>
      <c r="R220" s="134" t="e">
        <f t="shared" si="602"/>
        <v>#DIV/0!</v>
      </c>
      <c r="S220" s="134" t="e">
        <f t="shared" si="602"/>
        <v>#DIV/0!</v>
      </c>
      <c r="T220" s="118" t="e">
        <f t="shared" si="537"/>
        <v>#DIV/0!</v>
      </c>
      <c r="U220" s="128"/>
      <c r="V220" s="134" t="e">
        <f t="shared" ref="V220:AE220" si="603">V201/$U$170</f>
        <v>#DIV/0!</v>
      </c>
      <c r="W220" s="134" t="e">
        <f t="shared" si="603"/>
        <v>#DIV/0!</v>
      </c>
      <c r="X220" s="134" t="e">
        <f t="shared" si="603"/>
        <v>#DIV/0!</v>
      </c>
      <c r="Y220" s="134" t="e">
        <f t="shared" si="603"/>
        <v>#DIV/0!</v>
      </c>
      <c r="Z220" s="134" t="e">
        <f t="shared" si="603"/>
        <v>#DIV/0!</v>
      </c>
      <c r="AA220" s="134" t="e">
        <f t="shared" si="603"/>
        <v>#DIV/0!</v>
      </c>
      <c r="AB220" s="134" t="e">
        <f t="shared" si="603"/>
        <v>#DIV/0!</v>
      </c>
      <c r="AC220" s="134" t="e">
        <f t="shared" si="603"/>
        <v>#DIV/0!</v>
      </c>
      <c r="AD220" s="134" t="e">
        <f t="shared" si="603"/>
        <v>#DIV/0!</v>
      </c>
      <c r="AE220" s="134" t="e">
        <f t="shared" si="603"/>
        <v>#DIV/0!</v>
      </c>
      <c r="AF220" s="137" t="e">
        <f t="shared" ref="AF220:AF222" si="604">((AE220/I220)^(1/($AE$3-$J$1) ))-1</f>
        <v>#DIV/0!</v>
      </c>
      <c r="AG220" s="31">
        <f t="shared" si="600"/>
        <v>0.05</v>
      </c>
      <c r="AH220" s="179" t="e">
        <f>(AH206)/($N$2*100)</f>
        <v>#DIV/0!</v>
      </c>
    </row>
    <row r="221" spans="2:34">
      <c r="B221" s="20" t="s">
        <v>468</v>
      </c>
      <c r="C221" s="129"/>
      <c r="D221" s="129"/>
      <c r="E221" s="129"/>
      <c r="F221" s="129"/>
      <c r="G221" s="179" t="e">
        <f t="shared" ref="G221:H221" si="605">(G220)/($N$2*100)</f>
        <v>#DIV/0!</v>
      </c>
      <c r="H221" s="179" t="e">
        <f t="shared" si="605"/>
        <v>#DIV/0!</v>
      </c>
      <c r="I221" s="179" t="e">
        <f t="shared" ref="I221:S221" si="606">(I220)/($N$2*100)</f>
        <v>#DIV/0!</v>
      </c>
      <c r="J221" s="179" t="e">
        <f t="shared" si="606"/>
        <v>#DIV/0!</v>
      </c>
      <c r="K221" s="179" t="e">
        <f t="shared" si="606"/>
        <v>#DIV/0!</v>
      </c>
      <c r="L221" s="179" t="e">
        <f t="shared" si="606"/>
        <v>#DIV/0!</v>
      </c>
      <c r="M221" s="179" t="e">
        <f t="shared" si="606"/>
        <v>#DIV/0!</v>
      </c>
      <c r="N221" s="179" t="e">
        <f t="shared" si="606"/>
        <v>#DIV/0!</v>
      </c>
      <c r="O221" s="179" t="e">
        <f t="shared" si="606"/>
        <v>#DIV/0!</v>
      </c>
      <c r="P221" s="179" t="e">
        <f t="shared" si="606"/>
        <v>#DIV/0!</v>
      </c>
      <c r="Q221" s="179" t="e">
        <f t="shared" si="606"/>
        <v>#DIV/0!</v>
      </c>
      <c r="R221" s="179" t="e">
        <f t="shared" si="606"/>
        <v>#DIV/0!</v>
      </c>
      <c r="S221" s="179" t="e">
        <f t="shared" si="606"/>
        <v>#DIV/0!</v>
      </c>
      <c r="T221" s="118" t="e">
        <f t="shared" si="537"/>
        <v>#DIV/0!</v>
      </c>
      <c r="U221" s="128"/>
      <c r="V221" s="179" t="e">
        <f t="shared" ref="V221:AE221" si="607">(V220)/($N$2*100)</f>
        <v>#DIV/0!</v>
      </c>
      <c r="W221" s="179" t="e">
        <f t="shared" si="607"/>
        <v>#DIV/0!</v>
      </c>
      <c r="X221" s="179" t="e">
        <f t="shared" si="607"/>
        <v>#DIV/0!</v>
      </c>
      <c r="Y221" s="179" t="e">
        <f t="shared" si="607"/>
        <v>#DIV/0!</v>
      </c>
      <c r="Z221" s="179" t="e">
        <f t="shared" si="607"/>
        <v>#DIV/0!</v>
      </c>
      <c r="AA221" s="179" t="e">
        <f t="shared" si="607"/>
        <v>#DIV/0!</v>
      </c>
      <c r="AB221" s="179" t="e">
        <f t="shared" si="607"/>
        <v>#DIV/0!</v>
      </c>
      <c r="AC221" s="179" t="e">
        <f t="shared" si="607"/>
        <v>#DIV/0!</v>
      </c>
      <c r="AD221" s="179" t="e">
        <f t="shared" si="607"/>
        <v>#DIV/0!</v>
      </c>
      <c r="AE221" s="179" t="e">
        <f t="shared" si="607"/>
        <v>#DIV/0!</v>
      </c>
      <c r="AF221" s="137" t="e">
        <f t="shared" si="604"/>
        <v>#DIV/0!</v>
      </c>
      <c r="AG221" s="31">
        <f t="shared" si="600"/>
        <v>0.05</v>
      </c>
      <c r="AH221" s="179" t="e">
        <f>(AH207)/($N$2*100)</f>
        <v>#DIV/0!</v>
      </c>
    </row>
    <row r="222" spans="2:34">
      <c r="B222" s="20" t="s">
        <v>469</v>
      </c>
      <c r="C222" s="129"/>
      <c r="D222" s="129"/>
      <c r="E222" s="129"/>
      <c r="F222" s="129"/>
      <c r="G222" s="150" t="e">
        <f t="shared" ref="G222:H222" si="608">G221-1</f>
        <v>#DIV/0!</v>
      </c>
      <c r="H222" s="150" t="e">
        <f t="shared" si="608"/>
        <v>#DIV/0!</v>
      </c>
      <c r="I222" s="150" t="e">
        <f t="shared" ref="I222:S222" si="609">I221-1</f>
        <v>#DIV/0!</v>
      </c>
      <c r="J222" s="150" t="e">
        <f t="shared" si="609"/>
        <v>#DIV/0!</v>
      </c>
      <c r="K222" s="150" t="e">
        <f t="shared" si="609"/>
        <v>#DIV/0!</v>
      </c>
      <c r="L222" s="150" t="e">
        <f t="shared" si="609"/>
        <v>#DIV/0!</v>
      </c>
      <c r="M222" s="150" t="e">
        <f t="shared" si="609"/>
        <v>#DIV/0!</v>
      </c>
      <c r="N222" s="150" t="e">
        <f t="shared" si="609"/>
        <v>#DIV/0!</v>
      </c>
      <c r="O222" s="150" t="e">
        <f t="shared" si="609"/>
        <v>#DIV/0!</v>
      </c>
      <c r="P222" s="150" t="e">
        <f t="shared" si="609"/>
        <v>#DIV/0!</v>
      </c>
      <c r="Q222" s="150" t="e">
        <f t="shared" si="609"/>
        <v>#DIV/0!</v>
      </c>
      <c r="R222" s="150" t="e">
        <f t="shared" si="609"/>
        <v>#DIV/0!</v>
      </c>
      <c r="S222" s="150" t="e">
        <f t="shared" si="609"/>
        <v>#DIV/0!</v>
      </c>
      <c r="T222" s="118" t="e">
        <f t="shared" si="537"/>
        <v>#DIV/0!</v>
      </c>
      <c r="U222" s="128"/>
      <c r="V222" s="150" t="e">
        <f t="shared" ref="V222:AE222" si="610">V221-1</f>
        <v>#DIV/0!</v>
      </c>
      <c r="W222" s="150" t="e">
        <f t="shared" si="610"/>
        <v>#DIV/0!</v>
      </c>
      <c r="X222" s="150" t="e">
        <f t="shared" si="610"/>
        <v>#DIV/0!</v>
      </c>
      <c r="Y222" s="150" t="e">
        <f t="shared" si="610"/>
        <v>#DIV/0!</v>
      </c>
      <c r="Z222" s="150" t="e">
        <f t="shared" si="610"/>
        <v>#DIV/0!</v>
      </c>
      <c r="AA222" s="150" t="e">
        <f t="shared" si="610"/>
        <v>#DIV/0!</v>
      </c>
      <c r="AB222" s="150" t="e">
        <f t="shared" si="610"/>
        <v>#DIV/0!</v>
      </c>
      <c r="AC222" s="150" t="e">
        <f t="shared" si="610"/>
        <v>#DIV/0!</v>
      </c>
      <c r="AD222" s="150" t="e">
        <f t="shared" si="610"/>
        <v>#DIV/0!</v>
      </c>
      <c r="AE222" s="150" t="e">
        <f t="shared" si="610"/>
        <v>#DIV/0!</v>
      </c>
      <c r="AF222" s="137" t="e">
        <f t="shared" si="604"/>
        <v>#DIV/0!</v>
      </c>
      <c r="AG222" s="31">
        <f t="shared" si="600"/>
        <v>0.05</v>
      </c>
      <c r="AH222" s="179" t="e">
        <f>(AH208)/($N$2*100)</f>
        <v>#DIV/0!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473</v>
      </c>
      <c r="C224" s="129"/>
      <c r="D224" s="129"/>
      <c r="E224" s="129"/>
      <c r="F224" s="129"/>
      <c r="G224" s="150" t="e">
        <f t="shared" ref="G224:S224" si="611">1/G225</f>
        <v>#DIV/0!</v>
      </c>
      <c r="H224" s="150" t="e">
        <f t="shared" si="611"/>
        <v>#DIV/0!</v>
      </c>
      <c r="I224" s="150" t="e">
        <f t="shared" si="611"/>
        <v>#DIV/0!</v>
      </c>
      <c r="J224" s="150" t="e">
        <f t="shared" si="611"/>
        <v>#DIV/0!</v>
      </c>
      <c r="K224" s="150" t="e">
        <f t="shared" si="611"/>
        <v>#DIV/0!</v>
      </c>
      <c r="L224" s="150" t="e">
        <f t="shared" si="611"/>
        <v>#DIV/0!</v>
      </c>
      <c r="M224" s="150" t="e">
        <f t="shared" si="611"/>
        <v>#DIV/0!</v>
      </c>
      <c r="N224" s="150" t="e">
        <f t="shared" si="611"/>
        <v>#DIV/0!</v>
      </c>
      <c r="O224" s="150" t="e">
        <f t="shared" si="611"/>
        <v>#DIV/0!</v>
      </c>
      <c r="P224" s="150" t="e">
        <f t="shared" si="611"/>
        <v>#DIV/0!</v>
      </c>
      <c r="Q224" s="150" t="e">
        <f t="shared" si="611"/>
        <v>#DIV/0!</v>
      </c>
      <c r="R224" s="150" t="e">
        <f t="shared" si="611"/>
        <v>#DIV/0!</v>
      </c>
      <c r="S224" s="150" t="e">
        <f t="shared" si="611"/>
        <v>#DIV/0!</v>
      </c>
      <c r="T224" s="118" t="e">
        <f t="shared" si="537"/>
        <v>#DIV/0!</v>
      </c>
      <c r="U224" s="128"/>
      <c r="V224" s="150" t="e">
        <f t="shared" ref="V224:AE224" si="612">1/V225</f>
        <v>#DIV/0!</v>
      </c>
      <c r="W224" s="150" t="e">
        <f t="shared" si="612"/>
        <v>#DIV/0!</v>
      </c>
      <c r="X224" s="150" t="e">
        <f t="shared" si="612"/>
        <v>#DIV/0!</v>
      </c>
      <c r="Y224" s="150" t="e">
        <f t="shared" si="612"/>
        <v>#DIV/0!</v>
      </c>
      <c r="Z224" s="150" t="e">
        <f t="shared" si="612"/>
        <v>#DIV/0!</v>
      </c>
      <c r="AA224" s="150" t="e">
        <f t="shared" si="612"/>
        <v>#DIV/0!</v>
      </c>
      <c r="AB224" s="150" t="e">
        <f t="shared" si="612"/>
        <v>#DIV/0!</v>
      </c>
      <c r="AC224" s="150" t="e">
        <f t="shared" si="612"/>
        <v>#DIV/0!</v>
      </c>
      <c r="AD224" s="150" t="e">
        <f t="shared" si="612"/>
        <v>#DIV/0!</v>
      </c>
      <c r="AE224" s="150" t="e">
        <f t="shared" si="612"/>
        <v>#DIV/0!</v>
      </c>
      <c r="AF224" s="137" t="e">
        <f t="shared" ref="AF224" si="613">((AE224/I224)^(1/($AE$3-$J$1) ))-1</f>
        <v>#DIV/0!</v>
      </c>
      <c r="AG224" s="31">
        <f t="shared" ref="AG224" si="614">$N$1</f>
        <v>0.05</v>
      </c>
      <c r="AH224" s="179">
        <f>(AH210)/($N$2*100)</f>
        <v>0</v>
      </c>
    </row>
    <row r="225" spans="2:48">
      <c r="B225" s="20" t="s">
        <v>475</v>
      </c>
      <c r="C225" s="129"/>
      <c r="D225" s="129"/>
      <c r="E225" s="129"/>
      <c r="F225" s="129"/>
      <c r="G225" s="134" t="e">
        <f t="shared" ref="G225:H225" si="615">G201/$S$170</f>
        <v>#DIV/0!</v>
      </c>
      <c r="H225" s="134" t="e">
        <f t="shared" si="615"/>
        <v>#DIV/0!</v>
      </c>
      <c r="I225" s="134" t="e">
        <f t="shared" ref="I225:S225" si="616">I201/$S$170</f>
        <v>#DIV/0!</v>
      </c>
      <c r="J225" s="134" t="e">
        <f t="shared" si="616"/>
        <v>#DIV/0!</v>
      </c>
      <c r="K225" s="134" t="e">
        <f t="shared" si="616"/>
        <v>#DIV/0!</v>
      </c>
      <c r="L225" s="134" t="e">
        <f t="shared" si="616"/>
        <v>#DIV/0!</v>
      </c>
      <c r="M225" s="134" t="e">
        <f t="shared" si="616"/>
        <v>#DIV/0!</v>
      </c>
      <c r="N225" s="134" t="e">
        <f t="shared" si="616"/>
        <v>#DIV/0!</v>
      </c>
      <c r="O225" s="134" t="e">
        <f t="shared" si="616"/>
        <v>#DIV/0!</v>
      </c>
      <c r="P225" s="134" t="e">
        <f t="shared" si="616"/>
        <v>#DIV/0!</v>
      </c>
      <c r="Q225" s="134" t="e">
        <f t="shared" si="616"/>
        <v>#DIV/0!</v>
      </c>
      <c r="R225" s="134" t="e">
        <f t="shared" si="616"/>
        <v>#DIV/0!</v>
      </c>
      <c r="S225" s="134" t="e">
        <f t="shared" si="616"/>
        <v>#DIV/0!</v>
      </c>
      <c r="T225" s="118" t="e">
        <f t="shared" si="537"/>
        <v>#DIV/0!</v>
      </c>
      <c r="U225" s="128"/>
      <c r="V225" s="134" t="e">
        <f t="shared" ref="V225:AE225" si="617">V201/$S$170</f>
        <v>#DIV/0!</v>
      </c>
      <c r="W225" s="134" t="e">
        <f t="shared" si="617"/>
        <v>#DIV/0!</v>
      </c>
      <c r="X225" s="134" t="e">
        <f t="shared" si="617"/>
        <v>#DIV/0!</v>
      </c>
      <c r="Y225" s="134" t="e">
        <f t="shared" si="617"/>
        <v>#DIV/0!</v>
      </c>
      <c r="Z225" s="134" t="e">
        <f t="shared" si="617"/>
        <v>#DIV/0!</v>
      </c>
      <c r="AA225" s="134" t="e">
        <f t="shared" si="617"/>
        <v>#DIV/0!</v>
      </c>
      <c r="AB225" s="134" t="e">
        <f t="shared" si="617"/>
        <v>#DIV/0!</v>
      </c>
      <c r="AC225" s="134" t="e">
        <f t="shared" si="617"/>
        <v>#DIV/0!</v>
      </c>
      <c r="AD225" s="134" t="e">
        <f t="shared" si="617"/>
        <v>#DIV/0!</v>
      </c>
      <c r="AE225" s="134" t="e">
        <f t="shared" si="617"/>
        <v>#DIV/0!</v>
      </c>
      <c r="AF225" s="137" t="e">
        <f t="shared" ref="AF225:AF227" si="618">((AE225/I225)^(1/($AE$3-$J$1) ))-1</f>
        <v>#DIV/0!</v>
      </c>
      <c r="AG225" s="31">
        <f t="shared" ref="AG225:AG227" si="619">$N$1</f>
        <v>0.05</v>
      </c>
      <c r="AH225" s="179">
        <f>(AH210)/($N$2*100)</f>
        <v>0</v>
      </c>
    </row>
    <row r="226" spans="2:48">
      <c r="B226" s="20" t="s">
        <v>468</v>
      </c>
      <c r="C226" s="129"/>
      <c r="D226" s="129"/>
      <c r="E226" s="129"/>
      <c r="F226" s="129"/>
      <c r="G226" s="179" t="e">
        <f t="shared" ref="G226:H226" si="620">(G225)/($N$2*100)</f>
        <v>#DIV/0!</v>
      </c>
      <c r="H226" s="179" t="e">
        <f t="shared" si="620"/>
        <v>#DIV/0!</v>
      </c>
      <c r="I226" s="179" t="e">
        <f t="shared" ref="I226:S226" si="621">(I225)/($N$2*100)</f>
        <v>#DIV/0!</v>
      </c>
      <c r="J226" s="179" t="e">
        <f t="shared" si="621"/>
        <v>#DIV/0!</v>
      </c>
      <c r="K226" s="179" t="e">
        <f t="shared" si="621"/>
        <v>#DIV/0!</v>
      </c>
      <c r="L226" s="179" t="e">
        <f t="shared" si="621"/>
        <v>#DIV/0!</v>
      </c>
      <c r="M226" s="179" t="e">
        <f t="shared" si="621"/>
        <v>#DIV/0!</v>
      </c>
      <c r="N226" s="179" t="e">
        <f t="shared" si="621"/>
        <v>#DIV/0!</v>
      </c>
      <c r="O226" s="179" t="e">
        <f t="shared" si="621"/>
        <v>#DIV/0!</v>
      </c>
      <c r="P226" s="179" t="e">
        <f t="shared" si="621"/>
        <v>#DIV/0!</v>
      </c>
      <c r="Q226" s="179" t="e">
        <f t="shared" si="621"/>
        <v>#DIV/0!</v>
      </c>
      <c r="R226" s="179" t="e">
        <f t="shared" si="621"/>
        <v>#DIV/0!</v>
      </c>
      <c r="S226" s="179" t="e">
        <f t="shared" si="621"/>
        <v>#DIV/0!</v>
      </c>
      <c r="T226" s="118" t="e">
        <f t="shared" si="537"/>
        <v>#DIV/0!</v>
      </c>
      <c r="U226" s="128"/>
      <c r="V226" s="179" t="e">
        <f t="shared" ref="V226:AE226" si="622">(V225)/($N$2*100)</f>
        <v>#DIV/0!</v>
      </c>
      <c r="W226" s="179" t="e">
        <f t="shared" si="622"/>
        <v>#DIV/0!</v>
      </c>
      <c r="X226" s="179" t="e">
        <f t="shared" si="622"/>
        <v>#DIV/0!</v>
      </c>
      <c r="Y226" s="179" t="e">
        <f t="shared" si="622"/>
        <v>#DIV/0!</v>
      </c>
      <c r="Z226" s="179" t="e">
        <f t="shared" si="622"/>
        <v>#DIV/0!</v>
      </c>
      <c r="AA226" s="179" t="e">
        <f t="shared" si="622"/>
        <v>#DIV/0!</v>
      </c>
      <c r="AB226" s="179" t="e">
        <f t="shared" si="622"/>
        <v>#DIV/0!</v>
      </c>
      <c r="AC226" s="179" t="e">
        <f t="shared" si="622"/>
        <v>#DIV/0!</v>
      </c>
      <c r="AD226" s="179" t="e">
        <f t="shared" si="622"/>
        <v>#DIV/0!</v>
      </c>
      <c r="AE226" s="179" t="e">
        <f t="shared" si="622"/>
        <v>#DIV/0!</v>
      </c>
      <c r="AF226" s="137" t="e">
        <f t="shared" si="618"/>
        <v>#DIV/0!</v>
      </c>
      <c r="AG226" s="31">
        <f t="shared" si="619"/>
        <v>0.05</v>
      </c>
      <c r="AH226" s="179" t="e">
        <f>(#REF!)/($N$2*100)</f>
        <v>#REF!</v>
      </c>
    </row>
    <row r="227" spans="2:48">
      <c r="B227" s="20" t="s">
        <v>469</v>
      </c>
      <c r="C227" s="129"/>
      <c r="D227" s="129"/>
      <c r="E227" s="129"/>
      <c r="F227" s="129"/>
      <c r="G227" s="150" t="e">
        <f t="shared" ref="G227:H227" si="623">G226-1</f>
        <v>#DIV/0!</v>
      </c>
      <c r="H227" s="150" t="e">
        <f t="shared" si="623"/>
        <v>#DIV/0!</v>
      </c>
      <c r="I227" s="150" t="e">
        <f t="shared" ref="I227:S227" si="624">I226-1</f>
        <v>#DIV/0!</v>
      </c>
      <c r="J227" s="150" t="e">
        <f t="shared" si="624"/>
        <v>#DIV/0!</v>
      </c>
      <c r="K227" s="150" t="e">
        <f t="shared" si="624"/>
        <v>#DIV/0!</v>
      </c>
      <c r="L227" s="150" t="e">
        <f t="shared" si="624"/>
        <v>#DIV/0!</v>
      </c>
      <c r="M227" s="150" t="e">
        <f t="shared" si="624"/>
        <v>#DIV/0!</v>
      </c>
      <c r="N227" s="150" t="e">
        <f t="shared" si="624"/>
        <v>#DIV/0!</v>
      </c>
      <c r="O227" s="150" t="e">
        <f t="shared" si="624"/>
        <v>#DIV/0!</v>
      </c>
      <c r="P227" s="150" t="e">
        <f t="shared" si="624"/>
        <v>#DIV/0!</v>
      </c>
      <c r="Q227" s="150" t="e">
        <f t="shared" si="624"/>
        <v>#DIV/0!</v>
      </c>
      <c r="R227" s="150" t="e">
        <f t="shared" si="624"/>
        <v>#DIV/0!</v>
      </c>
      <c r="S227" s="150" t="e">
        <f t="shared" si="624"/>
        <v>#DIV/0!</v>
      </c>
      <c r="T227" s="118" t="e">
        <f t="shared" si="537"/>
        <v>#DIV/0!</v>
      </c>
      <c r="U227" s="128"/>
      <c r="V227" s="150" t="e">
        <f t="shared" ref="V227:AE227" si="625">V226-1</f>
        <v>#DIV/0!</v>
      </c>
      <c r="W227" s="150" t="e">
        <f t="shared" si="625"/>
        <v>#DIV/0!</v>
      </c>
      <c r="X227" s="150" t="e">
        <f t="shared" si="625"/>
        <v>#DIV/0!</v>
      </c>
      <c r="Y227" s="150" t="e">
        <f t="shared" si="625"/>
        <v>#DIV/0!</v>
      </c>
      <c r="Z227" s="150" t="e">
        <f t="shared" si="625"/>
        <v>#DIV/0!</v>
      </c>
      <c r="AA227" s="150" t="e">
        <f t="shared" si="625"/>
        <v>#DIV/0!</v>
      </c>
      <c r="AB227" s="150" t="e">
        <f t="shared" si="625"/>
        <v>#DIV/0!</v>
      </c>
      <c r="AC227" s="150" t="e">
        <f t="shared" si="625"/>
        <v>#DIV/0!</v>
      </c>
      <c r="AD227" s="150" t="e">
        <f t="shared" si="625"/>
        <v>#DIV/0!</v>
      </c>
      <c r="AE227" s="150" t="e">
        <f t="shared" si="625"/>
        <v>#DIV/0!</v>
      </c>
      <c r="AF227" s="137" t="e">
        <f t="shared" si="618"/>
        <v>#DIV/0!</v>
      </c>
      <c r="AG227" s="31">
        <f t="shared" si="619"/>
        <v>0.05</v>
      </c>
      <c r="AH227" s="179" t="e">
        <f>(AH211)/($N$2*100)</f>
        <v>#DIV/0!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6" t="s">
        <v>349</v>
      </c>
      <c r="N229" s="217"/>
      <c r="O229" s="20"/>
      <c r="P229" s="20"/>
      <c r="Q229" s="20"/>
      <c r="R229" s="108" t="s">
        <v>428</v>
      </c>
      <c r="S229" s="108" t="s">
        <v>427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350</v>
      </c>
      <c r="N230" s="22">
        <v>1</v>
      </c>
      <c r="O230" s="20"/>
      <c r="P230" s="20"/>
      <c r="Q230" s="20"/>
      <c r="R230" s="128" t="e">
        <f>(S201-U188)/S201</f>
        <v>#DIV/0!</v>
      </c>
      <c r="S230" s="128" t="e">
        <f>(S201-V188)/S201</f>
        <v>#DIV/0!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 t="e">
        <f>(R201-(M231*U179))/R201</f>
        <v>#DIV/0!</v>
      </c>
      <c r="P231" s="20"/>
      <c r="Q231" s="20"/>
      <c r="R231" s="128" t="e">
        <f>(S201-U179)/S201</f>
        <v>#DIV/0!</v>
      </c>
      <c r="S231" s="128" t="e">
        <f>(S201-V179)/S201</f>
        <v>#DIV/0!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 t="e">
        <f>(R201-(M232*U172))/R201</f>
        <v>#DIV/0!</v>
      </c>
      <c r="P232" s="20"/>
      <c r="Q232" s="20"/>
      <c r="R232" s="128" t="e">
        <f>(S201-U172)/S201</f>
        <v>#DIV/0!</v>
      </c>
      <c r="S232" s="128" t="e">
        <f>(S201-V172)/S201</f>
        <v>#DIV/0!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 t="e">
        <f>(R201-(M233*U185))/R201</f>
        <v>#DIV/0!</v>
      </c>
      <c r="P233" s="20"/>
      <c r="Q233" s="20"/>
      <c r="R233" s="128" t="e">
        <f>(S201-U185)/S201</f>
        <v>#DIV/0!</v>
      </c>
      <c r="S233" s="128" t="e">
        <f>(S201-V185)/S201</f>
        <v>#DIV/0!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 t="e">
        <f>(R201-(M234*U198))/R201</f>
        <v>#DIV/0!</v>
      </c>
      <c r="P234" s="20"/>
      <c r="Q234" s="20"/>
      <c r="R234" s="128" t="e">
        <f>(S201-U198)/S201</f>
        <v>#DIV/0!</v>
      </c>
      <c r="S234" s="128" t="e">
        <f>(S201-V198)/S201</f>
        <v>#DIV/0!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 t="e">
        <f>S201/U171</f>
        <v>#DIV/0!</v>
      </c>
      <c r="S235" s="25" t="e">
        <f>S201/V171</f>
        <v>#DIV/0!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405</v>
      </c>
      <c r="AG235" s="115" t="s">
        <v>406</v>
      </c>
      <c r="AH235" s="115" t="s">
        <v>407</v>
      </c>
      <c r="AI235" s="115" t="s">
        <v>408</v>
      </c>
      <c r="AJ235" s="115" t="s">
        <v>409</v>
      </c>
      <c r="AK235" s="115" t="s">
        <v>410</v>
      </c>
      <c r="AL235" s="115" t="s">
        <v>411</v>
      </c>
      <c r="AM235" s="115" t="s">
        <v>412</v>
      </c>
      <c r="AN235" s="115" t="s">
        <v>413</v>
      </c>
      <c r="AO235" s="115" t="s">
        <v>414</v>
      </c>
      <c r="AP235" s="115" t="s">
        <v>415</v>
      </c>
      <c r="AQ235" s="115" t="s">
        <v>416</v>
      </c>
      <c r="AR235" s="115" t="s">
        <v>417</v>
      </c>
      <c r="AS235" s="115" t="s">
        <v>418</v>
      </c>
      <c r="AT235" s="115" t="s">
        <v>419</v>
      </c>
      <c r="AU235" s="115" t="s">
        <v>420</v>
      </c>
      <c r="AV235" s="115" t="s">
        <v>421</v>
      </c>
    </row>
    <row r="236" spans="2:48">
      <c r="B236" s="20" t="s">
        <v>369</v>
      </c>
      <c r="C236" s="20"/>
      <c r="D236" s="20"/>
      <c r="E236" s="20"/>
      <c r="F236" s="20"/>
      <c r="G236" s="20"/>
      <c r="H236" s="20"/>
      <c r="I236" s="187" t="s">
        <v>446</v>
      </c>
      <c r="J236" s="188"/>
      <c r="K236" s="187" t="s">
        <v>447</v>
      </c>
      <c r="L236" s="188"/>
      <c r="M236" s="20"/>
      <c r="N236" s="187" t="s">
        <v>448</v>
      </c>
      <c r="O236" s="188"/>
      <c r="P236" s="187" t="s">
        <v>449</v>
      </c>
      <c r="Q236" s="188"/>
      <c r="R236" s="150" t="e">
        <f>1/R235</f>
        <v>#DIV/0!</v>
      </c>
      <c r="S236" s="150" t="e">
        <f>1/S235</f>
        <v>#DIV/0!</v>
      </c>
      <c r="T236" s="20"/>
      <c r="U236" s="20"/>
      <c r="V236" s="129" t="e">
        <f>S201-V237</f>
        <v>#DIV/0!</v>
      </c>
      <c r="W236" s="183" t="e">
        <f>V236-W237</f>
        <v>#DIV/0!</v>
      </c>
      <c r="X236" s="183" t="e">
        <f t="shared" ref="X236:Z236" si="626">W236-X237</f>
        <v>#DIV/0!</v>
      </c>
      <c r="Y236" s="183" t="e">
        <f t="shared" si="626"/>
        <v>#DIV/0!</v>
      </c>
      <c r="Z236" s="183" t="e">
        <f t="shared" si="626"/>
        <v>#DIV/0!</v>
      </c>
      <c r="AA236" s="183" t="e">
        <f>Z236-AA237</f>
        <v>#DIV/0!</v>
      </c>
      <c r="AB236" s="183" t="e">
        <f t="shared" ref="AB236:AE236" si="627">AA236-AB237</f>
        <v>#DIV/0!</v>
      </c>
      <c r="AC236" s="183" t="e">
        <f t="shared" si="627"/>
        <v>#DIV/0!</v>
      </c>
      <c r="AD236" s="183" t="e">
        <f t="shared" si="627"/>
        <v>#DIV/0!</v>
      </c>
      <c r="AE236" s="183" t="e">
        <f t="shared" si="627"/>
        <v>#DIV/0!</v>
      </c>
      <c r="AF236" s="183" t="e">
        <f t="shared" ref="AF236" si="628">AE236-AF237</f>
        <v>#DIV/0!</v>
      </c>
      <c r="AG236" s="183" t="e">
        <f t="shared" ref="AG236" si="629">AF236-AG237</f>
        <v>#DIV/0!</v>
      </c>
      <c r="AH236" s="183" t="e">
        <f t="shared" ref="AH236" si="630">AG236-AH237</f>
        <v>#DIV/0!</v>
      </c>
      <c r="AI236" s="183" t="e">
        <f t="shared" ref="AI236" si="631">AH236-AI237</f>
        <v>#DIV/0!</v>
      </c>
      <c r="AJ236" s="183" t="e">
        <f t="shared" ref="AJ236" si="632">AI236-AJ237</f>
        <v>#DIV/0!</v>
      </c>
      <c r="AK236" s="183" t="e">
        <f t="shared" ref="AK236" si="633">AJ236-AK237</f>
        <v>#DIV/0!</v>
      </c>
      <c r="AL236" s="183" t="e">
        <f t="shared" ref="AL236" si="634">AK236-AL237</f>
        <v>#DIV/0!</v>
      </c>
      <c r="AM236" s="183" t="e">
        <f t="shared" ref="AM236" si="635">AL236-AM237</f>
        <v>#DIV/0!</v>
      </c>
      <c r="AN236" s="183" t="e">
        <f t="shared" ref="AN236" si="636">AM236-AN237</f>
        <v>#DIV/0!</v>
      </c>
      <c r="AO236" s="183" t="e">
        <f t="shared" ref="AO236" si="637">AN236-AO237</f>
        <v>#DIV/0!</v>
      </c>
      <c r="AP236" s="183" t="e">
        <f t="shared" ref="AP236" si="638">AO236-AP237</f>
        <v>#DIV/0!</v>
      </c>
      <c r="AQ236" s="183" t="e">
        <f t="shared" ref="AQ236" si="639">AP236-AQ237</f>
        <v>#DIV/0!</v>
      </c>
      <c r="AR236" s="183" t="e">
        <f t="shared" ref="AR236" si="640">AQ236-AR237</f>
        <v>#DIV/0!</v>
      </c>
      <c r="AS236" s="183" t="e">
        <f t="shared" ref="AS236" si="641">AR236-AS237</f>
        <v>#DIV/0!</v>
      </c>
      <c r="AT236" s="183" t="e">
        <f t="shared" ref="AT236" si="642">AS236-AT237</f>
        <v>#DIV/0!</v>
      </c>
      <c r="AU236" s="183" t="e">
        <f t="shared" ref="AU236" si="643">AT236-AU237</f>
        <v>#DIV/0!</v>
      </c>
      <c r="AV236" s="183" t="e">
        <f t="shared" ref="AV236" si="644">AU236-AV237</f>
        <v>#DIV/0!</v>
      </c>
    </row>
    <row r="237" spans="2:48">
      <c r="B237" s="20" t="s">
        <v>394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 t="e">
        <f>S201/U170</f>
        <v>#DIV/0!</v>
      </c>
      <c r="S237" s="179" t="s">
        <v>467</v>
      </c>
      <c r="T237" s="20"/>
      <c r="U237" s="20"/>
      <c r="V237" s="184" t="e">
        <f>T170*(1+$M$237)</f>
        <v>#DIV/0!</v>
      </c>
      <c r="W237" s="184" t="e">
        <f>V237*(1+$M$237)</f>
        <v>#DIV/0!</v>
      </c>
      <c r="X237" s="184" t="e">
        <f t="shared" ref="X237:AE237" si="645">W237*(1+$M$237)</f>
        <v>#DIV/0!</v>
      </c>
      <c r="Y237" s="184" t="e">
        <f t="shared" si="645"/>
        <v>#DIV/0!</v>
      </c>
      <c r="Z237" s="184" t="e">
        <f t="shared" si="645"/>
        <v>#DIV/0!</v>
      </c>
      <c r="AA237" s="184" t="e">
        <f t="shared" si="645"/>
        <v>#DIV/0!</v>
      </c>
      <c r="AB237" s="184" t="e">
        <f t="shared" si="645"/>
        <v>#DIV/0!</v>
      </c>
      <c r="AC237" s="184" t="e">
        <f t="shared" si="645"/>
        <v>#DIV/0!</v>
      </c>
      <c r="AD237" s="184" t="e">
        <f t="shared" si="645"/>
        <v>#DIV/0!</v>
      </c>
      <c r="AE237" s="184" t="e">
        <f t="shared" si="645"/>
        <v>#DIV/0!</v>
      </c>
      <c r="AF237" s="184" t="e">
        <f t="shared" ref="AF237" si="646">AE237*(1+$M$237)</f>
        <v>#DIV/0!</v>
      </c>
      <c r="AG237" s="184" t="e">
        <f t="shared" ref="AG237" si="647">AF237*(1+$M$237)</f>
        <v>#DIV/0!</v>
      </c>
      <c r="AH237" s="184" t="e">
        <f t="shared" ref="AH237" si="648">AG237*(1+$M$237)</f>
        <v>#DIV/0!</v>
      </c>
      <c r="AI237" s="184" t="e">
        <f t="shared" ref="AI237" si="649">AH237*(1+$M$237)</f>
        <v>#DIV/0!</v>
      </c>
      <c r="AJ237" s="184" t="e">
        <f t="shared" ref="AJ237" si="650">AI237*(1+$M$237)</f>
        <v>#DIV/0!</v>
      </c>
      <c r="AK237" s="184" t="e">
        <f t="shared" ref="AK237" si="651">AJ237*(1+$M$237)</f>
        <v>#DIV/0!</v>
      </c>
      <c r="AL237" s="184" t="e">
        <f t="shared" ref="AL237" si="652">AK237*(1+$M$237)</f>
        <v>#DIV/0!</v>
      </c>
      <c r="AM237" s="184" t="e">
        <f t="shared" ref="AM237" si="653">AL237*(1+$M$237)</f>
        <v>#DIV/0!</v>
      </c>
      <c r="AN237" s="184" t="e">
        <f t="shared" ref="AN237" si="654">AM237*(1+$M$237)</f>
        <v>#DIV/0!</v>
      </c>
      <c r="AO237" s="184" t="e">
        <f t="shared" ref="AO237" si="655">AN237*(1+$M$237)</f>
        <v>#DIV/0!</v>
      </c>
      <c r="AP237" s="184" t="e">
        <f t="shared" ref="AP237" si="656">AO237*(1+$M$237)</f>
        <v>#DIV/0!</v>
      </c>
      <c r="AQ237" s="184" t="e">
        <f t="shared" ref="AQ237" si="657">AP237*(1+$M$237)</f>
        <v>#DIV/0!</v>
      </c>
      <c r="AR237" s="184" t="e">
        <f t="shared" ref="AR237" si="658">AQ237*(1+$M$237)</f>
        <v>#DIV/0!</v>
      </c>
      <c r="AS237" s="184" t="e">
        <f t="shared" ref="AS237" si="659">AR237*(1+$M$237)</f>
        <v>#DIV/0!</v>
      </c>
      <c r="AT237" s="184" t="e">
        <f t="shared" ref="AT237" si="660">AS237*(1+$M$237)</f>
        <v>#DIV/0!</v>
      </c>
      <c r="AU237" s="184" t="e">
        <f t="shared" ref="AU237" si="661">AT237*(1+$M$237)</f>
        <v>#DIV/0!</v>
      </c>
      <c r="AV237" s="184" t="e">
        <f t="shared" ref="AV237" si="662">AU237*(1+$M$237)</f>
        <v>#DIV/0!</v>
      </c>
    </row>
    <row r="238" spans="2:48">
      <c r="B238" s="20" t="s">
        <v>393</v>
      </c>
      <c r="C238" s="20"/>
      <c r="D238" s="20"/>
      <c r="E238" s="23" t="s">
        <v>389</v>
      </c>
      <c r="F238" s="23"/>
      <c r="G238" s="23"/>
      <c r="H238" s="22"/>
      <c r="I238" s="189">
        <v>0</v>
      </c>
      <c r="J238" s="190" t="e">
        <f>S203</f>
        <v>#DIV/0!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466</v>
      </c>
      <c r="R238" s="179" t="e">
        <f>S201/S72</f>
        <v>#DIV/0!</v>
      </c>
      <c r="S238" s="179" t="s">
        <v>467</v>
      </c>
      <c r="T238" s="20"/>
      <c r="U238" s="20"/>
      <c r="V238" s="184" t="e">
        <f>S72*(1+$M$238)</f>
        <v>#DIV/0!</v>
      </c>
      <c r="W238" s="184" t="e">
        <f>V238*(1+$M$238)</f>
        <v>#DIV/0!</v>
      </c>
      <c r="X238" s="184" t="e">
        <f t="shared" ref="X238:AE238" si="663">W238*(1+$M$238)</f>
        <v>#DIV/0!</v>
      </c>
      <c r="Y238" s="184" t="e">
        <f t="shared" si="663"/>
        <v>#DIV/0!</v>
      </c>
      <c r="Z238" s="184" t="e">
        <f t="shared" si="663"/>
        <v>#DIV/0!</v>
      </c>
      <c r="AA238" s="184" t="e">
        <f t="shared" si="663"/>
        <v>#DIV/0!</v>
      </c>
      <c r="AB238" s="184" t="e">
        <f t="shared" si="663"/>
        <v>#DIV/0!</v>
      </c>
      <c r="AC238" s="184" t="e">
        <f t="shared" si="663"/>
        <v>#DIV/0!</v>
      </c>
      <c r="AD238" s="184" t="e">
        <f t="shared" si="663"/>
        <v>#DIV/0!</v>
      </c>
      <c r="AE238" s="184" t="e">
        <f t="shared" si="663"/>
        <v>#DIV/0!</v>
      </c>
      <c r="AF238" s="184" t="e">
        <f t="shared" ref="AF238" si="664">AE238*(1+$M$238)</f>
        <v>#DIV/0!</v>
      </c>
      <c r="AG238" s="184" t="e">
        <f t="shared" ref="AG238" si="665">AF238*(1+$M$238)</f>
        <v>#DIV/0!</v>
      </c>
      <c r="AH238" s="184" t="e">
        <f t="shared" ref="AH238" si="666">AG238*(1+$M$238)</f>
        <v>#DIV/0!</v>
      </c>
      <c r="AI238" s="184" t="e">
        <f t="shared" ref="AI238" si="667">AH238*(1+$M$238)</f>
        <v>#DIV/0!</v>
      </c>
      <c r="AJ238" s="184" t="e">
        <f t="shared" ref="AJ238" si="668">AI238*(1+$M$238)</f>
        <v>#DIV/0!</v>
      </c>
      <c r="AK238" s="184" t="e">
        <f t="shared" ref="AK238" si="669">AJ238*(1+$M$238)</f>
        <v>#DIV/0!</v>
      </c>
      <c r="AL238" s="184" t="e">
        <f t="shared" ref="AL238" si="670">AK238*(1+$M$238)</f>
        <v>#DIV/0!</v>
      </c>
      <c r="AM238" s="184" t="e">
        <f t="shared" ref="AM238" si="671">AL238*(1+$M$238)</f>
        <v>#DIV/0!</v>
      </c>
      <c r="AN238" s="184" t="e">
        <f t="shared" ref="AN238" si="672">AM238*(1+$M$238)</f>
        <v>#DIV/0!</v>
      </c>
      <c r="AO238" s="184" t="e">
        <f t="shared" ref="AO238" si="673">AN238*(1+$M$238)</f>
        <v>#DIV/0!</v>
      </c>
      <c r="AP238" s="184" t="e">
        <f t="shared" ref="AP238" si="674">AO238*(1+$M$238)</f>
        <v>#DIV/0!</v>
      </c>
      <c r="AQ238" s="184" t="e">
        <f t="shared" ref="AQ238" si="675">AP238*(1+$M$238)</f>
        <v>#DIV/0!</v>
      </c>
      <c r="AR238" s="184" t="e">
        <f t="shared" ref="AR238" si="676">AQ238*(1+$M$238)</f>
        <v>#DIV/0!</v>
      </c>
      <c r="AS238" s="184" t="e">
        <f t="shared" ref="AS238" si="677">AR238*(1+$M$238)</f>
        <v>#DIV/0!</v>
      </c>
      <c r="AT238" s="184" t="e">
        <f t="shared" ref="AT238" si="678">AS238*(1+$M$238)</f>
        <v>#DIV/0!</v>
      </c>
      <c r="AU238" s="184" t="e">
        <f t="shared" ref="AU238" si="679">AT238*(1+$M$238)</f>
        <v>#DIV/0!</v>
      </c>
      <c r="AV238" s="184" t="e">
        <f t="shared" ref="AV238" si="680">AU238*(1+$M$238)</f>
        <v>#DIV/0!</v>
      </c>
    </row>
    <row r="239" spans="2:48">
      <c r="B239" s="20"/>
      <c r="C239" s="20"/>
      <c r="D239" s="20"/>
      <c r="E239" s="23" t="s">
        <v>452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 t="e">
        <f>S201-V238</f>
        <v>#DIV/0!</v>
      </c>
      <c r="W239" s="183" t="e">
        <f>V239-W238</f>
        <v>#DIV/0!</v>
      </c>
      <c r="X239" s="183" t="e">
        <f t="shared" ref="X239:AC239" si="681">W239-X238</f>
        <v>#DIV/0!</v>
      </c>
      <c r="Y239" s="183" t="e">
        <f t="shared" si="681"/>
        <v>#DIV/0!</v>
      </c>
      <c r="Z239" s="183" t="e">
        <f t="shared" si="681"/>
        <v>#DIV/0!</v>
      </c>
      <c r="AA239" s="183" t="e">
        <f t="shared" si="681"/>
        <v>#DIV/0!</v>
      </c>
      <c r="AB239" s="183" t="e">
        <f t="shared" si="681"/>
        <v>#DIV/0!</v>
      </c>
      <c r="AC239" s="183" t="e">
        <f t="shared" si="681"/>
        <v>#DIV/0!</v>
      </c>
      <c r="AD239" s="183" t="e">
        <f>AC239-AD238</f>
        <v>#DIV/0!</v>
      </c>
      <c r="AE239" s="183" t="e">
        <f t="shared" ref="AE239" si="682">AD239-AE238</f>
        <v>#DIV/0!</v>
      </c>
      <c r="AF239" s="183" t="e">
        <f t="shared" ref="AF239" si="683">AE239-AF238</f>
        <v>#DIV/0!</v>
      </c>
      <c r="AG239" s="183" t="e">
        <f t="shared" ref="AG239" si="684">AF239-AG238</f>
        <v>#DIV/0!</v>
      </c>
      <c r="AH239" s="183" t="e">
        <f t="shared" ref="AH239" si="685">AG239-AH238</f>
        <v>#DIV/0!</v>
      </c>
      <c r="AI239" s="183" t="e">
        <f t="shared" ref="AI239" si="686">AH239-AI238</f>
        <v>#DIV/0!</v>
      </c>
      <c r="AJ239" s="183" t="e">
        <f t="shared" ref="AJ239" si="687">AI239-AJ238</f>
        <v>#DIV/0!</v>
      </c>
      <c r="AK239" s="183" t="e">
        <f t="shared" ref="AK239" si="688">AJ239-AK238</f>
        <v>#DIV/0!</v>
      </c>
      <c r="AL239" s="183" t="e">
        <f t="shared" ref="AL239" si="689">AK239-AL238</f>
        <v>#DIV/0!</v>
      </c>
      <c r="AM239" s="183" t="e">
        <f t="shared" ref="AM239" si="690">AL239-AM238</f>
        <v>#DIV/0!</v>
      </c>
      <c r="AN239" s="183" t="e">
        <f t="shared" ref="AN239" si="691">AM239-AN238</f>
        <v>#DIV/0!</v>
      </c>
      <c r="AO239" s="183" t="e">
        <f t="shared" ref="AO239" si="692">AN239-AO238</f>
        <v>#DIV/0!</v>
      </c>
      <c r="AP239" s="183" t="e">
        <f t="shared" ref="AP239" si="693">AO239-AP238</f>
        <v>#DIV/0!</v>
      </c>
      <c r="AQ239" s="183" t="e">
        <f t="shared" ref="AQ239" si="694">AP239-AQ238</f>
        <v>#DIV/0!</v>
      </c>
      <c r="AR239" s="183" t="e">
        <f t="shared" ref="AR239" si="695">AQ239-AR238</f>
        <v>#DIV/0!</v>
      </c>
      <c r="AS239" s="183" t="e">
        <f t="shared" ref="AS239" si="696">AR239-AS238</f>
        <v>#DIV/0!</v>
      </c>
      <c r="AT239" s="183" t="e">
        <f t="shared" ref="AT239" si="697">AS239-AT238</f>
        <v>#DIV/0!</v>
      </c>
      <c r="AU239" s="183" t="e">
        <f t="shared" ref="AU239" si="698">AT239-AU238</f>
        <v>#DIV/0!</v>
      </c>
      <c r="AV239" s="183" t="e">
        <f t="shared" ref="AV239" si="699">AU239-AV238</f>
        <v>#DIV/0!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700">G10/G7</f>
        <v>0.26028668660410437</v>
      </c>
      <c r="H241" s="25">
        <f t="shared" si="700"/>
        <v>0.21805478948336091</v>
      </c>
      <c r="I241" s="25">
        <f t="shared" ref="I241:S241" si="701">I10/I7</f>
        <v>0.16744555153866503</v>
      </c>
      <c r="J241" s="25">
        <f t="shared" si="701"/>
        <v>0.13007744586691955</v>
      </c>
      <c r="K241" s="25">
        <f t="shared" si="701"/>
        <v>9.2862776025236599E-2</v>
      </c>
      <c r="L241" s="25">
        <f t="shared" si="701"/>
        <v>0.1053560918187169</v>
      </c>
      <c r="M241" s="25">
        <f t="shared" si="701"/>
        <v>7.6488706365503076E-2</v>
      </c>
      <c r="N241" s="25">
        <f t="shared" si="701"/>
        <v>4.1003782193672331E-2</v>
      </c>
      <c r="O241" s="25">
        <f t="shared" si="701"/>
        <v>3.2951820631349965E-2</v>
      </c>
      <c r="P241" s="25">
        <f t="shared" si="701"/>
        <v>2.2240102329227785E-2</v>
      </c>
      <c r="Q241" s="25">
        <f t="shared" si="701"/>
        <v>0.88055372134704268</v>
      </c>
      <c r="R241" s="25">
        <f t="shared" si="701"/>
        <v>1.0333556365078185</v>
      </c>
      <c r="S241" s="25" t="e">
        <f t="shared" si="701"/>
        <v>#DIV/0!</v>
      </c>
      <c r="T241" s="118">
        <f t="shared" ref="T241:T243" si="702">((R241/I241)^(1/($J$2-$J$1) ))-1</f>
        <v>0.16376336933383873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703">G10/G12</f>
        <v>2.2800361336946704</v>
      </c>
      <c r="H242" s="112">
        <f t="shared" si="703"/>
        <v>0.93680884676145337</v>
      </c>
      <c r="I242" s="112">
        <f t="shared" ref="I242:S242" si="704">I10/I12</f>
        <v>0.66329025497729655</v>
      </c>
      <c r="J242" s="112">
        <f t="shared" si="704"/>
        <v>0.4415236051502146</v>
      </c>
      <c r="K242" s="112">
        <f t="shared" si="704"/>
        <v>8.9881207957635614E-2</v>
      </c>
      <c r="L242" s="112">
        <f t="shared" si="704"/>
        <v>7.2337846029500913E-2</v>
      </c>
      <c r="M242" s="112">
        <f t="shared" si="704"/>
        <v>5.3383150783089361E-2</v>
      </c>
      <c r="N242" s="112">
        <f t="shared" si="704"/>
        <v>2.9821420774571016E-2</v>
      </c>
      <c r="O242" s="112">
        <f t="shared" si="704"/>
        <v>2.2902993024294698E-2</v>
      </c>
      <c r="P242" s="112">
        <f t="shared" si="704"/>
        <v>1.7321164599267306E-2</v>
      </c>
      <c r="Q242" s="112">
        <f t="shared" si="704"/>
        <v>0.71272595392162474</v>
      </c>
      <c r="R242" s="112">
        <f t="shared" si="704"/>
        <v>0.78541023129661725</v>
      </c>
      <c r="S242" s="112" t="e">
        <f t="shared" si="704"/>
        <v>#DIV/0!</v>
      </c>
      <c r="T242" s="118">
        <f t="shared" si="702"/>
        <v>1.4182419982382566E-2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5">G10/(G12+G13)</f>
        <v>0.20654664484451718</v>
      </c>
      <c r="H243" s="25">
        <f t="shared" si="705"/>
        <v>0.15508336057535141</v>
      </c>
      <c r="I243" s="25">
        <f t="shared" ref="I243:S243" si="706">I10/(I12+I13)</f>
        <v>0.14114761409246321</v>
      </c>
      <c r="J243" s="25">
        <f t="shared" si="706"/>
        <v>0.16387893269613699</v>
      </c>
      <c r="K243" s="25">
        <f t="shared" si="706"/>
        <v>8.3076109004321372E-2</v>
      </c>
      <c r="L243" s="25">
        <f t="shared" si="706"/>
        <v>6.8848360524375776E-2</v>
      </c>
      <c r="M243" s="25">
        <f t="shared" si="706"/>
        <v>5.1687397789781458E-2</v>
      </c>
      <c r="N243" s="25">
        <f t="shared" si="706"/>
        <v>2.9145063901512728E-2</v>
      </c>
      <c r="O243" s="25">
        <f t="shared" si="706"/>
        <v>2.2149111875446555E-2</v>
      </c>
      <c r="P243" s="25">
        <f t="shared" si="706"/>
        <v>1.6679560575584094E-2</v>
      </c>
      <c r="Q243" s="25">
        <f t="shared" si="706"/>
        <v>0.67918728172293363</v>
      </c>
      <c r="R243" s="25">
        <f t="shared" si="706"/>
        <v>0.75896399839831097</v>
      </c>
      <c r="S243" s="25" t="e">
        <f t="shared" si="706"/>
        <v>#DIV/0!</v>
      </c>
      <c r="T243" s="118">
        <f t="shared" si="702"/>
        <v>0.15047972512827479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3" t="s">
        <v>335</v>
      </c>
      <c r="O246" s="214"/>
      <c r="P246" s="215"/>
      <c r="Q246" s="23" t="s">
        <v>338</v>
      </c>
      <c r="R246" s="20"/>
      <c r="S246" s="136"/>
      <c r="T246" s="213" t="s">
        <v>336</v>
      </c>
      <c r="U246" s="214"/>
      <c r="V246" s="215"/>
      <c r="W246" s="23" t="s">
        <v>338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337</v>
      </c>
      <c r="D247" s="164" t="s">
        <v>0</v>
      </c>
      <c r="E247" s="164" t="s">
        <v>376</v>
      </c>
      <c r="F247" s="164"/>
      <c r="G247" s="164"/>
      <c r="H247" s="164" t="s">
        <v>377</v>
      </c>
      <c r="I247" s="164" t="s">
        <v>378</v>
      </c>
      <c r="J247" s="164" t="s">
        <v>379</v>
      </c>
      <c r="K247" s="164" t="s">
        <v>380</v>
      </c>
      <c r="L247" s="164" t="s">
        <v>381</v>
      </c>
      <c r="M247" s="20"/>
      <c r="N247" s="164" t="s">
        <v>337</v>
      </c>
      <c r="O247" s="164"/>
      <c r="P247" s="164" t="s">
        <v>0</v>
      </c>
      <c r="Q247" s="164" t="s">
        <v>370</v>
      </c>
      <c r="R247" s="20"/>
      <c r="S247" s="20"/>
      <c r="T247" s="164" t="s">
        <v>337</v>
      </c>
      <c r="U247" s="164"/>
      <c r="V247" s="164" t="s">
        <v>0</v>
      </c>
      <c r="W247" s="164" t="s">
        <v>370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339</v>
      </c>
      <c r="D248" s="21">
        <v>1</v>
      </c>
      <c r="E248" s="174" t="s">
        <v>382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339</v>
      </c>
      <c r="O248" s="165"/>
      <c r="P248" s="21">
        <v>1</v>
      </c>
      <c r="Q248" s="171">
        <f>P248</f>
        <v>1</v>
      </c>
      <c r="R248" s="20"/>
      <c r="S248" s="20"/>
      <c r="T248" s="165" t="s">
        <v>339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340</v>
      </c>
      <c r="D249" s="21">
        <v>1</v>
      </c>
      <c r="E249" s="174" t="s">
        <v>383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340</v>
      </c>
      <c r="O249" s="165"/>
      <c r="P249" s="21">
        <v>1</v>
      </c>
      <c r="Q249" s="171">
        <f>P249</f>
        <v>1</v>
      </c>
      <c r="R249" s="20"/>
      <c r="S249" s="20"/>
      <c r="T249" s="165" t="s">
        <v>340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342</v>
      </c>
      <c r="D250" s="166">
        <f>D248*D249</f>
        <v>1</v>
      </c>
      <c r="E250" s="174" t="s">
        <v>395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341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342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453</v>
      </c>
      <c r="F251" s="174"/>
      <c r="G251" s="174"/>
      <c r="H251" s="22">
        <v>0</v>
      </c>
      <c r="I251" s="22">
        <v>1</v>
      </c>
      <c r="J251" s="165">
        <f t="shared" ref="J251:J254" si="707">H251/I251</f>
        <v>0</v>
      </c>
      <c r="K251" s="165">
        <f t="shared" ref="K251:K253" si="708">J251*L250</f>
        <v>0</v>
      </c>
      <c r="L251" s="165">
        <f t="shared" ref="L251:L253" si="709">K251+L250</f>
        <v>2</v>
      </c>
      <c r="M251" s="20"/>
      <c r="N251" s="165" t="s">
        <v>343</v>
      </c>
      <c r="O251" s="165"/>
      <c r="P251" s="21">
        <v>1</v>
      </c>
      <c r="Q251" s="21">
        <v>1</v>
      </c>
      <c r="R251" s="20"/>
      <c r="S251" s="20"/>
      <c r="T251" s="165" t="s">
        <v>343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454</v>
      </c>
      <c r="F252" s="174"/>
      <c r="G252" s="174"/>
      <c r="H252" s="22">
        <v>0</v>
      </c>
      <c r="I252" s="22">
        <v>1</v>
      </c>
      <c r="J252" s="165">
        <f t="shared" si="707"/>
        <v>0</v>
      </c>
      <c r="K252" s="165">
        <f t="shared" si="708"/>
        <v>0</v>
      </c>
      <c r="L252" s="165">
        <f t="shared" si="709"/>
        <v>2</v>
      </c>
      <c r="M252" s="20"/>
      <c r="N252" s="165" t="s">
        <v>344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340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455</v>
      </c>
      <c r="F253" s="174"/>
      <c r="G253" s="174"/>
      <c r="H253" s="22">
        <v>0</v>
      </c>
      <c r="I253" s="22">
        <v>1</v>
      </c>
      <c r="J253" s="165">
        <f t="shared" si="707"/>
        <v>0</v>
      </c>
      <c r="K253" s="165">
        <f t="shared" si="708"/>
        <v>0</v>
      </c>
      <c r="L253" s="165">
        <f t="shared" si="709"/>
        <v>2</v>
      </c>
      <c r="M253" s="20"/>
      <c r="N253" s="165"/>
      <c r="O253" s="165"/>
      <c r="P253" s="166"/>
      <c r="Q253" s="166"/>
      <c r="R253" s="20"/>
      <c r="S253" s="20"/>
      <c r="T253" s="165" t="s">
        <v>342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384</v>
      </c>
      <c r="F254" s="174"/>
      <c r="G254" s="174"/>
      <c r="H254" s="22">
        <v>10</v>
      </c>
      <c r="I254" s="22">
        <v>2</v>
      </c>
      <c r="J254" s="165">
        <f t="shared" si="707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456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345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345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343</v>
      </c>
      <c r="D256" s="21">
        <v>1</v>
      </c>
      <c r="E256" s="174"/>
      <c r="F256" s="174"/>
      <c r="G256" s="174"/>
      <c r="H256" s="165"/>
      <c r="I256" s="165"/>
      <c r="J256" s="167" t="s">
        <v>385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340</v>
      </c>
      <c r="D257" s="21">
        <v>1</v>
      </c>
      <c r="E257" s="174" t="s">
        <v>384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342</v>
      </c>
      <c r="D258" s="166">
        <f>D257*D256</f>
        <v>1</v>
      </c>
      <c r="E258" s="165"/>
      <c r="F258" s="165"/>
      <c r="G258" s="165"/>
      <c r="H258" s="165"/>
      <c r="I258" s="165"/>
      <c r="J258" s="167" t="s">
        <v>385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384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345</v>
      </c>
      <c r="D260" s="168">
        <f>D258/D250</f>
        <v>1</v>
      </c>
      <c r="E260" s="174"/>
      <c r="F260" s="174"/>
      <c r="G260" s="174"/>
      <c r="H260" s="165"/>
      <c r="I260" s="165"/>
      <c r="J260" s="167" t="s">
        <v>385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6" t="s">
        <v>27</v>
      </c>
      <c r="E263" s="207"/>
      <c r="F263" s="207"/>
      <c r="G263" s="207"/>
      <c r="H263" s="207"/>
      <c r="I263" s="208"/>
      <c r="J263" s="20"/>
      <c r="K263" s="206" t="s">
        <v>390</v>
      </c>
      <c r="L263" s="207"/>
      <c r="M263" s="20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/>
      <c r="I264" s="21">
        <f>D250</f>
        <v>1</v>
      </c>
      <c r="J264" s="20"/>
      <c r="K264" s="20" t="s">
        <v>28</v>
      </c>
      <c r="L264" s="127"/>
      <c r="M264" s="21">
        <f>I264</f>
        <v>1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/>
      <c r="I265" s="21">
        <f>D258</f>
        <v>1</v>
      </c>
      <c r="J265" s="20"/>
      <c r="K265" s="20" t="s">
        <v>29</v>
      </c>
      <c r="L265" s="20"/>
      <c r="M265" s="21">
        <f>I265</f>
        <v>1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0"/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/>
      <c r="I267" s="3">
        <f>((I265/I264)^(1/I266))-1</f>
        <v>0</v>
      </c>
      <c r="J267" s="20"/>
      <c r="K267" s="23" t="s">
        <v>391</v>
      </c>
      <c r="L267" s="23"/>
      <c r="M267" s="191">
        <f>(M265-M264)/M264</f>
        <v>0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/>
      <c r="I268" s="24">
        <f>I266*12</f>
        <v>120</v>
      </c>
      <c r="J268" s="20"/>
      <c r="K268" s="23" t="s">
        <v>392</v>
      </c>
      <c r="L268" s="23"/>
      <c r="M268" s="23">
        <f>M265/M264</f>
        <v>1</v>
      </c>
    </row>
    <row r="269" spans="2:34">
      <c r="B269" s="20"/>
      <c r="C269" s="20"/>
      <c r="D269" s="20" t="s">
        <v>30</v>
      </c>
      <c r="E269" s="25"/>
      <c r="F269" s="25"/>
      <c r="G269" s="25"/>
      <c r="H269" s="25"/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/>
      <c r="I270" s="3">
        <f>((I265/I264)^(1/I269))-1</f>
        <v>0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429</v>
      </c>
      <c r="C3" s="225"/>
      <c r="F3" s="224" t="s">
        <v>430</v>
      </c>
      <c r="G3" s="225"/>
    </row>
    <row r="4" spans="2:7">
      <c r="B4" s="186" t="s">
        <v>431</v>
      </c>
      <c r="C4" s="186"/>
      <c r="F4" s="186" t="s">
        <v>432</v>
      </c>
      <c r="G4" s="186"/>
    </row>
    <row r="5" spans="2:7">
      <c r="B5" s="186" t="s">
        <v>433</v>
      </c>
      <c r="C5" s="186"/>
      <c r="F5" s="186" t="s">
        <v>291</v>
      </c>
      <c r="G5" s="186"/>
    </row>
    <row r="6" spans="2:7">
      <c r="B6" s="186" t="s">
        <v>434</v>
      </c>
      <c r="C6" s="186"/>
      <c r="F6" s="186" t="s">
        <v>435</v>
      </c>
      <c r="G6" s="186"/>
    </row>
    <row r="7" spans="2:7">
      <c r="B7" s="186" t="s">
        <v>436</v>
      </c>
      <c r="C7" s="186"/>
      <c r="F7" s="186" t="s">
        <v>437</v>
      </c>
      <c r="G7" s="186"/>
    </row>
    <row r="8" spans="2:7">
      <c r="B8" s="186" t="s">
        <v>438</v>
      </c>
      <c r="C8" s="186"/>
      <c r="F8" s="186" t="s">
        <v>439</v>
      </c>
      <c r="G8" s="186"/>
    </row>
    <row r="9" spans="2:7">
      <c r="B9" s="186" t="s">
        <v>440</v>
      </c>
      <c r="C9" s="186"/>
      <c r="F9" s="186" t="s">
        <v>441</v>
      </c>
      <c r="G9" s="186"/>
    </row>
    <row r="10" spans="2:7">
      <c r="B10" s="186" t="s">
        <v>439</v>
      </c>
      <c r="C10" s="186"/>
      <c r="F10" s="186"/>
      <c r="G10" s="186"/>
    </row>
    <row r="11" spans="2:7">
      <c r="B11" s="186" t="s">
        <v>442</v>
      </c>
      <c r="C11" s="186"/>
      <c r="F11" s="186"/>
      <c r="G11" s="186"/>
    </row>
    <row r="12" spans="2:7">
      <c r="B12" s="186" t="s">
        <v>443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2016-04-03T05:46:27Z</dcterms:modified>
</cp:coreProperties>
</file>
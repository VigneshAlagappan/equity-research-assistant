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Q114" i="18"/>
  <c r="C114"/>
  <c r="D114"/>
  <c r="E114"/>
  <c r="F114"/>
  <c r="C115"/>
  <c r="D115"/>
  <c r="E115"/>
  <c r="F115"/>
  <c r="C116"/>
  <c r="D116"/>
  <c r="E116"/>
  <c r="F116"/>
  <c r="H116"/>
  <c r="I116"/>
  <c r="J116"/>
  <c r="K116"/>
  <c r="L116"/>
  <c r="M116"/>
  <c r="N116"/>
  <c r="O116"/>
  <c r="P116"/>
  <c r="Q116" s="1"/>
  <c r="G116"/>
  <c r="H115"/>
  <c r="I115"/>
  <c r="J115"/>
  <c r="K115"/>
  <c r="L115"/>
  <c r="M115"/>
  <c r="N115"/>
  <c r="O115"/>
  <c r="P115"/>
  <c r="G115"/>
  <c r="H114"/>
  <c r="I114"/>
  <c r="J114"/>
  <c r="K114"/>
  <c r="L114"/>
  <c r="M114"/>
  <c r="N114"/>
  <c r="O114"/>
  <c r="P114"/>
  <c r="G114"/>
  <c r="H41"/>
  <c r="I41"/>
  <c r="J41"/>
  <c r="K41"/>
  <c r="L41"/>
  <c r="M41"/>
  <c r="N41"/>
  <c r="O41"/>
  <c r="P41"/>
  <c r="C41"/>
  <c r="D41"/>
  <c r="E41"/>
  <c r="F41"/>
  <c r="G41"/>
  <c r="Q41" s="1"/>
  <c r="S41"/>
  <c r="T41" s="1"/>
  <c r="U41" s="1"/>
  <c r="V41" s="1"/>
  <c r="W41" s="1"/>
  <c r="X41" s="1"/>
  <c r="Y41" s="1"/>
  <c r="Z41" s="1"/>
  <c r="AA41" s="1"/>
  <c r="AB41" s="1"/>
  <c r="G43"/>
  <c r="H40"/>
  <c r="I40"/>
  <c r="J40"/>
  <c r="K40"/>
  <c r="L40"/>
  <c r="M40"/>
  <c r="N40"/>
  <c r="O40"/>
  <c r="P40"/>
  <c r="S40" s="1"/>
  <c r="T40" s="1"/>
  <c r="U40" s="1"/>
  <c r="V40" s="1"/>
  <c r="W40" s="1"/>
  <c r="X40" s="1"/>
  <c r="Y40" s="1"/>
  <c r="Z40" s="1"/>
  <c r="AA40" s="1"/>
  <c r="AB40" s="1"/>
  <c r="C40"/>
  <c r="D40"/>
  <c r="E40"/>
  <c r="F40"/>
  <c r="G40"/>
  <c r="P36"/>
  <c r="O36"/>
  <c r="N36"/>
  <c r="M36"/>
  <c r="L36"/>
  <c r="K36"/>
  <c r="J36"/>
  <c r="I36"/>
  <c r="H36"/>
  <c r="P34"/>
  <c r="O34"/>
  <c r="N34"/>
  <c r="M34"/>
  <c r="L34"/>
  <c r="K34"/>
  <c r="J34"/>
  <c r="I34"/>
  <c r="H34"/>
  <c r="P28"/>
  <c r="O28"/>
  <c r="N28"/>
  <c r="M28"/>
  <c r="L28"/>
  <c r="K28"/>
  <c r="J28"/>
  <c r="I28"/>
  <c r="H28"/>
  <c r="P26"/>
  <c r="O26"/>
  <c r="N26"/>
  <c r="M26"/>
  <c r="L26"/>
  <c r="K26"/>
  <c r="J26"/>
  <c r="I26"/>
  <c r="H26"/>
  <c r="P12"/>
  <c r="O12"/>
  <c r="N12"/>
  <c r="M12"/>
  <c r="L12"/>
  <c r="K12"/>
  <c r="J12"/>
  <c r="I12"/>
  <c r="H12"/>
  <c r="I9"/>
  <c r="J9"/>
  <c r="K9"/>
  <c r="L9"/>
  <c r="M9"/>
  <c r="N9"/>
  <c r="O9"/>
  <c r="P9"/>
  <c r="H9"/>
  <c r="Q37"/>
  <c r="S33"/>
  <c r="T33" s="1"/>
  <c r="U33" s="1"/>
  <c r="V33" s="1"/>
  <c r="Q33"/>
  <c r="Q115" l="1"/>
  <c r="Q40"/>
  <c r="AC41"/>
  <c r="AE41" s="1"/>
  <c r="AC40"/>
  <c r="AE40" s="1"/>
  <c r="Q29"/>
  <c r="Q31"/>
  <c r="I65" l="1"/>
  <c r="J65"/>
  <c r="K65"/>
  <c r="L65"/>
  <c r="M65"/>
  <c r="N65"/>
  <c r="O65"/>
  <c r="P65"/>
  <c r="I66"/>
  <c r="J66"/>
  <c r="K66"/>
  <c r="L66"/>
  <c r="M66"/>
  <c r="N66"/>
  <c r="O66"/>
  <c r="P66"/>
  <c r="I60"/>
  <c r="I62" s="1"/>
  <c r="J60"/>
  <c r="J62" s="1"/>
  <c r="K60"/>
  <c r="K62" s="1"/>
  <c r="L60"/>
  <c r="L62" s="1"/>
  <c r="M60"/>
  <c r="M62" s="1"/>
  <c r="N60"/>
  <c r="N62" s="1"/>
  <c r="O60"/>
  <c r="O62" s="1"/>
  <c r="P60"/>
  <c r="P62" s="1"/>
  <c r="I63"/>
  <c r="J63"/>
  <c r="K63"/>
  <c r="L63"/>
  <c r="M63"/>
  <c r="N63"/>
  <c r="O63"/>
  <c r="P63"/>
  <c r="I64"/>
  <c r="J64"/>
  <c r="K64"/>
  <c r="L64"/>
  <c r="M64"/>
  <c r="N64"/>
  <c r="O64"/>
  <c r="P64"/>
  <c r="C63"/>
  <c r="D63"/>
  <c r="E63"/>
  <c r="F63"/>
  <c r="G63"/>
  <c r="C64"/>
  <c r="D64"/>
  <c r="E64"/>
  <c r="F64"/>
  <c r="G64"/>
  <c r="C65"/>
  <c r="D65"/>
  <c r="E65"/>
  <c r="F65"/>
  <c r="G65"/>
  <c r="C66"/>
  <c r="D66"/>
  <c r="E66"/>
  <c r="F66"/>
  <c r="G66"/>
  <c r="H66"/>
  <c r="H65"/>
  <c r="S23"/>
  <c r="T23" s="1"/>
  <c r="U23" s="1"/>
  <c r="V23" s="1"/>
  <c r="W23" s="1"/>
  <c r="X23" s="1"/>
  <c r="Y23" s="1"/>
  <c r="Z23" s="1"/>
  <c r="AA23" s="1"/>
  <c r="AB23" s="1"/>
  <c r="Q23"/>
  <c r="S22"/>
  <c r="T22" s="1"/>
  <c r="U22" s="1"/>
  <c r="V22" s="1"/>
  <c r="W22" s="1"/>
  <c r="X22" s="1"/>
  <c r="Y22" s="1"/>
  <c r="Z22" s="1"/>
  <c r="AA22" s="1"/>
  <c r="AB22" s="1"/>
  <c r="AC22" s="1"/>
  <c r="S21"/>
  <c r="Q20"/>
  <c r="C60"/>
  <c r="C62" s="1"/>
  <c r="D60"/>
  <c r="D62" s="1"/>
  <c r="E60"/>
  <c r="E62" s="1"/>
  <c r="F60"/>
  <c r="F62" s="1"/>
  <c r="G60"/>
  <c r="G62" s="1"/>
  <c r="H60"/>
  <c r="H62" s="1"/>
  <c r="H64"/>
  <c r="H63"/>
  <c r="Q65" l="1"/>
  <c r="Q66"/>
  <c r="Q64"/>
  <c r="Q62"/>
  <c r="Q63"/>
  <c r="AC23"/>
  <c r="AE23" s="1"/>
  <c r="Q22"/>
  <c r="Q21"/>
  <c r="Q60"/>
  <c r="S20"/>
  <c r="T21"/>
  <c r="AE22"/>
  <c r="S58"/>
  <c r="T58" s="1"/>
  <c r="U58" s="1"/>
  <c r="V58" s="1"/>
  <c r="W58" s="1"/>
  <c r="X58" s="1"/>
  <c r="Y58" s="1"/>
  <c r="Z58" s="1"/>
  <c r="AA58" s="1"/>
  <c r="AB58" s="1"/>
  <c r="S88" s="1"/>
  <c r="Q58"/>
  <c r="Q100"/>
  <c r="T20" l="1"/>
  <c r="T60" s="1"/>
  <c r="S60"/>
  <c r="U21"/>
  <c r="AC58"/>
  <c r="AE58" s="1"/>
  <c r="T88" s="1"/>
  <c r="R88" s="1"/>
  <c r="P108" s="1"/>
  <c r="C18" i="15"/>
  <c r="S10" i="18"/>
  <c r="T10" s="1"/>
  <c r="U10" s="1"/>
  <c r="V10" s="1"/>
  <c r="W10" s="1"/>
  <c r="X10" s="1"/>
  <c r="Y10" s="1"/>
  <c r="Z10" s="1"/>
  <c r="AA10" s="1"/>
  <c r="AB10" s="1"/>
  <c r="Q35"/>
  <c r="Q30"/>
  <c r="Q27"/>
  <c r="Q25"/>
  <c r="Q18"/>
  <c r="Q16"/>
  <c r="Q15"/>
  <c r="Q14"/>
  <c r="Q13"/>
  <c r="Q11"/>
  <c r="Q10"/>
  <c r="Q8"/>
  <c r="Q7"/>
  <c r="S18"/>
  <c r="T18" s="1"/>
  <c r="U18" s="1"/>
  <c r="V18" s="1"/>
  <c r="W18" s="1"/>
  <c r="X18" s="1"/>
  <c r="Y18" s="1"/>
  <c r="Z18" s="1"/>
  <c r="AA18" s="1"/>
  <c r="AB18" s="1"/>
  <c r="S25"/>
  <c r="T25" s="1"/>
  <c r="U25" s="1"/>
  <c r="V25" s="1"/>
  <c r="W25" s="1"/>
  <c r="X25" s="1"/>
  <c r="Y25" s="1"/>
  <c r="Z25" s="1"/>
  <c r="AA25" s="1"/>
  <c r="AB25" s="1"/>
  <c r="S27"/>
  <c r="T27" s="1"/>
  <c r="U27" s="1"/>
  <c r="V27" s="1"/>
  <c r="W27" s="1"/>
  <c r="X27" s="1"/>
  <c r="Y27" s="1"/>
  <c r="Z27" s="1"/>
  <c r="AA27" s="1"/>
  <c r="AB27" s="1"/>
  <c r="S30"/>
  <c r="T30" s="1"/>
  <c r="U30" s="1"/>
  <c r="V30" s="1"/>
  <c r="W30" s="1"/>
  <c r="X30" s="1"/>
  <c r="Y30" s="1"/>
  <c r="Z30" s="1"/>
  <c r="AA30" s="1"/>
  <c r="AB30" s="1"/>
  <c r="S31"/>
  <c r="T31" s="1"/>
  <c r="U31" s="1"/>
  <c r="V31" s="1"/>
  <c r="W31" s="1"/>
  <c r="X31" s="1"/>
  <c r="Y31" s="1"/>
  <c r="Z31" s="1"/>
  <c r="AA31" s="1"/>
  <c r="AB31" s="1"/>
  <c r="W33"/>
  <c r="X33" s="1"/>
  <c r="Y33" s="1"/>
  <c r="Z33" s="1"/>
  <c r="AA33" s="1"/>
  <c r="AB33" s="1"/>
  <c r="O56"/>
  <c r="O104" s="1"/>
  <c r="O55"/>
  <c r="O53"/>
  <c r="O52"/>
  <c r="O50"/>
  <c r="O105" s="1"/>
  <c r="O49"/>
  <c r="O48"/>
  <c r="O46"/>
  <c r="O45"/>
  <c r="O102" s="1"/>
  <c r="O44"/>
  <c r="O43"/>
  <c r="O101" s="1"/>
  <c r="U20" l="1"/>
  <c r="V21"/>
  <c r="AC33"/>
  <c r="AE33" s="1"/>
  <c r="AC25"/>
  <c r="AE25" s="1"/>
  <c r="AC27"/>
  <c r="AE27" s="1"/>
  <c r="AC30"/>
  <c r="AE30" s="1"/>
  <c r="AC31"/>
  <c r="AE31" s="1"/>
  <c r="AC18"/>
  <c r="AE18" s="1"/>
  <c r="AC10"/>
  <c r="AE10" s="1"/>
  <c r="O54"/>
  <c r="O103" s="1"/>
  <c r="D50"/>
  <c r="E50"/>
  <c r="F50"/>
  <c r="G50"/>
  <c r="G105" s="1"/>
  <c r="H50"/>
  <c r="H105" s="1"/>
  <c r="I50"/>
  <c r="I105" s="1"/>
  <c r="J50"/>
  <c r="J105" s="1"/>
  <c r="K50"/>
  <c r="K105" s="1"/>
  <c r="L50"/>
  <c r="L105" s="1"/>
  <c r="M50"/>
  <c r="M105" s="1"/>
  <c r="N50"/>
  <c r="N105" s="1"/>
  <c r="P50"/>
  <c r="C50"/>
  <c r="C49"/>
  <c r="V20" l="1"/>
  <c r="U60"/>
  <c r="W21"/>
  <c r="S50"/>
  <c r="T50" s="1"/>
  <c r="P105"/>
  <c r="Q105" s="1"/>
  <c r="Q50"/>
  <c r="D49"/>
  <c r="E49"/>
  <c r="F49"/>
  <c r="G49"/>
  <c r="H49"/>
  <c r="I49"/>
  <c r="J49"/>
  <c r="K49"/>
  <c r="L49"/>
  <c r="M49"/>
  <c r="N49"/>
  <c r="P49"/>
  <c r="S49" s="1"/>
  <c r="T49" s="1"/>
  <c r="U49" s="1"/>
  <c r="V49" s="1"/>
  <c r="W49" s="1"/>
  <c r="X49" s="1"/>
  <c r="Y49" s="1"/>
  <c r="Z49" s="1"/>
  <c r="AA49" s="1"/>
  <c r="AB49" s="1"/>
  <c r="D48"/>
  <c r="E48"/>
  <c r="F48"/>
  <c r="G48"/>
  <c r="H48"/>
  <c r="I48"/>
  <c r="J48"/>
  <c r="K48"/>
  <c r="L48"/>
  <c r="M48"/>
  <c r="N48"/>
  <c r="P48"/>
  <c r="S48" s="1"/>
  <c r="T48" s="1"/>
  <c r="U48" s="1"/>
  <c r="V48" s="1"/>
  <c r="W48" s="1"/>
  <c r="X48" s="1"/>
  <c r="Y48" s="1"/>
  <c r="Z48" s="1"/>
  <c r="AA48" s="1"/>
  <c r="AB48" s="1"/>
  <c r="C48"/>
  <c r="W20" l="1"/>
  <c r="V60"/>
  <c r="X21"/>
  <c r="U50"/>
  <c r="AC48"/>
  <c r="AE48" s="1"/>
  <c r="T77" s="1"/>
  <c r="Q48"/>
  <c r="AC49"/>
  <c r="AE49" s="1"/>
  <c r="T78" s="1"/>
  <c r="Q49"/>
  <c r="S78"/>
  <c r="S77"/>
  <c r="C45" i="15"/>
  <c r="X20" i="18" l="1"/>
  <c r="W60"/>
  <c r="Y21"/>
  <c r="R77"/>
  <c r="V50"/>
  <c r="S100"/>
  <c r="C43"/>
  <c r="C101" s="1"/>
  <c r="C105" s="1"/>
  <c r="D43"/>
  <c r="D101" s="1"/>
  <c r="D105" s="1"/>
  <c r="E43"/>
  <c r="E101" s="1"/>
  <c r="E105" s="1"/>
  <c r="F43"/>
  <c r="F101" s="1"/>
  <c r="F105" s="1"/>
  <c r="H43"/>
  <c r="I43"/>
  <c r="I101" s="1"/>
  <c r="J43"/>
  <c r="J101" s="1"/>
  <c r="K43"/>
  <c r="K101" s="1"/>
  <c r="L43"/>
  <c r="M43"/>
  <c r="M101" s="1"/>
  <c r="N43"/>
  <c r="P43"/>
  <c r="P101" s="1"/>
  <c r="D56"/>
  <c r="D104" s="1"/>
  <c r="E56"/>
  <c r="E104" s="1"/>
  <c r="F56"/>
  <c r="F104" s="1"/>
  <c r="G56"/>
  <c r="H56"/>
  <c r="H104" s="1"/>
  <c r="I56"/>
  <c r="I104" s="1"/>
  <c r="J56"/>
  <c r="J104" s="1"/>
  <c r="K56"/>
  <c r="K104" s="1"/>
  <c r="L56"/>
  <c r="L104" s="1"/>
  <c r="M56"/>
  <c r="M104" s="1"/>
  <c r="N56"/>
  <c r="P56"/>
  <c r="D55"/>
  <c r="E55"/>
  <c r="F55"/>
  <c r="G55"/>
  <c r="H55"/>
  <c r="I55"/>
  <c r="J55"/>
  <c r="K55"/>
  <c r="L55"/>
  <c r="M55"/>
  <c r="N55"/>
  <c r="P55"/>
  <c r="D53"/>
  <c r="E53"/>
  <c r="F53"/>
  <c r="G53"/>
  <c r="H53"/>
  <c r="I53"/>
  <c r="J53"/>
  <c r="K53"/>
  <c r="L53"/>
  <c r="M53"/>
  <c r="N53"/>
  <c r="P53"/>
  <c r="D52"/>
  <c r="D54" s="1"/>
  <c r="D103" s="1"/>
  <c r="E52"/>
  <c r="E54" s="1"/>
  <c r="E103" s="1"/>
  <c r="F52"/>
  <c r="F54" s="1"/>
  <c r="F103" s="1"/>
  <c r="G52"/>
  <c r="H52"/>
  <c r="H54" s="1"/>
  <c r="H103" s="1"/>
  <c r="I52"/>
  <c r="J52"/>
  <c r="K52"/>
  <c r="K54" s="1"/>
  <c r="K103" s="1"/>
  <c r="L52"/>
  <c r="L54" s="1"/>
  <c r="L103" s="1"/>
  <c r="M52"/>
  <c r="N52"/>
  <c r="P52"/>
  <c r="D46"/>
  <c r="E46"/>
  <c r="F46"/>
  <c r="G46"/>
  <c r="H46"/>
  <c r="I46"/>
  <c r="J46"/>
  <c r="K46"/>
  <c r="L46"/>
  <c r="M46"/>
  <c r="N46"/>
  <c r="P46"/>
  <c r="D45"/>
  <c r="D102" s="1"/>
  <c r="E45"/>
  <c r="E102" s="1"/>
  <c r="F45"/>
  <c r="F102" s="1"/>
  <c r="G45"/>
  <c r="H45"/>
  <c r="H102" s="1"/>
  <c r="I45"/>
  <c r="I102" s="1"/>
  <c r="J45"/>
  <c r="J102" s="1"/>
  <c r="K45"/>
  <c r="K102" s="1"/>
  <c r="L45"/>
  <c r="L102" s="1"/>
  <c r="M45"/>
  <c r="M102" s="1"/>
  <c r="N45"/>
  <c r="P45"/>
  <c r="C56"/>
  <c r="C104" s="1"/>
  <c r="C55"/>
  <c r="C53"/>
  <c r="C52"/>
  <c r="C46"/>
  <c r="C45"/>
  <c r="C102" s="1"/>
  <c r="D44"/>
  <c r="E44"/>
  <c r="F44"/>
  <c r="G44"/>
  <c r="H44"/>
  <c r="I44"/>
  <c r="J44"/>
  <c r="K44"/>
  <c r="L44"/>
  <c r="M44"/>
  <c r="N44"/>
  <c r="P44"/>
  <c r="C44"/>
  <c r="S15"/>
  <c r="T15" s="1"/>
  <c r="U15" s="1"/>
  <c r="V15" s="1"/>
  <c r="W15" s="1"/>
  <c r="X15" s="1"/>
  <c r="Y15" s="1"/>
  <c r="Z15" s="1"/>
  <c r="AA15" s="1"/>
  <c r="AB15" s="1"/>
  <c r="S16"/>
  <c r="T16" s="1"/>
  <c r="U16" s="1"/>
  <c r="V16" s="1"/>
  <c r="W16" s="1"/>
  <c r="X16" s="1"/>
  <c r="Y16" s="1"/>
  <c r="Z16" s="1"/>
  <c r="AA16" s="1"/>
  <c r="AB16" s="1"/>
  <c r="S35"/>
  <c r="T35" s="1"/>
  <c r="U35" s="1"/>
  <c r="V35" s="1"/>
  <c r="W35" s="1"/>
  <c r="X35" s="1"/>
  <c r="Y35" s="1"/>
  <c r="Z35" s="1"/>
  <c r="AA35" s="1"/>
  <c r="AB35" s="1"/>
  <c r="S11"/>
  <c r="T11" s="1"/>
  <c r="U11" s="1"/>
  <c r="V11" s="1"/>
  <c r="W11" s="1"/>
  <c r="X11" s="1"/>
  <c r="Y11" s="1"/>
  <c r="Z11" s="1"/>
  <c r="AA11" s="1"/>
  <c r="AB11" s="1"/>
  <c r="S13"/>
  <c r="T13" s="1"/>
  <c r="U13" s="1"/>
  <c r="V13" s="1"/>
  <c r="W13" s="1"/>
  <c r="X13" s="1"/>
  <c r="Y13" s="1"/>
  <c r="Z13" s="1"/>
  <c r="AA13" s="1"/>
  <c r="AB13" s="1"/>
  <c r="S84" s="1"/>
  <c r="S85" s="1"/>
  <c r="S14"/>
  <c r="T14" s="1"/>
  <c r="U14" s="1"/>
  <c r="V14" s="1"/>
  <c r="W14" s="1"/>
  <c r="X14" s="1"/>
  <c r="Y14" s="1"/>
  <c r="Z14" s="1"/>
  <c r="AA14" s="1"/>
  <c r="AB14" s="1"/>
  <c r="S8"/>
  <c r="T8" s="1"/>
  <c r="U8" s="1"/>
  <c r="V8" s="1"/>
  <c r="W8" s="1"/>
  <c r="X8" s="1"/>
  <c r="Y8" s="1"/>
  <c r="Z8" s="1"/>
  <c r="AA8" s="1"/>
  <c r="AB8" s="1"/>
  <c r="S7"/>
  <c r="T7" s="1"/>
  <c r="U7" s="1"/>
  <c r="V7" s="1"/>
  <c r="W7" s="1"/>
  <c r="X7" s="1"/>
  <c r="Y7" s="1"/>
  <c r="Z7" s="1"/>
  <c r="AA7" s="1"/>
  <c r="AB7" s="1"/>
  <c r="H101" l="1"/>
  <c r="R70"/>
  <c r="Y20"/>
  <c r="X60"/>
  <c r="J54"/>
  <c r="J103" s="1"/>
  <c r="Z21"/>
  <c r="AC7"/>
  <c r="AE7" s="1"/>
  <c r="AC13"/>
  <c r="AE13" s="1"/>
  <c r="T84" s="1"/>
  <c r="AC15"/>
  <c r="AE15" s="1"/>
  <c r="AC11"/>
  <c r="AE11" s="1"/>
  <c r="AC14"/>
  <c r="AE14" s="1"/>
  <c r="AC16"/>
  <c r="AE16" s="1"/>
  <c r="AC8"/>
  <c r="AE8" s="1"/>
  <c r="AC35"/>
  <c r="AE35" s="1"/>
  <c r="C54"/>
  <c r="C103" s="1"/>
  <c r="T100"/>
  <c r="S105"/>
  <c r="W50"/>
  <c r="I54"/>
  <c r="I103" s="1"/>
  <c r="Q44"/>
  <c r="G102"/>
  <c r="Q45"/>
  <c r="Q46"/>
  <c r="Q53"/>
  <c r="Q55"/>
  <c r="G101"/>
  <c r="Q43"/>
  <c r="G104"/>
  <c r="Q56"/>
  <c r="G54"/>
  <c r="Q52"/>
  <c r="N102"/>
  <c r="N101"/>
  <c r="N104"/>
  <c r="S55"/>
  <c r="T55" s="1"/>
  <c r="U55" s="1"/>
  <c r="V55" s="1"/>
  <c r="W55" s="1"/>
  <c r="X55" s="1"/>
  <c r="Y55" s="1"/>
  <c r="Z55" s="1"/>
  <c r="AA55" s="1"/>
  <c r="AB55" s="1"/>
  <c r="S56"/>
  <c r="T56" s="1"/>
  <c r="U56" s="1"/>
  <c r="V56" s="1"/>
  <c r="W56" s="1"/>
  <c r="X56" s="1"/>
  <c r="Y56" s="1"/>
  <c r="Z56" s="1"/>
  <c r="AA56" s="1"/>
  <c r="AB56" s="1"/>
  <c r="S46"/>
  <c r="T46" s="1"/>
  <c r="U46" s="1"/>
  <c r="V46" s="1"/>
  <c r="W46" s="1"/>
  <c r="X46" s="1"/>
  <c r="Y46" s="1"/>
  <c r="Z46" s="1"/>
  <c r="AA46" s="1"/>
  <c r="AB46" s="1"/>
  <c r="P102"/>
  <c r="S52"/>
  <c r="T52" s="1"/>
  <c r="U52" s="1"/>
  <c r="V52" s="1"/>
  <c r="W52" s="1"/>
  <c r="X52" s="1"/>
  <c r="Y52" s="1"/>
  <c r="Z52" s="1"/>
  <c r="AA52" s="1"/>
  <c r="AB52" s="1"/>
  <c r="L101"/>
  <c r="N54"/>
  <c r="S53"/>
  <c r="T53" s="1"/>
  <c r="U53" s="1"/>
  <c r="V53" s="1"/>
  <c r="W53" s="1"/>
  <c r="X53" s="1"/>
  <c r="Y53" s="1"/>
  <c r="Z53" s="1"/>
  <c r="AA53" s="1"/>
  <c r="AB53" s="1"/>
  <c r="M54"/>
  <c r="M103" s="1"/>
  <c r="P104"/>
  <c r="P54"/>
  <c r="S37"/>
  <c r="S66" s="1"/>
  <c r="C6" i="12"/>
  <c r="C25" i="15"/>
  <c r="C57"/>
  <c r="C56"/>
  <c r="C53"/>
  <c r="C52"/>
  <c r="C49"/>
  <c r="C48"/>
  <c r="C44"/>
  <c r="Z20" i="18" l="1"/>
  <c r="Y60"/>
  <c r="R84"/>
  <c r="T85"/>
  <c r="R85" s="1"/>
  <c r="T37"/>
  <c r="T66" s="1"/>
  <c r="S63"/>
  <c r="S64"/>
  <c r="S65"/>
  <c r="S62"/>
  <c r="AA21"/>
  <c r="AC52"/>
  <c r="AE52" s="1"/>
  <c r="T75" s="1"/>
  <c r="AC55"/>
  <c r="AE55" s="1"/>
  <c r="T81" s="1"/>
  <c r="AC56"/>
  <c r="AE56" s="1"/>
  <c r="T82" s="1"/>
  <c r="AC46"/>
  <c r="AE46" s="1"/>
  <c r="T74" s="1"/>
  <c r="AC53"/>
  <c r="AE53" s="1"/>
  <c r="S104"/>
  <c r="U100"/>
  <c r="T104"/>
  <c r="T105"/>
  <c r="X50"/>
  <c r="Q102"/>
  <c r="Q101"/>
  <c r="Q104"/>
  <c r="G103"/>
  <c r="Q54"/>
  <c r="N103"/>
  <c r="P103"/>
  <c r="S54"/>
  <c r="S45"/>
  <c r="S43"/>
  <c r="S81"/>
  <c r="S44"/>
  <c r="T44" s="1"/>
  <c r="U44" s="1"/>
  <c r="V44" s="1"/>
  <c r="W44" s="1"/>
  <c r="X44" s="1"/>
  <c r="Y44" s="1"/>
  <c r="Z44" s="1"/>
  <c r="AA44" s="1"/>
  <c r="AB44" s="1"/>
  <c r="C15" i="15"/>
  <c r="C20"/>
  <c r="C9"/>
  <c r="AA20" i="18" l="1"/>
  <c r="Z60"/>
  <c r="U37"/>
  <c r="U66" s="1"/>
  <c r="T65"/>
  <c r="T64"/>
  <c r="T63"/>
  <c r="T62"/>
  <c r="AB21"/>
  <c r="AC44"/>
  <c r="AE44" s="1"/>
  <c r="T72" s="1"/>
  <c r="R81"/>
  <c r="T54"/>
  <c r="S103"/>
  <c r="V100"/>
  <c r="U104"/>
  <c r="U105"/>
  <c r="T43"/>
  <c r="S101"/>
  <c r="T45"/>
  <c r="S102"/>
  <c r="Y50"/>
  <c r="Q103"/>
  <c r="S72"/>
  <c r="S82"/>
  <c r="R82" s="1"/>
  <c r="S75"/>
  <c r="R75" s="1"/>
  <c r="S74"/>
  <c r="R74" s="1"/>
  <c r="D31" i="8"/>
  <c r="D29"/>
  <c r="D28"/>
  <c r="D13"/>
  <c r="D30" s="1"/>
  <c r="E14"/>
  <c r="F14" s="1"/>
  <c r="G14" s="1"/>
  <c r="H14" s="1"/>
  <c r="I14" s="1"/>
  <c r="AB20" i="18" l="1"/>
  <c r="AA60"/>
  <c r="V37"/>
  <c r="V66" s="1"/>
  <c r="U65"/>
  <c r="U63"/>
  <c r="U64"/>
  <c r="U62"/>
  <c r="AC21"/>
  <c r="AE21" s="1"/>
  <c r="R72"/>
  <c r="U54"/>
  <c r="T103"/>
  <c r="W100"/>
  <c r="V104"/>
  <c r="V105"/>
  <c r="U43"/>
  <c r="T101"/>
  <c r="U45"/>
  <c r="T102"/>
  <c r="Z50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20" i="18" l="1"/>
  <c r="AE20" s="1"/>
  <c r="AB60"/>
  <c r="S90" s="1"/>
  <c r="W37"/>
  <c r="W66" s="1"/>
  <c r="V65"/>
  <c r="V63"/>
  <c r="V64"/>
  <c r="V62"/>
  <c r="V54"/>
  <c r="U103"/>
  <c r="X100"/>
  <c r="W104"/>
  <c r="W105"/>
  <c r="V43"/>
  <c r="U101"/>
  <c r="V45"/>
  <c r="U102"/>
  <c r="AA50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60" i="18" l="1"/>
  <c r="AE60" s="1"/>
  <c r="T90" s="1"/>
  <c r="R90" s="1"/>
  <c r="O31" i="9"/>
  <c r="O32" s="1"/>
  <c r="X37" i="18"/>
  <c r="X66" s="1"/>
  <c r="W65"/>
  <c r="W63"/>
  <c r="W64"/>
  <c r="W62"/>
  <c r="W54"/>
  <c r="V103"/>
  <c r="Y100"/>
  <c r="X104"/>
  <c r="X105"/>
  <c r="W43"/>
  <c r="V101"/>
  <c r="W45"/>
  <c r="V102"/>
  <c r="AB50"/>
  <c r="P31" i="11"/>
  <c r="N32"/>
  <c r="T19" i="9"/>
  <c r="D22"/>
  <c r="Y37" i="18" l="1"/>
  <c r="Y66" s="1"/>
  <c r="X65"/>
  <c r="X63"/>
  <c r="X64"/>
  <c r="X62"/>
  <c r="X54"/>
  <c r="W103"/>
  <c r="Z100"/>
  <c r="Y104"/>
  <c r="Y105"/>
  <c r="X43"/>
  <c r="W101"/>
  <c r="X45"/>
  <c r="W102"/>
  <c r="S79"/>
  <c r="AC50"/>
  <c r="AE50" s="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R78" i="18" l="1"/>
  <c r="T79"/>
  <c r="R79" s="1"/>
  <c r="P109" s="1"/>
  <c r="Z37"/>
  <c r="Z66" s="1"/>
  <c r="Y65"/>
  <c r="Y63"/>
  <c r="Y64"/>
  <c r="Y62"/>
  <c r="Y54"/>
  <c r="X103"/>
  <c r="AA100"/>
  <c r="Z104"/>
  <c r="Z105"/>
  <c r="Y43"/>
  <c r="X101"/>
  <c r="Y45"/>
  <c r="X102"/>
  <c r="N34" i="11"/>
  <c r="O33"/>
  <c r="D25" i="8"/>
  <c r="D23"/>
  <c r="AA37" i="18" l="1"/>
  <c r="AA66" s="1"/>
  <c r="Z65"/>
  <c r="Z63"/>
  <c r="Z64"/>
  <c r="Z62"/>
  <c r="Z54"/>
  <c r="Y103"/>
  <c r="AB100"/>
  <c r="AA104"/>
  <c r="AA105"/>
  <c r="Z43"/>
  <c r="Y101"/>
  <c r="Z45"/>
  <c r="Y102"/>
  <c r="N35" i="11"/>
  <c r="O34"/>
  <c r="D35" i="8"/>
  <c r="E5"/>
  <c r="E18" s="1"/>
  <c r="D18"/>
  <c r="D19"/>
  <c r="D21"/>
  <c r="D20"/>
  <c r="AB37" i="18" l="1"/>
  <c r="AB66" s="1"/>
  <c r="AA65"/>
  <c r="AA63"/>
  <c r="AA64"/>
  <c r="AA62"/>
  <c r="AA54"/>
  <c r="Z103"/>
  <c r="AC100"/>
  <c r="AE100" s="1"/>
  <c r="AB104"/>
  <c r="AB105"/>
  <c r="AA43"/>
  <c r="Z101"/>
  <c r="AA45"/>
  <c r="Z102"/>
  <c r="N36" i="11"/>
  <c r="O35"/>
  <c r="F5" i="8"/>
  <c r="G5" s="1"/>
  <c r="H5" s="1"/>
  <c r="I5" s="1"/>
  <c r="AC66" i="18" l="1"/>
  <c r="AE66" s="1"/>
  <c r="T97" s="1"/>
  <c r="S97"/>
  <c r="AB65"/>
  <c r="S95" s="1"/>
  <c r="AB63"/>
  <c r="S93" s="1"/>
  <c r="AC37"/>
  <c r="AE37" s="1"/>
  <c r="AB64"/>
  <c r="S94" s="1"/>
  <c r="AB62"/>
  <c r="S92" s="1"/>
  <c r="AC105"/>
  <c r="AE105" s="1"/>
  <c r="AC104"/>
  <c r="AE104" s="1"/>
  <c r="AB54"/>
  <c r="AA103"/>
  <c r="AB43"/>
  <c r="AA101"/>
  <c r="AB45"/>
  <c r="AA102"/>
  <c r="N37" i="11"/>
  <c r="O36"/>
  <c r="F18" i="8"/>
  <c r="G18"/>
  <c r="R97" i="18" l="1"/>
  <c r="AC64"/>
  <c r="AE64" s="1"/>
  <c r="T94" s="1"/>
  <c r="AC63"/>
  <c r="AE63" s="1"/>
  <c r="AC62"/>
  <c r="AE62" s="1"/>
  <c r="T92" s="1"/>
  <c r="AC65"/>
  <c r="AE65" s="1"/>
  <c r="S71"/>
  <c r="AC54"/>
  <c r="AE54" s="1"/>
  <c r="AB103"/>
  <c r="AC43"/>
  <c r="AE43" s="1"/>
  <c r="T71" s="1"/>
  <c r="AB101"/>
  <c r="AC45"/>
  <c r="AE45" s="1"/>
  <c r="T73" s="1"/>
  <c r="AB102"/>
  <c r="S73"/>
  <c r="N38" i="11"/>
  <c r="O37"/>
  <c r="H18" i="8"/>
  <c r="P110" i="18" l="1"/>
  <c r="P111"/>
  <c r="T95"/>
  <c r="R95" s="1"/>
  <c r="T93"/>
  <c r="R93" s="1"/>
  <c r="R94"/>
  <c r="R92"/>
  <c r="R71"/>
  <c r="AC102"/>
  <c r="AE102" s="1"/>
  <c r="AC103"/>
  <c r="AE103" s="1"/>
  <c r="AC101"/>
  <c r="AE101" s="1"/>
  <c r="R73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<sst xmlns="http://schemas.openxmlformats.org/spreadsheetml/2006/main" count="458" uniqueCount="315">
  <si>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</si>
  <si>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</si>
  <si>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</si>
  <si>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</si>
  <si>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</si>
  <si>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</si>
  <si>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</si>
  <si>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</si>
  <si>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</si>
  <si>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</si>
  <si>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</si>
  <si>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</si>
  <si>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</si>
  <si>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</si>
  <si>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</si>
  <si>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</si>
  <si>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</si>
  <si>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</si>
  <si>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</si>
  <si>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</si>
  <si>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</si>
  <si>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</si>
  <si>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</si>
  <si>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</si>
  <si>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</si>
  <si>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</si>
  <si>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</si>
  <si>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</si>
  <si>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</si>
  <si>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</si>
  <si>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</si>
  <si>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</si>
  <si>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</si>
  <si>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</si>
  <si>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</si>
  <si>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</si>
  <si>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</si>
  <si>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</si>
  <si>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</si>
  <si>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</si>
  <si>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</si>
  <si>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</si>
  <si>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</si>
  <si>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</si>
  <si>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</si>
  <si>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</si>
  <si>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</si>
  <si>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</si>
  <si>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</si>
  <si>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</si>
  <si>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</si>
  <si>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</si>
  <si>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</si>
  <si>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</si>
  <si>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</si>
  <si>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</si>
  <si>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</si>
  <si>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</si>
  <si>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</si>
  <si>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</si>
  <si>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</si>
  <si>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</si>
  <si>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</si>
  <si>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</si>
  <si>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</si>
  <si>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</si>
  <si>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</si>
  <si>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</si>
  <si>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</si>
  <si>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</si>
  <si>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</si>
  <si>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</si>
  <si>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</si>
  <si>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</si>
  <si>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</si>
  <si>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</si>
  <si>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</si>
  <si>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</si>
  <si>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</si>
  <si>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</si>
  <si>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</si>
  <si>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</si>
  <si>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</si>
  <si>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</si>
  <si>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</si>
  <si>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</si>
  <si>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</si>
  <si>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</si>
  <si>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</si>
  <si>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</si>
  <si>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</si>
  <si>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</si>
  <si>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</si>
  <si>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</si>
  <si>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</si>
  <si>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</si>
  <si>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</si>
  <si>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</si>
  <si>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</si>
  <si>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</si>
  <si>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</si>
  <si>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</si>
  <si>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</si>
  <si>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</si>
  <si>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</si>
  <si>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</si>
  <si>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</si>
  <si>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</si>
  <si>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</si>
  <si>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</si>
  <si>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</si>
  <si>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</si>
  <si>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</si>
  <si>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</si>
  <si>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</si>
  <si>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</si>
  <si>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</si>
  <si>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</si>
  <si>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</si>
  <si>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</si>
  <si>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</si>
  <si>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</si>
  <si>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</si>
  <si>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</si>
  <si>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</si>
  <si>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</si>
  <si>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</si>
  <si>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</si>
  <si>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</si>
  <si>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</si>
  <si>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</si>
  <si>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</si>
  <si>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</si>
  <si>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</si>
  <si>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</si>
  <si>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</si>
  <si>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</si>
  <si>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</si>
  <si>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</si>
  <si>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</si>
  <si>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</si>
  <si>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</si>
  <si>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</si>
  <si>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</si>
  <si>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</si>
  <si>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</si>
  <si>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</si>
  <si>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</si>
  <si>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</si>
  <si>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</si>
  <si>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</si>
  <si>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</si>
  <si>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</si>
  <si>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</si>
  <si>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</si>
  <si>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</si>
  <si>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</si>
  <si>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</si>
  <si>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</si>
  <si>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</si>
  <si>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</si>
  <si>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</si>
  <si>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</si>
  <si>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</si>
  <si>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</si>
  <si>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</si>
  <si>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</si>
  <si>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</si>
  <si>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</si>
  <si>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</si>
  <si>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</si>
  <si>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</si>
  <si>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</si>
  <si>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</si>
  <si>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</si>
  <si>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</si>
  <si>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</si>
  <si>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</si>
  <si>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</si>
  <si>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</si>
  <si>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</si>
  <si>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</si>
  <si>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</si>
  <si>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</si>
  <si>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</si>
  <si>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</si>
  <si>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</si>
  <si>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</si>
  <si>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</si>
  <si>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</si>
  <si>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</si>
  <si>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</si>
  <si>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</si>
  <si>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</si>
  <si>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</si>
  <si>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</si>
  <si>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</si>
  <si>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</si>
  <si>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</si>
  <si>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</si>
  <si>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</si>
  <si>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</si>
  <si>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</si>
  <si>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</si>
  <si>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</si>
  <si>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</si>
  <si>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</si>
  <si>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</si>
  <si>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</si>
  <si>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</si>
  <si>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</si>
  <si>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</si>
  <si>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</si>
  <si>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</si>
  <si>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</si>
  <si>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</si>
  <si>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</si>
  <si>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</si>
  <si>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</si>
  <si>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</si>
  <si>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</si>
  <si>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</si>
  <si>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</si>
  <si>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</si>
  <si>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</si>
  <si>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</si>
  <si>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</si>
  <si>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</si>
  <si>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</si>
  <si>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</si>
  <si>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</si>
  <si>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</si>
  <si>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</si>
  <si>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</si>
  <si>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</si>
  <si>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</si>
  <si>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</si>
  <si>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</si>
  <si>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</si>
  <si>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</si>
  <si>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</si>
  <si>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</si>
  <si>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</si>
  <si>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</si>
  <si>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</si>
  <si>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</si>
  <si>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</si>
  <si>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</si>
  <si>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</si>
  <si>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</si>
  <si>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</si>
  <si>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</si>
  <si>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</si>
  <si>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</si>
  <si>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</si>
  <si>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</si>
  <si>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</si>
  <si>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</si>
  <si>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</si>
  <si>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</si>
  <si>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</si>
  <si>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</si>
  <si>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</si>
  <si>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</si>
  <si>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</si>
  <si>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</si>
  <si>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</si>
  <si>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</si>
  <si>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</si>
  <si>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</si>
  <si>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</si>
  <si>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</si>
  <si>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</si>
  <si>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</si>
  <si>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</si>
  <si>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</si>
  <si>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</si>
  <si>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</si>
  <si>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</si>
  <si>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</si>
  <si>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</si>
  <si>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</si>
  <si>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</si>
  <si>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</si>
  <si>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</si>
  <si>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</si>
  <si>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</si>
  <si>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</si>
  <si>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</si>
  <si>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</si>
  <si>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</si>
  <si>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</si>
  <si>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</si>
  <si>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</si>
  <si>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</si>
  <si>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</si>
  <si>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</si>
  <si>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</si>
  <si>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</si>
  <si>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</si>
  <si>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</si>
  <si>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</si>
  <si>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</si>
  <si>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</si>
  <si>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2nd highest Expenses Comp. ( Power )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</si>
  <si>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</si>
  <si>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</si>
  <si>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</si>
  <si>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</si>
  <si>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</si>
  <si>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</si>
  <si>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Net Cash Flow (Operations + Investments)</t>
  </si>
  <si>
    <t>Net Cash Flow (Operations + Investments) per share</t>
  </si>
  <si>
    <t>if NEGATIVE, then stock is in DISCOUNT, if POSITIVE, then stock is in PREMIUM</t>
  </si>
  <si>
    <t>% Discount (Price / Net Cash &amp; Cash Eq)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</si>
</sst>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174" fontId="8" fillId="5" borderId="1" xfId="0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40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177" fontId="9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177" fontId="10" fillId="5" borderId="1" xfId="2" applyNumberFormat="1" applyFont="1" applyFill="1" applyBorder="1"/>
    <xf numFmtId="1" fontId="5" fillId="5" borderId="1" xfId="0" applyNumberFormat="1" applyFont="1" applyFill="1" applyBorder="1"/>
    <xf numFmtId="10" fontId="5" fillId="11" borderId="4" xfId="1" applyNumberFormat="1" applyFont="1" applyFill="1" applyBorder="1"/>
    <xf numFmtId="10" fontId="5" fillId="6" borderId="1" xfId="1" applyNumberFormat="1" applyFont="1" applyFill="1" applyBorder="1"/>
    <xf numFmtId="166" fontId="5" fillId="5" borderId="1" xfId="2" applyNumberFormat="1" applyFont="1" applyFill="1" applyBorder="1"/>
    <xf numFmtId="9" fontId="9" fillId="5" borderId="1" xfId="1" applyNumberFormat="1" applyFont="1" applyFill="1" applyBorder="1"/>
    <xf numFmtId="9" fontId="10" fillId="5" borderId="1" xfId="1" applyNumberFormat="1" applyFont="1" applyFill="1" applyBorder="1"/>
    <xf numFmtId="40" fontId="5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94286976"/>
        <c:axId val="94288512"/>
      </c:lineChart>
      <c:catAx>
        <c:axId val="94286976"/>
        <c:scaling>
          <c:orientation val="minMax"/>
        </c:scaling>
        <c:axPos val="b"/>
        <c:tickLblPos val="nextTo"/>
        <c:crossAx val="94288512"/>
        <c:crosses val="autoZero"/>
        <c:auto val="1"/>
        <c:lblAlgn val="ctr"/>
        <c:lblOffset val="100"/>
      </c:catAx>
      <c:valAx>
        <c:axId val="94288512"/>
        <c:scaling>
          <c:orientation val="minMax"/>
        </c:scaling>
        <c:axPos val="l"/>
        <c:majorGridlines/>
        <c:numFmt formatCode="General" sourceLinked="1"/>
        <c:tickLblPos val="nextTo"/>
        <c:crossAx val="9428697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281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268</v>
      </c>
      <c r="C32" s="132">
        <v>3.44E-2</v>
      </c>
      <c r="D32" s="20"/>
      <c r="E32" s="20"/>
      <c r="F32" s="20"/>
      <c r="G32" s="20"/>
    </row>
    <row r="33" spans="2:7">
      <c r="B33" s="20" t="s">
        <v>267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E119"/>
  <sheetViews>
    <sheetView tabSelected="1" zoomScale="80" zoomScaleNormal="80" workbookViewId="0">
      <pane xSplit="2" ySplit="4" topLeftCell="G74" activePane="bottomRight" state="frozen"/>
      <selection pane="topRight" activeCell="C1" sqref="C1"/>
      <selection pane="bottomLeft" activeCell="A5" sqref="A5"/>
      <selection pane="bottomRight" activeCell="Q48" sqref="Q48"/>
    </sheetView>
  </sheetViews>
  <sheetFormatPr defaultRowHeight="12.75"/>
  <cols>
    <col min="1" max="1" width="4.7109375" style="104" customWidth="1"/>
    <col min="2" max="2" width="46.7109375" style="104" bestFit="1" customWidth="1"/>
    <col min="3" max="4" width="8.140625" style="104" bestFit="1" customWidth="1"/>
    <col min="5" max="9" width="8.7109375" style="104" bestFit="1" customWidth="1"/>
    <col min="10" max="11" width="13" style="104" bestFit="1" customWidth="1"/>
    <col min="12" max="14" width="11.5703125" style="104" bestFit="1" customWidth="1"/>
    <col min="15" max="15" width="10.85546875" style="104" bestFit="1" customWidth="1"/>
    <col min="16" max="16" width="11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.85546875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>
      <c r="B2" s="123" t="s">
        <v>241</v>
      </c>
      <c r="C2" s="124">
        <v>0.22</v>
      </c>
      <c r="F2" s="104" t="s">
        <v>252</v>
      </c>
      <c r="H2" s="126">
        <v>2004</v>
      </c>
    </row>
    <row r="3" spans="2:31">
      <c r="C3" s="120"/>
      <c r="F3" s="104" t="s">
        <v>253</v>
      </c>
      <c r="H3" s="126">
        <v>2013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291</v>
      </c>
      <c r="AE3" s="20"/>
    </row>
    <row r="4" spans="2:31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6" t="s">
        <v>1</v>
      </c>
      <c r="AD4" s="20" t="s">
        <v>292</v>
      </c>
      <c r="AE4" s="20"/>
    </row>
    <row r="5" spans="2:3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7"/>
      <c r="AD5" s="20"/>
      <c r="AE5" s="20"/>
    </row>
    <row r="6" spans="2:31">
      <c r="B6" s="108" t="s">
        <v>242</v>
      </c>
      <c r="C6" s="20"/>
      <c r="D6" s="20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7"/>
      <c r="AD6" s="20"/>
      <c r="AE6" s="20"/>
    </row>
    <row r="7" spans="2:31">
      <c r="B7" s="20" t="s">
        <v>16</v>
      </c>
      <c r="C7" s="141"/>
      <c r="D7" s="141"/>
      <c r="E7" s="149"/>
      <c r="F7" s="149"/>
      <c r="G7" s="149">
        <v>33621</v>
      </c>
      <c r="H7" s="149">
        <v>36588</v>
      </c>
      <c r="I7" s="149">
        <v>44647</v>
      </c>
      <c r="J7" s="149">
        <v>63776</v>
      </c>
      <c r="K7" s="149">
        <v>81166</v>
      </c>
      <c r="L7" s="149">
        <v>107573</v>
      </c>
      <c r="M7" s="149">
        <v>128611</v>
      </c>
      <c r="N7" s="149">
        <v>145016</v>
      </c>
      <c r="O7" s="149">
        <v>162726</v>
      </c>
      <c r="P7" s="149">
        <v>179094</v>
      </c>
      <c r="Q7" s="118">
        <f>((P7/G7)^(1/($H$3-$H$2) ))-1</f>
        <v>0.20425632061319687</v>
      </c>
      <c r="R7" s="31">
        <v>0.1</v>
      </c>
      <c r="S7" s="119">
        <f>P7*(1+$R7)</f>
        <v>197003.40000000002</v>
      </c>
      <c r="T7" s="119">
        <f>S7*(1+$R7)</f>
        <v>216703.74000000005</v>
      </c>
      <c r="U7" s="119">
        <f t="shared" ref="U7:AB7" si="0">T7*(1+$R7)</f>
        <v>238374.11400000006</v>
      </c>
      <c r="V7" s="119">
        <f t="shared" si="0"/>
        <v>262211.5254000001</v>
      </c>
      <c r="W7" s="119">
        <f t="shared" si="0"/>
        <v>288432.67794000014</v>
      </c>
      <c r="X7" s="119">
        <f t="shared" si="0"/>
        <v>317275.94573400018</v>
      </c>
      <c r="Y7" s="119">
        <f t="shared" si="0"/>
        <v>349003.54030740022</v>
      </c>
      <c r="Z7" s="119">
        <f t="shared" si="0"/>
        <v>383903.89433814026</v>
      </c>
      <c r="AA7" s="119">
        <f t="shared" si="0"/>
        <v>422294.2837719543</v>
      </c>
      <c r="AB7" s="119">
        <f t="shared" si="0"/>
        <v>464523.7121491498</v>
      </c>
      <c r="AC7" s="138">
        <f>((AB7/G7)^(1/($AB$4-$H$2) ))-1</f>
        <v>0.14820889904960577</v>
      </c>
      <c r="AD7" s="31">
        <v>0.08</v>
      </c>
      <c r="AE7" s="127">
        <f>(AB7*(1+AC7))/($C$2-AD7)</f>
        <v>3809787.5722086518</v>
      </c>
    </row>
    <row r="8" spans="2:31">
      <c r="B8" s="20" t="s">
        <v>240</v>
      </c>
      <c r="C8" s="141"/>
      <c r="D8" s="141"/>
      <c r="E8" s="149"/>
      <c r="F8" s="149"/>
      <c r="G8" s="149">
        <v>35017</v>
      </c>
      <c r="H8" s="149">
        <v>40711</v>
      </c>
      <c r="I8" s="149">
        <v>51018</v>
      </c>
      <c r="J8" s="149">
        <v>68209</v>
      </c>
      <c r="K8" s="149">
        <v>85500</v>
      </c>
      <c r="L8" s="149">
        <v>121246</v>
      </c>
      <c r="M8" s="149">
        <v>141002</v>
      </c>
      <c r="N8" s="149">
        <v>154083</v>
      </c>
      <c r="O8" s="149">
        <v>169445</v>
      </c>
      <c r="P8" s="149">
        <v>182055</v>
      </c>
      <c r="Q8" s="118">
        <f>((P8/G8)^(1/($H$3-$H$2) ))-1</f>
        <v>0.20101124855084529</v>
      </c>
      <c r="R8" s="31">
        <v>0.1</v>
      </c>
      <c r="S8" s="119">
        <f t="shared" ref="S8:S16" si="1">P8*(1+$R8)</f>
        <v>200260.50000000003</v>
      </c>
      <c r="T8" s="119">
        <f t="shared" ref="T8:AB8" si="2">S8*(1+$R8)</f>
        <v>220286.55000000005</v>
      </c>
      <c r="U8" s="119">
        <f t="shared" si="2"/>
        <v>242315.20500000007</v>
      </c>
      <c r="V8" s="119">
        <f t="shared" si="2"/>
        <v>266546.72550000012</v>
      </c>
      <c r="W8" s="119">
        <f t="shared" si="2"/>
        <v>293201.39805000013</v>
      </c>
      <c r="X8" s="119">
        <f t="shared" si="2"/>
        <v>322521.53785500018</v>
      </c>
      <c r="Y8" s="119">
        <f t="shared" si="2"/>
        <v>354773.69164050021</v>
      </c>
      <c r="Z8" s="119">
        <f t="shared" si="2"/>
        <v>390251.06080455024</v>
      </c>
      <c r="AA8" s="119">
        <f t="shared" si="2"/>
        <v>429276.16688500531</v>
      </c>
      <c r="AB8" s="119">
        <f t="shared" si="2"/>
        <v>472203.78357350588</v>
      </c>
      <c r="AC8" s="138">
        <f>((AB8/G8)^(1/($AB$4-$H$2) ))-1</f>
        <v>0.14674225910196692</v>
      </c>
      <c r="AD8" s="31">
        <v>0.08</v>
      </c>
      <c r="AE8" s="127">
        <f>(AB8*(1+AC8))/($C$2-AD8)</f>
        <v>3867828.8109398452</v>
      </c>
    </row>
    <row r="9" spans="2:31">
      <c r="B9" s="20"/>
      <c r="C9" s="141"/>
      <c r="D9" s="141"/>
      <c r="E9" s="149"/>
      <c r="F9" s="149"/>
      <c r="G9" s="160"/>
      <c r="H9" s="161">
        <f>(H8-G8)/H8</f>
        <v>0.13986391884257326</v>
      </c>
      <c r="I9" s="161">
        <f t="shared" ref="I9:P9" si="3">(I8-H8)/I8</f>
        <v>0.20202673566192325</v>
      </c>
      <c r="J9" s="161">
        <f t="shared" si="3"/>
        <v>0.25203418903663738</v>
      </c>
      <c r="K9" s="161">
        <f t="shared" si="3"/>
        <v>0.20223391812865496</v>
      </c>
      <c r="L9" s="161">
        <f t="shared" si="3"/>
        <v>0.29482209722382596</v>
      </c>
      <c r="M9" s="161">
        <f t="shared" si="3"/>
        <v>0.14011148778031518</v>
      </c>
      <c r="N9" s="161">
        <f t="shared" si="3"/>
        <v>8.4895802911417878E-2</v>
      </c>
      <c r="O9" s="161">
        <f t="shared" si="3"/>
        <v>9.0660686358405379E-2</v>
      </c>
      <c r="P9" s="161">
        <f t="shared" si="3"/>
        <v>6.9264782620636622E-2</v>
      </c>
      <c r="Q9" s="128"/>
      <c r="R9" s="128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38"/>
      <c r="AD9" s="31"/>
      <c r="AE9" s="127"/>
    </row>
    <row r="10" spans="2:31">
      <c r="B10" s="20" t="s">
        <v>270</v>
      </c>
      <c r="C10" s="141"/>
      <c r="D10" s="141"/>
      <c r="E10" s="149"/>
      <c r="F10" s="149"/>
      <c r="G10" s="149">
        <v>13919</v>
      </c>
      <c r="H10" s="149">
        <v>18296</v>
      </c>
      <c r="I10" s="149">
        <v>17963</v>
      </c>
      <c r="J10" s="149">
        <v>25489</v>
      </c>
      <c r="K10" s="149">
        <v>32022</v>
      </c>
      <c r="L10" s="149">
        <v>46404</v>
      </c>
      <c r="M10" s="149">
        <v>50593</v>
      </c>
      <c r="N10" s="149">
        <v>65194</v>
      </c>
      <c r="O10" s="149">
        <v>72257</v>
      </c>
      <c r="P10" s="149">
        <v>84943</v>
      </c>
      <c r="Q10" s="118">
        <f t="shared" ref="Q10:Q16" si="4">((P10/G10)^(1/($H$3-$H$2) ))-1</f>
        <v>0.22258750000486716</v>
      </c>
      <c r="R10" s="31">
        <v>0.1</v>
      </c>
      <c r="S10" s="119">
        <f t="shared" ref="S10" si="5">P10*(1+$R10)</f>
        <v>93437.3</v>
      </c>
      <c r="T10" s="119">
        <f t="shared" ref="T10" si="6">S10*(1+$R10)</f>
        <v>102781.03000000001</v>
      </c>
      <c r="U10" s="119">
        <f t="shared" ref="U10" si="7">T10*(1+$R10)</f>
        <v>113059.13300000003</v>
      </c>
      <c r="V10" s="119">
        <f t="shared" ref="V10" si="8">U10*(1+$R10)</f>
        <v>124365.04630000005</v>
      </c>
      <c r="W10" s="119">
        <f t="shared" ref="W10" si="9">V10*(1+$R10)</f>
        <v>136801.55093000006</v>
      </c>
      <c r="X10" s="119">
        <f t="shared" ref="X10" si="10">W10*(1+$R10)</f>
        <v>150481.70602300006</v>
      </c>
      <c r="Y10" s="119">
        <f t="shared" ref="Y10" si="11">X10*(1+$R10)</f>
        <v>165529.87662530009</v>
      </c>
      <c r="Z10" s="119">
        <f t="shared" ref="Z10" si="12">Y10*(1+$R10)</f>
        <v>182082.86428783013</v>
      </c>
      <c r="AA10" s="119">
        <f t="shared" ref="AA10" si="13">Z10*(1+$R10)</f>
        <v>200291.15071661316</v>
      </c>
      <c r="AB10" s="119">
        <f t="shared" ref="AB10" si="14">AA10*(1+$R10)</f>
        <v>220320.2657882745</v>
      </c>
      <c r="AC10" s="138">
        <f>((AB10/G10)^(1/($AB$4-$H$2) ))-1</f>
        <v>0.15645505423195227</v>
      </c>
      <c r="AD10" s="31">
        <v>0.08</v>
      </c>
      <c r="AE10" s="127">
        <f t="shared" ref="AE10:AE16" si="15">(AB10*(1+AC10))/($C$2-AD10)</f>
        <v>1819932.0351469791</v>
      </c>
    </row>
    <row r="11" spans="2:31">
      <c r="B11" s="20" t="s">
        <v>4</v>
      </c>
      <c r="C11" s="141"/>
      <c r="D11" s="141"/>
      <c r="E11" s="149"/>
      <c r="F11" s="149"/>
      <c r="G11" s="149">
        <v>21016</v>
      </c>
      <c r="H11" s="149">
        <v>18817</v>
      </c>
      <c r="I11" s="149">
        <v>23342</v>
      </c>
      <c r="J11" s="149">
        <v>33651</v>
      </c>
      <c r="K11" s="149">
        <v>50696</v>
      </c>
      <c r="L11" s="149">
        <v>76256</v>
      </c>
      <c r="M11" s="149">
        <v>64605</v>
      </c>
      <c r="N11" s="149">
        <v>84106</v>
      </c>
      <c r="O11" s="149">
        <v>82635</v>
      </c>
      <c r="P11" s="149">
        <v>89322</v>
      </c>
      <c r="Q11" s="118">
        <f t="shared" si="4"/>
        <v>0.17441922845681557</v>
      </c>
      <c r="R11" s="31">
        <v>0.1</v>
      </c>
      <c r="S11" s="119">
        <f t="shared" si="1"/>
        <v>98254.200000000012</v>
      </c>
      <c r="T11" s="119">
        <f t="shared" ref="T11:AB11" si="16">S11*(1+$R11)</f>
        <v>108079.62000000002</v>
      </c>
      <c r="U11" s="119">
        <f t="shared" si="16"/>
        <v>118887.58200000004</v>
      </c>
      <c r="V11" s="119">
        <f t="shared" si="16"/>
        <v>130776.34020000005</v>
      </c>
      <c r="W11" s="119">
        <f t="shared" si="16"/>
        <v>143853.97422000006</v>
      </c>
      <c r="X11" s="119">
        <f t="shared" si="16"/>
        <v>158239.37164200007</v>
      </c>
      <c r="Y11" s="119">
        <f t="shared" si="16"/>
        <v>174063.3088062001</v>
      </c>
      <c r="Z11" s="119">
        <f t="shared" si="16"/>
        <v>191469.63968682013</v>
      </c>
      <c r="AA11" s="119">
        <f t="shared" si="16"/>
        <v>210616.60365550214</v>
      </c>
      <c r="AB11" s="119">
        <f t="shared" si="16"/>
        <v>231678.26402105237</v>
      </c>
      <c r="AC11" s="138">
        <f t="shared" ref="AC11:AC37" si="17">((AB11/G11)^(1/($AB$4-$H$2) ))-1</f>
        <v>0.13464433455420877</v>
      </c>
      <c r="AD11" s="31">
        <v>0.08</v>
      </c>
      <c r="AE11" s="127">
        <f t="shared" si="15"/>
        <v>1877660.2122202946</v>
      </c>
    </row>
    <row r="12" spans="2:31">
      <c r="B12" s="20"/>
      <c r="C12" s="141"/>
      <c r="D12" s="141"/>
      <c r="E12" s="149"/>
      <c r="F12" s="149"/>
      <c r="G12" s="150"/>
      <c r="H12" s="151">
        <f>(H11-G11)/H11</f>
        <v>-0.11686241164904076</v>
      </c>
      <c r="I12" s="151">
        <f t="shared" ref="I12" si="18">(I11-H11)/I11</f>
        <v>0.19385656756062034</v>
      </c>
      <c r="J12" s="151">
        <f t="shared" ref="J12" si="19">(J11-I11)/J11</f>
        <v>0.30635047992630232</v>
      </c>
      <c r="K12" s="151">
        <f t="shared" ref="K12" si="20">(K11-J11)/K11</f>
        <v>0.33621982010415025</v>
      </c>
      <c r="L12" s="151">
        <f t="shared" ref="L12" si="21">(L11-K11)/L11</f>
        <v>0.33518673940411248</v>
      </c>
      <c r="M12" s="151">
        <f t="shared" ref="M12" si="22">(M11-L11)/M11</f>
        <v>-0.18034207878647163</v>
      </c>
      <c r="N12" s="151">
        <f t="shared" ref="N12" si="23">(N11-M11)/N11</f>
        <v>0.2318621739233824</v>
      </c>
      <c r="O12" s="151">
        <f t="shared" ref="O12" si="24">(O11-N11)/O11</f>
        <v>-1.780117383675198E-2</v>
      </c>
      <c r="P12" s="151">
        <f t="shared" ref="P12" si="25">(P11-O11)/P11</f>
        <v>7.4863975280446027E-2</v>
      </c>
      <c r="Q12" s="128"/>
      <c r="R12" s="128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38"/>
      <c r="AD12" s="31"/>
      <c r="AE12" s="127"/>
    </row>
    <row r="13" spans="2:31">
      <c r="B13" s="20" t="s">
        <v>2</v>
      </c>
      <c r="C13" s="141"/>
      <c r="D13" s="141"/>
      <c r="E13" s="149"/>
      <c r="F13" s="149"/>
      <c r="G13" s="149">
        <v>270</v>
      </c>
      <c r="H13" s="149">
        <v>385</v>
      </c>
      <c r="I13" s="149">
        <v>259</v>
      </c>
      <c r="J13" s="149">
        <v>409</v>
      </c>
      <c r="K13" s="149">
        <v>388</v>
      </c>
      <c r="L13" s="149">
        <v>805.31</v>
      </c>
      <c r="M13" s="149">
        <v>664</v>
      </c>
      <c r="N13" s="149">
        <v>874</v>
      </c>
      <c r="O13" s="149">
        <v>1446</v>
      </c>
      <c r="P13" s="149">
        <v>50456</v>
      </c>
      <c r="Q13" s="118">
        <f t="shared" si="4"/>
        <v>0.78811044192930235</v>
      </c>
      <c r="R13" s="31">
        <v>0.1</v>
      </c>
      <c r="S13" s="119">
        <f t="shared" si="1"/>
        <v>55501.600000000006</v>
      </c>
      <c r="T13" s="119">
        <f t="shared" ref="T13:AB13" si="26">S13*(1+$R13)</f>
        <v>61051.760000000009</v>
      </c>
      <c r="U13" s="119">
        <f t="shared" si="26"/>
        <v>67156.936000000016</v>
      </c>
      <c r="V13" s="119">
        <f t="shared" si="26"/>
        <v>73872.629600000029</v>
      </c>
      <c r="W13" s="119">
        <f t="shared" si="26"/>
        <v>81259.892560000037</v>
      </c>
      <c r="X13" s="119">
        <f t="shared" si="26"/>
        <v>89385.881816000052</v>
      </c>
      <c r="Y13" s="119">
        <f t="shared" si="26"/>
        <v>98324.46999760007</v>
      </c>
      <c r="Z13" s="119">
        <f t="shared" si="26"/>
        <v>108156.91699736008</v>
      </c>
      <c r="AA13" s="119">
        <f t="shared" si="26"/>
        <v>118972.6086970961</v>
      </c>
      <c r="AB13" s="119">
        <f t="shared" si="26"/>
        <v>130869.86956680572</v>
      </c>
      <c r="AC13" s="138">
        <f t="shared" si="17"/>
        <v>0.38465263703694119</v>
      </c>
      <c r="AD13" s="31">
        <v>0.08</v>
      </c>
      <c r="AE13" s="127">
        <f t="shared" si="15"/>
        <v>1294352.2143168431</v>
      </c>
    </row>
    <row r="14" spans="2:31">
      <c r="B14" s="20" t="s">
        <v>218</v>
      </c>
      <c r="C14" s="141"/>
      <c r="D14" s="141"/>
      <c r="E14" s="149"/>
      <c r="F14" s="149"/>
      <c r="G14" s="149">
        <v>18428</v>
      </c>
      <c r="H14" s="149">
        <v>23083</v>
      </c>
      <c r="I14" s="149">
        <v>6666</v>
      </c>
      <c r="J14" s="149">
        <v>5268</v>
      </c>
      <c r="K14" s="149">
        <v>9522</v>
      </c>
      <c r="L14" s="149">
        <v>6435</v>
      </c>
      <c r="M14" s="149">
        <v>9138</v>
      </c>
      <c r="N14" s="149">
        <v>16963</v>
      </c>
      <c r="O14" s="149">
        <v>38596</v>
      </c>
      <c r="P14" s="149">
        <v>42848</v>
      </c>
      <c r="Q14" s="118">
        <f t="shared" si="4"/>
        <v>9.8289743649686123E-2</v>
      </c>
      <c r="R14" s="31">
        <v>0.1</v>
      </c>
      <c r="S14" s="119">
        <f t="shared" si="1"/>
        <v>47132.800000000003</v>
      </c>
      <c r="T14" s="119">
        <f t="shared" ref="T14:AB14" si="27">S14*(1+$R14)</f>
        <v>51846.080000000009</v>
      </c>
      <c r="U14" s="119">
        <f t="shared" si="27"/>
        <v>57030.688000000016</v>
      </c>
      <c r="V14" s="119">
        <f t="shared" si="27"/>
        <v>62733.756800000025</v>
      </c>
      <c r="W14" s="119">
        <f t="shared" si="27"/>
        <v>69007.132480000029</v>
      </c>
      <c r="X14" s="119">
        <f t="shared" si="27"/>
        <v>75907.845728000044</v>
      </c>
      <c r="Y14" s="119">
        <f t="shared" si="27"/>
        <v>83498.630300800054</v>
      </c>
      <c r="Z14" s="119">
        <f t="shared" si="27"/>
        <v>91848.493330880068</v>
      </c>
      <c r="AA14" s="119">
        <f t="shared" si="27"/>
        <v>101033.34266396808</v>
      </c>
      <c r="AB14" s="119">
        <f t="shared" si="27"/>
        <v>111136.67693036491</v>
      </c>
      <c r="AC14" s="138">
        <f t="shared" si="17"/>
        <v>9.918954684545489E-2</v>
      </c>
      <c r="AD14" s="31">
        <v>0.08</v>
      </c>
      <c r="AE14" s="127">
        <f t="shared" si="15"/>
        <v>872573.38252141071</v>
      </c>
    </row>
    <row r="15" spans="2:31">
      <c r="B15" s="20" t="s">
        <v>19</v>
      </c>
      <c r="C15" s="141"/>
      <c r="D15" s="141"/>
      <c r="E15" s="149"/>
      <c r="F15" s="149"/>
      <c r="G15" s="149">
        <v>10773</v>
      </c>
      <c r="H15" s="149">
        <v>11726</v>
      </c>
      <c r="I15" s="149">
        <v>14956</v>
      </c>
      <c r="J15" s="149">
        <v>16697</v>
      </c>
      <c r="K15" s="149">
        <v>25583</v>
      </c>
      <c r="L15" s="149">
        <v>59842</v>
      </c>
      <c r="M15" s="149">
        <v>74104</v>
      </c>
      <c r="N15" s="149">
        <v>104119</v>
      </c>
      <c r="O15" s="149">
        <v>124916</v>
      </c>
      <c r="P15" s="149">
        <v>136070</v>
      </c>
      <c r="Q15" s="118">
        <f t="shared" si="4"/>
        <v>0.32550275918844718</v>
      </c>
      <c r="R15" s="31">
        <v>0.1</v>
      </c>
      <c r="S15" s="119">
        <f t="shared" si="1"/>
        <v>149677</v>
      </c>
      <c r="T15" s="119">
        <f t="shared" ref="T15:AB15" si="28">S15*(1+$R15)</f>
        <v>164644.70000000001</v>
      </c>
      <c r="U15" s="119">
        <f t="shared" si="28"/>
        <v>181109.17000000004</v>
      </c>
      <c r="V15" s="119">
        <f t="shared" si="28"/>
        <v>199220.08700000006</v>
      </c>
      <c r="W15" s="119">
        <f t="shared" si="28"/>
        <v>219142.09570000009</v>
      </c>
      <c r="X15" s="119">
        <f t="shared" si="28"/>
        <v>241056.30527000013</v>
      </c>
      <c r="Y15" s="119">
        <f t="shared" si="28"/>
        <v>265161.93579700019</v>
      </c>
      <c r="Z15" s="119">
        <f t="shared" si="28"/>
        <v>291678.12937670021</v>
      </c>
      <c r="AA15" s="119">
        <f t="shared" si="28"/>
        <v>320845.94231437024</v>
      </c>
      <c r="AB15" s="119">
        <f t="shared" si="28"/>
        <v>352930.53654580732</v>
      </c>
      <c r="AC15" s="138">
        <f t="shared" si="17"/>
        <v>0.20158749171311086</v>
      </c>
      <c r="AD15" s="31">
        <v>0.08</v>
      </c>
      <c r="AE15" s="127">
        <f t="shared" si="15"/>
        <v>3029120.8439788502</v>
      </c>
    </row>
    <row r="16" spans="2:31">
      <c r="B16" s="20" t="s">
        <v>23</v>
      </c>
      <c r="C16" s="141"/>
      <c r="D16" s="141"/>
      <c r="E16" s="149"/>
      <c r="F16" s="149"/>
      <c r="G16" s="149">
        <v>2360</v>
      </c>
      <c r="H16" s="149">
        <v>1702</v>
      </c>
      <c r="I16" s="149">
        <v>2968</v>
      </c>
      <c r="J16" s="149">
        <v>5873</v>
      </c>
      <c r="K16" s="149">
        <v>16823</v>
      </c>
      <c r="L16" s="149">
        <v>10322</v>
      </c>
      <c r="M16" s="149">
        <v>19815</v>
      </c>
      <c r="N16" s="149">
        <v>34194</v>
      </c>
      <c r="O16" s="149">
        <v>47845</v>
      </c>
      <c r="P16" s="149">
        <v>46039</v>
      </c>
      <c r="Q16" s="118">
        <f t="shared" si="4"/>
        <v>0.39109598661837897</v>
      </c>
      <c r="R16" s="31">
        <v>0.1</v>
      </c>
      <c r="S16" s="119">
        <f t="shared" si="1"/>
        <v>50642.9</v>
      </c>
      <c r="T16" s="119">
        <f t="shared" ref="T16:AB16" si="29">S16*(1+$R16)</f>
        <v>55707.19000000001</v>
      </c>
      <c r="U16" s="119">
        <f t="shared" si="29"/>
        <v>61277.909000000014</v>
      </c>
      <c r="V16" s="119">
        <f t="shared" si="29"/>
        <v>67405.699900000021</v>
      </c>
      <c r="W16" s="119">
        <f t="shared" si="29"/>
        <v>74146.269890000025</v>
      </c>
      <c r="X16" s="119">
        <f t="shared" si="29"/>
        <v>81560.896879000036</v>
      </c>
      <c r="Y16" s="119">
        <f t="shared" si="29"/>
        <v>89716.986566900043</v>
      </c>
      <c r="Z16" s="119">
        <f t="shared" si="29"/>
        <v>98688.685223590059</v>
      </c>
      <c r="AA16" s="119">
        <f t="shared" si="29"/>
        <v>108557.55374594907</v>
      </c>
      <c r="AB16" s="119">
        <f t="shared" si="29"/>
        <v>119413.30912054399</v>
      </c>
      <c r="AC16" s="138">
        <f t="shared" si="17"/>
        <v>0.22939549510201895</v>
      </c>
      <c r="AD16" s="31">
        <v>0.08</v>
      </c>
      <c r="AE16" s="127">
        <f t="shared" si="15"/>
        <v>1048615.6020572972</v>
      </c>
    </row>
    <row r="17" spans="2:31">
      <c r="B17" s="20"/>
      <c r="C17" s="141"/>
      <c r="D17" s="141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28"/>
      <c r="R17" s="128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39"/>
      <c r="AD17" s="20"/>
      <c r="AE17" s="20"/>
    </row>
    <row r="18" spans="2:31">
      <c r="B18" s="20" t="s">
        <v>278</v>
      </c>
      <c r="C18" s="141"/>
      <c r="D18" s="141"/>
      <c r="E18" s="149"/>
      <c r="F18" s="149"/>
      <c r="G18" s="149">
        <v>31855</v>
      </c>
      <c r="H18" s="149">
        <v>30254</v>
      </c>
      <c r="I18" s="149">
        <v>56290</v>
      </c>
      <c r="J18" s="149">
        <v>64822</v>
      </c>
      <c r="K18" s="149">
        <v>64061</v>
      </c>
      <c r="L18" s="149">
        <v>107044</v>
      </c>
      <c r="M18" s="149">
        <v>160191</v>
      </c>
      <c r="N18" s="149">
        <v>158099</v>
      </c>
      <c r="O18" s="149">
        <v>157682</v>
      </c>
      <c r="P18" s="149">
        <v>166248</v>
      </c>
      <c r="Q18" s="118">
        <f>((P18/G18)^(1/($H$3-$H$2) ))-1</f>
        <v>0.20151993279274949</v>
      </c>
      <c r="R18" s="31">
        <v>0.1</v>
      </c>
      <c r="S18" s="119">
        <f t="shared" ref="S18:S31" si="30">P18*(1+$R18)</f>
        <v>182872.80000000002</v>
      </c>
      <c r="T18" s="119">
        <f t="shared" ref="T18:T31" si="31">S18*(1+$R18)</f>
        <v>201160.08000000005</v>
      </c>
      <c r="U18" s="119">
        <f t="shared" ref="U18:U31" si="32">T18*(1+$R18)</f>
        <v>221276.08800000008</v>
      </c>
      <c r="V18" s="119">
        <f t="shared" ref="V18:V31" si="33">U18*(1+$R18)</f>
        <v>243403.69680000009</v>
      </c>
      <c r="W18" s="119">
        <f t="shared" ref="W18:W33" si="34">V18*(1+$R18)</f>
        <v>267744.0664800001</v>
      </c>
      <c r="X18" s="119">
        <f t="shared" ref="X18:X33" si="35">W18*(1+$R18)</f>
        <v>294518.47312800016</v>
      </c>
      <c r="Y18" s="119">
        <f t="shared" ref="Y18:Y33" si="36">X18*(1+$R18)</f>
        <v>323970.32044080022</v>
      </c>
      <c r="Z18" s="119">
        <f t="shared" ref="Z18:Z33" si="37">Y18*(1+$R18)</f>
        <v>356367.35248488025</v>
      </c>
      <c r="AA18" s="119">
        <f t="shared" ref="AA18:AA33" si="38">Z18*(1+$R18)</f>
        <v>392004.08773336833</v>
      </c>
      <c r="AB18" s="119">
        <f t="shared" ref="AB18:AB33" si="39">AA18*(1+$R18)</f>
        <v>431204.49650670518</v>
      </c>
      <c r="AC18" s="138">
        <f t="shared" si="17"/>
        <v>0.1469723013146842</v>
      </c>
      <c r="AD18" s="31">
        <v>0.08</v>
      </c>
      <c r="AE18" s="127">
        <f>(AB18*(1+AC18))/($C$2-AD18)</f>
        <v>3532711.5263966806</v>
      </c>
    </row>
    <row r="19" spans="2:31">
      <c r="B19" s="20"/>
      <c r="C19" s="141"/>
      <c r="D19" s="141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28"/>
      <c r="R19" s="128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38"/>
      <c r="AD19" s="20"/>
      <c r="AE19" s="20"/>
    </row>
    <row r="20" spans="2:31">
      <c r="B20" s="20" t="s">
        <v>285</v>
      </c>
      <c r="C20" s="141"/>
      <c r="D20" s="141"/>
      <c r="E20" s="149"/>
      <c r="F20" s="149">
        <v>6598</v>
      </c>
      <c r="G20" s="149">
        <v>11668</v>
      </c>
      <c r="H20" s="149">
        <v>17305</v>
      </c>
      <c r="I20" s="149">
        <v>10273</v>
      </c>
      <c r="J20" s="149">
        <v>16748</v>
      </c>
      <c r="K20" s="149">
        <v>16233</v>
      </c>
      <c r="L20" s="149">
        <v>16287</v>
      </c>
      <c r="M20" s="149">
        <v>20494</v>
      </c>
      <c r="N20" s="149">
        <v>33338</v>
      </c>
      <c r="O20" s="149">
        <v>24483</v>
      </c>
      <c r="P20" s="149">
        <v>36918</v>
      </c>
      <c r="Q20" s="118">
        <f>((P20/G20)^(1/($H$3-$H$2) ))-1</f>
        <v>0.13653395738299268</v>
      </c>
      <c r="R20" s="31">
        <v>0.1</v>
      </c>
      <c r="S20" s="119">
        <f t="shared" ref="S20:S22" si="40">P20*(1+$R20)</f>
        <v>40609.800000000003</v>
      </c>
      <c r="T20" s="119">
        <f t="shared" ref="T20:T22" si="41">S20*(1+$R20)</f>
        <v>44670.780000000006</v>
      </c>
      <c r="U20" s="119">
        <f t="shared" ref="U20:U22" si="42">T20*(1+$R20)</f>
        <v>49137.858000000007</v>
      </c>
      <c r="V20" s="119">
        <f t="shared" ref="V20:V22" si="43">U20*(1+$R20)</f>
        <v>54051.643800000013</v>
      </c>
      <c r="W20" s="119">
        <f t="shared" ref="W20:W22" si="44">V20*(1+$R20)</f>
        <v>59456.808180000022</v>
      </c>
      <c r="X20" s="119">
        <f t="shared" ref="X20:X22" si="45">W20*(1+$R20)</f>
        <v>65402.48899800003</v>
      </c>
      <c r="Y20" s="119">
        <f t="shared" ref="Y20:Y22" si="46">X20*(1+$R20)</f>
        <v>71942.737897800034</v>
      </c>
      <c r="Z20" s="119">
        <f t="shared" ref="Z20:Z22" si="47">Y20*(1+$R20)</f>
        <v>79137.011687580045</v>
      </c>
      <c r="AA20" s="119">
        <f t="shared" ref="AA20:AA22" si="48">Z20*(1+$R20)</f>
        <v>87050.712856338054</v>
      </c>
      <c r="AB20" s="119">
        <f t="shared" ref="AB20:AB22" si="49">AA20*(1+$R20)</f>
        <v>95755.784141971861</v>
      </c>
      <c r="AC20" s="138">
        <f t="shared" ref="AC20:AC22" si="50">((AB20/G20)^(1/($AB$4-$H$2) ))-1</f>
        <v>0.11715680849144405</v>
      </c>
      <c r="AD20" s="31">
        <v>0.05</v>
      </c>
      <c r="AE20" s="127">
        <f>(AB20*(1+AC20))/($C$2-AD20)</f>
        <v>629260.1541567113</v>
      </c>
    </row>
    <row r="21" spans="2:31">
      <c r="B21" s="20" t="s">
        <v>286</v>
      </c>
      <c r="C21" s="141"/>
      <c r="D21" s="141"/>
      <c r="E21" s="149"/>
      <c r="F21" s="149">
        <v>-6989</v>
      </c>
      <c r="G21" s="149">
        <v>-10500</v>
      </c>
      <c r="H21" s="149">
        <v>-8213</v>
      </c>
      <c r="I21" s="149">
        <v>-13189</v>
      </c>
      <c r="J21" s="149">
        <v>-29245</v>
      </c>
      <c r="K21" s="149">
        <v>-30425</v>
      </c>
      <c r="L21" s="149">
        <v>-23106</v>
      </c>
      <c r="M21" s="149">
        <v>-18230</v>
      </c>
      <c r="N21" s="149">
        <v>-32043</v>
      </c>
      <c r="O21" s="149">
        <v>-6301</v>
      </c>
      <c r="P21" s="149">
        <v>-27650</v>
      </c>
      <c r="Q21" s="118">
        <f>((P21/G21)^(1/($H$3-$H$2) ))-1</f>
        <v>0.11358371377139531</v>
      </c>
      <c r="R21" s="31">
        <v>0.1</v>
      </c>
      <c r="S21" s="119">
        <f t="shared" si="40"/>
        <v>-30415.000000000004</v>
      </c>
      <c r="T21" s="119">
        <f t="shared" si="41"/>
        <v>-33456.500000000007</v>
      </c>
      <c r="U21" s="119">
        <f t="shared" si="42"/>
        <v>-36802.150000000009</v>
      </c>
      <c r="V21" s="119">
        <f t="shared" si="43"/>
        <v>-40482.365000000013</v>
      </c>
      <c r="W21" s="119">
        <f t="shared" si="44"/>
        <v>-44530.601500000019</v>
      </c>
      <c r="X21" s="119">
        <f t="shared" si="45"/>
        <v>-48983.661650000024</v>
      </c>
      <c r="Y21" s="119">
        <f t="shared" si="46"/>
        <v>-53882.02781500003</v>
      </c>
      <c r="Z21" s="119">
        <f t="shared" si="47"/>
        <v>-59270.230596500041</v>
      </c>
      <c r="AA21" s="119">
        <f t="shared" si="48"/>
        <v>-65197.253656150053</v>
      </c>
      <c r="AB21" s="119">
        <f t="shared" si="49"/>
        <v>-71716.979021765059</v>
      </c>
      <c r="AC21" s="138">
        <f t="shared" si="50"/>
        <v>0.10641361129884874</v>
      </c>
      <c r="AD21" s="31">
        <v>0.05</v>
      </c>
      <c r="AE21" s="127">
        <f>(AB21*(1+AC21))/($C$2-AD21)</f>
        <v>-466756.71618185216</v>
      </c>
    </row>
    <row r="22" spans="2:31">
      <c r="B22" s="20" t="s">
        <v>287</v>
      </c>
      <c r="C22" s="141"/>
      <c r="D22" s="141"/>
      <c r="E22" s="149"/>
      <c r="F22" s="149">
        <v>-1222</v>
      </c>
      <c r="G22" s="149">
        <v>-1046</v>
      </c>
      <c r="H22" s="149">
        <v>-5706</v>
      </c>
      <c r="I22" s="149">
        <v>1916</v>
      </c>
      <c r="J22" s="149">
        <v>-10736</v>
      </c>
      <c r="K22" s="149">
        <v>16716</v>
      </c>
      <c r="L22" s="149">
        <v>25036</v>
      </c>
      <c r="M22" s="149">
        <v>-11133</v>
      </c>
      <c r="N22" s="149">
        <v>14949</v>
      </c>
      <c r="O22" s="149">
        <v>-7590</v>
      </c>
      <c r="P22" s="149">
        <v>408</v>
      </c>
      <c r="Q22" s="118">
        <f>((P22/G22)^(1/($H$3-$H$2) ))-1</f>
        <v>-1.9006785727531192</v>
      </c>
      <c r="R22" s="31">
        <v>0.05</v>
      </c>
      <c r="S22" s="119">
        <f t="shared" si="40"/>
        <v>428.40000000000003</v>
      </c>
      <c r="T22" s="119">
        <f t="shared" si="41"/>
        <v>449.82000000000005</v>
      </c>
      <c r="U22" s="119">
        <f t="shared" si="42"/>
        <v>472.31100000000009</v>
      </c>
      <c r="V22" s="119">
        <f t="shared" si="43"/>
        <v>495.92655000000013</v>
      </c>
      <c r="W22" s="119">
        <f t="shared" si="44"/>
        <v>520.72287750000021</v>
      </c>
      <c r="X22" s="119">
        <f t="shared" si="45"/>
        <v>546.7590213750002</v>
      </c>
      <c r="Y22" s="119">
        <f t="shared" si="46"/>
        <v>574.09697244375025</v>
      </c>
      <c r="Z22" s="119">
        <f t="shared" si="47"/>
        <v>602.80182106593782</v>
      </c>
      <c r="AA22" s="119">
        <f t="shared" si="48"/>
        <v>632.94191211923476</v>
      </c>
      <c r="AB22" s="119">
        <f t="shared" si="49"/>
        <v>664.58900772519655</v>
      </c>
      <c r="AC22" s="138">
        <f t="shared" si="50"/>
        <v>-1.9764111022592448</v>
      </c>
      <c r="AD22" s="31">
        <v>0.05</v>
      </c>
      <c r="AE22" s="127">
        <f>(AB22*(1+AC22))/($C$2-AD22)</f>
        <v>-3817.1299151902172</v>
      </c>
    </row>
    <row r="23" spans="2:31">
      <c r="B23" s="20" t="s">
        <v>295</v>
      </c>
      <c r="C23" s="141"/>
      <c r="D23" s="141"/>
      <c r="E23" s="149"/>
      <c r="F23" s="149">
        <v>150</v>
      </c>
      <c r="G23" s="149">
        <v>270</v>
      </c>
      <c r="H23" s="149">
        <v>3610</v>
      </c>
      <c r="I23" s="149">
        <v>2616</v>
      </c>
      <c r="J23" s="149">
        <v>1937</v>
      </c>
      <c r="K23" s="149">
        <v>4474</v>
      </c>
      <c r="L23" s="149">
        <v>22742</v>
      </c>
      <c r="M23" s="149">
        <v>13890</v>
      </c>
      <c r="N23" s="149">
        <v>30139</v>
      </c>
      <c r="O23" s="149">
        <v>40731</v>
      </c>
      <c r="P23" s="149">
        <v>50456</v>
      </c>
      <c r="Q23" s="118">
        <f>((P23/G23)^(1/($H$3-$H$2) ))-1</f>
        <v>0.78811044192930235</v>
      </c>
      <c r="R23" s="31">
        <v>0.1</v>
      </c>
      <c r="S23" s="119">
        <f t="shared" ref="S23" si="51">P23*(1+$R23)</f>
        <v>55501.600000000006</v>
      </c>
      <c r="T23" s="119">
        <f t="shared" ref="T23" si="52">S23*(1+$R23)</f>
        <v>61051.760000000009</v>
      </c>
      <c r="U23" s="119">
        <f t="shared" ref="U23" si="53">T23*(1+$R23)</f>
        <v>67156.936000000016</v>
      </c>
      <c r="V23" s="119">
        <f t="shared" ref="V23" si="54">U23*(1+$R23)</f>
        <v>73872.629600000029</v>
      </c>
      <c r="W23" s="119">
        <f t="shared" ref="W23" si="55">V23*(1+$R23)</f>
        <v>81259.892560000037</v>
      </c>
      <c r="X23" s="119">
        <f t="shared" ref="X23" si="56">W23*(1+$R23)</f>
        <v>89385.881816000052</v>
      </c>
      <c r="Y23" s="119">
        <f t="shared" ref="Y23" si="57">X23*(1+$R23)</f>
        <v>98324.46999760007</v>
      </c>
      <c r="Z23" s="119">
        <f t="shared" ref="Z23" si="58">Y23*(1+$R23)</f>
        <v>108156.91699736008</v>
      </c>
      <c r="AA23" s="119">
        <f t="shared" ref="AA23" si="59">Z23*(1+$R23)</f>
        <v>118972.6086970961</v>
      </c>
      <c r="AB23" s="119">
        <f t="shared" ref="AB23" si="60">AA23*(1+$R23)</f>
        <v>130869.86956680572</v>
      </c>
      <c r="AC23" s="138">
        <f t="shared" ref="AC23" si="61">((AB23/G23)^(1/($AB$4-$H$2) ))-1</f>
        <v>0.38465263703694119</v>
      </c>
      <c r="AD23" s="31">
        <v>0.05</v>
      </c>
      <c r="AE23" s="127">
        <f>(AB23*(1+AC23))/($C$2-AD23)</f>
        <v>1065937.1176726946</v>
      </c>
    </row>
    <row r="24" spans="2:31">
      <c r="B24" s="20"/>
      <c r="C24" s="141"/>
      <c r="D24" s="141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28"/>
      <c r="R24" s="128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38"/>
      <c r="AD24" s="20"/>
      <c r="AE24" s="20"/>
    </row>
    <row r="25" spans="2:31">
      <c r="B25" s="20" t="s">
        <v>89</v>
      </c>
      <c r="C25" s="141"/>
      <c r="D25" s="141"/>
      <c r="E25" s="149"/>
      <c r="F25" s="149"/>
      <c r="G25" s="149">
        <v>52943</v>
      </c>
      <c r="H25" s="149">
        <v>67592</v>
      </c>
      <c r="I25" s="149">
        <v>85777</v>
      </c>
      <c r="J25" s="149">
        <v>114796</v>
      </c>
      <c r="K25" s="149">
        <v>145990</v>
      </c>
      <c r="L25" s="149">
        <v>154900</v>
      </c>
      <c r="M25" s="149">
        <v>220855</v>
      </c>
      <c r="N25" s="149">
        <v>272772</v>
      </c>
      <c r="O25" s="149">
        <v>367257</v>
      </c>
      <c r="P25" s="149">
        <v>409883</v>
      </c>
      <c r="Q25" s="118">
        <f>((P25/G25)^(1/($H$3-$H$2) ))-1</f>
        <v>0.25533969592264438</v>
      </c>
      <c r="R25" s="31">
        <v>0.1</v>
      </c>
      <c r="S25" s="119">
        <f t="shared" si="30"/>
        <v>450871.30000000005</v>
      </c>
      <c r="T25" s="119">
        <f t="shared" si="31"/>
        <v>495958.43000000011</v>
      </c>
      <c r="U25" s="119">
        <f t="shared" si="32"/>
        <v>545554.27300000016</v>
      </c>
      <c r="V25" s="119">
        <f t="shared" si="33"/>
        <v>600109.70030000026</v>
      </c>
      <c r="W25" s="119">
        <f t="shared" si="34"/>
        <v>660120.67033000034</v>
      </c>
      <c r="X25" s="119">
        <f t="shared" si="35"/>
        <v>726132.7373630004</v>
      </c>
      <c r="Y25" s="119">
        <f t="shared" si="36"/>
        <v>798746.01109930046</v>
      </c>
      <c r="Z25" s="119">
        <f t="shared" si="37"/>
        <v>878620.61220923054</v>
      </c>
      <c r="AA25" s="119">
        <f t="shared" si="38"/>
        <v>966482.67343015363</v>
      </c>
      <c r="AB25" s="119">
        <f t="shared" si="39"/>
        <v>1063130.940773169</v>
      </c>
      <c r="AC25" s="138">
        <f t="shared" si="17"/>
        <v>0.17102798602323288</v>
      </c>
      <c r="AD25" s="31">
        <v>0.08</v>
      </c>
      <c r="AE25" s="127">
        <f>(AB25*(1+AC25))/($C$2-AD25)</f>
        <v>8892543.460375635</v>
      </c>
    </row>
    <row r="26" spans="2:31" s="123" customFormat="1">
      <c r="B26" s="23"/>
      <c r="C26" s="153"/>
      <c r="D26" s="153"/>
      <c r="E26" s="154"/>
      <c r="F26" s="154"/>
      <c r="G26" s="155"/>
      <c r="H26" s="152">
        <f>(H25-G25)/H25</f>
        <v>0.21672683157770151</v>
      </c>
      <c r="I26" s="152">
        <f t="shared" ref="I26" si="62">(I25-H25)/I25</f>
        <v>0.21200321764575586</v>
      </c>
      <c r="J26" s="152">
        <f t="shared" ref="J26" si="63">(J25-I25)/J25</f>
        <v>0.25278755357329524</v>
      </c>
      <c r="K26" s="152">
        <f t="shared" ref="K26" si="64">(K25-J25)/K25</f>
        <v>0.21367216932666622</v>
      </c>
      <c r="L26" s="152">
        <f t="shared" ref="L26" si="65">(L25-K25)/L25</f>
        <v>5.7520981278244031E-2</v>
      </c>
      <c r="M26" s="152">
        <f t="shared" ref="M26" si="66">(M25-L25)/M25</f>
        <v>0.29863485092028708</v>
      </c>
      <c r="N26" s="152">
        <f t="shared" ref="N26" si="67">(N25-M25)/N25</f>
        <v>0.19033111902981245</v>
      </c>
      <c r="O26" s="152">
        <f t="shared" ref="O26" si="68">(O25-N25)/O25</f>
        <v>0.2572721554660633</v>
      </c>
      <c r="P26" s="152">
        <f t="shared" ref="P26" si="69">(P25-O25)/P25</f>
        <v>0.10399553043185494</v>
      </c>
      <c r="Q26" s="3"/>
      <c r="R26" s="3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7"/>
      <c r="AD26" s="158"/>
      <c r="AE26" s="159"/>
    </row>
    <row r="27" spans="2:31">
      <c r="B27" s="20" t="s">
        <v>262</v>
      </c>
      <c r="C27" s="141"/>
      <c r="D27" s="141"/>
      <c r="E27" s="149"/>
      <c r="F27" s="149"/>
      <c r="G27" s="149">
        <v>41890</v>
      </c>
      <c r="H27" s="149">
        <v>53237</v>
      </c>
      <c r="I27" s="149">
        <v>70298</v>
      </c>
      <c r="J27" s="149">
        <v>93894</v>
      </c>
      <c r="K27" s="149">
        <v>116707</v>
      </c>
      <c r="L27" s="149">
        <v>129232</v>
      </c>
      <c r="M27" s="149">
        <v>179153</v>
      </c>
      <c r="N27" s="149">
        <v>232169</v>
      </c>
      <c r="O27" s="149">
        <v>326554</v>
      </c>
      <c r="P27" s="149">
        <v>368971</v>
      </c>
      <c r="Q27" s="118">
        <f>((P27/G27)^(1/($H$3-$H$2) ))-1</f>
        <v>0.27346459383452504</v>
      </c>
      <c r="R27" s="31">
        <v>0.1</v>
      </c>
      <c r="S27" s="119">
        <f t="shared" si="30"/>
        <v>405868.10000000003</v>
      </c>
      <c r="T27" s="119">
        <f t="shared" si="31"/>
        <v>446454.91000000009</v>
      </c>
      <c r="U27" s="119">
        <f t="shared" si="32"/>
        <v>491100.40100000013</v>
      </c>
      <c r="V27" s="119">
        <f t="shared" si="33"/>
        <v>540210.44110000017</v>
      </c>
      <c r="W27" s="119">
        <f t="shared" si="34"/>
        <v>594231.48521000019</v>
      </c>
      <c r="X27" s="119">
        <f t="shared" si="35"/>
        <v>653654.63373100024</v>
      </c>
      <c r="Y27" s="119">
        <f t="shared" si="36"/>
        <v>719020.09710410028</v>
      </c>
      <c r="Z27" s="119">
        <f t="shared" si="37"/>
        <v>790922.10681451042</v>
      </c>
      <c r="AA27" s="119">
        <f t="shared" si="38"/>
        <v>870014.31749596156</v>
      </c>
      <c r="AB27" s="119">
        <f t="shared" si="39"/>
        <v>957015.74924555782</v>
      </c>
      <c r="AC27" s="138">
        <f t="shared" si="17"/>
        <v>0.17900663367463876</v>
      </c>
      <c r="AD27" s="31">
        <v>0.08</v>
      </c>
      <c r="AE27" s="127">
        <f>(AB27*(1+AC27))/($C$2-AD27)</f>
        <v>8059485.1206544079</v>
      </c>
    </row>
    <row r="28" spans="2:31" s="123" customFormat="1">
      <c r="B28" s="23"/>
      <c r="C28" s="153"/>
      <c r="D28" s="153"/>
      <c r="E28" s="154"/>
      <c r="F28" s="154"/>
      <c r="G28" s="155"/>
      <c r="H28" s="152">
        <f>(H27-G27)/H27</f>
        <v>0.21314123635817195</v>
      </c>
      <c r="I28" s="152">
        <f t="shared" ref="I28" si="70">(I27-H27)/I27</f>
        <v>0.24269538251443853</v>
      </c>
      <c r="J28" s="152">
        <f t="shared" ref="J28" si="71">(J27-I27)/J27</f>
        <v>0.25130466270475216</v>
      </c>
      <c r="K28" s="152">
        <f t="shared" ref="K28" si="72">(K27-J27)/K27</f>
        <v>0.1954724223911162</v>
      </c>
      <c r="L28" s="152">
        <f t="shared" ref="L28" si="73">(L27-K27)/L27</f>
        <v>9.6918719821715987E-2</v>
      </c>
      <c r="M28" s="152">
        <f t="shared" ref="M28" si="74">(M27-L27)/M27</f>
        <v>0.27865009237913962</v>
      </c>
      <c r="N28" s="152">
        <f t="shared" ref="N28" si="75">(N27-M27)/N27</f>
        <v>0.22835089956023413</v>
      </c>
      <c r="O28" s="152">
        <f t="shared" ref="O28" si="76">(O27-N27)/O27</f>
        <v>0.28903336048555522</v>
      </c>
      <c r="P28" s="152">
        <f t="shared" ref="P28" si="77">(P27-O27)/P27</f>
        <v>0.11496025432893101</v>
      </c>
      <c r="Q28" s="3"/>
      <c r="R28" s="3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7"/>
      <c r="AD28" s="158"/>
      <c r="AE28" s="159"/>
    </row>
    <row r="29" spans="2:31">
      <c r="B29" s="20" t="s">
        <v>299</v>
      </c>
      <c r="C29" s="141"/>
      <c r="D29" s="141"/>
      <c r="E29" s="149"/>
      <c r="F29" s="149"/>
      <c r="G29" s="149">
        <v>0</v>
      </c>
      <c r="H29" s="149">
        <v>0</v>
      </c>
      <c r="I29" s="149">
        <v>0</v>
      </c>
      <c r="J29" s="149">
        <v>0</v>
      </c>
      <c r="K29" s="149">
        <v>0</v>
      </c>
      <c r="L29" s="149">
        <v>0</v>
      </c>
      <c r="M29" s="149">
        <v>0</v>
      </c>
      <c r="N29" s="149">
        <v>0</v>
      </c>
      <c r="O29" s="149">
        <v>0</v>
      </c>
      <c r="P29" s="149">
        <v>0</v>
      </c>
      <c r="Q29" s="118" t="e">
        <f>((P29/G29)^(1/($H$3-$H$2) ))-1</f>
        <v>#DIV/0!</v>
      </c>
      <c r="R29" s="31">
        <v>0.1</v>
      </c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38"/>
      <c r="AD29" s="31"/>
      <c r="AE29" s="127"/>
    </row>
    <row r="30" spans="2:31">
      <c r="B30" s="20" t="s">
        <v>279</v>
      </c>
      <c r="C30" s="141"/>
      <c r="D30" s="141"/>
      <c r="E30" s="149"/>
      <c r="F30" s="149"/>
      <c r="G30" s="149">
        <v>36186</v>
      </c>
      <c r="H30" s="149">
        <v>47418</v>
      </c>
      <c r="I30" s="149">
        <v>60564</v>
      </c>
      <c r="J30" s="149">
        <v>81815</v>
      </c>
      <c r="K30" s="149">
        <v>103564</v>
      </c>
      <c r="L30" s="149">
        <v>117294</v>
      </c>
      <c r="M30" s="149">
        <v>164277</v>
      </c>
      <c r="N30" s="149">
        <v>212677</v>
      </c>
      <c r="O30" s="149">
        <v>304978</v>
      </c>
      <c r="P30" s="149">
        <v>341489</v>
      </c>
      <c r="Q30" s="118">
        <f>((P30/G30)^(1/($H$3-$H$2) ))-1</f>
        <v>0.28326138701732262</v>
      </c>
      <c r="R30" s="31">
        <v>0.1</v>
      </c>
      <c r="S30" s="119">
        <f t="shared" si="30"/>
        <v>375637.9</v>
      </c>
      <c r="T30" s="119">
        <f t="shared" si="31"/>
        <v>413201.69000000006</v>
      </c>
      <c r="U30" s="119">
        <f t="shared" si="32"/>
        <v>454521.85900000011</v>
      </c>
      <c r="V30" s="119">
        <f t="shared" si="33"/>
        <v>499974.04490000015</v>
      </c>
      <c r="W30" s="119">
        <f t="shared" si="34"/>
        <v>549971.4493900002</v>
      </c>
      <c r="X30" s="119">
        <f t="shared" si="35"/>
        <v>604968.59432900022</v>
      </c>
      <c r="Y30" s="119">
        <f t="shared" si="36"/>
        <v>665465.45376190031</v>
      </c>
      <c r="Z30" s="119">
        <f t="shared" si="37"/>
        <v>732011.99913809041</v>
      </c>
      <c r="AA30" s="119">
        <f t="shared" si="38"/>
        <v>805213.19905189949</v>
      </c>
      <c r="AB30" s="119">
        <f t="shared" si="39"/>
        <v>885734.51895708952</v>
      </c>
      <c r="AC30" s="138">
        <f t="shared" si="17"/>
        <v>0.18329434503805286</v>
      </c>
      <c r="AD30" s="31">
        <v>0.08</v>
      </c>
      <c r="AE30" s="127">
        <f>(AB30*(1+AC30))/($C$2-AD30)</f>
        <v>7486318.9106208859</v>
      </c>
    </row>
    <row r="31" spans="2:31">
      <c r="B31" s="20" t="s">
        <v>304</v>
      </c>
      <c r="C31" s="141"/>
      <c r="D31" s="141"/>
      <c r="E31" s="149"/>
      <c r="F31" s="149"/>
      <c r="G31" s="149">
        <v>725</v>
      </c>
      <c r="H31" s="149">
        <v>907</v>
      </c>
      <c r="I31" s="149">
        <v>1146</v>
      </c>
      <c r="J31" s="149">
        <v>2262</v>
      </c>
      <c r="K31" s="149">
        <v>2108</v>
      </c>
      <c r="L31" s="149">
        <v>3848</v>
      </c>
      <c r="M31" s="149">
        <v>3140</v>
      </c>
      <c r="N31" s="149">
        <v>2834</v>
      </c>
      <c r="O31" s="149">
        <v>4740</v>
      </c>
      <c r="P31" s="149">
        <v>7993</v>
      </c>
      <c r="Q31" s="118">
        <f>((P31/G31)^(1/($H$3-$H$2) ))-1</f>
        <v>0.30562690081920141</v>
      </c>
      <c r="R31" s="31">
        <v>0.1</v>
      </c>
      <c r="S31" s="119">
        <f t="shared" si="30"/>
        <v>8792.3000000000011</v>
      </c>
      <c r="T31" s="119">
        <f t="shared" si="31"/>
        <v>9671.5300000000025</v>
      </c>
      <c r="U31" s="119">
        <f t="shared" si="32"/>
        <v>10638.683000000003</v>
      </c>
      <c r="V31" s="119">
        <f t="shared" si="33"/>
        <v>11702.551300000005</v>
      </c>
      <c r="W31" s="119">
        <f t="shared" si="34"/>
        <v>12872.806430000006</v>
      </c>
      <c r="X31" s="119">
        <f t="shared" si="35"/>
        <v>14160.087073000008</v>
      </c>
      <c r="Y31" s="119">
        <f t="shared" si="36"/>
        <v>15576.095780300009</v>
      </c>
      <c r="Z31" s="119">
        <f t="shared" si="37"/>
        <v>17133.705358330011</v>
      </c>
      <c r="AA31" s="119">
        <f t="shared" si="38"/>
        <v>18847.075894163016</v>
      </c>
      <c r="AB31" s="119">
        <f t="shared" si="39"/>
        <v>20731.783483579318</v>
      </c>
      <c r="AC31" s="138">
        <f t="shared" si="17"/>
        <v>0.19301882830154637</v>
      </c>
      <c r="AD31" s="31">
        <v>0.08</v>
      </c>
      <c r="AE31" s="127">
        <f>(AB31*(1+AC31))/($C$2-AD31)</f>
        <v>176667.20028700819</v>
      </c>
    </row>
    <row r="32" spans="2:31">
      <c r="B32" s="20"/>
      <c r="C32" s="141"/>
      <c r="D32" s="141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28"/>
      <c r="R32" s="128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39"/>
      <c r="AD32" s="20"/>
      <c r="AE32" s="20"/>
    </row>
    <row r="33" spans="2:31">
      <c r="B33" s="20" t="s">
        <v>280</v>
      </c>
      <c r="C33" s="141"/>
      <c r="D33" s="141"/>
      <c r="E33" s="149"/>
      <c r="F33" s="149"/>
      <c r="G33" s="149">
        <v>9577</v>
      </c>
      <c r="H33" s="149">
        <v>12703</v>
      </c>
      <c r="I33" s="149">
        <v>14512</v>
      </c>
      <c r="J33" s="149">
        <v>20578</v>
      </c>
      <c r="K33" s="149">
        <v>22335</v>
      </c>
      <c r="L33" s="149">
        <v>24372</v>
      </c>
      <c r="M33" s="149">
        <v>30252</v>
      </c>
      <c r="N33" s="149">
        <v>38004</v>
      </c>
      <c r="O33" s="149">
        <v>34819</v>
      </c>
      <c r="P33" s="149">
        <v>33045</v>
      </c>
      <c r="Q33" s="118">
        <f>((P33/G33)^(1/($H$3-$H$2) ))-1</f>
        <v>0.14752995164664484</v>
      </c>
      <c r="R33" s="31">
        <v>0.1</v>
      </c>
      <c r="S33" s="119">
        <f t="shared" ref="S33" si="78">P33*(1+$R33)</f>
        <v>36349.5</v>
      </c>
      <c r="T33" s="119">
        <f t="shared" ref="T33" si="79">S33*(1+$R33)</f>
        <v>39984.450000000004</v>
      </c>
      <c r="U33" s="119">
        <f t="shared" ref="U33" si="80">T33*(1+$R33)</f>
        <v>43982.895000000011</v>
      </c>
      <c r="V33" s="119">
        <f t="shared" ref="V33" si="81">U33*(1+$R33)</f>
        <v>48381.184500000018</v>
      </c>
      <c r="W33" s="119">
        <f t="shared" si="34"/>
        <v>53219.302950000027</v>
      </c>
      <c r="X33" s="119">
        <f t="shared" si="35"/>
        <v>58541.233245000032</v>
      </c>
      <c r="Y33" s="119">
        <f t="shared" si="36"/>
        <v>64395.356569500043</v>
      </c>
      <c r="Z33" s="119">
        <f t="shared" si="37"/>
        <v>70834.892226450058</v>
      </c>
      <c r="AA33" s="119">
        <f t="shared" si="38"/>
        <v>77918.381449095075</v>
      </c>
      <c r="AB33" s="119">
        <f t="shared" si="39"/>
        <v>85710.219594004593</v>
      </c>
      <c r="AC33" s="138">
        <f t="shared" si="17"/>
        <v>0.12226366208933581</v>
      </c>
      <c r="AD33" s="31">
        <v>0.08</v>
      </c>
      <c r="AE33" s="127">
        <f>(AB33*(1+AC33))/($C$2-AD33)</f>
        <v>687067.60657177656</v>
      </c>
    </row>
    <row r="34" spans="2:31" s="123" customFormat="1">
      <c r="B34" s="23"/>
      <c r="C34" s="153"/>
      <c r="D34" s="153"/>
      <c r="E34" s="154"/>
      <c r="F34" s="154"/>
      <c r="G34" s="155"/>
      <c r="H34" s="152">
        <f>(H33-G33)/H33</f>
        <v>0.2460836022986696</v>
      </c>
      <c r="I34" s="152">
        <f t="shared" ref="I34" si="82">(I33-H33)/I33</f>
        <v>0.12465545755237045</v>
      </c>
      <c r="J34" s="152">
        <f t="shared" ref="J34" si="83">(J33-I33)/J33</f>
        <v>0.29478083390028187</v>
      </c>
      <c r="K34" s="152">
        <f t="shared" ref="K34" si="84">(K33-J33)/K33</f>
        <v>7.8665771211103644E-2</v>
      </c>
      <c r="L34" s="152">
        <f t="shared" ref="L34" si="85">(L33-K33)/L33</f>
        <v>8.3579517479074342E-2</v>
      </c>
      <c r="M34" s="152">
        <f t="shared" ref="M34" si="86">(M33-L33)/M33</f>
        <v>0.19436731455771519</v>
      </c>
      <c r="N34" s="152">
        <f t="shared" ref="N34" si="87">(N33-M33)/N33</f>
        <v>0.20397852857593937</v>
      </c>
      <c r="O34" s="152">
        <f t="shared" ref="O34" si="88">(O33-N33)/O33</f>
        <v>-9.1473046325282178E-2</v>
      </c>
      <c r="P34" s="152">
        <f t="shared" ref="P34" si="89">(P33-O33)/P33</f>
        <v>-5.368436979875927E-2</v>
      </c>
      <c r="Q34" s="3"/>
      <c r="R34" s="3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7"/>
      <c r="AD34" s="158"/>
      <c r="AE34" s="159"/>
    </row>
    <row r="35" spans="2:31">
      <c r="B35" s="20" t="s">
        <v>257</v>
      </c>
      <c r="C35" s="141"/>
      <c r="D35" s="141"/>
      <c r="E35" s="149"/>
      <c r="F35" s="149"/>
      <c r="G35" s="149">
        <v>5168</v>
      </c>
      <c r="H35" s="149">
        <v>7628</v>
      </c>
      <c r="I35" s="149">
        <v>9394</v>
      </c>
      <c r="J35" s="149">
        <v>12074</v>
      </c>
      <c r="K35" s="149">
        <v>19523</v>
      </c>
      <c r="L35" s="149">
        <v>14950</v>
      </c>
      <c r="M35" s="149">
        <v>24423</v>
      </c>
      <c r="N35" s="149">
        <v>19271</v>
      </c>
      <c r="O35" s="149">
        <v>19717</v>
      </c>
      <c r="P35" s="149">
        <v>20886</v>
      </c>
      <c r="Q35" s="118">
        <f>((P35/G35)^(1/($H$3-$H$2) ))-1</f>
        <v>0.16786469528719095</v>
      </c>
      <c r="R35" s="31">
        <v>0.1</v>
      </c>
      <c r="S35" s="119">
        <f>P35*(1+$R35)</f>
        <v>22974.600000000002</v>
      </c>
      <c r="T35" s="119">
        <f t="shared" ref="T35:AB35" si="90">S35*(1+$R35)</f>
        <v>25272.060000000005</v>
      </c>
      <c r="U35" s="119">
        <f t="shared" si="90"/>
        <v>27799.266000000007</v>
      </c>
      <c r="V35" s="119">
        <f t="shared" si="90"/>
        <v>30579.192600000009</v>
      </c>
      <c r="W35" s="119">
        <f t="shared" si="90"/>
        <v>33637.111860000012</v>
      </c>
      <c r="X35" s="119">
        <f t="shared" si="90"/>
        <v>37000.82304600002</v>
      </c>
      <c r="Y35" s="119">
        <f t="shared" si="90"/>
        <v>40700.905350600027</v>
      </c>
      <c r="Z35" s="119">
        <f t="shared" si="90"/>
        <v>44770.995885660035</v>
      </c>
      <c r="AA35" s="119">
        <f t="shared" si="90"/>
        <v>49248.095474226044</v>
      </c>
      <c r="AB35" s="119">
        <f t="shared" si="90"/>
        <v>54172.90502164865</v>
      </c>
      <c r="AC35" s="138">
        <f t="shared" si="17"/>
        <v>0.13164028931977612</v>
      </c>
      <c r="AD35" s="31">
        <v>0.08</v>
      </c>
      <c r="AE35" s="127">
        <f>(AB35*(1+AC35))/($C$2-AD35)</f>
        <v>437887.44222850876</v>
      </c>
    </row>
    <row r="36" spans="2:31" s="123" customFormat="1">
      <c r="B36" s="23"/>
      <c r="C36" s="153"/>
      <c r="D36" s="153"/>
      <c r="E36" s="154"/>
      <c r="F36" s="154"/>
      <c r="G36" s="155"/>
      <c r="H36" s="152">
        <f>(H35-G35)/H35</f>
        <v>0.32249606712113266</v>
      </c>
      <c r="I36" s="152">
        <f t="shared" ref="I36" si="91">(I35-H35)/I35</f>
        <v>0.18799233553331915</v>
      </c>
      <c r="J36" s="152">
        <f t="shared" ref="J36" si="92">(J35-I35)/J35</f>
        <v>0.22196455192976644</v>
      </c>
      <c r="K36" s="152">
        <f t="shared" ref="K36" si="93">(K35-J35)/K35</f>
        <v>0.38154996670593661</v>
      </c>
      <c r="L36" s="152">
        <f t="shared" ref="L36" si="94">(L35-K35)/L35</f>
        <v>-0.30588628762541809</v>
      </c>
      <c r="M36" s="152">
        <f t="shared" ref="M36" si="95">(M35-L35)/M35</f>
        <v>0.38787208778610327</v>
      </c>
      <c r="N36" s="152">
        <f t="shared" ref="N36" si="96">(N35-M35)/N35</f>
        <v>-0.26734471485652017</v>
      </c>
      <c r="O36" s="152">
        <f t="shared" ref="O36" si="97">(O35-N35)/O35</f>
        <v>2.262007404777603E-2</v>
      </c>
      <c r="P36" s="152">
        <f t="shared" ref="P36" si="98">(P35-O35)/P35</f>
        <v>5.5970506559417793E-2</v>
      </c>
      <c r="Q36" s="3"/>
      <c r="R36" s="3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7"/>
      <c r="AD36" s="158"/>
      <c r="AE36" s="159"/>
    </row>
    <row r="37" spans="2:31">
      <c r="B37" s="20" t="s">
        <v>239</v>
      </c>
      <c r="C37" s="142">
        <v>1</v>
      </c>
      <c r="D37" s="142">
        <v>1</v>
      </c>
      <c r="E37" s="143">
        <v>1</v>
      </c>
      <c r="F37" s="143">
        <v>1</v>
      </c>
      <c r="G37" s="144">
        <v>139.63</v>
      </c>
      <c r="H37" s="144">
        <v>139.35</v>
      </c>
      <c r="I37" s="144">
        <v>139.35</v>
      </c>
      <c r="J37" s="144">
        <v>139.35</v>
      </c>
      <c r="K37" s="144">
        <v>145.36000000000001</v>
      </c>
      <c r="L37" s="144">
        <v>145.36000000000001</v>
      </c>
      <c r="M37" s="144">
        <v>297.8</v>
      </c>
      <c r="N37" s="144">
        <v>298.10000000000002</v>
      </c>
      <c r="O37" s="144">
        <v>297.87</v>
      </c>
      <c r="P37" s="144">
        <v>293.63</v>
      </c>
      <c r="Q37" s="118">
        <f>((P37/G37)^(1/($H$3-$H$2) ))-1</f>
        <v>8.6098156005066206E-2</v>
      </c>
      <c r="R37" s="31">
        <v>0</v>
      </c>
      <c r="S37" s="119">
        <f t="shared" ref="S37" si="99">P37*(1+$R37)</f>
        <v>293.63</v>
      </c>
      <c r="T37" s="119">
        <f t="shared" ref="T37:AB37" si="100">S37*(1+$R37)</f>
        <v>293.63</v>
      </c>
      <c r="U37" s="119">
        <f t="shared" si="100"/>
        <v>293.63</v>
      </c>
      <c r="V37" s="119">
        <f t="shared" si="100"/>
        <v>293.63</v>
      </c>
      <c r="W37" s="119">
        <f t="shared" si="100"/>
        <v>293.63</v>
      </c>
      <c r="X37" s="119">
        <f t="shared" si="100"/>
        <v>293.63</v>
      </c>
      <c r="Y37" s="119">
        <f t="shared" si="100"/>
        <v>293.63</v>
      </c>
      <c r="Z37" s="119">
        <f t="shared" si="100"/>
        <v>293.63</v>
      </c>
      <c r="AA37" s="119">
        <f t="shared" si="100"/>
        <v>293.63</v>
      </c>
      <c r="AB37" s="119">
        <f t="shared" si="100"/>
        <v>293.63</v>
      </c>
      <c r="AC37" s="138">
        <f t="shared" si="17"/>
        <v>3.9897693909688892E-2</v>
      </c>
      <c r="AD37" s="31">
        <v>0.08</v>
      </c>
      <c r="AE37" s="127">
        <f>(AB37*(1+AC37))/($C$2-AD37)</f>
        <v>2181.0368561621567</v>
      </c>
    </row>
    <row r="38" spans="2:31">
      <c r="B38" s="20"/>
      <c r="C38" s="20"/>
      <c r="D38" s="20"/>
      <c r="E38" s="127"/>
      <c r="F38" s="127"/>
      <c r="G38" s="127"/>
      <c r="H38" s="20"/>
      <c r="I38" s="20"/>
      <c r="J38" s="20"/>
      <c r="K38" s="20"/>
      <c r="L38" s="20"/>
      <c r="M38" s="20"/>
      <c r="N38" s="20"/>
      <c r="O38" s="20"/>
      <c r="P38" s="20"/>
      <c r="Q38" s="128"/>
      <c r="R38" s="128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39"/>
      <c r="AD38" s="20"/>
      <c r="AE38" s="20"/>
    </row>
    <row r="39" spans="2:31">
      <c r="B39" s="108" t="s">
        <v>243</v>
      </c>
      <c r="C39" s="20"/>
      <c r="D39" s="20"/>
      <c r="E39" s="127"/>
      <c r="F39" s="127"/>
      <c r="G39" s="127"/>
      <c r="H39" s="20"/>
      <c r="I39" s="20"/>
      <c r="J39" s="20"/>
      <c r="K39" s="20"/>
      <c r="L39" s="20"/>
      <c r="M39" s="20"/>
      <c r="N39" s="20"/>
      <c r="O39" s="20"/>
      <c r="P39" s="20"/>
      <c r="Q39" s="128"/>
      <c r="R39" s="128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39"/>
      <c r="AD39" s="20"/>
      <c r="AE39" s="20"/>
    </row>
    <row r="40" spans="2:31">
      <c r="B40" s="20" t="s">
        <v>306</v>
      </c>
      <c r="C40" s="133">
        <f t="shared" ref="C40:F40" si="101">C25/C37</f>
        <v>0</v>
      </c>
      <c r="D40" s="133">
        <f t="shared" si="101"/>
        <v>0</v>
      </c>
      <c r="E40" s="133">
        <f t="shared" si="101"/>
        <v>0</v>
      </c>
      <c r="F40" s="133">
        <f t="shared" si="101"/>
        <v>0</v>
      </c>
      <c r="G40" s="133">
        <f>G25/G37</f>
        <v>379.16636825897012</v>
      </c>
      <c r="H40" s="133">
        <f t="shared" ref="H40:P40" si="102">H25/H37</f>
        <v>485.05202726946538</v>
      </c>
      <c r="I40" s="133">
        <f t="shared" si="102"/>
        <v>615.55077143882318</v>
      </c>
      <c r="J40" s="133">
        <f t="shared" si="102"/>
        <v>823.79619662719779</v>
      </c>
      <c r="K40" s="133">
        <f t="shared" si="102"/>
        <v>1004.3340671436433</v>
      </c>
      <c r="L40" s="133">
        <f t="shared" si="102"/>
        <v>1065.6301596037424</v>
      </c>
      <c r="M40" s="133">
        <f t="shared" si="102"/>
        <v>741.62189388851573</v>
      </c>
      <c r="N40" s="133">
        <f t="shared" si="102"/>
        <v>915.03522307950345</v>
      </c>
      <c r="O40" s="133">
        <f t="shared" si="102"/>
        <v>1232.9439017020848</v>
      </c>
      <c r="P40" s="133">
        <f t="shared" si="102"/>
        <v>1395.9166297721622</v>
      </c>
      <c r="Q40" s="118">
        <f>((P40/G40)^(1/($H$3-$H$2) ))-1</f>
        <v>0.15582527139175872</v>
      </c>
      <c r="R40" s="31">
        <v>0.08</v>
      </c>
      <c r="S40" s="119">
        <f t="shared" ref="S40" si="103">P40*(1+$R40)</f>
        <v>1507.5899601539352</v>
      </c>
      <c r="T40" s="119">
        <f t="shared" ref="T40" si="104">S40*(1+$R40)</f>
        <v>1628.1971569662501</v>
      </c>
      <c r="U40" s="119">
        <f t="shared" ref="U40" si="105">T40*(1+$R40)</f>
        <v>1758.4529295235502</v>
      </c>
      <c r="V40" s="119">
        <f t="shared" ref="V40" si="106">U40*(1+$R40)</f>
        <v>1899.1291638854343</v>
      </c>
      <c r="W40" s="119">
        <f t="shared" ref="W40" si="107">V40*(1+$R40)</f>
        <v>2051.059496996269</v>
      </c>
      <c r="X40" s="119">
        <f t="shared" ref="X40" si="108">W40*(1+$R40)</f>
        <v>2215.1442567559707</v>
      </c>
      <c r="Y40" s="119">
        <f t="shared" ref="Y40" si="109">X40*(1+$R40)</f>
        <v>2392.3557972964486</v>
      </c>
      <c r="Z40" s="119">
        <f t="shared" ref="Z40" si="110">Y40*(1+$R40)</f>
        <v>2583.7442610801645</v>
      </c>
      <c r="AA40" s="119">
        <f t="shared" ref="AA40" si="111">Z40*(1+$R40)</f>
        <v>2790.4438019665777</v>
      </c>
      <c r="AB40" s="119">
        <f t="shared" ref="AB40" si="112">AA40*(1+$R40)</f>
        <v>3013.6793061239041</v>
      </c>
      <c r="AC40" s="138">
        <f t="shared" ref="AC40" si="113">((AB40/G40)^(1/($AB$4-$H$2) ))-1</f>
        <v>0.11527633144908656</v>
      </c>
      <c r="AD40" s="31">
        <v>0.08</v>
      </c>
      <c r="AE40" s="127">
        <f>(AB40*(1+AC40))/($C$2-AD40)</f>
        <v>24007.751433556401</v>
      </c>
    </row>
    <row r="41" spans="2:31">
      <c r="B41" s="20" t="s">
        <v>307</v>
      </c>
      <c r="C41" s="133">
        <f t="shared" ref="C41:F41" si="114">C27/C37</f>
        <v>0</v>
      </c>
      <c r="D41" s="133">
        <f t="shared" si="114"/>
        <v>0</v>
      </c>
      <c r="E41" s="133">
        <f t="shared" si="114"/>
        <v>0</v>
      </c>
      <c r="F41" s="133">
        <f t="shared" si="114"/>
        <v>0</v>
      </c>
      <c r="G41" s="133">
        <f>G27/G37</f>
        <v>300.00716178471674</v>
      </c>
      <c r="H41" s="133">
        <f t="shared" ref="H41:P41" si="115">H27/H37</f>
        <v>382.03803372802298</v>
      </c>
      <c r="I41" s="133">
        <f t="shared" si="115"/>
        <v>504.47075708647293</v>
      </c>
      <c r="J41" s="133">
        <f t="shared" si="115"/>
        <v>673.79978471474703</v>
      </c>
      <c r="K41" s="133">
        <f t="shared" si="115"/>
        <v>802.88249862410555</v>
      </c>
      <c r="L41" s="133">
        <f t="shared" si="115"/>
        <v>889.04788112272968</v>
      </c>
      <c r="M41" s="133">
        <f t="shared" si="115"/>
        <v>601.58831430490261</v>
      </c>
      <c r="N41" s="133">
        <f t="shared" si="115"/>
        <v>778.82925192888285</v>
      </c>
      <c r="O41" s="133">
        <f t="shared" si="115"/>
        <v>1096.2970423339041</v>
      </c>
      <c r="P41" s="133">
        <f t="shared" si="115"/>
        <v>1256.5848176276265</v>
      </c>
      <c r="Q41" s="118">
        <f>((P41/G41)^(1/($H$3-$H$2) ))-1</f>
        <v>0.17251335599227802</v>
      </c>
      <c r="R41" s="31">
        <v>0.08</v>
      </c>
      <c r="S41" s="119">
        <f t="shared" ref="S41" si="116">P41*(1+$R41)</f>
        <v>1357.1116030378369</v>
      </c>
      <c r="T41" s="119">
        <f t="shared" ref="T41" si="117">S41*(1+$R41)</f>
        <v>1465.680531280864</v>
      </c>
      <c r="U41" s="119">
        <f t="shared" ref="U41" si="118">T41*(1+$R41)</f>
        <v>1582.9349737833331</v>
      </c>
      <c r="V41" s="119">
        <f t="shared" ref="V41" si="119">U41*(1+$R41)</f>
        <v>1709.569771686</v>
      </c>
      <c r="W41" s="119">
        <f t="shared" ref="W41" si="120">V41*(1+$R41)</f>
        <v>1846.33535342088</v>
      </c>
      <c r="X41" s="119">
        <f t="shared" ref="X41" si="121">W41*(1+$R41)</f>
        <v>1994.0421816945504</v>
      </c>
      <c r="Y41" s="119">
        <f t="shared" ref="Y41" si="122">X41*(1+$R41)</f>
        <v>2153.5655562301145</v>
      </c>
      <c r="Z41" s="119">
        <f t="shared" ref="Z41" si="123">Y41*(1+$R41)</f>
        <v>2325.8508007285236</v>
      </c>
      <c r="AA41" s="119">
        <f t="shared" ref="AA41" si="124">Z41*(1+$R41)</f>
        <v>2511.9188647868054</v>
      </c>
      <c r="AB41" s="119">
        <f t="shared" ref="AB41" si="125">AA41*(1+$R41)</f>
        <v>2712.8723739697502</v>
      </c>
      <c r="AC41" s="138">
        <f t="shared" ref="AC41" si="126">((AB41/G41)^(1/($AB$4-$H$2) ))-1</f>
        <v>0.12287512241633181</v>
      </c>
      <c r="AD41" s="31">
        <v>0.08</v>
      </c>
      <c r="AE41" s="127">
        <f>(AB41*(1+AC41))/($C$2-AD41)</f>
        <v>21758.692135865484</v>
      </c>
    </row>
    <row r="42" spans="2:31">
      <c r="B42" s="20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18"/>
      <c r="R42" s="31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38"/>
      <c r="AD42" s="31"/>
      <c r="AE42" s="127"/>
    </row>
    <row r="43" spans="2:31">
      <c r="B43" s="20" t="s">
        <v>258</v>
      </c>
      <c r="C43" s="25">
        <f t="shared" ref="C43:P43" si="127">C35/C37</f>
        <v>0</v>
      </c>
      <c r="D43" s="25">
        <f t="shared" si="127"/>
        <v>0</v>
      </c>
      <c r="E43" s="25">
        <f t="shared" si="127"/>
        <v>0</v>
      </c>
      <c r="F43" s="133">
        <f t="shared" si="127"/>
        <v>0</v>
      </c>
      <c r="G43" s="133">
        <f t="shared" si="127"/>
        <v>37.012103416171314</v>
      </c>
      <c r="H43" s="133">
        <f t="shared" si="127"/>
        <v>54.739863652673129</v>
      </c>
      <c r="I43" s="133">
        <f t="shared" si="127"/>
        <v>67.412988876928594</v>
      </c>
      <c r="J43" s="133">
        <f t="shared" si="127"/>
        <v>86.645138141370651</v>
      </c>
      <c r="K43" s="133">
        <f t="shared" si="127"/>
        <v>134.30792515134837</v>
      </c>
      <c r="L43" s="133">
        <f t="shared" si="127"/>
        <v>102.84810126582278</v>
      </c>
      <c r="M43" s="133">
        <f t="shared" si="127"/>
        <v>82.011417058428478</v>
      </c>
      <c r="N43" s="133">
        <f t="shared" si="127"/>
        <v>64.646091915464609</v>
      </c>
      <c r="O43" s="133">
        <f t="shared" si="127"/>
        <v>66.193305804545602</v>
      </c>
      <c r="P43" s="133">
        <f t="shared" si="127"/>
        <v>71.130334093927729</v>
      </c>
      <c r="Q43" s="118">
        <f>((P43/G43)^(1/($H$3-$H$2) ))-1</f>
        <v>7.5284668176661018E-2</v>
      </c>
      <c r="R43" s="31">
        <v>0.08</v>
      </c>
      <c r="S43" s="119">
        <f t="shared" ref="S43:S46" si="128">P43*(1+$R43)</f>
        <v>76.820760821441951</v>
      </c>
      <c r="T43" s="119">
        <f t="shared" ref="T43:AB46" si="129">S43*(1+$R43)</f>
        <v>82.966421687157307</v>
      </c>
      <c r="U43" s="119">
        <f t="shared" si="129"/>
        <v>89.603735422129901</v>
      </c>
      <c r="V43" s="119">
        <f t="shared" si="129"/>
        <v>96.772034255900294</v>
      </c>
      <c r="W43" s="119">
        <f t="shared" si="129"/>
        <v>104.51379699637232</v>
      </c>
      <c r="X43" s="119">
        <f t="shared" si="129"/>
        <v>112.87490075608211</v>
      </c>
      <c r="Y43" s="119">
        <f t="shared" si="129"/>
        <v>121.90489281656869</v>
      </c>
      <c r="Z43" s="119">
        <f t="shared" si="129"/>
        <v>131.65728424189419</v>
      </c>
      <c r="AA43" s="119">
        <f t="shared" si="129"/>
        <v>142.18986698124573</v>
      </c>
      <c r="AB43" s="119">
        <f t="shared" si="129"/>
        <v>153.56505633974541</v>
      </c>
      <c r="AC43" s="138">
        <f t="shared" ref="AC43:AC56" si="130">((AB43/G43)^(1/($AB$4-$H$2) ))-1</f>
        <v>7.7763849759524994E-2</v>
      </c>
      <c r="AD43" s="31">
        <v>0.08</v>
      </c>
      <c r="AE43" s="127">
        <f>(AB43*(1+AC43))/($C$2-AD43)</f>
        <v>1182.1919022090167</v>
      </c>
    </row>
    <row r="44" spans="2:31">
      <c r="B44" s="20" t="s">
        <v>245</v>
      </c>
      <c r="C44" s="25">
        <f t="shared" ref="C44:P44" si="131">C8/C37</f>
        <v>0</v>
      </c>
      <c r="D44" s="25">
        <f t="shared" si="131"/>
        <v>0</v>
      </c>
      <c r="E44" s="25">
        <f t="shared" si="131"/>
        <v>0</v>
      </c>
      <c r="F44" s="133">
        <f t="shared" si="131"/>
        <v>0</v>
      </c>
      <c r="G44" s="133">
        <f t="shared" si="131"/>
        <v>250.78421542648428</v>
      </c>
      <c r="H44" s="133">
        <f t="shared" si="131"/>
        <v>292.14926444205241</v>
      </c>
      <c r="I44" s="133">
        <f t="shared" si="131"/>
        <v>366.11410118406889</v>
      </c>
      <c r="J44" s="133">
        <f t="shared" si="131"/>
        <v>489.47972730534627</v>
      </c>
      <c r="K44" s="133">
        <f t="shared" si="131"/>
        <v>588.19482663731424</v>
      </c>
      <c r="L44" s="133">
        <f t="shared" si="131"/>
        <v>834.10842047330755</v>
      </c>
      <c r="M44" s="133">
        <f t="shared" si="131"/>
        <v>473.47884486232368</v>
      </c>
      <c r="N44" s="133">
        <f t="shared" si="131"/>
        <v>516.88359610868827</v>
      </c>
      <c r="O44" s="133">
        <f t="shared" si="131"/>
        <v>568.85554100782224</v>
      </c>
      <c r="P44" s="133">
        <f t="shared" si="131"/>
        <v>620.01498484487286</v>
      </c>
      <c r="Q44" s="118">
        <f>((P44/G44)^(1/($H$3-$H$2) ))-1</f>
        <v>0.10580359787043325</v>
      </c>
      <c r="R44" s="31">
        <v>0.08</v>
      </c>
      <c r="S44" s="119">
        <f t="shared" si="128"/>
        <v>669.61618363246271</v>
      </c>
      <c r="T44" s="119">
        <f t="shared" si="129"/>
        <v>723.18547832305978</v>
      </c>
      <c r="U44" s="119">
        <f t="shared" si="129"/>
        <v>781.0403165889046</v>
      </c>
      <c r="V44" s="119">
        <f t="shared" si="129"/>
        <v>843.52354191601705</v>
      </c>
      <c r="W44" s="119">
        <f t="shared" si="129"/>
        <v>911.00542526929848</v>
      </c>
      <c r="X44" s="119">
        <f t="shared" si="129"/>
        <v>983.8858592908424</v>
      </c>
      <c r="Y44" s="119">
        <f t="shared" si="129"/>
        <v>1062.5967280341099</v>
      </c>
      <c r="Z44" s="119">
        <f t="shared" si="129"/>
        <v>1147.6044662768388</v>
      </c>
      <c r="AA44" s="119">
        <f t="shared" si="129"/>
        <v>1239.412823578986</v>
      </c>
      <c r="AB44" s="119">
        <f t="shared" si="129"/>
        <v>1338.5658494653051</v>
      </c>
      <c r="AC44" s="138">
        <f t="shared" si="130"/>
        <v>9.2146827499907324E-2</v>
      </c>
      <c r="AD44" s="31">
        <v>0.08</v>
      </c>
      <c r="AE44" s="127">
        <f>(AB44*(1+AC44))/($C$2-AD44)</f>
        <v>10442.217470666081</v>
      </c>
    </row>
    <row r="45" spans="2:31">
      <c r="B45" s="20" t="s">
        <v>246</v>
      </c>
      <c r="C45" s="127">
        <f t="shared" ref="C45:P45" si="132">C7/C37</f>
        <v>0</v>
      </c>
      <c r="D45" s="127">
        <f t="shared" si="132"/>
        <v>0</v>
      </c>
      <c r="E45" s="127">
        <f t="shared" si="132"/>
        <v>0</v>
      </c>
      <c r="F45" s="145">
        <f t="shared" si="132"/>
        <v>0</v>
      </c>
      <c r="G45" s="145">
        <f t="shared" si="132"/>
        <v>240.78636396189933</v>
      </c>
      <c r="H45" s="145">
        <f t="shared" si="132"/>
        <v>262.56189451022607</v>
      </c>
      <c r="I45" s="145">
        <f t="shared" si="132"/>
        <v>320.39468963042697</v>
      </c>
      <c r="J45" s="145">
        <f t="shared" si="132"/>
        <v>457.66774309293146</v>
      </c>
      <c r="K45" s="145">
        <f t="shared" si="132"/>
        <v>558.37919647771048</v>
      </c>
      <c r="L45" s="145">
        <f t="shared" si="132"/>
        <v>740.04540451293337</v>
      </c>
      <c r="M45" s="145">
        <f t="shared" si="132"/>
        <v>431.87038280725318</v>
      </c>
      <c r="N45" s="145">
        <f t="shared" si="132"/>
        <v>486.46762831264675</v>
      </c>
      <c r="O45" s="145">
        <f t="shared" si="132"/>
        <v>546.29872091852144</v>
      </c>
      <c r="P45" s="145">
        <f t="shared" si="132"/>
        <v>609.93086537479144</v>
      </c>
      <c r="Q45" s="118">
        <f>((P45/G45)^(1/($H$3-$H$2) ))-1</f>
        <v>0.10879142364327832</v>
      </c>
      <c r="R45" s="31">
        <v>0.08</v>
      </c>
      <c r="S45" s="119">
        <f t="shared" si="128"/>
        <v>658.72533460477484</v>
      </c>
      <c r="T45" s="119">
        <f t="shared" si="129"/>
        <v>711.42336137315692</v>
      </c>
      <c r="U45" s="119">
        <f t="shared" si="129"/>
        <v>768.33723028300949</v>
      </c>
      <c r="V45" s="119">
        <f t="shared" si="129"/>
        <v>829.80420870565035</v>
      </c>
      <c r="W45" s="119">
        <f t="shared" si="129"/>
        <v>896.18854540210248</v>
      </c>
      <c r="X45" s="119">
        <f t="shared" si="129"/>
        <v>967.88362903427071</v>
      </c>
      <c r="Y45" s="119">
        <f t="shared" si="129"/>
        <v>1045.3143193570124</v>
      </c>
      <c r="Z45" s="119">
        <f t="shared" si="129"/>
        <v>1128.9394649055735</v>
      </c>
      <c r="AA45" s="119">
        <f t="shared" si="129"/>
        <v>1219.2546220980194</v>
      </c>
      <c r="AB45" s="119">
        <f t="shared" si="129"/>
        <v>1316.794991865861</v>
      </c>
      <c r="AC45" s="138">
        <f t="shared" si="130"/>
        <v>9.3543641956847834E-2</v>
      </c>
      <c r="AD45" s="31">
        <v>0.08</v>
      </c>
      <c r="AE45" s="127">
        <f>(AB45*(1+AC45))/($C$2-AD45)</f>
        <v>10285.519936539509</v>
      </c>
    </row>
    <row r="46" spans="2:31">
      <c r="B46" s="20" t="s">
        <v>247</v>
      </c>
      <c r="C46" s="127">
        <f t="shared" ref="C46:P46" si="133">C11/C37</f>
        <v>0</v>
      </c>
      <c r="D46" s="127">
        <f t="shared" si="133"/>
        <v>0</v>
      </c>
      <c r="E46" s="127">
        <f t="shared" si="133"/>
        <v>0</v>
      </c>
      <c r="F46" s="145">
        <f t="shared" si="133"/>
        <v>0</v>
      </c>
      <c r="G46" s="145">
        <f t="shared" si="133"/>
        <v>150.51206760724773</v>
      </c>
      <c r="H46" s="145">
        <f t="shared" si="133"/>
        <v>135.0340868317187</v>
      </c>
      <c r="I46" s="145">
        <f t="shared" si="133"/>
        <v>167.50627915321135</v>
      </c>
      <c r="J46" s="145">
        <f t="shared" si="133"/>
        <v>241.48546824542521</v>
      </c>
      <c r="K46" s="145">
        <f t="shared" si="133"/>
        <v>348.76169510181614</v>
      </c>
      <c r="L46" s="145">
        <f t="shared" si="133"/>
        <v>524.60099064391852</v>
      </c>
      <c r="M46" s="145">
        <f t="shared" si="133"/>
        <v>216.94089993284084</v>
      </c>
      <c r="N46" s="145">
        <f t="shared" si="133"/>
        <v>282.14022140221402</v>
      </c>
      <c r="O46" s="145">
        <f t="shared" si="133"/>
        <v>277.41967972605499</v>
      </c>
      <c r="P46" s="145">
        <f t="shared" si="133"/>
        <v>304.19916221094576</v>
      </c>
      <c r="Q46" s="118">
        <f>((P46/G46)^(1/($H$3-$H$2) ))-1</f>
        <v>8.1319604460627914E-2</v>
      </c>
      <c r="R46" s="31">
        <v>0.09</v>
      </c>
      <c r="S46" s="119">
        <f t="shared" si="128"/>
        <v>331.5770868099309</v>
      </c>
      <c r="T46" s="119">
        <f t="shared" si="129"/>
        <v>361.41902462282474</v>
      </c>
      <c r="U46" s="119">
        <f t="shared" si="129"/>
        <v>393.94673683887902</v>
      </c>
      <c r="V46" s="119">
        <f t="shared" si="129"/>
        <v>429.40194315437816</v>
      </c>
      <c r="W46" s="119">
        <f t="shared" si="129"/>
        <v>468.04811803827221</v>
      </c>
      <c r="X46" s="119">
        <f t="shared" si="129"/>
        <v>510.17244866171677</v>
      </c>
      <c r="Y46" s="119">
        <f t="shared" si="129"/>
        <v>556.08796904127132</v>
      </c>
      <c r="Z46" s="119">
        <f t="shared" si="129"/>
        <v>606.13588625498573</v>
      </c>
      <c r="AA46" s="119">
        <f t="shared" si="129"/>
        <v>660.68811601793448</v>
      </c>
      <c r="AB46" s="119">
        <f t="shared" si="129"/>
        <v>720.15004645954866</v>
      </c>
      <c r="AC46" s="138">
        <f t="shared" si="130"/>
        <v>8.5879581566984164E-2</v>
      </c>
      <c r="AD46" s="31">
        <v>0.08</v>
      </c>
      <c r="AE46" s="127">
        <f>(AB46*(1+AC46))/($C$2-AD46)</f>
        <v>5585.6873651067062</v>
      </c>
    </row>
    <row r="47" spans="2:31">
      <c r="B47" s="20"/>
      <c r="C47" s="127"/>
      <c r="D47" s="127"/>
      <c r="E47" s="127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28"/>
      <c r="R47" s="128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39"/>
      <c r="AD47" s="20"/>
      <c r="AE47" s="20"/>
    </row>
    <row r="48" spans="2:31">
      <c r="B48" s="20" t="s">
        <v>271</v>
      </c>
      <c r="C48" s="127">
        <f t="shared" ref="C48:P48" si="134">(C8-C11)/C37</f>
        <v>0</v>
      </c>
      <c r="D48" s="127">
        <f t="shared" si="134"/>
        <v>0</v>
      </c>
      <c r="E48" s="127">
        <f t="shared" si="134"/>
        <v>0</v>
      </c>
      <c r="F48" s="145">
        <f t="shared" si="134"/>
        <v>0</v>
      </c>
      <c r="G48" s="145">
        <f t="shared" si="134"/>
        <v>100.27214781923655</v>
      </c>
      <c r="H48" s="145">
        <f t="shared" si="134"/>
        <v>157.11517761033369</v>
      </c>
      <c r="I48" s="145">
        <f t="shared" si="134"/>
        <v>198.60782203085756</v>
      </c>
      <c r="J48" s="145">
        <f t="shared" si="134"/>
        <v>247.99425905992106</v>
      </c>
      <c r="K48" s="145">
        <f t="shared" si="134"/>
        <v>239.43313153549806</v>
      </c>
      <c r="L48" s="145">
        <f t="shared" si="134"/>
        <v>309.50742982938908</v>
      </c>
      <c r="M48" s="145">
        <f t="shared" si="134"/>
        <v>256.53794492948288</v>
      </c>
      <c r="N48" s="145">
        <f t="shared" si="134"/>
        <v>234.74337470647433</v>
      </c>
      <c r="O48" s="145">
        <f t="shared" si="134"/>
        <v>291.43586128176719</v>
      </c>
      <c r="P48" s="145">
        <f t="shared" si="134"/>
        <v>315.81582263392704</v>
      </c>
      <c r="Q48" s="118">
        <f>((P48/G48)^(1/($H$3-$H$2) ))-1</f>
        <v>0.13595599392259006</v>
      </c>
      <c r="R48" s="31">
        <v>0.08</v>
      </c>
      <c r="S48" s="119">
        <f t="shared" ref="S48" si="135">P48*(1+$R48)</f>
        <v>341.08108844464124</v>
      </c>
      <c r="T48" s="119">
        <f t="shared" ref="T48" si="136">S48*(1+$R48)</f>
        <v>368.36757552021254</v>
      </c>
      <c r="U48" s="119">
        <f t="shared" ref="U48" si="137">T48*(1+$R48)</f>
        <v>397.83698156182959</v>
      </c>
      <c r="V48" s="119">
        <f t="shared" ref="V48" si="138">U48*(1+$R48)</f>
        <v>429.66394008677599</v>
      </c>
      <c r="W48" s="119">
        <f t="shared" ref="W48" si="139">V48*(1+$R48)</f>
        <v>464.03705529371808</v>
      </c>
      <c r="X48" s="119">
        <f t="shared" ref="X48" si="140">W48*(1+$R48)</f>
        <v>501.16001971721556</v>
      </c>
      <c r="Y48" s="119">
        <f t="shared" ref="Y48" si="141">X48*(1+$R48)</f>
        <v>541.25282129459288</v>
      </c>
      <c r="Z48" s="119">
        <f t="shared" ref="Z48" si="142">Y48*(1+$R48)</f>
        <v>584.55304699816031</v>
      </c>
      <c r="AA48" s="119">
        <f t="shared" ref="AA48" si="143">Z48*(1+$R48)</f>
        <v>631.3172907580132</v>
      </c>
      <c r="AB48" s="119">
        <f t="shared" ref="AB48" si="144">AA48*(1+$R48)</f>
        <v>681.82267401865431</v>
      </c>
      <c r="AC48" s="138">
        <f t="shared" si="130"/>
        <v>0.10615330738749962</v>
      </c>
      <c r="AD48" s="31">
        <v>0.08</v>
      </c>
      <c r="AE48" s="127">
        <f>(AB48*(1+AC48))/($C$2-AD48)</f>
        <v>5387.1457565537385</v>
      </c>
    </row>
    <row r="49" spans="2:31">
      <c r="B49" s="20" t="s">
        <v>272</v>
      </c>
      <c r="C49" s="127">
        <f t="shared" ref="C49:P49" si="145">(C8-C11-C10)/C37</f>
        <v>0</v>
      </c>
      <c r="D49" s="127">
        <f t="shared" si="145"/>
        <v>0</v>
      </c>
      <c r="E49" s="127">
        <f t="shared" si="145"/>
        <v>0</v>
      </c>
      <c r="F49" s="145">
        <f t="shared" si="145"/>
        <v>0</v>
      </c>
      <c r="G49" s="145">
        <f t="shared" si="145"/>
        <v>0.587266346773616</v>
      </c>
      <c r="H49" s="145">
        <f t="shared" si="145"/>
        <v>25.819878005023323</v>
      </c>
      <c r="I49" s="145">
        <f t="shared" si="145"/>
        <v>69.702188733405094</v>
      </c>
      <c r="J49" s="145">
        <f t="shared" si="145"/>
        <v>65.080731969860068</v>
      </c>
      <c r="K49" s="145">
        <f t="shared" si="145"/>
        <v>19.138690148596584</v>
      </c>
      <c r="L49" s="145">
        <f t="shared" si="145"/>
        <v>-9.727572922399558</v>
      </c>
      <c r="M49" s="145">
        <f t="shared" si="145"/>
        <v>86.648757555406306</v>
      </c>
      <c r="N49" s="145">
        <f t="shared" si="145"/>
        <v>16.044951358604493</v>
      </c>
      <c r="O49" s="145">
        <f t="shared" si="145"/>
        <v>48.856883875516161</v>
      </c>
      <c r="P49" s="145">
        <f t="shared" si="145"/>
        <v>26.52998671797841</v>
      </c>
      <c r="Q49" s="118">
        <f>((P49/G49)^(1/($H$3-$H$2) ))-1</f>
        <v>0.52713696974072288</v>
      </c>
      <c r="R49" s="31">
        <v>0.08</v>
      </c>
      <c r="S49" s="119">
        <f t="shared" ref="S49" si="146">P49*(1+$R49)</f>
        <v>28.652385655416683</v>
      </c>
      <c r="T49" s="119">
        <f t="shared" ref="T49" si="147">S49*(1+$R49)</f>
        <v>30.944576507850019</v>
      </c>
      <c r="U49" s="119">
        <f t="shared" ref="U49" si="148">T49*(1+$R49)</f>
        <v>33.420142628478025</v>
      </c>
      <c r="V49" s="119">
        <f t="shared" ref="V49" si="149">U49*(1+$R49)</f>
        <v>36.093754038756266</v>
      </c>
      <c r="W49" s="119">
        <f t="shared" ref="W49" si="150">V49*(1+$R49)</f>
        <v>38.98125436185677</v>
      </c>
      <c r="X49" s="119">
        <f t="shared" ref="X49" si="151">W49*(1+$R49)</f>
        <v>42.099754710805314</v>
      </c>
      <c r="Y49" s="119">
        <f t="shared" ref="Y49" si="152">X49*(1+$R49)</f>
        <v>45.467735087669745</v>
      </c>
      <c r="Z49" s="119">
        <f t="shared" ref="Z49" si="153">Y49*(1+$R49)</f>
        <v>49.105153894683326</v>
      </c>
      <c r="AA49" s="119">
        <f t="shared" ref="AA49" si="154">Z49*(1+$R49)</f>
        <v>53.033566206257994</v>
      </c>
      <c r="AB49" s="119">
        <f t="shared" ref="AB49" si="155">AA49*(1+$R49)</f>
        <v>57.27625150275864</v>
      </c>
      <c r="AC49" s="138">
        <f t="shared" si="130"/>
        <v>0.27259892258009066</v>
      </c>
      <c r="AD49" s="31">
        <v>0.08</v>
      </c>
      <c r="AE49" s="127">
        <f>(AB49*(1+AC49))/($C$2-AD49)</f>
        <v>520.64068537026378</v>
      </c>
    </row>
    <row r="50" spans="2:31">
      <c r="B50" s="20" t="s">
        <v>277</v>
      </c>
      <c r="C50" s="127">
        <f t="shared" ref="C50:P50" si="156">(C8+C15-C11-C10)/C37</f>
        <v>0</v>
      </c>
      <c r="D50" s="127">
        <f t="shared" si="156"/>
        <v>0</v>
      </c>
      <c r="E50" s="127">
        <f t="shared" si="156"/>
        <v>0</v>
      </c>
      <c r="F50" s="145">
        <f t="shared" si="156"/>
        <v>0</v>
      </c>
      <c r="G50" s="145">
        <f t="shared" si="156"/>
        <v>77.74117310033661</v>
      </c>
      <c r="H50" s="145">
        <f t="shared" si="156"/>
        <v>109.96770721205598</v>
      </c>
      <c r="I50" s="145">
        <f t="shared" si="156"/>
        <v>177.02906350914964</v>
      </c>
      <c r="J50" s="145">
        <f t="shared" si="156"/>
        <v>184.90132759239327</v>
      </c>
      <c r="K50" s="145">
        <f t="shared" si="156"/>
        <v>195.13621353880021</v>
      </c>
      <c r="L50" s="145">
        <f t="shared" si="156"/>
        <v>401.95376995046774</v>
      </c>
      <c r="M50" s="145">
        <f t="shared" si="156"/>
        <v>335.48690396239084</v>
      </c>
      <c r="N50" s="145">
        <f t="shared" si="156"/>
        <v>365.320362294532</v>
      </c>
      <c r="O50" s="145">
        <f t="shared" si="156"/>
        <v>468.22103602242589</v>
      </c>
      <c r="P50" s="145">
        <f t="shared" si="156"/>
        <v>489.93631440929062</v>
      </c>
      <c r="Q50" s="118">
        <f>((P50/G50)^(1/($H$3-$H$2) ))-1</f>
        <v>0.22696467724351477</v>
      </c>
      <c r="R50" s="31">
        <v>0.05</v>
      </c>
      <c r="S50" s="119">
        <f t="shared" ref="S50" si="157">P50*(1+$R50)</f>
        <v>514.43313012975511</v>
      </c>
      <c r="T50" s="119">
        <f t="shared" ref="T50" si="158">S50*(1+$R50)</f>
        <v>540.15478663624287</v>
      </c>
      <c r="U50" s="119">
        <f t="shared" ref="U50" si="159">T50*(1+$R50)</f>
        <v>567.16252596805509</v>
      </c>
      <c r="V50" s="119">
        <f t="shared" ref="V50" si="160">U50*(1+$R50)</f>
        <v>595.52065226645789</v>
      </c>
      <c r="W50" s="119">
        <f t="shared" ref="W50" si="161">V50*(1+$R50)</f>
        <v>625.29668487978086</v>
      </c>
      <c r="X50" s="119">
        <f t="shared" ref="X50" si="162">W50*(1+$R50)</f>
        <v>656.56151912376993</v>
      </c>
      <c r="Y50" s="119">
        <f t="shared" ref="Y50" si="163">X50*(1+$R50)</f>
        <v>689.38959507995844</v>
      </c>
      <c r="Z50" s="119">
        <f t="shared" ref="Z50" si="164">Y50*(1+$R50)</f>
        <v>723.85907483395636</v>
      </c>
      <c r="AA50" s="119">
        <f t="shared" ref="AA50" si="165">Z50*(1+$R50)</f>
        <v>760.05202857565416</v>
      </c>
      <c r="AB50" s="119">
        <f t="shared" ref="AB50" si="166">AA50*(1+$R50)</f>
        <v>798.05463000443694</v>
      </c>
      <c r="AC50" s="138">
        <f t="shared" si="130"/>
        <v>0.13039598667215313</v>
      </c>
      <c r="AD50" s="31">
        <v>0.08</v>
      </c>
      <c r="AE50" s="127">
        <f>(AB50*(1+AC50))/($C$2-AD50)</f>
        <v>6443.6982207296114</v>
      </c>
    </row>
    <row r="51" spans="2:31">
      <c r="B51" s="20"/>
      <c r="C51" s="127"/>
      <c r="D51" s="127"/>
      <c r="E51" s="127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28"/>
      <c r="R51" s="128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39"/>
      <c r="AD51" s="20"/>
      <c r="AE51" s="20"/>
    </row>
    <row r="52" spans="2:31">
      <c r="B52" s="20" t="s">
        <v>248</v>
      </c>
      <c r="C52" s="127">
        <f t="shared" ref="C52:P52" si="167">C13/C37</f>
        <v>0</v>
      </c>
      <c r="D52" s="127">
        <f t="shared" si="167"/>
        <v>0</v>
      </c>
      <c r="E52" s="127">
        <f t="shared" si="167"/>
        <v>0</v>
      </c>
      <c r="F52" s="145">
        <f t="shared" si="167"/>
        <v>0</v>
      </c>
      <c r="G52" s="145">
        <f t="shared" si="167"/>
        <v>1.933681873522882</v>
      </c>
      <c r="H52" s="145">
        <f t="shared" si="167"/>
        <v>2.762827412988877</v>
      </c>
      <c r="I52" s="145">
        <f t="shared" si="167"/>
        <v>1.8586293505561537</v>
      </c>
      <c r="J52" s="145">
        <f t="shared" si="167"/>
        <v>2.9350556153570149</v>
      </c>
      <c r="K52" s="145">
        <f t="shared" si="167"/>
        <v>2.6692350027517886</v>
      </c>
      <c r="L52" s="145">
        <f t="shared" si="167"/>
        <v>5.5401073197578414</v>
      </c>
      <c r="M52" s="145">
        <f t="shared" si="167"/>
        <v>2.2296843519140364</v>
      </c>
      <c r="N52" s="145">
        <f t="shared" si="167"/>
        <v>2.9319020462931902</v>
      </c>
      <c r="O52" s="145">
        <f t="shared" si="167"/>
        <v>4.8544667136670361</v>
      </c>
      <c r="P52" s="145">
        <f t="shared" si="167"/>
        <v>171.8353029322617</v>
      </c>
      <c r="Q52" s="118">
        <f>((P52/G52)^(1/($H$3-$H$2) ))-1</f>
        <v>0.64636173263235075</v>
      </c>
      <c r="R52" s="31">
        <v>0.1</v>
      </c>
      <c r="S52" s="119">
        <f t="shared" ref="S52:S56" si="168">P52*(1+$R52)</f>
        <v>189.0188332254879</v>
      </c>
      <c r="T52" s="119">
        <f t="shared" ref="T52:AB56" si="169">S52*(1+$R52)</f>
        <v>207.92071654803669</v>
      </c>
      <c r="U52" s="119">
        <f t="shared" si="169"/>
        <v>228.71278820284039</v>
      </c>
      <c r="V52" s="119">
        <f t="shared" si="169"/>
        <v>251.58406702312445</v>
      </c>
      <c r="W52" s="119">
        <f t="shared" si="169"/>
        <v>276.74247372543692</v>
      </c>
      <c r="X52" s="119">
        <f t="shared" si="169"/>
        <v>304.41672109798066</v>
      </c>
      <c r="Y52" s="119">
        <f t="shared" si="169"/>
        <v>334.85839320777876</v>
      </c>
      <c r="Z52" s="119">
        <f t="shared" si="169"/>
        <v>368.34423252855669</v>
      </c>
      <c r="AA52" s="119">
        <f t="shared" si="169"/>
        <v>405.17865578141237</v>
      </c>
      <c r="AB52" s="119">
        <f t="shared" si="169"/>
        <v>445.69652135955363</v>
      </c>
      <c r="AC52" s="138">
        <f t="shared" si="130"/>
        <v>0.3315277504184877</v>
      </c>
      <c r="AD52" s="31">
        <v>0.08</v>
      </c>
      <c r="AE52" s="127">
        <f>(AB52*(1+AC52))/($C$2-AD52)</f>
        <v>4238.9806175373706</v>
      </c>
    </row>
    <row r="53" spans="2:31">
      <c r="B53" s="20" t="s">
        <v>255</v>
      </c>
      <c r="C53" s="127">
        <f t="shared" ref="C53:P53" si="170">C14/C37</f>
        <v>0</v>
      </c>
      <c r="D53" s="127">
        <f t="shared" si="170"/>
        <v>0</v>
      </c>
      <c r="E53" s="127">
        <f t="shared" si="170"/>
        <v>0</v>
      </c>
      <c r="F53" s="145">
        <f t="shared" si="170"/>
        <v>0</v>
      </c>
      <c r="G53" s="145">
        <f t="shared" si="170"/>
        <v>131.97736876029506</v>
      </c>
      <c r="H53" s="145">
        <f t="shared" si="170"/>
        <v>165.6476498026552</v>
      </c>
      <c r="I53" s="145">
        <f t="shared" si="170"/>
        <v>47.836383207750274</v>
      </c>
      <c r="J53" s="145">
        <f t="shared" si="170"/>
        <v>37.804090419806244</v>
      </c>
      <c r="K53" s="145">
        <f t="shared" si="170"/>
        <v>65.506329113924039</v>
      </c>
      <c r="L53" s="145">
        <f t="shared" si="170"/>
        <v>44.269400110071544</v>
      </c>
      <c r="M53" s="145">
        <f t="shared" si="170"/>
        <v>30.685023505708529</v>
      </c>
      <c r="N53" s="145">
        <f t="shared" si="170"/>
        <v>56.903723582690368</v>
      </c>
      <c r="O53" s="145">
        <f t="shared" si="170"/>
        <v>129.57330379024407</v>
      </c>
      <c r="P53" s="145">
        <f t="shared" si="170"/>
        <v>145.92514388856725</v>
      </c>
      <c r="Q53" s="118">
        <f>((P53/G53)^(1/($H$3-$H$2) ))-1</f>
        <v>1.1225125074757036E-2</v>
      </c>
      <c r="R53" s="31">
        <v>0.1</v>
      </c>
      <c r="S53" s="119">
        <f t="shared" si="168"/>
        <v>160.51765827742398</v>
      </c>
      <c r="T53" s="119">
        <f t="shared" si="169"/>
        <v>176.56942410516638</v>
      </c>
      <c r="U53" s="119">
        <f t="shared" si="169"/>
        <v>194.22636651568303</v>
      </c>
      <c r="V53" s="119">
        <f t="shared" si="169"/>
        <v>213.64900316725135</v>
      </c>
      <c r="W53" s="119">
        <f t="shared" si="169"/>
        <v>235.01390348397649</v>
      </c>
      <c r="X53" s="119">
        <f t="shared" si="169"/>
        <v>258.51529383237414</v>
      </c>
      <c r="Y53" s="119">
        <f t="shared" si="169"/>
        <v>284.36682321561159</v>
      </c>
      <c r="Z53" s="119">
        <f t="shared" si="169"/>
        <v>312.80350553717278</v>
      </c>
      <c r="AA53" s="119">
        <f t="shared" si="169"/>
        <v>344.08385609089009</v>
      </c>
      <c r="AB53" s="119">
        <f t="shared" si="169"/>
        <v>378.49224169997916</v>
      </c>
      <c r="AC53" s="138">
        <f t="shared" si="130"/>
        <v>5.7017005887230354E-2</v>
      </c>
      <c r="AD53" s="31">
        <v>0.08</v>
      </c>
      <c r="AE53" s="127">
        <f>(AB53*(1+AC53))/($C$2-AD53)</f>
        <v>2857.6624005232702</v>
      </c>
    </row>
    <row r="54" spans="2:31">
      <c r="B54" s="20" t="s">
        <v>256</v>
      </c>
      <c r="C54" s="127">
        <f>(C52+C53)</f>
        <v>0</v>
      </c>
      <c r="D54" s="127">
        <f t="shared" ref="D54:P54" si="171">(D52+D53)</f>
        <v>0</v>
      </c>
      <c r="E54" s="127">
        <f t="shared" si="171"/>
        <v>0</v>
      </c>
      <c r="F54" s="145">
        <f t="shared" si="171"/>
        <v>0</v>
      </c>
      <c r="G54" s="145">
        <f t="shared" si="171"/>
        <v>133.91105063381795</v>
      </c>
      <c r="H54" s="145">
        <f t="shared" si="171"/>
        <v>168.41047721564408</v>
      </c>
      <c r="I54" s="145">
        <f t="shared" si="171"/>
        <v>49.695012558306431</v>
      </c>
      <c r="J54" s="145">
        <f t="shared" si="171"/>
        <v>40.739146035163259</v>
      </c>
      <c r="K54" s="145">
        <f t="shared" si="171"/>
        <v>68.175564116675829</v>
      </c>
      <c r="L54" s="145">
        <f t="shared" si="171"/>
        <v>49.809507429829388</v>
      </c>
      <c r="M54" s="145">
        <f t="shared" si="171"/>
        <v>32.914707857622567</v>
      </c>
      <c r="N54" s="145">
        <f t="shared" si="171"/>
        <v>59.835625628983557</v>
      </c>
      <c r="O54" s="145">
        <f t="shared" ref="O54" si="172">(O52+O53)</f>
        <v>134.42777050391109</v>
      </c>
      <c r="P54" s="145">
        <f t="shared" si="171"/>
        <v>317.76044682082897</v>
      </c>
      <c r="Q54" s="118">
        <f>((P54/G54)^(1/($H$3-$H$2) ))-1</f>
        <v>0.10077398656190217</v>
      </c>
      <c r="R54" s="31">
        <v>0.1</v>
      </c>
      <c r="S54" s="119">
        <f t="shared" si="168"/>
        <v>349.53649150291187</v>
      </c>
      <c r="T54" s="119">
        <f t="shared" si="169"/>
        <v>384.49014065320307</v>
      </c>
      <c r="U54" s="119">
        <f t="shared" si="169"/>
        <v>422.93915471852341</v>
      </c>
      <c r="V54" s="119">
        <f t="shared" si="169"/>
        <v>465.23307019037577</v>
      </c>
      <c r="W54" s="119">
        <f t="shared" si="169"/>
        <v>511.75637720941342</v>
      </c>
      <c r="X54" s="119">
        <f t="shared" si="169"/>
        <v>562.93201493035485</v>
      </c>
      <c r="Y54" s="119">
        <f t="shared" si="169"/>
        <v>619.22521642339041</v>
      </c>
      <c r="Z54" s="119">
        <f t="shared" si="169"/>
        <v>681.14773806572953</v>
      </c>
      <c r="AA54" s="119">
        <f t="shared" si="169"/>
        <v>749.26251187230253</v>
      </c>
      <c r="AB54" s="119">
        <f t="shared" si="169"/>
        <v>824.18876305953279</v>
      </c>
      <c r="AC54" s="138">
        <f t="shared" si="130"/>
        <v>0.10036655735194144</v>
      </c>
      <c r="AD54" s="31">
        <v>0.08</v>
      </c>
      <c r="AE54" s="127">
        <f>(AB54*(1+AC54))/($C$2-AD54)</f>
        <v>6477.9267986855211</v>
      </c>
    </row>
    <row r="55" spans="2:31">
      <c r="B55" s="20" t="s">
        <v>249</v>
      </c>
      <c r="C55" s="127">
        <f t="shared" ref="C55:P55" si="173">C15/C37</f>
        <v>0</v>
      </c>
      <c r="D55" s="127">
        <f t="shared" si="173"/>
        <v>0</v>
      </c>
      <c r="E55" s="127">
        <f t="shared" si="173"/>
        <v>0</v>
      </c>
      <c r="F55" s="145">
        <f t="shared" si="173"/>
        <v>0</v>
      </c>
      <c r="G55" s="145">
        <f t="shared" si="173"/>
        <v>77.153906753562993</v>
      </c>
      <c r="H55" s="145">
        <f t="shared" si="173"/>
        <v>84.147829207032657</v>
      </c>
      <c r="I55" s="145">
        <f t="shared" si="173"/>
        <v>107.32687477574453</v>
      </c>
      <c r="J55" s="145">
        <f t="shared" si="173"/>
        <v>119.82059562253319</v>
      </c>
      <c r="K55" s="145">
        <f t="shared" si="173"/>
        <v>175.99752339020361</v>
      </c>
      <c r="L55" s="145">
        <f t="shared" si="173"/>
        <v>411.68134287286733</v>
      </c>
      <c r="M55" s="145">
        <f t="shared" si="173"/>
        <v>248.83814640698455</v>
      </c>
      <c r="N55" s="145">
        <f t="shared" si="173"/>
        <v>349.27541093592754</v>
      </c>
      <c r="O55" s="145">
        <f t="shared" si="173"/>
        <v>419.3641521469097</v>
      </c>
      <c r="P55" s="145">
        <f t="shared" si="173"/>
        <v>463.40632769131219</v>
      </c>
      <c r="Q55" s="118">
        <f>((P55/G55)^(1/($H$3-$H$2) ))-1</f>
        <v>0.22042630480468683</v>
      </c>
      <c r="R55" s="31">
        <v>0.1</v>
      </c>
      <c r="S55" s="119">
        <f t="shared" si="168"/>
        <v>509.74696046044346</v>
      </c>
      <c r="T55" s="119">
        <f t="shared" si="169"/>
        <v>560.72165650648788</v>
      </c>
      <c r="U55" s="119">
        <f t="shared" si="169"/>
        <v>616.79382215713667</v>
      </c>
      <c r="V55" s="119">
        <f t="shared" si="169"/>
        <v>678.47320437285043</v>
      </c>
      <c r="W55" s="119">
        <f t="shared" si="169"/>
        <v>746.32052481013557</v>
      </c>
      <c r="X55" s="119">
        <f t="shared" si="169"/>
        <v>820.95257729114917</v>
      </c>
      <c r="Y55" s="119">
        <f t="shared" si="169"/>
        <v>903.04783502026419</v>
      </c>
      <c r="Z55" s="119">
        <f t="shared" si="169"/>
        <v>993.35261852229064</v>
      </c>
      <c r="AA55" s="119">
        <f t="shared" si="169"/>
        <v>1092.6878803745199</v>
      </c>
      <c r="AB55" s="119">
        <f t="shared" si="169"/>
        <v>1201.956668411972</v>
      </c>
      <c r="AC55" s="138">
        <f t="shared" si="130"/>
        <v>0.15548625480216138</v>
      </c>
      <c r="AD55" s="31">
        <v>0.08</v>
      </c>
      <c r="AE55" s="127">
        <f>(AB55*(1+AC55))/($C$2-AD55)</f>
        <v>9920.3172086988052</v>
      </c>
    </row>
    <row r="56" spans="2:31">
      <c r="B56" s="20" t="s">
        <v>250</v>
      </c>
      <c r="C56" s="127">
        <f t="shared" ref="C56:P56" si="174">C16/C37</f>
        <v>0</v>
      </c>
      <c r="D56" s="127">
        <f t="shared" si="174"/>
        <v>0</v>
      </c>
      <c r="E56" s="127">
        <f t="shared" si="174"/>
        <v>0</v>
      </c>
      <c r="F56" s="145">
        <f t="shared" si="174"/>
        <v>0</v>
      </c>
      <c r="G56" s="145">
        <f t="shared" si="174"/>
        <v>16.901811931533338</v>
      </c>
      <c r="H56" s="145">
        <f t="shared" si="174"/>
        <v>12.213850017940437</v>
      </c>
      <c r="I56" s="145">
        <f t="shared" si="174"/>
        <v>21.298887692859708</v>
      </c>
      <c r="J56" s="145">
        <f t="shared" si="174"/>
        <v>42.145676354503053</v>
      </c>
      <c r="K56" s="145">
        <f t="shared" si="174"/>
        <v>115.73335167859108</v>
      </c>
      <c r="L56" s="145">
        <f t="shared" si="174"/>
        <v>71.009906439185457</v>
      </c>
      <c r="M56" s="145">
        <f t="shared" si="174"/>
        <v>66.537944929482876</v>
      </c>
      <c r="N56" s="145">
        <f t="shared" si="174"/>
        <v>114.70647433747064</v>
      </c>
      <c r="O56" s="145">
        <f t="shared" si="174"/>
        <v>160.62376204384464</v>
      </c>
      <c r="P56" s="145">
        <f t="shared" si="174"/>
        <v>156.79256206790859</v>
      </c>
      <c r="Q56" s="118">
        <f>((P56/G56)^(1/($H$3-$H$2) ))-1</f>
        <v>0.28081976654409302</v>
      </c>
      <c r="R56" s="31">
        <v>0.1</v>
      </c>
      <c r="S56" s="119">
        <f t="shared" si="168"/>
        <v>172.47181827469947</v>
      </c>
      <c r="T56" s="119">
        <f t="shared" si="169"/>
        <v>189.71900010216945</v>
      </c>
      <c r="U56" s="119">
        <f t="shared" si="169"/>
        <v>208.6909001123864</v>
      </c>
      <c r="V56" s="119">
        <f t="shared" si="169"/>
        <v>229.55999012362506</v>
      </c>
      <c r="W56" s="119">
        <f t="shared" si="169"/>
        <v>252.51598913598758</v>
      </c>
      <c r="X56" s="119">
        <f t="shared" si="169"/>
        <v>277.76758804958638</v>
      </c>
      <c r="Y56" s="119">
        <f t="shared" si="169"/>
        <v>305.54434685454504</v>
      </c>
      <c r="Z56" s="119">
        <f t="shared" si="169"/>
        <v>336.09878153999955</v>
      </c>
      <c r="AA56" s="119">
        <f t="shared" si="169"/>
        <v>369.70865969399955</v>
      </c>
      <c r="AB56" s="119">
        <f t="shared" si="169"/>
        <v>406.67952566339955</v>
      </c>
      <c r="AC56" s="138">
        <f t="shared" si="130"/>
        <v>0.18222735015391556</v>
      </c>
      <c r="AD56" s="31">
        <v>0.08</v>
      </c>
      <c r="AE56" s="127">
        <f>(AB56*(1+AC56))/($C$2-AD56)</f>
        <v>3434.1975570492295</v>
      </c>
    </row>
    <row r="57" spans="2:31">
      <c r="B57" s="20"/>
      <c r="C57" s="127"/>
      <c r="D57" s="127"/>
      <c r="E57" s="127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28"/>
      <c r="R57" s="128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39"/>
      <c r="AD57" s="20"/>
      <c r="AE57" s="20"/>
    </row>
    <row r="58" spans="2:31">
      <c r="B58" s="20" t="s">
        <v>284</v>
      </c>
      <c r="C58" s="146">
        <v>1</v>
      </c>
      <c r="D58" s="146">
        <v>1</v>
      </c>
      <c r="E58" s="146">
        <v>1</v>
      </c>
      <c r="F58" s="147">
        <v>5</v>
      </c>
      <c r="G58" s="147">
        <v>5.25</v>
      </c>
      <c r="H58" s="147">
        <v>7.5</v>
      </c>
      <c r="I58" s="147">
        <v>10</v>
      </c>
      <c r="J58" s="147">
        <v>11</v>
      </c>
      <c r="K58" s="147">
        <v>13</v>
      </c>
      <c r="L58" s="147">
        <v>13</v>
      </c>
      <c r="M58" s="147">
        <v>7</v>
      </c>
      <c r="N58" s="147">
        <v>8</v>
      </c>
      <c r="O58" s="147">
        <v>8.5</v>
      </c>
      <c r="P58" s="147">
        <v>9</v>
      </c>
      <c r="Q58" s="118">
        <f>((P58/G58)^(1/($H$3-$H$2) ))-1</f>
        <v>6.1718158457117367E-2</v>
      </c>
      <c r="R58" s="31">
        <v>0.05</v>
      </c>
      <c r="S58" s="119">
        <f t="shared" ref="S58" si="175">P58*(1+$R58)</f>
        <v>9.4500000000000011</v>
      </c>
      <c r="T58" s="119">
        <f t="shared" ref="T58" si="176">S58*(1+$R58)</f>
        <v>9.9225000000000012</v>
      </c>
      <c r="U58" s="119">
        <f t="shared" ref="U58" si="177">T58*(1+$R58)</f>
        <v>10.418625000000002</v>
      </c>
      <c r="V58" s="119">
        <f t="shared" ref="V58" si="178">U58*(1+$R58)</f>
        <v>10.939556250000003</v>
      </c>
      <c r="W58" s="119">
        <f t="shared" ref="W58" si="179">V58*(1+$R58)</f>
        <v>11.486534062500002</v>
      </c>
      <c r="X58" s="119">
        <f t="shared" ref="X58" si="180">W58*(1+$R58)</f>
        <v>12.060860765625003</v>
      </c>
      <c r="Y58" s="119">
        <f t="shared" ref="Y58" si="181">X58*(1+$R58)</f>
        <v>12.663903803906255</v>
      </c>
      <c r="Z58" s="119">
        <f t="shared" ref="Z58" si="182">Y58*(1+$R58)</f>
        <v>13.297098994101567</v>
      </c>
      <c r="AA58" s="119">
        <f t="shared" ref="AA58" si="183">Z58*(1+$R58)</f>
        <v>13.961953943806646</v>
      </c>
      <c r="AB58" s="119">
        <f t="shared" ref="AB58" si="184">AA58*(1+$R58)</f>
        <v>14.660051640996979</v>
      </c>
      <c r="AC58" s="138">
        <f t="shared" ref="AC58" si="185">((AB58/G58)^(1/($AB$4-$H$2) ))-1</f>
        <v>5.553449678183342E-2</v>
      </c>
      <c r="AD58" s="31">
        <v>0.08</v>
      </c>
      <c r="AE58" s="127">
        <f>(AB58*(1+AC58))/($C$2-AD58)</f>
        <v>110.52993022625311</v>
      </c>
    </row>
    <row r="59" spans="2:31">
      <c r="B59" s="20"/>
      <c r="C59" s="127"/>
      <c r="D59" s="127"/>
      <c r="E59" s="127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28"/>
      <c r="R59" s="128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39"/>
      <c r="AD59" s="20"/>
      <c r="AE59" s="20"/>
    </row>
    <row r="60" spans="2:31">
      <c r="B60" s="20" t="s">
        <v>311</v>
      </c>
      <c r="C60" s="127">
        <f t="shared" ref="C60:G60" si="186">C20+C21</f>
        <v>0</v>
      </c>
      <c r="D60" s="127">
        <f t="shared" si="186"/>
        <v>0</v>
      </c>
      <c r="E60" s="127">
        <f t="shared" si="186"/>
        <v>0</v>
      </c>
      <c r="F60" s="145">
        <f t="shared" si="186"/>
        <v>-391</v>
      </c>
      <c r="G60" s="145">
        <f t="shared" si="186"/>
        <v>1168</v>
      </c>
      <c r="H60" s="145">
        <f>H20+H21</f>
        <v>9092</v>
      </c>
      <c r="I60" s="145">
        <f t="shared" ref="I60:P60" si="187">I20+I21</f>
        <v>-2916</v>
      </c>
      <c r="J60" s="145">
        <f t="shared" si="187"/>
        <v>-12497</v>
      </c>
      <c r="K60" s="145">
        <f t="shared" si="187"/>
        <v>-14192</v>
      </c>
      <c r="L60" s="145">
        <f t="shared" si="187"/>
        <v>-6819</v>
      </c>
      <c r="M60" s="145">
        <f t="shared" si="187"/>
        <v>2264</v>
      </c>
      <c r="N60" s="145">
        <f t="shared" si="187"/>
        <v>1295</v>
      </c>
      <c r="O60" s="145">
        <f t="shared" si="187"/>
        <v>18182</v>
      </c>
      <c r="P60" s="145">
        <f t="shared" si="187"/>
        <v>9268</v>
      </c>
      <c r="Q60" s="118">
        <f>((P60/G60)^(1/($H$3-$H$2) ))-1</f>
        <v>0.25877828536853698</v>
      </c>
      <c r="R60" s="128"/>
      <c r="S60" s="127">
        <f>S20+S21</f>
        <v>10194.799999999999</v>
      </c>
      <c r="T60" s="127">
        <f t="shared" ref="T60:AB60" si="188">T20+T21</f>
        <v>11214.279999999999</v>
      </c>
      <c r="U60" s="127">
        <f t="shared" si="188"/>
        <v>12335.707999999999</v>
      </c>
      <c r="V60" s="127">
        <f t="shared" si="188"/>
        <v>13569.2788</v>
      </c>
      <c r="W60" s="127">
        <f t="shared" si="188"/>
        <v>14926.206680000003</v>
      </c>
      <c r="X60" s="127">
        <f t="shared" si="188"/>
        <v>16418.827348000006</v>
      </c>
      <c r="Y60" s="127">
        <f t="shared" si="188"/>
        <v>18060.710082800004</v>
      </c>
      <c r="Z60" s="127">
        <f t="shared" si="188"/>
        <v>19866.781091080004</v>
      </c>
      <c r="AA60" s="127">
        <f t="shared" si="188"/>
        <v>21853.459200188001</v>
      </c>
      <c r="AB60" s="127">
        <f t="shared" si="188"/>
        <v>24038.805120206802</v>
      </c>
      <c r="AC60" s="138">
        <f t="shared" ref="AC60:AC65" si="189">((AB60/G60)^(1/($AB$4-$H$2) ))-1</f>
        <v>0.17254630323421449</v>
      </c>
      <c r="AD60" s="31">
        <v>0.08</v>
      </c>
      <c r="AE60" s="127">
        <f>(AB60*(1+AC60))/($C$2-AD60)</f>
        <v>201332.94341332992</v>
      </c>
    </row>
    <row r="61" spans="2:31">
      <c r="B61" s="20"/>
      <c r="C61" s="127"/>
      <c r="D61" s="127"/>
      <c r="E61" s="127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18"/>
      <c r="R61" s="128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38"/>
      <c r="AD61" s="31"/>
      <c r="AE61" s="127"/>
    </row>
    <row r="62" spans="2:31">
      <c r="B62" s="20" t="s">
        <v>312</v>
      </c>
      <c r="C62" s="127">
        <f t="shared" ref="C62:G62" si="190">C60/C37</f>
        <v>0</v>
      </c>
      <c r="D62" s="127">
        <f t="shared" si="190"/>
        <v>0</v>
      </c>
      <c r="E62" s="127">
        <f t="shared" si="190"/>
        <v>0</v>
      </c>
      <c r="F62" s="145">
        <f t="shared" si="190"/>
        <v>-391</v>
      </c>
      <c r="G62" s="145">
        <f t="shared" si="190"/>
        <v>8.3649645491656521</v>
      </c>
      <c r="H62" s="145">
        <f t="shared" ref="H62" si="191">H60/H37</f>
        <v>65.245783997129536</v>
      </c>
      <c r="I62" s="145">
        <f t="shared" ref="I62:P62" si="192">I60/I37</f>
        <v>-20.925726587728743</v>
      </c>
      <c r="J62" s="145">
        <f t="shared" si="192"/>
        <v>-89.680660208109074</v>
      </c>
      <c r="K62" s="145">
        <f t="shared" si="192"/>
        <v>-97.633461750137585</v>
      </c>
      <c r="L62" s="145">
        <f t="shared" si="192"/>
        <v>-46.911117226197021</v>
      </c>
      <c r="M62" s="145">
        <f t="shared" si="192"/>
        <v>7.6024177300201474</v>
      </c>
      <c r="N62" s="145">
        <f t="shared" si="192"/>
        <v>4.3441798054344174</v>
      </c>
      <c r="O62" s="145">
        <f t="shared" si="192"/>
        <v>61.040051028972371</v>
      </c>
      <c r="P62" s="145">
        <f t="shared" si="192"/>
        <v>31.563532336614106</v>
      </c>
      <c r="Q62" s="118">
        <f>((P62/G62)^(1/($H$3-$H$2) ))-1</f>
        <v>0.15899127386297218</v>
      </c>
      <c r="R62" s="128"/>
      <c r="S62" s="127">
        <f t="shared" ref="S62:AB62" si="193">S60/S37</f>
        <v>34.719885570275515</v>
      </c>
      <c r="T62" s="127">
        <f t="shared" si="193"/>
        <v>38.191874127303066</v>
      </c>
      <c r="U62" s="127">
        <f t="shared" si="193"/>
        <v>42.011061540033374</v>
      </c>
      <c r="V62" s="127">
        <f t="shared" si="193"/>
        <v>46.212167694036715</v>
      </c>
      <c r="W62" s="127">
        <f t="shared" si="193"/>
        <v>50.833384463440396</v>
      </c>
      <c r="X62" s="127">
        <f t="shared" si="193"/>
        <v>55.916722909784447</v>
      </c>
      <c r="Y62" s="127">
        <f t="shared" si="193"/>
        <v>61.508395200762877</v>
      </c>
      <c r="Z62" s="127">
        <f t="shared" si="193"/>
        <v>67.659234720839166</v>
      </c>
      <c r="AA62" s="127">
        <f t="shared" si="193"/>
        <v>74.425158192923064</v>
      </c>
      <c r="AB62" s="127">
        <f t="shared" si="193"/>
        <v>81.867674012215375</v>
      </c>
      <c r="AC62" s="138">
        <f t="shared" si="189"/>
        <v>0.12755928790053228</v>
      </c>
      <c r="AD62" s="31">
        <v>0.08</v>
      </c>
      <c r="AE62" s="127">
        <f>(AB62*(1+AC62))/($C$2-AD62)</f>
        <v>659.36183008061766</v>
      </c>
    </row>
    <row r="63" spans="2:31">
      <c r="B63" s="20" t="s">
        <v>288</v>
      </c>
      <c r="C63" s="127">
        <f t="shared" ref="C63:P63" si="194">C20/C37</f>
        <v>0</v>
      </c>
      <c r="D63" s="127">
        <f t="shared" si="194"/>
        <v>0</v>
      </c>
      <c r="E63" s="127">
        <f t="shared" si="194"/>
        <v>0</v>
      </c>
      <c r="F63" s="145">
        <f t="shared" si="194"/>
        <v>6598</v>
      </c>
      <c r="G63" s="145">
        <f t="shared" si="194"/>
        <v>83.563704075055512</v>
      </c>
      <c r="H63" s="145">
        <f t="shared" si="194"/>
        <v>124.18371008252602</v>
      </c>
      <c r="I63" s="145">
        <f t="shared" si="194"/>
        <v>73.720846788661646</v>
      </c>
      <c r="J63" s="145">
        <f t="shared" si="194"/>
        <v>120.18658055256549</v>
      </c>
      <c r="K63" s="145">
        <f t="shared" si="194"/>
        <v>111.67446340121077</v>
      </c>
      <c r="L63" s="145">
        <f t="shared" si="194"/>
        <v>112.04595487066592</v>
      </c>
      <c r="M63" s="145">
        <f t="shared" si="194"/>
        <v>68.817998656816656</v>
      </c>
      <c r="N63" s="145">
        <f t="shared" si="194"/>
        <v>111.83495471318349</v>
      </c>
      <c r="O63" s="145">
        <f t="shared" si="194"/>
        <v>82.193574378084392</v>
      </c>
      <c r="P63" s="145">
        <f t="shared" si="194"/>
        <v>125.72965977590846</v>
      </c>
      <c r="Q63" s="118">
        <f>((P63/G63)^(1/($H$3-$H$2) ))-1</f>
        <v>4.6437608883751036E-2</v>
      </c>
      <c r="R63" s="128"/>
      <c r="S63" s="127">
        <f t="shared" ref="S63:AB63" si="195">S20/S37</f>
        <v>138.30262575349931</v>
      </c>
      <c r="T63" s="127">
        <f t="shared" si="195"/>
        <v>152.13288832884925</v>
      </c>
      <c r="U63" s="127">
        <f t="shared" si="195"/>
        <v>167.34617716173418</v>
      </c>
      <c r="V63" s="127">
        <f t="shared" si="195"/>
        <v>184.08079487790761</v>
      </c>
      <c r="W63" s="127">
        <f t="shared" si="195"/>
        <v>202.48887436569839</v>
      </c>
      <c r="X63" s="127">
        <f t="shared" si="195"/>
        <v>222.73776180226827</v>
      </c>
      <c r="Y63" s="127">
        <f t="shared" si="195"/>
        <v>245.0115379824951</v>
      </c>
      <c r="Z63" s="127">
        <f t="shared" si="195"/>
        <v>269.5126917807446</v>
      </c>
      <c r="AA63" s="127">
        <f t="shared" si="195"/>
        <v>296.46396095881909</v>
      </c>
      <c r="AB63" s="127">
        <f t="shared" si="195"/>
        <v>326.11035705470101</v>
      </c>
      <c r="AC63" s="138">
        <f t="shared" si="189"/>
        <v>7.4294918658089459E-2</v>
      </c>
      <c r="AD63" s="31">
        <v>0.08</v>
      </c>
      <c r="AE63" s="127">
        <f>(AB63*(1+AC63))/($C$2-AD63)</f>
        <v>2502.4192821831466</v>
      </c>
    </row>
    <row r="64" spans="2:31">
      <c r="B64" s="20" t="s">
        <v>289</v>
      </c>
      <c r="C64" s="127">
        <f t="shared" ref="C64:P64" si="196">C21/C37</f>
        <v>0</v>
      </c>
      <c r="D64" s="127">
        <f t="shared" si="196"/>
        <v>0</v>
      </c>
      <c r="E64" s="127">
        <f t="shared" si="196"/>
        <v>0</v>
      </c>
      <c r="F64" s="145">
        <f t="shared" si="196"/>
        <v>-6989</v>
      </c>
      <c r="G64" s="145">
        <f t="shared" si="196"/>
        <v>-75.198739525889849</v>
      </c>
      <c r="H64" s="145">
        <f t="shared" si="196"/>
        <v>-58.937926085396484</v>
      </c>
      <c r="I64" s="145">
        <f t="shared" si="196"/>
        <v>-94.646573376390393</v>
      </c>
      <c r="J64" s="145">
        <f t="shared" si="196"/>
        <v>-209.86724076067458</v>
      </c>
      <c r="K64" s="145">
        <f t="shared" si="196"/>
        <v>-209.30792515134834</v>
      </c>
      <c r="L64" s="145">
        <f t="shared" si="196"/>
        <v>-158.95707209686296</v>
      </c>
      <c r="M64" s="145">
        <f t="shared" si="196"/>
        <v>-61.215580926796505</v>
      </c>
      <c r="N64" s="145">
        <f t="shared" si="196"/>
        <v>-107.49077490774907</v>
      </c>
      <c r="O64" s="145">
        <f t="shared" si="196"/>
        <v>-21.153523349112028</v>
      </c>
      <c r="P64" s="145">
        <f t="shared" si="196"/>
        <v>-94.166127439294357</v>
      </c>
      <c r="Q64" s="118">
        <f>((P64/G64)^(1/($H$3-$H$2) ))-1</f>
        <v>2.5306697755042462E-2</v>
      </c>
      <c r="R64" s="128"/>
      <c r="S64" s="127">
        <f t="shared" ref="S64:AB64" si="197">S21/S37</f>
        <v>-103.58274018322381</v>
      </c>
      <c r="T64" s="127">
        <f t="shared" si="197"/>
        <v>-113.9410142015462</v>
      </c>
      <c r="U64" s="127">
        <f t="shared" si="197"/>
        <v>-125.33511562170081</v>
      </c>
      <c r="V64" s="127">
        <f t="shared" si="197"/>
        <v>-137.8686271838709</v>
      </c>
      <c r="W64" s="127">
        <f t="shared" si="197"/>
        <v>-151.65548990225801</v>
      </c>
      <c r="X64" s="127">
        <f t="shared" si="197"/>
        <v>-166.82103889248381</v>
      </c>
      <c r="Y64" s="127">
        <f t="shared" si="197"/>
        <v>-183.50314278173221</v>
      </c>
      <c r="Z64" s="127">
        <f t="shared" si="197"/>
        <v>-201.85345705990548</v>
      </c>
      <c r="AA64" s="127">
        <f t="shared" si="197"/>
        <v>-222.03880276589604</v>
      </c>
      <c r="AB64" s="127">
        <f t="shared" si="197"/>
        <v>-244.24268304248565</v>
      </c>
      <c r="AC64" s="138">
        <f t="shared" si="189"/>
        <v>6.3963905082894179E-2</v>
      </c>
      <c r="AD64" s="31">
        <v>0.08</v>
      </c>
      <c r="AE64" s="127">
        <f>(AB64*(1+AC64))/($C$2-AD64)</f>
        <v>-1856.1814202700468</v>
      </c>
    </row>
    <row r="65" spans="2:31">
      <c r="B65" s="20" t="s">
        <v>290</v>
      </c>
      <c r="C65" s="127">
        <f t="shared" ref="C65:P65" si="198">C22/C37</f>
        <v>0</v>
      </c>
      <c r="D65" s="127">
        <f t="shared" si="198"/>
        <v>0</v>
      </c>
      <c r="E65" s="127">
        <f t="shared" si="198"/>
        <v>0</v>
      </c>
      <c r="F65" s="145">
        <f t="shared" si="198"/>
        <v>-1222</v>
      </c>
      <c r="G65" s="145">
        <f t="shared" si="198"/>
        <v>-7.4912268137219797</v>
      </c>
      <c r="H65" s="145">
        <f t="shared" si="198"/>
        <v>-40.94725511302476</v>
      </c>
      <c r="I65" s="145">
        <f t="shared" si="198"/>
        <v>13.749551489056334</v>
      </c>
      <c r="J65" s="145">
        <f t="shared" si="198"/>
        <v>-77.043415859346965</v>
      </c>
      <c r="K65" s="145">
        <f t="shared" si="198"/>
        <v>114.99724821133736</v>
      </c>
      <c r="L65" s="145">
        <f t="shared" si="198"/>
        <v>172.23445239405612</v>
      </c>
      <c r="M65" s="145">
        <f t="shared" si="198"/>
        <v>-37.384150436534583</v>
      </c>
      <c r="N65" s="145">
        <f t="shared" si="198"/>
        <v>50.147601476014756</v>
      </c>
      <c r="O65" s="145">
        <f t="shared" si="198"/>
        <v>-25.480914492899586</v>
      </c>
      <c r="P65" s="145">
        <f t="shared" si="198"/>
        <v>1.3895037972959166</v>
      </c>
      <c r="Q65" s="118">
        <f>((P65/G65)^(1/($H$3-$H$2) ))-1</f>
        <v>-1.8292791657671481</v>
      </c>
      <c r="R65" s="128"/>
      <c r="S65" s="127">
        <f t="shared" ref="S65:AB65" si="199">S22/S37</f>
        <v>1.4589789871607126</v>
      </c>
      <c r="T65" s="127">
        <f t="shared" si="199"/>
        <v>1.5319279365187484</v>
      </c>
      <c r="U65" s="127">
        <f t="shared" si="199"/>
        <v>1.6085243333446859</v>
      </c>
      <c r="V65" s="127">
        <f t="shared" si="199"/>
        <v>1.6889505500119202</v>
      </c>
      <c r="W65" s="127">
        <f t="shared" si="199"/>
        <v>1.7733980775125164</v>
      </c>
      <c r="X65" s="127">
        <f t="shared" si="199"/>
        <v>1.8620679813881422</v>
      </c>
      <c r="Y65" s="127">
        <f t="shared" si="199"/>
        <v>1.9551713804575495</v>
      </c>
      <c r="Z65" s="127">
        <f t="shared" si="199"/>
        <v>2.052929949480427</v>
      </c>
      <c r="AA65" s="127">
        <f t="shared" si="199"/>
        <v>2.1555764469544485</v>
      </c>
      <c r="AB65" s="127">
        <f t="shared" si="199"/>
        <v>2.2633552693021715</v>
      </c>
      <c r="AC65" s="138">
        <f t="shared" si="189"/>
        <v>-1.9389491946926487</v>
      </c>
      <c r="AD65" s="31">
        <v>0.08</v>
      </c>
      <c r="AE65" s="127">
        <f>(AB65*(1+AC65))/($C$2-AD65)</f>
        <v>-15.179825767247404</v>
      </c>
    </row>
    <row r="66" spans="2:31">
      <c r="B66" s="20" t="s">
        <v>296</v>
      </c>
      <c r="C66" s="127">
        <f t="shared" ref="C66:P66" si="200">C23/C37</f>
        <v>0</v>
      </c>
      <c r="D66" s="127">
        <f t="shared" si="200"/>
        <v>0</v>
      </c>
      <c r="E66" s="127">
        <f t="shared" si="200"/>
        <v>0</v>
      </c>
      <c r="F66" s="145">
        <f t="shared" si="200"/>
        <v>150</v>
      </c>
      <c r="G66" s="145">
        <f t="shared" si="200"/>
        <v>1.933681873522882</v>
      </c>
      <c r="H66" s="145">
        <f t="shared" si="200"/>
        <v>25.905992106207393</v>
      </c>
      <c r="I66" s="145">
        <f t="shared" si="200"/>
        <v>18.772874058127019</v>
      </c>
      <c r="J66" s="145">
        <f t="shared" si="200"/>
        <v>13.900251166128454</v>
      </c>
      <c r="K66" s="145">
        <f t="shared" si="200"/>
        <v>30.778756191524486</v>
      </c>
      <c r="L66" s="145">
        <f t="shared" si="200"/>
        <v>156.45294441386901</v>
      </c>
      <c r="M66" s="145">
        <f t="shared" si="200"/>
        <v>46.642041638683679</v>
      </c>
      <c r="N66" s="145">
        <f t="shared" si="200"/>
        <v>101.10365649111036</v>
      </c>
      <c r="O66" s="145">
        <f t="shared" si="200"/>
        <v>136.74086010675799</v>
      </c>
      <c r="P66" s="145">
        <f t="shared" si="200"/>
        <v>171.8353029322617</v>
      </c>
      <c r="Q66" s="118">
        <f>((P66/G66)^(1/($H$3-$H$2) ))-1</f>
        <v>0.64636173263235075</v>
      </c>
      <c r="R66" s="128"/>
      <c r="S66" s="127">
        <f t="shared" ref="S66:AB66" si="201">S23/S37</f>
        <v>189.0188332254879</v>
      </c>
      <c r="T66" s="127">
        <f t="shared" si="201"/>
        <v>207.92071654803669</v>
      </c>
      <c r="U66" s="127">
        <f t="shared" si="201"/>
        <v>228.71278820284036</v>
      </c>
      <c r="V66" s="127">
        <f t="shared" si="201"/>
        <v>251.58406702312445</v>
      </c>
      <c r="W66" s="127">
        <f t="shared" si="201"/>
        <v>276.74247372543692</v>
      </c>
      <c r="X66" s="127">
        <f t="shared" si="201"/>
        <v>304.41672109798066</v>
      </c>
      <c r="Y66" s="127">
        <f t="shared" si="201"/>
        <v>334.85839320777876</v>
      </c>
      <c r="Z66" s="127">
        <f t="shared" si="201"/>
        <v>368.34423252855663</v>
      </c>
      <c r="AA66" s="127">
        <f t="shared" si="201"/>
        <v>405.17865578141232</v>
      </c>
      <c r="AB66" s="127">
        <f t="shared" si="201"/>
        <v>445.69652135955357</v>
      </c>
      <c r="AC66" s="138">
        <f t="shared" ref="AC66" si="202">((AB66/G66)^(1/($AB$4-$H$2) ))-1</f>
        <v>0.3315277504184877</v>
      </c>
      <c r="AD66" s="31">
        <v>0.08</v>
      </c>
      <c r="AE66" s="127">
        <f>(AB66*(1+AC66))/($C$2-AD66)</f>
        <v>4238.9806175373697</v>
      </c>
    </row>
    <row r="67" spans="2:31">
      <c r="B67" s="20"/>
      <c r="C67" s="127"/>
      <c r="D67" s="127"/>
      <c r="E67" s="127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18"/>
      <c r="R67" s="128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39"/>
      <c r="AD67" s="20"/>
      <c r="AE67" s="20"/>
    </row>
    <row r="68" spans="2:31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20"/>
    </row>
    <row r="69" spans="2:31">
      <c r="B69" s="108" t="s">
        <v>244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3"/>
      <c r="R69" s="23"/>
      <c r="S69" s="122" t="s">
        <v>66</v>
      </c>
      <c r="T69" s="20"/>
      <c r="U69" s="20"/>
      <c r="V69" s="20"/>
      <c r="W69" s="20"/>
      <c r="X69" s="20"/>
      <c r="Y69" s="20"/>
      <c r="Z69" s="20"/>
      <c r="AA69" s="20"/>
      <c r="AB69" s="20"/>
      <c r="AC69" s="137"/>
      <c r="AD69" s="20"/>
      <c r="AE69" s="20"/>
    </row>
    <row r="70" spans="2:31">
      <c r="B70" s="23" t="s">
        <v>282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5"/>
      <c r="Q70" s="23"/>
      <c r="R70" s="162">
        <f>AVERAGE(G43:P43)</f>
        <v>76.694726937668108</v>
      </c>
      <c r="S70" s="134"/>
      <c r="T70" s="20"/>
      <c r="U70" s="20"/>
      <c r="V70" s="20"/>
      <c r="W70" s="20"/>
      <c r="X70" s="20"/>
      <c r="Y70" s="20"/>
      <c r="Z70" s="20"/>
      <c r="AA70" s="20"/>
      <c r="AB70" s="20"/>
      <c r="AC70" s="137"/>
      <c r="AD70" s="20"/>
      <c r="AE70" s="20"/>
    </row>
    <row r="71" spans="2:31">
      <c r="B71" s="20" t="s">
        <v>25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40">
        <f>S71+T71</f>
        <v>223.09455422865088</v>
      </c>
      <c r="S71" s="133">
        <f>PV($C$2, ($AB$4-$S$4), 0, -AB43)</f>
        <v>25.648024941928465</v>
      </c>
      <c r="T71" s="133">
        <f>PV($C$2, ($AB$4-$S$4), 0, -AE43)</f>
        <v>197.44652928672241</v>
      </c>
      <c r="U71" s="20"/>
      <c r="V71" s="20"/>
      <c r="W71" s="20"/>
      <c r="X71" s="20"/>
      <c r="Y71" s="20"/>
      <c r="Z71" s="20"/>
      <c r="AA71" s="20"/>
      <c r="AB71" s="20"/>
      <c r="AC71" s="137"/>
      <c r="AD71" s="20"/>
      <c r="AE71" s="20"/>
    </row>
    <row r="72" spans="2:31">
      <c r="B72" s="20" t="s">
        <v>273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40">
        <f t="shared" ref="R72:R90" si="203">S72+T72</f>
        <v>1967.5949179590914</v>
      </c>
      <c r="S72" s="133">
        <f>PV($C$2, ($AB$4-$S$4), 0, -AB44)</f>
        <v>223.5636876760887</v>
      </c>
      <c r="T72" s="133">
        <f>PV($C$2, ($AB$4-$S$4), 0, -AE44)</f>
        <v>1744.0312302830027</v>
      </c>
      <c r="U72" s="20"/>
      <c r="V72" s="20"/>
      <c r="W72" s="20"/>
      <c r="X72" s="20"/>
      <c r="Y72" s="20"/>
      <c r="Z72" s="20"/>
      <c r="AA72" s="20"/>
      <c r="AB72" s="20"/>
      <c r="AC72" s="137"/>
      <c r="AD72" s="20"/>
      <c r="AE72" s="20"/>
    </row>
    <row r="73" spans="2:31">
      <c r="B73" s="20" t="s">
        <v>274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40">
        <f t="shared" si="203"/>
        <v>1937.7876045543558</v>
      </c>
      <c r="S73" s="133">
        <f>PV($C$2, ($AB$4-$S$4), 0, -AB45)</f>
        <v>219.92757727423816</v>
      </c>
      <c r="T73" s="133">
        <f>PV($C$2, ($AB$4-$S$4), 0, -AE45)</f>
        <v>1717.8600272801175</v>
      </c>
      <c r="U73" s="20"/>
      <c r="V73" s="20"/>
      <c r="W73" s="20"/>
      <c r="X73" s="20"/>
      <c r="Y73" s="20"/>
      <c r="Z73" s="20"/>
      <c r="AA73" s="20"/>
      <c r="AB73" s="20"/>
      <c r="AC73" s="137"/>
      <c r="AD73" s="20"/>
      <c r="AE73" s="20"/>
    </row>
    <row r="74" spans="2:31">
      <c r="B74" s="20" t="s">
        <v>275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40">
        <f t="shared" si="203"/>
        <v>1053.1840971280762</v>
      </c>
      <c r="S74" s="133">
        <f>PV($C$2, ($AB$4-$S$4), 0, -AB46)</f>
        <v>120.27753444547767</v>
      </c>
      <c r="T74" s="133">
        <f>PV($C$2, ($AB$4-$S$4), 0, -AE46)</f>
        <v>932.90656268259863</v>
      </c>
      <c r="U74" s="20"/>
      <c r="V74" s="20"/>
      <c r="W74" s="20"/>
      <c r="X74" s="20"/>
      <c r="Y74" s="20"/>
      <c r="Z74" s="20"/>
      <c r="AA74" s="20"/>
      <c r="AB74" s="20"/>
      <c r="AC74" s="137"/>
      <c r="AD74" s="20"/>
      <c r="AE74" s="20"/>
    </row>
    <row r="75" spans="2:31">
      <c r="B75" s="20" t="s">
        <v>276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40">
        <f t="shared" si="203"/>
        <v>782.42224479432377</v>
      </c>
      <c r="S75" s="133">
        <f>PV($C$2, ($AB$4-$S$4), 0, -AB52)</f>
        <v>74.439040813232026</v>
      </c>
      <c r="T75" s="133">
        <f>PV($C$2, ($AB$4-$S$4), 0, -AE52)</f>
        <v>707.98320398109172</v>
      </c>
      <c r="U75" s="20"/>
      <c r="V75" s="20"/>
      <c r="W75" s="20"/>
      <c r="X75" s="20"/>
      <c r="Y75" s="20"/>
      <c r="Z75" s="20"/>
      <c r="AA75" s="20"/>
      <c r="AB75" s="20"/>
      <c r="AC75" s="137"/>
      <c r="AD75" s="20"/>
      <c r="AE75" s="20"/>
    </row>
    <row r="76" spans="2:3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0"/>
      <c r="S76" s="133"/>
      <c r="T76" s="20"/>
      <c r="U76" s="20"/>
      <c r="V76" s="20"/>
      <c r="W76" s="20"/>
      <c r="X76" s="20"/>
      <c r="Y76" s="20"/>
      <c r="Z76" s="20"/>
      <c r="AA76" s="20"/>
      <c r="AB76" s="20"/>
      <c r="AC76" s="137"/>
      <c r="AD76" s="20"/>
      <c r="AE76" s="20"/>
    </row>
    <row r="77" spans="2:31">
      <c r="B77" s="20" t="s">
        <v>271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0">
        <f t="shared" si="203"/>
        <v>1013.6228735183313</v>
      </c>
      <c r="S77" s="133">
        <f>PV($C$2, ($AB$4-$S$4), 0, -AB48)</f>
        <v>113.87619922148103</v>
      </c>
      <c r="T77" s="133">
        <f>PV($C$2, ($AB$4-$S$4), 0, -$AE$48)</f>
        <v>899.7466742968503</v>
      </c>
      <c r="U77" s="20"/>
      <c r="V77" s="20"/>
      <c r="W77" s="20"/>
      <c r="X77" s="20"/>
      <c r="Y77" s="20"/>
      <c r="Z77" s="20"/>
      <c r="AA77" s="20"/>
      <c r="AB77" s="20"/>
      <c r="AC77" s="137"/>
      <c r="AD77" s="20"/>
      <c r="AE77" s="20"/>
    </row>
    <row r="78" spans="2:31">
      <c r="B78" s="20" t="s">
        <v>272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0">
        <f t="shared" si="203"/>
        <v>96.522140938686107</v>
      </c>
      <c r="S78" s="133">
        <f>PV($C$2, ($AB$4-$S$4), 0, -AB49)</f>
        <v>9.5661263189515839</v>
      </c>
      <c r="T78" s="133">
        <f>PV($C$2, ($AB$4-$S$4), 0, -$AE$49)</f>
        <v>86.956014619734518</v>
      </c>
      <c r="U78" s="20"/>
      <c r="V78" s="20"/>
      <c r="W78" s="20"/>
      <c r="X78" s="20"/>
      <c r="Y78" s="20"/>
      <c r="Z78" s="20"/>
      <c r="AA78" s="20"/>
      <c r="AB78" s="20"/>
      <c r="AC78" s="137"/>
      <c r="AD78" s="20"/>
      <c r="AE78" s="20"/>
    </row>
    <row r="79" spans="2:31">
      <c r="B79" s="20" t="s">
        <v>277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0">
        <f t="shared" si="203"/>
        <v>1209.4981903173791</v>
      </c>
      <c r="S79" s="133">
        <f>PV($C$2, ($AB$4-$S$4), 0, -AB50)</f>
        <v>133.2889496038147</v>
      </c>
      <c r="T79" s="133">
        <f>PV($C$2, ($AB$4-$S$4), 0, -$AE$50)</f>
        <v>1076.2092407135644</v>
      </c>
      <c r="U79" s="20"/>
      <c r="V79" s="20"/>
      <c r="W79" s="20"/>
      <c r="X79" s="20"/>
      <c r="Y79" s="20"/>
      <c r="Z79" s="20"/>
      <c r="AA79" s="20"/>
      <c r="AB79" s="20"/>
      <c r="AC79" s="137"/>
      <c r="AD79" s="20"/>
      <c r="AE79" s="20"/>
    </row>
    <row r="80" spans="2:31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0"/>
      <c r="S80" s="133"/>
      <c r="T80" s="20"/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>
      <c r="B81" s="20" t="s">
        <v>249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0">
        <f t="shared" si="203"/>
        <v>1857.6124322188332</v>
      </c>
      <c r="S81" s="133">
        <f>PV($C$2, ($AB$4-$S$4), 0, -AB55)</f>
        <v>200.74758766958303</v>
      </c>
      <c r="T81" s="133">
        <f>PV($C$2, ($AB$4-$S$4), 0, -AE55)</f>
        <v>1656.8648445492502</v>
      </c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>
      <c r="B82" s="20" t="s">
        <v>250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>
        <f t="shared" si="203"/>
        <v>641.49301647342645</v>
      </c>
      <c r="S82" s="133">
        <f>PV($C$2, ($AB$4-$S$4), 0, -AB56)</f>
        <v>67.922526557800637</v>
      </c>
      <c r="T82" s="133">
        <f>PV($C$2, ($AB$4-$S$4), 0, -AE56)</f>
        <v>573.57048991562579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/>
      <c r="S83" s="133"/>
      <c r="T83" s="133"/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>
      <c r="B84" s="20" t="s">
        <v>293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>
        <f t="shared" ref="R84" si="204">S84+T84</f>
        <v>238036.78015370361</v>
      </c>
      <c r="S84" s="133">
        <f>PV($C$2, ($AB$4-$S$4), 0, -AB13)</f>
        <v>21857.535553989317</v>
      </c>
      <c r="T84" s="133">
        <f>PV($C$2, ($AB$4-$S$4), 0, -AE13)</f>
        <v>216179.24459971429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>
      <c r="B85" s="20" t="s">
        <v>294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>
        <f>S85+T85</f>
        <v>810.66914195996196</v>
      </c>
      <c r="S85" s="140">
        <f>S84/P37</f>
        <v>74.439040813232012</v>
      </c>
      <c r="T85" s="140">
        <f>T84/P37</f>
        <v>736.23010114672991</v>
      </c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/>
      <c r="S86" s="140"/>
      <c r="T86" s="14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>
      <c r="B87" s="108" t="s">
        <v>297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/>
      <c r="S87" s="133"/>
      <c r="T87" s="133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>
      <c r="B88" s="20" t="s">
        <v>284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 t="shared" ref="R88" si="205">S88+T88</f>
        <v>88.627596886753253</v>
      </c>
      <c r="S88" s="133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70.167183594547552</v>
      </c>
      <c r="T88" s="133">
        <f>PV($C$2, ($AB$4-$S$4), 0, -AE58)</f>
        <v>18.460413292205697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>
      <c r="B89" s="23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/>
      <c r="S89" s="133"/>
      <c r="T89" s="133"/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>
      <c r="B90" s="20" t="s">
        <v>311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3"/>
        <v>148682.65928750241</v>
      </c>
      <c r="S90" s="133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115056.56961985922</v>
      </c>
      <c r="T90" s="133">
        <f>PV($C$2, ($AB$4-$S$4), 0, -AE60)</f>
        <v>33626.089667643195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33"/>
      <c r="T91" s="133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>
      <c r="B92" s="20" t="s">
        <v>312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ref="R92:R95" si="206">S92+T92</f>
        <v>501.96685990835238</v>
      </c>
      <c r="S92" s="133">
        <f>PV($C$2, ($AB$4-$S$4), 0, -AB62)+PV($C$2, ($AA$4-$S$4), 0, -AB62)+PV($C$2, ($Z$4-$S$4), 0, -AB62)+PV($C$2, ($Y$4-$S$4), 0, -AB62)+PV($C$2, ($X$4-$S$4), 0, -AB62)+PV($C$2, ($W$4-$S$4), 0, -AB62)+PV($C$2, ($V$4-$S$4), 0, -AB62)+PV($C$2, ($U$4-$S$4), 0, -AB62)+PV($C$2, ($T$4-$S$4), 0, -AB62)+PV($C$2, ($S$4-$S$4), 0, -AB62)</f>
        <v>391.84201076136367</v>
      </c>
      <c r="T92" s="133">
        <f>PV($C$2, ($AB$4-$S$4), 0, -AE62)</f>
        <v>110.12484914698868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>
      <c r="B93" s="20" t="s">
        <v>288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>
        <f t="shared" si="206"/>
        <v>1978.8044479197031</v>
      </c>
      <c r="S93" s="133">
        <f>PV($C$2, ($AB$4-$S$4), 0, -AB63)+PV($C$2, ($AA$4-$S$4), 0, -AB63)+PV($C$2, ($Z$4-$S$4), 0, -AB63)+PV($C$2, ($Y$4-$S$4), 0, -AB63)+PV($C$2, ($X$4-$S$4), 0, -AB63)+PV($C$2, ($W$4-$S$4), 0, -AB63)+PV($C$2, ($V$4-$S$4), 0, -AB63)+PV($C$2, ($U$4-$S$4), 0, -AB63)+PV($C$2, ($T$4-$S$4), 0, -AB63)+PV($C$2, ($S$4-$S$4), 0, -AB63)</f>
        <v>1560.8570730781221</v>
      </c>
      <c r="T93" s="133">
        <f>PV($C$2, ($AB$4-$S$4), 0, -AE63)</f>
        <v>417.94737484158094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>
      <c r="B94" s="20" t="s">
        <v>289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-1479.0295180696633</v>
      </c>
      <c r="S94" s="133">
        <f>PV($C$2, ($AB$4-$S$4), 0, -AB64)+PV($C$2, ($AA$4-$S$4), 0, -AB64)+PV($C$2, ($Z$4-$S$4), 0, -AB64)+PV($C$2, ($Y$4-$S$4), 0, -AB64)+PV($C$2, ($X$4-$S$4), 0, -AB64)+PV($C$2, ($W$4-$S$4), 0, -AB64)+PV($C$2, ($V$4-$S$4), 0, -AB64)+PV($C$2, ($U$4-$S$4), 0, -AB64)+PV($C$2, ($T$4-$S$4), 0, -AB64)+PV($C$2, ($S$4-$S$4), 0, -AB64)</f>
        <v>-1169.0150623167583</v>
      </c>
      <c r="T94" s="133">
        <f>PV($C$2, ($AB$4-$S$4), 0, -AE64)</f>
        <v>-310.01445575290501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>
      <c r="B95" s="20" t="s">
        <v>290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8.2977692212377292</v>
      </c>
      <c r="S95" s="133">
        <f>PV($C$2, ($AB$4-$S$4), 0, -AB65)+PV($C$2, ($AA$4-$S$4), 0, -AB65)+PV($C$2, ($Z$4-$S$4), 0, -AB65)+PV($C$2, ($Y$4-$S$4), 0, -AB65)+PV($C$2, ($X$4-$S$4), 0, -AB65)+PV($C$2, ($W$4-$S$4), 0, -AB65)+PV($C$2, ($V$4-$S$4), 0, -AB65)+PV($C$2, ($U$4-$S$4), 0, -AB65)+PV($C$2, ($T$4-$S$4), 0, -AB65)+PV($C$2, ($S$4-$S$4), 0, -AB65)</f>
        <v>10.833063116687065</v>
      </c>
      <c r="T95" s="133">
        <f>PV($C$2, ($AB$4-$S$4), 0, -AE65)</f>
        <v>-2.5352938954493358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/>
      <c r="S96" s="133"/>
      <c r="T96" s="133"/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 t="s">
        <v>298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>S97+T97</f>
        <v>2841.2137278239252</v>
      </c>
      <c r="S97" s="133">
        <f>PV($C$2, ($AB$4-$S$4), 0, -AB66)+PV($C$2, ($AA$4-$S$4), 0, -AB66)+PV($C$2, ($Z$4-$S$4), 0, -AB66)+PV($C$2, ($Y$4-$S$4), 0, -AB66)+PV($C$2, ($X$4-$S$4), 0, -AB66)+PV($C$2, ($W$4-$S$4), 0, -AB66)+PV($C$2, ($V$4-$S$4), 0, -AB66)+PV($C$2, ($U$4-$S$4), 0, -AB66)+PV($C$2, ($T$4-$S$4), 0, -AB66)+PV($C$2, ($S$4-$S$4), 0, -AB66)</f>
        <v>2133.2305238428335</v>
      </c>
      <c r="T97" s="133">
        <f>PV($C$2, ($AB$4-$S$4), 0, -AE66)</f>
        <v>707.98320398109149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21"/>
      <c r="T98" s="20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108" t="s">
        <v>251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204</v>
      </c>
      <c r="C100" s="22">
        <v>14</v>
      </c>
      <c r="D100" s="22">
        <v>14</v>
      </c>
      <c r="E100" s="22">
        <v>14</v>
      </c>
      <c r="F100" s="22">
        <v>14</v>
      </c>
      <c r="G100" s="22">
        <v>14</v>
      </c>
      <c r="H100" s="22">
        <v>14250</v>
      </c>
      <c r="I100" s="22">
        <v>14</v>
      </c>
      <c r="J100" s="22">
        <v>14</v>
      </c>
      <c r="K100" s="22">
        <v>14</v>
      </c>
      <c r="L100" s="22">
        <v>14</v>
      </c>
      <c r="M100" s="22">
        <v>800</v>
      </c>
      <c r="N100" s="22">
        <v>800</v>
      </c>
      <c r="O100" s="22">
        <v>800</v>
      </c>
      <c r="P100" s="22">
        <v>750</v>
      </c>
      <c r="Q100" s="118">
        <f t="shared" ref="Q100:Q104" si="207">((P100/G100)^(1/($H$3-$H$2) ))-1</f>
        <v>0.55633717765933555</v>
      </c>
      <c r="R100" s="31">
        <v>0.1</v>
      </c>
      <c r="S100" s="119">
        <f t="shared" ref="S100" si="208">P100*(1+$R100)</f>
        <v>825.00000000000011</v>
      </c>
      <c r="T100" s="119">
        <f t="shared" ref="T100:AB100" si="209">S100*(1+$R100)</f>
        <v>907.50000000000023</v>
      </c>
      <c r="U100" s="119">
        <f t="shared" si="209"/>
        <v>998.25000000000034</v>
      </c>
      <c r="V100" s="119">
        <f t="shared" si="209"/>
        <v>1098.0750000000005</v>
      </c>
      <c r="W100" s="119">
        <f t="shared" si="209"/>
        <v>1207.8825000000006</v>
      </c>
      <c r="X100" s="119">
        <f t="shared" si="209"/>
        <v>1328.6707500000007</v>
      </c>
      <c r="Y100" s="119">
        <f t="shared" si="209"/>
        <v>1461.5378250000008</v>
      </c>
      <c r="Z100" s="119">
        <f t="shared" si="209"/>
        <v>1607.6916075000011</v>
      </c>
      <c r="AA100" s="119">
        <f t="shared" si="209"/>
        <v>1768.4607682500014</v>
      </c>
      <c r="AB100" s="119">
        <f t="shared" si="209"/>
        <v>1945.3068450750015</v>
      </c>
      <c r="AC100" s="138">
        <f t="shared" ref="AC100:AC104" si="210">((AB100/G100)^(1/($AB$4-$H$2) ))-1</f>
        <v>0.29652862437633476</v>
      </c>
      <c r="AD100" s="31">
        <v>0.08</v>
      </c>
      <c r="AE100" s="127">
        <f t="shared" ref="AE100:AE105" si="211">(AB100*(1+AC100))/($C$2-AD100)</f>
        <v>18015.328627392566</v>
      </c>
    </row>
    <row r="101" spans="2:31">
      <c r="B101" s="20" t="s">
        <v>42</v>
      </c>
      <c r="C101" s="25" t="e">
        <f t="shared" ref="C101:P101" si="212">C100/C43</f>
        <v>#DIV/0!</v>
      </c>
      <c r="D101" s="25" t="e">
        <f t="shared" si="212"/>
        <v>#DIV/0!</v>
      </c>
      <c r="E101" s="25" t="e">
        <f t="shared" si="212"/>
        <v>#DIV/0!</v>
      </c>
      <c r="F101" s="25" t="e">
        <f t="shared" si="212"/>
        <v>#DIV/0!</v>
      </c>
      <c r="G101" s="25">
        <f t="shared" si="212"/>
        <v>0.37825464396284825</v>
      </c>
      <c r="H101" s="25">
        <f t="shared" si="212"/>
        <v>260.32216832721548</v>
      </c>
      <c r="I101" s="25">
        <f t="shared" si="212"/>
        <v>0.20767511177347245</v>
      </c>
      <c r="J101" s="25">
        <f t="shared" si="212"/>
        <v>0.16157859864170945</v>
      </c>
      <c r="K101" s="25">
        <f t="shared" si="212"/>
        <v>0.10423807816421657</v>
      </c>
      <c r="L101" s="25">
        <f t="shared" si="212"/>
        <v>0.13612307692307693</v>
      </c>
      <c r="M101" s="25">
        <f t="shared" si="212"/>
        <v>9.7547393850059372</v>
      </c>
      <c r="N101" s="25">
        <f t="shared" si="212"/>
        <v>12.375071350734263</v>
      </c>
      <c r="O101" s="25">
        <f t="shared" si="212"/>
        <v>12.085814271948067</v>
      </c>
      <c r="P101" s="25">
        <f t="shared" si="212"/>
        <v>10.544024705544384</v>
      </c>
      <c r="Q101" s="118">
        <f t="shared" si="207"/>
        <v>0.44737223892384304</v>
      </c>
      <c r="R101" s="128"/>
      <c r="S101" s="119">
        <f t="shared" ref="S101:AB101" si="213">S100/S43</f>
        <v>10.739284422313725</v>
      </c>
      <c r="T101" s="119">
        <f t="shared" si="213"/>
        <v>10.93816005976398</v>
      </c>
      <c r="U101" s="119">
        <f t="shared" si="213"/>
        <v>11.14071857938924</v>
      </c>
      <c r="V101" s="119">
        <f t="shared" si="213"/>
        <v>11.347028182711265</v>
      </c>
      <c r="W101" s="119">
        <f t="shared" si="213"/>
        <v>11.557158334242954</v>
      </c>
      <c r="X101" s="119">
        <f t="shared" si="213"/>
        <v>11.771179784877082</v>
      </c>
      <c r="Y101" s="119">
        <f t="shared" si="213"/>
        <v>11.989164595708139</v>
      </c>
      <c r="Z101" s="119">
        <f t="shared" si="213"/>
        <v>12.211186162295329</v>
      </c>
      <c r="AA101" s="119">
        <f t="shared" si="213"/>
        <v>12.437319239374872</v>
      </c>
      <c r="AB101" s="119">
        <f t="shared" si="213"/>
        <v>12.667639966029961</v>
      </c>
      <c r="AC101" s="138">
        <f t="shared" si="210"/>
        <v>0.20298024902729983</v>
      </c>
      <c r="AD101" s="31">
        <v>0.08</v>
      </c>
      <c r="AE101" s="127">
        <f t="shared" si="211"/>
        <v>108.84943343516355</v>
      </c>
    </row>
    <row r="102" spans="2:31">
      <c r="B102" s="20" t="s">
        <v>259</v>
      </c>
      <c r="C102" s="25" t="e">
        <f t="shared" ref="C102:P102" si="214">C100/C45</f>
        <v>#DIV/0!</v>
      </c>
      <c r="D102" s="25" t="e">
        <f t="shared" si="214"/>
        <v>#DIV/0!</v>
      </c>
      <c r="E102" s="25" t="e">
        <f t="shared" si="214"/>
        <v>#DIV/0!</v>
      </c>
      <c r="F102" s="25" t="e">
        <f t="shared" si="214"/>
        <v>#DIV/0!</v>
      </c>
      <c r="G102" s="25">
        <f t="shared" si="214"/>
        <v>5.8142827399541949E-2</v>
      </c>
      <c r="H102" s="25">
        <f t="shared" si="214"/>
        <v>54.272917349950802</v>
      </c>
      <c r="I102" s="25">
        <f t="shared" si="214"/>
        <v>4.3696105001455869E-2</v>
      </c>
      <c r="J102" s="25">
        <f t="shared" si="214"/>
        <v>3.0589877069744104E-2</v>
      </c>
      <c r="K102" s="25">
        <f t="shared" si="214"/>
        <v>2.5072567331148512E-2</v>
      </c>
      <c r="L102" s="25">
        <f t="shared" si="214"/>
        <v>1.8917758173519379E-2</v>
      </c>
      <c r="M102" s="25">
        <f t="shared" si="214"/>
        <v>1.8524076478683784</v>
      </c>
      <c r="N102" s="25">
        <f t="shared" si="214"/>
        <v>1.6445081921994815</v>
      </c>
      <c r="O102" s="25">
        <f t="shared" si="214"/>
        <v>1.4644002802256555</v>
      </c>
      <c r="P102" s="25">
        <f t="shared" si="214"/>
        <v>1.2296475593822238</v>
      </c>
      <c r="Q102" s="118">
        <f t="shared" si="207"/>
        <v>0.40363385256490036</v>
      </c>
      <c r="R102" s="128"/>
      <c r="S102" s="119">
        <f t="shared" ref="S102:AB102" si="215">S100/S45</f>
        <v>1.2524188104818945</v>
      </c>
      <c r="T102" s="119">
        <f t="shared" si="215"/>
        <v>1.2756117514167444</v>
      </c>
      <c r="U102" s="119">
        <f t="shared" si="215"/>
        <v>1.2992341912577954</v>
      </c>
      <c r="V102" s="119">
        <f t="shared" si="215"/>
        <v>1.3232940836884952</v>
      </c>
      <c r="W102" s="119">
        <f t="shared" si="215"/>
        <v>1.3477995296827265</v>
      </c>
      <c r="X102" s="119">
        <f t="shared" si="215"/>
        <v>1.3727587802324066</v>
      </c>
      <c r="Y102" s="119">
        <f t="shared" si="215"/>
        <v>1.3981802391255993</v>
      </c>
      <c r="Z102" s="119">
        <f t="shared" si="215"/>
        <v>1.4240724657760735</v>
      </c>
      <c r="AA102" s="119">
        <f t="shared" si="215"/>
        <v>1.4504441781052602</v>
      </c>
      <c r="AB102" s="119">
        <f t="shared" si="215"/>
        <v>1.4773042554775797</v>
      </c>
      <c r="AC102" s="138">
        <f t="shared" si="210"/>
        <v>0.18562129084876244</v>
      </c>
      <c r="AD102" s="31">
        <v>0.08</v>
      </c>
      <c r="AE102" s="127">
        <f t="shared" si="211"/>
        <v>12.51088127396927</v>
      </c>
    </row>
    <row r="103" spans="2:31">
      <c r="B103" s="20" t="s">
        <v>260</v>
      </c>
      <c r="C103" s="129" t="e">
        <f t="shared" ref="C103:P103" si="216">C100/C54</f>
        <v>#DIV/0!</v>
      </c>
      <c r="D103" s="129" t="e">
        <f t="shared" si="216"/>
        <v>#DIV/0!</v>
      </c>
      <c r="E103" s="129" t="e">
        <f t="shared" si="216"/>
        <v>#DIV/0!</v>
      </c>
      <c r="F103" s="129" t="e">
        <f t="shared" si="216"/>
        <v>#DIV/0!</v>
      </c>
      <c r="G103" s="129">
        <f t="shared" si="216"/>
        <v>0.10454701037544122</v>
      </c>
      <c r="H103" s="129">
        <f t="shared" si="216"/>
        <v>84.614688085904206</v>
      </c>
      <c r="I103" s="129">
        <f t="shared" si="216"/>
        <v>0.2817184115523465</v>
      </c>
      <c r="J103" s="129">
        <f t="shared" si="216"/>
        <v>0.34364981504315661</v>
      </c>
      <c r="K103" s="129">
        <f t="shared" si="216"/>
        <v>0.20535216952573163</v>
      </c>
      <c r="L103" s="129">
        <f t="shared" si="216"/>
        <v>0.28107083812709677</v>
      </c>
      <c r="M103" s="25">
        <f t="shared" si="216"/>
        <v>24.305243827790246</v>
      </c>
      <c r="N103" s="25">
        <f t="shared" si="216"/>
        <v>13.369961316364861</v>
      </c>
      <c r="O103" s="25">
        <f t="shared" si="216"/>
        <v>5.9511512911442992</v>
      </c>
      <c r="P103" s="25">
        <f t="shared" si="216"/>
        <v>2.3602685844122435</v>
      </c>
      <c r="Q103" s="118">
        <f t="shared" si="207"/>
        <v>0.41385715565491776</v>
      </c>
      <c r="R103" s="128"/>
      <c r="S103" s="119">
        <f t="shared" ref="S103:AB103" si="217">S100/S54</f>
        <v>2.360268584412244</v>
      </c>
      <c r="T103" s="119">
        <f t="shared" si="217"/>
        <v>2.360268584412244</v>
      </c>
      <c r="U103" s="119">
        <f t="shared" si="217"/>
        <v>2.360268584412244</v>
      </c>
      <c r="V103" s="119">
        <f t="shared" si="217"/>
        <v>2.3602685844122444</v>
      </c>
      <c r="W103" s="119">
        <f t="shared" si="217"/>
        <v>2.360268584412244</v>
      </c>
      <c r="X103" s="119">
        <f t="shared" si="217"/>
        <v>2.3602685844122435</v>
      </c>
      <c r="Y103" s="119">
        <f t="shared" si="217"/>
        <v>2.3602685844122435</v>
      </c>
      <c r="Z103" s="119">
        <f t="shared" si="217"/>
        <v>2.3602685844122435</v>
      </c>
      <c r="AA103" s="119">
        <f t="shared" si="217"/>
        <v>2.3602685844122435</v>
      </c>
      <c r="AB103" s="119">
        <f t="shared" si="217"/>
        <v>2.3602685844122435</v>
      </c>
      <c r="AC103" s="138">
        <f t="shared" si="210"/>
        <v>0.17826974630750514</v>
      </c>
      <c r="AD103" s="31">
        <v>0.08</v>
      </c>
      <c r="AE103" s="127">
        <f t="shared" si="211"/>
        <v>19.86452190123563</v>
      </c>
    </row>
    <row r="104" spans="2:31">
      <c r="B104" s="20" t="s">
        <v>261</v>
      </c>
      <c r="C104" s="129" t="e">
        <f t="shared" ref="C104:P104" si="218">C100/C56</f>
        <v>#DIV/0!</v>
      </c>
      <c r="D104" s="129" t="e">
        <f t="shared" si="218"/>
        <v>#DIV/0!</v>
      </c>
      <c r="E104" s="129" t="e">
        <f t="shared" si="218"/>
        <v>#DIV/0!</v>
      </c>
      <c r="F104" s="129" t="e">
        <f t="shared" si="218"/>
        <v>#DIV/0!</v>
      </c>
      <c r="G104" s="129">
        <f t="shared" si="218"/>
        <v>0.82831355932203388</v>
      </c>
      <c r="H104" s="129">
        <f t="shared" si="218"/>
        <v>1166.7082843713279</v>
      </c>
      <c r="I104" s="129">
        <f t="shared" si="218"/>
        <v>0.65731132075471688</v>
      </c>
      <c r="J104" s="129">
        <f t="shared" si="218"/>
        <v>0.33218116805721093</v>
      </c>
      <c r="K104" s="129">
        <f t="shared" si="218"/>
        <v>0.12096772276050646</v>
      </c>
      <c r="L104" s="129">
        <f t="shared" si="218"/>
        <v>0.19715559000193764</v>
      </c>
      <c r="M104" s="25">
        <f t="shared" si="218"/>
        <v>12.023214736310875</v>
      </c>
      <c r="N104" s="25">
        <f t="shared" si="218"/>
        <v>6.9743229806398785</v>
      </c>
      <c r="O104" s="25">
        <f t="shared" si="218"/>
        <v>4.9805831330337549</v>
      </c>
      <c r="P104" s="25">
        <f t="shared" si="218"/>
        <v>4.7833901692043703</v>
      </c>
      <c r="Q104" s="118">
        <f t="shared" si="207"/>
        <v>0.21511021168781874</v>
      </c>
      <c r="R104" s="128"/>
      <c r="S104" s="119">
        <f t="shared" ref="S104:AB104" si="219">S100/S56</f>
        <v>4.7833901692043703</v>
      </c>
      <c r="T104" s="119">
        <f t="shared" si="219"/>
        <v>4.7833901692043703</v>
      </c>
      <c r="U104" s="119">
        <f t="shared" si="219"/>
        <v>4.7833901692043703</v>
      </c>
      <c r="V104" s="119">
        <f t="shared" si="219"/>
        <v>4.7833901692043703</v>
      </c>
      <c r="W104" s="119">
        <f t="shared" si="219"/>
        <v>4.7833901692043703</v>
      </c>
      <c r="X104" s="119">
        <f t="shared" si="219"/>
        <v>4.7833901692043694</v>
      </c>
      <c r="Y104" s="119">
        <f t="shared" si="219"/>
        <v>4.7833901692043694</v>
      </c>
      <c r="Z104" s="119">
        <f t="shared" si="219"/>
        <v>4.7833901692043703</v>
      </c>
      <c r="AA104" s="119">
        <f t="shared" si="219"/>
        <v>4.7833901692043703</v>
      </c>
      <c r="AB104" s="119">
        <f t="shared" si="219"/>
        <v>4.7833901692043694</v>
      </c>
      <c r="AC104" s="138">
        <f t="shared" si="210"/>
        <v>9.6682989280816756E-2</v>
      </c>
      <c r="AD104" s="31">
        <v>0.08</v>
      </c>
      <c r="AE104" s="127">
        <f t="shared" si="211"/>
        <v>37.470447354710849</v>
      </c>
    </row>
    <row r="105" spans="2:31">
      <c r="B105" s="20" t="s">
        <v>283</v>
      </c>
      <c r="C105" s="129" t="e">
        <f>C101/C68</f>
        <v>#DIV/0!</v>
      </c>
      <c r="D105" s="129" t="e">
        <f>D101/D68</f>
        <v>#DIV/0!</v>
      </c>
      <c r="E105" s="129" t="e">
        <f>E101/E68</f>
        <v>#DIV/0!</v>
      </c>
      <c r="F105" s="129" t="e">
        <f>F101/F68</f>
        <v>#DIV/0!</v>
      </c>
      <c r="G105" s="135">
        <f t="shared" ref="G105:P105" si="220">G100/G50</f>
        <v>0.18008475356978348</v>
      </c>
      <c r="H105" s="135">
        <f t="shared" si="220"/>
        <v>129.5834964761159</v>
      </c>
      <c r="I105" s="135">
        <f t="shared" si="220"/>
        <v>7.9083059710567907E-2</v>
      </c>
      <c r="J105" s="135">
        <f t="shared" si="220"/>
        <v>7.5716059923930754E-2</v>
      </c>
      <c r="K105" s="135">
        <f t="shared" si="220"/>
        <v>7.1744755861096424E-2</v>
      </c>
      <c r="L105" s="135">
        <f t="shared" si="220"/>
        <v>3.4829876086807703E-2</v>
      </c>
      <c r="M105" s="135">
        <f t="shared" si="220"/>
        <v>2.3845938263202147</v>
      </c>
      <c r="N105" s="135">
        <f t="shared" si="220"/>
        <v>2.1898587721070322</v>
      </c>
      <c r="O105" s="135">
        <f t="shared" si="220"/>
        <v>1.7085947414837706</v>
      </c>
      <c r="P105" s="135">
        <f t="shared" si="220"/>
        <v>1.5308112053385234</v>
      </c>
      <c r="Q105" s="118">
        <f t="shared" ref="Q105" si="221">((P105/G105)^(1/($H$3-$H$2) ))-1</f>
        <v>0.26844497362041864</v>
      </c>
      <c r="R105" s="128"/>
      <c r="S105" s="135">
        <f t="shared" ref="S105:AB105" si="222">S100/S50</f>
        <v>1.6037069770213106</v>
      </c>
      <c r="T105" s="135">
        <f t="shared" si="222"/>
        <v>1.6800739759270875</v>
      </c>
      <c r="U105" s="135">
        <f t="shared" si="222"/>
        <v>1.7600774985902821</v>
      </c>
      <c r="V105" s="135">
        <f t="shared" si="222"/>
        <v>1.8438907128088671</v>
      </c>
      <c r="W105" s="135">
        <f t="shared" si="222"/>
        <v>1.9316950324664321</v>
      </c>
      <c r="X105" s="135">
        <f t="shared" si="222"/>
        <v>2.0236805102029289</v>
      </c>
      <c r="Y105" s="135">
        <f t="shared" si="222"/>
        <v>2.1200462487840208</v>
      </c>
      <c r="Z105" s="135">
        <f t="shared" si="222"/>
        <v>2.2210008320594503</v>
      </c>
      <c r="AA105" s="135">
        <f t="shared" si="222"/>
        <v>2.3267627764432341</v>
      </c>
      <c r="AB105" s="135">
        <f t="shared" si="222"/>
        <v>2.4375610038929119</v>
      </c>
      <c r="AC105" s="138">
        <f t="shared" ref="AC105" si="223">((AB105/G105)^(1/($AB$4-$H$2) ))-1</f>
        <v>0.14696853108375807</v>
      </c>
      <c r="AD105" s="31">
        <v>0.08</v>
      </c>
      <c r="AE105" s="127">
        <f t="shared" si="211"/>
        <v>19.970041171872168</v>
      </c>
    </row>
    <row r="106" spans="2:31">
      <c r="B106" s="20"/>
      <c r="C106" s="129"/>
      <c r="D106" s="129"/>
      <c r="E106" s="129"/>
      <c r="F106" s="129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28"/>
      <c r="R106" s="128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8"/>
      <c r="AD106" s="31"/>
      <c r="AE106" s="127"/>
    </row>
    <row r="107" spans="2:31">
      <c r="B107" s="108" t="s">
        <v>303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300</v>
      </c>
      <c r="C108" s="20" t="s">
        <v>313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28">
        <f>(P100-R88)/P100</f>
        <v>0.88182987081766229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 t="s">
        <v>301</v>
      </c>
      <c r="C109" s="20" t="s">
        <v>313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128">
        <f>(P100-R79)/P100</f>
        <v>-0.61266425375650546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314</v>
      </c>
      <c r="C110" s="20" t="s">
        <v>313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128">
        <f>(P100-R97)/P100</f>
        <v>-2.7882849704319002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302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128">
        <f>(P100-R97)/P100</f>
        <v>-2.7882849704319002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spans="2:31">
      <c r="B113" s="108" t="s">
        <v>305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pans="2:31">
      <c r="B114" s="20" t="s">
        <v>308</v>
      </c>
      <c r="C114" s="25" t="e">
        <f>C11/C8</f>
        <v>#DIV/0!</v>
      </c>
      <c r="D114" s="25" t="e">
        <f>D11/D8</f>
        <v>#DIV/0!</v>
      </c>
      <c r="E114" s="25" t="e">
        <f>E11/E8</f>
        <v>#DIV/0!</v>
      </c>
      <c r="F114" s="25" t="e">
        <f>F11/F8</f>
        <v>#DIV/0!</v>
      </c>
      <c r="G114" s="25">
        <f>G11/G8</f>
        <v>0.60016563383499444</v>
      </c>
      <c r="H114" s="25">
        <f t="shared" ref="H114:P114" si="224">H11/H8</f>
        <v>0.46220923092039007</v>
      </c>
      <c r="I114" s="25">
        <f t="shared" si="224"/>
        <v>0.45752479517033207</v>
      </c>
      <c r="J114" s="25">
        <f t="shared" si="224"/>
        <v>0.49335131727484643</v>
      </c>
      <c r="K114" s="25">
        <f t="shared" si="224"/>
        <v>0.59293567251461987</v>
      </c>
      <c r="L114" s="25">
        <f t="shared" si="224"/>
        <v>0.62893621232865415</v>
      </c>
      <c r="M114" s="25">
        <f t="shared" si="224"/>
        <v>0.45818499028382575</v>
      </c>
      <c r="N114" s="25">
        <f t="shared" si="224"/>
        <v>0.54584866597872572</v>
      </c>
      <c r="O114" s="25">
        <f t="shared" si="224"/>
        <v>0.48768036826108768</v>
      </c>
      <c r="P114" s="25">
        <f t="shared" si="224"/>
        <v>0.49063195188267283</v>
      </c>
      <c r="Q114" s="118">
        <f t="shared" ref="Q114:Q116" si="225">((P114/G114)^(1/($H$3-$H$2) ))-1</f>
        <v>-2.2141358064810768E-2</v>
      </c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spans="2:31">
      <c r="B115" s="20" t="s">
        <v>309</v>
      </c>
      <c r="C115" s="112" t="e">
        <f>C11/C13</f>
        <v>#DIV/0!</v>
      </c>
      <c r="D115" s="112" t="e">
        <f>D11/D13</f>
        <v>#DIV/0!</v>
      </c>
      <c r="E115" s="112" t="e">
        <f>E11/E13</f>
        <v>#DIV/0!</v>
      </c>
      <c r="F115" s="112" t="e">
        <f>F11/F13</f>
        <v>#DIV/0!</v>
      </c>
      <c r="G115" s="112">
        <f>G11/G13</f>
        <v>77.837037037037035</v>
      </c>
      <c r="H115" s="112">
        <f t="shared" ref="H115:P115" si="226">H11/H13</f>
        <v>48.875324675324677</v>
      </c>
      <c r="I115" s="112">
        <f t="shared" si="226"/>
        <v>90.12355212355213</v>
      </c>
      <c r="J115" s="112">
        <f t="shared" si="226"/>
        <v>82.276283618581914</v>
      </c>
      <c r="K115" s="112">
        <f t="shared" si="226"/>
        <v>130.65979381443299</v>
      </c>
      <c r="L115" s="112">
        <f t="shared" si="226"/>
        <v>94.691485266543324</v>
      </c>
      <c r="M115" s="112">
        <f t="shared" si="226"/>
        <v>97.296686746987959</v>
      </c>
      <c r="N115" s="112">
        <f t="shared" si="226"/>
        <v>96.231121281464524</v>
      </c>
      <c r="O115" s="112">
        <f t="shared" si="226"/>
        <v>57.147302904564313</v>
      </c>
      <c r="P115" s="112">
        <f t="shared" si="226"/>
        <v>1.7702949104169969</v>
      </c>
      <c r="Q115" s="118">
        <f t="shared" si="225"/>
        <v>-0.34320654870195688</v>
      </c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pans="2:31">
      <c r="B116" s="20" t="s">
        <v>310</v>
      </c>
      <c r="C116" s="25" t="e">
        <f>C11/(C13+C14)</f>
        <v>#DIV/0!</v>
      </c>
      <c r="D116" s="25" t="e">
        <f>D11/(D13+D14)</f>
        <v>#DIV/0!</v>
      </c>
      <c r="E116" s="25" t="e">
        <f>E11/(E13+E14)</f>
        <v>#DIV/0!</v>
      </c>
      <c r="F116" s="25" t="e">
        <f>F11/(F13+F14)</f>
        <v>#DIV/0!</v>
      </c>
      <c r="G116" s="25">
        <f>G11/(G13+G14)</f>
        <v>1.1239704781260027</v>
      </c>
      <c r="H116" s="25">
        <f t="shared" ref="H116:P116" si="227">H11/(H13+H14)</f>
        <v>0.80181523777058117</v>
      </c>
      <c r="I116" s="25">
        <f t="shared" si="227"/>
        <v>3.3706859205776172</v>
      </c>
      <c r="J116" s="25">
        <f t="shared" si="227"/>
        <v>5.927602607010745</v>
      </c>
      <c r="K116" s="25">
        <f t="shared" si="227"/>
        <v>5.1156407669021187</v>
      </c>
      <c r="L116" s="25">
        <f t="shared" si="227"/>
        <v>10.532145723042246</v>
      </c>
      <c r="M116" s="25">
        <f t="shared" si="227"/>
        <v>6.5910018363599265</v>
      </c>
      <c r="N116" s="25">
        <f t="shared" si="227"/>
        <v>4.7152548074227729</v>
      </c>
      <c r="O116" s="25">
        <f t="shared" si="227"/>
        <v>2.0637081064881873</v>
      </c>
      <c r="P116" s="25">
        <f t="shared" si="227"/>
        <v>0.95732230129469265</v>
      </c>
      <c r="Q116" s="118">
        <f t="shared" si="225"/>
        <v>-1.7673366502815813E-2</v>
      </c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2:3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</sheetData>
  <pageMargins left="0.7" right="0.7" top="0.75" bottom="0.75" header="0.3" footer="0.3"/>
  <pageSetup orientation="portrait" r:id="rId1"/>
  <ignoredErrors>
    <ignoredError sqref="C10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3" t="s">
        <v>27</v>
      </c>
      <c r="K5" s="163"/>
      <c r="M5" s="163" t="s">
        <v>65</v>
      </c>
      <c r="N5" s="163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3" t="s">
        <v>36</v>
      </c>
      <c r="K14" s="163"/>
      <c r="L14" s="163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63" t="s">
        <v>27</v>
      </c>
      <c r="S5" s="163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3" t="s">
        <v>36</v>
      </c>
      <c r="S14" s="163"/>
      <c r="T14" s="163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63" t="s">
        <v>27</v>
      </c>
      <c r="C2" s="163"/>
      <c r="E2" s="163" t="s">
        <v>65</v>
      </c>
      <c r="F2" s="163"/>
      <c r="H2" s="167" t="s">
        <v>36</v>
      </c>
      <c r="I2" s="168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64" t="s">
        <v>68</v>
      </c>
      <c r="E10" s="165"/>
      <c r="F10" s="165"/>
      <c r="G10" s="165"/>
      <c r="H10" s="166"/>
      <c r="I10" s="164" t="s">
        <v>72</v>
      </c>
      <c r="J10" s="165"/>
      <c r="K10" s="165"/>
      <c r="L10" s="166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2013-09-17T17:05:39Z</dcterms:modified>
</cp:coreProperties>
</file>
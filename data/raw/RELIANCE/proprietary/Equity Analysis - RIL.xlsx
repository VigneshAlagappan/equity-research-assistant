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5621"/>
</workbook>
</file>

<file path=xl/calcChain.xml><?xml version="1.0" encoding="utf-8"?>
<calcChain xmlns="http://schemas.openxmlformats.org/spreadsheetml/2006/main">
  <c r="Q35" i="18" l="1"/>
  <c r="S31" i="18"/>
  <c r="T31" i="18" s="1"/>
  <c r="U31" i="18" s="1"/>
  <c r="V31" i="18" s="1"/>
  <c r="Q31" i="18"/>
  <c r="Q27" i="18" l="1"/>
  <c r="Q29" i="18"/>
  <c r="I60" i="18" l="1"/>
  <c r="J60" i="18"/>
  <c r="K60" i="18"/>
  <c r="L60" i="18"/>
  <c r="M60" i="18"/>
  <c r="N60" i="18"/>
  <c r="O60" i="18"/>
  <c r="P60" i="18"/>
  <c r="I61" i="18"/>
  <c r="J61" i="18"/>
  <c r="K61" i="18"/>
  <c r="L61" i="18"/>
  <c r="M61" i="18"/>
  <c r="N61" i="18"/>
  <c r="O61" i="18"/>
  <c r="P61" i="18"/>
  <c r="I55" i="18"/>
  <c r="I57" i="18" s="1"/>
  <c r="J55" i="18"/>
  <c r="J57" i="18" s="1"/>
  <c r="K55" i="18"/>
  <c r="K57" i="18" s="1"/>
  <c r="L55" i="18"/>
  <c r="L57" i="18" s="1"/>
  <c r="M55" i="18"/>
  <c r="M57" i="18" s="1"/>
  <c r="N55" i="18"/>
  <c r="N57" i="18" s="1"/>
  <c r="O55" i="18"/>
  <c r="O57" i="18" s="1"/>
  <c r="P55" i="18"/>
  <c r="P57" i="18" s="1"/>
  <c r="I58" i="18"/>
  <c r="J58" i="18"/>
  <c r="K58" i="18"/>
  <c r="L58" i="18"/>
  <c r="M58" i="18"/>
  <c r="N58" i="18"/>
  <c r="O58" i="18"/>
  <c r="P58" i="18"/>
  <c r="I59" i="18"/>
  <c r="J59" i="18"/>
  <c r="K59" i="18"/>
  <c r="L59" i="18"/>
  <c r="M59" i="18"/>
  <c r="N59" i="18"/>
  <c r="O59" i="18"/>
  <c r="P59" i="18"/>
  <c r="C58" i="18"/>
  <c r="D58" i="18"/>
  <c r="E58" i="18"/>
  <c r="F58" i="18"/>
  <c r="G58" i="18"/>
  <c r="C59" i="18"/>
  <c r="D59" i="18"/>
  <c r="E59" i="18"/>
  <c r="F59" i="18"/>
  <c r="G59" i="18"/>
  <c r="C60" i="18"/>
  <c r="D60" i="18"/>
  <c r="E60" i="18"/>
  <c r="F60" i="18"/>
  <c r="G60" i="18"/>
  <c r="Q60" i="18" s="1"/>
  <c r="C61" i="18"/>
  <c r="D61" i="18"/>
  <c r="E61" i="18"/>
  <c r="F61" i="18"/>
  <c r="G61" i="18"/>
  <c r="Q61" i="18" s="1"/>
  <c r="H61" i="18"/>
  <c r="H60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AC21" i="18" s="1"/>
  <c r="S20" i="18"/>
  <c r="Q19" i="18"/>
  <c r="C55" i="18"/>
  <c r="C57" i="18" s="1"/>
  <c r="D55" i="18"/>
  <c r="D57" i="18" s="1"/>
  <c r="E55" i="18"/>
  <c r="E57" i="18" s="1"/>
  <c r="F55" i="18"/>
  <c r="F57" i="18" s="1"/>
  <c r="G55" i="18"/>
  <c r="G57" i="18" s="1"/>
  <c r="H55" i="18"/>
  <c r="H57" i="18" s="1"/>
  <c r="H59" i="18"/>
  <c r="H58" i="18"/>
  <c r="Q59" i="18" l="1"/>
  <c r="Q57" i="18"/>
  <c r="Q58" i="18"/>
  <c r="AC22" i="18"/>
  <c r="AE22" i="18" s="1"/>
  <c r="Q21" i="18"/>
  <c r="Q20" i="18"/>
  <c r="Q55" i="18"/>
  <c r="S19" i="18"/>
  <c r="T19" i="18" s="1"/>
  <c r="T20" i="18"/>
  <c r="AE21" i="18"/>
  <c r="S53" i="18"/>
  <c r="T53" i="18" s="1"/>
  <c r="U53" i="18" s="1"/>
  <c r="V53" i="18" s="1"/>
  <c r="W53" i="18" s="1"/>
  <c r="X53" i="18" s="1"/>
  <c r="Y53" i="18" s="1"/>
  <c r="Z53" i="18" s="1"/>
  <c r="AA53" i="18" s="1"/>
  <c r="AB53" i="18" s="1"/>
  <c r="S93" i="18" s="1"/>
  <c r="Q53" i="18"/>
  <c r="Q105" i="18"/>
  <c r="U19" i="18" l="1"/>
  <c r="V19" i="18" s="1"/>
  <c r="W19" i="18" s="1"/>
  <c r="X19" i="18" s="1"/>
  <c r="Y19" i="18" s="1"/>
  <c r="Z19" i="18" s="1"/>
  <c r="AA19" i="18" s="1"/>
  <c r="AB19" i="18" s="1"/>
  <c r="AC19" i="18" s="1"/>
  <c r="AE19" i="18" s="1"/>
  <c r="T55" i="18"/>
  <c r="S55" i="18"/>
  <c r="U20" i="18"/>
  <c r="AC53" i="18"/>
  <c r="AE53" i="18" s="1"/>
  <c r="T93" i="18" s="1"/>
  <c r="R93" i="18" s="1"/>
  <c r="P113" i="18" s="1"/>
  <c r="C18" i="15"/>
  <c r="S10" i="18"/>
  <c r="T10" i="18" s="1"/>
  <c r="U10" i="18" s="1"/>
  <c r="V10" i="18" s="1"/>
  <c r="W10" i="18" s="1"/>
  <c r="X10" i="18" s="1"/>
  <c r="Y10" i="18" s="1"/>
  <c r="Z10" i="18" s="1"/>
  <c r="AA10" i="18" s="1"/>
  <c r="AB10" i="18" s="1"/>
  <c r="Q66" i="18"/>
  <c r="Q67" i="18"/>
  <c r="Q68" i="18"/>
  <c r="Q69" i="18"/>
  <c r="Q70" i="18"/>
  <c r="Q71" i="18"/>
  <c r="Q65" i="18"/>
  <c r="Q33" i="18"/>
  <c r="Q28" i="18"/>
  <c r="Q25" i="18"/>
  <c r="Q24" i="18"/>
  <c r="Q17" i="18"/>
  <c r="Q15" i="18"/>
  <c r="Q14" i="18"/>
  <c r="Q13" i="18"/>
  <c r="Q12" i="18"/>
  <c r="Q11" i="18"/>
  <c r="Q10" i="18"/>
  <c r="Q8" i="18"/>
  <c r="Q7" i="18"/>
  <c r="S17" i="18"/>
  <c r="T17" i="18" s="1"/>
  <c r="U17" i="18" s="1"/>
  <c r="V17" i="18" s="1"/>
  <c r="W17" i="18" s="1"/>
  <c r="X17" i="18" s="1"/>
  <c r="Y17" i="18" s="1"/>
  <c r="Z17" i="18" s="1"/>
  <c r="AA17" i="18" s="1"/>
  <c r="AB17" i="18" s="1"/>
  <c r="S24" i="18"/>
  <c r="T24" i="18" s="1"/>
  <c r="U24" i="18" s="1"/>
  <c r="V24" i="18" s="1"/>
  <c r="W24" i="18" s="1"/>
  <c r="X24" i="18" s="1"/>
  <c r="Y24" i="18" s="1"/>
  <c r="Z24" i="18" s="1"/>
  <c r="AA24" i="18" s="1"/>
  <c r="AB24" i="18" s="1"/>
  <c r="S25" i="18"/>
  <c r="T25" i="18" s="1"/>
  <c r="U25" i="18" s="1"/>
  <c r="V25" i="18" s="1"/>
  <c r="W25" i="18" s="1"/>
  <c r="X25" i="18" s="1"/>
  <c r="Y25" i="18" s="1"/>
  <c r="Z25" i="18" s="1"/>
  <c r="AA25" i="18" s="1"/>
  <c r="AB25" i="18" s="1"/>
  <c r="S28" i="18"/>
  <c r="T28" i="18" s="1"/>
  <c r="U28" i="18" s="1"/>
  <c r="V28" i="18" s="1"/>
  <c r="W28" i="18" s="1"/>
  <c r="X28" i="18" s="1"/>
  <c r="Y28" i="18" s="1"/>
  <c r="Z28" i="18" s="1"/>
  <c r="AA28" i="18" s="1"/>
  <c r="AB28" i="18" s="1"/>
  <c r="S29" i="18"/>
  <c r="T29" i="18" s="1"/>
  <c r="U29" i="18" s="1"/>
  <c r="V29" i="18" s="1"/>
  <c r="W29" i="18" s="1"/>
  <c r="X29" i="18" s="1"/>
  <c r="Y29" i="18" s="1"/>
  <c r="Z29" i="18" s="1"/>
  <c r="AA29" i="18" s="1"/>
  <c r="AB29" i="18" s="1"/>
  <c r="W31" i="18"/>
  <c r="X31" i="18" s="1"/>
  <c r="Y31" i="18" s="1"/>
  <c r="Z31" i="18" s="1"/>
  <c r="AA31" i="18" s="1"/>
  <c r="AB31" i="18" s="1"/>
  <c r="O51" i="18"/>
  <c r="O109" i="18" s="1"/>
  <c r="O50" i="18"/>
  <c r="O48" i="18"/>
  <c r="O47" i="18"/>
  <c r="O45" i="18"/>
  <c r="O110" i="18" s="1"/>
  <c r="O44" i="18"/>
  <c r="O43" i="18"/>
  <c r="O41" i="18"/>
  <c r="O40" i="18"/>
  <c r="O107" i="18" s="1"/>
  <c r="O39" i="18"/>
  <c r="O38" i="18"/>
  <c r="O106" i="18" s="1"/>
  <c r="V20" i="18" l="1"/>
  <c r="U55" i="18"/>
  <c r="AC31" i="18"/>
  <c r="AE31" i="18" s="1"/>
  <c r="AC24" i="18"/>
  <c r="AE24" i="18" s="1"/>
  <c r="AC25" i="18"/>
  <c r="AE25" i="18" s="1"/>
  <c r="AC28" i="18"/>
  <c r="AE28" i="18" s="1"/>
  <c r="AC29" i="18"/>
  <c r="AE29" i="18" s="1"/>
  <c r="AC17" i="18"/>
  <c r="AE17" i="18" s="1"/>
  <c r="AC10" i="18"/>
  <c r="AE10" i="18" s="1"/>
  <c r="O49" i="18"/>
  <c r="O108" i="18" s="1"/>
  <c r="D45" i="18"/>
  <c r="E45" i="18"/>
  <c r="F45" i="18"/>
  <c r="G45" i="18"/>
  <c r="G110" i="18" s="1"/>
  <c r="H45" i="18"/>
  <c r="H110" i="18" s="1"/>
  <c r="I45" i="18"/>
  <c r="I110" i="18" s="1"/>
  <c r="J45" i="18"/>
  <c r="J110" i="18" s="1"/>
  <c r="K45" i="18"/>
  <c r="K110" i="18" s="1"/>
  <c r="L45" i="18"/>
  <c r="L110" i="18" s="1"/>
  <c r="M45" i="18"/>
  <c r="M110" i="18" s="1"/>
  <c r="N45" i="18"/>
  <c r="N110" i="18" s="1"/>
  <c r="P45" i="18"/>
  <c r="C45" i="18"/>
  <c r="C44" i="18"/>
  <c r="W20" i="18" l="1"/>
  <c r="V55" i="18"/>
  <c r="S45" i="18"/>
  <c r="T45" i="18" s="1"/>
  <c r="P110" i="18"/>
  <c r="Q110" i="18" s="1"/>
  <c r="Q45" i="18"/>
  <c r="D44" i="18"/>
  <c r="E44" i="18"/>
  <c r="F44" i="18"/>
  <c r="G44" i="18"/>
  <c r="H44" i="18"/>
  <c r="I44" i="18"/>
  <c r="J44" i="18"/>
  <c r="K44" i="18"/>
  <c r="L44" i="18"/>
  <c r="M44" i="18"/>
  <c r="N44" i="18"/>
  <c r="P44" i="18"/>
  <c r="S44" i="18" s="1"/>
  <c r="T44" i="18" s="1"/>
  <c r="U44" i="18" s="1"/>
  <c r="V44" i="18" s="1"/>
  <c r="W44" i="18" s="1"/>
  <c r="X44" i="18" s="1"/>
  <c r="Y44" i="18" s="1"/>
  <c r="Z44" i="18" s="1"/>
  <c r="AA44" i="18" s="1"/>
  <c r="AB44" i="18" s="1"/>
  <c r="D43" i="18"/>
  <c r="E43" i="18"/>
  <c r="F43" i="18"/>
  <c r="G43" i="18"/>
  <c r="H43" i="18"/>
  <c r="I43" i="18"/>
  <c r="J43" i="18"/>
  <c r="K43" i="18"/>
  <c r="L43" i="18"/>
  <c r="M43" i="18"/>
  <c r="N43" i="18"/>
  <c r="P43" i="18"/>
  <c r="S43" i="18" s="1"/>
  <c r="T43" i="18" s="1"/>
  <c r="U43" i="18" s="1"/>
  <c r="V43" i="18" s="1"/>
  <c r="W43" i="18" s="1"/>
  <c r="X43" i="18" s="1"/>
  <c r="Y43" i="18" s="1"/>
  <c r="Z43" i="18" s="1"/>
  <c r="AA43" i="18" s="1"/>
  <c r="AB43" i="18" s="1"/>
  <c r="C43" i="18"/>
  <c r="X20" i="18" l="1"/>
  <c r="W55" i="18"/>
  <c r="U45" i="18"/>
  <c r="AC43" i="18"/>
  <c r="AE43" i="18" s="1"/>
  <c r="T82" i="18" s="1"/>
  <c r="Q43" i="18"/>
  <c r="AC44" i="18"/>
  <c r="AE44" i="18" s="1"/>
  <c r="T83" i="18" s="1"/>
  <c r="Q44" i="18"/>
  <c r="S83" i="18"/>
  <c r="S82" i="18"/>
  <c r="C45" i="15"/>
  <c r="Y20" i="18" l="1"/>
  <c r="X55" i="18"/>
  <c r="R82" i="18"/>
  <c r="V45" i="18"/>
  <c r="S69" i="18"/>
  <c r="T69" i="18" s="1"/>
  <c r="U69" i="18" s="1"/>
  <c r="V69" i="18" s="1"/>
  <c r="W69" i="18" s="1"/>
  <c r="X69" i="18" s="1"/>
  <c r="Y69" i="18" s="1"/>
  <c r="Z69" i="18" s="1"/>
  <c r="AA69" i="18" s="1"/>
  <c r="AB69" i="18" s="1"/>
  <c r="S105" i="18"/>
  <c r="C38" i="18"/>
  <c r="C106" i="18" s="1"/>
  <c r="C110" i="18" s="1"/>
  <c r="D38" i="18"/>
  <c r="D106" i="18" s="1"/>
  <c r="D110" i="18" s="1"/>
  <c r="E38" i="18"/>
  <c r="E106" i="18" s="1"/>
  <c r="E110" i="18" s="1"/>
  <c r="F38" i="18"/>
  <c r="F106" i="18" s="1"/>
  <c r="F110" i="18" s="1"/>
  <c r="G38" i="18"/>
  <c r="H38" i="18"/>
  <c r="H106" i="18" s="1"/>
  <c r="I38" i="18"/>
  <c r="I106" i="18" s="1"/>
  <c r="J38" i="18"/>
  <c r="J106" i="18" s="1"/>
  <c r="K38" i="18"/>
  <c r="K106" i="18" s="1"/>
  <c r="L38" i="18"/>
  <c r="M38" i="18"/>
  <c r="M106" i="18" s="1"/>
  <c r="N38" i="18"/>
  <c r="P38" i="18"/>
  <c r="P106" i="18" s="1"/>
  <c r="D51" i="18"/>
  <c r="D109" i="18" s="1"/>
  <c r="E51" i="18"/>
  <c r="E109" i="18" s="1"/>
  <c r="F51" i="18"/>
  <c r="F109" i="18" s="1"/>
  <c r="G51" i="18"/>
  <c r="H51" i="18"/>
  <c r="H109" i="18" s="1"/>
  <c r="I51" i="18"/>
  <c r="I109" i="18" s="1"/>
  <c r="J51" i="18"/>
  <c r="J109" i="18" s="1"/>
  <c r="K51" i="18"/>
  <c r="K109" i="18" s="1"/>
  <c r="L51" i="18"/>
  <c r="L109" i="18" s="1"/>
  <c r="M51" i="18"/>
  <c r="M109" i="18" s="1"/>
  <c r="N51" i="18"/>
  <c r="P51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D48" i="18"/>
  <c r="E48" i="18"/>
  <c r="F48" i="18"/>
  <c r="G48" i="18"/>
  <c r="H48" i="18"/>
  <c r="I48" i="18"/>
  <c r="J48" i="18"/>
  <c r="K48" i="18"/>
  <c r="L48" i="18"/>
  <c r="M48" i="18"/>
  <c r="N48" i="18"/>
  <c r="P48" i="18"/>
  <c r="D47" i="18"/>
  <c r="D49" i="18" s="1"/>
  <c r="D108" i="18" s="1"/>
  <c r="E47" i="18"/>
  <c r="E49" i="18" s="1"/>
  <c r="E108" i="18" s="1"/>
  <c r="F47" i="18"/>
  <c r="F49" i="18" s="1"/>
  <c r="F108" i="18" s="1"/>
  <c r="G47" i="18"/>
  <c r="H47" i="18"/>
  <c r="H49" i="18" s="1"/>
  <c r="H108" i="18" s="1"/>
  <c r="I47" i="18"/>
  <c r="J47" i="18"/>
  <c r="K47" i="18"/>
  <c r="K49" i="18" s="1"/>
  <c r="K108" i="18" s="1"/>
  <c r="L47" i="18"/>
  <c r="L49" i="18" s="1"/>
  <c r="L108" i="18" s="1"/>
  <c r="M47" i="18"/>
  <c r="N47" i="18"/>
  <c r="P47" i="18"/>
  <c r="D41" i="18"/>
  <c r="E41" i="18"/>
  <c r="F41" i="18"/>
  <c r="G41" i="18"/>
  <c r="H41" i="18"/>
  <c r="I41" i="18"/>
  <c r="J41" i="18"/>
  <c r="K41" i="18"/>
  <c r="L41" i="18"/>
  <c r="M41" i="18"/>
  <c r="N41" i="18"/>
  <c r="P41" i="18"/>
  <c r="D40" i="18"/>
  <c r="D107" i="18" s="1"/>
  <c r="E40" i="18"/>
  <c r="E107" i="18" s="1"/>
  <c r="F40" i="18"/>
  <c r="F107" i="18" s="1"/>
  <c r="G40" i="18"/>
  <c r="H40" i="18"/>
  <c r="H107" i="18" s="1"/>
  <c r="I40" i="18"/>
  <c r="I107" i="18" s="1"/>
  <c r="J40" i="18"/>
  <c r="J107" i="18" s="1"/>
  <c r="K40" i="18"/>
  <c r="K107" i="18" s="1"/>
  <c r="L40" i="18"/>
  <c r="L107" i="18" s="1"/>
  <c r="M40" i="18"/>
  <c r="M107" i="18" s="1"/>
  <c r="N40" i="18"/>
  <c r="P40" i="18"/>
  <c r="C51" i="18"/>
  <c r="C109" i="18" s="1"/>
  <c r="C50" i="18"/>
  <c r="C48" i="18"/>
  <c r="C47" i="18"/>
  <c r="C41" i="18"/>
  <c r="C40" i="18"/>
  <c r="C107" i="18" s="1"/>
  <c r="D39" i="18"/>
  <c r="E39" i="18"/>
  <c r="F39" i="18"/>
  <c r="G39" i="18"/>
  <c r="H39" i="18"/>
  <c r="I39" i="18"/>
  <c r="J39" i="18"/>
  <c r="K39" i="18"/>
  <c r="L39" i="18"/>
  <c r="M39" i="18"/>
  <c r="N39" i="18"/>
  <c r="P39" i="18"/>
  <c r="C39" i="18"/>
  <c r="S14" i="18"/>
  <c r="T14" i="18" s="1"/>
  <c r="U14" i="18" s="1"/>
  <c r="V14" i="18" s="1"/>
  <c r="W14" i="18" s="1"/>
  <c r="X14" i="18" s="1"/>
  <c r="Y14" i="18" s="1"/>
  <c r="Z14" i="18" s="1"/>
  <c r="AA14" i="18" s="1"/>
  <c r="AB14" i="18" s="1"/>
  <c r="S15" i="18"/>
  <c r="T15" i="18" s="1"/>
  <c r="U15" i="18" s="1"/>
  <c r="V15" i="18" s="1"/>
  <c r="W15" i="18" s="1"/>
  <c r="X15" i="18" s="1"/>
  <c r="Y15" i="18" s="1"/>
  <c r="Z15" i="18" s="1"/>
  <c r="AA15" i="18" s="1"/>
  <c r="AB15" i="18" s="1"/>
  <c r="S33" i="18"/>
  <c r="T33" i="18" s="1"/>
  <c r="U33" i="18" s="1"/>
  <c r="V33" i="18" s="1"/>
  <c r="W33" i="18" s="1"/>
  <c r="X33" i="18" s="1"/>
  <c r="Y33" i="18" s="1"/>
  <c r="Z33" i="18" s="1"/>
  <c r="AA33" i="18" s="1"/>
  <c r="AB33" i="18" s="1"/>
  <c r="S11" i="18"/>
  <c r="T11" i="18" s="1"/>
  <c r="U11" i="18" s="1"/>
  <c r="V11" i="18" s="1"/>
  <c r="W11" i="18" s="1"/>
  <c r="X11" i="18" s="1"/>
  <c r="Y11" i="18" s="1"/>
  <c r="Z11" i="18" s="1"/>
  <c r="AA11" i="18" s="1"/>
  <c r="AB11" i="18" s="1"/>
  <c r="S12" i="18"/>
  <c r="T12" i="18" s="1"/>
  <c r="U12" i="18" s="1"/>
  <c r="V12" i="18" s="1"/>
  <c r="W12" i="18" s="1"/>
  <c r="X12" i="18" s="1"/>
  <c r="Y12" i="18" s="1"/>
  <c r="Z12" i="18" s="1"/>
  <c r="AA12" i="18" s="1"/>
  <c r="AB12" i="18" s="1"/>
  <c r="S89" i="18" s="1"/>
  <c r="S90" i="18" s="1"/>
  <c r="S13" i="18"/>
  <c r="T13" i="18" s="1"/>
  <c r="U13" i="18" s="1"/>
  <c r="V13" i="18" s="1"/>
  <c r="W13" i="18" s="1"/>
  <c r="X13" i="18" s="1"/>
  <c r="Y13" i="18" s="1"/>
  <c r="Z13" i="18" s="1"/>
  <c r="AA13" i="18" s="1"/>
  <c r="AB13" i="18" s="1"/>
  <c r="S8" i="18"/>
  <c r="T8" i="18" s="1"/>
  <c r="U8" i="18" s="1"/>
  <c r="V8" i="18" s="1"/>
  <c r="W8" i="18" s="1"/>
  <c r="X8" i="18" s="1"/>
  <c r="Y8" i="18" s="1"/>
  <c r="Z8" i="18" s="1"/>
  <c r="AA8" i="18" s="1"/>
  <c r="AB8" i="18" s="1"/>
  <c r="S7" i="18"/>
  <c r="T7" i="18" s="1"/>
  <c r="U7" i="18" s="1"/>
  <c r="V7" i="18" s="1"/>
  <c r="W7" i="18" s="1"/>
  <c r="X7" i="18" s="1"/>
  <c r="Y7" i="18" s="1"/>
  <c r="Z7" i="18" s="1"/>
  <c r="AA7" i="18" s="1"/>
  <c r="AB7" i="18" s="1"/>
  <c r="J49" i="18" l="1"/>
  <c r="J108" i="18" s="1"/>
  <c r="Z20" i="18"/>
  <c r="Y55" i="18"/>
  <c r="AC7" i="18"/>
  <c r="AE7" i="18" s="1"/>
  <c r="AC12" i="18"/>
  <c r="AE12" i="18" s="1"/>
  <c r="T89" i="18" s="1"/>
  <c r="AC14" i="18"/>
  <c r="AE14" i="18" s="1"/>
  <c r="AC11" i="18"/>
  <c r="AE11" i="18" s="1"/>
  <c r="AC13" i="18"/>
  <c r="AE13" i="18" s="1"/>
  <c r="AC15" i="18"/>
  <c r="AE15" i="18" s="1"/>
  <c r="AC8" i="18"/>
  <c r="AE8" i="18" s="1"/>
  <c r="AC33" i="18"/>
  <c r="AE33" i="18" s="1"/>
  <c r="AC69" i="18"/>
  <c r="AE69" i="18" s="1"/>
  <c r="C49" i="18"/>
  <c r="C108" i="18" s="1"/>
  <c r="P75" i="18"/>
  <c r="T105" i="18"/>
  <c r="S110" i="18"/>
  <c r="W45" i="18"/>
  <c r="I49" i="18"/>
  <c r="I108" i="18" s="1"/>
  <c r="Q39" i="18"/>
  <c r="G107" i="18"/>
  <c r="Q40" i="18"/>
  <c r="Q41" i="18"/>
  <c r="Q48" i="18"/>
  <c r="Q50" i="18"/>
  <c r="G106" i="18"/>
  <c r="Q38" i="18"/>
  <c r="G109" i="18"/>
  <c r="Q51" i="18"/>
  <c r="G49" i="18"/>
  <c r="Q47" i="18"/>
  <c r="N107" i="18"/>
  <c r="N106" i="18"/>
  <c r="N109" i="18"/>
  <c r="S50" i="18"/>
  <c r="T50" i="18" s="1"/>
  <c r="U50" i="18" s="1"/>
  <c r="V50" i="18" s="1"/>
  <c r="W50" i="18" s="1"/>
  <c r="X50" i="18" s="1"/>
  <c r="Y50" i="18" s="1"/>
  <c r="Z50" i="18" s="1"/>
  <c r="AA50" i="18" s="1"/>
  <c r="AB50" i="18" s="1"/>
  <c r="S51" i="18"/>
  <c r="T51" i="18" s="1"/>
  <c r="U51" i="18" s="1"/>
  <c r="V51" i="18" s="1"/>
  <c r="W51" i="18" s="1"/>
  <c r="X51" i="18" s="1"/>
  <c r="Y51" i="18" s="1"/>
  <c r="Z51" i="18" s="1"/>
  <c r="AA51" i="18" s="1"/>
  <c r="AB51" i="18" s="1"/>
  <c r="S41" i="18"/>
  <c r="T41" i="18" s="1"/>
  <c r="U41" i="18" s="1"/>
  <c r="V41" i="18" s="1"/>
  <c r="W41" i="18" s="1"/>
  <c r="X41" i="18" s="1"/>
  <c r="Y41" i="18" s="1"/>
  <c r="Z41" i="18" s="1"/>
  <c r="AA41" i="18" s="1"/>
  <c r="AB41" i="18" s="1"/>
  <c r="P107" i="18"/>
  <c r="S47" i="18"/>
  <c r="T47" i="18" s="1"/>
  <c r="U47" i="18" s="1"/>
  <c r="V47" i="18" s="1"/>
  <c r="W47" i="18" s="1"/>
  <c r="X47" i="18" s="1"/>
  <c r="Y47" i="18" s="1"/>
  <c r="Z47" i="18" s="1"/>
  <c r="AA47" i="18" s="1"/>
  <c r="AB47" i="18" s="1"/>
  <c r="L106" i="18"/>
  <c r="N49" i="18"/>
  <c r="S48" i="18"/>
  <c r="T48" i="18" s="1"/>
  <c r="U48" i="18" s="1"/>
  <c r="V48" i="18" s="1"/>
  <c r="W48" i="18" s="1"/>
  <c r="X48" i="18" s="1"/>
  <c r="Y48" i="18" s="1"/>
  <c r="Z48" i="18" s="1"/>
  <c r="AA48" i="18" s="1"/>
  <c r="AB48" i="18" s="1"/>
  <c r="M49" i="18"/>
  <c r="M108" i="18" s="1"/>
  <c r="P109" i="18"/>
  <c r="P49" i="18"/>
  <c r="S70" i="18"/>
  <c r="T70" i="18" s="1"/>
  <c r="U70" i="18" s="1"/>
  <c r="V70" i="18" s="1"/>
  <c r="W70" i="18" s="1"/>
  <c r="X70" i="18" s="1"/>
  <c r="Y70" i="18" s="1"/>
  <c r="Z70" i="18" s="1"/>
  <c r="AA70" i="18" s="1"/>
  <c r="AB70" i="18" s="1"/>
  <c r="S71" i="18"/>
  <c r="T71" i="18" s="1"/>
  <c r="U71" i="18" s="1"/>
  <c r="V71" i="18" s="1"/>
  <c r="W71" i="18" s="1"/>
  <c r="X71" i="18" s="1"/>
  <c r="Y71" i="18" s="1"/>
  <c r="Z71" i="18" s="1"/>
  <c r="AA71" i="18" s="1"/>
  <c r="AB71" i="18" s="1"/>
  <c r="S35" i="18"/>
  <c r="S61" i="18" s="1"/>
  <c r="C6" i="12"/>
  <c r="C25" i="15"/>
  <c r="C57" i="15"/>
  <c r="C56" i="15"/>
  <c r="C53" i="15"/>
  <c r="C52" i="15"/>
  <c r="C49" i="15"/>
  <c r="C48" i="15"/>
  <c r="C44" i="15"/>
  <c r="R89" i="18" l="1"/>
  <c r="T90" i="18"/>
  <c r="R90" i="18" s="1"/>
  <c r="T35" i="18"/>
  <c r="T61" i="18" s="1"/>
  <c r="S58" i="18"/>
  <c r="S59" i="18"/>
  <c r="S60" i="18"/>
  <c r="S57" i="18"/>
  <c r="AA20" i="18"/>
  <c r="Z55" i="18"/>
  <c r="AC70" i="18"/>
  <c r="AE70" i="18" s="1"/>
  <c r="AC71" i="18"/>
  <c r="AE71" i="18" s="1"/>
  <c r="AC47" i="18"/>
  <c r="AE47" i="18" s="1"/>
  <c r="T80" i="18" s="1"/>
  <c r="AC50" i="18"/>
  <c r="AE50" i="18" s="1"/>
  <c r="T87" i="18" s="1"/>
  <c r="AC51" i="18"/>
  <c r="AE51" i="18" s="1"/>
  <c r="AC41" i="18"/>
  <c r="AE41" i="18" s="1"/>
  <c r="T79" i="18" s="1"/>
  <c r="AC48" i="18"/>
  <c r="AE48" i="18" s="1"/>
  <c r="T86" i="18" s="1"/>
  <c r="S109" i="18"/>
  <c r="U105" i="18"/>
  <c r="T109" i="18"/>
  <c r="T110" i="18"/>
  <c r="X45" i="18"/>
  <c r="Q107" i="18"/>
  <c r="Q106" i="18"/>
  <c r="Q109" i="18"/>
  <c r="G108" i="18"/>
  <c r="Q49" i="18"/>
  <c r="N108" i="18"/>
  <c r="P108" i="18"/>
  <c r="S49" i="18"/>
  <c r="S68" i="18"/>
  <c r="T68" i="18" s="1"/>
  <c r="U68" i="18" s="1"/>
  <c r="V68" i="18" s="1"/>
  <c r="W68" i="18" s="1"/>
  <c r="X68" i="18" s="1"/>
  <c r="Y68" i="18" s="1"/>
  <c r="Z68" i="18" s="1"/>
  <c r="AA68" i="18" s="1"/>
  <c r="AB68" i="18" s="1"/>
  <c r="S40" i="18"/>
  <c r="S65" i="18"/>
  <c r="T65" i="18" s="1"/>
  <c r="U65" i="18" s="1"/>
  <c r="V65" i="18" s="1"/>
  <c r="W65" i="18" s="1"/>
  <c r="X65" i="18" s="1"/>
  <c r="Y65" i="18" s="1"/>
  <c r="Z65" i="18" s="1"/>
  <c r="AA65" i="18" s="1"/>
  <c r="AB65" i="18" s="1"/>
  <c r="S38" i="18"/>
  <c r="S67" i="18"/>
  <c r="T67" i="18" s="1"/>
  <c r="U67" i="18" s="1"/>
  <c r="V67" i="18" s="1"/>
  <c r="W67" i="18" s="1"/>
  <c r="X67" i="18" s="1"/>
  <c r="Y67" i="18" s="1"/>
  <c r="Z67" i="18" s="1"/>
  <c r="AA67" i="18" s="1"/>
  <c r="AB67" i="18" s="1"/>
  <c r="S66" i="18"/>
  <c r="T66" i="18" s="1"/>
  <c r="U66" i="18" s="1"/>
  <c r="V66" i="18" s="1"/>
  <c r="W66" i="18" s="1"/>
  <c r="X66" i="18" s="1"/>
  <c r="Y66" i="18" s="1"/>
  <c r="Z66" i="18" s="1"/>
  <c r="AA66" i="18" s="1"/>
  <c r="AB66" i="18" s="1"/>
  <c r="S86" i="18"/>
  <c r="S39" i="18"/>
  <c r="T39" i="18" s="1"/>
  <c r="U39" i="18" s="1"/>
  <c r="V39" i="18" s="1"/>
  <c r="W39" i="18" s="1"/>
  <c r="X39" i="18" s="1"/>
  <c r="Y39" i="18" s="1"/>
  <c r="Z39" i="18" s="1"/>
  <c r="AA39" i="18" s="1"/>
  <c r="AB39" i="18" s="1"/>
  <c r="C15" i="15"/>
  <c r="C20" i="15"/>
  <c r="C9" i="15"/>
  <c r="U35" i="18" l="1"/>
  <c r="U61" i="18" s="1"/>
  <c r="T60" i="18"/>
  <c r="T59" i="18"/>
  <c r="T58" i="18"/>
  <c r="T57" i="18"/>
  <c r="AB20" i="18"/>
  <c r="AA55" i="18"/>
  <c r="AC67" i="18"/>
  <c r="AE67" i="18" s="1"/>
  <c r="AC68" i="18"/>
  <c r="AE68" i="18" s="1"/>
  <c r="AC39" i="18"/>
  <c r="AE39" i="18" s="1"/>
  <c r="T77" i="18" s="1"/>
  <c r="AC66" i="18"/>
  <c r="AE66" i="18" s="1"/>
  <c r="AC65" i="18"/>
  <c r="AE65" i="18" s="1"/>
  <c r="R86" i="18"/>
  <c r="T49" i="18"/>
  <c r="S108" i="18"/>
  <c r="V105" i="18"/>
  <c r="U109" i="18"/>
  <c r="U110" i="18"/>
  <c r="T38" i="18"/>
  <c r="S106" i="18"/>
  <c r="T40" i="18"/>
  <c r="S107" i="18"/>
  <c r="Y45" i="18"/>
  <c r="Q108" i="18"/>
  <c r="S77" i="18"/>
  <c r="S87" i="18"/>
  <c r="R87" i="18" s="1"/>
  <c r="S80" i="18"/>
  <c r="R80" i="18" s="1"/>
  <c r="S79" i="18"/>
  <c r="R79" i="18" s="1"/>
  <c r="D31" i="8"/>
  <c r="D29" i="8"/>
  <c r="D28" i="8"/>
  <c r="D13" i="8"/>
  <c r="D30" i="8" s="1"/>
  <c r="E14" i="8"/>
  <c r="F14" i="8" s="1"/>
  <c r="G14" i="8" s="1"/>
  <c r="H14" i="8" s="1"/>
  <c r="I14" i="8" s="1"/>
  <c r="V35" i="18" l="1"/>
  <c r="V61" i="18" s="1"/>
  <c r="U60" i="18"/>
  <c r="U58" i="18"/>
  <c r="U59" i="18"/>
  <c r="U57" i="18"/>
  <c r="AC20" i="18"/>
  <c r="AE20" i="18" s="1"/>
  <c r="AB55" i="18"/>
  <c r="R77" i="18"/>
  <c r="U49" i="18"/>
  <c r="T108" i="18"/>
  <c r="W105" i="18"/>
  <c r="V109" i="18"/>
  <c r="V110" i="18"/>
  <c r="U38" i="18"/>
  <c r="T106" i="18"/>
  <c r="U40" i="18"/>
  <c r="T107" i="18"/>
  <c r="Z45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W35" i="18" l="1"/>
  <c r="W61" i="18" s="1"/>
  <c r="V60" i="18"/>
  <c r="V58" i="18"/>
  <c r="V59" i="18"/>
  <c r="V57" i="18"/>
  <c r="S95" i="18"/>
  <c r="AC55" i="18"/>
  <c r="AE55" i="18" s="1"/>
  <c r="T95" i="18" s="1"/>
  <c r="V49" i="18"/>
  <c r="U108" i="18"/>
  <c r="X105" i="18"/>
  <c r="W109" i="18"/>
  <c r="W110" i="18"/>
  <c r="V38" i="18"/>
  <c r="U106" i="18"/>
  <c r="V40" i="18"/>
  <c r="U107" i="18"/>
  <c r="AA45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1" i="9"/>
  <c r="P31" i="9" s="1"/>
  <c r="M45" i="9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P32" i="9" l="1"/>
  <c r="M32" i="9"/>
  <c r="M33" i="9" s="1"/>
  <c r="M34" i="9" s="1"/>
  <c r="M35" i="9" s="1"/>
  <c r="M36" i="9" s="1"/>
  <c r="M37" i="9" s="1"/>
  <c r="M38" i="9" s="1"/>
  <c r="M39" i="9" s="1"/>
  <c r="M40" i="9" s="1"/>
  <c r="M41" i="9" s="1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R95" i="18"/>
  <c r="O31" i="9"/>
  <c r="O32" i="9" s="1"/>
  <c r="X35" i="18"/>
  <c r="X61" i="18" s="1"/>
  <c r="W60" i="18"/>
  <c r="W58" i="18"/>
  <c r="W59" i="18"/>
  <c r="W57" i="18"/>
  <c r="W49" i="18"/>
  <c r="V108" i="18"/>
  <c r="Y105" i="18"/>
  <c r="X109" i="18"/>
  <c r="X110" i="18"/>
  <c r="W38" i="18"/>
  <c r="V106" i="18"/>
  <c r="W40" i="18"/>
  <c r="V107" i="18"/>
  <c r="AB45" i="18"/>
  <c r="P31" i="11"/>
  <c r="N32" i="11"/>
  <c r="T19" i="9"/>
  <c r="D22" i="9"/>
  <c r="Y35" i="18" l="1"/>
  <c r="Y61" i="18" s="1"/>
  <c r="X60" i="18"/>
  <c r="X58" i="18"/>
  <c r="X59" i="18"/>
  <c r="X57" i="18"/>
  <c r="X49" i="18"/>
  <c r="W108" i="18"/>
  <c r="Z105" i="18"/>
  <c r="Y109" i="18"/>
  <c r="Y110" i="18"/>
  <c r="X38" i="18"/>
  <c r="W106" i="18"/>
  <c r="X40" i="18"/>
  <c r="W107" i="18"/>
  <c r="S84" i="18"/>
  <c r="AC45" i="18"/>
  <c r="AE45" i="18" s="1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R83" i="18" l="1"/>
  <c r="T84" i="18"/>
  <c r="R84" i="18" s="1"/>
  <c r="P114" i="18" s="1"/>
  <c r="Z35" i="18"/>
  <c r="Z61" i="18" s="1"/>
  <c r="Y60" i="18"/>
  <c r="Y58" i="18"/>
  <c r="Y59" i="18"/>
  <c r="Y57" i="18"/>
  <c r="Y49" i="18"/>
  <c r="X108" i="18"/>
  <c r="AA105" i="18"/>
  <c r="Z109" i="18"/>
  <c r="Z110" i="18"/>
  <c r="Y38" i="18"/>
  <c r="X106" i="18"/>
  <c r="Y40" i="18"/>
  <c r="X107" i="18"/>
  <c r="N34" i="11"/>
  <c r="O33" i="11"/>
  <c r="D25" i="8"/>
  <c r="D23" i="8"/>
  <c r="AA35" i="18" l="1"/>
  <c r="AA61" i="18" s="1"/>
  <c r="Z60" i="18"/>
  <c r="Z58" i="18"/>
  <c r="Z59" i="18"/>
  <c r="Z57" i="18"/>
  <c r="Z49" i="18"/>
  <c r="Y108" i="18"/>
  <c r="AB105" i="18"/>
  <c r="AA109" i="18"/>
  <c r="AA110" i="18"/>
  <c r="Z38" i="18"/>
  <c r="Y106" i="18"/>
  <c r="Z40" i="18"/>
  <c r="Y107" i="18"/>
  <c r="N35" i="11"/>
  <c r="O34" i="11"/>
  <c r="D35" i="8"/>
  <c r="E5" i="8"/>
  <c r="E18" i="8" s="1"/>
  <c r="D18" i="8"/>
  <c r="D19" i="8"/>
  <c r="D21" i="8"/>
  <c r="D20" i="8"/>
  <c r="AB35" i="18" l="1"/>
  <c r="AB61" i="18" s="1"/>
  <c r="AA60" i="18"/>
  <c r="AA58" i="18"/>
  <c r="AA59" i="18"/>
  <c r="AA57" i="18"/>
  <c r="AA49" i="18"/>
  <c r="Z108" i="18"/>
  <c r="AC105" i="18"/>
  <c r="AE105" i="18" s="1"/>
  <c r="AB109" i="18"/>
  <c r="AB110" i="18"/>
  <c r="AA38" i="18"/>
  <c r="Z106" i="18"/>
  <c r="AA40" i="18"/>
  <c r="Z107" i="18"/>
  <c r="N36" i="11"/>
  <c r="O35" i="11"/>
  <c r="F5" i="8"/>
  <c r="G5" i="8" s="1"/>
  <c r="H5" i="8" s="1"/>
  <c r="I5" i="8" s="1"/>
  <c r="AC61" i="18" l="1"/>
  <c r="AE61" i="18" s="1"/>
  <c r="T102" i="18" s="1"/>
  <c r="S102" i="18"/>
  <c r="R102" i="18" s="1"/>
  <c r="AB60" i="18"/>
  <c r="S100" i="18" s="1"/>
  <c r="AB58" i="18"/>
  <c r="S98" i="18" s="1"/>
  <c r="AC35" i="18"/>
  <c r="AE35" i="18" s="1"/>
  <c r="AB59" i="18"/>
  <c r="S99" i="18" s="1"/>
  <c r="AB57" i="18"/>
  <c r="S97" i="18" s="1"/>
  <c r="AC110" i="18"/>
  <c r="AE110" i="18" s="1"/>
  <c r="AC109" i="18"/>
  <c r="AE109" i="18" s="1"/>
  <c r="AB49" i="18"/>
  <c r="AA108" i="18"/>
  <c r="AB38" i="18"/>
  <c r="AA106" i="18"/>
  <c r="AB40" i="18"/>
  <c r="AA107" i="18"/>
  <c r="N37" i="11"/>
  <c r="O36" i="11"/>
  <c r="F18" i="8"/>
  <c r="G18" i="8"/>
  <c r="AC59" i="18" l="1"/>
  <c r="AE59" i="18" s="1"/>
  <c r="T99" i="18" s="1"/>
  <c r="AC58" i="18"/>
  <c r="AE58" i="18" s="1"/>
  <c r="AC57" i="18"/>
  <c r="AE57" i="18" s="1"/>
  <c r="T97" i="18" s="1"/>
  <c r="AC60" i="18"/>
  <c r="AE60" i="18" s="1"/>
  <c r="S76" i="18"/>
  <c r="AC49" i="18"/>
  <c r="AE49" i="18" s="1"/>
  <c r="AB108" i="18"/>
  <c r="AC38" i="18"/>
  <c r="AE38" i="18" s="1"/>
  <c r="T76" i="18" s="1"/>
  <c r="AB106" i="18"/>
  <c r="AC40" i="18"/>
  <c r="AE40" i="18" s="1"/>
  <c r="T78" i="18" s="1"/>
  <c r="AB107" i="18"/>
  <c r="S78" i="18"/>
  <c r="N38" i="11"/>
  <c r="O37" i="11"/>
  <c r="H18" i="8"/>
  <c r="T100" i="18" l="1"/>
  <c r="R100" i="18" s="1"/>
  <c r="T98" i="18"/>
  <c r="R98" i="18" s="1"/>
  <c r="R99" i="18"/>
  <c r="R97" i="18"/>
  <c r="R76" i="18"/>
  <c r="P115" i="18" s="1"/>
  <c r="AC107" i="18"/>
  <c r="AE107" i="18" s="1"/>
  <c r="AC108" i="18"/>
  <c r="AE108" i="18" s="1"/>
  <c r="AC106" i="18"/>
  <c r="AE106" i="18" s="1"/>
  <c r="R78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<sst xmlns="http://schemas.openxmlformats.org/spreadsheetml/2006/main" count="458" uniqueCount="308">
  <si>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</si>
  <si>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</si>
  <si>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</si>
  <si>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</si>
  <si>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</si>
  <si>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</si>
  <si>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</si>
  <si>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</si>
  <si>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</si>
  <si>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</si>
  <si>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</si>
  <si>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</si>
  <si>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</si>
  <si>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</si>
  <si>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</si>
  <si>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</si>
  <si>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</si>
  <si>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</si>
  <si>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</si>
  <si>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</si>
  <si>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</si>
  <si>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</si>
  <si>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</si>
  <si>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</si>
  <si>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</si>
  <si>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</si>
  <si>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</si>
  <si>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</si>
  <si>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</si>
  <si>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</si>
  <si>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</si>
  <si>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</si>
  <si>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</si>
  <si>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</si>
  <si>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</si>
  <si>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</si>
  <si>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</si>
  <si>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</si>
  <si>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</si>
  <si>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</si>
  <si>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</si>
  <si>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</si>
  <si>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</si>
  <si>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</si>
  <si>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</si>
  <si>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</si>
  <si>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</si>
  <si>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</si>
  <si>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</si>
  <si>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</si>
  <si>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</si>
  <si>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</si>
  <si>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</si>
  <si>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</si>
  <si>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</si>
  <si>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</si>
  <si>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</si>
  <si>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</si>
  <si>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</si>
  <si>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</si>
  <si>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</si>
  <si>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</si>
  <si>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</si>
  <si>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</si>
  <si>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</si>
  <si>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</si>
  <si>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</si>
  <si>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</si>
  <si>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</si>
  <si>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</si>
  <si>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</si>
  <si>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</si>
  <si>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</si>
  <si>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</si>
  <si>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</si>
  <si>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</si>
  <si>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</si>
  <si>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</si>
  <si>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</si>
  <si>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</si>
  <si>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</si>
  <si>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</si>
  <si>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</si>
  <si>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</si>
  <si>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</si>
  <si>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</si>
  <si>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</si>
  <si>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</si>
  <si>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</si>
  <si>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</si>
  <si>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</si>
  <si>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</si>
  <si>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</si>
  <si>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</si>
  <si>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</si>
  <si>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</si>
  <si>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</si>
  <si>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</si>
  <si>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</si>
  <si>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</si>
  <si>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</si>
  <si>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</si>
  <si>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</si>
  <si>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</si>
  <si>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</si>
  <si>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</si>
  <si>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</si>
  <si>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</si>
  <si>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</si>
  <si>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</si>
  <si>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</si>
  <si>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</si>
  <si>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</si>
  <si>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</si>
  <si>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</si>
  <si>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</si>
  <si>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</si>
  <si>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</si>
  <si>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</si>
  <si>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</si>
  <si>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</si>
  <si>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</si>
  <si>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</si>
  <si>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</si>
  <si>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</si>
  <si>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</si>
  <si>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</si>
  <si>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</si>
  <si>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</si>
  <si>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</si>
  <si>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</si>
  <si>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</si>
  <si>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</si>
  <si>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</si>
  <si>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</si>
  <si>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</si>
  <si>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</si>
  <si>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</si>
  <si>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</si>
  <si>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</si>
  <si>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</si>
  <si>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</si>
  <si>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</si>
  <si>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</si>
  <si>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</si>
  <si>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</si>
  <si>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</si>
  <si>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</si>
  <si>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</si>
  <si>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</si>
  <si>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</si>
  <si>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</si>
  <si>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</si>
  <si>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</si>
  <si>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</si>
  <si>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</si>
  <si>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</si>
  <si>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</si>
  <si>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</si>
  <si>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</si>
  <si>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</si>
  <si>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</si>
  <si>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</si>
  <si>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</si>
  <si>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</si>
  <si>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</si>
  <si>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</si>
  <si>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</si>
  <si>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</si>
  <si>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</si>
  <si>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</si>
  <si>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</si>
  <si>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</si>
  <si>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</si>
  <si>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</si>
  <si>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</si>
  <si>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</si>
  <si>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</si>
  <si>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</si>
  <si>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</si>
  <si>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</si>
  <si>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</si>
  <si>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</si>
  <si>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</si>
  <si>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</si>
  <si>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</si>
  <si>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</si>
  <si>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</si>
  <si>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</si>
  <si>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</si>
  <si>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</si>
  <si>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</si>
  <si>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</si>
  <si>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</si>
  <si>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</si>
  <si>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</si>
  <si>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</si>
  <si>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</si>
  <si>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</si>
  <si>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</si>
  <si>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</si>
  <si>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</si>
  <si>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</si>
  <si>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</si>
  <si>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</si>
  <si>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</si>
  <si>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</si>
  <si>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</si>
  <si>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</si>
  <si>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</si>
  <si>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</si>
  <si>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</si>
  <si>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</si>
  <si>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</si>
  <si>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</si>
  <si>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</si>
  <si>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</si>
  <si>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</si>
  <si>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</si>
  <si>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</si>
  <si>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</si>
  <si>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</si>
  <si>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</si>
  <si>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</si>
  <si>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</si>
  <si>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</si>
  <si>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</si>
  <si>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</si>
  <si>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</si>
  <si>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</si>
  <si>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</si>
  <si>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</si>
  <si>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</si>
  <si>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</si>
  <si>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</si>
  <si>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</si>
  <si>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</si>
  <si>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</si>
  <si>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</si>
  <si>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</si>
  <si>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</si>
  <si>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</si>
  <si>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</si>
  <si>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</si>
  <si>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</si>
  <si>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</si>
  <si>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</si>
  <si>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</si>
  <si>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</si>
  <si>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</si>
  <si>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</si>
  <si>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</si>
  <si>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</si>
  <si>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</si>
  <si>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</si>
  <si>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</si>
  <si>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</si>
  <si>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</si>
  <si>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</si>
  <si>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</si>
  <si>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</si>
  <si>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</si>
  <si>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</si>
  <si>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</si>
  <si>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</si>
  <si>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</si>
  <si>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</si>
  <si>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</si>
  <si>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</si>
  <si>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</si>
  <si>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</si>
  <si>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</si>
  <si>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</si>
  <si>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</si>
  <si>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</si>
  <si>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</si>
  <si>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</si>
  <si>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</si>
  <si>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</si>
  <si>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Top Expenses ( Raw Materials )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</si>
  <si>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</si>
  <si>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</si>
  <si>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</si>
  <si>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</si>
  <si>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</si>
  <si>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</si>
  <si>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</si>
  <si>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</si>
  <si>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- Investments) per share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</si>
  <si>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</si>
  <si>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</si>
  <si>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</si>
  <si>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</si>
  <si>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</si>
  <si>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</si>
  <si>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</si>
  <si>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</si>
  <si>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</si>
  <si>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</si>
  <si>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</si>
  <si>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</si>
  <si>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</si>
  <si>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</si>
  <si>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</si>
  <si>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</si>
  <si>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</si>
  <si>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2nd highest Expenses Comp. ( Power )</t>
  </si>
  <si>
    <t>if NEGATIVE then stock is NOT in discount; If POSITIVE stock is available in DISCOUNT - preferred is &gt; 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</si>
</sst>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56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1" fontId="8" fillId="5" borderId="1" xfId="2" applyNumberFormat="1" applyFont="1" applyFill="1" applyBorder="1"/>
    <xf numFmtId="172" fontId="8" fillId="5" borderId="1" xfId="0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40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5091072"/>
        <c:axId val="65092608"/>
      </c:lineChart>
      <c:catAx>
        <c:axId val="65091072"/>
        <c:scaling>
          <c:orientation val="minMax"/>
        </c:scaling>
        <c:delete val="0"/>
        <c:axPos val="b"/>
        <c:majorTickMark val="out"/>
        <c:minorTickMark val="none"/>
        <c:tickLblPos val="nextTo"/>
        <c:crossAx val="65092608"/>
        <c:crosses val="autoZero"/>
        <c:auto val="1"/>
        <c:lblAlgn val="ctr"/>
        <c:lblOffset val="100"/>
        <c:noMultiLvlLbl val="0"/>
      </c:catAx>
      <c:valAx>
        <c:axId val="6509260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65091072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056" l="0.70000000000000051" r="0.70000000000000051" t="0.75000000000000056" header="0.30000000000000027" footer="0.30000000000000027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13" zoomScale="80" zoomScaleNormal="80" workbookViewId="0">
      <selection activeCell="C28" sqref="C28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281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-2.66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-2.66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0">
        <v>-2.66</v>
      </c>
      <c r="D12" s="20"/>
      <c r="E12" s="20"/>
      <c r="F12" s="20"/>
      <c r="G12" s="20"/>
    </row>
    <row r="13" spans="2:7" x14ac:dyDescent="0.2">
      <c r="B13" s="20" t="s">
        <v>102</v>
      </c>
      <c r="C13" s="130">
        <v>28</v>
      </c>
      <c r="D13" s="20"/>
      <c r="E13" s="20"/>
      <c r="F13" s="20"/>
      <c r="G13" s="20"/>
    </row>
    <row r="14" spans="2:7" x14ac:dyDescent="0.2">
      <c r="B14" s="20" t="s">
        <v>103</v>
      </c>
      <c r="C14" s="130">
        <v>1000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0">
        <v>14</v>
      </c>
      <c r="D23" s="20"/>
      <c r="E23" s="20"/>
      <c r="F23" s="20"/>
      <c r="G23" s="20"/>
    </row>
    <row r="24" spans="2:7" x14ac:dyDescent="0.2">
      <c r="B24" s="20" t="s">
        <v>114</v>
      </c>
      <c r="C24" s="130">
        <v>-2.66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 x14ac:dyDescent="0.2">
      <c r="B26" s="20" t="s">
        <v>77</v>
      </c>
      <c r="C26" s="130">
        <v>15</v>
      </c>
      <c r="D26" s="20"/>
      <c r="E26" s="20"/>
      <c r="F26" s="20"/>
      <c r="G26" s="20"/>
    </row>
    <row r="27" spans="2:7" x14ac:dyDescent="0.2">
      <c r="B27" s="20" t="s">
        <v>229</v>
      </c>
      <c r="C27" s="131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2"/>
      <c r="D31" s="20"/>
      <c r="E31" s="20"/>
      <c r="F31" s="20"/>
      <c r="G31" s="20"/>
    </row>
    <row r="32" spans="2:7" x14ac:dyDescent="0.2">
      <c r="B32" s="20" t="s">
        <v>268</v>
      </c>
      <c r="C32" s="132">
        <v>3.44E-2</v>
      </c>
      <c r="D32" s="20"/>
      <c r="E32" s="20"/>
      <c r="F32" s="20"/>
      <c r="G32" s="20"/>
    </row>
    <row r="33" spans="2:7" x14ac:dyDescent="0.2">
      <c r="B33" s="20" t="s">
        <v>267</v>
      </c>
      <c r="C33" s="132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0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0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0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0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0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0">
        <v>281.95</v>
      </c>
      <c r="D43" s="20"/>
      <c r="E43" s="20"/>
      <c r="F43" s="20"/>
      <c r="G43" s="20"/>
    </row>
    <row r="44" spans="2:7" x14ac:dyDescent="0.2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0">
        <v>171.6</v>
      </c>
      <c r="D47" s="20"/>
      <c r="E47" s="20"/>
      <c r="F47" s="20"/>
      <c r="G47" s="20"/>
    </row>
    <row r="48" spans="2:7" x14ac:dyDescent="0.2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0">
        <v>110.33</v>
      </c>
      <c r="D51" s="20"/>
      <c r="E51" s="20"/>
      <c r="F51" s="20"/>
      <c r="G51" s="20"/>
    </row>
    <row r="52" spans="2:7" x14ac:dyDescent="0.2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0">
        <v>1320.99</v>
      </c>
      <c r="D55" s="20"/>
      <c r="E55" s="20"/>
      <c r="F55" s="20"/>
      <c r="G55" s="20"/>
    </row>
    <row r="56" spans="2:7" x14ac:dyDescent="0.2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E115"/>
  <sheetViews>
    <sheetView tabSelected="1" zoomScale="80" zoomScaleNormal="8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30" sqref="C30"/>
    </sheetView>
  </sheetViews>
  <sheetFormatPr defaultRowHeight="12.75" x14ac:dyDescent="0.2"/>
  <cols>
    <col min="1" max="1" width="2.42578125" style="104" customWidth="1"/>
    <col min="2" max="2" width="37.7109375" style="104" customWidth="1"/>
    <col min="3" max="4" width="8.140625" style="104" bestFit="1" customWidth="1"/>
    <col min="5" max="9" width="8.7109375" style="104" bestFit="1" customWidth="1"/>
    <col min="10" max="11" width="13" style="104" bestFit="1" customWidth="1"/>
    <col min="12" max="14" width="11.5703125" style="104" bestFit="1" customWidth="1"/>
    <col min="15" max="15" width="10.85546875" style="104" bestFit="1" customWidth="1"/>
    <col min="16" max="16" width="11.5703125" style="104" bestFit="1" customWidth="1"/>
    <col min="17" max="17" width="10.85546875" style="104" bestFit="1" customWidth="1"/>
    <col min="18" max="18" width="17.140625" style="104" bestFit="1" customWidth="1"/>
    <col min="19" max="19" width="12" style="104" bestFit="1" customWidth="1"/>
    <col min="20" max="20" width="10.85546875" style="104" bestFit="1" customWidth="1"/>
    <col min="21" max="29" width="9.140625" style="104"/>
    <col min="30" max="30" width="9.85546875" style="104" customWidth="1"/>
    <col min="31" max="31" width="12.28515625" style="104" bestFit="1" customWidth="1"/>
    <col min="32" max="16384" width="9.140625" style="104"/>
  </cols>
  <sheetData>
    <row r="2" spans="2:31" x14ac:dyDescent="0.2">
      <c r="B2" s="123" t="s">
        <v>241</v>
      </c>
      <c r="C2" s="124">
        <v>0.15</v>
      </c>
      <c r="F2" s="104" t="s">
        <v>252</v>
      </c>
      <c r="H2" s="126">
        <v>2004</v>
      </c>
    </row>
    <row r="3" spans="2:31" x14ac:dyDescent="0.2">
      <c r="C3" s="120"/>
      <c r="F3" s="104" t="s">
        <v>253</v>
      </c>
      <c r="H3" s="126">
        <v>2013</v>
      </c>
      <c r="S3" s="115" t="s">
        <v>11</v>
      </c>
      <c r="T3" s="115" t="s">
        <v>12</v>
      </c>
      <c r="U3" s="115" t="s">
        <v>13</v>
      </c>
      <c r="V3" s="115" t="s">
        <v>14</v>
      </c>
      <c r="W3" s="115" t="s">
        <v>15</v>
      </c>
      <c r="X3" s="115" t="s">
        <v>234</v>
      </c>
      <c r="Y3" s="115" t="s">
        <v>235</v>
      </c>
      <c r="Z3" s="115" t="s">
        <v>236</v>
      </c>
      <c r="AA3" s="115" t="s">
        <v>237</v>
      </c>
      <c r="AB3" s="115" t="s">
        <v>238</v>
      </c>
      <c r="AD3" s="23" t="s">
        <v>293</v>
      </c>
      <c r="AE3" s="20"/>
    </row>
    <row r="4" spans="2:31" x14ac:dyDescent="0.2">
      <c r="B4" s="20"/>
      <c r="C4" s="114">
        <v>2000</v>
      </c>
      <c r="D4" s="114">
        <v>2001</v>
      </c>
      <c r="E4" s="114">
        <v>2002</v>
      </c>
      <c r="F4" s="114">
        <v>2003</v>
      </c>
      <c r="G4" s="114">
        <v>2004</v>
      </c>
      <c r="H4" s="114">
        <v>2005</v>
      </c>
      <c r="I4" s="114">
        <v>2006</v>
      </c>
      <c r="J4" s="114">
        <v>2007</v>
      </c>
      <c r="K4" s="114">
        <v>2008</v>
      </c>
      <c r="L4" s="114">
        <v>2009</v>
      </c>
      <c r="M4" s="114">
        <v>2010</v>
      </c>
      <c r="N4" s="114">
        <v>2011</v>
      </c>
      <c r="O4" s="114">
        <v>2012</v>
      </c>
      <c r="P4" s="114">
        <v>2013</v>
      </c>
      <c r="Q4" s="116" t="s">
        <v>1</v>
      </c>
      <c r="R4" s="116" t="s">
        <v>254</v>
      </c>
      <c r="S4" s="115">
        <v>2014</v>
      </c>
      <c r="T4" s="115">
        <v>2015</v>
      </c>
      <c r="U4" s="115">
        <v>2016</v>
      </c>
      <c r="V4" s="115">
        <v>2017</v>
      </c>
      <c r="W4" s="115">
        <v>2018</v>
      </c>
      <c r="X4" s="115">
        <v>2019</v>
      </c>
      <c r="Y4" s="115">
        <v>2020</v>
      </c>
      <c r="Z4" s="115">
        <v>2021</v>
      </c>
      <c r="AA4" s="115">
        <v>2022</v>
      </c>
      <c r="AB4" s="115">
        <v>2023</v>
      </c>
      <c r="AC4" s="136" t="s">
        <v>1</v>
      </c>
      <c r="AD4" s="20" t="s">
        <v>294</v>
      </c>
      <c r="AE4" s="20"/>
    </row>
    <row r="5" spans="2:31" x14ac:dyDescent="0.2"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117"/>
      <c r="T5" s="117"/>
      <c r="U5" s="117"/>
      <c r="V5" s="117"/>
      <c r="W5" s="117"/>
      <c r="X5" s="117"/>
      <c r="Y5" s="117"/>
      <c r="Z5" s="117"/>
      <c r="AA5" s="117"/>
      <c r="AB5" s="117"/>
      <c r="AC5" s="137"/>
      <c r="AD5" s="20"/>
      <c r="AE5" s="20"/>
    </row>
    <row r="6" spans="2:31" x14ac:dyDescent="0.2">
      <c r="B6" s="108" t="s">
        <v>242</v>
      </c>
      <c r="C6" s="20"/>
      <c r="D6" s="20"/>
      <c r="E6" s="148"/>
      <c r="F6" s="148"/>
      <c r="G6" s="148"/>
      <c r="H6" s="148"/>
      <c r="I6" s="148"/>
      <c r="J6" s="148"/>
      <c r="K6" s="148"/>
      <c r="L6" s="148"/>
      <c r="M6" s="148"/>
      <c r="N6" s="148"/>
      <c r="O6" s="148"/>
      <c r="P6" s="148"/>
      <c r="Q6" s="20"/>
      <c r="R6" s="20"/>
      <c r="S6" s="117"/>
      <c r="T6" s="117"/>
      <c r="U6" s="117"/>
      <c r="V6" s="117"/>
      <c r="W6" s="117"/>
      <c r="X6" s="117"/>
      <c r="Y6" s="117"/>
      <c r="Z6" s="117"/>
      <c r="AA6" s="117"/>
      <c r="AB6" s="117"/>
      <c r="AC6" s="137"/>
      <c r="AD6" s="20"/>
      <c r="AE6" s="20"/>
    </row>
    <row r="7" spans="2:31" x14ac:dyDescent="0.2">
      <c r="B7" s="20" t="s">
        <v>16</v>
      </c>
      <c r="C7" s="141"/>
      <c r="D7" s="141"/>
      <c r="E7" s="149"/>
      <c r="F7" s="149"/>
      <c r="G7" s="149">
        <v>33621</v>
      </c>
      <c r="H7" s="149">
        <v>36588</v>
      </c>
      <c r="I7" s="149">
        <v>44647</v>
      </c>
      <c r="J7" s="149">
        <v>63776</v>
      </c>
      <c r="K7" s="149">
        <v>81166</v>
      </c>
      <c r="L7" s="149">
        <v>107573</v>
      </c>
      <c r="M7" s="149">
        <v>128611</v>
      </c>
      <c r="N7" s="149">
        <v>145016</v>
      </c>
      <c r="O7" s="149">
        <v>162726</v>
      </c>
      <c r="P7" s="149">
        <v>179094</v>
      </c>
      <c r="Q7" s="118">
        <f>((P7/G7)^(1/($H$3-$H$2) ))-1</f>
        <v>0.20425632061319687</v>
      </c>
      <c r="R7" s="31">
        <v>0.1</v>
      </c>
      <c r="S7" s="119">
        <f>P7*(1+$R7)</f>
        <v>197003.40000000002</v>
      </c>
      <c r="T7" s="119">
        <f>S7*(1+$R7)</f>
        <v>216703.74000000005</v>
      </c>
      <c r="U7" s="119">
        <f t="shared" ref="U7:AB7" si="0">T7*(1+$R7)</f>
        <v>238374.11400000006</v>
      </c>
      <c r="V7" s="119">
        <f t="shared" si="0"/>
        <v>262211.5254000001</v>
      </c>
      <c r="W7" s="119">
        <f t="shared" si="0"/>
        <v>288432.67794000014</v>
      </c>
      <c r="X7" s="119">
        <f t="shared" si="0"/>
        <v>317275.94573400018</v>
      </c>
      <c r="Y7" s="119">
        <f t="shared" si="0"/>
        <v>349003.54030740022</v>
      </c>
      <c r="Z7" s="119">
        <f t="shared" si="0"/>
        <v>383903.89433814026</v>
      </c>
      <c r="AA7" s="119">
        <f t="shared" si="0"/>
        <v>422294.2837719543</v>
      </c>
      <c r="AB7" s="119">
        <f t="shared" si="0"/>
        <v>464523.7121491498</v>
      </c>
      <c r="AC7" s="138">
        <f>((AB7/G7)^(1/($AB$4-$H$2) ))-1</f>
        <v>0.14820889904960577</v>
      </c>
      <c r="AD7" s="31">
        <v>0.08</v>
      </c>
      <c r="AE7" s="127">
        <f>(AB7*(1+AC7))/($C$2-AD7)</f>
        <v>7619575.1444173055</v>
      </c>
    </row>
    <row r="8" spans="2:31" x14ac:dyDescent="0.2">
      <c r="B8" s="20" t="s">
        <v>240</v>
      </c>
      <c r="C8" s="141"/>
      <c r="D8" s="141"/>
      <c r="E8" s="149"/>
      <c r="F8" s="149"/>
      <c r="G8" s="149">
        <v>35017</v>
      </c>
      <c r="H8" s="149">
        <v>40711</v>
      </c>
      <c r="I8" s="149">
        <v>51018</v>
      </c>
      <c r="J8" s="149">
        <v>68209</v>
      </c>
      <c r="K8" s="149">
        <v>85500</v>
      </c>
      <c r="L8" s="149">
        <v>121246</v>
      </c>
      <c r="M8" s="149">
        <v>141002</v>
      </c>
      <c r="N8" s="149">
        <v>154083</v>
      </c>
      <c r="O8" s="149">
        <v>169445</v>
      </c>
      <c r="P8" s="149">
        <v>182055</v>
      </c>
      <c r="Q8" s="118">
        <f>((P8/G8)^(1/($H$3-$H$2) ))-1</f>
        <v>0.20101124855084529</v>
      </c>
      <c r="R8" s="31">
        <v>0.1</v>
      </c>
      <c r="S8" s="119">
        <f t="shared" ref="S8:S15" si="1">P8*(1+$R8)</f>
        <v>200260.50000000003</v>
      </c>
      <c r="T8" s="119">
        <f t="shared" ref="T8:AB8" si="2">S8*(1+$R8)</f>
        <v>220286.55000000005</v>
      </c>
      <c r="U8" s="119">
        <f t="shared" si="2"/>
        <v>242315.20500000007</v>
      </c>
      <c r="V8" s="119">
        <f t="shared" si="2"/>
        <v>266546.72550000012</v>
      </c>
      <c r="W8" s="119">
        <f t="shared" si="2"/>
        <v>293201.39805000013</v>
      </c>
      <c r="X8" s="119">
        <f t="shared" si="2"/>
        <v>322521.53785500018</v>
      </c>
      <c r="Y8" s="119">
        <f t="shared" si="2"/>
        <v>354773.69164050021</v>
      </c>
      <c r="Z8" s="119">
        <f t="shared" si="2"/>
        <v>390251.06080455024</v>
      </c>
      <c r="AA8" s="119">
        <f t="shared" si="2"/>
        <v>429276.16688500531</v>
      </c>
      <c r="AB8" s="119">
        <f t="shared" si="2"/>
        <v>472203.78357350588</v>
      </c>
      <c r="AC8" s="138">
        <f>((AB8/G8)^(1/($AB$4-$H$2) ))-1</f>
        <v>0.14674225910196692</v>
      </c>
      <c r="AD8" s="31">
        <v>0.08</v>
      </c>
      <c r="AE8" s="127">
        <f>(AB8*(1+AC8))/($C$2-AD8)</f>
        <v>7735657.6218796922</v>
      </c>
    </row>
    <row r="9" spans="2:31" x14ac:dyDescent="0.2">
      <c r="B9" s="20"/>
      <c r="C9" s="141"/>
      <c r="D9" s="141"/>
      <c r="E9" s="149"/>
      <c r="F9" s="149"/>
      <c r="G9" s="149"/>
      <c r="H9" s="149"/>
      <c r="I9" s="149"/>
      <c r="J9" s="149"/>
      <c r="K9" s="149"/>
      <c r="L9" s="149"/>
      <c r="M9" s="149"/>
      <c r="N9" s="149"/>
      <c r="O9" s="149"/>
      <c r="P9" s="149"/>
      <c r="Q9" s="20"/>
      <c r="R9" s="20"/>
      <c r="S9" s="119"/>
      <c r="T9" s="119"/>
      <c r="U9" s="119"/>
      <c r="V9" s="119"/>
      <c r="W9" s="119"/>
      <c r="X9" s="119"/>
      <c r="Y9" s="119"/>
      <c r="Z9" s="119"/>
      <c r="AA9" s="119"/>
      <c r="AB9" s="119"/>
      <c r="AC9" s="139"/>
      <c r="AD9" s="20"/>
      <c r="AE9" s="20"/>
    </row>
    <row r="10" spans="2:31" x14ac:dyDescent="0.2">
      <c r="B10" s="20" t="s">
        <v>270</v>
      </c>
      <c r="C10" s="141"/>
      <c r="D10" s="141"/>
      <c r="E10" s="149"/>
      <c r="F10" s="149"/>
      <c r="G10" s="149">
        <v>13919</v>
      </c>
      <c r="H10" s="149">
        <v>18296</v>
      </c>
      <c r="I10" s="149">
        <v>17963</v>
      </c>
      <c r="J10" s="149">
        <v>25489</v>
      </c>
      <c r="K10" s="149">
        <v>32022</v>
      </c>
      <c r="L10" s="149">
        <v>46404</v>
      </c>
      <c r="M10" s="149">
        <v>50593</v>
      </c>
      <c r="N10" s="149">
        <v>65194</v>
      </c>
      <c r="O10" s="149">
        <v>72257</v>
      </c>
      <c r="P10" s="149">
        <v>84943</v>
      </c>
      <c r="Q10" s="118">
        <f t="shared" ref="Q10:Q15" si="3">((P10/G10)^(1/($H$3-$H$2) ))-1</f>
        <v>0.22258750000486716</v>
      </c>
      <c r="R10" s="31">
        <v>0.1</v>
      </c>
      <c r="S10" s="119">
        <f t="shared" ref="S10" si="4">P10*(1+$R10)</f>
        <v>93437.3</v>
      </c>
      <c r="T10" s="119">
        <f t="shared" ref="T10" si="5">S10*(1+$R10)</f>
        <v>102781.03000000001</v>
      </c>
      <c r="U10" s="119">
        <f t="shared" ref="U10" si="6">T10*(1+$R10)</f>
        <v>113059.13300000003</v>
      </c>
      <c r="V10" s="119">
        <f t="shared" ref="V10" si="7">U10*(1+$R10)</f>
        <v>124365.04630000005</v>
      </c>
      <c r="W10" s="119">
        <f t="shared" ref="W10" si="8">V10*(1+$R10)</f>
        <v>136801.55093000006</v>
      </c>
      <c r="X10" s="119">
        <f t="shared" ref="X10" si="9">W10*(1+$R10)</f>
        <v>150481.70602300006</v>
      </c>
      <c r="Y10" s="119">
        <f t="shared" ref="Y10" si="10">X10*(1+$R10)</f>
        <v>165529.87662530009</v>
      </c>
      <c r="Z10" s="119">
        <f t="shared" ref="Z10" si="11">Y10*(1+$R10)</f>
        <v>182082.86428783013</v>
      </c>
      <c r="AA10" s="119">
        <f t="shared" ref="AA10" si="12">Z10*(1+$R10)</f>
        <v>200291.15071661316</v>
      </c>
      <c r="AB10" s="119">
        <f t="shared" ref="AB10" si="13">AA10*(1+$R10)</f>
        <v>220320.2657882745</v>
      </c>
      <c r="AC10" s="138">
        <f>((AB10/G10)^(1/($AB$4-$H$2) ))-1</f>
        <v>0.15645505423195227</v>
      </c>
      <c r="AD10" s="31">
        <v>0.08</v>
      </c>
      <c r="AE10" s="127">
        <f t="shared" ref="AE10:AE15" si="14">(AB10*(1+AC10))/($C$2-AD10)</f>
        <v>3639864.0702939592</v>
      </c>
    </row>
    <row r="11" spans="2:31" x14ac:dyDescent="0.2">
      <c r="B11" s="20" t="s">
        <v>4</v>
      </c>
      <c r="C11" s="141"/>
      <c r="D11" s="141"/>
      <c r="E11" s="149"/>
      <c r="F11" s="149"/>
      <c r="G11" s="149">
        <v>21016</v>
      </c>
      <c r="H11" s="149">
        <v>18817</v>
      </c>
      <c r="I11" s="149">
        <v>23342</v>
      </c>
      <c r="J11" s="149">
        <v>33651</v>
      </c>
      <c r="K11" s="149">
        <v>50696</v>
      </c>
      <c r="L11" s="149">
        <v>76256</v>
      </c>
      <c r="M11" s="149">
        <v>64605</v>
      </c>
      <c r="N11" s="149">
        <v>84106</v>
      </c>
      <c r="O11" s="149">
        <v>82635</v>
      </c>
      <c r="P11" s="149">
        <v>89322</v>
      </c>
      <c r="Q11" s="118">
        <f t="shared" si="3"/>
        <v>0.17441922845681557</v>
      </c>
      <c r="R11" s="31">
        <v>0.1</v>
      </c>
      <c r="S11" s="119">
        <f t="shared" si="1"/>
        <v>98254.200000000012</v>
      </c>
      <c r="T11" s="119">
        <f t="shared" ref="T11:AB11" si="15">S11*(1+$R11)</f>
        <v>108079.62000000002</v>
      </c>
      <c r="U11" s="119">
        <f t="shared" si="15"/>
        <v>118887.58200000004</v>
      </c>
      <c r="V11" s="119">
        <f t="shared" si="15"/>
        <v>130776.34020000005</v>
      </c>
      <c r="W11" s="119">
        <f t="shared" si="15"/>
        <v>143853.97422000006</v>
      </c>
      <c r="X11" s="119">
        <f t="shared" si="15"/>
        <v>158239.37164200007</v>
      </c>
      <c r="Y11" s="119">
        <f t="shared" si="15"/>
        <v>174063.3088062001</v>
      </c>
      <c r="Z11" s="119">
        <f t="shared" si="15"/>
        <v>191469.63968682013</v>
      </c>
      <c r="AA11" s="119">
        <f t="shared" si="15"/>
        <v>210616.60365550214</v>
      </c>
      <c r="AB11" s="119">
        <f t="shared" si="15"/>
        <v>231678.26402105237</v>
      </c>
      <c r="AC11" s="138">
        <f t="shared" ref="AC11:AC35" si="16">((AB11/G11)^(1/($AB$4-$H$2) ))-1</f>
        <v>0.13464433455420877</v>
      </c>
      <c r="AD11" s="31">
        <v>0.08</v>
      </c>
      <c r="AE11" s="127">
        <f t="shared" si="14"/>
        <v>3755320.4244405902</v>
      </c>
    </row>
    <row r="12" spans="2:31" x14ac:dyDescent="0.2">
      <c r="B12" s="20" t="s">
        <v>2</v>
      </c>
      <c r="C12" s="141"/>
      <c r="D12" s="141"/>
      <c r="E12" s="149"/>
      <c r="F12" s="149"/>
      <c r="G12" s="149">
        <v>270</v>
      </c>
      <c r="H12" s="149">
        <v>385</v>
      </c>
      <c r="I12" s="149">
        <v>259</v>
      </c>
      <c r="J12" s="149">
        <v>409</v>
      </c>
      <c r="K12" s="149">
        <v>388</v>
      </c>
      <c r="L12" s="149">
        <v>805.31</v>
      </c>
      <c r="M12" s="149">
        <v>664</v>
      </c>
      <c r="N12" s="149">
        <v>874</v>
      </c>
      <c r="O12" s="149">
        <v>1446</v>
      </c>
      <c r="P12" s="149">
        <v>50456</v>
      </c>
      <c r="Q12" s="118">
        <f t="shared" si="3"/>
        <v>0.78811044192930235</v>
      </c>
      <c r="R12" s="31">
        <v>0.1</v>
      </c>
      <c r="S12" s="119">
        <f t="shared" si="1"/>
        <v>55501.600000000006</v>
      </c>
      <c r="T12" s="119">
        <f t="shared" ref="T12:AB12" si="17">S12*(1+$R12)</f>
        <v>61051.760000000009</v>
      </c>
      <c r="U12" s="119">
        <f t="shared" si="17"/>
        <v>67156.936000000016</v>
      </c>
      <c r="V12" s="119">
        <f t="shared" si="17"/>
        <v>73872.629600000029</v>
      </c>
      <c r="W12" s="119">
        <f t="shared" si="17"/>
        <v>81259.892560000037</v>
      </c>
      <c r="X12" s="119">
        <f t="shared" si="17"/>
        <v>89385.881816000052</v>
      </c>
      <c r="Y12" s="119">
        <f t="shared" si="17"/>
        <v>98324.46999760007</v>
      </c>
      <c r="Z12" s="119">
        <f t="shared" si="17"/>
        <v>108156.91699736008</v>
      </c>
      <c r="AA12" s="119">
        <f t="shared" si="17"/>
        <v>118972.6086970961</v>
      </c>
      <c r="AB12" s="119">
        <f t="shared" si="17"/>
        <v>130869.86956680572</v>
      </c>
      <c r="AC12" s="138">
        <f t="shared" si="16"/>
        <v>0.38465263703694119</v>
      </c>
      <c r="AD12" s="31">
        <v>0.08</v>
      </c>
      <c r="AE12" s="127">
        <f t="shared" si="14"/>
        <v>2588704.4286336871</v>
      </c>
    </row>
    <row r="13" spans="2:31" x14ac:dyDescent="0.2">
      <c r="B13" s="20" t="s">
        <v>218</v>
      </c>
      <c r="C13" s="141"/>
      <c r="D13" s="141"/>
      <c r="E13" s="149"/>
      <c r="F13" s="149"/>
      <c r="G13" s="149">
        <v>18428</v>
      </c>
      <c r="H13" s="149">
        <v>23083</v>
      </c>
      <c r="I13" s="149">
        <v>6666</v>
      </c>
      <c r="J13" s="149">
        <v>5268</v>
      </c>
      <c r="K13" s="149">
        <v>9522</v>
      </c>
      <c r="L13" s="149">
        <v>6435</v>
      </c>
      <c r="M13" s="149">
        <v>9138</v>
      </c>
      <c r="N13" s="149">
        <v>16963</v>
      </c>
      <c r="O13" s="149">
        <v>38596</v>
      </c>
      <c r="P13" s="149">
        <v>42848</v>
      </c>
      <c r="Q13" s="118">
        <f t="shared" si="3"/>
        <v>9.8289743649686123E-2</v>
      </c>
      <c r="R13" s="31">
        <v>0.1</v>
      </c>
      <c r="S13" s="119">
        <f t="shared" si="1"/>
        <v>47132.800000000003</v>
      </c>
      <c r="T13" s="119">
        <f t="shared" ref="T13:AB13" si="18">S13*(1+$R13)</f>
        <v>51846.080000000009</v>
      </c>
      <c r="U13" s="119">
        <f t="shared" si="18"/>
        <v>57030.688000000016</v>
      </c>
      <c r="V13" s="119">
        <f t="shared" si="18"/>
        <v>62733.756800000025</v>
      </c>
      <c r="W13" s="119">
        <f t="shared" si="18"/>
        <v>69007.132480000029</v>
      </c>
      <c r="X13" s="119">
        <f t="shared" si="18"/>
        <v>75907.845728000044</v>
      </c>
      <c r="Y13" s="119">
        <f t="shared" si="18"/>
        <v>83498.630300800054</v>
      </c>
      <c r="Z13" s="119">
        <f t="shared" si="18"/>
        <v>91848.493330880068</v>
      </c>
      <c r="AA13" s="119">
        <f t="shared" si="18"/>
        <v>101033.34266396808</v>
      </c>
      <c r="AB13" s="119">
        <f t="shared" si="18"/>
        <v>111136.67693036491</v>
      </c>
      <c r="AC13" s="138">
        <f t="shared" si="16"/>
        <v>9.918954684545489E-2</v>
      </c>
      <c r="AD13" s="31">
        <v>0.08</v>
      </c>
      <c r="AE13" s="127">
        <f t="shared" si="14"/>
        <v>1745146.7650428219</v>
      </c>
    </row>
    <row r="14" spans="2:31" x14ac:dyDescent="0.2">
      <c r="B14" s="20" t="s">
        <v>19</v>
      </c>
      <c r="C14" s="141"/>
      <c r="D14" s="141"/>
      <c r="E14" s="149"/>
      <c r="F14" s="149"/>
      <c r="G14" s="149">
        <v>10773</v>
      </c>
      <c r="H14" s="149">
        <v>11726</v>
      </c>
      <c r="I14" s="149">
        <v>14956</v>
      </c>
      <c r="J14" s="149">
        <v>16697</v>
      </c>
      <c r="K14" s="149">
        <v>25583</v>
      </c>
      <c r="L14" s="149">
        <v>59842</v>
      </c>
      <c r="M14" s="149">
        <v>74104</v>
      </c>
      <c r="N14" s="149">
        <v>104119</v>
      </c>
      <c r="O14" s="149">
        <v>124916</v>
      </c>
      <c r="P14" s="149">
        <v>136070</v>
      </c>
      <c r="Q14" s="118">
        <f t="shared" si="3"/>
        <v>0.32550275918844718</v>
      </c>
      <c r="R14" s="31">
        <v>0.1</v>
      </c>
      <c r="S14" s="119">
        <f t="shared" si="1"/>
        <v>149677</v>
      </c>
      <c r="T14" s="119">
        <f t="shared" ref="T14:AB14" si="19">S14*(1+$R14)</f>
        <v>164644.70000000001</v>
      </c>
      <c r="U14" s="119">
        <f t="shared" si="19"/>
        <v>181109.17000000004</v>
      </c>
      <c r="V14" s="119">
        <f t="shared" si="19"/>
        <v>199220.08700000006</v>
      </c>
      <c r="W14" s="119">
        <f t="shared" si="19"/>
        <v>219142.09570000009</v>
      </c>
      <c r="X14" s="119">
        <f t="shared" si="19"/>
        <v>241056.30527000013</v>
      </c>
      <c r="Y14" s="119">
        <f t="shared" si="19"/>
        <v>265161.93579700019</v>
      </c>
      <c r="Z14" s="119">
        <f t="shared" si="19"/>
        <v>291678.12937670021</v>
      </c>
      <c r="AA14" s="119">
        <f t="shared" si="19"/>
        <v>320845.94231437024</v>
      </c>
      <c r="AB14" s="119">
        <f t="shared" si="19"/>
        <v>352930.53654580732</v>
      </c>
      <c r="AC14" s="138">
        <f t="shared" si="16"/>
        <v>0.20158749171311086</v>
      </c>
      <c r="AD14" s="31">
        <v>0.08</v>
      </c>
      <c r="AE14" s="127">
        <f t="shared" si="14"/>
        <v>6058241.6879577013</v>
      </c>
    </row>
    <row r="15" spans="2:31" x14ac:dyDescent="0.2">
      <c r="B15" s="20" t="s">
        <v>23</v>
      </c>
      <c r="C15" s="141"/>
      <c r="D15" s="141"/>
      <c r="E15" s="149"/>
      <c r="F15" s="149"/>
      <c r="G15" s="149">
        <v>2360</v>
      </c>
      <c r="H15" s="149">
        <v>1702</v>
      </c>
      <c r="I15" s="149">
        <v>2968</v>
      </c>
      <c r="J15" s="149">
        <v>5873</v>
      </c>
      <c r="K15" s="149">
        <v>16823</v>
      </c>
      <c r="L15" s="149">
        <v>10322</v>
      </c>
      <c r="M15" s="149">
        <v>19815</v>
      </c>
      <c r="N15" s="149">
        <v>34194</v>
      </c>
      <c r="O15" s="149">
        <v>47845</v>
      </c>
      <c r="P15" s="149">
        <v>46039</v>
      </c>
      <c r="Q15" s="118">
        <f t="shared" si="3"/>
        <v>0.39109598661837897</v>
      </c>
      <c r="R15" s="31">
        <v>0.1</v>
      </c>
      <c r="S15" s="119">
        <f t="shared" si="1"/>
        <v>50642.9</v>
      </c>
      <c r="T15" s="119">
        <f t="shared" ref="T15:AB15" si="20">S15*(1+$R15)</f>
        <v>55707.19000000001</v>
      </c>
      <c r="U15" s="119">
        <f t="shared" si="20"/>
        <v>61277.909000000014</v>
      </c>
      <c r="V15" s="119">
        <f t="shared" si="20"/>
        <v>67405.699900000021</v>
      </c>
      <c r="W15" s="119">
        <f t="shared" si="20"/>
        <v>74146.269890000025</v>
      </c>
      <c r="X15" s="119">
        <f t="shared" si="20"/>
        <v>81560.896879000036</v>
      </c>
      <c r="Y15" s="119">
        <f t="shared" si="20"/>
        <v>89716.986566900043</v>
      </c>
      <c r="Z15" s="119">
        <f t="shared" si="20"/>
        <v>98688.685223590059</v>
      </c>
      <c r="AA15" s="119">
        <f t="shared" si="20"/>
        <v>108557.55374594907</v>
      </c>
      <c r="AB15" s="119">
        <f t="shared" si="20"/>
        <v>119413.30912054399</v>
      </c>
      <c r="AC15" s="138">
        <f t="shared" si="16"/>
        <v>0.22939549510201895</v>
      </c>
      <c r="AD15" s="31">
        <v>0.08</v>
      </c>
      <c r="AE15" s="127">
        <f t="shared" si="14"/>
        <v>2097231.2041145945</v>
      </c>
    </row>
    <row r="16" spans="2:31" x14ac:dyDescent="0.2">
      <c r="B16" s="20"/>
      <c r="C16" s="141"/>
      <c r="D16" s="141"/>
      <c r="E16" s="149"/>
      <c r="F16" s="149"/>
      <c r="G16" s="149"/>
      <c r="H16" s="149"/>
      <c r="I16" s="149"/>
      <c r="J16" s="149"/>
      <c r="K16" s="149"/>
      <c r="L16" s="149"/>
      <c r="M16" s="149"/>
      <c r="N16" s="149"/>
      <c r="O16" s="149"/>
      <c r="P16" s="149"/>
      <c r="Q16" s="128"/>
      <c r="R16" s="128"/>
      <c r="S16" s="119"/>
      <c r="T16" s="119"/>
      <c r="U16" s="119"/>
      <c r="V16" s="119"/>
      <c r="W16" s="119"/>
      <c r="X16" s="119"/>
      <c r="Y16" s="119"/>
      <c r="Z16" s="119"/>
      <c r="AA16" s="119"/>
      <c r="AB16" s="119"/>
      <c r="AC16" s="139"/>
      <c r="AD16" s="20"/>
      <c r="AE16" s="20"/>
    </row>
    <row r="17" spans="2:31" x14ac:dyDescent="0.2">
      <c r="B17" s="20" t="s">
        <v>278</v>
      </c>
      <c r="C17" s="141"/>
      <c r="D17" s="141"/>
      <c r="E17" s="149"/>
      <c r="F17" s="149"/>
      <c r="G17" s="149">
        <v>31855</v>
      </c>
      <c r="H17" s="149">
        <v>30254</v>
      </c>
      <c r="I17" s="149">
        <v>56290</v>
      </c>
      <c r="J17" s="149">
        <v>64822</v>
      </c>
      <c r="K17" s="149">
        <v>64061</v>
      </c>
      <c r="L17" s="149">
        <v>107044</v>
      </c>
      <c r="M17" s="149">
        <v>160191</v>
      </c>
      <c r="N17" s="149">
        <v>158099</v>
      </c>
      <c r="O17" s="149">
        <v>157682</v>
      </c>
      <c r="P17" s="149">
        <v>166248</v>
      </c>
      <c r="Q17" s="118">
        <f>((P17/G17)^(1/($H$3-$H$2) ))-1</f>
        <v>0.20151993279274949</v>
      </c>
      <c r="R17" s="31">
        <v>0.1</v>
      </c>
      <c r="S17" s="119">
        <f t="shared" ref="S17:S29" si="21">P17*(1+$R17)</f>
        <v>182872.80000000002</v>
      </c>
      <c r="T17" s="119">
        <f t="shared" ref="T17:T29" si="22">S17*(1+$R17)</f>
        <v>201160.08000000005</v>
      </c>
      <c r="U17" s="119">
        <f t="shared" ref="U17:U29" si="23">T17*(1+$R17)</f>
        <v>221276.08800000008</v>
      </c>
      <c r="V17" s="119">
        <f t="shared" ref="V17:V29" si="24">U17*(1+$R17)</f>
        <v>243403.69680000009</v>
      </c>
      <c r="W17" s="119">
        <f t="shared" ref="W17:W31" si="25">V17*(1+$R17)</f>
        <v>267744.0664800001</v>
      </c>
      <c r="X17" s="119">
        <f t="shared" ref="X17:X31" si="26">W17*(1+$R17)</f>
        <v>294518.47312800016</v>
      </c>
      <c r="Y17" s="119">
        <f t="shared" ref="Y17:Y31" si="27">X17*(1+$R17)</f>
        <v>323970.32044080022</v>
      </c>
      <c r="Z17" s="119">
        <f t="shared" ref="Z17:Z31" si="28">Y17*(1+$R17)</f>
        <v>356367.35248488025</v>
      </c>
      <c r="AA17" s="119">
        <f t="shared" ref="AA17:AA31" si="29">Z17*(1+$R17)</f>
        <v>392004.08773336833</v>
      </c>
      <c r="AB17" s="119">
        <f t="shared" ref="AB17:AB31" si="30">AA17*(1+$R17)</f>
        <v>431204.49650670518</v>
      </c>
      <c r="AC17" s="138">
        <f t="shared" si="16"/>
        <v>0.1469723013146842</v>
      </c>
      <c r="AD17" s="31">
        <v>0.08</v>
      </c>
      <c r="AE17" s="127">
        <f>(AB17*(1+AC17))/($C$2-AD17)</f>
        <v>7065423.0527933631</v>
      </c>
    </row>
    <row r="18" spans="2:31" x14ac:dyDescent="0.2">
      <c r="B18" s="20"/>
      <c r="C18" s="141"/>
      <c r="D18" s="141"/>
      <c r="E18" s="149"/>
      <c r="F18" s="149"/>
      <c r="G18" s="149"/>
      <c r="H18" s="149"/>
      <c r="I18" s="149"/>
      <c r="J18" s="149"/>
      <c r="K18" s="149"/>
      <c r="L18" s="149"/>
      <c r="M18" s="149"/>
      <c r="N18" s="149"/>
      <c r="O18" s="149"/>
      <c r="P18" s="149"/>
      <c r="Q18" s="128"/>
      <c r="R18" s="128"/>
      <c r="S18" s="119"/>
      <c r="T18" s="119"/>
      <c r="U18" s="119"/>
      <c r="V18" s="119"/>
      <c r="W18" s="119"/>
      <c r="X18" s="119"/>
      <c r="Y18" s="119"/>
      <c r="Z18" s="119"/>
      <c r="AA18" s="119"/>
      <c r="AB18" s="119"/>
      <c r="AC18" s="138"/>
      <c r="AD18" s="20"/>
      <c r="AE18" s="20"/>
    </row>
    <row r="19" spans="2:31" x14ac:dyDescent="0.2">
      <c r="B19" s="20" t="s">
        <v>285</v>
      </c>
      <c r="C19" s="141"/>
      <c r="D19" s="141"/>
      <c r="E19" s="149"/>
      <c r="F19" s="149">
        <v>6598</v>
      </c>
      <c r="G19" s="149">
        <v>11668</v>
      </c>
      <c r="H19" s="149">
        <v>17305</v>
      </c>
      <c r="I19" s="149">
        <v>10273</v>
      </c>
      <c r="J19" s="149">
        <v>16748</v>
      </c>
      <c r="K19" s="149">
        <v>16233</v>
      </c>
      <c r="L19" s="149">
        <v>16287</v>
      </c>
      <c r="M19" s="149">
        <v>20494</v>
      </c>
      <c r="N19" s="149">
        <v>33338</v>
      </c>
      <c r="O19" s="149">
        <v>24483</v>
      </c>
      <c r="P19" s="149">
        <v>36918</v>
      </c>
      <c r="Q19" s="118">
        <f>((P19/G19)^(1/($H$3-$H$2) ))-1</f>
        <v>0.13653395738299268</v>
      </c>
      <c r="R19" s="31">
        <v>0.05</v>
      </c>
      <c r="S19" s="119">
        <f t="shared" ref="S19:S21" si="31">P19*(1+$R19)</f>
        <v>38763.9</v>
      </c>
      <c r="T19" s="119">
        <f t="shared" ref="T19:T21" si="32">S19*(1+$R19)</f>
        <v>40702.095000000001</v>
      </c>
      <c r="U19" s="119">
        <f t="shared" ref="U19:U21" si="33">T19*(1+$R19)</f>
        <v>42737.19975</v>
      </c>
      <c r="V19" s="119">
        <f t="shared" ref="V19:V21" si="34">U19*(1+$R19)</f>
        <v>44874.0597375</v>
      </c>
      <c r="W19" s="119">
        <f t="shared" ref="W19:W21" si="35">V19*(1+$R19)</f>
        <v>47117.762724375003</v>
      </c>
      <c r="X19" s="119">
        <f t="shared" ref="X19:X21" si="36">W19*(1+$R19)</f>
        <v>49473.650860593756</v>
      </c>
      <c r="Y19" s="119">
        <f t="shared" ref="Y19:Y21" si="37">X19*(1+$R19)</f>
        <v>51947.333403623445</v>
      </c>
      <c r="Z19" s="119">
        <f t="shared" ref="Z19:Z21" si="38">Y19*(1+$R19)</f>
        <v>54544.700073804619</v>
      </c>
      <c r="AA19" s="119">
        <f t="shared" ref="AA19:AA21" si="39">Z19*(1+$R19)</f>
        <v>57271.935077494854</v>
      </c>
      <c r="AB19" s="119">
        <f t="shared" ref="AB19:AB21" si="40">AA19*(1+$R19)</f>
        <v>60135.531831369597</v>
      </c>
      <c r="AC19" s="138">
        <f t="shared" ref="AC19:AC21" si="41">((AB19/G19)^(1/($AB$4-$H$2) ))-1</f>
        <v>9.0136235456457436E-2</v>
      </c>
      <c r="AD19" s="31">
        <v>0.05</v>
      </c>
      <c r="AE19" s="127">
        <f>(AB19*(1+AC19))/($C$2-AD19)</f>
        <v>655559.22287821223</v>
      </c>
    </row>
    <row r="20" spans="2:31" x14ac:dyDescent="0.2">
      <c r="B20" s="20" t="s">
        <v>286</v>
      </c>
      <c r="C20" s="141"/>
      <c r="D20" s="141"/>
      <c r="E20" s="149"/>
      <c r="F20" s="149">
        <v>-6989</v>
      </c>
      <c r="G20" s="149">
        <v>-10500</v>
      </c>
      <c r="H20" s="149">
        <v>-8213</v>
      </c>
      <c r="I20" s="149">
        <v>-13189</v>
      </c>
      <c r="J20" s="149">
        <v>-29245</v>
      </c>
      <c r="K20" s="149">
        <v>-30425</v>
      </c>
      <c r="L20" s="149">
        <v>-23106</v>
      </c>
      <c r="M20" s="149">
        <v>-18230</v>
      </c>
      <c r="N20" s="149">
        <v>-32043</v>
      </c>
      <c r="O20" s="149">
        <v>-6301</v>
      </c>
      <c r="P20" s="149">
        <v>-27650</v>
      </c>
      <c r="Q20" s="118">
        <f>((P20/G20)^(1/($H$3-$H$2) ))-1</f>
        <v>0.11358371377139531</v>
      </c>
      <c r="R20" s="31">
        <v>0.05</v>
      </c>
      <c r="S20" s="119">
        <f t="shared" si="31"/>
        <v>-29032.5</v>
      </c>
      <c r="T20" s="119">
        <f t="shared" si="32"/>
        <v>-30484.125</v>
      </c>
      <c r="U20" s="119">
        <f t="shared" si="33"/>
        <v>-32008.331250000003</v>
      </c>
      <c r="V20" s="119">
        <f t="shared" si="34"/>
        <v>-33608.747812500005</v>
      </c>
      <c r="W20" s="119">
        <f t="shared" si="35"/>
        <v>-35289.185203125009</v>
      </c>
      <c r="X20" s="119">
        <f t="shared" si="36"/>
        <v>-37053.644463281264</v>
      </c>
      <c r="Y20" s="119">
        <f t="shared" si="37"/>
        <v>-38906.326686445325</v>
      </c>
      <c r="Z20" s="119">
        <f t="shared" si="38"/>
        <v>-40851.643020767595</v>
      </c>
      <c r="AA20" s="119">
        <f t="shared" si="39"/>
        <v>-42894.225171805978</v>
      </c>
      <c r="AB20" s="119">
        <f t="shared" si="40"/>
        <v>-45038.936430396279</v>
      </c>
      <c r="AC20" s="138">
        <f t="shared" si="41"/>
        <v>7.9652883025282506E-2</v>
      </c>
      <c r="AD20" s="31">
        <v>0.05</v>
      </c>
      <c r="AE20" s="127">
        <f>(AB20*(1+AC20))/($C$2-AD20)</f>
        <v>-486264.1756546977</v>
      </c>
    </row>
    <row r="21" spans="2:31" x14ac:dyDescent="0.2">
      <c r="B21" s="20" t="s">
        <v>287</v>
      </c>
      <c r="C21" s="141"/>
      <c r="D21" s="141"/>
      <c r="E21" s="149"/>
      <c r="F21" s="149">
        <v>-1222</v>
      </c>
      <c r="G21" s="149">
        <v>-1046</v>
      </c>
      <c r="H21" s="149">
        <v>-5706</v>
      </c>
      <c r="I21" s="149">
        <v>1916</v>
      </c>
      <c r="J21" s="149">
        <v>-10736</v>
      </c>
      <c r="K21" s="149">
        <v>16716</v>
      </c>
      <c r="L21" s="149">
        <v>25036</v>
      </c>
      <c r="M21" s="149">
        <v>-11133</v>
      </c>
      <c r="N21" s="149">
        <v>14949</v>
      </c>
      <c r="O21" s="149">
        <v>-7590</v>
      </c>
      <c r="P21" s="149">
        <v>408</v>
      </c>
      <c r="Q21" s="118">
        <f>((P21/G21)^(1/($H$3-$H$2) ))-1</f>
        <v>-1.9006785727531192</v>
      </c>
      <c r="R21" s="31">
        <v>0.05</v>
      </c>
      <c r="S21" s="119">
        <f t="shared" si="31"/>
        <v>428.40000000000003</v>
      </c>
      <c r="T21" s="119">
        <f t="shared" si="32"/>
        <v>449.82000000000005</v>
      </c>
      <c r="U21" s="119">
        <f t="shared" si="33"/>
        <v>472.31100000000009</v>
      </c>
      <c r="V21" s="119">
        <f t="shared" si="34"/>
        <v>495.92655000000013</v>
      </c>
      <c r="W21" s="119">
        <f t="shared" si="35"/>
        <v>520.72287750000021</v>
      </c>
      <c r="X21" s="119">
        <f t="shared" si="36"/>
        <v>546.7590213750002</v>
      </c>
      <c r="Y21" s="119">
        <f t="shared" si="37"/>
        <v>574.09697244375025</v>
      </c>
      <c r="Z21" s="119">
        <f t="shared" si="38"/>
        <v>602.80182106593782</v>
      </c>
      <c r="AA21" s="119">
        <f t="shared" si="39"/>
        <v>632.94191211923476</v>
      </c>
      <c r="AB21" s="119">
        <f t="shared" si="40"/>
        <v>664.58900772519655</v>
      </c>
      <c r="AC21" s="138">
        <f t="shared" si="41"/>
        <v>-1.9764111022592448</v>
      </c>
      <c r="AD21" s="31">
        <v>0.05</v>
      </c>
      <c r="AE21" s="127">
        <f>(AB21*(1+AC21))/($C$2-AD21)</f>
        <v>-6489.1208558233693</v>
      </c>
    </row>
    <row r="22" spans="2:31" x14ac:dyDescent="0.2">
      <c r="B22" s="20" t="s">
        <v>297</v>
      </c>
      <c r="C22" s="141"/>
      <c r="D22" s="141"/>
      <c r="E22" s="149"/>
      <c r="F22" s="149">
        <v>150</v>
      </c>
      <c r="G22" s="149">
        <v>270</v>
      </c>
      <c r="H22" s="149">
        <v>3610</v>
      </c>
      <c r="I22" s="149">
        <v>2616</v>
      </c>
      <c r="J22" s="149">
        <v>1937</v>
      </c>
      <c r="K22" s="149">
        <v>4474</v>
      </c>
      <c r="L22" s="149">
        <v>22742</v>
      </c>
      <c r="M22" s="149">
        <v>13890</v>
      </c>
      <c r="N22" s="149">
        <v>30139</v>
      </c>
      <c r="O22" s="149">
        <v>40731</v>
      </c>
      <c r="P22" s="149">
        <v>50456</v>
      </c>
      <c r="Q22" s="118">
        <f>((P22/G22)^(1/($H$3-$H$2) ))-1</f>
        <v>0.78811044192930235</v>
      </c>
      <c r="R22" s="31">
        <v>0.05</v>
      </c>
      <c r="S22" s="119">
        <f t="shared" ref="S22" si="42">P22*(1+$R22)</f>
        <v>52978.8</v>
      </c>
      <c r="T22" s="119">
        <f t="shared" ref="T22" si="43">S22*(1+$R22)</f>
        <v>55627.740000000005</v>
      </c>
      <c r="U22" s="119">
        <f t="shared" ref="U22" si="44">T22*(1+$R22)</f>
        <v>58409.127000000008</v>
      </c>
      <c r="V22" s="119">
        <f t="shared" ref="V22" si="45">U22*(1+$R22)</f>
        <v>61329.583350000008</v>
      </c>
      <c r="W22" s="119">
        <f t="shared" ref="W22" si="46">V22*(1+$R22)</f>
        <v>64396.06251750001</v>
      </c>
      <c r="X22" s="119">
        <f t="shared" ref="X22" si="47">W22*(1+$R22)</f>
        <v>67615.865643375015</v>
      </c>
      <c r="Y22" s="119">
        <f t="shared" ref="Y22" si="48">X22*(1+$R22)</f>
        <v>70996.658925543772</v>
      </c>
      <c r="Z22" s="119">
        <f t="shared" ref="Z22" si="49">Y22*(1+$R22)</f>
        <v>74546.491871820966</v>
      </c>
      <c r="AA22" s="119">
        <f t="shared" ref="AA22" si="50">Z22*(1+$R22)</f>
        <v>78273.816465412019</v>
      </c>
      <c r="AB22" s="119">
        <f t="shared" ref="AB22" si="51">AA22*(1+$R22)</f>
        <v>82187.507288682624</v>
      </c>
      <c r="AC22" s="138">
        <f t="shared" ref="AC22" si="52">((AB22/G22)^(1/($AB$4-$H$2) ))-1</f>
        <v>0.35116216602807193</v>
      </c>
      <c r="AD22" s="31">
        <v>0.05</v>
      </c>
      <c r="AE22" s="127">
        <f>(AB22*(1+AC22))/($C$2-AD22)</f>
        <v>1110486.5036862437</v>
      </c>
    </row>
    <row r="23" spans="2:31" x14ac:dyDescent="0.2">
      <c r="B23" s="20"/>
      <c r="C23" s="141"/>
      <c r="D23" s="141"/>
      <c r="E23" s="149"/>
      <c r="F23" s="149"/>
      <c r="G23" s="149"/>
      <c r="H23" s="149"/>
      <c r="I23" s="149"/>
      <c r="J23" s="149"/>
      <c r="K23" s="149"/>
      <c r="L23" s="149"/>
      <c r="M23" s="149"/>
      <c r="N23" s="149"/>
      <c r="O23" s="149"/>
      <c r="P23" s="149"/>
      <c r="Q23" s="128"/>
      <c r="R23" s="128"/>
      <c r="S23" s="119"/>
      <c r="T23" s="119"/>
      <c r="U23" s="119"/>
      <c r="V23" s="119"/>
      <c r="W23" s="119"/>
      <c r="X23" s="119"/>
      <c r="Y23" s="119"/>
      <c r="Z23" s="119"/>
      <c r="AA23" s="119"/>
      <c r="AB23" s="119"/>
      <c r="AC23" s="138"/>
      <c r="AD23" s="20"/>
      <c r="AE23" s="20"/>
    </row>
    <row r="24" spans="2:31" x14ac:dyDescent="0.2">
      <c r="B24" s="20" t="s">
        <v>89</v>
      </c>
      <c r="C24" s="141"/>
      <c r="D24" s="141"/>
      <c r="E24" s="149"/>
      <c r="F24" s="149"/>
      <c r="G24" s="149">
        <v>52943</v>
      </c>
      <c r="H24" s="149">
        <v>67592</v>
      </c>
      <c r="I24" s="149">
        <v>85777</v>
      </c>
      <c r="J24" s="149">
        <v>114796</v>
      </c>
      <c r="K24" s="149">
        <v>145990</v>
      </c>
      <c r="L24" s="149">
        <v>154900</v>
      </c>
      <c r="M24" s="149">
        <v>220855</v>
      </c>
      <c r="N24" s="149">
        <v>272772</v>
      </c>
      <c r="O24" s="149">
        <v>367257</v>
      </c>
      <c r="P24" s="149">
        <v>409883</v>
      </c>
      <c r="Q24" s="118">
        <f>((P24/G24)^(1/($H$3-$H$2) ))-1</f>
        <v>0.25533969592264438</v>
      </c>
      <c r="R24" s="31">
        <v>0.1</v>
      </c>
      <c r="S24" s="119">
        <f t="shared" si="21"/>
        <v>450871.30000000005</v>
      </c>
      <c r="T24" s="119">
        <f t="shared" si="22"/>
        <v>495958.43000000011</v>
      </c>
      <c r="U24" s="119">
        <f t="shared" si="23"/>
        <v>545554.27300000016</v>
      </c>
      <c r="V24" s="119">
        <f t="shared" si="24"/>
        <v>600109.70030000026</v>
      </c>
      <c r="W24" s="119">
        <f t="shared" si="25"/>
        <v>660120.67033000034</v>
      </c>
      <c r="X24" s="119">
        <f t="shared" si="26"/>
        <v>726132.7373630004</v>
      </c>
      <c r="Y24" s="119">
        <f t="shared" si="27"/>
        <v>798746.01109930046</v>
      </c>
      <c r="Z24" s="119">
        <f t="shared" si="28"/>
        <v>878620.61220923054</v>
      </c>
      <c r="AA24" s="119">
        <f t="shared" si="29"/>
        <v>966482.67343015363</v>
      </c>
      <c r="AB24" s="119">
        <f t="shared" si="30"/>
        <v>1063130.940773169</v>
      </c>
      <c r="AC24" s="138">
        <f t="shared" si="16"/>
        <v>0.17102798602323288</v>
      </c>
      <c r="AD24" s="31">
        <v>0.08</v>
      </c>
      <c r="AE24" s="127">
        <f>(AB24*(1+AC24))/($C$2-AD24)</f>
        <v>17785086.920751274</v>
      </c>
    </row>
    <row r="25" spans="2:31" x14ac:dyDescent="0.2">
      <c r="B25" s="20" t="s">
        <v>262</v>
      </c>
      <c r="C25" s="141"/>
      <c r="D25" s="141"/>
      <c r="E25" s="149"/>
      <c r="F25" s="149"/>
      <c r="G25" s="149">
        <v>41890</v>
      </c>
      <c r="H25" s="149">
        <v>53237</v>
      </c>
      <c r="I25" s="149">
        <v>70298</v>
      </c>
      <c r="J25" s="149">
        <v>93894</v>
      </c>
      <c r="K25" s="149">
        <v>116707</v>
      </c>
      <c r="L25" s="149">
        <v>129232</v>
      </c>
      <c r="M25" s="149">
        <v>179153</v>
      </c>
      <c r="N25" s="149">
        <v>232169</v>
      </c>
      <c r="O25" s="149">
        <v>326554</v>
      </c>
      <c r="P25" s="149">
        <v>368971</v>
      </c>
      <c r="Q25" s="118">
        <f>((P25/G25)^(1/($H$3-$H$2) ))-1</f>
        <v>0.27346459383452504</v>
      </c>
      <c r="R25" s="31">
        <v>0.1</v>
      </c>
      <c r="S25" s="119">
        <f t="shared" si="21"/>
        <v>405868.10000000003</v>
      </c>
      <c r="T25" s="119">
        <f t="shared" si="22"/>
        <v>446454.91000000009</v>
      </c>
      <c r="U25" s="119">
        <f t="shared" si="23"/>
        <v>491100.40100000013</v>
      </c>
      <c r="V25" s="119">
        <f t="shared" si="24"/>
        <v>540210.44110000017</v>
      </c>
      <c r="W25" s="119">
        <f t="shared" si="25"/>
        <v>594231.48521000019</v>
      </c>
      <c r="X25" s="119">
        <f t="shared" si="26"/>
        <v>653654.63373100024</v>
      </c>
      <c r="Y25" s="119">
        <f t="shared" si="27"/>
        <v>719020.09710410028</v>
      </c>
      <c r="Z25" s="119">
        <f t="shared" si="28"/>
        <v>790922.10681451042</v>
      </c>
      <c r="AA25" s="119">
        <f t="shared" si="29"/>
        <v>870014.31749596156</v>
      </c>
      <c r="AB25" s="119">
        <f t="shared" si="30"/>
        <v>957015.74924555782</v>
      </c>
      <c r="AC25" s="138">
        <f t="shared" si="16"/>
        <v>0.17900663367463876</v>
      </c>
      <c r="AD25" s="31">
        <v>0.08</v>
      </c>
      <c r="AE25" s="127">
        <f>(AB25*(1+AC25))/($C$2-AD25)</f>
        <v>16118970.24130882</v>
      </c>
    </row>
    <row r="26" spans="2:31" x14ac:dyDescent="0.2">
      <c r="B26" s="20"/>
      <c r="C26" s="141"/>
      <c r="D26" s="141"/>
      <c r="E26" s="149"/>
      <c r="F26" s="149"/>
      <c r="G26" s="149"/>
      <c r="H26" s="149"/>
      <c r="I26" s="149"/>
      <c r="J26" s="149"/>
      <c r="K26" s="149"/>
      <c r="L26" s="149"/>
      <c r="M26" s="149"/>
      <c r="N26" s="149"/>
      <c r="O26" s="149"/>
      <c r="P26" s="149"/>
      <c r="Q26" s="128"/>
      <c r="R26" s="128"/>
      <c r="S26" s="119"/>
      <c r="T26" s="119"/>
      <c r="U26" s="119"/>
      <c r="V26" s="119"/>
      <c r="W26" s="119"/>
      <c r="X26" s="119"/>
      <c r="Y26" s="119"/>
      <c r="Z26" s="119"/>
      <c r="AA26" s="119"/>
      <c r="AB26" s="119"/>
      <c r="AC26" s="138"/>
      <c r="AD26" s="31"/>
      <c r="AE26" s="127"/>
    </row>
    <row r="27" spans="2:31" x14ac:dyDescent="0.2">
      <c r="B27" s="20" t="s">
        <v>301</v>
      </c>
      <c r="C27" s="141"/>
      <c r="D27" s="141"/>
      <c r="E27" s="149"/>
      <c r="F27" s="149"/>
      <c r="G27" s="149">
        <v>0</v>
      </c>
      <c r="H27" s="149">
        <v>0</v>
      </c>
      <c r="I27" s="149">
        <v>0</v>
      </c>
      <c r="J27" s="149">
        <v>0</v>
      </c>
      <c r="K27" s="149">
        <v>0</v>
      </c>
      <c r="L27" s="149">
        <v>0</v>
      </c>
      <c r="M27" s="149">
        <v>0</v>
      </c>
      <c r="N27" s="149">
        <v>0</v>
      </c>
      <c r="O27" s="149">
        <v>0</v>
      </c>
      <c r="P27" s="149">
        <v>0</v>
      </c>
      <c r="Q27" s="118" t="e">
        <f>((P27/G27)^(1/($H$3-$H$2) ))-1</f>
        <v>#DIV/0!</v>
      </c>
      <c r="R27" s="31">
        <v>0.1</v>
      </c>
      <c r="S27" s="119"/>
      <c r="T27" s="119"/>
      <c r="U27" s="119"/>
      <c r="V27" s="119"/>
      <c r="W27" s="119"/>
      <c r="X27" s="119"/>
      <c r="Y27" s="119"/>
      <c r="Z27" s="119"/>
      <c r="AA27" s="119"/>
      <c r="AB27" s="119"/>
      <c r="AC27" s="138"/>
      <c r="AD27" s="31"/>
      <c r="AE27" s="127"/>
    </row>
    <row r="28" spans="2:31" x14ac:dyDescent="0.2">
      <c r="B28" s="20" t="s">
        <v>279</v>
      </c>
      <c r="C28" s="141"/>
      <c r="D28" s="141"/>
      <c r="E28" s="149"/>
      <c r="F28" s="149"/>
      <c r="G28" s="149">
        <v>36186</v>
      </c>
      <c r="H28" s="149">
        <v>47418</v>
      </c>
      <c r="I28" s="149">
        <v>60564</v>
      </c>
      <c r="J28" s="149">
        <v>81815</v>
      </c>
      <c r="K28" s="149">
        <v>103564</v>
      </c>
      <c r="L28" s="149">
        <v>117294</v>
      </c>
      <c r="M28" s="149">
        <v>164277</v>
      </c>
      <c r="N28" s="149">
        <v>212677</v>
      </c>
      <c r="O28" s="149">
        <v>304978</v>
      </c>
      <c r="P28" s="149">
        <v>341489</v>
      </c>
      <c r="Q28" s="118">
        <f>((P28/G28)^(1/($H$3-$H$2) ))-1</f>
        <v>0.28326138701732262</v>
      </c>
      <c r="R28" s="31">
        <v>0.1</v>
      </c>
      <c r="S28" s="119">
        <f t="shared" si="21"/>
        <v>375637.9</v>
      </c>
      <c r="T28" s="119">
        <f t="shared" si="22"/>
        <v>413201.69000000006</v>
      </c>
      <c r="U28" s="119">
        <f t="shared" si="23"/>
        <v>454521.85900000011</v>
      </c>
      <c r="V28" s="119">
        <f t="shared" si="24"/>
        <v>499974.04490000015</v>
      </c>
      <c r="W28" s="119">
        <f t="shared" si="25"/>
        <v>549971.4493900002</v>
      </c>
      <c r="X28" s="119">
        <f t="shared" si="26"/>
        <v>604968.59432900022</v>
      </c>
      <c r="Y28" s="119">
        <f t="shared" si="27"/>
        <v>665465.45376190031</v>
      </c>
      <c r="Z28" s="119">
        <f t="shared" si="28"/>
        <v>732011.99913809041</v>
      </c>
      <c r="AA28" s="119">
        <f t="shared" si="29"/>
        <v>805213.19905189949</v>
      </c>
      <c r="AB28" s="119">
        <f t="shared" si="30"/>
        <v>885734.51895708952</v>
      </c>
      <c r="AC28" s="138">
        <f t="shared" si="16"/>
        <v>0.18329434503805286</v>
      </c>
      <c r="AD28" s="31">
        <v>0.08</v>
      </c>
      <c r="AE28" s="127">
        <f>(AB28*(1+AC28))/($C$2-AD28)</f>
        <v>14972637.821241774</v>
      </c>
    </row>
    <row r="29" spans="2:31" x14ac:dyDescent="0.2">
      <c r="B29" s="20" t="s">
        <v>306</v>
      </c>
      <c r="C29" s="141"/>
      <c r="D29" s="141"/>
      <c r="E29" s="149"/>
      <c r="F29" s="149"/>
      <c r="G29" s="149">
        <v>725</v>
      </c>
      <c r="H29" s="149">
        <v>907</v>
      </c>
      <c r="I29" s="149">
        <v>1146</v>
      </c>
      <c r="J29" s="149">
        <v>2262</v>
      </c>
      <c r="K29" s="149">
        <v>2108</v>
      </c>
      <c r="L29" s="149">
        <v>3848</v>
      </c>
      <c r="M29" s="149">
        <v>3140</v>
      </c>
      <c r="N29" s="149">
        <v>2834</v>
      </c>
      <c r="O29" s="149">
        <v>4740</v>
      </c>
      <c r="P29" s="149">
        <v>7993</v>
      </c>
      <c r="Q29" s="118">
        <f>((P29/G29)^(1/($H$3-$H$2) ))-1</f>
        <v>0.30562690081920141</v>
      </c>
      <c r="R29" s="31">
        <v>0.1</v>
      </c>
      <c r="S29" s="119">
        <f t="shared" si="21"/>
        <v>8792.3000000000011</v>
      </c>
      <c r="T29" s="119">
        <f t="shared" si="22"/>
        <v>9671.5300000000025</v>
      </c>
      <c r="U29" s="119">
        <f t="shared" si="23"/>
        <v>10638.683000000003</v>
      </c>
      <c r="V29" s="119">
        <f t="shared" si="24"/>
        <v>11702.551300000005</v>
      </c>
      <c r="W29" s="119">
        <f t="shared" si="25"/>
        <v>12872.806430000006</v>
      </c>
      <c r="X29" s="119">
        <f t="shared" si="26"/>
        <v>14160.087073000008</v>
      </c>
      <c r="Y29" s="119">
        <f t="shared" si="27"/>
        <v>15576.095780300009</v>
      </c>
      <c r="Z29" s="119">
        <f t="shared" si="28"/>
        <v>17133.705358330011</v>
      </c>
      <c r="AA29" s="119">
        <f t="shared" si="29"/>
        <v>18847.075894163016</v>
      </c>
      <c r="AB29" s="119">
        <f t="shared" si="30"/>
        <v>20731.783483579318</v>
      </c>
      <c r="AC29" s="138">
        <f t="shared" si="16"/>
        <v>0.19301882830154637</v>
      </c>
      <c r="AD29" s="31">
        <v>0.08</v>
      </c>
      <c r="AE29" s="127">
        <f>(AB29*(1+AC29))/($C$2-AD29)</f>
        <v>353334.40057401644</v>
      </c>
    </row>
    <row r="30" spans="2:31" x14ac:dyDescent="0.2">
      <c r="B30" s="20"/>
      <c r="C30" s="141"/>
      <c r="D30" s="141"/>
      <c r="E30" s="149"/>
      <c r="F30" s="149"/>
      <c r="G30" s="149"/>
      <c r="H30" s="149"/>
      <c r="I30" s="149"/>
      <c r="J30" s="149"/>
      <c r="K30" s="149"/>
      <c r="L30" s="149"/>
      <c r="M30" s="149"/>
      <c r="N30" s="149"/>
      <c r="O30" s="149"/>
      <c r="P30" s="149"/>
      <c r="Q30" s="128"/>
      <c r="R30" s="128"/>
      <c r="S30" s="119"/>
      <c r="T30" s="119"/>
      <c r="U30" s="119"/>
      <c r="V30" s="119"/>
      <c r="W30" s="119"/>
      <c r="X30" s="119"/>
      <c r="Y30" s="119"/>
      <c r="Z30" s="119"/>
      <c r="AA30" s="119"/>
      <c r="AB30" s="119"/>
      <c r="AC30" s="139"/>
      <c r="AD30" s="20"/>
      <c r="AE30" s="20"/>
    </row>
    <row r="31" spans="2:31" x14ac:dyDescent="0.2">
      <c r="B31" s="20" t="s">
        <v>280</v>
      </c>
      <c r="C31" s="141"/>
      <c r="D31" s="141"/>
      <c r="E31" s="149"/>
      <c r="F31" s="149"/>
      <c r="G31" s="149">
        <v>9577</v>
      </c>
      <c r="H31" s="149">
        <v>12703</v>
      </c>
      <c r="I31" s="149">
        <v>14512</v>
      </c>
      <c r="J31" s="149">
        <v>20578</v>
      </c>
      <c r="K31" s="149">
        <v>22335</v>
      </c>
      <c r="L31" s="149">
        <v>24372</v>
      </c>
      <c r="M31" s="149">
        <v>30252</v>
      </c>
      <c r="N31" s="149">
        <v>38004</v>
      </c>
      <c r="O31" s="149">
        <v>34819</v>
      </c>
      <c r="P31" s="149">
        <v>33045</v>
      </c>
      <c r="Q31" s="118">
        <f>((P31/G31)^(1/($H$3-$H$2) ))-1</f>
        <v>0.14752995164664484</v>
      </c>
      <c r="R31" s="31">
        <v>0.1</v>
      </c>
      <c r="S31" s="119">
        <f t="shared" ref="S31" si="53">P31*(1+$R31)</f>
        <v>36349.5</v>
      </c>
      <c r="T31" s="119">
        <f t="shared" ref="T31" si="54">S31*(1+$R31)</f>
        <v>39984.450000000004</v>
      </c>
      <c r="U31" s="119">
        <f t="shared" ref="U31" si="55">T31*(1+$R31)</f>
        <v>43982.895000000011</v>
      </c>
      <c r="V31" s="119">
        <f t="shared" ref="V31" si="56">U31*(1+$R31)</f>
        <v>48381.184500000018</v>
      </c>
      <c r="W31" s="119">
        <f t="shared" si="25"/>
        <v>53219.302950000027</v>
      </c>
      <c r="X31" s="119">
        <f t="shared" si="26"/>
        <v>58541.233245000032</v>
      </c>
      <c r="Y31" s="119">
        <f t="shared" si="27"/>
        <v>64395.356569500043</v>
      </c>
      <c r="Z31" s="119">
        <f t="shared" si="28"/>
        <v>70834.892226450058</v>
      </c>
      <c r="AA31" s="119">
        <f t="shared" si="29"/>
        <v>77918.381449095075</v>
      </c>
      <c r="AB31" s="119">
        <f t="shared" si="30"/>
        <v>85710.219594004593</v>
      </c>
      <c r="AC31" s="138">
        <f t="shared" si="16"/>
        <v>0.12226366208933581</v>
      </c>
      <c r="AD31" s="31">
        <v>0.08</v>
      </c>
      <c r="AE31" s="127">
        <f>(AB31*(1+AC31))/($C$2-AD31)</f>
        <v>1374135.2131435536</v>
      </c>
    </row>
    <row r="32" spans="2:31" x14ac:dyDescent="0.2">
      <c r="B32" s="20"/>
      <c r="C32" s="141"/>
      <c r="D32" s="141"/>
      <c r="E32" s="149"/>
      <c r="F32" s="149"/>
      <c r="G32" s="149"/>
      <c r="H32" s="149"/>
      <c r="I32" s="149"/>
      <c r="J32" s="149"/>
      <c r="K32" s="149"/>
      <c r="L32" s="149"/>
      <c r="M32" s="149"/>
      <c r="N32" s="149"/>
      <c r="O32" s="149"/>
      <c r="P32" s="149"/>
      <c r="Q32" s="128"/>
      <c r="R32" s="128"/>
      <c r="S32" s="119"/>
      <c r="T32" s="119"/>
      <c r="U32" s="119"/>
      <c r="V32" s="119"/>
      <c r="W32" s="119"/>
      <c r="X32" s="119"/>
      <c r="Y32" s="119"/>
      <c r="Z32" s="119"/>
      <c r="AA32" s="119"/>
      <c r="AB32" s="119"/>
      <c r="AC32" s="139"/>
      <c r="AD32" s="20"/>
      <c r="AE32" s="20"/>
    </row>
    <row r="33" spans="2:31" x14ac:dyDescent="0.2">
      <c r="B33" s="20" t="s">
        <v>257</v>
      </c>
      <c r="C33" s="141"/>
      <c r="D33" s="141"/>
      <c r="E33" s="149"/>
      <c r="F33" s="149"/>
      <c r="G33" s="149">
        <v>5168</v>
      </c>
      <c r="H33" s="149">
        <v>7628</v>
      </c>
      <c r="I33" s="149">
        <v>9394</v>
      </c>
      <c r="J33" s="149">
        <v>12074</v>
      </c>
      <c r="K33" s="149">
        <v>19523</v>
      </c>
      <c r="L33" s="149">
        <v>14950</v>
      </c>
      <c r="M33" s="149">
        <v>24423</v>
      </c>
      <c r="N33" s="149">
        <v>19271</v>
      </c>
      <c r="O33" s="149">
        <v>19717</v>
      </c>
      <c r="P33" s="149">
        <v>20886</v>
      </c>
      <c r="Q33" s="118">
        <f>((P33/G33)^(1/($H$3-$H$2) ))-1</f>
        <v>0.16786469528719095</v>
      </c>
      <c r="R33" s="31">
        <v>0.1</v>
      </c>
      <c r="S33" s="119">
        <f>P33*(1+$R33)</f>
        <v>22974.600000000002</v>
      </c>
      <c r="T33" s="119">
        <f t="shared" ref="T33:AB33" si="57">S33*(1+$R33)</f>
        <v>25272.060000000005</v>
      </c>
      <c r="U33" s="119">
        <f t="shared" si="57"/>
        <v>27799.266000000007</v>
      </c>
      <c r="V33" s="119">
        <f t="shared" si="57"/>
        <v>30579.192600000009</v>
      </c>
      <c r="W33" s="119">
        <f t="shared" si="57"/>
        <v>33637.111860000012</v>
      </c>
      <c r="X33" s="119">
        <f t="shared" si="57"/>
        <v>37000.82304600002</v>
      </c>
      <c r="Y33" s="119">
        <f t="shared" si="57"/>
        <v>40700.905350600027</v>
      </c>
      <c r="Z33" s="119">
        <f t="shared" si="57"/>
        <v>44770.995885660035</v>
      </c>
      <c r="AA33" s="119">
        <f t="shared" si="57"/>
        <v>49248.095474226044</v>
      </c>
      <c r="AB33" s="119">
        <f t="shared" si="57"/>
        <v>54172.90502164865</v>
      </c>
      <c r="AC33" s="138">
        <f t="shared" si="16"/>
        <v>0.13164028931977612</v>
      </c>
      <c r="AD33" s="31">
        <v>0.08</v>
      </c>
      <c r="AE33" s="127">
        <f>(AB33*(1+AC33))/($C$2-AD33)</f>
        <v>875774.88445701764</v>
      </c>
    </row>
    <row r="34" spans="2:31" x14ac:dyDescent="0.2">
      <c r="B34" s="20"/>
      <c r="C34" s="141"/>
      <c r="D34" s="141"/>
      <c r="E34" s="149"/>
      <c r="F34" s="149"/>
      <c r="G34" s="149"/>
      <c r="H34" s="149"/>
      <c r="I34" s="149"/>
      <c r="J34" s="149"/>
      <c r="K34" s="149"/>
      <c r="L34" s="149"/>
      <c r="M34" s="149"/>
      <c r="N34" s="149"/>
      <c r="O34" s="149"/>
      <c r="P34" s="149"/>
      <c r="Q34" s="128"/>
      <c r="R34" s="128"/>
      <c r="S34" s="119"/>
      <c r="T34" s="119"/>
      <c r="U34" s="119"/>
      <c r="V34" s="119"/>
      <c r="W34" s="119"/>
      <c r="X34" s="119"/>
      <c r="Y34" s="119"/>
      <c r="Z34" s="119"/>
      <c r="AA34" s="119"/>
      <c r="AB34" s="119"/>
      <c r="AC34" s="139"/>
      <c r="AD34" s="20"/>
      <c r="AE34" s="20"/>
    </row>
    <row r="35" spans="2:31" x14ac:dyDescent="0.2">
      <c r="B35" s="20" t="s">
        <v>239</v>
      </c>
      <c r="C35" s="142">
        <v>1</v>
      </c>
      <c r="D35" s="142">
        <v>1</v>
      </c>
      <c r="E35" s="143">
        <v>1</v>
      </c>
      <c r="F35" s="143">
        <v>1</v>
      </c>
      <c r="G35" s="144">
        <v>139.63</v>
      </c>
      <c r="H35" s="144">
        <v>139.35</v>
      </c>
      <c r="I35" s="144">
        <v>139.35</v>
      </c>
      <c r="J35" s="144">
        <v>139.35</v>
      </c>
      <c r="K35" s="144">
        <v>145.36000000000001</v>
      </c>
      <c r="L35" s="144">
        <v>145.36000000000001</v>
      </c>
      <c r="M35" s="144">
        <v>297.8</v>
      </c>
      <c r="N35" s="144">
        <v>298.10000000000002</v>
      </c>
      <c r="O35" s="144">
        <v>297.87</v>
      </c>
      <c r="P35" s="144">
        <v>293.63</v>
      </c>
      <c r="Q35" s="118">
        <f>((P35/G35)^(1/($H$3-$H$2) ))-1</f>
        <v>8.6098156005066206E-2</v>
      </c>
      <c r="R35" s="31">
        <v>0</v>
      </c>
      <c r="S35" s="119">
        <f t="shared" ref="S35" si="58">P35*(1+$R35)</f>
        <v>293.63</v>
      </c>
      <c r="T35" s="119">
        <f t="shared" ref="T35:AB35" si="59">S35*(1+$R35)</f>
        <v>293.63</v>
      </c>
      <c r="U35" s="119">
        <f t="shared" si="59"/>
        <v>293.63</v>
      </c>
      <c r="V35" s="119">
        <f t="shared" si="59"/>
        <v>293.63</v>
      </c>
      <c r="W35" s="119">
        <f t="shared" si="59"/>
        <v>293.63</v>
      </c>
      <c r="X35" s="119">
        <f t="shared" si="59"/>
        <v>293.63</v>
      </c>
      <c r="Y35" s="119">
        <f t="shared" si="59"/>
        <v>293.63</v>
      </c>
      <c r="Z35" s="119">
        <f t="shared" si="59"/>
        <v>293.63</v>
      </c>
      <c r="AA35" s="119">
        <f t="shared" si="59"/>
        <v>293.63</v>
      </c>
      <c r="AB35" s="119">
        <f t="shared" si="59"/>
        <v>293.63</v>
      </c>
      <c r="AC35" s="138">
        <f t="shared" si="16"/>
        <v>3.9897693909688892E-2</v>
      </c>
      <c r="AD35" s="31">
        <v>0.08</v>
      </c>
      <c r="AE35" s="127">
        <f>(AB35*(1+AC35))/($C$2-AD35)</f>
        <v>4362.0737123243143</v>
      </c>
    </row>
    <row r="36" spans="2:31" x14ac:dyDescent="0.2">
      <c r="B36" s="20"/>
      <c r="C36" s="20"/>
      <c r="D36" s="20"/>
      <c r="E36" s="127"/>
      <c r="F36" s="127"/>
      <c r="G36" s="127"/>
      <c r="H36" s="20"/>
      <c r="I36" s="20"/>
      <c r="J36" s="20"/>
      <c r="K36" s="20"/>
      <c r="L36" s="20"/>
      <c r="M36" s="20"/>
      <c r="N36" s="20"/>
      <c r="O36" s="20"/>
      <c r="P36" s="20"/>
      <c r="Q36" s="128"/>
      <c r="R36" s="128"/>
      <c r="S36" s="119"/>
      <c r="T36" s="119"/>
      <c r="U36" s="119"/>
      <c r="V36" s="119"/>
      <c r="W36" s="119"/>
      <c r="X36" s="119"/>
      <c r="Y36" s="119"/>
      <c r="Z36" s="119"/>
      <c r="AA36" s="119"/>
      <c r="AB36" s="119"/>
      <c r="AC36" s="139"/>
      <c r="AD36" s="20"/>
      <c r="AE36" s="20"/>
    </row>
    <row r="37" spans="2:31" x14ac:dyDescent="0.2">
      <c r="B37" s="108" t="s">
        <v>243</v>
      </c>
      <c r="C37" s="20"/>
      <c r="D37" s="20"/>
      <c r="E37" s="127"/>
      <c r="F37" s="127"/>
      <c r="G37" s="127"/>
      <c r="H37" s="20"/>
      <c r="I37" s="20"/>
      <c r="J37" s="20"/>
      <c r="K37" s="20"/>
      <c r="L37" s="20"/>
      <c r="M37" s="20"/>
      <c r="N37" s="20"/>
      <c r="O37" s="20"/>
      <c r="P37" s="20"/>
      <c r="Q37" s="128"/>
      <c r="R37" s="128"/>
      <c r="S37" s="119"/>
      <c r="T37" s="119"/>
      <c r="U37" s="119"/>
      <c r="V37" s="119"/>
      <c r="W37" s="119"/>
      <c r="X37" s="119"/>
      <c r="Y37" s="119"/>
      <c r="Z37" s="119"/>
      <c r="AA37" s="119"/>
      <c r="AB37" s="119"/>
      <c r="AC37" s="139"/>
      <c r="AD37" s="20"/>
      <c r="AE37" s="20"/>
    </row>
    <row r="38" spans="2:31" x14ac:dyDescent="0.2">
      <c r="B38" s="20" t="s">
        <v>258</v>
      </c>
      <c r="C38" s="25">
        <f t="shared" ref="C38:M38" si="60">C33/C35</f>
        <v>0</v>
      </c>
      <c r="D38" s="25">
        <f t="shared" si="60"/>
        <v>0</v>
      </c>
      <c r="E38" s="25">
        <f t="shared" si="60"/>
        <v>0</v>
      </c>
      <c r="F38" s="133">
        <f t="shared" si="60"/>
        <v>0</v>
      </c>
      <c r="G38" s="133">
        <f t="shared" si="60"/>
        <v>37.012103416171314</v>
      </c>
      <c r="H38" s="133">
        <f t="shared" si="60"/>
        <v>54.739863652673129</v>
      </c>
      <c r="I38" s="133">
        <f t="shared" si="60"/>
        <v>67.412988876928594</v>
      </c>
      <c r="J38" s="133">
        <f t="shared" si="60"/>
        <v>86.645138141370651</v>
      </c>
      <c r="K38" s="133">
        <f t="shared" si="60"/>
        <v>134.30792515134837</v>
      </c>
      <c r="L38" s="133">
        <f t="shared" si="60"/>
        <v>102.84810126582278</v>
      </c>
      <c r="M38" s="133">
        <f t="shared" si="60"/>
        <v>82.011417058428478</v>
      </c>
      <c r="N38" s="133">
        <f>N33/N35</f>
        <v>64.646091915464609</v>
      </c>
      <c r="O38" s="133">
        <f>O33/O35</f>
        <v>66.193305804545602</v>
      </c>
      <c r="P38" s="133">
        <f>P33/P35</f>
        <v>71.130334093927729</v>
      </c>
      <c r="Q38" s="118">
        <f>((P38/G38)^(1/($H$3-$H$2) ))-1</f>
        <v>7.5284668176661018E-2</v>
      </c>
      <c r="R38" s="31">
        <v>0.08</v>
      </c>
      <c r="S38" s="119">
        <f t="shared" ref="S38:S41" si="61">P38*(1+$R38)</f>
        <v>76.820760821441951</v>
      </c>
      <c r="T38" s="119">
        <f t="shared" ref="T38:AB41" si="62">S38*(1+$R38)</f>
        <v>82.966421687157307</v>
      </c>
      <c r="U38" s="119">
        <f t="shared" si="62"/>
        <v>89.603735422129901</v>
      </c>
      <c r="V38" s="119">
        <f t="shared" si="62"/>
        <v>96.772034255900294</v>
      </c>
      <c r="W38" s="119">
        <f t="shared" si="62"/>
        <v>104.51379699637232</v>
      </c>
      <c r="X38" s="119">
        <f t="shared" si="62"/>
        <v>112.87490075608211</v>
      </c>
      <c r="Y38" s="119">
        <f t="shared" si="62"/>
        <v>121.90489281656869</v>
      </c>
      <c r="Z38" s="119">
        <f t="shared" si="62"/>
        <v>131.65728424189419</v>
      </c>
      <c r="AA38" s="119">
        <f t="shared" si="62"/>
        <v>142.18986698124573</v>
      </c>
      <c r="AB38" s="119">
        <f t="shared" si="62"/>
        <v>153.56505633974541</v>
      </c>
      <c r="AC38" s="138">
        <f t="shared" ref="AC38:AC51" si="63">((AB38/G38)^(1/($AB$4-$H$2) ))-1</f>
        <v>7.7763849759524994E-2</v>
      </c>
      <c r="AD38" s="31">
        <v>0.08</v>
      </c>
      <c r="AE38" s="127">
        <f>(AB38*(1+AC38))/($C$2-AD38)</f>
        <v>2364.3838044180338</v>
      </c>
    </row>
    <row r="39" spans="2:31" x14ac:dyDescent="0.2">
      <c r="B39" s="20" t="s">
        <v>245</v>
      </c>
      <c r="C39" s="25">
        <f t="shared" ref="C39:P39" si="64">C8/C35</f>
        <v>0</v>
      </c>
      <c r="D39" s="25">
        <f t="shared" si="64"/>
        <v>0</v>
      </c>
      <c r="E39" s="25">
        <f t="shared" si="64"/>
        <v>0</v>
      </c>
      <c r="F39" s="133">
        <f t="shared" si="64"/>
        <v>0</v>
      </c>
      <c r="G39" s="133">
        <f t="shared" si="64"/>
        <v>250.78421542648428</v>
      </c>
      <c r="H39" s="133">
        <f t="shared" si="64"/>
        <v>292.14926444205241</v>
      </c>
      <c r="I39" s="133">
        <f t="shared" si="64"/>
        <v>366.11410118406889</v>
      </c>
      <c r="J39" s="133">
        <f t="shared" si="64"/>
        <v>489.47972730534627</v>
      </c>
      <c r="K39" s="133">
        <f t="shared" si="64"/>
        <v>588.19482663731424</v>
      </c>
      <c r="L39" s="133">
        <f t="shared" si="64"/>
        <v>834.10842047330755</v>
      </c>
      <c r="M39" s="133">
        <f t="shared" si="64"/>
        <v>473.47884486232368</v>
      </c>
      <c r="N39" s="133">
        <f t="shared" si="64"/>
        <v>516.88359610868827</v>
      </c>
      <c r="O39" s="133">
        <f t="shared" si="64"/>
        <v>568.85554100782224</v>
      </c>
      <c r="P39" s="133">
        <f t="shared" si="64"/>
        <v>620.01498484487286</v>
      </c>
      <c r="Q39" s="118">
        <f>((P39/G39)^(1/($H$3-$H$2) ))-1</f>
        <v>0.10580359787043325</v>
      </c>
      <c r="R39" s="31">
        <v>0.08</v>
      </c>
      <c r="S39" s="119">
        <f t="shared" si="61"/>
        <v>669.61618363246271</v>
      </c>
      <c r="T39" s="119">
        <f t="shared" si="62"/>
        <v>723.18547832305978</v>
      </c>
      <c r="U39" s="119">
        <f t="shared" si="62"/>
        <v>781.0403165889046</v>
      </c>
      <c r="V39" s="119">
        <f t="shared" si="62"/>
        <v>843.52354191601705</v>
      </c>
      <c r="W39" s="119">
        <f t="shared" si="62"/>
        <v>911.00542526929848</v>
      </c>
      <c r="X39" s="119">
        <f t="shared" si="62"/>
        <v>983.8858592908424</v>
      </c>
      <c r="Y39" s="119">
        <f t="shared" si="62"/>
        <v>1062.5967280341099</v>
      </c>
      <c r="Z39" s="119">
        <f t="shared" si="62"/>
        <v>1147.6044662768388</v>
      </c>
      <c r="AA39" s="119">
        <f t="shared" si="62"/>
        <v>1239.412823578986</v>
      </c>
      <c r="AB39" s="119">
        <f t="shared" si="62"/>
        <v>1338.5658494653051</v>
      </c>
      <c r="AC39" s="138">
        <f t="shared" si="63"/>
        <v>9.2146827499907324E-2</v>
      </c>
      <c r="AD39" s="31">
        <v>0.08</v>
      </c>
      <c r="AE39" s="127">
        <f>(AB39*(1+AC39))/($C$2-AD39)</f>
        <v>20884.434941332165</v>
      </c>
    </row>
    <row r="40" spans="2:31" x14ac:dyDescent="0.2">
      <c r="B40" s="20" t="s">
        <v>246</v>
      </c>
      <c r="C40" s="127">
        <f t="shared" ref="C40:P40" si="65">C7/C35</f>
        <v>0</v>
      </c>
      <c r="D40" s="127">
        <f t="shared" si="65"/>
        <v>0</v>
      </c>
      <c r="E40" s="127">
        <f t="shared" si="65"/>
        <v>0</v>
      </c>
      <c r="F40" s="145">
        <f t="shared" si="65"/>
        <v>0</v>
      </c>
      <c r="G40" s="145">
        <f t="shared" si="65"/>
        <v>240.78636396189933</v>
      </c>
      <c r="H40" s="145">
        <f t="shared" si="65"/>
        <v>262.56189451022607</v>
      </c>
      <c r="I40" s="145">
        <f t="shared" si="65"/>
        <v>320.39468963042697</v>
      </c>
      <c r="J40" s="145">
        <f t="shared" si="65"/>
        <v>457.66774309293146</v>
      </c>
      <c r="K40" s="145">
        <f t="shared" si="65"/>
        <v>558.37919647771048</v>
      </c>
      <c r="L40" s="145">
        <f t="shared" si="65"/>
        <v>740.04540451293337</v>
      </c>
      <c r="M40" s="145">
        <f t="shared" si="65"/>
        <v>431.87038280725318</v>
      </c>
      <c r="N40" s="145">
        <f t="shared" si="65"/>
        <v>486.46762831264675</v>
      </c>
      <c r="O40" s="145">
        <f t="shared" si="65"/>
        <v>546.29872091852144</v>
      </c>
      <c r="P40" s="145">
        <f t="shared" si="65"/>
        <v>609.93086537479144</v>
      </c>
      <c r="Q40" s="118">
        <f>((P40/G40)^(1/($H$3-$H$2) ))-1</f>
        <v>0.10879142364327832</v>
      </c>
      <c r="R40" s="31">
        <v>0.08</v>
      </c>
      <c r="S40" s="119">
        <f t="shared" si="61"/>
        <v>658.72533460477484</v>
      </c>
      <c r="T40" s="119">
        <f t="shared" si="62"/>
        <v>711.42336137315692</v>
      </c>
      <c r="U40" s="119">
        <f t="shared" si="62"/>
        <v>768.33723028300949</v>
      </c>
      <c r="V40" s="119">
        <f t="shared" si="62"/>
        <v>829.80420870565035</v>
      </c>
      <c r="W40" s="119">
        <f t="shared" si="62"/>
        <v>896.18854540210248</v>
      </c>
      <c r="X40" s="119">
        <f t="shared" si="62"/>
        <v>967.88362903427071</v>
      </c>
      <c r="Y40" s="119">
        <f t="shared" si="62"/>
        <v>1045.3143193570124</v>
      </c>
      <c r="Z40" s="119">
        <f t="shared" si="62"/>
        <v>1128.9394649055735</v>
      </c>
      <c r="AA40" s="119">
        <f t="shared" si="62"/>
        <v>1219.2546220980194</v>
      </c>
      <c r="AB40" s="119">
        <f t="shared" si="62"/>
        <v>1316.794991865861</v>
      </c>
      <c r="AC40" s="138">
        <f t="shared" si="63"/>
        <v>9.3543641956847834E-2</v>
      </c>
      <c r="AD40" s="31">
        <v>0.08</v>
      </c>
      <c r="AE40" s="127">
        <f>(AB40*(1+AC40))/($C$2-AD40)</f>
        <v>20571.039873079022</v>
      </c>
    </row>
    <row r="41" spans="2:31" x14ac:dyDescent="0.2">
      <c r="B41" s="20" t="s">
        <v>247</v>
      </c>
      <c r="C41" s="127">
        <f t="shared" ref="C41:P41" si="66">C11/C35</f>
        <v>0</v>
      </c>
      <c r="D41" s="127">
        <f t="shared" si="66"/>
        <v>0</v>
      </c>
      <c r="E41" s="127">
        <f t="shared" si="66"/>
        <v>0</v>
      </c>
      <c r="F41" s="145">
        <f t="shared" si="66"/>
        <v>0</v>
      </c>
      <c r="G41" s="145">
        <f t="shared" si="66"/>
        <v>150.51206760724773</v>
      </c>
      <c r="H41" s="145">
        <f t="shared" si="66"/>
        <v>135.0340868317187</v>
      </c>
      <c r="I41" s="145">
        <f t="shared" si="66"/>
        <v>167.50627915321135</v>
      </c>
      <c r="J41" s="145">
        <f t="shared" si="66"/>
        <v>241.48546824542521</v>
      </c>
      <c r="K41" s="145">
        <f t="shared" si="66"/>
        <v>348.76169510181614</v>
      </c>
      <c r="L41" s="145">
        <f t="shared" si="66"/>
        <v>524.60099064391852</v>
      </c>
      <c r="M41" s="145">
        <f t="shared" si="66"/>
        <v>216.94089993284084</v>
      </c>
      <c r="N41" s="145">
        <f t="shared" si="66"/>
        <v>282.14022140221402</v>
      </c>
      <c r="O41" s="145">
        <f t="shared" si="66"/>
        <v>277.41967972605499</v>
      </c>
      <c r="P41" s="145">
        <f t="shared" si="66"/>
        <v>304.19916221094576</v>
      </c>
      <c r="Q41" s="118">
        <f>((P41/G41)^(1/($H$3-$H$2) ))-1</f>
        <v>8.1319604460627914E-2</v>
      </c>
      <c r="R41" s="31">
        <v>0.09</v>
      </c>
      <c r="S41" s="119">
        <f t="shared" si="61"/>
        <v>331.5770868099309</v>
      </c>
      <c r="T41" s="119">
        <f t="shared" si="62"/>
        <v>361.41902462282474</v>
      </c>
      <c r="U41" s="119">
        <f t="shared" si="62"/>
        <v>393.94673683887902</v>
      </c>
      <c r="V41" s="119">
        <f t="shared" si="62"/>
        <v>429.40194315437816</v>
      </c>
      <c r="W41" s="119">
        <f t="shared" si="62"/>
        <v>468.04811803827221</v>
      </c>
      <c r="X41" s="119">
        <f t="shared" si="62"/>
        <v>510.17244866171677</v>
      </c>
      <c r="Y41" s="119">
        <f t="shared" si="62"/>
        <v>556.08796904127132</v>
      </c>
      <c r="Z41" s="119">
        <f t="shared" si="62"/>
        <v>606.13588625498573</v>
      </c>
      <c r="AA41" s="119">
        <f t="shared" si="62"/>
        <v>660.68811601793448</v>
      </c>
      <c r="AB41" s="119">
        <f t="shared" si="62"/>
        <v>720.15004645954866</v>
      </c>
      <c r="AC41" s="138">
        <f t="shared" si="63"/>
        <v>8.5879581566984164E-2</v>
      </c>
      <c r="AD41" s="31">
        <v>0.08</v>
      </c>
      <c r="AE41" s="127">
        <f>(AB41*(1+AC41))/($C$2-AD41)</f>
        <v>11171.374730213414</v>
      </c>
    </row>
    <row r="42" spans="2:31" x14ac:dyDescent="0.2">
      <c r="B42" s="20"/>
      <c r="C42" s="127"/>
      <c r="D42" s="127"/>
      <c r="E42" s="127"/>
      <c r="F42" s="145"/>
      <c r="G42" s="145"/>
      <c r="H42" s="145"/>
      <c r="I42" s="145"/>
      <c r="J42" s="145"/>
      <c r="K42" s="145"/>
      <c r="L42" s="145"/>
      <c r="M42" s="145"/>
      <c r="N42" s="145"/>
      <c r="O42" s="145"/>
      <c r="P42" s="145"/>
      <c r="Q42" s="128"/>
      <c r="R42" s="128"/>
      <c r="S42" s="119"/>
      <c r="T42" s="119"/>
      <c r="U42" s="119"/>
      <c r="V42" s="119"/>
      <c r="W42" s="119"/>
      <c r="X42" s="119"/>
      <c r="Y42" s="119"/>
      <c r="Z42" s="119"/>
      <c r="AA42" s="119"/>
      <c r="AB42" s="119"/>
      <c r="AC42" s="139"/>
      <c r="AD42" s="20"/>
      <c r="AE42" s="20"/>
    </row>
    <row r="43" spans="2:31" x14ac:dyDescent="0.2">
      <c r="B43" s="20" t="s">
        <v>271</v>
      </c>
      <c r="C43" s="127">
        <f t="shared" ref="C43:P43" si="67">(C8-C11)/C35</f>
        <v>0</v>
      </c>
      <c r="D43" s="127">
        <f t="shared" si="67"/>
        <v>0</v>
      </c>
      <c r="E43" s="127">
        <f t="shared" si="67"/>
        <v>0</v>
      </c>
      <c r="F43" s="145">
        <f t="shared" si="67"/>
        <v>0</v>
      </c>
      <c r="G43" s="145">
        <f t="shared" si="67"/>
        <v>100.27214781923655</v>
      </c>
      <c r="H43" s="145">
        <f t="shared" si="67"/>
        <v>157.11517761033369</v>
      </c>
      <c r="I43" s="145">
        <f t="shared" si="67"/>
        <v>198.60782203085756</v>
      </c>
      <c r="J43" s="145">
        <f t="shared" si="67"/>
        <v>247.99425905992106</v>
      </c>
      <c r="K43" s="145">
        <f t="shared" si="67"/>
        <v>239.43313153549806</v>
      </c>
      <c r="L43" s="145">
        <f t="shared" si="67"/>
        <v>309.50742982938908</v>
      </c>
      <c r="M43" s="145">
        <f t="shared" si="67"/>
        <v>256.53794492948288</v>
      </c>
      <c r="N43" s="145">
        <f t="shared" si="67"/>
        <v>234.74337470647433</v>
      </c>
      <c r="O43" s="145">
        <f t="shared" si="67"/>
        <v>291.43586128176719</v>
      </c>
      <c r="P43" s="145">
        <f t="shared" si="67"/>
        <v>315.81582263392704</v>
      </c>
      <c r="Q43" s="118">
        <f>((P43/G43)^(1/($H$3-$H$2) ))-1</f>
        <v>0.13595599392259006</v>
      </c>
      <c r="R43" s="31">
        <v>0.08</v>
      </c>
      <c r="S43" s="119">
        <f t="shared" ref="S43" si="68">P43*(1+$R43)</f>
        <v>341.08108844464124</v>
      </c>
      <c r="T43" s="119">
        <f t="shared" ref="T43" si="69">S43*(1+$R43)</f>
        <v>368.36757552021254</v>
      </c>
      <c r="U43" s="119">
        <f t="shared" ref="U43" si="70">T43*(1+$R43)</f>
        <v>397.83698156182959</v>
      </c>
      <c r="V43" s="119">
        <f t="shared" ref="V43" si="71">U43*(1+$R43)</f>
        <v>429.66394008677599</v>
      </c>
      <c r="W43" s="119">
        <f t="shared" ref="W43" si="72">V43*(1+$R43)</f>
        <v>464.03705529371808</v>
      </c>
      <c r="X43" s="119">
        <f t="shared" ref="X43" si="73">W43*(1+$R43)</f>
        <v>501.16001971721556</v>
      </c>
      <c r="Y43" s="119">
        <f t="shared" ref="Y43" si="74">X43*(1+$R43)</f>
        <v>541.25282129459288</v>
      </c>
      <c r="Z43" s="119">
        <f t="shared" ref="Z43" si="75">Y43*(1+$R43)</f>
        <v>584.55304699816031</v>
      </c>
      <c r="AA43" s="119">
        <f t="shared" ref="AA43" si="76">Z43*(1+$R43)</f>
        <v>631.3172907580132</v>
      </c>
      <c r="AB43" s="119">
        <f t="shared" ref="AB43" si="77">AA43*(1+$R43)</f>
        <v>681.82267401865431</v>
      </c>
      <c r="AC43" s="138">
        <f t="shared" si="63"/>
        <v>0.10615330738749962</v>
      </c>
      <c r="AD43" s="31">
        <v>0.08</v>
      </c>
      <c r="AE43" s="127">
        <f>(AB43*(1+AC43))/($C$2-AD43)</f>
        <v>10774.291513107479</v>
      </c>
    </row>
    <row r="44" spans="2:31" x14ac:dyDescent="0.2">
      <c r="B44" s="20" t="s">
        <v>272</v>
      </c>
      <c r="C44" s="127">
        <f t="shared" ref="C44:P44" si="78">(C8-C11-C10)/C35</f>
        <v>0</v>
      </c>
      <c r="D44" s="127">
        <f t="shared" si="78"/>
        <v>0</v>
      </c>
      <c r="E44" s="127">
        <f t="shared" si="78"/>
        <v>0</v>
      </c>
      <c r="F44" s="145">
        <f t="shared" si="78"/>
        <v>0</v>
      </c>
      <c r="G44" s="145">
        <f t="shared" si="78"/>
        <v>0.587266346773616</v>
      </c>
      <c r="H44" s="145">
        <f t="shared" si="78"/>
        <v>25.819878005023323</v>
      </c>
      <c r="I44" s="145">
        <f t="shared" si="78"/>
        <v>69.702188733405094</v>
      </c>
      <c r="J44" s="145">
        <f t="shared" si="78"/>
        <v>65.080731969860068</v>
      </c>
      <c r="K44" s="145">
        <f t="shared" si="78"/>
        <v>19.138690148596584</v>
      </c>
      <c r="L44" s="145">
        <f t="shared" si="78"/>
        <v>-9.727572922399558</v>
      </c>
      <c r="M44" s="145">
        <f t="shared" si="78"/>
        <v>86.648757555406306</v>
      </c>
      <c r="N44" s="145">
        <f t="shared" si="78"/>
        <v>16.044951358604493</v>
      </c>
      <c r="O44" s="145">
        <f t="shared" si="78"/>
        <v>48.856883875516161</v>
      </c>
      <c r="P44" s="145">
        <f t="shared" si="78"/>
        <v>26.52998671797841</v>
      </c>
      <c r="Q44" s="118">
        <f>((P44/G44)^(1/($H$3-$H$2) ))-1</f>
        <v>0.52713696974072288</v>
      </c>
      <c r="R44" s="31">
        <v>0.08</v>
      </c>
      <c r="S44" s="119">
        <f t="shared" ref="S44" si="79">P44*(1+$R44)</f>
        <v>28.652385655416683</v>
      </c>
      <c r="T44" s="119">
        <f t="shared" ref="T44" si="80">S44*(1+$R44)</f>
        <v>30.944576507850019</v>
      </c>
      <c r="U44" s="119">
        <f t="shared" ref="U44" si="81">T44*(1+$R44)</f>
        <v>33.420142628478025</v>
      </c>
      <c r="V44" s="119">
        <f t="shared" ref="V44" si="82">U44*(1+$R44)</f>
        <v>36.093754038756266</v>
      </c>
      <c r="W44" s="119">
        <f t="shared" ref="W44" si="83">V44*(1+$R44)</f>
        <v>38.98125436185677</v>
      </c>
      <c r="X44" s="119">
        <f t="shared" ref="X44" si="84">W44*(1+$R44)</f>
        <v>42.099754710805314</v>
      </c>
      <c r="Y44" s="119">
        <f t="shared" ref="Y44" si="85">X44*(1+$R44)</f>
        <v>45.467735087669745</v>
      </c>
      <c r="Z44" s="119">
        <f t="shared" ref="Z44" si="86">Y44*(1+$R44)</f>
        <v>49.105153894683326</v>
      </c>
      <c r="AA44" s="119">
        <f t="shared" ref="AA44" si="87">Z44*(1+$R44)</f>
        <v>53.033566206257994</v>
      </c>
      <c r="AB44" s="119">
        <f t="shared" ref="AB44" si="88">AA44*(1+$R44)</f>
        <v>57.27625150275864</v>
      </c>
      <c r="AC44" s="138">
        <f t="shared" si="63"/>
        <v>0.27259892258009066</v>
      </c>
      <c r="AD44" s="31">
        <v>0.08</v>
      </c>
      <c r="AE44" s="127">
        <f>(AB44*(1+AC44))/($C$2-AD44)</f>
        <v>1041.2813707405278</v>
      </c>
    </row>
    <row r="45" spans="2:31" x14ac:dyDescent="0.2">
      <c r="B45" s="20" t="s">
        <v>277</v>
      </c>
      <c r="C45" s="127">
        <f t="shared" ref="C45:P45" si="89">(C8+C14-C11-C10)/C35</f>
        <v>0</v>
      </c>
      <c r="D45" s="127">
        <f t="shared" si="89"/>
        <v>0</v>
      </c>
      <c r="E45" s="127">
        <f t="shared" si="89"/>
        <v>0</v>
      </c>
      <c r="F45" s="145">
        <f t="shared" si="89"/>
        <v>0</v>
      </c>
      <c r="G45" s="145">
        <f t="shared" si="89"/>
        <v>77.74117310033661</v>
      </c>
      <c r="H45" s="145">
        <f t="shared" si="89"/>
        <v>109.96770721205598</v>
      </c>
      <c r="I45" s="145">
        <f t="shared" si="89"/>
        <v>177.02906350914964</v>
      </c>
      <c r="J45" s="145">
        <f t="shared" si="89"/>
        <v>184.90132759239327</v>
      </c>
      <c r="K45" s="145">
        <f t="shared" si="89"/>
        <v>195.13621353880021</v>
      </c>
      <c r="L45" s="145">
        <f t="shared" si="89"/>
        <v>401.95376995046774</v>
      </c>
      <c r="M45" s="145">
        <f t="shared" si="89"/>
        <v>335.48690396239084</v>
      </c>
      <c r="N45" s="145">
        <f t="shared" si="89"/>
        <v>365.320362294532</v>
      </c>
      <c r="O45" s="145">
        <f t="shared" si="89"/>
        <v>468.22103602242589</v>
      </c>
      <c r="P45" s="145">
        <f t="shared" si="89"/>
        <v>489.93631440929062</v>
      </c>
      <c r="Q45" s="118">
        <f>((P45/G45)^(1/($H$3-$H$2) ))-1</f>
        <v>0.22696467724351477</v>
      </c>
      <c r="R45" s="31">
        <v>0.05</v>
      </c>
      <c r="S45" s="119">
        <f t="shared" ref="S45" si="90">P45*(1+$R45)</f>
        <v>514.43313012975511</v>
      </c>
      <c r="T45" s="119">
        <f t="shared" ref="T45" si="91">S45*(1+$R45)</f>
        <v>540.15478663624287</v>
      </c>
      <c r="U45" s="119">
        <f t="shared" ref="U45" si="92">T45*(1+$R45)</f>
        <v>567.16252596805509</v>
      </c>
      <c r="V45" s="119">
        <f t="shared" ref="V45" si="93">U45*(1+$R45)</f>
        <v>595.52065226645789</v>
      </c>
      <c r="W45" s="119">
        <f t="shared" ref="W45" si="94">V45*(1+$R45)</f>
        <v>625.29668487978086</v>
      </c>
      <c r="X45" s="119">
        <f t="shared" ref="X45" si="95">W45*(1+$R45)</f>
        <v>656.56151912376993</v>
      </c>
      <c r="Y45" s="119">
        <f t="shared" ref="Y45" si="96">X45*(1+$R45)</f>
        <v>689.38959507995844</v>
      </c>
      <c r="Z45" s="119">
        <f t="shared" ref="Z45" si="97">Y45*(1+$R45)</f>
        <v>723.85907483395636</v>
      </c>
      <c r="AA45" s="119">
        <f t="shared" ref="AA45" si="98">Z45*(1+$R45)</f>
        <v>760.05202857565416</v>
      </c>
      <c r="AB45" s="119">
        <f t="shared" ref="AB45" si="99">AA45*(1+$R45)</f>
        <v>798.05463000443694</v>
      </c>
      <c r="AC45" s="138">
        <f t="shared" si="63"/>
        <v>0.13039598667215313</v>
      </c>
      <c r="AD45" s="31">
        <v>0.08</v>
      </c>
      <c r="AE45" s="127">
        <f>(AB45*(1+AC45))/($C$2-AD45)</f>
        <v>12887.396441459225</v>
      </c>
    </row>
    <row r="46" spans="2:31" x14ac:dyDescent="0.2">
      <c r="B46" s="20"/>
      <c r="C46" s="127"/>
      <c r="D46" s="127"/>
      <c r="E46" s="127"/>
      <c r="F46" s="145"/>
      <c r="G46" s="145"/>
      <c r="H46" s="145"/>
      <c r="I46" s="145"/>
      <c r="J46" s="145"/>
      <c r="K46" s="145"/>
      <c r="L46" s="145"/>
      <c r="M46" s="145"/>
      <c r="N46" s="145"/>
      <c r="O46" s="145"/>
      <c r="P46" s="145"/>
      <c r="Q46" s="128"/>
      <c r="R46" s="128"/>
      <c r="S46" s="119"/>
      <c r="T46" s="119"/>
      <c r="U46" s="119"/>
      <c r="V46" s="119"/>
      <c r="W46" s="119"/>
      <c r="X46" s="119"/>
      <c r="Y46" s="119"/>
      <c r="Z46" s="119"/>
      <c r="AA46" s="119"/>
      <c r="AB46" s="119"/>
      <c r="AC46" s="139"/>
      <c r="AD46" s="20"/>
      <c r="AE46" s="20"/>
    </row>
    <row r="47" spans="2:31" x14ac:dyDescent="0.2">
      <c r="B47" s="20" t="s">
        <v>248</v>
      </c>
      <c r="C47" s="127">
        <f t="shared" ref="C47:P47" si="100">C12/C35</f>
        <v>0</v>
      </c>
      <c r="D47" s="127">
        <f t="shared" si="100"/>
        <v>0</v>
      </c>
      <c r="E47" s="127">
        <f t="shared" si="100"/>
        <v>0</v>
      </c>
      <c r="F47" s="145">
        <f t="shared" si="100"/>
        <v>0</v>
      </c>
      <c r="G47" s="145">
        <f t="shared" si="100"/>
        <v>1.933681873522882</v>
      </c>
      <c r="H47" s="145">
        <f t="shared" si="100"/>
        <v>2.762827412988877</v>
      </c>
      <c r="I47" s="145">
        <f t="shared" si="100"/>
        <v>1.8586293505561537</v>
      </c>
      <c r="J47" s="145">
        <f t="shared" si="100"/>
        <v>2.9350556153570149</v>
      </c>
      <c r="K47" s="145">
        <f t="shared" si="100"/>
        <v>2.6692350027517886</v>
      </c>
      <c r="L47" s="145">
        <f t="shared" si="100"/>
        <v>5.5401073197578414</v>
      </c>
      <c r="M47" s="145">
        <f t="shared" si="100"/>
        <v>2.2296843519140364</v>
      </c>
      <c r="N47" s="145">
        <f t="shared" si="100"/>
        <v>2.9319020462931902</v>
      </c>
      <c r="O47" s="145">
        <f t="shared" si="100"/>
        <v>4.8544667136670361</v>
      </c>
      <c r="P47" s="145">
        <f t="shared" si="100"/>
        <v>171.8353029322617</v>
      </c>
      <c r="Q47" s="118">
        <f>((P47/G47)^(1/($H$3-$H$2) ))-1</f>
        <v>0.64636173263235075</v>
      </c>
      <c r="R47" s="31">
        <v>0.1</v>
      </c>
      <c r="S47" s="119">
        <f t="shared" ref="S47:S51" si="101">P47*(1+$R47)</f>
        <v>189.0188332254879</v>
      </c>
      <c r="T47" s="119">
        <f t="shared" ref="T47:AB51" si="102">S47*(1+$R47)</f>
        <v>207.92071654803669</v>
      </c>
      <c r="U47" s="119">
        <f t="shared" si="102"/>
        <v>228.71278820284039</v>
      </c>
      <c r="V47" s="119">
        <f t="shared" si="102"/>
        <v>251.58406702312445</v>
      </c>
      <c r="W47" s="119">
        <f t="shared" si="102"/>
        <v>276.74247372543692</v>
      </c>
      <c r="X47" s="119">
        <f t="shared" si="102"/>
        <v>304.41672109798066</v>
      </c>
      <c r="Y47" s="119">
        <f t="shared" si="102"/>
        <v>334.85839320777876</v>
      </c>
      <c r="Z47" s="119">
        <f t="shared" si="102"/>
        <v>368.34423252855669</v>
      </c>
      <c r="AA47" s="119">
        <f t="shared" si="102"/>
        <v>405.17865578141237</v>
      </c>
      <c r="AB47" s="119">
        <f t="shared" si="102"/>
        <v>445.69652135955363</v>
      </c>
      <c r="AC47" s="138">
        <f t="shared" si="63"/>
        <v>0.3315277504184877</v>
      </c>
      <c r="AD47" s="31">
        <v>0.08</v>
      </c>
      <c r="AE47" s="127">
        <f>(AB47*(1+AC47))/($C$2-AD47)</f>
        <v>8477.9612350747429</v>
      </c>
    </row>
    <row r="48" spans="2:31" x14ac:dyDescent="0.2">
      <c r="B48" s="20" t="s">
        <v>255</v>
      </c>
      <c r="C48" s="127">
        <f t="shared" ref="C48:P48" si="103">C13/C35</f>
        <v>0</v>
      </c>
      <c r="D48" s="127">
        <f t="shared" si="103"/>
        <v>0</v>
      </c>
      <c r="E48" s="127">
        <f t="shared" si="103"/>
        <v>0</v>
      </c>
      <c r="F48" s="145">
        <f t="shared" si="103"/>
        <v>0</v>
      </c>
      <c r="G48" s="145">
        <f t="shared" si="103"/>
        <v>131.97736876029506</v>
      </c>
      <c r="H48" s="145">
        <f t="shared" si="103"/>
        <v>165.6476498026552</v>
      </c>
      <c r="I48" s="145">
        <f t="shared" si="103"/>
        <v>47.836383207750274</v>
      </c>
      <c r="J48" s="145">
        <f t="shared" si="103"/>
        <v>37.804090419806244</v>
      </c>
      <c r="K48" s="145">
        <f t="shared" si="103"/>
        <v>65.506329113924039</v>
      </c>
      <c r="L48" s="145">
        <f t="shared" si="103"/>
        <v>44.269400110071544</v>
      </c>
      <c r="M48" s="145">
        <f t="shared" si="103"/>
        <v>30.685023505708529</v>
      </c>
      <c r="N48" s="145">
        <f t="shared" si="103"/>
        <v>56.903723582690368</v>
      </c>
      <c r="O48" s="145">
        <f t="shared" si="103"/>
        <v>129.57330379024407</v>
      </c>
      <c r="P48" s="145">
        <f t="shared" si="103"/>
        <v>145.92514388856725</v>
      </c>
      <c r="Q48" s="118">
        <f>((P48/G48)^(1/($H$3-$H$2) ))-1</f>
        <v>1.1225125074757036E-2</v>
      </c>
      <c r="R48" s="31">
        <v>0.1</v>
      </c>
      <c r="S48" s="119">
        <f t="shared" si="101"/>
        <v>160.51765827742398</v>
      </c>
      <c r="T48" s="119">
        <f t="shared" si="102"/>
        <v>176.56942410516638</v>
      </c>
      <c r="U48" s="119">
        <f t="shared" si="102"/>
        <v>194.22636651568303</v>
      </c>
      <c r="V48" s="119">
        <f t="shared" si="102"/>
        <v>213.64900316725135</v>
      </c>
      <c r="W48" s="119">
        <f t="shared" si="102"/>
        <v>235.01390348397649</v>
      </c>
      <c r="X48" s="119">
        <f t="shared" si="102"/>
        <v>258.51529383237414</v>
      </c>
      <c r="Y48" s="119">
        <f t="shared" si="102"/>
        <v>284.36682321561159</v>
      </c>
      <c r="Z48" s="119">
        <f t="shared" si="102"/>
        <v>312.80350553717278</v>
      </c>
      <c r="AA48" s="119">
        <f t="shared" si="102"/>
        <v>344.08385609089009</v>
      </c>
      <c r="AB48" s="119">
        <f t="shared" si="102"/>
        <v>378.49224169997916</v>
      </c>
      <c r="AC48" s="138">
        <f t="shared" si="63"/>
        <v>5.7017005887230354E-2</v>
      </c>
      <c r="AD48" s="31">
        <v>0.08</v>
      </c>
      <c r="AE48" s="127">
        <f>(AB48*(1+AC48))/($C$2-AD48)</f>
        <v>5715.3248010465422</v>
      </c>
    </row>
    <row r="49" spans="2:31" x14ac:dyDescent="0.2">
      <c r="B49" s="20" t="s">
        <v>256</v>
      </c>
      <c r="C49" s="127">
        <f>(C47+C48)</f>
        <v>0</v>
      </c>
      <c r="D49" s="127">
        <f t="shared" ref="D49:P49" si="104">(D47+D48)</f>
        <v>0</v>
      </c>
      <c r="E49" s="127">
        <f t="shared" si="104"/>
        <v>0</v>
      </c>
      <c r="F49" s="145">
        <f t="shared" si="104"/>
        <v>0</v>
      </c>
      <c r="G49" s="145">
        <f t="shared" si="104"/>
        <v>133.91105063381795</v>
      </c>
      <c r="H49" s="145">
        <f t="shared" si="104"/>
        <v>168.41047721564408</v>
      </c>
      <c r="I49" s="145">
        <f t="shared" si="104"/>
        <v>49.695012558306431</v>
      </c>
      <c r="J49" s="145">
        <f t="shared" si="104"/>
        <v>40.739146035163259</v>
      </c>
      <c r="K49" s="145">
        <f t="shared" si="104"/>
        <v>68.175564116675829</v>
      </c>
      <c r="L49" s="145">
        <f t="shared" si="104"/>
        <v>49.809507429829388</v>
      </c>
      <c r="M49" s="145">
        <f t="shared" si="104"/>
        <v>32.914707857622567</v>
      </c>
      <c r="N49" s="145">
        <f t="shared" si="104"/>
        <v>59.835625628983557</v>
      </c>
      <c r="O49" s="145">
        <f t="shared" ref="O49" si="105">(O47+O48)</f>
        <v>134.42777050391109</v>
      </c>
      <c r="P49" s="145">
        <f t="shared" si="104"/>
        <v>317.76044682082897</v>
      </c>
      <c r="Q49" s="118">
        <f>((P49/G49)^(1/($H$3-$H$2) ))-1</f>
        <v>0.10077398656190217</v>
      </c>
      <c r="R49" s="31">
        <v>0.1</v>
      </c>
      <c r="S49" s="119">
        <f t="shared" si="101"/>
        <v>349.53649150291187</v>
      </c>
      <c r="T49" s="119">
        <f t="shared" si="102"/>
        <v>384.49014065320307</v>
      </c>
      <c r="U49" s="119">
        <f t="shared" si="102"/>
        <v>422.93915471852341</v>
      </c>
      <c r="V49" s="119">
        <f t="shared" si="102"/>
        <v>465.23307019037577</v>
      </c>
      <c r="W49" s="119">
        <f t="shared" si="102"/>
        <v>511.75637720941342</v>
      </c>
      <c r="X49" s="119">
        <f t="shared" si="102"/>
        <v>562.93201493035485</v>
      </c>
      <c r="Y49" s="119">
        <f t="shared" si="102"/>
        <v>619.22521642339041</v>
      </c>
      <c r="Z49" s="119">
        <f t="shared" si="102"/>
        <v>681.14773806572953</v>
      </c>
      <c r="AA49" s="119">
        <f t="shared" si="102"/>
        <v>749.26251187230253</v>
      </c>
      <c r="AB49" s="119">
        <f t="shared" si="102"/>
        <v>824.18876305953279</v>
      </c>
      <c r="AC49" s="138">
        <f t="shared" si="63"/>
        <v>0.10036655735194144</v>
      </c>
      <c r="AD49" s="31">
        <v>0.08</v>
      </c>
      <c r="AE49" s="127">
        <f>(AB49*(1+AC49))/($C$2-AD49)</f>
        <v>12955.853597371046</v>
      </c>
    </row>
    <row r="50" spans="2:31" x14ac:dyDescent="0.2">
      <c r="B50" s="20" t="s">
        <v>249</v>
      </c>
      <c r="C50" s="127">
        <f t="shared" ref="C50:P50" si="106">C14/C35</f>
        <v>0</v>
      </c>
      <c r="D50" s="127">
        <f t="shared" si="106"/>
        <v>0</v>
      </c>
      <c r="E50" s="127">
        <f t="shared" si="106"/>
        <v>0</v>
      </c>
      <c r="F50" s="145">
        <f t="shared" si="106"/>
        <v>0</v>
      </c>
      <c r="G50" s="145">
        <f t="shared" si="106"/>
        <v>77.153906753562993</v>
      </c>
      <c r="H50" s="145">
        <f t="shared" si="106"/>
        <v>84.147829207032657</v>
      </c>
      <c r="I50" s="145">
        <f t="shared" si="106"/>
        <v>107.32687477574453</v>
      </c>
      <c r="J50" s="145">
        <f t="shared" si="106"/>
        <v>119.82059562253319</v>
      </c>
      <c r="K50" s="145">
        <f t="shared" si="106"/>
        <v>175.99752339020361</v>
      </c>
      <c r="L50" s="145">
        <f t="shared" si="106"/>
        <v>411.68134287286733</v>
      </c>
      <c r="M50" s="145">
        <f t="shared" si="106"/>
        <v>248.83814640698455</v>
      </c>
      <c r="N50" s="145">
        <f t="shared" si="106"/>
        <v>349.27541093592754</v>
      </c>
      <c r="O50" s="145">
        <f t="shared" si="106"/>
        <v>419.3641521469097</v>
      </c>
      <c r="P50" s="145">
        <f t="shared" si="106"/>
        <v>463.40632769131219</v>
      </c>
      <c r="Q50" s="118">
        <f>((P50/G50)^(1/($H$3-$H$2) ))-1</f>
        <v>0.22042630480468683</v>
      </c>
      <c r="R50" s="31">
        <v>0.1</v>
      </c>
      <c r="S50" s="119">
        <f t="shared" si="101"/>
        <v>509.74696046044346</v>
      </c>
      <c r="T50" s="119">
        <f t="shared" si="102"/>
        <v>560.72165650648788</v>
      </c>
      <c r="U50" s="119">
        <f t="shared" si="102"/>
        <v>616.79382215713667</v>
      </c>
      <c r="V50" s="119">
        <f t="shared" si="102"/>
        <v>678.47320437285043</v>
      </c>
      <c r="W50" s="119">
        <f t="shared" si="102"/>
        <v>746.32052481013557</v>
      </c>
      <c r="X50" s="119">
        <f t="shared" si="102"/>
        <v>820.95257729114917</v>
      </c>
      <c r="Y50" s="119">
        <f t="shared" si="102"/>
        <v>903.04783502026419</v>
      </c>
      <c r="Z50" s="119">
        <f t="shared" si="102"/>
        <v>993.35261852229064</v>
      </c>
      <c r="AA50" s="119">
        <f t="shared" si="102"/>
        <v>1092.6878803745199</v>
      </c>
      <c r="AB50" s="119">
        <f t="shared" si="102"/>
        <v>1201.956668411972</v>
      </c>
      <c r="AC50" s="138">
        <f t="shared" si="63"/>
        <v>0.15548625480216138</v>
      </c>
      <c r="AD50" s="31">
        <v>0.08</v>
      </c>
      <c r="AE50" s="127">
        <f>(AB50*(1+AC50))/($C$2-AD50)</f>
        <v>19840.634417397614</v>
      </c>
    </row>
    <row r="51" spans="2:31" x14ac:dyDescent="0.2">
      <c r="B51" s="20" t="s">
        <v>250</v>
      </c>
      <c r="C51" s="127">
        <f t="shared" ref="C51:P51" si="107">C15/C35</f>
        <v>0</v>
      </c>
      <c r="D51" s="127">
        <f t="shared" si="107"/>
        <v>0</v>
      </c>
      <c r="E51" s="127">
        <f t="shared" si="107"/>
        <v>0</v>
      </c>
      <c r="F51" s="145">
        <f t="shared" si="107"/>
        <v>0</v>
      </c>
      <c r="G51" s="145">
        <f t="shared" si="107"/>
        <v>16.901811931533338</v>
      </c>
      <c r="H51" s="145">
        <f t="shared" si="107"/>
        <v>12.213850017940437</v>
      </c>
      <c r="I51" s="145">
        <f t="shared" si="107"/>
        <v>21.298887692859708</v>
      </c>
      <c r="J51" s="145">
        <f t="shared" si="107"/>
        <v>42.145676354503053</v>
      </c>
      <c r="K51" s="145">
        <f t="shared" si="107"/>
        <v>115.73335167859108</v>
      </c>
      <c r="L51" s="145">
        <f t="shared" si="107"/>
        <v>71.009906439185457</v>
      </c>
      <c r="M51" s="145">
        <f t="shared" si="107"/>
        <v>66.537944929482876</v>
      </c>
      <c r="N51" s="145">
        <f t="shared" si="107"/>
        <v>114.70647433747064</v>
      </c>
      <c r="O51" s="145">
        <f t="shared" si="107"/>
        <v>160.62376204384464</v>
      </c>
      <c r="P51" s="145">
        <f t="shared" si="107"/>
        <v>156.79256206790859</v>
      </c>
      <c r="Q51" s="118">
        <f>((P51/G51)^(1/($H$3-$H$2) ))-1</f>
        <v>0.28081976654409302</v>
      </c>
      <c r="R51" s="31">
        <v>0.1</v>
      </c>
      <c r="S51" s="119">
        <f t="shared" si="101"/>
        <v>172.47181827469947</v>
      </c>
      <c r="T51" s="119">
        <f t="shared" si="102"/>
        <v>189.71900010216945</v>
      </c>
      <c r="U51" s="119">
        <f t="shared" si="102"/>
        <v>208.6909001123864</v>
      </c>
      <c r="V51" s="119">
        <f t="shared" si="102"/>
        <v>229.55999012362506</v>
      </c>
      <c r="W51" s="119">
        <f t="shared" si="102"/>
        <v>252.51598913598758</v>
      </c>
      <c r="X51" s="119">
        <f t="shared" si="102"/>
        <v>277.76758804958638</v>
      </c>
      <c r="Y51" s="119">
        <f t="shared" si="102"/>
        <v>305.54434685454504</v>
      </c>
      <c r="Z51" s="119">
        <f t="shared" si="102"/>
        <v>336.09878153999955</v>
      </c>
      <c r="AA51" s="119">
        <f t="shared" si="102"/>
        <v>369.70865969399955</v>
      </c>
      <c r="AB51" s="119">
        <f t="shared" si="102"/>
        <v>406.67952566339955</v>
      </c>
      <c r="AC51" s="138">
        <f t="shared" si="63"/>
        <v>0.18222735015391556</v>
      </c>
      <c r="AD51" s="31">
        <v>0.08</v>
      </c>
      <c r="AE51" s="127">
        <f>(AB51*(1+AC51))/($C$2-AD51)</f>
        <v>6868.39511409846</v>
      </c>
    </row>
    <row r="52" spans="2:31" x14ac:dyDescent="0.2">
      <c r="B52" s="20"/>
      <c r="C52" s="127"/>
      <c r="D52" s="127"/>
      <c r="E52" s="127"/>
      <c r="F52" s="145"/>
      <c r="G52" s="145"/>
      <c r="H52" s="145"/>
      <c r="I52" s="145"/>
      <c r="J52" s="145"/>
      <c r="K52" s="145"/>
      <c r="L52" s="145"/>
      <c r="M52" s="145"/>
      <c r="N52" s="145"/>
      <c r="O52" s="145"/>
      <c r="P52" s="145"/>
      <c r="Q52" s="128"/>
      <c r="R52" s="128"/>
      <c r="S52" s="119"/>
      <c r="T52" s="119"/>
      <c r="U52" s="119"/>
      <c r="V52" s="119"/>
      <c r="W52" s="119"/>
      <c r="X52" s="119"/>
      <c r="Y52" s="119"/>
      <c r="Z52" s="119"/>
      <c r="AA52" s="119"/>
      <c r="AB52" s="119"/>
      <c r="AC52" s="139"/>
      <c r="AD52" s="20"/>
      <c r="AE52" s="20"/>
    </row>
    <row r="53" spans="2:31" x14ac:dyDescent="0.2">
      <c r="B53" s="20" t="s">
        <v>284</v>
      </c>
      <c r="C53" s="146">
        <v>1</v>
      </c>
      <c r="D53" s="146">
        <v>1</v>
      </c>
      <c r="E53" s="146">
        <v>1</v>
      </c>
      <c r="F53" s="147">
        <v>5</v>
      </c>
      <c r="G53" s="147">
        <v>5.25</v>
      </c>
      <c r="H53" s="147">
        <v>7.5</v>
      </c>
      <c r="I53" s="147">
        <v>10</v>
      </c>
      <c r="J53" s="147">
        <v>11</v>
      </c>
      <c r="K53" s="147">
        <v>13</v>
      </c>
      <c r="L53" s="147">
        <v>13</v>
      </c>
      <c r="M53" s="147">
        <v>7</v>
      </c>
      <c r="N53" s="147">
        <v>8</v>
      </c>
      <c r="O53" s="147">
        <v>8.5</v>
      </c>
      <c r="P53" s="147">
        <v>9</v>
      </c>
      <c r="Q53" s="118">
        <f>((P53/G53)^(1/($H$3-$H$2) ))-1</f>
        <v>6.1718158457117367E-2</v>
      </c>
      <c r="R53" s="31">
        <v>0.05</v>
      </c>
      <c r="S53" s="119">
        <f t="shared" ref="S53" si="108">P53*(1+$R53)</f>
        <v>9.4500000000000011</v>
      </c>
      <c r="T53" s="119">
        <f t="shared" ref="T53" si="109">S53*(1+$R53)</f>
        <v>9.9225000000000012</v>
      </c>
      <c r="U53" s="119">
        <f t="shared" ref="U53" si="110">T53*(1+$R53)</f>
        <v>10.418625000000002</v>
      </c>
      <c r="V53" s="119">
        <f t="shared" ref="V53" si="111">U53*(1+$R53)</f>
        <v>10.939556250000003</v>
      </c>
      <c r="W53" s="119">
        <f t="shared" ref="W53" si="112">V53*(1+$R53)</f>
        <v>11.486534062500002</v>
      </c>
      <c r="X53" s="119">
        <f t="shared" ref="X53" si="113">W53*(1+$R53)</f>
        <v>12.060860765625003</v>
      </c>
      <c r="Y53" s="119">
        <f t="shared" ref="Y53" si="114">X53*(1+$R53)</f>
        <v>12.663903803906255</v>
      </c>
      <c r="Z53" s="119">
        <f t="shared" ref="Z53" si="115">Y53*(1+$R53)</f>
        <v>13.297098994101567</v>
      </c>
      <c r="AA53" s="119">
        <f t="shared" ref="AA53" si="116">Z53*(1+$R53)</f>
        <v>13.961953943806646</v>
      </c>
      <c r="AB53" s="119">
        <f t="shared" ref="AB53" si="117">AA53*(1+$R53)</f>
        <v>14.660051640996979</v>
      </c>
      <c r="AC53" s="138">
        <f t="shared" ref="AC53" si="118">((AB53/G53)^(1/($AB$4-$H$2) ))-1</f>
        <v>5.553449678183342E-2</v>
      </c>
      <c r="AD53" s="31">
        <v>0.08</v>
      </c>
      <c r="AE53" s="127">
        <f>(AB53*(1+AC53))/($C$2-AD53)</f>
        <v>221.05986045250629</v>
      </c>
    </row>
    <row r="54" spans="2:31" x14ac:dyDescent="0.2">
      <c r="B54" s="20"/>
      <c r="C54" s="127"/>
      <c r="D54" s="127"/>
      <c r="E54" s="127"/>
      <c r="F54" s="145"/>
      <c r="G54" s="145"/>
      <c r="H54" s="145"/>
      <c r="I54" s="145"/>
      <c r="J54" s="145"/>
      <c r="K54" s="145"/>
      <c r="L54" s="145"/>
      <c r="M54" s="145"/>
      <c r="N54" s="145"/>
      <c r="O54" s="145"/>
      <c r="P54" s="145"/>
      <c r="Q54" s="128"/>
      <c r="R54" s="128"/>
      <c r="S54" s="119"/>
      <c r="T54" s="119"/>
      <c r="U54" s="119"/>
      <c r="V54" s="119"/>
      <c r="W54" s="119"/>
      <c r="X54" s="119"/>
      <c r="Y54" s="119"/>
      <c r="Z54" s="119"/>
      <c r="AA54" s="119"/>
      <c r="AB54" s="119"/>
      <c r="AC54" s="139"/>
      <c r="AD54" s="20"/>
      <c r="AE54" s="20"/>
    </row>
    <row r="55" spans="2:31" x14ac:dyDescent="0.2">
      <c r="B55" s="20" t="s">
        <v>292</v>
      </c>
      <c r="C55" s="127">
        <f t="shared" ref="C55:G55" si="119">C19+C20</f>
        <v>0</v>
      </c>
      <c r="D55" s="127">
        <f t="shared" si="119"/>
        <v>0</v>
      </c>
      <c r="E55" s="127">
        <f t="shared" si="119"/>
        <v>0</v>
      </c>
      <c r="F55" s="145">
        <f t="shared" si="119"/>
        <v>-391</v>
      </c>
      <c r="G55" s="145">
        <f t="shared" si="119"/>
        <v>1168</v>
      </c>
      <c r="H55" s="145">
        <f>H19+H20</f>
        <v>9092</v>
      </c>
      <c r="I55" s="145">
        <f t="shared" ref="I55:P55" si="120">I19+I20</f>
        <v>-2916</v>
      </c>
      <c r="J55" s="145">
        <f t="shared" si="120"/>
        <v>-12497</v>
      </c>
      <c r="K55" s="145">
        <f t="shared" si="120"/>
        <v>-14192</v>
      </c>
      <c r="L55" s="145">
        <f t="shared" si="120"/>
        <v>-6819</v>
      </c>
      <c r="M55" s="145">
        <f t="shared" si="120"/>
        <v>2264</v>
      </c>
      <c r="N55" s="145">
        <f t="shared" si="120"/>
        <v>1295</v>
      </c>
      <c r="O55" s="145">
        <f t="shared" si="120"/>
        <v>18182</v>
      </c>
      <c r="P55" s="145">
        <f t="shared" si="120"/>
        <v>9268</v>
      </c>
      <c r="Q55" s="118">
        <f>((P55/G55)^(1/($H$3-$H$2) ))-1</f>
        <v>0.25877828536853698</v>
      </c>
      <c r="R55" s="128"/>
      <c r="S55" s="127">
        <f t="shared" ref="S55:AB55" si="121">S19-S20</f>
        <v>67796.399999999994</v>
      </c>
      <c r="T55" s="127">
        <f t="shared" si="121"/>
        <v>71186.22</v>
      </c>
      <c r="U55" s="127">
        <f t="shared" si="121"/>
        <v>74745.531000000003</v>
      </c>
      <c r="V55" s="127">
        <f t="shared" si="121"/>
        <v>78482.807549999998</v>
      </c>
      <c r="W55" s="127">
        <f t="shared" si="121"/>
        <v>82406.947927500005</v>
      </c>
      <c r="X55" s="127">
        <f t="shared" si="121"/>
        <v>86527.29532387502</v>
      </c>
      <c r="Y55" s="127">
        <f t="shared" si="121"/>
        <v>90853.660090068763</v>
      </c>
      <c r="Z55" s="127">
        <f t="shared" si="121"/>
        <v>95396.343094572221</v>
      </c>
      <c r="AA55" s="127">
        <f t="shared" si="121"/>
        <v>100166.16024930082</v>
      </c>
      <c r="AB55" s="127">
        <f t="shared" si="121"/>
        <v>105174.46826176587</v>
      </c>
      <c r="AC55" s="138">
        <f t="shared" ref="AC55:AC60" si="122">((AB55/G55)^(1/($AB$4-$H$2) ))-1</f>
        <v>0.26726286733993243</v>
      </c>
      <c r="AD55" s="31">
        <v>0.08</v>
      </c>
      <c r="AE55" s="127">
        <f>(AB55*(1+AC55))/($C$2-AD55)</f>
        <v>1904052.8317194022</v>
      </c>
    </row>
    <row r="56" spans="2:31" x14ac:dyDescent="0.2">
      <c r="B56" s="20"/>
      <c r="C56" s="127"/>
      <c r="D56" s="127"/>
      <c r="E56" s="127"/>
      <c r="F56" s="145"/>
      <c r="G56" s="145"/>
      <c r="H56" s="145"/>
      <c r="I56" s="145"/>
      <c r="J56" s="145"/>
      <c r="K56" s="145"/>
      <c r="L56" s="145"/>
      <c r="M56" s="145"/>
      <c r="N56" s="145"/>
      <c r="O56" s="145"/>
      <c r="P56" s="145"/>
      <c r="Q56" s="118"/>
      <c r="R56" s="128"/>
      <c r="S56" s="127"/>
      <c r="T56" s="127"/>
      <c r="U56" s="127"/>
      <c r="V56" s="127"/>
      <c r="W56" s="127"/>
      <c r="X56" s="127"/>
      <c r="Y56" s="127"/>
      <c r="Z56" s="127"/>
      <c r="AA56" s="127"/>
      <c r="AB56" s="127"/>
      <c r="AC56" s="138"/>
      <c r="AD56" s="31"/>
      <c r="AE56" s="127"/>
    </row>
    <row r="57" spans="2:31" x14ac:dyDescent="0.2">
      <c r="B57" s="20" t="s">
        <v>288</v>
      </c>
      <c r="C57" s="127">
        <f t="shared" ref="C57:G57" si="123">C55/C35</f>
        <v>0</v>
      </c>
      <c r="D57" s="127">
        <f t="shared" si="123"/>
        <v>0</v>
      </c>
      <c r="E57" s="127">
        <f t="shared" si="123"/>
        <v>0</v>
      </c>
      <c r="F57" s="145">
        <f t="shared" si="123"/>
        <v>-391</v>
      </c>
      <c r="G57" s="145">
        <f t="shared" si="123"/>
        <v>8.3649645491656521</v>
      </c>
      <c r="H57" s="145">
        <f t="shared" ref="H57" si="124">H55/H35</f>
        <v>65.245783997129536</v>
      </c>
      <c r="I57" s="145">
        <f t="shared" ref="I57:P57" si="125">I55/I35</f>
        <v>-20.925726587728743</v>
      </c>
      <c r="J57" s="145">
        <f t="shared" si="125"/>
        <v>-89.680660208109074</v>
      </c>
      <c r="K57" s="145">
        <f t="shared" si="125"/>
        <v>-97.633461750137585</v>
      </c>
      <c r="L57" s="145">
        <f t="shared" si="125"/>
        <v>-46.911117226197021</v>
      </c>
      <c r="M57" s="145">
        <f t="shared" si="125"/>
        <v>7.6024177300201474</v>
      </c>
      <c r="N57" s="145">
        <f t="shared" si="125"/>
        <v>4.3441798054344174</v>
      </c>
      <c r="O57" s="145">
        <f t="shared" si="125"/>
        <v>61.040051028972371</v>
      </c>
      <c r="P57" s="145">
        <f t="shared" si="125"/>
        <v>31.563532336614106</v>
      </c>
      <c r="Q57" s="118">
        <f>((P57/G57)^(1/($H$3-$H$2) ))-1</f>
        <v>0.15899127386297218</v>
      </c>
      <c r="R57" s="128"/>
      <c r="S57" s="127">
        <f t="shared" ref="S57:AB57" si="126">S55/S35</f>
        <v>230.89057657596294</v>
      </c>
      <c r="T57" s="127">
        <f t="shared" si="126"/>
        <v>242.43510540476109</v>
      </c>
      <c r="U57" s="127">
        <f t="shared" si="126"/>
        <v>254.55686067499917</v>
      </c>
      <c r="V57" s="127">
        <f t="shared" si="126"/>
        <v>267.28470370874908</v>
      </c>
      <c r="W57" s="127">
        <f t="shared" si="126"/>
        <v>280.64893889418659</v>
      </c>
      <c r="X57" s="127">
        <f t="shared" si="126"/>
        <v>294.68138583889595</v>
      </c>
      <c r="Y57" s="127">
        <f t="shared" si="126"/>
        <v>309.41545513084071</v>
      </c>
      <c r="Z57" s="127">
        <f t="shared" si="126"/>
        <v>324.88622788738286</v>
      </c>
      <c r="AA57" s="127">
        <f t="shared" si="126"/>
        <v>341.13053928175196</v>
      </c>
      <c r="AB57" s="127">
        <f t="shared" si="126"/>
        <v>358.18706624583956</v>
      </c>
      <c r="AC57" s="138">
        <f t="shared" si="122"/>
        <v>0.2186418671392778</v>
      </c>
      <c r="AD57" s="31">
        <v>0.08</v>
      </c>
      <c r="AE57" s="127">
        <f>(AB57*(1+AC57))/($C$2-AD57)</f>
        <v>6235.7393599281449</v>
      </c>
    </row>
    <row r="58" spans="2:31" x14ac:dyDescent="0.2">
      <c r="B58" s="20" t="s">
        <v>289</v>
      </c>
      <c r="C58" s="127">
        <f t="shared" ref="C58:G58" si="127">C19/C35</f>
        <v>0</v>
      </c>
      <c r="D58" s="127">
        <f t="shared" si="127"/>
        <v>0</v>
      </c>
      <c r="E58" s="127">
        <f t="shared" si="127"/>
        <v>0</v>
      </c>
      <c r="F58" s="145">
        <f t="shared" si="127"/>
        <v>6598</v>
      </c>
      <c r="G58" s="145">
        <f t="shared" si="127"/>
        <v>83.563704075055512</v>
      </c>
      <c r="H58" s="145">
        <f t="shared" ref="H58" si="128">H19/H35</f>
        <v>124.18371008252602</v>
      </c>
      <c r="I58" s="145">
        <f t="shared" ref="I58:P58" si="129">I19/I35</f>
        <v>73.720846788661646</v>
      </c>
      <c r="J58" s="145">
        <f t="shared" si="129"/>
        <v>120.18658055256549</v>
      </c>
      <c r="K58" s="145">
        <f t="shared" si="129"/>
        <v>111.67446340121077</v>
      </c>
      <c r="L58" s="145">
        <f t="shared" si="129"/>
        <v>112.04595487066592</v>
      </c>
      <c r="M58" s="145">
        <f t="shared" si="129"/>
        <v>68.817998656816656</v>
      </c>
      <c r="N58" s="145">
        <f t="shared" si="129"/>
        <v>111.83495471318349</v>
      </c>
      <c r="O58" s="145">
        <f t="shared" si="129"/>
        <v>82.193574378084392</v>
      </c>
      <c r="P58" s="145">
        <f t="shared" si="129"/>
        <v>125.72965977590846</v>
      </c>
      <c r="Q58" s="118">
        <f>((P58/G58)^(1/($H$3-$H$2) ))-1</f>
        <v>4.6437608883751036E-2</v>
      </c>
      <c r="R58" s="128"/>
      <c r="S58" s="127">
        <f t="shared" ref="S58:AB58" si="130">S19/S35</f>
        <v>132.01614276470389</v>
      </c>
      <c r="T58" s="127">
        <f t="shared" si="130"/>
        <v>138.61694990293907</v>
      </c>
      <c r="U58" s="127">
        <f t="shared" si="130"/>
        <v>145.54779739808603</v>
      </c>
      <c r="V58" s="127">
        <f t="shared" si="130"/>
        <v>152.82518726799032</v>
      </c>
      <c r="W58" s="127">
        <f t="shared" si="130"/>
        <v>160.46644663138986</v>
      </c>
      <c r="X58" s="127">
        <f t="shared" si="130"/>
        <v>168.48976896295935</v>
      </c>
      <c r="Y58" s="127">
        <f t="shared" si="130"/>
        <v>176.91425741110734</v>
      </c>
      <c r="Z58" s="127">
        <f t="shared" si="130"/>
        <v>185.7599702816627</v>
      </c>
      <c r="AA58" s="127">
        <f t="shared" si="130"/>
        <v>195.04796879574585</v>
      </c>
      <c r="AB58" s="127">
        <f t="shared" si="130"/>
        <v>204.80036723553314</v>
      </c>
      <c r="AC58" s="138">
        <f t="shared" si="122"/>
        <v>4.8311042365992041E-2</v>
      </c>
      <c r="AD58" s="31">
        <v>0.08</v>
      </c>
      <c r="AE58" s="127">
        <f>(AB58*(1+AC58))/($C$2-AD58)</f>
        <v>3067.0640921945674</v>
      </c>
    </row>
    <row r="59" spans="2:31" x14ac:dyDescent="0.2">
      <c r="B59" s="20" t="s">
        <v>290</v>
      </c>
      <c r="C59" s="127">
        <f t="shared" ref="C59:G59" si="131">C20/C35</f>
        <v>0</v>
      </c>
      <c r="D59" s="127">
        <f t="shared" si="131"/>
        <v>0</v>
      </c>
      <c r="E59" s="127">
        <f t="shared" si="131"/>
        <v>0</v>
      </c>
      <c r="F59" s="145">
        <f t="shared" si="131"/>
        <v>-6989</v>
      </c>
      <c r="G59" s="145">
        <f t="shared" si="131"/>
        <v>-75.198739525889849</v>
      </c>
      <c r="H59" s="145">
        <f t="shared" ref="H59" si="132">H20/H35</f>
        <v>-58.937926085396484</v>
      </c>
      <c r="I59" s="145">
        <f t="shared" ref="I59:P59" si="133">I20/I35</f>
        <v>-94.646573376390393</v>
      </c>
      <c r="J59" s="145">
        <f t="shared" si="133"/>
        <v>-209.86724076067458</v>
      </c>
      <c r="K59" s="145">
        <f t="shared" si="133"/>
        <v>-209.30792515134834</v>
      </c>
      <c r="L59" s="145">
        <f t="shared" si="133"/>
        <v>-158.95707209686296</v>
      </c>
      <c r="M59" s="145">
        <f t="shared" si="133"/>
        <v>-61.215580926796505</v>
      </c>
      <c r="N59" s="145">
        <f t="shared" si="133"/>
        <v>-107.49077490774907</v>
      </c>
      <c r="O59" s="145">
        <f t="shared" si="133"/>
        <v>-21.153523349112028</v>
      </c>
      <c r="P59" s="145">
        <f t="shared" si="133"/>
        <v>-94.166127439294357</v>
      </c>
      <c r="Q59" s="118">
        <f>((P59/G59)^(1/($H$3-$H$2) ))-1</f>
        <v>2.5306697755042462E-2</v>
      </c>
      <c r="R59" s="128"/>
      <c r="S59" s="127">
        <f t="shared" ref="S59:AB59" si="134">S20/S35</f>
        <v>-98.874433811259067</v>
      </c>
      <c r="T59" s="127">
        <f t="shared" si="134"/>
        <v>-103.81815550182202</v>
      </c>
      <c r="U59" s="127">
        <f t="shared" si="134"/>
        <v>-109.00906327691314</v>
      </c>
      <c r="V59" s="127">
        <f t="shared" si="134"/>
        <v>-114.4595164407588</v>
      </c>
      <c r="W59" s="127">
        <f t="shared" si="134"/>
        <v>-120.18249226279676</v>
      </c>
      <c r="X59" s="127">
        <f t="shared" si="134"/>
        <v>-126.1916168759366</v>
      </c>
      <c r="Y59" s="127">
        <f t="shared" si="134"/>
        <v>-132.50119771973343</v>
      </c>
      <c r="Z59" s="127">
        <f t="shared" si="134"/>
        <v>-139.1262576057201</v>
      </c>
      <c r="AA59" s="127">
        <f t="shared" si="134"/>
        <v>-146.08257048600612</v>
      </c>
      <c r="AB59" s="127">
        <f t="shared" si="134"/>
        <v>-153.38669901030644</v>
      </c>
      <c r="AC59" s="138">
        <f t="shared" si="122"/>
        <v>3.8229904103476375E-2</v>
      </c>
      <c r="AD59" s="31">
        <v>0.08</v>
      </c>
      <c r="AE59" s="127">
        <f>(AB59*(1+AC59))/($C$2-AD59)</f>
        <v>-2275.0093972031327</v>
      </c>
    </row>
    <row r="60" spans="2:31" x14ac:dyDescent="0.2">
      <c r="B60" s="20" t="s">
        <v>291</v>
      </c>
      <c r="C60" s="127">
        <f t="shared" ref="C60:G60" si="135">C21/C35</f>
        <v>0</v>
      </c>
      <c r="D60" s="127">
        <f t="shared" si="135"/>
        <v>0</v>
      </c>
      <c r="E60" s="127">
        <f t="shared" si="135"/>
        <v>0</v>
      </c>
      <c r="F60" s="145">
        <f t="shared" si="135"/>
        <v>-1222</v>
      </c>
      <c r="G60" s="145">
        <f t="shared" si="135"/>
        <v>-7.4912268137219797</v>
      </c>
      <c r="H60" s="145">
        <f>H21/H35</f>
        <v>-40.94725511302476</v>
      </c>
      <c r="I60" s="145">
        <f t="shared" ref="I60:P60" si="136">I21/I35</f>
        <v>13.749551489056334</v>
      </c>
      <c r="J60" s="145">
        <f t="shared" si="136"/>
        <v>-77.043415859346965</v>
      </c>
      <c r="K60" s="145">
        <f t="shared" si="136"/>
        <v>114.99724821133736</v>
      </c>
      <c r="L60" s="145">
        <f t="shared" si="136"/>
        <v>172.23445239405612</v>
      </c>
      <c r="M60" s="145">
        <f t="shared" si="136"/>
        <v>-37.384150436534583</v>
      </c>
      <c r="N60" s="145">
        <f t="shared" si="136"/>
        <v>50.147601476014756</v>
      </c>
      <c r="O60" s="145">
        <f t="shared" si="136"/>
        <v>-25.480914492899586</v>
      </c>
      <c r="P60" s="145">
        <f t="shared" si="136"/>
        <v>1.3895037972959166</v>
      </c>
      <c r="Q60" s="118">
        <f>((P60/G60)^(1/($H$3-$H$2) ))-1</f>
        <v>-1.8292791657671481</v>
      </c>
      <c r="R60" s="128"/>
      <c r="S60" s="127">
        <f t="shared" ref="S60:AB60" si="137">S21/S35</f>
        <v>1.4589789871607126</v>
      </c>
      <c r="T60" s="127">
        <f t="shared" si="137"/>
        <v>1.5319279365187484</v>
      </c>
      <c r="U60" s="127">
        <f t="shared" si="137"/>
        <v>1.6085243333446859</v>
      </c>
      <c r="V60" s="127">
        <f t="shared" si="137"/>
        <v>1.6889505500119202</v>
      </c>
      <c r="W60" s="127">
        <f t="shared" si="137"/>
        <v>1.7733980775125164</v>
      </c>
      <c r="X60" s="127">
        <f t="shared" si="137"/>
        <v>1.8620679813881422</v>
      </c>
      <c r="Y60" s="127">
        <f t="shared" si="137"/>
        <v>1.9551713804575495</v>
      </c>
      <c r="Z60" s="127">
        <f t="shared" si="137"/>
        <v>2.052929949480427</v>
      </c>
      <c r="AA60" s="127">
        <f t="shared" si="137"/>
        <v>2.1555764469544485</v>
      </c>
      <c r="AB60" s="127">
        <f t="shared" si="137"/>
        <v>2.2633552693021715</v>
      </c>
      <c r="AC60" s="138">
        <f t="shared" si="122"/>
        <v>-1.9389491946926487</v>
      </c>
      <c r="AD60" s="31">
        <v>0.08</v>
      </c>
      <c r="AE60" s="127">
        <f>(AB60*(1+AC60))/($C$2-AD60)</f>
        <v>-30.359651534494816</v>
      </c>
    </row>
    <row r="61" spans="2:31" x14ac:dyDescent="0.2">
      <c r="B61" s="20" t="s">
        <v>298</v>
      </c>
      <c r="C61" s="127">
        <f t="shared" ref="C61:G61" si="138">C22/C35</f>
        <v>0</v>
      </c>
      <c r="D61" s="127">
        <f t="shared" si="138"/>
        <v>0</v>
      </c>
      <c r="E61" s="127">
        <f t="shared" si="138"/>
        <v>0</v>
      </c>
      <c r="F61" s="145">
        <f t="shared" si="138"/>
        <v>150</v>
      </c>
      <c r="G61" s="145">
        <f t="shared" si="138"/>
        <v>1.933681873522882</v>
      </c>
      <c r="H61" s="145">
        <f>H22/H35</f>
        <v>25.905992106207393</v>
      </c>
      <c r="I61" s="145">
        <f t="shared" ref="I61:P61" si="139">I22/I35</f>
        <v>18.772874058127019</v>
      </c>
      <c r="J61" s="145">
        <f t="shared" si="139"/>
        <v>13.900251166128454</v>
      </c>
      <c r="K61" s="145">
        <f t="shared" si="139"/>
        <v>30.778756191524486</v>
      </c>
      <c r="L61" s="145">
        <f t="shared" si="139"/>
        <v>156.45294441386901</v>
      </c>
      <c r="M61" s="145">
        <f t="shared" si="139"/>
        <v>46.642041638683679</v>
      </c>
      <c r="N61" s="145">
        <f t="shared" si="139"/>
        <v>101.10365649111036</v>
      </c>
      <c r="O61" s="145">
        <f t="shared" si="139"/>
        <v>136.74086010675799</v>
      </c>
      <c r="P61" s="145">
        <f t="shared" si="139"/>
        <v>171.8353029322617</v>
      </c>
      <c r="Q61" s="118">
        <f>((P61/G61)^(1/($H$3-$H$2) ))-1</f>
        <v>0.64636173263235075</v>
      </c>
      <c r="R61" s="128"/>
      <c r="S61" s="127">
        <f>S22/S35</f>
        <v>180.42706807887478</v>
      </c>
      <c r="T61" s="127">
        <f t="shared" ref="T61:AB61" si="140">T22/T35</f>
        <v>189.44842148281853</v>
      </c>
      <c r="U61" s="127">
        <f t="shared" si="140"/>
        <v>198.92084255695946</v>
      </c>
      <c r="V61" s="127">
        <f t="shared" si="140"/>
        <v>208.86688468480745</v>
      </c>
      <c r="W61" s="127">
        <f t="shared" si="140"/>
        <v>219.31022891904783</v>
      </c>
      <c r="X61" s="127">
        <f t="shared" si="140"/>
        <v>230.27574036500022</v>
      </c>
      <c r="Y61" s="127">
        <f t="shared" si="140"/>
        <v>241.78952738325026</v>
      </c>
      <c r="Z61" s="127">
        <f t="shared" si="140"/>
        <v>253.87900375241279</v>
      </c>
      <c r="AA61" s="127">
        <f t="shared" si="140"/>
        <v>266.57295394003347</v>
      </c>
      <c r="AB61" s="127">
        <f t="shared" si="140"/>
        <v>279.90160163703513</v>
      </c>
      <c r="AC61" s="138">
        <f t="shared" ref="AC61" si="141">((AB61/G61)^(1/($AB$4-$H$2) ))-1</f>
        <v>0.29932220634909412</v>
      </c>
      <c r="AD61" s="31">
        <v>0.08</v>
      </c>
      <c r="AE61" s="127">
        <f>(AB61*(1+AC61))/($C$2-AD61)</f>
        <v>5195.462379995397</v>
      </c>
    </row>
    <row r="62" spans="2:31" x14ac:dyDescent="0.2">
      <c r="B62" s="20"/>
      <c r="C62" s="127"/>
      <c r="D62" s="127"/>
      <c r="E62" s="127"/>
      <c r="F62" s="145"/>
      <c r="G62" s="145"/>
      <c r="H62" s="145"/>
      <c r="I62" s="145"/>
      <c r="J62" s="145"/>
      <c r="K62" s="145"/>
      <c r="L62" s="145"/>
      <c r="M62" s="145"/>
      <c r="N62" s="145"/>
      <c r="O62" s="145"/>
      <c r="P62" s="145"/>
      <c r="Q62" s="118"/>
      <c r="R62" s="128"/>
      <c r="S62" s="119"/>
      <c r="T62" s="119"/>
      <c r="U62" s="119"/>
      <c r="V62" s="119"/>
      <c r="W62" s="119"/>
      <c r="X62" s="119"/>
      <c r="Y62" s="119"/>
      <c r="Z62" s="119"/>
      <c r="AA62" s="119"/>
      <c r="AB62" s="119"/>
      <c r="AC62" s="139"/>
      <c r="AD62" s="20"/>
      <c r="AE62" s="20"/>
    </row>
    <row r="63" spans="2:31" x14ac:dyDescent="0.2"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128"/>
      <c r="R63" s="128"/>
      <c r="S63" s="119"/>
      <c r="T63" s="119"/>
      <c r="U63" s="119"/>
      <c r="V63" s="119"/>
      <c r="W63" s="119"/>
      <c r="X63" s="119"/>
      <c r="Y63" s="119"/>
      <c r="Z63" s="119"/>
      <c r="AA63" s="119"/>
      <c r="AB63" s="119"/>
      <c r="AC63" s="139"/>
      <c r="AD63" s="20"/>
      <c r="AE63" s="20"/>
    </row>
    <row r="64" spans="2:31" x14ac:dyDescent="0.2">
      <c r="B64" s="108" t="s">
        <v>83</v>
      </c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128"/>
      <c r="R64" s="128"/>
      <c r="S64" s="119"/>
      <c r="T64" s="119"/>
      <c r="U64" s="119"/>
      <c r="V64" s="119"/>
      <c r="W64" s="119"/>
      <c r="X64" s="119"/>
      <c r="Y64" s="119"/>
      <c r="Z64" s="119"/>
      <c r="AA64" s="119"/>
      <c r="AB64" s="119"/>
      <c r="AC64" s="139"/>
      <c r="AD64" s="20"/>
      <c r="AE64" s="20"/>
    </row>
    <row r="65" spans="2:31" x14ac:dyDescent="0.2">
      <c r="B65" s="20" t="s">
        <v>82</v>
      </c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118" t="e">
        <f>((P65/G65)^(1/($H$3-$H$2) ))-1</f>
        <v>#DIV/0!</v>
      </c>
      <c r="R65" s="31">
        <v>0.1</v>
      </c>
      <c r="S65" s="119">
        <f t="shared" ref="S65:S71" si="142">P65*(1+$R65)</f>
        <v>0</v>
      </c>
      <c r="T65" s="119">
        <f t="shared" ref="T65:AB71" si="143">S65*(1+$R65)</f>
        <v>0</v>
      </c>
      <c r="U65" s="119">
        <f t="shared" si="143"/>
        <v>0</v>
      </c>
      <c r="V65" s="119">
        <f t="shared" si="143"/>
        <v>0</v>
      </c>
      <c r="W65" s="119">
        <f t="shared" si="143"/>
        <v>0</v>
      </c>
      <c r="X65" s="119">
        <f t="shared" si="143"/>
        <v>0</v>
      </c>
      <c r="Y65" s="119">
        <f t="shared" si="143"/>
        <v>0</v>
      </c>
      <c r="Z65" s="119">
        <f t="shared" si="143"/>
        <v>0</v>
      </c>
      <c r="AA65" s="119">
        <f t="shared" si="143"/>
        <v>0</v>
      </c>
      <c r="AB65" s="119">
        <f t="shared" si="143"/>
        <v>0</v>
      </c>
      <c r="AC65" s="138" t="e">
        <f t="shared" ref="AC65:AC71" si="144">((AB65/G65)^(1/($AB$4-$H$2) ))-1</f>
        <v>#DIV/0!</v>
      </c>
      <c r="AD65" s="31">
        <v>0.08</v>
      </c>
      <c r="AE65" s="127" t="e">
        <f t="shared" ref="AE65:AE71" si="145">(AB65*(1+AC65))/($C$2-AD65)</f>
        <v>#DIV/0!</v>
      </c>
    </row>
    <row r="66" spans="2:31" x14ac:dyDescent="0.2">
      <c r="B66" s="20" t="s">
        <v>84</v>
      </c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118" t="e">
        <f t="shared" ref="Q66:Q71" si="146">((P66/G66)^(1/($H$3-$H$2) ))-1</f>
        <v>#DIV/0!</v>
      </c>
      <c r="R66" s="31">
        <v>0.1</v>
      </c>
      <c r="S66" s="119">
        <f t="shared" si="142"/>
        <v>0</v>
      </c>
      <c r="T66" s="119">
        <f t="shared" si="143"/>
        <v>0</v>
      </c>
      <c r="U66" s="119">
        <f t="shared" si="143"/>
        <v>0</v>
      </c>
      <c r="V66" s="119">
        <f t="shared" si="143"/>
        <v>0</v>
      </c>
      <c r="W66" s="119">
        <f t="shared" si="143"/>
        <v>0</v>
      </c>
      <c r="X66" s="119">
        <f t="shared" si="143"/>
        <v>0</v>
      </c>
      <c r="Y66" s="119">
        <f t="shared" si="143"/>
        <v>0</v>
      </c>
      <c r="Z66" s="119">
        <f t="shared" si="143"/>
        <v>0</v>
      </c>
      <c r="AA66" s="119">
        <f t="shared" si="143"/>
        <v>0</v>
      </c>
      <c r="AB66" s="119">
        <f t="shared" si="143"/>
        <v>0</v>
      </c>
      <c r="AC66" s="138" t="e">
        <f t="shared" si="144"/>
        <v>#DIV/0!</v>
      </c>
      <c r="AD66" s="31">
        <v>0.08</v>
      </c>
      <c r="AE66" s="127" t="e">
        <f t="shared" si="145"/>
        <v>#DIV/0!</v>
      </c>
    </row>
    <row r="67" spans="2:31" x14ac:dyDescent="0.2">
      <c r="B67" s="20" t="s">
        <v>85</v>
      </c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118" t="e">
        <f t="shared" si="146"/>
        <v>#DIV/0!</v>
      </c>
      <c r="R67" s="31">
        <v>0.1</v>
      </c>
      <c r="S67" s="119">
        <f t="shared" si="142"/>
        <v>0</v>
      </c>
      <c r="T67" s="119">
        <f t="shared" si="143"/>
        <v>0</v>
      </c>
      <c r="U67" s="119">
        <f t="shared" si="143"/>
        <v>0</v>
      </c>
      <c r="V67" s="119">
        <f t="shared" si="143"/>
        <v>0</v>
      </c>
      <c r="W67" s="119">
        <f t="shared" si="143"/>
        <v>0</v>
      </c>
      <c r="X67" s="119">
        <f t="shared" si="143"/>
        <v>0</v>
      </c>
      <c r="Y67" s="119">
        <f t="shared" si="143"/>
        <v>0</v>
      </c>
      <c r="Z67" s="119">
        <f t="shared" si="143"/>
        <v>0</v>
      </c>
      <c r="AA67" s="119">
        <f t="shared" si="143"/>
        <v>0</v>
      </c>
      <c r="AB67" s="119">
        <f t="shared" si="143"/>
        <v>0</v>
      </c>
      <c r="AC67" s="138" t="e">
        <f t="shared" si="144"/>
        <v>#DIV/0!</v>
      </c>
      <c r="AD67" s="31">
        <v>0.08</v>
      </c>
      <c r="AE67" s="127" t="e">
        <f t="shared" si="145"/>
        <v>#DIV/0!</v>
      </c>
    </row>
    <row r="68" spans="2:31" x14ac:dyDescent="0.2">
      <c r="B68" s="20" t="s">
        <v>81</v>
      </c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118" t="e">
        <f t="shared" si="146"/>
        <v>#DIV/0!</v>
      </c>
      <c r="R68" s="31">
        <v>0.1</v>
      </c>
      <c r="S68" s="119">
        <f t="shared" si="142"/>
        <v>0</v>
      </c>
      <c r="T68" s="119">
        <f t="shared" si="143"/>
        <v>0</v>
      </c>
      <c r="U68" s="119">
        <f t="shared" si="143"/>
        <v>0</v>
      </c>
      <c r="V68" s="119">
        <f t="shared" si="143"/>
        <v>0</v>
      </c>
      <c r="W68" s="119">
        <f t="shared" si="143"/>
        <v>0</v>
      </c>
      <c r="X68" s="119">
        <f t="shared" si="143"/>
        <v>0</v>
      </c>
      <c r="Y68" s="119">
        <f t="shared" si="143"/>
        <v>0</v>
      </c>
      <c r="Z68" s="119">
        <f t="shared" si="143"/>
        <v>0</v>
      </c>
      <c r="AA68" s="119">
        <f t="shared" si="143"/>
        <v>0</v>
      </c>
      <c r="AB68" s="119">
        <f t="shared" si="143"/>
        <v>0</v>
      </c>
      <c r="AC68" s="138" t="e">
        <f t="shared" si="144"/>
        <v>#DIV/0!</v>
      </c>
      <c r="AD68" s="31">
        <v>0.08</v>
      </c>
      <c r="AE68" s="127" t="e">
        <f t="shared" si="145"/>
        <v>#DIV/0!</v>
      </c>
    </row>
    <row r="69" spans="2:31" x14ac:dyDescent="0.2">
      <c r="B69" s="20" t="s">
        <v>78</v>
      </c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118" t="e">
        <f t="shared" si="146"/>
        <v>#DIV/0!</v>
      </c>
      <c r="R69" s="31">
        <v>0.1</v>
      </c>
      <c r="S69" s="119">
        <f t="shared" si="142"/>
        <v>0</v>
      </c>
      <c r="T69" s="119">
        <f t="shared" si="143"/>
        <v>0</v>
      </c>
      <c r="U69" s="119">
        <f t="shared" si="143"/>
        <v>0</v>
      </c>
      <c r="V69" s="119">
        <f t="shared" si="143"/>
        <v>0</v>
      </c>
      <c r="W69" s="119">
        <f t="shared" si="143"/>
        <v>0</v>
      </c>
      <c r="X69" s="119">
        <f t="shared" si="143"/>
        <v>0</v>
      </c>
      <c r="Y69" s="119">
        <f t="shared" si="143"/>
        <v>0</v>
      </c>
      <c r="Z69" s="119">
        <f t="shared" si="143"/>
        <v>0</v>
      </c>
      <c r="AA69" s="119">
        <f t="shared" si="143"/>
        <v>0</v>
      </c>
      <c r="AB69" s="119">
        <f t="shared" si="143"/>
        <v>0</v>
      </c>
      <c r="AC69" s="138" t="e">
        <f t="shared" si="144"/>
        <v>#DIV/0!</v>
      </c>
      <c r="AD69" s="31">
        <v>0.08</v>
      </c>
      <c r="AE69" s="127" t="e">
        <f t="shared" si="145"/>
        <v>#DIV/0!</v>
      </c>
    </row>
    <row r="70" spans="2:31" x14ac:dyDescent="0.2">
      <c r="B70" s="20" t="s">
        <v>79</v>
      </c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118" t="e">
        <f t="shared" si="146"/>
        <v>#DIV/0!</v>
      </c>
      <c r="R70" s="31">
        <v>0.1</v>
      </c>
      <c r="S70" s="119">
        <f t="shared" si="142"/>
        <v>0</v>
      </c>
      <c r="T70" s="119">
        <f t="shared" si="143"/>
        <v>0</v>
      </c>
      <c r="U70" s="119">
        <f t="shared" si="143"/>
        <v>0</v>
      </c>
      <c r="V70" s="119">
        <f t="shared" si="143"/>
        <v>0</v>
      </c>
      <c r="W70" s="119">
        <f t="shared" si="143"/>
        <v>0</v>
      </c>
      <c r="X70" s="119">
        <f t="shared" si="143"/>
        <v>0</v>
      </c>
      <c r="Y70" s="119">
        <f t="shared" si="143"/>
        <v>0</v>
      </c>
      <c r="Z70" s="119">
        <f t="shared" si="143"/>
        <v>0</v>
      </c>
      <c r="AA70" s="119">
        <f t="shared" si="143"/>
        <v>0</v>
      </c>
      <c r="AB70" s="119">
        <f t="shared" si="143"/>
        <v>0</v>
      </c>
      <c r="AC70" s="138" t="e">
        <f t="shared" si="144"/>
        <v>#DIV/0!</v>
      </c>
      <c r="AD70" s="31">
        <v>0.08</v>
      </c>
      <c r="AE70" s="127" t="e">
        <f t="shared" si="145"/>
        <v>#DIV/0!</v>
      </c>
    </row>
    <row r="71" spans="2:31" x14ac:dyDescent="0.2">
      <c r="B71" s="20" t="s">
        <v>80</v>
      </c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118" t="e">
        <f t="shared" si="146"/>
        <v>#DIV/0!</v>
      </c>
      <c r="R71" s="31">
        <v>0.1</v>
      </c>
      <c r="S71" s="119">
        <f t="shared" si="142"/>
        <v>0</v>
      </c>
      <c r="T71" s="119">
        <f t="shared" si="143"/>
        <v>0</v>
      </c>
      <c r="U71" s="119">
        <f t="shared" si="143"/>
        <v>0</v>
      </c>
      <c r="V71" s="119">
        <f t="shared" si="143"/>
        <v>0</v>
      </c>
      <c r="W71" s="119">
        <f t="shared" si="143"/>
        <v>0</v>
      </c>
      <c r="X71" s="119">
        <f t="shared" si="143"/>
        <v>0</v>
      </c>
      <c r="Y71" s="119">
        <f t="shared" si="143"/>
        <v>0</v>
      </c>
      <c r="Z71" s="119">
        <f t="shared" si="143"/>
        <v>0</v>
      </c>
      <c r="AA71" s="119">
        <f t="shared" si="143"/>
        <v>0</v>
      </c>
      <c r="AB71" s="119">
        <f t="shared" si="143"/>
        <v>0</v>
      </c>
      <c r="AC71" s="138" t="e">
        <f t="shared" si="144"/>
        <v>#DIV/0!</v>
      </c>
      <c r="AD71" s="31">
        <v>0.08</v>
      </c>
      <c r="AE71" s="127" t="e">
        <f t="shared" si="145"/>
        <v>#DIV/0!</v>
      </c>
    </row>
    <row r="72" spans="2:31" x14ac:dyDescent="0.2"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137"/>
      <c r="AD72" s="20"/>
      <c r="AE72" s="20"/>
    </row>
    <row r="73" spans="2:31" x14ac:dyDescent="0.2"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137"/>
      <c r="AD73" s="20"/>
      <c r="AE73" s="20"/>
    </row>
    <row r="74" spans="2:31" x14ac:dyDescent="0.2">
      <c r="B74" s="108" t="s">
        <v>244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3"/>
      <c r="R74" s="23"/>
      <c r="S74" s="122" t="s">
        <v>66</v>
      </c>
      <c r="T74" s="20"/>
      <c r="U74" s="20"/>
      <c r="V74" s="20"/>
      <c r="W74" s="20"/>
      <c r="X74" s="20"/>
      <c r="Y74" s="20"/>
      <c r="Z74" s="20"/>
      <c r="AA74" s="20"/>
      <c r="AB74" s="20"/>
      <c r="AC74" s="137"/>
      <c r="AD74" s="20"/>
      <c r="AE74" s="20"/>
    </row>
    <row r="75" spans="2:31" x14ac:dyDescent="0.2">
      <c r="B75" s="23" t="s">
        <v>282</v>
      </c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5">
        <f>AVERAGE(G38:P39)</f>
        <v>288.35053958344804</v>
      </c>
      <c r="Q75" s="23"/>
      <c r="R75" s="23"/>
      <c r="S75" s="134"/>
      <c r="T75" s="20"/>
      <c r="U75" s="20"/>
      <c r="V75" s="20"/>
      <c r="W75" s="20"/>
      <c r="X75" s="20"/>
      <c r="Y75" s="20"/>
      <c r="Z75" s="20"/>
      <c r="AA75" s="20"/>
      <c r="AB75" s="20"/>
      <c r="AC75" s="137"/>
      <c r="AD75" s="20"/>
      <c r="AE75" s="20"/>
    </row>
    <row r="76" spans="2:31" x14ac:dyDescent="0.2">
      <c r="B76" s="20" t="s">
        <v>25</v>
      </c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140">
        <f>S76+T76</f>
        <v>715.75821655274331</v>
      </c>
      <c r="S76" s="133">
        <f>PV($C$2, ($AB$4-$S$4), 0, -AB38)</f>
        <v>43.652773320216902</v>
      </c>
      <c r="T76" s="133">
        <f>PV($C$2, ($AB$4-$S$4), 0, -AE38)</f>
        <v>672.10544323252645</v>
      </c>
      <c r="U76" s="20"/>
      <c r="V76" s="20"/>
      <c r="W76" s="20"/>
      <c r="X76" s="20"/>
      <c r="Y76" s="20"/>
      <c r="Z76" s="20"/>
      <c r="AA76" s="20"/>
      <c r="AB76" s="20"/>
      <c r="AC76" s="137"/>
      <c r="AD76" s="20"/>
      <c r="AE76" s="20"/>
    </row>
    <row r="77" spans="2:31" x14ac:dyDescent="0.2">
      <c r="B77" s="20" t="s">
        <v>273</v>
      </c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140">
        <f t="shared" ref="R77:R95" si="147">S77+T77</f>
        <v>6317.163807562154</v>
      </c>
      <c r="S77" s="133">
        <f>PV($C$2, ($AB$4-$S$4), 0, -AB39)</f>
        <v>380.50395704357425</v>
      </c>
      <c r="T77" s="133">
        <f>PV($C$2, ($AB$4-$S$4), 0, -AE39)</f>
        <v>5936.6598505185802</v>
      </c>
      <c r="U77" s="20"/>
      <c r="V77" s="20"/>
      <c r="W77" s="20"/>
      <c r="X77" s="20"/>
      <c r="Y77" s="20"/>
      <c r="Z77" s="20"/>
      <c r="AA77" s="20"/>
      <c r="AB77" s="20"/>
      <c r="AC77" s="137"/>
      <c r="AD77" s="20"/>
      <c r="AE77" s="20"/>
    </row>
    <row r="78" spans="2:31" x14ac:dyDescent="0.2">
      <c r="B78" s="20" t="s">
        <v>274</v>
      </c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140">
        <f t="shared" si="147"/>
        <v>6221.88873304563</v>
      </c>
      <c r="S78" s="133">
        <f>PV($C$2, ($AB$4-$S$4), 0, -AB40)</f>
        <v>374.31532055017374</v>
      </c>
      <c r="T78" s="133">
        <f>PV($C$2, ($AB$4-$S$4), 0, -AE40)</f>
        <v>5847.5734124954561</v>
      </c>
      <c r="U78" s="20"/>
      <c r="V78" s="20"/>
      <c r="W78" s="20"/>
      <c r="X78" s="20"/>
      <c r="Y78" s="20"/>
      <c r="Z78" s="20"/>
      <c r="AA78" s="20"/>
      <c r="AB78" s="20"/>
      <c r="AC78" s="137"/>
      <c r="AD78" s="20"/>
      <c r="AE78" s="20"/>
    </row>
    <row r="79" spans="2:31" x14ac:dyDescent="0.2">
      <c r="B79" s="20" t="s">
        <v>275</v>
      </c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140">
        <f t="shared" si="147"/>
        <v>3380.3135158522118</v>
      </c>
      <c r="S79" s="133">
        <f>PV($C$2, ($AB$4-$S$4), 0, -AB41)</f>
        <v>204.7115892374143</v>
      </c>
      <c r="T79" s="133">
        <f>PV($C$2, ($AB$4-$S$4), 0, -AE41)</f>
        <v>3175.6019266147973</v>
      </c>
      <c r="U79" s="20"/>
      <c r="V79" s="20"/>
      <c r="W79" s="20"/>
      <c r="X79" s="20"/>
      <c r="Y79" s="20"/>
      <c r="Z79" s="20"/>
      <c r="AA79" s="20"/>
      <c r="AB79" s="20"/>
      <c r="AC79" s="137"/>
      <c r="AD79" s="20"/>
      <c r="AE79" s="20"/>
    </row>
    <row r="80" spans="2:31" x14ac:dyDescent="0.2">
      <c r="B80" s="20" t="s">
        <v>276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140">
        <f t="shared" si="147"/>
        <v>2536.6604780647681</v>
      </c>
      <c r="S80" s="133">
        <f>PV($C$2, ($AB$4-$S$4), 0, -AB47)</f>
        <v>126.69476819956904</v>
      </c>
      <c r="T80" s="133">
        <f>PV($C$2, ($AB$4-$S$4), 0, -AE47)</f>
        <v>2409.9657098651992</v>
      </c>
      <c r="U80" s="20"/>
      <c r="V80" s="20"/>
      <c r="W80" s="20"/>
      <c r="X80" s="20"/>
      <c r="Y80" s="20"/>
      <c r="Z80" s="20"/>
      <c r="AA80" s="20"/>
      <c r="AB80" s="20"/>
      <c r="AC80" s="137"/>
      <c r="AD80" s="20"/>
      <c r="AE80" s="20"/>
    </row>
    <row r="81" spans="2:31" x14ac:dyDescent="0.2"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140"/>
      <c r="S81" s="133"/>
      <c r="T81" s="20"/>
      <c r="U81" s="20"/>
      <c r="V81" s="20"/>
      <c r="W81" s="20"/>
      <c r="X81" s="20"/>
      <c r="Y81" s="20"/>
      <c r="Z81" s="20"/>
      <c r="AA81" s="20"/>
      <c r="AB81" s="20"/>
      <c r="AC81" s="137"/>
      <c r="AD81" s="20"/>
      <c r="AE81" s="20"/>
    </row>
    <row r="82" spans="2:31" x14ac:dyDescent="0.2">
      <c r="B82" s="20" t="s">
        <v>271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40">
        <f t="shared" si="147"/>
        <v>3256.5426514398082</v>
      </c>
      <c r="S82" s="133">
        <f>PV($C$2, ($AB$4-$S$4), 0, -AB43)</f>
        <v>193.81655790020466</v>
      </c>
      <c r="T82" s="133">
        <f>PV($C$2, ($AB$4-$S$4), 0, -$AE$43)</f>
        <v>3062.7260935396034</v>
      </c>
      <c r="U82" s="20"/>
      <c r="V82" s="20"/>
      <c r="W82" s="20"/>
      <c r="X82" s="20"/>
      <c r="Y82" s="20"/>
      <c r="Z82" s="20"/>
      <c r="AA82" s="20"/>
      <c r="AB82" s="20"/>
      <c r="AC82" s="137"/>
      <c r="AD82" s="20"/>
      <c r="AE82" s="20"/>
    </row>
    <row r="83" spans="2:31" x14ac:dyDescent="0.2">
      <c r="B83" s="20" t="s">
        <v>272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40">
        <f t="shared" si="147"/>
        <v>312.27863946396383</v>
      </c>
      <c r="S83" s="133">
        <f>PV($C$2, ($AB$4-$S$4), 0, -AB44)</f>
        <v>16.281485404792193</v>
      </c>
      <c r="T83" s="133">
        <f>PV($C$2, ($AB$4-$S$4), 0, -$AE$44)</f>
        <v>295.99715405917163</v>
      </c>
      <c r="U83" s="20"/>
      <c r="V83" s="20"/>
      <c r="W83" s="20"/>
      <c r="X83" s="20"/>
      <c r="Y83" s="20"/>
      <c r="Z83" s="20"/>
      <c r="AA83" s="20"/>
      <c r="AB83" s="20"/>
      <c r="AC83" s="137"/>
      <c r="AD83" s="20"/>
      <c r="AE83" s="20"/>
    </row>
    <row r="84" spans="2:31" x14ac:dyDescent="0.2">
      <c r="B84" s="20" t="s">
        <v>277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40">
        <f t="shared" si="147"/>
        <v>3890.2593314316573</v>
      </c>
      <c r="S84" s="133">
        <f>PV($C$2, ($AB$4-$S$4), 0, -AB45)</f>
        <v>226.85693406486729</v>
      </c>
      <c r="T84" s="133">
        <f>PV($C$2, ($AB$4-$S$4), 0, -$AE$45)</f>
        <v>3663.40239736679</v>
      </c>
      <c r="U84" s="20"/>
      <c r="V84" s="20"/>
      <c r="W84" s="20"/>
      <c r="X84" s="20"/>
      <c r="Y84" s="20"/>
      <c r="Z84" s="20"/>
      <c r="AA84" s="20"/>
      <c r="AB84" s="20"/>
      <c r="AC84" s="137"/>
      <c r="AD84" s="20"/>
      <c r="AE84" s="20"/>
    </row>
    <row r="85" spans="2:31" x14ac:dyDescent="0.2"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40"/>
      <c r="S85" s="133"/>
      <c r="T85" s="20"/>
      <c r="U85" s="20"/>
      <c r="V85" s="20"/>
      <c r="W85" s="20"/>
      <c r="X85" s="20"/>
      <c r="Y85" s="20"/>
      <c r="Z85" s="20"/>
      <c r="AA85" s="20"/>
      <c r="AB85" s="20"/>
      <c r="AC85" s="137"/>
      <c r="AD85" s="20"/>
      <c r="AE85" s="20"/>
    </row>
    <row r="86" spans="2:31" x14ac:dyDescent="0.2">
      <c r="B86" s="20" t="s">
        <v>249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40">
        <f t="shared" si="147"/>
        <v>1966.3231152688809</v>
      </c>
      <c r="S86" s="133">
        <f>PV($C$2, ($AB$4-$S$4), 0, -AB50)</f>
        <v>341.67110173052481</v>
      </c>
      <c r="T86" s="133">
        <f>PV($C$2, ($AB$4-$S$4), 0, -AE48)</f>
        <v>1624.652013538356</v>
      </c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 x14ac:dyDescent="0.2">
      <c r="B87" s="20" t="s">
        <v>250</v>
      </c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40">
        <f t="shared" si="147"/>
        <v>5755.5502987885975</v>
      </c>
      <c r="S87" s="133">
        <f>PV($C$2, ($AB$4-$S$4), 0, -AB51)</f>
        <v>115.6037028924203</v>
      </c>
      <c r="T87" s="133">
        <f>PV($C$2, ($AB$4-$S$4), 0, -AE50)</f>
        <v>5639.9465958961773</v>
      </c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 x14ac:dyDescent="0.2"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/>
      <c r="S88" s="133"/>
      <c r="T88" s="133"/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 x14ac:dyDescent="0.2">
      <c r="B89" s="20" t="s">
        <v>295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>
        <f t="shared" ref="R89" si="148">S89+T89</f>
        <v>773072.74972885859</v>
      </c>
      <c r="S89" s="133">
        <f>PV($C$2, ($AB$4-$S$4), 0, -AB12)</f>
        <v>37201.384786439456</v>
      </c>
      <c r="T89" s="133">
        <f>PV($C$2, ($AB$4-$S$4), 0, -AE12)</f>
        <v>735871.36494241911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 x14ac:dyDescent="0.2">
      <c r="B90" s="20" t="s">
        <v>296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>
        <f>S90+T90</f>
        <v>2632.8125522898154</v>
      </c>
      <c r="S90" s="140">
        <f>S89/P35</f>
        <v>126.69476819956904</v>
      </c>
      <c r="T90" s="140">
        <f>T89/P35</f>
        <v>2506.1177840902465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 x14ac:dyDescent="0.2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/>
      <c r="S91" s="140"/>
      <c r="T91" s="140"/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 x14ac:dyDescent="0.2">
      <c r="B92" s="108" t="s">
        <v>299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/>
      <c r="S92" s="133"/>
      <c r="T92" s="133"/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 x14ac:dyDescent="0.2">
      <c r="B93" s="20" t="s">
        <v>284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>
        <f t="shared" ref="R93" si="149">S93+T93</f>
        <v>147.4507274511117</v>
      </c>
      <c r="S93" s="133">
        <f>PV($C$2, ($AB$4-$S$4), 0, -AB53)+PV($C$2, ($AA$4-$S$4), 0, -AB53)+PV($C$2, ($Z$4-$S$4), 0, -AB53)+PV($C$2, ($Y$4-$S$4), 0, -AB53)+PV($C$2, ($X$4-$S$4), 0, -AB53)+PV($C$2, ($W$4-$S$4), 0, -AB53)+PV($C$2, ($V$4-$S$4), 0, -AB53)+PV($C$2, ($U$4-$S$4), 0, -AB53)+PV($C$2, ($T$4-$S$4), 0, -AB53)+PV($C$2, ($S$4-$S$4), 0, -AB53)</f>
        <v>84.611718313624237</v>
      </c>
      <c r="T93" s="133">
        <f>PV($C$2, ($AB$4-$S$4), 0, -AE53)</f>
        <v>62.839009137487459</v>
      </c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 x14ac:dyDescent="0.2">
      <c r="B94" s="23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/>
      <c r="S94" s="133"/>
      <c r="T94" s="133"/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 x14ac:dyDescent="0.2">
      <c r="B95" s="20" t="s">
        <v>292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si="147"/>
        <v>1148273.9203824368</v>
      </c>
      <c r="S95" s="133">
        <f>PV($C$2, ($AB$4-$S$4), 0, -AB55)+PV($C$2, ($AA$4-$S$4), 0, -AB55)+PV($C$2, ($Z$4-$S$4), 0, -AB55)+PV($C$2, ($Y$4-$S$4), 0, -AB55)+PV($C$2, ($X$4-$S$4), 0, -AB55)+PV($C$2, ($W$4-$S$4), 0, -AB55)+PV($C$2, ($V$4-$S$4), 0, -AB55)+PV($C$2, ($U$4-$S$4), 0, -AB55)+PV($C$2, ($T$4-$S$4), 0, -AB55)+PV($C$2, ($S$4-$S$4), 0, -AB55)</f>
        <v>607023.26978600991</v>
      </c>
      <c r="T95" s="133">
        <f>PV($C$2, ($AB$4-$S$4), 0, -AE55)</f>
        <v>541250.65059642692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/>
      <c r="S96" s="133"/>
      <c r="T96" s="133"/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 t="s">
        <v>288</v>
      </c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>
        <f t="shared" ref="R97:R100" si="150">S97+T97</f>
        <v>3839.8930231074478</v>
      </c>
      <c r="S97" s="133">
        <f>PV($C$2, ($AB$4-$S$4), 0, -AB57)+PV($C$2, ($AA$4-$S$4), 0, -AB57)+PV($C$2, ($Z$4-$S$4), 0, -AB57)+PV($C$2, ($Y$4-$S$4), 0, -AB57)+PV($C$2, ($X$4-$S$4), 0, -AB57)+PV($C$2, ($W$4-$S$4), 0, -AB57)+PV($C$2, ($V$4-$S$4), 0, -AB57)+PV($C$2, ($U$4-$S$4), 0, -AB57)+PV($C$2, ($T$4-$S$4), 0, -AB57)+PV($C$2, ($S$4-$S$4), 0, -AB57)</f>
        <v>2067.3067118005988</v>
      </c>
      <c r="T97" s="133">
        <f>PV($C$2, ($AB$4-$S$4), 0, -AE57)</f>
        <v>1772.586311306849</v>
      </c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20" t="s">
        <v>289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>
        <f t="shared" si="150"/>
        <v>2053.8735430208339</v>
      </c>
      <c r="S98" s="133">
        <f>PV($C$2, ($AB$4-$S$4), 0, -AB58)+PV($C$2, ($AA$4-$S$4), 0, -AB58)+PV($C$2, ($Z$4-$S$4), 0, -AB58)+PV($C$2, ($Y$4-$S$4), 0, -AB58)+PV($C$2, ($X$4-$S$4), 0, -AB58)+PV($C$2, ($W$4-$S$4), 0, -AB58)+PV($C$2, ($V$4-$S$4), 0, -AB58)+PV($C$2, ($U$4-$S$4), 0, -AB58)+PV($C$2, ($T$4-$S$4), 0, -AB58)+PV($C$2, ($S$4-$S$4), 0, -AB58)</f>
        <v>1182.0225062918862</v>
      </c>
      <c r="T98" s="133">
        <f>PV($C$2, ($AB$4-$S$4), 0, -AE58)</f>
        <v>871.85103672894763</v>
      </c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20" t="s">
        <v>290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si="150"/>
        <v>-1531.9838641716733</v>
      </c>
      <c r="S99" s="133">
        <f>PV($C$2, ($AB$4-$S$4), 0, -AB59)+PV($C$2, ($AA$4-$S$4), 0, -AB59)+PV($C$2, ($Z$4-$S$4), 0, -AB59)+PV($C$2, ($Y$4-$S$4), 0, -AB59)+PV($C$2, ($X$4-$S$4), 0, -AB59)+PV($C$2, ($W$4-$S$4), 0, -AB59)+PV($C$2, ($V$4-$S$4), 0, -AB59)+PV($C$2, ($U$4-$S$4), 0, -AB59)+PV($C$2, ($T$4-$S$4), 0, -AB59)+PV($C$2, ($S$4-$S$4), 0, -AB59)</f>
        <v>-885.28420550871294</v>
      </c>
      <c r="T99" s="133">
        <f>PV($C$2, ($AB$4-$S$4), 0, -AE59)</f>
        <v>-646.69965866296047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0" t="s">
        <v>291</v>
      </c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>
        <f t="shared" si="150"/>
        <v>4.4330371030521221</v>
      </c>
      <c r="S100" s="133">
        <f>PV($C$2, ($AB$4-$S$4), 0, -AB60)+PV($C$2, ($AA$4-$S$4), 0, -AB60)+PV($C$2, ($Z$4-$S$4), 0, -AB60)+PV($C$2, ($Y$4-$S$4), 0, -AB60)+PV($C$2, ($X$4-$S$4), 0, -AB60)+PV($C$2, ($W$4-$S$4), 0, -AB60)+PV($C$2, ($V$4-$S$4), 0, -AB60)+PV($C$2, ($U$4-$S$4), 0, -AB60)+PV($C$2, ($T$4-$S$4), 0, -AB60)+PV($C$2, ($S$4-$S$4), 0, -AB60)</f>
        <v>13.06314487694593</v>
      </c>
      <c r="T100" s="133">
        <f>PV($C$2, ($AB$4-$S$4), 0, -AE60)</f>
        <v>-8.6301077738938083</v>
      </c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/>
      <c r="S101" s="133"/>
      <c r="T101" s="133"/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 t="s">
        <v>300</v>
      </c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>
        <f>S102+T102</f>
        <v>3092.3502509169739</v>
      </c>
      <c r="S102" s="133">
        <f>PV($C$2, ($AB$4-$S$4), 0, -AB61)+PV($C$2, ($AA$4-$S$4), 0, -AB61)+PV($C$2, ($Z$4-$S$4), 0, -AB61)+PV($C$2, ($Y$4-$S$4), 0, -AB61)+PV($C$2, ($X$4-$S$4), 0, -AB61)+PV($C$2, ($W$4-$S$4), 0, -AB61)+PV($C$2, ($V$4-$S$4), 0, -AB61)+PV($C$2, ($U$4-$S$4), 0, -AB61)+PV($C$2, ($T$4-$S$4), 0, -AB61)+PV($C$2, ($S$4-$S$4), 0, -AB61)</f>
        <v>1615.475583115646</v>
      </c>
      <c r="T102" s="133">
        <f>PV($C$2, ($AB$4-$S$4), 0, -AE61)</f>
        <v>1476.8746678013276</v>
      </c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121"/>
      <c r="T103" s="20"/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108" t="s">
        <v>251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 x14ac:dyDescent="0.2">
      <c r="B105" s="20" t="s">
        <v>204</v>
      </c>
      <c r="C105" s="22">
        <v>14</v>
      </c>
      <c r="D105" s="22">
        <v>14</v>
      </c>
      <c r="E105" s="22">
        <v>14</v>
      </c>
      <c r="F105" s="22">
        <v>14</v>
      </c>
      <c r="G105" s="22">
        <v>14</v>
      </c>
      <c r="H105" s="22">
        <v>14250</v>
      </c>
      <c r="I105" s="22">
        <v>14</v>
      </c>
      <c r="J105" s="22">
        <v>14</v>
      </c>
      <c r="K105" s="22">
        <v>14</v>
      </c>
      <c r="L105" s="22">
        <v>14</v>
      </c>
      <c r="M105" s="22">
        <v>800</v>
      </c>
      <c r="N105" s="22">
        <v>800</v>
      </c>
      <c r="O105" s="22">
        <v>800</v>
      </c>
      <c r="P105" s="22">
        <v>800</v>
      </c>
      <c r="Q105" s="118">
        <f t="shared" ref="Q105:Q109" si="151">((P105/G105)^(1/($H$3-$H$2) ))-1</f>
        <v>0.56753769993051817</v>
      </c>
      <c r="R105" s="31">
        <v>0.1</v>
      </c>
      <c r="S105" s="119">
        <f t="shared" ref="S105" si="152">P105*(1+$R105)</f>
        <v>880.00000000000011</v>
      </c>
      <c r="T105" s="119">
        <f t="shared" ref="T105:AB105" si="153">S105*(1+$R105)</f>
        <v>968.00000000000023</v>
      </c>
      <c r="U105" s="119">
        <f t="shared" si="153"/>
        <v>1064.8000000000004</v>
      </c>
      <c r="V105" s="119">
        <f t="shared" si="153"/>
        <v>1171.2800000000007</v>
      </c>
      <c r="W105" s="119">
        <f t="shared" si="153"/>
        <v>1288.4080000000008</v>
      </c>
      <c r="X105" s="119">
        <f t="shared" si="153"/>
        <v>1417.248800000001</v>
      </c>
      <c r="Y105" s="119">
        <f t="shared" si="153"/>
        <v>1558.9736800000012</v>
      </c>
      <c r="Z105" s="119">
        <f t="shared" si="153"/>
        <v>1714.8710480000016</v>
      </c>
      <c r="AA105" s="119">
        <f t="shared" si="153"/>
        <v>1886.3581528000018</v>
      </c>
      <c r="AB105" s="119">
        <f t="shared" si="153"/>
        <v>2074.9939680800021</v>
      </c>
      <c r="AC105" s="138">
        <f t="shared" ref="AC105:AC109" si="154">((AB105/G105)^(1/($AB$4-$H$2) ))-1</f>
        <v>0.30094011463776504</v>
      </c>
      <c r="AD105" s="31">
        <v>0.08</v>
      </c>
      <c r="AE105" s="127">
        <f t="shared" ref="AE105:AE110" si="155">(AB105*(1+AC105))/($C$2-AD105)</f>
        <v>38563.469867238135</v>
      </c>
    </row>
    <row r="106" spans="2:31" x14ac:dyDescent="0.2">
      <c r="B106" s="20" t="s">
        <v>42</v>
      </c>
      <c r="C106" s="25" t="e">
        <f t="shared" ref="C106:P106" si="156">C105/C38</f>
        <v>#DIV/0!</v>
      </c>
      <c r="D106" s="25" t="e">
        <f t="shared" si="156"/>
        <v>#DIV/0!</v>
      </c>
      <c r="E106" s="25" t="e">
        <f t="shared" si="156"/>
        <v>#DIV/0!</v>
      </c>
      <c r="F106" s="25" t="e">
        <f t="shared" si="156"/>
        <v>#DIV/0!</v>
      </c>
      <c r="G106" s="25">
        <f t="shared" si="156"/>
        <v>0.37825464396284825</v>
      </c>
      <c r="H106" s="25">
        <f t="shared" si="156"/>
        <v>260.32216832721548</v>
      </c>
      <c r="I106" s="25">
        <f t="shared" si="156"/>
        <v>0.20767511177347245</v>
      </c>
      <c r="J106" s="25">
        <f t="shared" si="156"/>
        <v>0.16157859864170945</v>
      </c>
      <c r="K106" s="25">
        <f t="shared" si="156"/>
        <v>0.10423807816421657</v>
      </c>
      <c r="L106" s="25">
        <f t="shared" si="156"/>
        <v>0.13612307692307693</v>
      </c>
      <c r="M106" s="25">
        <f t="shared" si="156"/>
        <v>9.7547393850059372</v>
      </c>
      <c r="N106" s="25">
        <f t="shared" si="156"/>
        <v>12.375071350734263</v>
      </c>
      <c r="O106" s="25">
        <f t="shared" si="156"/>
        <v>12.085814271948067</v>
      </c>
      <c r="P106" s="25">
        <f t="shared" si="156"/>
        <v>11.24695968591401</v>
      </c>
      <c r="Q106" s="118">
        <f t="shared" si="151"/>
        <v>0.45778857108467919</v>
      </c>
      <c r="R106" s="128"/>
      <c r="S106" s="119">
        <f t="shared" ref="S106:AB106" si="157">S105/S38</f>
        <v>11.455236717134641</v>
      </c>
      <c r="T106" s="119">
        <f t="shared" si="157"/>
        <v>11.667370730414913</v>
      </c>
      <c r="U106" s="119">
        <f t="shared" si="157"/>
        <v>11.883433151348523</v>
      </c>
      <c r="V106" s="119">
        <f t="shared" si="157"/>
        <v>12.10349672822535</v>
      </c>
      <c r="W106" s="119">
        <f t="shared" si="157"/>
        <v>12.32763555652582</v>
      </c>
      <c r="X106" s="119">
        <f t="shared" si="157"/>
        <v>12.555925103868891</v>
      </c>
      <c r="Y106" s="119">
        <f t="shared" si="157"/>
        <v>12.788442235422018</v>
      </c>
      <c r="Z106" s="119">
        <f t="shared" si="157"/>
        <v>13.025265239781687</v>
      </c>
      <c r="AA106" s="119">
        <f t="shared" si="157"/>
        <v>13.266473855333199</v>
      </c>
      <c r="AB106" s="119">
        <f t="shared" si="157"/>
        <v>13.512149297098627</v>
      </c>
      <c r="AC106" s="138">
        <f t="shared" si="154"/>
        <v>0.20707343721728644</v>
      </c>
      <c r="AD106" s="31">
        <v>0.08</v>
      </c>
      <c r="AE106" s="127">
        <f t="shared" si="155"/>
        <v>233.00223566059975</v>
      </c>
    </row>
    <row r="107" spans="2:31" x14ac:dyDescent="0.2">
      <c r="B107" s="20" t="s">
        <v>259</v>
      </c>
      <c r="C107" s="25" t="e">
        <f t="shared" ref="C107:P107" si="158">C105/C40</f>
        <v>#DIV/0!</v>
      </c>
      <c r="D107" s="25" t="e">
        <f t="shared" si="158"/>
        <v>#DIV/0!</v>
      </c>
      <c r="E107" s="25" t="e">
        <f t="shared" si="158"/>
        <v>#DIV/0!</v>
      </c>
      <c r="F107" s="25" t="e">
        <f t="shared" si="158"/>
        <v>#DIV/0!</v>
      </c>
      <c r="G107" s="25">
        <f t="shared" si="158"/>
        <v>5.8142827399541949E-2</v>
      </c>
      <c r="H107" s="25">
        <f t="shared" si="158"/>
        <v>54.272917349950802</v>
      </c>
      <c r="I107" s="25">
        <f t="shared" si="158"/>
        <v>4.3696105001455869E-2</v>
      </c>
      <c r="J107" s="25">
        <f t="shared" si="158"/>
        <v>3.0589877069744104E-2</v>
      </c>
      <c r="K107" s="25">
        <f t="shared" si="158"/>
        <v>2.5072567331148512E-2</v>
      </c>
      <c r="L107" s="25">
        <f t="shared" si="158"/>
        <v>1.8917758173519379E-2</v>
      </c>
      <c r="M107" s="25">
        <f t="shared" si="158"/>
        <v>1.8524076478683784</v>
      </c>
      <c r="N107" s="25">
        <f t="shared" si="158"/>
        <v>1.6445081921994815</v>
      </c>
      <c r="O107" s="25">
        <f t="shared" si="158"/>
        <v>1.4644002802256555</v>
      </c>
      <c r="P107" s="25">
        <f t="shared" si="158"/>
        <v>1.3116240633410388</v>
      </c>
      <c r="Q107" s="118">
        <f t="shared" si="151"/>
        <v>0.4137354118233405</v>
      </c>
      <c r="R107" s="128"/>
      <c r="S107" s="119">
        <f t="shared" ref="S107:AB107" si="159">S105/S40</f>
        <v>1.3359133978473543</v>
      </c>
      <c r="T107" s="119">
        <f t="shared" si="159"/>
        <v>1.3606525348445275</v>
      </c>
      <c r="U107" s="119">
        <f t="shared" si="159"/>
        <v>1.3858498040083151</v>
      </c>
      <c r="V107" s="119">
        <f t="shared" si="159"/>
        <v>1.4115136892677285</v>
      </c>
      <c r="W107" s="119">
        <f t="shared" si="159"/>
        <v>1.4376528316615753</v>
      </c>
      <c r="X107" s="119">
        <f t="shared" si="159"/>
        <v>1.4642760322479007</v>
      </c>
      <c r="Y107" s="119">
        <f t="shared" si="159"/>
        <v>1.4913922550673062</v>
      </c>
      <c r="Z107" s="119">
        <f t="shared" si="159"/>
        <v>1.5190106301611455</v>
      </c>
      <c r="AA107" s="119">
        <f t="shared" si="159"/>
        <v>1.5471404566456113</v>
      </c>
      <c r="AB107" s="119">
        <f t="shared" si="159"/>
        <v>1.5757912058427521</v>
      </c>
      <c r="AC107" s="138">
        <f t="shared" si="154"/>
        <v>0.18965541449245715</v>
      </c>
      <c r="AD107" s="31">
        <v>0.08</v>
      </c>
      <c r="AE107" s="127">
        <f t="shared" si="155"/>
        <v>26.780693430577546</v>
      </c>
    </row>
    <row r="108" spans="2:31" x14ac:dyDescent="0.2">
      <c r="B108" s="20" t="s">
        <v>260</v>
      </c>
      <c r="C108" s="129" t="e">
        <f t="shared" ref="C108:P108" si="160">C105/C49</f>
        <v>#DIV/0!</v>
      </c>
      <c r="D108" s="129" t="e">
        <f t="shared" si="160"/>
        <v>#DIV/0!</v>
      </c>
      <c r="E108" s="129" t="e">
        <f t="shared" si="160"/>
        <v>#DIV/0!</v>
      </c>
      <c r="F108" s="129" t="e">
        <f t="shared" si="160"/>
        <v>#DIV/0!</v>
      </c>
      <c r="G108" s="129">
        <f t="shared" si="160"/>
        <v>0.10454701037544122</v>
      </c>
      <c r="H108" s="129">
        <f t="shared" si="160"/>
        <v>84.614688085904206</v>
      </c>
      <c r="I108" s="129">
        <f t="shared" si="160"/>
        <v>0.2817184115523465</v>
      </c>
      <c r="J108" s="129">
        <f t="shared" si="160"/>
        <v>0.34364981504315661</v>
      </c>
      <c r="K108" s="129">
        <f t="shared" si="160"/>
        <v>0.20535216952573163</v>
      </c>
      <c r="L108" s="129">
        <f t="shared" si="160"/>
        <v>0.28107083812709677</v>
      </c>
      <c r="M108" s="25">
        <f t="shared" si="160"/>
        <v>24.305243827790246</v>
      </c>
      <c r="N108" s="25">
        <f t="shared" si="160"/>
        <v>13.369961316364861</v>
      </c>
      <c r="O108" s="25">
        <f t="shared" si="160"/>
        <v>5.9511512911442992</v>
      </c>
      <c r="P108" s="25">
        <f t="shared" si="160"/>
        <v>2.5176198233730598</v>
      </c>
      <c r="Q108" s="118">
        <f t="shared" si="151"/>
        <v>0.42403228915908575</v>
      </c>
      <c r="R108" s="128"/>
      <c r="S108" s="119">
        <f t="shared" ref="S108:AB108" si="161">S105/S49</f>
        <v>2.5176198233730602</v>
      </c>
      <c r="T108" s="119">
        <f t="shared" si="161"/>
        <v>2.5176198233730602</v>
      </c>
      <c r="U108" s="119">
        <f t="shared" si="161"/>
        <v>2.5176198233730607</v>
      </c>
      <c r="V108" s="119">
        <f t="shared" si="161"/>
        <v>2.5176198233730607</v>
      </c>
      <c r="W108" s="119">
        <f t="shared" si="161"/>
        <v>2.5176198233730607</v>
      </c>
      <c r="X108" s="119">
        <f t="shared" si="161"/>
        <v>2.5176198233730602</v>
      </c>
      <c r="Y108" s="119">
        <f t="shared" si="161"/>
        <v>2.5176198233730602</v>
      </c>
      <c r="Z108" s="119">
        <f t="shared" si="161"/>
        <v>2.5176198233730602</v>
      </c>
      <c r="AA108" s="119">
        <f t="shared" si="161"/>
        <v>2.5176198233730602</v>
      </c>
      <c r="AB108" s="119">
        <f t="shared" si="161"/>
        <v>2.5176198233730602</v>
      </c>
      <c r="AC108" s="138">
        <f t="shared" si="154"/>
        <v>0.18227885602822091</v>
      </c>
      <c r="AD108" s="31">
        <v>0.08</v>
      </c>
      <c r="AE108" s="127">
        <f t="shared" si="155"/>
        <v>42.521838352735337</v>
      </c>
    </row>
    <row r="109" spans="2:31" x14ac:dyDescent="0.2">
      <c r="B109" s="20" t="s">
        <v>261</v>
      </c>
      <c r="C109" s="129" t="e">
        <f t="shared" ref="C109:P109" si="162">C105/C51</f>
        <v>#DIV/0!</v>
      </c>
      <c r="D109" s="129" t="e">
        <f t="shared" si="162"/>
        <v>#DIV/0!</v>
      </c>
      <c r="E109" s="129" t="e">
        <f t="shared" si="162"/>
        <v>#DIV/0!</v>
      </c>
      <c r="F109" s="129" t="e">
        <f t="shared" si="162"/>
        <v>#DIV/0!</v>
      </c>
      <c r="G109" s="129">
        <f t="shared" si="162"/>
        <v>0.82831355932203388</v>
      </c>
      <c r="H109" s="129">
        <f t="shared" si="162"/>
        <v>1166.7082843713279</v>
      </c>
      <c r="I109" s="129">
        <f t="shared" si="162"/>
        <v>0.65731132075471688</v>
      </c>
      <c r="J109" s="129">
        <f t="shared" si="162"/>
        <v>0.33218116805721093</v>
      </c>
      <c r="K109" s="129">
        <f t="shared" si="162"/>
        <v>0.12096772276050646</v>
      </c>
      <c r="L109" s="129">
        <f t="shared" si="162"/>
        <v>0.19715559000193764</v>
      </c>
      <c r="M109" s="25">
        <f t="shared" si="162"/>
        <v>12.023214736310875</v>
      </c>
      <c r="N109" s="25">
        <f t="shared" si="162"/>
        <v>6.9743229806398785</v>
      </c>
      <c r="O109" s="25">
        <f t="shared" si="162"/>
        <v>4.9805831330337549</v>
      </c>
      <c r="P109" s="25">
        <f t="shared" si="162"/>
        <v>5.1022828471513284</v>
      </c>
      <c r="Q109" s="118">
        <f t="shared" si="151"/>
        <v>0.22385501916483319</v>
      </c>
      <c r="R109" s="128"/>
      <c r="S109" s="119">
        <f t="shared" ref="S109:AB109" si="163">S105/S51</f>
        <v>5.1022828471513284</v>
      </c>
      <c r="T109" s="119">
        <f t="shared" si="163"/>
        <v>5.1022828471513284</v>
      </c>
      <c r="U109" s="119">
        <f t="shared" si="163"/>
        <v>5.1022828471513284</v>
      </c>
      <c r="V109" s="119">
        <f t="shared" si="163"/>
        <v>5.1022828471513293</v>
      </c>
      <c r="W109" s="119">
        <f t="shared" si="163"/>
        <v>5.1022828471513293</v>
      </c>
      <c r="X109" s="119">
        <f t="shared" si="163"/>
        <v>5.1022828471513284</v>
      </c>
      <c r="Y109" s="119">
        <f t="shared" si="163"/>
        <v>5.1022828471513284</v>
      </c>
      <c r="Z109" s="119">
        <f t="shared" si="163"/>
        <v>5.1022828471513293</v>
      </c>
      <c r="AA109" s="119">
        <f t="shared" si="163"/>
        <v>5.1022828471513293</v>
      </c>
      <c r="AB109" s="119">
        <f t="shared" si="163"/>
        <v>5.1022828471513284</v>
      </c>
      <c r="AC109" s="138">
        <f t="shared" si="154"/>
        <v>0.10041449681264303</v>
      </c>
      <c r="AD109" s="31">
        <v>0.08</v>
      </c>
      <c r="AE109" s="127">
        <f t="shared" si="155"/>
        <v>80.208943026340137</v>
      </c>
    </row>
    <row r="110" spans="2:31" x14ac:dyDescent="0.2">
      <c r="B110" s="20" t="s">
        <v>283</v>
      </c>
      <c r="C110" s="129" t="e">
        <f>C106/C63</f>
        <v>#DIV/0!</v>
      </c>
      <c r="D110" s="129" t="e">
        <f>D106/D63</f>
        <v>#DIV/0!</v>
      </c>
      <c r="E110" s="129" t="e">
        <f>E106/E63</f>
        <v>#DIV/0!</v>
      </c>
      <c r="F110" s="129" t="e">
        <f>F106/F63</f>
        <v>#DIV/0!</v>
      </c>
      <c r="G110" s="135">
        <f t="shared" ref="G110:P110" si="164">G105/G45</f>
        <v>0.18008475356978348</v>
      </c>
      <c r="H110" s="135">
        <f t="shared" si="164"/>
        <v>129.5834964761159</v>
      </c>
      <c r="I110" s="135">
        <f t="shared" si="164"/>
        <v>7.9083059710567907E-2</v>
      </c>
      <c r="J110" s="135">
        <f t="shared" si="164"/>
        <v>7.5716059923930754E-2</v>
      </c>
      <c r="K110" s="135">
        <f t="shared" si="164"/>
        <v>7.1744755861096424E-2</v>
      </c>
      <c r="L110" s="135">
        <f t="shared" si="164"/>
        <v>3.4829876086807703E-2</v>
      </c>
      <c r="M110" s="135">
        <f t="shared" si="164"/>
        <v>2.3845938263202147</v>
      </c>
      <c r="N110" s="135">
        <f t="shared" si="164"/>
        <v>2.1898587721070322</v>
      </c>
      <c r="O110" s="135">
        <f t="shared" si="164"/>
        <v>1.7085947414837706</v>
      </c>
      <c r="P110" s="135">
        <f t="shared" si="164"/>
        <v>1.632865285694425</v>
      </c>
      <c r="Q110" s="118">
        <f t="shared" ref="Q110" si="165">((P110/G110)^(1/($H$3-$H$2) ))-1</f>
        <v>0.27757361642401213</v>
      </c>
      <c r="R110" s="128"/>
      <c r="S110" s="135">
        <f t="shared" ref="S110:AB110" si="166">S105/S45</f>
        <v>1.7106207754893981</v>
      </c>
      <c r="T110" s="135">
        <f t="shared" si="166"/>
        <v>1.7920789076555601</v>
      </c>
      <c r="U110" s="135">
        <f t="shared" si="166"/>
        <v>1.877415998496301</v>
      </c>
      <c r="V110" s="135">
        <f t="shared" si="166"/>
        <v>1.9668167603294584</v>
      </c>
      <c r="W110" s="135">
        <f t="shared" si="166"/>
        <v>2.0604747012975277</v>
      </c>
      <c r="X110" s="135">
        <f t="shared" si="166"/>
        <v>2.1585925442164577</v>
      </c>
      <c r="Y110" s="135">
        <f t="shared" si="166"/>
        <v>2.2613826653696223</v>
      </c>
      <c r="Z110" s="135">
        <f t="shared" si="166"/>
        <v>2.3690675541967479</v>
      </c>
      <c r="AA110" s="135">
        <f t="shared" si="166"/>
        <v>2.4818802948727834</v>
      </c>
      <c r="AB110" s="135">
        <f t="shared" si="166"/>
        <v>2.6000650708191064</v>
      </c>
      <c r="AC110" s="138">
        <f t="shared" ref="AC110" si="167">((AB110/G110)^(1/($AB$4-$H$2) ))-1</f>
        <v>0.15087113717352096</v>
      </c>
      <c r="AD110" s="31">
        <v>0.08</v>
      </c>
      <c r="AE110" s="127">
        <f t="shared" si="155"/>
        <v>42.747712068267667</v>
      </c>
    </row>
    <row r="111" spans="2:31" x14ac:dyDescent="0.2">
      <c r="B111" s="20"/>
      <c r="C111" s="129"/>
      <c r="D111" s="129"/>
      <c r="E111" s="129"/>
      <c r="F111" s="129"/>
      <c r="G111" s="135"/>
      <c r="H111" s="135"/>
      <c r="I111" s="135"/>
      <c r="J111" s="135"/>
      <c r="K111" s="135"/>
      <c r="L111" s="135"/>
      <c r="M111" s="135"/>
      <c r="N111" s="135"/>
      <c r="O111" s="135"/>
      <c r="P111" s="135"/>
      <c r="Q111" s="118"/>
      <c r="R111" s="128"/>
      <c r="S111" s="135"/>
      <c r="T111" s="135"/>
      <c r="U111" s="135"/>
      <c r="V111" s="135"/>
      <c r="W111" s="135"/>
      <c r="X111" s="135"/>
      <c r="Y111" s="135"/>
      <c r="Z111" s="135"/>
      <c r="AA111" s="135"/>
      <c r="AB111" s="135"/>
      <c r="AC111" s="138"/>
      <c r="AD111" s="31"/>
      <c r="AE111" s="127"/>
    </row>
    <row r="112" spans="2:31" x14ac:dyDescent="0.2">
      <c r="B112" s="108" t="s">
        <v>305</v>
      </c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137"/>
      <c r="AD112" s="20"/>
      <c r="AE112" s="20"/>
    </row>
    <row r="113" spans="2:31" x14ac:dyDescent="0.2">
      <c r="B113" s="20" t="s">
        <v>302</v>
      </c>
      <c r="C113" s="20" t="s">
        <v>307</v>
      </c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128">
        <f>(R93-P105)/R93</f>
        <v>-4.4255412220007226</v>
      </c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137"/>
      <c r="AD113" s="20"/>
      <c r="AE113" s="20"/>
    </row>
    <row r="114" spans="2:31" x14ac:dyDescent="0.2">
      <c r="B114" s="20" t="s">
        <v>303</v>
      </c>
      <c r="C114" s="20" t="s">
        <v>307</v>
      </c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128">
        <f>(R84-P105)/R84</f>
        <v>0.79435818236169065</v>
      </c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137"/>
      <c r="AD114" s="20"/>
      <c r="AE114" s="20"/>
    </row>
    <row r="115" spans="2:31" x14ac:dyDescent="0.2">
      <c r="B115" s="20" t="s">
        <v>304</v>
      </c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5">
        <f>P105/R76</f>
        <v>1.1176958664239784</v>
      </c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137"/>
      <c r="AD115" s="20"/>
      <c r="AE115" s="20"/>
    </row>
  </sheetData>
  <pageMargins left="0.7" right="0.7" top="0.75" bottom="0.75" header="0.3" footer="0.3"/>
  <pageSetup orientation="portrait" r:id="rId1"/>
  <ignoredErrors>
    <ignoredError sqref="C106 S65:AB71" evalErro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50" t="s">
        <v>27</v>
      </c>
      <c r="K5" s="150"/>
      <c r="M5" s="150" t="s">
        <v>65</v>
      </c>
      <c r="N5" s="150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50" t="s">
        <v>36</v>
      </c>
      <c r="K14" s="150"/>
      <c r="L14" s="150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50" t="s">
        <v>27</v>
      </c>
      <c r="S5" s="150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50" t="s">
        <v>36</v>
      </c>
      <c r="S14" s="150"/>
      <c r="T14" s="150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50" t="s">
        <v>27</v>
      </c>
      <c r="C2" s="150"/>
      <c r="E2" s="150" t="s">
        <v>65</v>
      </c>
      <c r="F2" s="150"/>
      <c r="H2" s="154" t="s">
        <v>36</v>
      </c>
      <c r="I2" s="155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51" t="s">
        <v>68</v>
      </c>
      <c r="E10" s="152"/>
      <c r="F10" s="152"/>
      <c r="G10" s="152"/>
      <c r="H10" s="153"/>
      <c r="I10" s="151" t="s">
        <v>72</v>
      </c>
      <c r="J10" s="152"/>
      <c r="K10" s="152"/>
      <c r="L10" s="153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2013-05-31T17:03:34Z</dcterms:modified>
</cp:coreProperties>
</file>
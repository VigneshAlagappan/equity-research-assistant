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189" i="18"/>
  <c r="G171" i="18" l="1"/>
  <c r="Q27" i="18"/>
  <c r="Q25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Q195" i="18" l="1"/>
  <c r="Q194" i="18"/>
  <c r="Q193" i="18"/>
  <c r="Q177" i="18"/>
  <c r="Q178" i="18"/>
  <c r="Q50" i="18"/>
  <c r="Q171" i="18" s="1"/>
  <c r="Q51" i="18"/>
  <c r="Q52" i="18"/>
  <c r="Q91" i="18" s="1"/>
  <c r="Q54" i="18"/>
  <c r="Q172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6" i="18" s="1"/>
  <c r="Q174" i="18" s="1"/>
  <c r="Q67" i="18"/>
  <c r="Q68" i="18"/>
  <c r="Q175" i="18" s="1"/>
  <c r="Q70" i="18"/>
  <c r="Q111" i="18" s="1"/>
  <c r="Q112" i="18" s="1"/>
  <c r="Q113" i="18" s="1"/>
  <c r="Q114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4" i="18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T190" i="18" l="1"/>
  <c r="T191" i="18" s="1"/>
  <c r="Q190" i="18"/>
  <c r="L91" i="18"/>
  <c r="AE52" i="18"/>
  <c r="H52" i="18"/>
  <c r="H91" i="18" s="1"/>
  <c r="I52" i="18"/>
  <c r="I91" i="18" s="1"/>
  <c r="J52" i="18"/>
  <c r="J91" i="18" s="1"/>
  <c r="K52" i="18"/>
  <c r="K91" i="18" s="1"/>
  <c r="L52" i="18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P91" i="18"/>
  <c r="R91" i="18" s="1"/>
  <c r="S44" i="18"/>
  <c r="K186" i="18" l="1"/>
  <c r="K185" i="18"/>
  <c r="K184" i="18"/>
  <c r="K183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0" i="18"/>
  <c r="K189" i="18"/>
  <c r="X38" i="18" l="1"/>
  <c r="U204" i="18"/>
  <c r="U205" i="18" s="1"/>
  <c r="D202" i="18"/>
  <c r="G212" i="18" s="1"/>
  <c r="K212" i="18" s="1"/>
  <c r="H202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6" i="18"/>
  <c r="G217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7" i="18"/>
  <c r="D206" i="18"/>
  <c r="G213" i="18" s="1"/>
  <c r="K213" i="18" s="1"/>
  <c r="H205" i="18"/>
  <c r="I205" i="18" s="1"/>
  <c r="J205" i="18" s="1"/>
  <c r="J206" i="18" s="1"/>
  <c r="H203" i="18"/>
  <c r="H201" i="18"/>
  <c r="H200" i="18"/>
  <c r="I200" i="18" s="1"/>
  <c r="J200" i="18" s="1"/>
  <c r="G215" i="18" l="1"/>
  <c r="G218" i="18"/>
  <c r="Y38" i="18"/>
  <c r="D208" i="18"/>
  <c r="K216" i="18"/>
  <c r="R55" i="18"/>
  <c r="K215" i="18"/>
  <c r="I201" i="18"/>
  <c r="J201" i="18" s="1"/>
  <c r="I207" i="18"/>
  <c r="J207" i="18" s="1"/>
  <c r="J208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G137" i="18"/>
  <c r="G136" i="18"/>
  <c r="AE14" i="18"/>
  <c r="S14" i="18"/>
  <c r="U201" i="18"/>
  <c r="U200" i="18"/>
  <c r="O201" i="18"/>
  <c r="O204" i="18" s="1"/>
  <c r="O20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R100" i="18"/>
  <c r="Z38" i="18"/>
  <c r="R101" i="18"/>
  <c r="I202" i="18"/>
  <c r="J202" i="18" s="1"/>
  <c r="I203" i="18" s="1"/>
  <c r="J203" i="18" s="1"/>
  <c r="J204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5" i="18"/>
  <c r="N204" i="18"/>
  <c r="T202" i="18"/>
  <c r="U202" i="18" s="1"/>
  <c r="U207" i="18" s="1"/>
  <c r="N202" i="18"/>
  <c r="O202" i="18" s="1"/>
  <c r="O207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F14" i="18" l="1"/>
  <c r="AD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7" i="18"/>
  <c r="T207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W44" i="18" l="1"/>
  <c r="V70" i="18"/>
  <c r="R134" i="18"/>
  <c r="Z29" i="18"/>
  <c r="R82" i="18"/>
  <c r="R80" i="18"/>
  <c r="R81" i="18"/>
  <c r="R87" i="18"/>
  <c r="R88" i="18"/>
  <c r="P86" i="18"/>
  <c r="R86" i="18" s="1"/>
  <c r="C193" i="18"/>
  <c r="D193" i="18"/>
  <c r="E193" i="18"/>
  <c r="F193" i="18"/>
  <c r="C194" i="18"/>
  <c r="D194" i="18"/>
  <c r="E194" i="18"/>
  <c r="F194" i="18"/>
  <c r="C195" i="18"/>
  <c r="D195" i="18"/>
  <c r="E195" i="18"/>
  <c r="F195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193" i="18"/>
  <c r="I193" i="18"/>
  <c r="J193" i="18"/>
  <c r="K193" i="18"/>
  <c r="L193" i="18"/>
  <c r="M193" i="18"/>
  <c r="N193" i="18"/>
  <c r="O193" i="18"/>
  <c r="P193" i="18"/>
  <c r="G193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T94" i="18"/>
  <c r="T100" i="18" s="1"/>
  <c r="G177" i="18" l="1"/>
  <c r="X44" i="18"/>
  <c r="W70" i="18"/>
  <c r="R171" i="18"/>
  <c r="AA29" i="18"/>
  <c r="U36" i="18"/>
  <c r="U94" i="18" s="1"/>
  <c r="U100" i="18" s="1"/>
  <c r="R195" i="18"/>
  <c r="R51" i="18"/>
  <c r="R50" i="18"/>
  <c r="R194" i="18"/>
  <c r="R193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2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8" i="18"/>
  <c r="C54" i="18"/>
  <c r="D54" i="18"/>
  <c r="E54" i="18"/>
  <c r="F54" i="18"/>
  <c r="H54" i="18"/>
  <c r="R140" i="18" s="1"/>
  <c r="I54" i="18"/>
  <c r="J54" i="18"/>
  <c r="K54" i="18"/>
  <c r="L54" i="18"/>
  <c r="L177" i="18" s="1"/>
  <c r="M54" i="18"/>
  <c r="N54" i="18"/>
  <c r="N177" i="18" s="1"/>
  <c r="P54" i="18"/>
  <c r="P190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P189" i="18" l="1"/>
  <c r="T189" i="18"/>
  <c r="T188" i="18" s="1"/>
  <c r="T106" i="18"/>
  <c r="S158" i="18"/>
  <c r="P182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7" i="18"/>
  <c r="R177" i="18" s="1"/>
  <c r="K172" i="18"/>
  <c r="K177" i="18"/>
  <c r="F172" i="18"/>
  <c r="F176" i="18" s="1"/>
  <c r="F177" i="18"/>
  <c r="J172" i="18"/>
  <c r="J177" i="18"/>
  <c r="M172" i="18"/>
  <c r="M177" i="18"/>
  <c r="I172" i="18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R54" i="18"/>
  <c r="G175" i="18"/>
  <c r="R68" i="18"/>
  <c r="G66" i="18"/>
  <c r="R64" i="18"/>
  <c r="N173" i="18"/>
  <c r="N172" i="18"/>
  <c r="N175" i="18"/>
  <c r="P173" i="18"/>
  <c r="L172" i="18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U95" i="18" l="1"/>
  <c r="U101" i="18" s="1"/>
  <c r="U52" i="18"/>
  <c r="U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AD94" i="18"/>
  <c r="AC100" i="18"/>
  <c r="AD100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8" i="18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8" i="18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T188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5" i="18" s="1"/>
  <c r="AC77" i="18"/>
  <c r="AC75" i="18"/>
  <c r="AD42" i="18"/>
  <c r="AC76" i="18"/>
  <c r="AC74" i="18"/>
  <c r="AB172" i="18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4" i="18" s="1"/>
  <c r="AF56" i="18"/>
  <c r="T147" i="18"/>
  <c r="AF60" i="18"/>
  <c r="AD82" i="18"/>
  <c r="AF82" i="18"/>
  <c r="T167" i="18"/>
  <c r="Q186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3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7" i="18" s="1"/>
  <c r="Q188" i="18" s="1"/>
  <c r="AD54" i="18"/>
  <c r="AC172" i="18"/>
  <c r="AD57" i="18"/>
  <c r="U143" i="18" s="1"/>
  <c r="AC173" i="18"/>
  <c r="T143" i="18"/>
  <c r="N38" i="11"/>
  <c r="O37" i="11"/>
  <c r="H18" i="8"/>
  <c r="M185" i="18" l="1"/>
  <c r="P185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3" i="18" s="1"/>
  <c r="U167" i="18"/>
  <c r="S167" i="18" s="1"/>
  <c r="P186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S143" i="18"/>
  <c r="N39" i="11"/>
  <c r="O38" i="11"/>
  <c r="I18" i="8"/>
  <c r="M184" i="18" l="1"/>
  <c r="P184" i="18"/>
  <c r="P187" i="18"/>
  <c r="P188" i="18" s="1"/>
  <c r="M186" i="18"/>
  <c r="M183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<sst xmlns="http://schemas.openxmlformats.org/spreadsheetml/2006/main" count="638" uniqueCount="447">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</sst>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0" fontId="16" fillId="5" borderId="1" xfId="0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59424"/>
        <c:axId val="94339456"/>
      </c:lineChart>
      <c:catAx>
        <c:axId val="9355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94339456"/>
        <c:crosses val="autoZero"/>
        <c:auto val="1"/>
        <c:lblAlgn val="ctr"/>
        <c:lblOffset val="100"/>
        <c:noMultiLvlLbl val="0"/>
      </c:catAx>
      <c:valAx>
        <c:axId val="94339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5594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0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Q22" sqref="Q2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0.17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  <c r="Q1" s="164"/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4" t="s">
        <v>291</v>
      </c>
      <c r="AF2" s="195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6" t="s">
        <v>292</v>
      </c>
      <c r="AF3" s="197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1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33621</v>
      </c>
      <c r="H6" s="147">
        <v>36588</v>
      </c>
      <c r="I6" s="147">
        <v>44647</v>
      </c>
      <c r="J6" s="147">
        <v>63776</v>
      </c>
      <c r="K6" s="147">
        <v>81166</v>
      </c>
      <c r="L6" s="147">
        <v>107573</v>
      </c>
      <c r="M6" s="147">
        <v>128611</v>
      </c>
      <c r="N6" s="147">
        <v>145016</v>
      </c>
      <c r="O6" s="147">
        <v>162726</v>
      </c>
      <c r="P6" s="147">
        <v>179094</v>
      </c>
      <c r="Q6" s="211">
        <v>195730</v>
      </c>
      <c r="R6" s="118">
        <f>((Q6/G6)^(1/($H$2-$H$1) ))-1</f>
        <v>0.21620055316053155</v>
      </c>
      <c r="S6" s="31">
        <f>$L$2</f>
        <v>0.12</v>
      </c>
      <c r="T6" s="154">
        <f>Q6*(1+$S6)</f>
        <v>219217.60000000003</v>
      </c>
      <c r="U6" s="154">
        <f>T6*(1+$S6)</f>
        <v>245523.71200000006</v>
      </c>
      <c r="V6" s="154">
        <f t="shared" ref="V6:AC6" si="0">U6*(1+$S6)</f>
        <v>274986.55744000006</v>
      </c>
      <c r="W6" s="154">
        <f t="shared" si="0"/>
        <v>307984.94433280011</v>
      </c>
      <c r="X6" s="154">
        <f t="shared" si="0"/>
        <v>344943.13765273616</v>
      </c>
      <c r="Y6" s="154">
        <f t="shared" si="0"/>
        <v>386336.31417106453</v>
      </c>
      <c r="Z6" s="154">
        <f t="shared" si="0"/>
        <v>432696.67187159229</v>
      </c>
      <c r="AA6" s="154">
        <f t="shared" si="0"/>
        <v>484620.2724961834</v>
      </c>
      <c r="AB6" s="154">
        <f t="shared" si="0"/>
        <v>542774.70519572543</v>
      </c>
      <c r="AC6" s="154">
        <f t="shared" si="0"/>
        <v>607907.66981921252</v>
      </c>
      <c r="AD6" s="138">
        <f>((AC6/G6)^(1/($AC$3-$H$1) ))-1</f>
        <v>0.15574320779986306</v>
      </c>
      <c r="AE6" s="31">
        <f>$L$1</f>
        <v>0.05</v>
      </c>
      <c r="AF6" s="146">
        <f t="shared" ref="AF6:AF44" si="1">(AC6*(1+AE6))/($C$1-AE6)</f>
        <v>5319192.1109181093</v>
      </c>
    </row>
    <row r="7" spans="2:32" x14ac:dyDescent="0.2">
      <c r="B7" s="20" t="s">
        <v>240</v>
      </c>
      <c r="C7" s="141"/>
      <c r="D7" s="141"/>
      <c r="E7" s="147"/>
      <c r="F7" s="147"/>
      <c r="G7" s="147">
        <v>35017</v>
      </c>
      <c r="H7" s="147">
        <v>40711</v>
      </c>
      <c r="I7" s="147">
        <v>51018</v>
      </c>
      <c r="J7" s="147">
        <v>68209</v>
      </c>
      <c r="K7" s="147">
        <v>85500</v>
      </c>
      <c r="L7" s="147">
        <v>121246</v>
      </c>
      <c r="M7" s="147">
        <v>141002</v>
      </c>
      <c r="N7" s="147">
        <v>154083</v>
      </c>
      <c r="O7" s="147">
        <v>169445</v>
      </c>
      <c r="P7" s="147">
        <v>182055</v>
      </c>
      <c r="Q7" s="211">
        <v>198670</v>
      </c>
      <c r="R7" s="118">
        <f>((Q7/G7)^(1/($H$2-$H$1) ))-1</f>
        <v>0.21272263603832431</v>
      </c>
      <c r="S7" s="31">
        <f>$L$2</f>
        <v>0.12</v>
      </c>
      <c r="T7" s="154">
        <f t="shared" ref="T7:T44" si="2">Q7*(1+$S7)</f>
        <v>222510.40000000002</v>
      </c>
      <c r="U7" s="154">
        <f t="shared" ref="U7:AC7" si="3">T7*(1+$S7)</f>
        <v>249211.64800000004</v>
      </c>
      <c r="V7" s="154">
        <f t="shared" si="3"/>
        <v>279117.04576000007</v>
      </c>
      <c r="W7" s="154">
        <f t="shared" si="3"/>
        <v>312611.09125120012</v>
      </c>
      <c r="X7" s="154">
        <f t="shared" si="3"/>
        <v>350124.42220134416</v>
      </c>
      <c r="Y7" s="154">
        <f t="shared" si="3"/>
        <v>392139.3528655055</v>
      </c>
      <c r="Z7" s="154">
        <f t="shared" si="3"/>
        <v>439196.07520936622</v>
      </c>
      <c r="AA7" s="154">
        <f t="shared" si="3"/>
        <v>491899.60423449019</v>
      </c>
      <c r="AB7" s="154">
        <f t="shared" si="3"/>
        <v>550927.55674262904</v>
      </c>
      <c r="AC7" s="154">
        <f t="shared" si="3"/>
        <v>617038.86355174461</v>
      </c>
      <c r="AD7" s="138">
        <f>((AC7/G7)^(1/($AC$3-$H$1) ))-1</f>
        <v>0.15425477305850444</v>
      </c>
      <c r="AE7" s="31">
        <f>$L$1</f>
        <v>0.05</v>
      </c>
      <c r="AF7" s="146">
        <f t="shared" si="1"/>
        <v>5399090.0560777653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0.13986391884257326</v>
      </c>
      <c r="I8" s="151">
        <f t="shared" ref="I8:P8" si="4">(I7-H7)/I7</f>
        <v>0.20202673566192325</v>
      </c>
      <c r="J8" s="151">
        <f t="shared" si="4"/>
        <v>0.25203418903663738</v>
      </c>
      <c r="K8" s="151">
        <f t="shared" si="4"/>
        <v>0.20223391812865496</v>
      </c>
      <c r="L8" s="151">
        <f t="shared" si="4"/>
        <v>0.29482209722382596</v>
      </c>
      <c r="M8" s="151">
        <f t="shared" si="4"/>
        <v>0.14011148778031518</v>
      </c>
      <c r="N8" s="151">
        <f t="shared" si="4"/>
        <v>8.4895802911417878E-2</v>
      </c>
      <c r="O8" s="151">
        <f t="shared" si="4"/>
        <v>9.0660686358405379E-2</v>
      </c>
      <c r="P8" s="151">
        <f t="shared" si="4"/>
        <v>6.9264782620636622E-2</v>
      </c>
      <c r="Q8" s="212">
        <f t="shared" ref="Q8" si="5">(Q7-P7)/Q7</f>
        <v>8.3631147128403888E-2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13919</v>
      </c>
      <c r="H9" s="147">
        <v>18296</v>
      </c>
      <c r="I9" s="147">
        <v>17963</v>
      </c>
      <c r="J9" s="147">
        <v>25489</v>
      </c>
      <c r="K9" s="147">
        <v>32022</v>
      </c>
      <c r="L9" s="147">
        <v>46404</v>
      </c>
      <c r="M9" s="147">
        <v>50593</v>
      </c>
      <c r="N9" s="147">
        <v>65194</v>
      </c>
      <c r="O9" s="147">
        <v>72257</v>
      </c>
      <c r="P9" s="147">
        <v>84943</v>
      </c>
      <c r="Q9" s="211"/>
      <c r="R9" s="118">
        <f>((Q9/G9)^(1/($H$2-$H$1) ))-1</f>
        <v>-1</v>
      </c>
      <c r="S9" s="31">
        <f t="shared" ref="S9:S40" si="6">$L$2</f>
        <v>0.12</v>
      </c>
      <c r="T9" s="154">
        <f t="shared" si="2"/>
        <v>0</v>
      </c>
      <c r="U9" s="154">
        <f t="shared" ref="U9" si="7">T9*(1+$S9)</f>
        <v>0</v>
      </c>
      <c r="V9" s="154">
        <f t="shared" ref="V9" si="8">U9*(1+$S9)</f>
        <v>0</v>
      </c>
      <c r="W9" s="154">
        <f t="shared" ref="W9" si="9">V9*(1+$S9)</f>
        <v>0</v>
      </c>
      <c r="X9" s="154">
        <f t="shared" ref="X9" si="10">W9*(1+$S9)</f>
        <v>0</v>
      </c>
      <c r="Y9" s="154">
        <f t="shared" ref="Y9" si="11">X9*(1+$S9)</f>
        <v>0</v>
      </c>
      <c r="Z9" s="154">
        <f t="shared" ref="Z9" si="12">Y9*(1+$S9)</f>
        <v>0</v>
      </c>
      <c r="AA9" s="154">
        <f t="shared" ref="AA9" si="13">Z9*(1+$S9)</f>
        <v>0</v>
      </c>
      <c r="AB9" s="154">
        <f t="shared" ref="AB9" si="14">AA9*(1+$S9)</f>
        <v>0</v>
      </c>
      <c r="AC9" s="154">
        <f t="shared" ref="AC9" si="15">AB9*(1+$S9)</f>
        <v>0</v>
      </c>
      <c r="AD9" s="138">
        <f>((AC9/G9)^(1/($AC$3-$H$1) ))-1</f>
        <v>-1</v>
      </c>
      <c r="AE9" s="31">
        <f t="shared" ref="AE9:AE81" si="16">$L$1</f>
        <v>0.05</v>
      </c>
      <c r="AF9" s="146">
        <f t="shared" si="1"/>
        <v>0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21016</v>
      </c>
      <c r="H10" s="147">
        <v>18817</v>
      </c>
      <c r="I10" s="147">
        <v>23342</v>
      </c>
      <c r="J10" s="147">
        <v>33651</v>
      </c>
      <c r="K10" s="147">
        <v>50696</v>
      </c>
      <c r="L10" s="147">
        <v>76256</v>
      </c>
      <c r="M10" s="147">
        <v>64605</v>
      </c>
      <c r="N10" s="147">
        <v>84106</v>
      </c>
      <c r="O10" s="147">
        <v>82635</v>
      </c>
      <c r="P10" s="147">
        <v>89322</v>
      </c>
      <c r="Q10" s="211"/>
      <c r="R10" s="118">
        <f>((Q10/G10)^(1/($H$2-$H$1) ))-1</f>
        <v>-1</v>
      </c>
      <c r="S10" s="31">
        <f t="shared" si="6"/>
        <v>0.12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>
        <f t="shared" ref="AD10:AD42" si="18">((AC10/G10)^(1/($AC$3-$H$1) ))-1</f>
        <v>-1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-0.11686241164904076</v>
      </c>
      <c r="I11" s="148">
        <f t="shared" si="19"/>
        <v>0.19385656756062034</v>
      </c>
      <c r="J11" s="148">
        <f t="shared" si="19"/>
        <v>0.30635047992630232</v>
      </c>
      <c r="K11" s="148">
        <f t="shared" si="19"/>
        <v>0.33621982010415025</v>
      </c>
      <c r="L11" s="148">
        <f t="shared" si="19"/>
        <v>0.33518673940411248</v>
      </c>
      <c r="M11" s="148">
        <f t="shared" si="19"/>
        <v>-0.18034207878647163</v>
      </c>
      <c r="N11" s="148">
        <f t="shared" si="19"/>
        <v>0.2318621739233824</v>
      </c>
      <c r="O11" s="148">
        <f t="shared" si="19"/>
        <v>-1.780117383675198E-2</v>
      </c>
      <c r="P11" s="148">
        <f t="shared" si="19"/>
        <v>7.4863975280446027E-2</v>
      </c>
      <c r="Q11" s="213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270</v>
      </c>
      <c r="H12" s="147">
        <v>385</v>
      </c>
      <c r="I12" s="147">
        <v>259</v>
      </c>
      <c r="J12" s="147">
        <v>409</v>
      </c>
      <c r="K12" s="147">
        <v>388</v>
      </c>
      <c r="L12" s="147">
        <v>805.31</v>
      </c>
      <c r="M12" s="147">
        <v>664</v>
      </c>
      <c r="N12" s="147">
        <v>874</v>
      </c>
      <c r="O12" s="147">
        <v>1446</v>
      </c>
      <c r="P12" s="147">
        <v>50456</v>
      </c>
      <c r="Q12" s="211"/>
      <c r="R12" s="118">
        <f>((Q12/G12)^(1/($H$2-$H$1) ))-1</f>
        <v>-1</v>
      </c>
      <c r="S12" s="31">
        <f t="shared" si="6"/>
        <v>0.12</v>
      </c>
      <c r="T12" s="154">
        <f t="shared" si="2"/>
        <v>0</v>
      </c>
      <c r="U12" s="154">
        <f t="shared" ref="U12:AC12" si="21">T12*(1+$S12)</f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54">
        <f t="shared" si="21"/>
        <v>0</v>
      </c>
      <c r="AD12" s="138">
        <f t="shared" si="18"/>
        <v>-1</v>
      </c>
      <c r="AE12" s="31">
        <f t="shared" si="16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18428</v>
      </c>
      <c r="H13" s="147">
        <v>23083</v>
      </c>
      <c r="I13" s="147">
        <v>6666</v>
      </c>
      <c r="J13" s="147">
        <v>5268</v>
      </c>
      <c r="K13" s="147">
        <v>9522</v>
      </c>
      <c r="L13" s="147">
        <v>6435</v>
      </c>
      <c r="M13" s="147">
        <v>9138</v>
      </c>
      <c r="N13" s="147">
        <v>16963</v>
      </c>
      <c r="O13" s="147">
        <v>38596</v>
      </c>
      <c r="P13" s="147">
        <v>42848</v>
      </c>
      <c r="Q13" s="211"/>
      <c r="R13" s="118">
        <f>((Q13/G13)^(1/($H$2-$H$1) ))-1</f>
        <v>-1</v>
      </c>
      <c r="S13" s="31">
        <f t="shared" si="6"/>
        <v>0.12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7231</v>
      </c>
      <c r="H14" s="147">
        <v>7412</v>
      </c>
      <c r="I14" s="147">
        <v>10345</v>
      </c>
      <c r="J14" s="147">
        <v>12456</v>
      </c>
      <c r="K14" s="147">
        <v>19126</v>
      </c>
      <c r="L14" s="147">
        <v>20109</v>
      </c>
      <c r="M14" s="147">
        <v>34393</v>
      </c>
      <c r="N14" s="147">
        <v>38519</v>
      </c>
      <c r="O14" s="147">
        <v>46692</v>
      </c>
      <c r="P14" s="147">
        <v>54601</v>
      </c>
      <c r="Q14" s="211"/>
      <c r="R14" s="118">
        <f>((Q14/G14)^(1/($H$2-$H$1) ))-1</f>
        <v>-1</v>
      </c>
      <c r="S14" s="31">
        <f t="shared" si="6"/>
        <v>0.12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10773</v>
      </c>
      <c r="H15" s="147">
        <v>11726</v>
      </c>
      <c r="I15" s="147">
        <v>14956</v>
      </c>
      <c r="J15" s="147">
        <v>16697</v>
      </c>
      <c r="K15" s="147">
        <v>25583</v>
      </c>
      <c r="L15" s="147">
        <v>59842</v>
      </c>
      <c r="M15" s="147">
        <v>74104</v>
      </c>
      <c r="N15" s="147">
        <v>104119</v>
      </c>
      <c r="O15" s="147">
        <v>124916</v>
      </c>
      <c r="P15" s="147">
        <v>136070</v>
      </c>
      <c r="Q15" s="211"/>
      <c r="R15" s="118">
        <f>((Q15/G15)^(1/($H$2-$H$1) ))-1</f>
        <v>-1</v>
      </c>
      <c r="S15" s="31">
        <f t="shared" si="6"/>
        <v>0.12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2360</v>
      </c>
      <c r="H16" s="147">
        <v>1702</v>
      </c>
      <c r="I16" s="147">
        <v>2968</v>
      </c>
      <c r="J16" s="147">
        <v>5873</v>
      </c>
      <c r="K16" s="147">
        <v>16823</v>
      </c>
      <c r="L16" s="147">
        <v>10322</v>
      </c>
      <c r="M16" s="147">
        <v>19815</v>
      </c>
      <c r="N16" s="147">
        <v>34194</v>
      </c>
      <c r="O16" s="147">
        <v>47845</v>
      </c>
      <c r="P16" s="147">
        <v>46039</v>
      </c>
      <c r="Q16" s="211"/>
      <c r="R16" s="118">
        <f>((Q16/G16)^(1/($H$2-$H$1) ))-1</f>
        <v>-1</v>
      </c>
      <c r="S16" s="31">
        <f t="shared" si="6"/>
        <v>0.12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1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31855</v>
      </c>
      <c r="H18" s="147">
        <v>30254</v>
      </c>
      <c r="I18" s="147">
        <v>56290</v>
      </c>
      <c r="J18" s="147">
        <v>64822</v>
      </c>
      <c r="K18" s="147">
        <v>64061</v>
      </c>
      <c r="L18" s="147">
        <v>107044</v>
      </c>
      <c r="M18" s="147">
        <v>160191</v>
      </c>
      <c r="N18" s="147">
        <v>158099</v>
      </c>
      <c r="O18" s="147">
        <v>157682</v>
      </c>
      <c r="P18" s="147">
        <v>166248</v>
      </c>
      <c r="Q18" s="211"/>
      <c r="R18" s="118">
        <f>((Q18/G18)^(1/($H$2-$H$1) ))-1</f>
        <v>-1</v>
      </c>
      <c r="S18" s="31">
        <f t="shared" si="6"/>
        <v>0.12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1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11668</v>
      </c>
      <c r="H20" s="147">
        <v>17305</v>
      </c>
      <c r="I20" s="147">
        <v>10273</v>
      </c>
      <c r="J20" s="147">
        <v>16748</v>
      </c>
      <c r="K20" s="147">
        <v>16233</v>
      </c>
      <c r="L20" s="147">
        <v>16287</v>
      </c>
      <c r="M20" s="147">
        <v>20494</v>
      </c>
      <c r="N20" s="147">
        <v>33338</v>
      </c>
      <c r="O20" s="147">
        <v>24483</v>
      </c>
      <c r="P20" s="147">
        <v>36918</v>
      </c>
      <c r="Q20" s="211">
        <f>P20</f>
        <v>36918</v>
      </c>
      <c r="R20" s="118">
        <f>((Q20/G20)^(1/($H$2-$H$1) ))-1</f>
        <v>0.13653395738299268</v>
      </c>
      <c r="S20" s="31">
        <f t="shared" si="6"/>
        <v>0.12</v>
      </c>
      <c r="T20" s="154">
        <f t="shared" si="2"/>
        <v>41348.160000000003</v>
      </c>
      <c r="U20" s="154">
        <f t="shared" ref="U20:U22" si="45">T20*(1+$S20)</f>
        <v>46309.939200000008</v>
      </c>
      <c r="V20" s="154">
        <f t="shared" ref="V20:V22" si="46">U20*(1+$S20)</f>
        <v>51867.131904000016</v>
      </c>
      <c r="W20" s="154">
        <f t="shared" ref="W20:W22" si="47">V20*(1+$S20)</f>
        <v>58091.187732480023</v>
      </c>
      <c r="X20" s="154">
        <f t="shared" ref="X20:X22" si="48">W20*(1+$S20)</f>
        <v>65062.130260377635</v>
      </c>
      <c r="Y20" s="154">
        <f t="shared" ref="Y20:Y22" si="49">X20*(1+$S20)</f>
        <v>72869.585891622963</v>
      </c>
      <c r="Z20" s="154">
        <f t="shared" ref="Z20:Z22" si="50">Y20*(1+$S20)</f>
        <v>81613.936198617725</v>
      </c>
      <c r="AA20" s="154">
        <f t="shared" ref="AA20:AA22" si="51">Z20*(1+$S20)</f>
        <v>91407.608542451853</v>
      </c>
      <c r="AB20" s="154">
        <f t="shared" ref="AB20:AB22" si="52">AA20*(1+$S20)</f>
        <v>102376.52156754608</v>
      </c>
      <c r="AC20" s="154">
        <f t="shared" ref="AC20:AC22" si="53">AB20*(1+$S20)</f>
        <v>114661.70415565162</v>
      </c>
      <c r="AD20" s="138">
        <f t="shared" ref="AD20:AD22" si="54">((AC20/G20)^(1/($AC$3-$H$1) ))-1</f>
        <v>0.12103997312051384</v>
      </c>
      <c r="AE20" s="31">
        <f t="shared" si="16"/>
        <v>0.05</v>
      </c>
      <c r="AF20" s="146">
        <f t="shared" si="1"/>
        <v>1003289.9113619516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-10500</v>
      </c>
      <c r="H21" s="147">
        <v>-8213</v>
      </c>
      <c r="I21" s="147">
        <v>-13189</v>
      </c>
      <c r="J21" s="147">
        <v>-29245</v>
      </c>
      <c r="K21" s="147">
        <v>-30425</v>
      </c>
      <c r="L21" s="147">
        <v>-23106</v>
      </c>
      <c r="M21" s="147">
        <v>-18230</v>
      </c>
      <c r="N21" s="147">
        <v>-32043</v>
      </c>
      <c r="O21" s="147">
        <v>-6301</v>
      </c>
      <c r="P21" s="147">
        <v>-27650</v>
      </c>
      <c r="Q21" s="211">
        <f>P21</f>
        <v>-27650</v>
      </c>
      <c r="R21" s="118">
        <f>((Q21/G21)^(1/($H$2-$H$1) ))-1</f>
        <v>0.11358371377139531</v>
      </c>
      <c r="S21" s="31">
        <f t="shared" si="6"/>
        <v>0.12</v>
      </c>
      <c r="T21" s="154">
        <f t="shared" si="2"/>
        <v>-30968.000000000004</v>
      </c>
      <c r="U21" s="154">
        <f t="shared" si="45"/>
        <v>-34684.160000000011</v>
      </c>
      <c r="V21" s="154">
        <f t="shared" si="46"/>
        <v>-38846.259200000015</v>
      </c>
      <c r="W21" s="154">
        <f t="shared" si="47"/>
        <v>-43507.810304000021</v>
      </c>
      <c r="X21" s="154">
        <f t="shared" si="48"/>
        <v>-48728.747540480028</v>
      </c>
      <c r="Y21" s="154">
        <f t="shared" si="49"/>
        <v>-54576.197245337637</v>
      </c>
      <c r="Z21" s="154">
        <f t="shared" si="50"/>
        <v>-61125.340914778157</v>
      </c>
      <c r="AA21" s="154">
        <f t="shared" si="51"/>
        <v>-68460.381824551543</v>
      </c>
      <c r="AB21" s="154">
        <f t="shared" si="52"/>
        <v>-76675.627643497734</v>
      </c>
      <c r="AC21" s="154">
        <f t="shared" si="53"/>
        <v>-85876.702960717463</v>
      </c>
      <c r="AD21" s="138">
        <f t="shared" si="54"/>
        <v>0.11079598973402738</v>
      </c>
      <c r="AE21" s="31">
        <f t="shared" si="16"/>
        <v>0.05</v>
      </c>
      <c r="AF21" s="146">
        <f t="shared" si="1"/>
        <v>-751421.15090627782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-1046</v>
      </c>
      <c r="H22" s="147">
        <v>-5706</v>
      </c>
      <c r="I22" s="147">
        <v>1916</v>
      </c>
      <c r="J22" s="147">
        <v>-10736</v>
      </c>
      <c r="K22" s="147">
        <v>16716</v>
      </c>
      <c r="L22" s="147">
        <v>25036</v>
      </c>
      <c r="M22" s="147">
        <v>-11133</v>
      </c>
      <c r="N22" s="147">
        <v>14949</v>
      </c>
      <c r="O22" s="147">
        <v>-7590</v>
      </c>
      <c r="P22" s="147">
        <v>408</v>
      </c>
      <c r="Q22" s="211">
        <f>P22</f>
        <v>408</v>
      </c>
      <c r="R22" s="118">
        <f>((Q22/G22)^(1/($H$2-$H$1) ))-1</f>
        <v>-1.9006785727531192</v>
      </c>
      <c r="S22" s="31">
        <f t="shared" si="6"/>
        <v>0.12</v>
      </c>
      <c r="T22" s="154">
        <f t="shared" si="2"/>
        <v>456.96000000000004</v>
      </c>
      <c r="U22" s="154">
        <f t="shared" si="45"/>
        <v>511.79520000000008</v>
      </c>
      <c r="V22" s="154">
        <f t="shared" si="46"/>
        <v>573.21062400000017</v>
      </c>
      <c r="W22" s="154">
        <f t="shared" si="47"/>
        <v>641.99589888000025</v>
      </c>
      <c r="X22" s="154">
        <f t="shared" si="48"/>
        <v>719.03540674560031</v>
      </c>
      <c r="Y22" s="154">
        <f t="shared" si="49"/>
        <v>805.31965555507247</v>
      </c>
      <c r="Z22" s="154">
        <f t="shared" si="50"/>
        <v>901.95801422168131</v>
      </c>
      <c r="AA22" s="154">
        <f t="shared" si="51"/>
        <v>1010.1929759282832</v>
      </c>
      <c r="AB22" s="154">
        <f t="shared" si="52"/>
        <v>1131.4161330396773</v>
      </c>
      <c r="AC22" s="154">
        <f t="shared" si="53"/>
        <v>1267.1860690044387</v>
      </c>
      <c r="AD22" s="138" t="e">
        <f t="shared" si="54"/>
        <v>#NUM!</v>
      </c>
      <c r="AE22" s="31">
        <f t="shared" si="16"/>
        <v>0.05</v>
      </c>
      <c r="AF22" s="146">
        <f t="shared" si="1"/>
        <v>11087.878103788837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270</v>
      </c>
      <c r="H23" s="147">
        <v>3610</v>
      </c>
      <c r="I23" s="147">
        <v>2616</v>
      </c>
      <c r="J23" s="147">
        <v>1937</v>
      </c>
      <c r="K23" s="147">
        <v>4474</v>
      </c>
      <c r="L23" s="147">
        <v>22742</v>
      </c>
      <c r="M23" s="147">
        <v>13890</v>
      </c>
      <c r="N23" s="147">
        <v>30139</v>
      </c>
      <c r="O23" s="147">
        <v>40731</v>
      </c>
      <c r="P23" s="147">
        <v>50456</v>
      </c>
      <c r="Q23" s="211">
        <f>P23</f>
        <v>50456</v>
      </c>
      <c r="R23" s="118">
        <f>((Q23/G23)^(1/($H$2-$H$1) ))-1</f>
        <v>0.78811044192930235</v>
      </c>
      <c r="S23" s="31">
        <f t="shared" si="6"/>
        <v>0.12</v>
      </c>
      <c r="T23" s="154">
        <f t="shared" si="2"/>
        <v>56510.720000000008</v>
      </c>
      <c r="U23" s="154">
        <f t="shared" ref="U23" si="55">T23*(1+$S23)</f>
        <v>63292.006400000013</v>
      </c>
      <c r="V23" s="154">
        <f t="shared" ref="V23" si="56">U23*(1+$S23)</f>
        <v>70887.047168000019</v>
      </c>
      <c r="W23" s="154">
        <f t="shared" ref="W23" si="57">V23*(1+$S23)</f>
        <v>79393.49282816003</v>
      </c>
      <c r="X23" s="154">
        <f t="shared" ref="X23" si="58">W23*(1+$S23)</f>
        <v>88920.711967539246</v>
      </c>
      <c r="Y23" s="154">
        <f t="shared" ref="Y23" si="59">X23*(1+$S23)</f>
        <v>99591.197403643964</v>
      </c>
      <c r="Z23" s="154">
        <f t="shared" ref="Z23" si="60">Y23*(1+$S23)</f>
        <v>111542.14109208125</v>
      </c>
      <c r="AA23" s="154">
        <f t="shared" ref="AA23" si="61">Z23*(1+$S23)</f>
        <v>124927.19802313102</v>
      </c>
      <c r="AB23" s="154">
        <f t="shared" ref="AB23" si="62">AA23*(1+$S23)</f>
        <v>139918.46178590675</v>
      </c>
      <c r="AC23" s="154">
        <f t="shared" ref="AC23" si="63">AB23*(1+$S23)</f>
        <v>156708.67720021558</v>
      </c>
      <c r="AD23" s="138">
        <f t="shared" ref="AD23" si="64">((AC23/G23)^(1/($AC$3-$H$1) ))-1</f>
        <v>0.37463204561972341</v>
      </c>
      <c r="AE23" s="31">
        <f t="shared" si="16"/>
        <v>0.05</v>
      </c>
      <c r="AF23" s="146">
        <f t="shared" si="1"/>
        <v>1371200.9255018863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1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52943</v>
      </c>
      <c r="H25" s="147">
        <v>67592</v>
      </c>
      <c r="I25" s="147">
        <v>85777</v>
      </c>
      <c r="J25" s="147">
        <v>114796</v>
      </c>
      <c r="K25" s="147">
        <v>145990</v>
      </c>
      <c r="L25" s="147">
        <v>154900</v>
      </c>
      <c r="M25" s="147">
        <v>220855</v>
      </c>
      <c r="N25" s="147">
        <v>272772</v>
      </c>
      <c r="O25" s="147">
        <v>367257</v>
      </c>
      <c r="P25" s="147">
        <v>409883</v>
      </c>
      <c r="Q25" s="211">
        <f>434460+8911</f>
        <v>443371</v>
      </c>
      <c r="R25" s="118">
        <f>((Q25/G25)^(1/($H$2-$H$1) ))-1</f>
        <v>0.26634188229253253</v>
      </c>
      <c r="S25" s="31">
        <f t="shared" si="6"/>
        <v>0.12</v>
      </c>
      <c r="T25" s="154">
        <f t="shared" si="2"/>
        <v>496575.52</v>
      </c>
      <c r="U25" s="154">
        <f t="shared" si="36"/>
        <v>556164.58240000007</v>
      </c>
      <c r="V25" s="154">
        <f t="shared" si="37"/>
        <v>622904.33228800015</v>
      </c>
      <c r="W25" s="154">
        <f t="shared" si="38"/>
        <v>697652.85216256022</v>
      </c>
      <c r="X25" s="154">
        <f t="shared" si="39"/>
        <v>781371.19442206749</v>
      </c>
      <c r="Y25" s="154">
        <f t="shared" si="40"/>
        <v>875135.73775271571</v>
      </c>
      <c r="Z25" s="154">
        <f t="shared" si="41"/>
        <v>980152.02628304169</v>
      </c>
      <c r="AA25" s="154">
        <f t="shared" si="42"/>
        <v>1097770.2694370069</v>
      </c>
      <c r="AB25" s="154">
        <f t="shared" si="43"/>
        <v>1229502.7017694479</v>
      </c>
      <c r="AC25" s="154">
        <f t="shared" si="44"/>
        <v>1377043.0259817818</v>
      </c>
      <c r="AD25" s="138">
        <f t="shared" si="18"/>
        <v>0.17694711361907056</v>
      </c>
      <c r="AE25" s="31">
        <f t="shared" si="16"/>
        <v>0.05</v>
      </c>
      <c r="AF25" s="146">
        <f t="shared" si="1"/>
        <v>12049126.47734059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0.21672683157770151</v>
      </c>
      <c r="I26" s="148">
        <f t="shared" ref="I26:P26" si="65">(I25-H25)/I25</f>
        <v>0.21200321764575586</v>
      </c>
      <c r="J26" s="148">
        <f t="shared" si="65"/>
        <v>0.25278755357329524</v>
      </c>
      <c r="K26" s="148">
        <f t="shared" si="65"/>
        <v>0.21367216932666622</v>
      </c>
      <c r="L26" s="148">
        <f t="shared" si="65"/>
        <v>5.7520981278244031E-2</v>
      </c>
      <c r="M26" s="148">
        <f t="shared" si="65"/>
        <v>0.29863485092028708</v>
      </c>
      <c r="N26" s="148">
        <f t="shared" si="65"/>
        <v>0.19033111902981245</v>
      </c>
      <c r="O26" s="148">
        <f t="shared" si="65"/>
        <v>0.2572721554660633</v>
      </c>
      <c r="P26" s="148">
        <f t="shared" si="65"/>
        <v>0.10399553043185494</v>
      </c>
      <c r="Q26" s="213">
        <f t="shared" ref="Q26" si="66">(Q25-P25)/Q25</f>
        <v>7.5530424858639825E-2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41890</v>
      </c>
      <c r="H27" s="147">
        <v>53237</v>
      </c>
      <c r="I27" s="147">
        <v>70298</v>
      </c>
      <c r="J27" s="147">
        <v>93894</v>
      </c>
      <c r="K27" s="147">
        <v>116707</v>
      </c>
      <c r="L27" s="147">
        <v>129232</v>
      </c>
      <c r="M27" s="147">
        <v>179153</v>
      </c>
      <c r="N27" s="147">
        <v>232169</v>
      </c>
      <c r="O27" s="147">
        <v>326554</v>
      </c>
      <c r="P27" s="147">
        <v>368971</v>
      </c>
      <c r="Q27" s="211">
        <f>410862+3836</f>
        <v>414698</v>
      </c>
      <c r="R27" s="118">
        <f>((Q27/G27)^(1/($H$2-$H$1) ))-1</f>
        <v>0.29010369783007239</v>
      </c>
      <c r="S27" s="31">
        <f t="shared" si="6"/>
        <v>0.12</v>
      </c>
      <c r="T27" s="154">
        <f t="shared" si="2"/>
        <v>464461.76000000007</v>
      </c>
      <c r="U27" s="154">
        <f t="shared" si="36"/>
        <v>520197.1712000001</v>
      </c>
      <c r="V27" s="154">
        <f t="shared" si="37"/>
        <v>582620.8317440002</v>
      </c>
      <c r="W27" s="154">
        <f t="shared" si="38"/>
        <v>652535.33155328024</v>
      </c>
      <c r="X27" s="154">
        <f t="shared" si="39"/>
        <v>730839.57133967394</v>
      </c>
      <c r="Y27" s="154">
        <f t="shared" si="40"/>
        <v>818540.31990043493</v>
      </c>
      <c r="Z27" s="154">
        <f t="shared" si="41"/>
        <v>916765.15828848723</v>
      </c>
      <c r="AA27" s="154">
        <f t="shared" si="42"/>
        <v>1026776.9772831058</v>
      </c>
      <c r="AB27" s="154">
        <f t="shared" si="43"/>
        <v>1149990.2145570787</v>
      </c>
      <c r="AC27" s="154">
        <f t="shared" si="44"/>
        <v>1287989.0403039283</v>
      </c>
      <c r="AD27" s="138">
        <f t="shared" si="18"/>
        <v>0.18683430340083818</v>
      </c>
      <c r="AE27" s="31">
        <f t="shared" si="16"/>
        <v>0.05</v>
      </c>
      <c r="AF27" s="146">
        <f t="shared" si="1"/>
        <v>11269904.102659373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0.21314123635817195</v>
      </c>
      <c r="I28" s="148">
        <f t="shared" si="67"/>
        <v>0.24269538251443853</v>
      </c>
      <c r="J28" s="148">
        <f t="shared" si="67"/>
        <v>0.25130466270475216</v>
      </c>
      <c r="K28" s="148">
        <f t="shared" si="67"/>
        <v>0.1954724223911162</v>
      </c>
      <c r="L28" s="148">
        <f t="shared" si="67"/>
        <v>9.6918719821715987E-2</v>
      </c>
      <c r="M28" s="148">
        <f t="shared" si="67"/>
        <v>0.27865009237913962</v>
      </c>
      <c r="N28" s="148">
        <f t="shared" si="67"/>
        <v>0.22835089956023413</v>
      </c>
      <c r="O28" s="148">
        <f t="shared" si="67"/>
        <v>0.28903336048555522</v>
      </c>
      <c r="P28" s="148">
        <f t="shared" si="67"/>
        <v>0.11496025432893101</v>
      </c>
      <c r="Q28" s="213">
        <f t="shared" ref="Q28" si="68">(Q27-P27)/Q27</f>
        <v>0.11026578377518098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1464</v>
      </c>
      <c r="H29" s="147">
        <v>1492</v>
      </c>
      <c r="I29" s="147">
        <v>951</v>
      </c>
      <c r="J29" s="147">
        <v>1345</v>
      </c>
      <c r="K29" s="147">
        <v>1257</v>
      </c>
      <c r="L29" s="147">
        <v>2133</v>
      </c>
      <c r="M29" s="147">
        <v>2063</v>
      </c>
      <c r="N29" s="147">
        <v>2413</v>
      </c>
      <c r="O29" s="147">
        <v>2894</v>
      </c>
      <c r="P29" s="147">
        <v>2643</v>
      </c>
      <c r="Q29" s="211">
        <v>3836</v>
      </c>
      <c r="R29" s="118">
        <f>((Q29/G29)^(1/($H$2-$H$1) ))-1</f>
        <v>0.11296612708283948</v>
      </c>
      <c r="S29" s="31">
        <f t="shared" si="6"/>
        <v>0.12</v>
      </c>
      <c r="T29" s="154">
        <f t="shared" si="2"/>
        <v>4296.3200000000006</v>
      </c>
      <c r="U29" s="154">
        <f t="shared" ref="U29" si="69">T29*(1+$S29)</f>
        <v>4811.8784000000014</v>
      </c>
      <c r="V29" s="154">
        <f t="shared" ref="V29" si="70">U29*(1+$S29)</f>
        <v>5389.3038080000024</v>
      </c>
      <c r="W29" s="154">
        <f t="shared" ref="W29" si="71">V29*(1+$S29)</f>
        <v>6036.0202649600033</v>
      </c>
      <c r="X29" s="154">
        <f t="shared" ref="X29" si="72">W29*(1+$S29)</f>
        <v>6760.3426967552041</v>
      </c>
      <c r="Y29" s="154">
        <f t="shared" ref="Y29" si="73">X29*(1+$S29)</f>
        <v>7571.5838203658295</v>
      </c>
      <c r="Z29" s="154">
        <f t="shared" ref="Z29" si="74">Y29*(1+$S29)</f>
        <v>8480.17387880973</v>
      </c>
      <c r="AA29" s="154">
        <f t="shared" ref="AA29" si="75">Z29*(1+$S29)</f>
        <v>9497.7947442668992</v>
      </c>
      <c r="AB29" s="154">
        <f t="shared" ref="AB29" si="76">AA29*(1+$S29)</f>
        <v>10637.530113578929</v>
      </c>
      <c r="AC29" s="154">
        <f t="shared" ref="AC29" si="77">AB29*(1+$S29)</f>
        <v>11914.033727208402</v>
      </c>
      <c r="AD29" s="138">
        <f t="shared" ref="AD29" si="78">((AC29/G29)^(1/($AC$3-$H$1) ))-1</f>
        <v>0.11051872915716321</v>
      </c>
      <c r="AE29" s="31">
        <f t="shared" si="16"/>
        <v>0.05</v>
      </c>
      <c r="AF29" s="146">
        <f t="shared" ref="AF29" si="79">(AC29*(1+AE29))/($C$1-AE29)</f>
        <v>104247.7951130735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1.876675603217158E-2</v>
      </c>
      <c r="I30" s="148">
        <f t="shared" si="80"/>
        <v>-0.56887486855941116</v>
      </c>
      <c r="J30" s="148">
        <f t="shared" si="80"/>
        <v>0.29293680297397767</v>
      </c>
      <c r="K30" s="148">
        <f t="shared" si="80"/>
        <v>-7.0007955449482892E-2</v>
      </c>
      <c r="L30" s="148">
        <f t="shared" si="80"/>
        <v>0.41068917018284107</v>
      </c>
      <c r="M30" s="148">
        <f t="shared" si="80"/>
        <v>-3.3931168201648085E-2</v>
      </c>
      <c r="N30" s="148">
        <f t="shared" si="80"/>
        <v>0.14504765851636967</v>
      </c>
      <c r="O30" s="148">
        <f t="shared" si="80"/>
        <v>0.16620594333102973</v>
      </c>
      <c r="P30" s="148">
        <f t="shared" si="80"/>
        <v>-9.4967839576239124E-2</v>
      </c>
      <c r="Q30" s="213">
        <f t="shared" ref="Q30" si="81">(Q29-P29)/Q29</f>
        <v>0.31100104275286755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1"/>
      <c r="R31" s="118" t="e">
        <f>((Q31/G31)^(1/($H$2-$H$1) ))-1</f>
        <v>#DIV/0!</v>
      </c>
      <c r="S31" s="31">
        <f t="shared" si="6"/>
        <v>0.12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1"/>
      <c r="R32" s="118" t="e">
        <f>((Q32/G32)^(1/($H$2-$H$1) ))-1</f>
        <v>#DIV/0!</v>
      </c>
      <c r="S32" s="31">
        <f t="shared" si="6"/>
        <v>0.12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36186</v>
      </c>
      <c r="H33" s="147">
        <v>47418</v>
      </c>
      <c r="I33" s="147">
        <v>60564</v>
      </c>
      <c r="J33" s="147">
        <v>81815</v>
      </c>
      <c r="K33" s="147">
        <v>103564</v>
      </c>
      <c r="L33" s="147">
        <v>117294</v>
      </c>
      <c r="M33" s="147">
        <v>164277</v>
      </c>
      <c r="N33" s="147">
        <v>212677</v>
      </c>
      <c r="O33" s="147">
        <v>304978</v>
      </c>
      <c r="P33" s="147">
        <v>341489</v>
      </c>
      <c r="Q33" s="211">
        <v>346491</v>
      </c>
      <c r="R33" s="118">
        <f>((Q33/G33)^(1/($H$2-$H$1) ))-1</f>
        <v>0.28533643925197683</v>
      </c>
      <c r="S33" s="31">
        <f t="shared" si="6"/>
        <v>0.12</v>
      </c>
      <c r="T33" s="154">
        <f t="shared" si="2"/>
        <v>388069.92000000004</v>
      </c>
      <c r="U33" s="154">
        <f t="shared" si="36"/>
        <v>434638.31040000007</v>
      </c>
      <c r="V33" s="154">
        <f t="shared" si="37"/>
        <v>486794.90764800011</v>
      </c>
      <c r="W33" s="154">
        <f t="shared" si="38"/>
        <v>545210.29656576016</v>
      </c>
      <c r="X33" s="154">
        <f t="shared" si="39"/>
        <v>610635.53215365147</v>
      </c>
      <c r="Y33" s="154">
        <f t="shared" si="40"/>
        <v>683911.7960120897</v>
      </c>
      <c r="Z33" s="154">
        <f t="shared" si="41"/>
        <v>765981.21153354051</v>
      </c>
      <c r="AA33" s="154">
        <f t="shared" si="42"/>
        <v>857898.95691756543</v>
      </c>
      <c r="AB33" s="154">
        <f t="shared" si="43"/>
        <v>960846.83174767334</v>
      </c>
      <c r="AC33" s="154">
        <f t="shared" si="44"/>
        <v>1076148.4515573943</v>
      </c>
      <c r="AD33" s="138">
        <f t="shared" si="18"/>
        <v>0.18485875060642765</v>
      </c>
      <c r="AE33" s="31">
        <f t="shared" si="16"/>
        <v>0.05</v>
      </c>
      <c r="AF33" s="146">
        <f t="shared" si="1"/>
        <v>9416298.9511272013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725</v>
      </c>
      <c r="H34" s="147">
        <v>907</v>
      </c>
      <c r="I34" s="147">
        <v>1146</v>
      </c>
      <c r="J34" s="147">
        <v>2262</v>
      </c>
      <c r="K34" s="147">
        <v>2108</v>
      </c>
      <c r="L34" s="147">
        <v>3848</v>
      </c>
      <c r="M34" s="147">
        <v>3140</v>
      </c>
      <c r="N34" s="147">
        <v>2834</v>
      </c>
      <c r="O34" s="147">
        <v>4740</v>
      </c>
      <c r="P34" s="147">
        <v>7993</v>
      </c>
      <c r="Q34" s="211">
        <v>5572</v>
      </c>
      <c r="R34" s="118">
        <f>((Q34/G34)^(1/($H$2-$H$1) ))-1</f>
        <v>0.25431935087765178</v>
      </c>
      <c r="S34" s="31">
        <f t="shared" si="6"/>
        <v>0.12</v>
      </c>
      <c r="T34" s="154">
        <f t="shared" si="2"/>
        <v>6240.64</v>
      </c>
      <c r="U34" s="154">
        <f t="shared" si="36"/>
        <v>6989.5168000000012</v>
      </c>
      <c r="V34" s="154">
        <f t="shared" si="37"/>
        <v>7828.2588160000023</v>
      </c>
      <c r="W34" s="154">
        <f t="shared" si="38"/>
        <v>8767.6498739200033</v>
      </c>
      <c r="X34" s="154">
        <f t="shared" si="39"/>
        <v>9819.7678587904047</v>
      </c>
      <c r="Y34" s="154">
        <f t="shared" si="40"/>
        <v>10998.140001845255</v>
      </c>
      <c r="Z34" s="154">
        <f t="shared" si="41"/>
        <v>12317.916802066688</v>
      </c>
      <c r="AA34" s="154">
        <f t="shared" si="42"/>
        <v>13796.066818314692</v>
      </c>
      <c r="AB34" s="154">
        <f t="shared" si="43"/>
        <v>15451.594836512457</v>
      </c>
      <c r="AC34" s="154">
        <f t="shared" si="44"/>
        <v>17305.786216893954</v>
      </c>
      <c r="AD34" s="138">
        <f t="shared" si="18"/>
        <v>0.17190569940106815</v>
      </c>
      <c r="AE34" s="31">
        <f t="shared" si="16"/>
        <v>0.05</v>
      </c>
      <c r="AF34" s="146">
        <f t="shared" si="1"/>
        <v>151425.62939782208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1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9577</v>
      </c>
      <c r="H36" s="147">
        <v>12703</v>
      </c>
      <c r="I36" s="147">
        <v>14512</v>
      </c>
      <c r="J36" s="147">
        <v>20578</v>
      </c>
      <c r="K36" s="147">
        <v>22335</v>
      </c>
      <c r="L36" s="147">
        <v>24372</v>
      </c>
      <c r="M36" s="147">
        <v>30252</v>
      </c>
      <c r="N36" s="147">
        <v>38004</v>
      </c>
      <c r="O36" s="147">
        <v>34819</v>
      </c>
      <c r="P36" s="147">
        <v>33045</v>
      </c>
      <c r="Q36" s="211">
        <v>32509</v>
      </c>
      <c r="R36" s="118">
        <f>((Q36/G36)^(1/($H$2-$H$1) ))-1</f>
        <v>0.14544674533088919</v>
      </c>
      <c r="S36" s="31">
        <f t="shared" si="6"/>
        <v>0.12</v>
      </c>
      <c r="T36" s="154">
        <f t="shared" si="2"/>
        <v>36410.080000000002</v>
      </c>
      <c r="U36" s="154">
        <f t="shared" ref="U36" si="85">T36*(1+$S36)</f>
        <v>40779.289600000004</v>
      </c>
      <c r="V36" s="154">
        <f t="shared" ref="V36" si="86">U36*(1+$S36)</f>
        <v>45672.804352000006</v>
      </c>
      <c r="W36" s="154">
        <f t="shared" ref="W36" si="87">V36*(1+$S36)</f>
        <v>51153.54087424001</v>
      </c>
      <c r="X36" s="154">
        <f t="shared" si="39"/>
        <v>57291.965779148821</v>
      </c>
      <c r="Y36" s="154">
        <f t="shared" si="40"/>
        <v>64167.001672646686</v>
      </c>
      <c r="Z36" s="154">
        <f t="shared" si="41"/>
        <v>71867.041873364302</v>
      </c>
      <c r="AA36" s="154">
        <f t="shared" si="42"/>
        <v>80491.086898168025</v>
      </c>
      <c r="AB36" s="154">
        <f t="shared" si="43"/>
        <v>90150.017325948196</v>
      </c>
      <c r="AC36" s="154">
        <f t="shared" si="44"/>
        <v>100968.01940506199</v>
      </c>
      <c r="AD36" s="138">
        <f t="shared" si="18"/>
        <v>0.12498755326456945</v>
      </c>
      <c r="AE36" s="31">
        <f t="shared" si="16"/>
        <v>0.05</v>
      </c>
      <c r="AF36" s="146">
        <f t="shared" si="1"/>
        <v>883470.16979429242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88">(G36-F36)/G36</f>
        <v>1</v>
      </c>
      <c r="H37" s="148">
        <f t="shared" ref="H37" si="89">(H36-G36)/H36</f>
        <v>0.2460836022986696</v>
      </c>
      <c r="I37" s="148">
        <f t="shared" ref="I37" si="90">(I36-H36)/I36</f>
        <v>0.12465545755237045</v>
      </c>
      <c r="J37" s="148">
        <f t="shared" ref="J37" si="91">(J36-I36)/J36</f>
        <v>0.29478083390028187</v>
      </c>
      <c r="K37" s="148">
        <f t="shared" ref="K37" si="92">(K36-J36)/K36</f>
        <v>7.8665771211103644E-2</v>
      </c>
      <c r="L37" s="148">
        <f t="shared" ref="L37" si="93">(L36-K36)/L36</f>
        <v>8.3579517479074342E-2</v>
      </c>
      <c r="M37" s="148">
        <f t="shared" ref="M37" si="94">(M36-L36)/M36</f>
        <v>0.19436731455771519</v>
      </c>
      <c r="N37" s="148">
        <f t="shared" ref="N37" si="95">(N36-M36)/N36</f>
        <v>0.20397852857593937</v>
      </c>
      <c r="O37" s="148">
        <f t="shared" ref="O37" si="96">(O36-N36)/O36</f>
        <v>-9.1473046325282178E-2</v>
      </c>
      <c r="P37" s="148">
        <f t="shared" ref="P37:Q37" si="97">(P36-O36)/P36</f>
        <v>-5.368436979875927E-2</v>
      </c>
      <c r="Q37" s="213">
        <f t="shared" si="97"/>
        <v>-1.6487741856101388E-2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211">
        <v>28673</v>
      </c>
      <c r="R38" s="118" t="e">
        <f>((Q38/G38)^(1/($H$2-$H$1) ))-1</f>
        <v>#DIV/0!</v>
      </c>
      <c r="S38" s="31">
        <f t="shared" si="6"/>
        <v>0.12</v>
      </c>
      <c r="T38" s="154">
        <f t="shared" si="2"/>
        <v>32113.760000000002</v>
      </c>
      <c r="U38" s="154">
        <f t="shared" ref="U38" si="98">T38*(1+$S38)</f>
        <v>35967.411200000002</v>
      </c>
      <c r="V38" s="154">
        <f t="shared" ref="V38" si="99">U38*(1+$S38)</f>
        <v>40283.50054400001</v>
      </c>
      <c r="W38" s="154">
        <f t="shared" ref="W38" si="100">V38*(1+$S38)</f>
        <v>45117.520609280014</v>
      </c>
      <c r="X38" s="154">
        <f t="shared" ref="X38" si="101">W38*(1+$S38)</f>
        <v>50531.62308239362</v>
      </c>
      <c r="Y38" s="154">
        <f t="shared" ref="Y38" si="102">X38*(1+$S38)</f>
        <v>56595.417852280858</v>
      </c>
      <c r="Z38" s="154">
        <f t="shared" ref="Z38" si="103">Y38*(1+$S38)</f>
        <v>63386.867994554566</v>
      </c>
      <c r="AA38" s="154">
        <f t="shared" ref="AA38" si="104">Z38*(1+$S38)</f>
        <v>70993.292153901115</v>
      </c>
      <c r="AB38" s="154">
        <f t="shared" ref="AB38" si="105">AA38*(1+$S38)</f>
        <v>79512.487212369262</v>
      </c>
      <c r="AC38" s="154">
        <f t="shared" ref="AC38" si="106">AB38*(1+$S38)</f>
        <v>89053.985677853576</v>
      </c>
      <c r="AD38" s="138" t="e">
        <f t="shared" ref="AD38" si="107">((AC38/G38)^(1/($AC$3-$H$1) ))-1</f>
        <v>#DIV/0!</v>
      </c>
      <c r="AE38" s="31">
        <f t="shared" si="16"/>
        <v>0.05</v>
      </c>
      <c r="AF38" s="146">
        <f t="shared" ref="AF38" si="108">(AC38*(1+AE38))/($C$1-AE38)</f>
        <v>779222.37468121876</v>
      </c>
    </row>
    <row r="39" spans="2:32" s="123" customFormat="1" x14ac:dyDescent="0.2">
      <c r="B39" s="23"/>
      <c r="C39" s="149"/>
      <c r="D39" s="149"/>
      <c r="E39" s="150"/>
      <c r="F39" s="150"/>
      <c r="G39" s="148" t="e">
        <f t="shared" ref="G39" si="109">(G38-F38)/G38</f>
        <v>#DIV/0!</v>
      </c>
      <c r="H39" s="148" t="e">
        <f t="shared" ref="H39" si="110">(H38-G38)/H38</f>
        <v>#DIV/0!</v>
      </c>
      <c r="I39" s="148" t="e">
        <f t="shared" ref="I39" si="111">(I38-H38)/I38</f>
        <v>#DIV/0!</v>
      </c>
      <c r="J39" s="148" t="e">
        <f t="shared" ref="J39" si="112">(J38-I38)/J38</f>
        <v>#DIV/0!</v>
      </c>
      <c r="K39" s="148" t="e">
        <f t="shared" ref="K39" si="113">(K38-J38)/K38</f>
        <v>#DIV/0!</v>
      </c>
      <c r="L39" s="148" t="e">
        <f t="shared" ref="L39" si="114">(L38-K38)/L38</f>
        <v>#DIV/0!</v>
      </c>
      <c r="M39" s="148" t="e">
        <f t="shared" ref="M39" si="115">(M38-L38)/M38</f>
        <v>#DIV/0!</v>
      </c>
      <c r="N39" s="148" t="e">
        <f t="shared" ref="N39" si="116">(N38-M38)/N38</f>
        <v>#DIV/0!</v>
      </c>
      <c r="O39" s="148" t="e">
        <f t="shared" ref="O39" si="117">(O38-N38)/O38</f>
        <v>#DIV/0!</v>
      </c>
      <c r="P39" s="148" t="e">
        <f t="shared" ref="P39:Q39" si="118">(P38-O38)/P38</f>
        <v>#DIV/0!</v>
      </c>
      <c r="Q39" s="213">
        <f t="shared" si="118"/>
        <v>1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5168</v>
      </c>
      <c r="H40" s="147">
        <v>7628</v>
      </c>
      <c r="I40" s="147">
        <v>9394</v>
      </c>
      <c r="J40" s="147">
        <v>12074</v>
      </c>
      <c r="K40" s="147">
        <v>19523</v>
      </c>
      <c r="L40" s="147">
        <v>14950</v>
      </c>
      <c r="M40" s="147">
        <v>24423</v>
      </c>
      <c r="N40" s="147">
        <v>19271</v>
      </c>
      <c r="O40" s="147">
        <v>19717</v>
      </c>
      <c r="P40" s="147">
        <v>20886</v>
      </c>
      <c r="Q40" s="211">
        <v>22493</v>
      </c>
      <c r="R40" s="118">
        <f>((Q40/G40)^(1/($H$2-$H$1) ))-1</f>
        <v>0.17752308721212917</v>
      </c>
      <c r="S40" s="31">
        <f t="shared" si="6"/>
        <v>0.12</v>
      </c>
      <c r="T40" s="154">
        <f t="shared" si="2"/>
        <v>25192.160000000003</v>
      </c>
      <c r="U40" s="154">
        <f t="shared" ref="U40:AC40" si="119">T40*(1+$S40)</f>
        <v>28215.219200000007</v>
      </c>
      <c r="V40" s="154">
        <f t="shared" si="119"/>
        <v>31601.045504000012</v>
      </c>
      <c r="W40" s="154">
        <f t="shared" si="119"/>
        <v>35393.170964480014</v>
      </c>
      <c r="X40" s="154">
        <f t="shared" si="119"/>
        <v>39640.351480217621</v>
      </c>
      <c r="Y40" s="154">
        <f t="shared" si="119"/>
        <v>44397.193657843738</v>
      </c>
      <c r="Z40" s="154">
        <f t="shared" si="119"/>
        <v>49724.856896784993</v>
      </c>
      <c r="AA40" s="154">
        <f t="shared" si="119"/>
        <v>55691.8397243992</v>
      </c>
      <c r="AB40" s="154">
        <f t="shared" si="119"/>
        <v>62374.860491327112</v>
      </c>
      <c r="AC40" s="154">
        <f t="shared" si="119"/>
        <v>69859.843750286367</v>
      </c>
      <c r="AD40" s="138">
        <f t="shared" si="18"/>
        <v>0.13905647000048638</v>
      </c>
      <c r="AE40" s="31">
        <f t="shared" si="16"/>
        <v>0.05</v>
      </c>
      <c r="AF40" s="146">
        <f t="shared" si="1"/>
        <v>611273.63281500572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0">(H40-G40)/H40</f>
        <v>0.32249606712113266</v>
      </c>
      <c r="I41" s="148">
        <f t="shared" si="120"/>
        <v>0.18799233553331915</v>
      </c>
      <c r="J41" s="148">
        <f t="shared" si="120"/>
        <v>0.22196455192976644</v>
      </c>
      <c r="K41" s="148">
        <f t="shared" si="120"/>
        <v>0.38154996670593661</v>
      </c>
      <c r="L41" s="148">
        <f t="shared" si="120"/>
        <v>-0.30588628762541809</v>
      </c>
      <c r="M41" s="148">
        <f t="shared" si="120"/>
        <v>0.38787208778610327</v>
      </c>
      <c r="N41" s="148">
        <f t="shared" si="120"/>
        <v>-0.26734471485652017</v>
      </c>
      <c r="O41" s="148">
        <f t="shared" si="120"/>
        <v>2.262007404777603E-2</v>
      </c>
      <c r="P41" s="148">
        <f t="shared" si="120"/>
        <v>5.5970506559417793E-2</v>
      </c>
      <c r="Q41" s="213">
        <f t="shared" si="120"/>
        <v>7.1444449384252873E-2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139.63</v>
      </c>
      <c r="H42" s="145">
        <v>139.6</v>
      </c>
      <c r="I42" s="145">
        <v>139.5</v>
      </c>
      <c r="J42" s="145">
        <v>139.5</v>
      </c>
      <c r="K42" s="145">
        <v>145.36000000000001</v>
      </c>
      <c r="L42" s="145">
        <v>157.37</v>
      </c>
      <c r="M42" s="145">
        <v>327.02999999999997</v>
      </c>
      <c r="N42" s="145">
        <v>327.33</v>
      </c>
      <c r="O42" s="145">
        <v>327.10000000000002</v>
      </c>
      <c r="P42" s="145">
        <v>322.86</v>
      </c>
      <c r="Q42" s="214">
        <v>322.8</v>
      </c>
      <c r="R42" s="118">
        <f>((Q42/G42)^(1/($H$2-$H$1) ))-1</f>
        <v>9.7588178611202503E-2</v>
      </c>
      <c r="S42" s="31">
        <v>0.02</v>
      </c>
      <c r="T42" s="154">
        <f t="shared" si="2"/>
        <v>329.25600000000003</v>
      </c>
      <c r="U42" s="154">
        <f t="shared" ref="U42:AC42" si="121">T42*(1+$S42)</f>
        <v>335.84112000000005</v>
      </c>
      <c r="V42" s="154">
        <f t="shared" si="121"/>
        <v>342.55794240000006</v>
      </c>
      <c r="W42" s="154">
        <f t="shared" si="121"/>
        <v>349.40910124800007</v>
      </c>
      <c r="X42" s="154">
        <f t="shared" si="121"/>
        <v>356.39728327296007</v>
      </c>
      <c r="Y42" s="154">
        <f t="shared" si="121"/>
        <v>363.52522893841927</v>
      </c>
      <c r="Z42" s="154">
        <f t="shared" si="121"/>
        <v>370.79573351718767</v>
      </c>
      <c r="AA42" s="154">
        <f t="shared" si="121"/>
        <v>378.21164818753141</v>
      </c>
      <c r="AB42" s="154">
        <f t="shared" si="121"/>
        <v>385.77588115128202</v>
      </c>
      <c r="AC42" s="154">
        <f t="shared" si="121"/>
        <v>393.4913987743077</v>
      </c>
      <c r="AD42" s="138">
        <f t="shared" si="18"/>
        <v>5.3168413404968806E-2</v>
      </c>
      <c r="AE42" s="31">
        <f t="shared" si="16"/>
        <v>0.05</v>
      </c>
      <c r="AF42" s="146">
        <f t="shared" si="1"/>
        <v>3443.0497392751922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0.99283821528324856</v>
      </c>
      <c r="H43" s="148">
        <f t="shared" ref="H43" si="122">(H42-G42)/H42</f>
        <v>-2.1489971346705687E-4</v>
      </c>
      <c r="I43" s="148">
        <f t="shared" ref="I43" si="123">(I42-H42)/I42</f>
        <v>-7.1684587813615995E-4</v>
      </c>
      <c r="J43" s="148">
        <f t="shared" ref="J43" si="124">(J42-I42)/J42</f>
        <v>0</v>
      </c>
      <c r="K43" s="148">
        <f t="shared" ref="K43" si="125">(K42-J42)/K42</f>
        <v>4.0313703907539994E-2</v>
      </c>
      <c r="L43" s="148">
        <f t="shared" ref="L43" si="126">(L42-K42)/L42</f>
        <v>7.6316960030501313E-2</v>
      </c>
      <c r="M43" s="148">
        <f t="shared" ref="M43" si="127">(M42-L42)/M42</f>
        <v>0.51879032504663181</v>
      </c>
      <c r="N43" s="148">
        <f t="shared" ref="N43" si="128">(N42-M42)/N42</f>
        <v>9.165062780680395E-4</v>
      </c>
      <c r="O43" s="148">
        <f t="shared" ref="O43" si="129">(O42-N42)/O42</f>
        <v>-7.0314888413317434E-4</v>
      </c>
      <c r="P43" s="148">
        <f t="shared" ref="P43:Q43" si="130">(P42-O42)/P42</f>
        <v>-1.313262714489255E-2</v>
      </c>
      <c r="Q43" s="213">
        <f t="shared" si="130"/>
        <v>-1.8587360594796243E-4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5.25</v>
      </c>
      <c r="H44" s="147">
        <v>7.5</v>
      </c>
      <c r="I44" s="147">
        <v>10</v>
      </c>
      <c r="J44" s="147">
        <v>11</v>
      </c>
      <c r="K44" s="190">
        <v>13</v>
      </c>
      <c r="L44" s="190">
        <v>13</v>
      </c>
      <c r="M44" s="190">
        <v>7</v>
      </c>
      <c r="N44" s="190">
        <v>8</v>
      </c>
      <c r="O44" s="190">
        <v>8.5</v>
      </c>
      <c r="P44" s="147">
        <v>9</v>
      </c>
      <c r="Q44" s="214">
        <v>9.5</v>
      </c>
      <c r="R44" s="118">
        <f>((Q44/G44)^(1/($H$2-$H$1) ))-1</f>
        <v>6.8115594371625177E-2</v>
      </c>
      <c r="S44" s="31">
        <f>P1</f>
        <v>0.05</v>
      </c>
      <c r="T44" s="154">
        <f t="shared" si="2"/>
        <v>9.9749999999999996</v>
      </c>
      <c r="U44" s="154">
        <f t="shared" ref="U44" si="131">T44*(1+$S44)</f>
        <v>10.473750000000001</v>
      </c>
      <c r="V44" s="154">
        <f t="shared" ref="V44" si="132">U44*(1+$S44)</f>
        <v>10.997437500000002</v>
      </c>
      <c r="W44" s="154">
        <f t="shared" ref="W44" si="133">V44*(1+$S44)</f>
        <v>11.547309375000003</v>
      </c>
      <c r="X44" s="154">
        <f t="shared" ref="X44" si="134">W44*(1+$S44)</f>
        <v>12.124674843750004</v>
      </c>
      <c r="Y44" s="154">
        <f t="shared" ref="Y44" si="135">X44*(1+$S44)</f>
        <v>12.730908585937504</v>
      </c>
      <c r="Z44" s="154">
        <f t="shared" ref="Z44" si="136">Y44*(1+$S44)</f>
        <v>13.367454015234379</v>
      </c>
      <c r="AA44" s="154">
        <f t="shared" ref="AA44" si="137">Z44*(1+$S44)</f>
        <v>14.0358267159961</v>
      </c>
      <c r="AB44" s="154">
        <f t="shared" ref="AB44" si="138">AA44*(1+$S44)</f>
        <v>14.737618051795906</v>
      </c>
      <c r="AC44" s="154">
        <f t="shared" ref="AC44" si="139">AB44*(1+$S44)</f>
        <v>15.474498954385702</v>
      </c>
      <c r="AD44" s="138">
        <f t="shared" ref="AD44" si="140">((AC44/G44)^(1/($AC$3-$H$1) ))-1</f>
        <v>5.5535549710541199E-2</v>
      </c>
      <c r="AE44" s="31">
        <f t="shared" si="16"/>
        <v>0.05</v>
      </c>
      <c r="AF44" s="146">
        <f t="shared" si="1"/>
        <v>135.40186585087488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211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 t="s">
        <v>446</v>
      </c>
      <c r="N46" s="147">
        <v>0</v>
      </c>
      <c r="O46" s="147">
        <v>0</v>
      </c>
      <c r="P46" s="147">
        <v>0</v>
      </c>
      <c r="Q46" s="211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211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5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15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41">C25/C42</f>
        <v>0</v>
      </c>
      <c r="D50" s="133">
        <f t="shared" si="141"/>
        <v>0</v>
      </c>
      <c r="E50" s="133">
        <f t="shared" si="141"/>
        <v>0</v>
      </c>
      <c r="F50" s="133">
        <f t="shared" si="141"/>
        <v>0</v>
      </c>
      <c r="G50" s="133">
        <f t="shared" si="141"/>
        <v>379.16636825897012</v>
      </c>
      <c r="H50" s="133">
        <f t="shared" si="141"/>
        <v>484.18338108882523</v>
      </c>
      <c r="I50" s="133">
        <f t="shared" si="141"/>
        <v>614.88888888888891</v>
      </c>
      <c r="J50" s="133">
        <f t="shared" si="141"/>
        <v>822.91039426523298</v>
      </c>
      <c r="K50" s="133">
        <f t="shared" si="141"/>
        <v>1004.3340671436433</v>
      </c>
      <c r="L50" s="133">
        <f t="shared" si="141"/>
        <v>984.30450530596681</v>
      </c>
      <c r="M50" s="133">
        <f t="shared" si="141"/>
        <v>675.33559612267993</v>
      </c>
      <c r="N50" s="133">
        <f t="shared" si="141"/>
        <v>833.32416827055272</v>
      </c>
      <c r="O50" s="133">
        <f t="shared" si="141"/>
        <v>1122.7667380006114</v>
      </c>
      <c r="P50" s="133">
        <f t="shared" si="141"/>
        <v>1269.5378801957504</v>
      </c>
      <c r="Q50" s="133">
        <f t="shared" ref="Q50" si="142">Q25/Q42</f>
        <v>1373.5161090458487</v>
      </c>
      <c r="R50" s="118">
        <f>((P50/G50)^(1/($H$2-$H$1) ))-1</f>
        <v>0.14370197948973917</v>
      </c>
      <c r="S50" s="128"/>
      <c r="T50" s="158">
        <f t="shared" ref="T50:AC50" si="143">T25/T42</f>
        <v>1508.1745511091672</v>
      </c>
      <c r="U50" s="158">
        <f t="shared" si="143"/>
        <v>1656.0348012179093</v>
      </c>
      <c r="V50" s="158">
        <f t="shared" si="143"/>
        <v>1818.3911542784888</v>
      </c>
      <c r="W50" s="158">
        <f t="shared" si="143"/>
        <v>1996.6647968548111</v>
      </c>
      <c r="X50" s="158">
        <f t="shared" si="143"/>
        <v>2192.4162475268517</v>
      </c>
      <c r="Y50" s="158">
        <f t="shared" si="143"/>
        <v>2407.3590168922296</v>
      </c>
      <c r="Z50" s="158">
        <f t="shared" si="143"/>
        <v>2643.3746067836246</v>
      </c>
      <c r="AA50" s="158">
        <f t="shared" si="143"/>
        <v>2902.5289799977063</v>
      </c>
      <c r="AB50" s="158">
        <f t="shared" si="143"/>
        <v>3187.0906447033644</v>
      </c>
      <c r="AC50" s="158">
        <f t="shared" si="143"/>
        <v>3499.5505118311453</v>
      </c>
      <c r="AD50" s="138">
        <f t="shared" ref="AD50" si="144">((AC50/G50)^(1/($AC$3-$H$1) ))-1</f>
        <v>0.11752982584610216</v>
      </c>
      <c r="AE50" s="31">
        <f t="shared" si="16"/>
        <v>0.05</v>
      </c>
      <c r="AF50" s="146">
        <f t="shared" ref="AF50:AF51" si="145">(AC50*(1+AE50))/($C$1-AE50)</f>
        <v>30621.066978522522</v>
      </c>
    </row>
    <row r="51" spans="2:32" x14ac:dyDescent="0.2">
      <c r="B51" s="20" t="s">
        <v>304</v>
      </c>
      <c r="C51" s="133">
        <f t="shared" ref="C51:P51" si="146">C27/C42</f>
        <v>0</v>
      </c>
      <c r="D51" s="133">
        <f t="shared" si="146"/>
        <v>0</v>
      </c>
      <c r="E51" s="133">
        <f t="shared" si="146"/>
        <v>0</v>
      </c>
      <c r="F51" s="133">
        <f t="shared" si="146"/>
        <v>0</v>
      </c>
      <c r="G51" s="133">
        <f t="shared" si="146"/>
        <v>300.00716178471674</v>
      </c>
      <c r="H51" s="133">
        <f t="shared" si="146"/>
        <v>381.35386819484245</v>
      </c>
      <c r="I51" s="133">
        <f t="shared" si="146"/>
        <v>503.92831541218641</v>
      </c>
      <c r="J51" s="133">
        <f t="shared" si="146"/>
        <v>673.07526881720435</v>
      </c>
      <c r="K51" s="133">
        <f t="shared" si="146"/>
        <v>802.88249862410555</v>
      </c>
      <c r="L51" s="133">
        <f t="shared" si="146"/>
        <v>821.1984495138845</v>
      </c>
      <c r="M51" s="133">
        <f t="shared" si="146"/>
        <v>547.81824297465073</v>
      </c>
      <c r="N51" s="133">
        <f t="shared" si="146"/>
        <v>709.28115357590207</v>
      </c>
      <c r="O51" s="133">
        <f t="shared" si="146"/>
        <v>998.33078569244867</v>
      </c>
      <c r="P51" s="133">
        <f t="shared" si="146"/>
        <v>1142.8204175184289</v>
      </c>
      <c r="Q51" s="133">
        <f t="shared" ref="Q51" si="147">Q27/Q42</f>
        <v>1284.6902106567534</v>
      </c>
      <c r="R51" s="118">
        <f>((P51/G51)^(1/($H$2-$H$1) ))-1</f>
        <v>0.16021502507190055</v>
      </c>
      <c r="S51" s="128"/>
      <c r="T51" s="158">
        <f t="shared" ref="T51:AC51" si="148">T27/T42</f>
        <v>1410.6402313093763</v>
      </c>
      <c r="U51" s="158">
        <f t="shared" si="148"/>
        <v>1548.9382932024525</v>
      </c>
      <c r="V51" s="158">
        <f t="shared" si="148"/>
        <v>1700.7949886144579</v>
      </c>
      <c r="W51" s="158">
        <f t="shared" si="148"/>
        <v>1867.5395953413654</v>
      </c>
      <c r="X51" s="158">
        <f t="shared" si="148"/>
        <v>2050.6317125316955</v>
      </c>
      <c r="Y51" s="158">
        <f t="shared" si="148"/>
        <v>2251.6740372897052</v>
      </c>
      <c r="Z51" s="158">
        <f t="shared" si="148"/>
        <v>2472.4263938867352</v>
      </c>
      <c r="AA51" s="158">
        <f t="shared" si="148"/>
        <v>2714.8211383854355</v>
      </c>
      <c r="AB51" s="158">
        <f t="shared" si="148"/>
        <v>2980.980073521263</v>
      </c>
      <c r="AC51" s="158">
        <f t="shared" si="148"/>
        <v>3273.2330219057008</v>
      </c>
      <c r="AD51" s="138">
        <f t="shared" ref="AD51" si="149">((AC51/G51)^(1/($AC$3-$H$1) ))-1</f>
        <v>0.12691786830533403</v>
      </c>
      <c r="AE51" s="31">
        <f t="shared" si="16"/>
        <v>0.05</v>
      </c>
      <c r="AF51" s="146">
        <f t="shared" si="145"/>
        <v>28640.788941674884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-5168</v>
      </c>
      <c r="H52" s="133">
        <f t="shared" ref="H52:P52" si="150">H38-H40</f>
        <v>-7628</v>
      </c>
      <c r="I52" s="133">
        <f t="shared" si="150"/>
        <v>-9394</v>
      </c>
      <c r="J52" s="133">
        <f t="shared" si="150"/>
        <v>-12074</v>
      </c>
      <c r="K52" s="133">
        <f t="shared" si="150"/>
        <v>-19523</v>
      </c>
      <c r="L52" s="133">
        <f t="shared" si="150"/>
        <v>-14950</v>
      </c>
      <c r="M52" s="133">
        <f t="shared" si="150"/>
        <v>-24423</v>
      </c>
      <c r="N52" s="133">
        <f t="shared" si="150"/>
        <v>-19271</v>
      </c>
      <c r="O52" s="133">
        <f t="shared" si="150"/>
        <v>-19717</v>
      </c>
      <c r="P52" s="133">
        <f t="shared" si="150"/>
        <v>-20886</v>
      </c>
      <c r="Q52" s="133">
        <f t="shared" ref="Q52" si="151">Q38-Q40</f>
        <v>6180</v>
      </c>
      <c r="R52" s="118">
        <f>((P52/G52)^(1/($H$2-$H$1) ))-1</f>
        <v>0.16786469528719095</v>
      </c>
      <c r="S52" s="128"/>
      <c r="T52" s="133">
        <f t="shared" ref="T52:AC52" si="152">T38-T40</f>
        <v>6921.5999999999985</v>
      </c>
      <c r="U52" s="133">
        <f t="shared" si="152"/>
        <v>7752.1919999999955</v>
      </c>
      <c r="V52" s="133">
        <f t="shared" si="152"/>
        <v>8682.4550399999971</v>
      </c>
      <c r="W52" s="133">
        <f t="shared" si="152"/>
        <v>9724.3496448000005</v>
      </c>
      <c r="X52" s="133">
        <f t="shared" si="152"/>
        <v>10891.271602175999</v>
      </c>
      <c r="Y52" s="133">
        <f t="shared" si="152"/>
        <v>12198.22419443712</v>
      </c>
      <c r="Z52" s="133">
        <f t="shared" si="152"/>
        <v>13662.011097769573</v>
      </c>
      <c r="AA52" s="133">
        <f t="shared" si="152"/>
        <v>15301.452429501915</v>
      </c>
      <c r="AB52" s="133">
        <f t="shared" si="152"/>
        <v>17137.62672104215</v>
      </c>
      <c r="AC52" s="133">
        <f t="shared" si="152"/>
        <v>19194.141927567209</v>
      </c>
      <c r="AD52" s="138" t="e">
        <f t="shared" ref="AD52" si="153">((AC52/G52)^(1/($AC$3-$H$1) ))-1</f>
        <v>#NUM!</v>
      </c>
      <c r="AE52" s="31">
        <f t="shared" si="16"/>
        <v>0.05</v>
      </c>
      <c r="AF52" s="146">
        <f t="shared" ref="AF52" si="154">(AC52*(1+AE52))/($C$1-AE52)</f>
        <v>167948.74186621309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55">C40/C42</f>
        <v>0</v>
      </c>
      <c r="D54" s="25">
        <f t="shared" si="155"/>
        <v>0</v>
      </c>
      <c r="E54" s="25">
        <f t="shared" si="155"/>
        <v>0</v>
      </c>
      <c r="F54" s="133">
        <f t="shared" si="155"/>
        <v>0</v>
      </c>
      <c r="G54" s="133">
        <f t="shared" si="155"/>
        <v>37.012103416171314</v>
      </c>
      <c r="H54" s="133">
        <f t="shared" si="155"/>
        <v>54.641833810888251</v>
      </c>
      <c r="I54" s="133">
        <f t="shared" si="155"/>
        <v>67.340501792114694</v>
      </c>
      <c r="J54" s="133">
        <f t="shared" si="155"/>
        <v>86.551971326164875</v>
      </c>
      <c r="K54" s="133">
        <f t="shared" si="155"/>
        <v>134.30792515134837</v>
      </c>
      <c r="L54" s="133">
        <f t="shared" si="155"/>
        <v>94.999046832306021</v>
      </c>
      <c r="M54" s="133">
        <f t="shared" si="155"/>
        <v>74.681221906247146</v>
      </c>
      <c r="N54" s="133">
        <f t="shared" si="155"/>
        <v>58.873308282161737</v>
      </c>
      <c r="O54" s="133">
        <f t="shared" si="155"/>
        <v>60.278202384591864</v>
      </c>
      <c r="P54" s="133">
        <f t="shared" si="155"/>
        <v>64.690577959487086</v>
      </c>
      <c r="Q54" s="133">
        <f t="shared" ref="Q54" si="156">Q40/Q42</f>
        <v>69.680916976456004</v>
      </c>
      <c r="R54" s="118">
        <f>((P54/G54)^(1/($H$2-$H$1) ))-1</f>
        <v>6.4006155556518118E-2</v>
      </c>
      <c r="S54" s="128"/>
      <c r="T54" s="158">
        <f t="shared" ref="T54:AC54" si="157">T40/T42</f>
        <v>76.512379425128174</v>
      </c>
      <c r="U54" s="158">
        <f t="shared" si="157"/>
        <v>84.013593094258383</v>
      </c>
      <c r="V54" s="158">
        <f t="shared" si="157"/>
        <v>92.250219868205306</v>
      </c>
      <c r="W54" s="158">
        <f t="shared" si="157"/>
        <v>101.29435907097053</v>
      </c>
      <c r="X54" s="158">
        <f t="shared" si="157"/>
        <v>111.22517858773236</v>
      </c>
      <c r="Y54" s="158">
        <f t="shared" si="157"/>
        <v>122.12960786103946</v>
      </c>
      <c r="Z54" s="158">
        <f t="shared" si="157"/>
        <v>134.10309882780805</v>
      </c>
      <c r="AA54" s="158">
        <f t="shared" si="157"/>
        <v>147.25046145798532</v>
      </c>
      <c r="AB54" s="158">
        <f t="shared" si="157"/>
        <v>161.68678120876822</v>
      </c>
      <c r="AC54" s="158">
        <f t="shared" si="157"/>
        <v>177.53842642531413</v>
      </c>
      <c r="AD54" s="138">
        <f t="shared" ref="AD54:AD68" si="158">((AC54/G54)^(1/($AC$3-$H$1) ))-1</f>
        <v>8.1552062806208969E-2</v>
      </c>
      <c r="AE54" s="31">
        <f t="shared" si="16"/>
        <v>0.05</v>
      </c>
      <c r="AF54" s="146">
        <f t="shared" ref="AF54:AF82" si="159">(AC54*(1+AE54))/($C$1-AE54)</f>
        <v>1553.4612312214986</v>
      </c>
    </row>
    <row r="55" spans="2:32" x14ac:dyDescent="0.2">
      <c r="B55" s="20" t="s">
        <v>388</v>
      </c>
      <c r="C55" s="133">
        <f t="shared" ref="C55:F55" si="160">C20/C42</f>
        <v>0</v>
      </c>
      <c r="D55" s="133">
        <f t="shared" si="160"/>
        <v>0</v>
      </c>
      <c r="E55" s="133">
        <f t="shared" si="160"/>
        <v>0</v>
      </c>
      <c r="F55" s="133">
        <f t="shared" si="160"/>
        <v>0</v>
      </c>
      <c r="G55" s="133">
        <f>G20/G42</f>
        <v>83.563704075055512</v>
      </c>
      <c r="H55" s="133">
        <f t="shared" ref="H55:P55" si="161">H20/H42</f>
        <v>123.96131805157593</v>
      </c>
      <c r="I55" s="133">
        <f t="shared" si="161"/>
        <v>73.641577060931894</v>
      </c>
      <c r="J55" s="133">
        <f t="shared" si="161"/>
        <v>120.05734767025089</v>
      </c>
      <c r="K55" s="133">
        <f t="shared" si="161"/>
        <v>111.67446340121077</v>
      </c>
      <c r="L55" s="133">
        <f t="shared" si="161"/>
        <v>103.49494821122195</v>
      </c>
      <c r="M55" s="133">
        <f t="shared" si="161"/>
        <v>62.667033605479624</v>
      </c>
      <c r="N55" s="133">
        <f t="shared" si="161"/>
        <v>101.84828766077048</v>
      </c>
      <c r="O55" s="133">
        <f t="shared" si="161"/>
        <v>74.848670131458263</v>
      </c>
      <c r="P55" s="133">
        <f t="shared" si="161"/>
        <v>114.3467756922505</v>
      </c>
      <c r="Q55" s="133">
        <f t="shared" ref="Q55" si="162">Q20/Q42</f>
        <v>114.36802973977694</v>
      </c>
      <c r="R55" s="118">
        <f>((P55/G55)^(1/($H$2-$H$1) ))-1</f>
        <v>3.5461669090988579E-2</v>
      </c>
      <c r="S55" s="128"/>
      <c r="T55" s="133">
        <f t="shared" ref="T55:AC55" si="163">T20/T42</f>
        <v>125.5805816750492</v>
      </c>
      <c r="U55" s="133">
        <f t="shared" si="163"/>
        <v>137.89240340789718</v>
      </c>
      <c r="V55" s="133">
        <f t="shared" si="163"/>
        <v>151.41126648710278</v>
      </c>
      <c r="W55" s="133">
        <f t="shared" si="163"/>
        <v>166.25550829956384</v>
      </c>
      <c r="X55" s="133">
        <f t="shared" si="163"/>
        <v>182.55506793677603</v>
      </c>
      <c r="Y55" s="133">
        <f t="shared" si="163"/>
        <v>200.45262361685212</v>
      </c>
      <c r="Z55" s="133">
        <f t="shared" si="163"/>
        <v>220.10484161850431</v>
      </c>
      <c r="AA55" s="133">
        <f t="shared" si="163"/>
        <v>241.68374765953416</v>
      </c>
      <c r="AB55" s="133">
        <f t="shared" si="163"/>
        <v>265.37823272419439</v>
      </c>
      <c r="AC55" s="133">
        <f t="shared" si="163"/>
        <v>291.39570652068403</v>
      </c>
      <c r="AD55" s="138">
        <f t="shared" ref="AD55" si="164">((AC55/G55)^(1/($AC$3-$H$1) ))-1</f>
        <v>6.4445115189232904E-2</v>
      </c>
      <c r="AE55" s="31">
        <f t="shared" si="16"/>
        <v>0.05</v>
      </c>
      <c r="AF55" s="146">
        <f t="shared" si="159"/>
        <v>2549.7124320559851</v>
      </c>
    </row>
    <row r="56" spans="2:32" x14ac:dyDescent="0.2">
      <c r="B56" s="20" t="s">
        <v>245</v>
      </c>
      <c r="C56" s="25">
        <f t="shared" ref="C56:P56" si="165">C7/C42</f>
        <v>0</v>
      </c>
      <c r="D56" s="25">
        <f t="shared" si="165"/>
        <v>0</v>
      </c>
      <c r="E56" s="25">
        <f t="shared" si="165"/>
        <v>0</v>
      </c>
      <c r="F56" s="133">
        <f t="shared" si="165"/>
        <v>0</v>
      </c>
      <c r="G56" s="133">
        <f t="shared" si="165"/>
        <v>250.78421542648428</v>
      </c>
      <c r="H56" s="133">
        <f t="shared" si="165"/>
        <v>291.62607449856733</v>
      </c>
      <c r="I56" s="133">
        <f t="shared" si="165"/>
        <v>365.72043010752691</v>
      </c>
      <c r="J56" s="133">
        <f t="shared" si="165"/>
        <v>488.95340501792117</v>
      </c>
      <c r="K56" s="133">
        <f t="shared" si="165"/>
        <v>588.19482663731424</v>
      </c>
      <c r="L56" s="133">
        <f t="shared" si="165"/>
        <v>770.45180148694158</v>
      </c>
      <c r="M56" s="133">
        <f t="shared" si="165"/>
        <v>431.15922086658719</v>
      </c>
      <c r="N56" s="133">
        <f t="shared" si="165"/>
        <v>470.72678947850795</v>
      </c>
      <c r="O56" s="133">
        <f t="shared" si="165"/>
        <v>518.02201161724236</v>
      </c>
      <c r="P56" s="133">
        <f t="shared" si="165"/>
        <v>563.8821780338227</v>
      </c>
      <c r="Q56" s="133">
        <f t="shared" ref="Q56" si="166">Q7/Q42</f>
        <v>615.45848822800497</v>
      </c>
      <c r="R56" s="118">
        <f>((P56/G56)^(1/($H$2-$H$1) ))-1</f>
        <v>9.420497640479919E-2</v>
      </c>
      <c r="S56" s="128"/>
      <c r="T56" s="158">
        <f t="shared" ref="T56:AC56" si="167">T7/T42</f>
        <v>675.79755570133875</v>
      </c>
      <c r="U56" s="158">
        <f t="shared" si="167"/>
        <v>742.05221802499943</v>
      </c>
      <c r="V56" s="158">
        <f t="shared" si="167"/>
        <v>814.80243547843077</v>
      </c>
      <c r="W56" s="158">
        <f t="shared" si="167"/>
        <v>894.68502719200262</v>
      </c>
      <c r="X56" s="158">
        <f t="shared" si="167"/>
        <v>982.39924554415973</v>
      </c>
      <c r="Y56" s="158">
        <f t="shared" si="167"/>
        <v>1078.7128970680972</v>
      </c>
      <c r="Z56" s="158">
        <f t="shared" si="167"/>
        <v>1184.4690634473225</v>
      </c>
      <c r="AA56" s="158">
        <f t="shared" si="167"/>
        <v>1300.5934814323541</v>
      </c>
      <c r="AB56" s="158">
        <f t="shared" si="167"/>
        <v>1428.1026462786635</v>
      </c>
      <c r="AC56" s="158">
        <f t="shared" si="167"/>
        <v>1568.1127096393168</v>
      </c>
      <c r="AD56" s="138">
        <f t="shared" si="158"/>
        <v>9.5983090991796916E-2</v>
      </c>
      <c r="AE56" s="31">
        <f t="shared" si="16"/>
        <v>0.05</v>
      </c>
      <c r="AF56" s="146">
        <f t="shared" si="159"/>
        <v>13720.986209344021</v>
      </c>
    </row>
    <row r="57" spans="2:32" x14ac:dyDescent="0.2">
      <c r="B57" s="20" t="s">
        <v>246</v>
      </c>
      <c r="C57" s="127">
        <f t="shared" ref="C57:P57" si="168">C6/C42</f>
        <v>0</v>
      </c>
      <c r="D57" s="127">
        <f t="shared" si="168"/>
        <v>0</v>
      </c>
      <c r="E57" s="127">
        <f t="shared" si="168"/>
        <v>0</v>
      </c>
      <c r="F57" s="144">
        <f t="shared" si="168"/>
        <v>0</v>
      </c>
      <c r="G57" s="144">
        <f t="shared" si="168"/>
        <v>240.78636396189933</v>
      </c>
      <c r="H57" s="144">
        <f t="shared" si="168"/>
        <v>262.09169054441264</v>
      </c>
      <c r="I57" s="144">
        <f t="shared" si="168"/>
        <v>320.05017921146953</v>
      </c>
      <c r="J57" s="144">
        <f t="shared" si="168"/>
        <v>457.17562724014334</v>
      </c>
      <c r="K57" s="144">
        <f t="shared" si="168"/>
        <v>558.37919647771048</v>
      </c>
      <c r="L57" s="144">
        <f t="shared" si="168"/>
        <v>683.56738895596368</v>
      </c>
      <c r="M57" s="144">
        <f t="shared" si="168"/>
        <v>393.26973060575483</v>
      </c>
      <c r="N57" s="144">
        <f t="shared" si="168"/>
        <v>443.02691473436596</v>
      </c>
      <c r="O57" s="144">
        <f t="shared" si="168"/>
        <v>497.48089269336589</v>
      </c>
      <c r="P57" s="144">
        <f t="shared" si="168"/>
        <v>554.71102025645791</v>
      </c>
      <c r="Q57" s="144">
        <f t="shared" ref="Q57" si="169">Q6/Q42</f>
        <v>606.35068153655516</v>
      </c>
      <c r="R57" s="118">
        <f>((P57/G57)^(1/($H$2-$H$1) ))-1</f>
        <v>9.7161463285085681E-2</v>
      </c>
      <c r="S57" s="128"/>
      <c r="T57" s="157">
        <f t="shared" ref="T57:AC57" si="170">T6/T42</f>
        <v>665.79682678523704</v>
      </c>
      <c r="U57" s="157">
        <f t="shared" si="170"/>
        <v>731.07102548967214</v>
      </c>
      <c r="V57" s="157">
        <f t="shared" si="170"/>
        <v>802.74465543963993</v>
      </c>
      <c r="W57" s="157">
        <f t="shared" si="170"/>
        <v>881.44511185529097</v>
      </c>
      <c r="X57" s="157">
        <f t="shared" si="170"/>
        <v>967.86129929208437</v>
      </c>
      <c r="Y57" s="157">
        <f t="shared" si="170"/>
        <v>1062.7496619677788</v>
      </c>
      <c r="Z57" s="157">
        <f t="shared" si="170"/>
        <v>1166.9408052979534</v>
      </c>
      <c r="AA57" s="157">
        <f t="shared" si="170"/>
        <v>1281.3467666016745</v>
      </c>
      <c r="AB57" s="157">
        <f t="shared" si="170"/>
        <v>1406.9689986214464</v>
      </c>
      <c r="AC57" s="157">
        <f t="shared" si="170"/>
        <v>1544.907135741196</v>
      </c>
      <c r="AD57" s="138">
        <f t="shared" si="158"/>
        <v>9.7396383227315475E-2</v>
      </c>
      <c r="AE57" s="31">
        <f t="shared" si="16"/>
        <v>0.05</v>
      </c>
      <c r="AF57" s="146">
        <f t="shared" si="159"/>
        <v>13517.937437735463</v>
      </c>
    </row>
    <row r="58" spans="2:32" x14ac:dyDescent="0.2">
      <c r="B58" s="20" t="s">
        <v>247</v>
      </c>
      <c r="C58" s="127">
        <f t="shared" ref="C58:P58" si="171">C10/C42</f>
        <v>0</v>
      </c>
      <c r="D58" s="127">
        <f t="shared" si="171"/>
        <v>0</v>
      </c>
      <c r="E58" s="127">
        <f t="shared" si="171"/>
        <v>0</v>
      </c>
      <c r="F58" s="144">
        <f t="shared" si="171"/>
        <v>0</v>
      </c>
      <c r="G58" s="144">
        <f t="shared" si="171"/>
        <v>150.51206760724773</v>
      </c>
      <c r="H58" s="144">
        <f t="shared" si="171"/>
        <v>134.79226361031519</v>
      </c>
      <c r="I58" s="144">
        <f t="shared" si="171"/>
        <v>167.32616487455198</v>
      </c>
      <c r="J58" s="144">
        <f t="shared" si="171"/>
        <v>241.2258064516129</v>
      </c>
      <c r="K58" s="144">
        <f t="shared" si="171"/>
        <v>348.76169510181614</v>
      </c>
      <c r="L58" s="144">
        <f t="shared" si="171"/>
        <v>484.56503780898515</v>
      </c>
      <c r="M58" s="144">
        <f t="shared" si="171"/>
        <v>197.55068342353914</v>
      </c>
      <c r="N58" s="144">
        <f t="shared" si="171"/>
        <v>256.94559007729202</v>
      </c>
      <c r="O58" s="144">
        <f t="shared" si="171"/>
        <v>252.6291653928462</v>
      </c>
      <c r="P58" s="144">
        <f t="shared" si="171"/>
        <v>276.65861364058725</v>
      </c>
      <c r="Q58" s="144">
        <f t="shared" ref="Q58" si="172">Q10/Q42</f>
        <v>0</v>
      </c>
      <c r="R58" s="118">
        <f>((P58/G58)^(1/($H$2-$H$1) ))-1</f>
        <v>6.9977792225922597E-2</v>
      </c>
      <c r="S58" s="128"/>
      <c r="T58" s="157">
        <f t="shared" ref="T58:AC58" si="173">T10/T42</f>
        <v>0</v>
      </c>
      <c r="U58" s="157">
        <f t="shared" si="173"/>
        <v>0</v>
      </c>
      <c r="V58" s="157">
        <f t="shared" si="173"/>
        <v>0</v>
      </c>
      <c r="W58" s="157">
        <f t="shared" si="173"/>
        <v>0</v>
      </c>
      <c r="X58" s="157">
        <f t="shared" si="173"/>
        <v>0</v>
      </c>
      <c r="Y58" s="157">
        <f t="shared" si="173"/>
        <v>0</v>
      </c>
      <c r="Z58" s="157">
        <f t="shared" si="173"/>
        <v>0</v>
      </c>
      <c r="AA58" s="157">
        <f t="shared" si="173"/>
        <v>0</v>
      </c>
      <c r="AB58" s="157">
        <f t="shared" si="173"/>
        <v>0</v>
      </c>
      <c r="AC58" s="157">
        <f t="shared" si="173"/>
        <v>0</v>
      </c>
      <c r="AD58" s="138">
        <f t="shared" si="158"/>
        <v>-1</v>
      </c>
      <c r="AE58" s="31">
        <f t="shared" si="16"/>
        <v>0.05</v>
      </c>
      <c r="AF58" s="146">
        <f t="shared" si="159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74">(C7-C10)/C42</f>
        <v>0</v>
      </c>
      <c r="D60" s="127">
        <f t="shared" si="174"/>
        <v>0</v>
      </c>
      <c r="E60" s="127">
        <f t="shared" si="174"/>
        <v>0</v>
      </c>
      <c r="F60" s="144">
        <f t="shared" si="174"/>
        <v>0</v>
      </c>
      <c r="G60" s="144">
        <f t="shared" si="174"/>
        <v>100.27214781923655</v>
      </c>
      <c r="H60" s="144">
        <f t="shared" si="174"/>
        <v>156.83381088825215</v>
      </c>
      <c r="I60" s="144">
        <f t="shared" si="174"/>
        <v>198.3942652329749</v>
      </c>
      <c r="J60" s="144">
        <f t="shared" si="174"/>
        <v>247.72759856630825</v>
      </c>
      <c r="K60" s="144">
        <f t="shared" si="174"/>
        <v>239.43313153549806</v>
      </c>
      <c r="L60" s="144">
        <f t="shared" si="174"/>
        <v>285.88676367795642</v>
      </c>
      <c r="M60" s="144">
        <f t="shared" si="174"/>
        <v>233.60853744304805</v>
      </c>
      <c r="N60" s="144">
        <f t="shared" si="174"/>
        <v>213.7811994012159</v>
      </c>
      <c r="O60" s="144">
        <f t="shared" si="174"/>
        <v>265.39284622439618</v>
      </c>
      <c r="P60" s="144">
        <f t="shared" si="174"/>
        <v>287.22356439323545</v>
      </c>
      <c r="Q60" s="144">
        <f t="shared" ref="Q60" si="175">(Q7-Q10)/Q42</f>
        <v>615.45848822800497</v>
      </c>
      <c r="R60" s="118">
        <f>((P60/G60)^(1/($H$2-$H$1) ))-1</f>
        <v>0.12404110813229252</v>
      </c>
      <c r="S60" s="128"/>
      <c r="T60" s="157">
        <f t="shared" ref="T60:AC60" si="176">(T7-T10)/T42</f>
        <v>675.79755570133875</v>
      </c>
      <c r="U60" s="157">
        <f t="shared" si="176"/>
        <v>742.05221802499943</v>
      </c>
      <c r="V60" s="157">
        <f t="shared" si="176"/>
        <v>814.80243547843077</v>
      </c>
      <c r="W60" s="157">
        <f t="shared" si="176"/>
        <v>894.68502719200262</v>
      </c>
      <c r="X60" s="157">
        <f t="shared" si="176"/>
        <v>982.39924554415973</v>
      </c>
      <c r="Y60" s="157">
        <f t="shared" si="176"/>
        <v>1078.7128970680972</v>
      </c>
      <c r="Z60" s="157">
        <f t="shared" si="176"/>
        <v>1184.4690634473225</v>
      </c>
      <c r="AA60" s="157">
        <f t="shared" si="176"/>
        <v>1300.5934814323541</v>
      </c>
      <c r="AB60" s="157">
        <f t="shared" si="176"/>
        <v>1428.1026462786635</v>
      </c>
      <c r="AC60" s="157">
        <f t="shared" si="176"/>
        <v>1568.1127096393168</v>
      </c>
      <c r="AD60" s="138">
        <f t="shared" si="158"/>
        <v>0.14738679626135731</v>
      </c>
      <c r="AE60" s="31">
        <f t="shared" si="16"/>
        <v>0.05</v>
      </c>
      <c r="AF60" s="146">
        <f t="shared" si="159"/>
        <v>13720.986209344021</v>
      </c>
    </row>
    <row r="61" spans="2:32" x14ac:dyDescent="0.2">
      <c r="B61" s="20" t="s">
        <v>271</v>
      </c>
      <c r="C61" s="127">
        <f t="shared" ref="C61:P61" si="177">(C7-C10-C9)/C42</f>
        <v>0</v>
      </c>
      <c r="D61" s="127">
        <f t="shared" si="177"/>
        <v>0</v>
      </c>
      <c r="E61" s="127">
        <f t="shared" si="177"/>
        <v>0</v>
      </c>
      <c r="F61" s="144">
        <f t="shared" si="177"/>
        <v>0</v>
      </c>
      <c r="G61" s="144">
        <f t="shared" si="177"/>
        <v>0.587266346773616</v>
      </c>
      <c r="H61" s="144">
        <f t="shared" si="177"/>
        <v>25.773638968481375</v>
      </c>
      <c r="I61" s="144">
        <f t="shared" si="177"/>
        <v>69.627240143369178</v>
      </c>
      <c r="J61" s="144">
        <f t="shared" si="177"/>
        <v>65.010752688172047</v>
      </c>
      <c r="K61" s="144">
        <f t="shared" si="177"/>
        <v>19.138690148596584</v>
      </c>
      <c r="L61" s="144">
        <f t="shared" si="177"/>
        <v>-8.9851941284870041</v>
      </c>
      <c r="M61" s="144">
        <f t="shared" si="177"/>
        <v>78.904076078647222</v>
      </c>
      <c r="N61" s="144">
        <f t="shared" si="177"/>
        <v>14.612165093330891</v>
      </c>
      <c r="O61" s="144">
        <f t="shared" si="177"/>
        <v>44.490981351268722</v>
      </c>
      <c r="P61" s="144">
        <f t="shared" si="177"/>
        <v>24.128105061017159</v>
      </c>
      <c r="Q61" s="144">
        <f t="shared" ref="Q61" si="178">(Q7-Q10-Q9)/Q42</f>
        <v>615.45848822800497</v>
      </c>
      <c r="R61" s="118">
        <f>((P61/G61)^(1/($H$2-$H$1) ))-1</f>
        <v>0.51111904063259783</v>
      </c>
      <c r="S61" s="128"/>
      <c r="T61" s="157">
        <f t="shared" ref="T61:AC61" si="179">(T7-T10-T9)/T42</f>
        <v>675.79755570133875</v>
      </c>
      <c r="U61" s="157">
        <f t="shared" si="179"/>
        <v>742.05221802499943</v>
      </c>
      <c r="V61" s="157">
        <f t="shared" si="179"/>
        <v>814.80243547843077</v>
      </c>
      <c r="W61" s="157">
        <f t="shared" si="179"/>
        <v>894.68502719200262</v>
      </c>
      <c r="X61" s="157">
        <f t="shared" si="179"/>
        <v>982.39924554415973</v>
      </c>
      <c r="Y61" s="157">
        <f t="shared" si="179"/>
        <v>1078.7128970680972</v>
      </c>
      <c r="Z61" s="157">
        <f t="shared" si="179"/>
        <v>1184.4690634473225</v>
      </c>
      <c r="AA61" s="157">
        <f t="shared" si="179"/>
        <v>1300.5934814323541</v>
      </c>
      <c r="AB61" s="157">
        <f t="shared" si="179"/>
        <v>1428.1026462786635</v>
      </c>
      <c r="AC61" s="157">
        <f t="shared" si="179"/>
        <v>1568.1127096393168</v>
      </c>
      <c r="AD61" s="138">
        <f t="shared" si="158"/>
        <v>0.48363512957875643</v>
      </c>
      <c r="AE61" s="31">
        <f t="shared" si="16"/>
        <v>0.05</v>
      </c>
      <c r="AF61" s="146">
        <f t="shared" si="159"/>
        <v>13720.986209344021</v>
      </c>
    </row>
    <row r="62" spans="2:32" x14ac:dyDescent="0.2">
      <c r="B62" s="20" t="s">
        <v>276</v>
      </c>
      <c r="C62" s="127">
        <f t="shared" ref="C62:P62" si="180">(C7+C15-C10-C9)/C42</f>
        <v>0</v>
      </c>
      <c r="D62" s="127">
        <f t="shared" si="180"/>
        <v>0</v>
      </c>
      <c r="E62" s="127">
        <f t="shared" si="180"/>
        <v>0</v>
      </c>
      <c r="F62" s="144">
        <f t="shared" si="180"/>
        <v>0</v>
      </c>
      <c r="G62" s="144">
        <f t="shared" si="180"/>
        <v>77.74117310033661</v>
      </c>
      <c r="H62" s="144">
        <f t="shared" si="180"/>
        <v>109.77077363896849</v>
      </c>
      <c r="I62" s="144">
        <f t="shared" si="180"/>
        <v>176.83870967741936</v>
      </c>
      <c r="J62" s="144">
        <f t="shared" si="180"/>
        <v>184.70250896057348</v>
      </c>
      <c r="K62" s="144">
        <f t="shared" si="180"/>
        <v>195.13621353880021</v>
      </c>
      <c r="L62" s="144">
        <f t="shared" si="180"/>
        <v>371.27788015504859</v>
      </c>
      <c r="M62" s="144">
        <f t="shared" si="180"/>
        <v>305.50102437085286</v>
      </c>
      <c r="N62" s="144">
        <f t="shared" si="180"/>
        <v>332.69788898053952</v>
      </c>
      <c r="O62" s="144">
        <f t="shared" si="180"/>
        <v>426.38031183124423</v>
      </c>
      <c r="P62" s="144">
        <f t="shared" si="180"/>
        <v>445.58012760949015</v>
      </c>
      <c r="Q62" s="144">
        <f t="shared" ref="Q62" si="181">(Q7+Q15-Q10-Q9)/Q42</f>
        <v>615.45848822800497</v>
      </c>
      <c r="R62" s="118">
        <f>((P62/G62)^(1/($H$2-$H$1) ))-1</f>
        <v>0.21409521392248942</v>
      </c>
      <c r="S62" s="128"/>
      <c r="T62" s="157">
        <f t="shared" ref="T62:AC62" si="182">(T7+T15-T10-T9)/T42</f>
        <v>675.79755570133875</v>
      </c>
      <c r="U62" s="157">
        <f t="shared" si="182"/>
        <v>742.05221802499943</v>
      </c>
      <c r="V62" s="157">
        <f t="shared" si="182"/>
        <v>814.80243547843077</v>
      </c>
      <c r="W62" s="157">
        <f t="shared" si="182"/>
        <v>894.68502719200262</v>
      </c>
      <c r="X62" s="157">
        <f t="shared" si="182"/>
        <v>982.39924554415973</v>
      </c>
      <c r="Y62" s="157">
        <f t="shared" si="182"/>
        <v>1078.7128970680972</v>
      </c>
      <c r="Z62" s="157">
        <f t="shared" si="182"/>
        <v>1184.4690634473225</v>
      </c>
      <c r="AA62" s="157">
        <f t="shared" si="182"/>
        <v>1300.5934814323541</v>
      </c>
      <c r="AB62" s="157">
        <f t="shared" si="182"/>
        <v>1428.1026462786635</v>
      </c>
      <c r="AC62" s="157">
        <f t="shared" si="182"/>
        <v>1568.1127096393168</v>
      </c>
      <c r="AD62" s="138">
        <f t="shared" si="158"/>
        <v>0.16208075573583924</v>
      </c>
      <c r="AE62" s="31">
        <f t="shared" si="16"/>
        <v>0.05</v>
      </c>
      <c r="AF62" s="146">
        <f t="shared" si="159"/>
        <v>13720.986209344021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83">C12/C42</f>
        <v>0</v>
      </c>
      <c r="D64" s="127">
        <f t="shared" si="183"/>
        <v>0</v>
      </c>
      <c r="E64" s="127">
        <f t="shared" si="183"/>
        <v>0</v>
      </c>
      <c r="F64" s="144">
        <f t="shared" si="183"/>
        <v>0</v>
      </c>
      <c r="G64" s="144">
        <f t="shared" si="183"/>
        <v>1.933681873522882</v>
      </c>
      <c r="H64" s="144">
        <f t="shared" si="183"/>
        <v>2.7578796561604584</v>
      </c>
      <c r="I64" s="144">
        <f t="shared" si="183"/>
        <v>1.8566308243727598</v>
      </c>
      <c r="J64" s="144">
        <f t="shared" si="183"/>
        <v>2.9318996415770608</v>
      </c>
      <c r="K64" s="144">
        <f t="shared" si="183"/>
        <v>2.6692350027517886</v>
      </c>
      <c r="L64" s="144">
        <f t="shared" si="183"/>
        <v>5.1173031708711951</v>
      </c>
      <c r="M64" s="144">
        <f t="shared" si="183"/>
        <v>2.0303947650062688</v>
      </c>
      <c r="N64" s="144">
        <f t="shared" si="183"/>
        <v>2.6700882901047875</v>
      </c>
      <c r="O64" s="144">
        <f t="shared" si="183"/>
        <v>4.4206664628553956</v>
      </c>
      <c r="P64" s="144">
        <f t="shared" si="183"/>
        <v>156.27826302422102</v>
      </c>
      <c r="Q64" s="144">
        <f t="shared" ref="Q64" si="184">Q12/Q42</f>
        <v>0</v>
      </c>
      <c r="R64" s="118">
        <f>((P64/G64)^(1/($H$2-$H$1) ))-1</f>
        <v>0.62909327142542204</v>
      </c>
      <c r="S64" s="128"/>
      <c r="T64" s="157">
        <f t="shared" ref="T64:AC64" si="185">T12/T42</f>
        <v>0</v>
      </c>
      <c r="U64" s="157">
        <f t="shared" si="185"/>
        <v>0</v>
      </c>
      <c r="V64" s="157">
        <f t="shared" si="185"/>
        <v>0</v>
      </c>
      <c r="W64" s="157">
        <f t="shared" si="185"/>
        <v>0</v>
      </c>
      <c r="X64" s="157">
        <f t="shared" si="185"/>
        <v>0</v>
      </c>
      <c r="Y64" s="157">
        <f t="shared" si="185"/>
        <v>0</v>
      </c>
      <c r="Z64" s="157">
        <f t="shared" si="185"/>
        <v>0</v>
      </c>
      <c r="AA64" s="157">
        <f t="shared" si="185"/>
        <v>0</v>
      </c>
      <c r="AB64" s="157">
        <f t="shared" si="185"/>
        <v>0</v>
      </c>
      <c r="AC64" s="157">
        <f t="shared" si="185"/>
        <v>0</v>
      </c>
      <c r="AD64" s="138">
        <f t="shared" si="158"/>
        <v>-1</v>
      </c>
      <c r="AE64" s="31">
        <f t="shared" si="16"/>
        <v>0.05</v>
      </c>
      <c r="AF64" s="146">
        <f t="shared" si="159"/>
        <v>0</v>
      </c>
    </row>
    <row r="65" spans="2:32" x14ac:dyDescent="0.2">
      <c r="B65" s="20" t="s">
        <v>255</v>
      </c>
      <c r="C65" s="127">
        <f t="shared" ref="C65:P65" si="186">C13/C42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131.97736876029506</v>
      </c>
      <c r="H65" s="144">
        <f t="shared" si="186"/>
        <v>165.35100286532952</v>
      </c>
      <c r="I65" s="144">
        <f t="shared" si="186"/>
        <v>47.784946236559136</v>
      </c>
      <c r="J65" s="144">
        <f t="shared" si="186"/>
        <v>37.763440860215056</v>
      </c>
      <c r="K65" s="144">
        <f t="shared" si="186"/>
        <v>65.506329113924039</v>
      </c>
      <c r="L65" s="144">
        <f t="shared" si="186"/>
        <v>40.890894071296941</v>
      </c>
      <c r="M65" s="144">
        <f t="shared" si="186"/>
        <v>27.942390606366391</v>
      </c>
      <c r="N65" s="144">
        <f t="shared" si="186"/>
        <v>51.822319982891884</v>
      </c>
      <c r="O65" s="144">
        <f t="shared" si="186"/>
        <v>117.99449709568938</v>
      </c>
      <c r="P65" s="144">
        <f t="shared" si="186"/>
        <v>132.71386978876293</v>
      </c>
      <c r="Q65" s="144">
        <f t="shared" ref="Q65" si="187">Q13/Q42</f>
        <v>0</v>
      </c>
      <c r="R65" s="118">
        <f>((P65/G65)^(1/($H$2-$H$1) ))-1</f>
        <v>6.1852416943519728E-4</v>
      </c>
      <c r="S65" s="128"/>
      <c r="T65" s="157">
        <f t="shared" ref="T65:AC65" si="188">T13/T42</f>
        <v>0</v>
      </c>
      <c r="U65" s="157">
        <f t="shared" si="188"/>
        <v>0</v>
      </c>
      <c r="V65" s="157">
        <f t="shared" si="188"/>
        <v>0</v>
      </c>
      <c r="W65" s="157">
        <f t="shared" si="188"/>
        <v>0</v>
      </c>
      <c r="X65" s="157">
        <f t="shared" si="188"/>
        <v>0</v>
      </c>
      <c r="Y65" s="157">
        <f t="shared" si="188"/>
        <v>0</v>
      </c>
      <c r="Z65" s="157">
        <f t="shared" si="188"/>
        <v>0</v>
      </c>
      <c r="AA65" s="157">
        <f t="shared" si="188"/>
        <v>0</v>
      </c>
      <c r="AB65" s="157">
        <f t="shared" si="188"/>
        <v>0</v>
      </c>
      <c r="AC65" s="157">
        <f t="shared" si="188"/>
        <v>0</v>
      </c>
      <c r="AD65" s="138">
        <f t="shared" si="158"/>
        <v>-1</v>
      </c>
      <c r="AE65" s="31">
        <f t="shared" si="16"/>
        <v>0.05</v>
      </c>
      <c r="AF65" s="146">
        <f t="shared" si="159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89">(D64+D65)</f>
        <v>0</v>
      </c>
      <c r="E66" s="127">
        <f t="shared" si="189"/>
        <v>0</v>
      </c>
      <c r="F66" s="144">
        <f t="shared" si="189"/>
        <v>0</v>
      </c>
      <c r="G66" s="144">
        <f t="shared" si="189"/>
        <v>133.91105063381795</v>
      </c>
      <c r="H66" s="144">
        <f t="shared" si="189"/>
        <v>168.10888252148999</v>
      </c>
      <c r="I66" s="144">
        <f t="shared" si="189"/>
        <v>49.641577060931894</v>
      </c>
      <c r="J66" s="144">
        <f t="shared" si="189"/>
        <v>40.695340501792117</v>
      </c>
      <c r="K66" s="144">
        <f t="shared" si="189"/>
        <v>68.175564116675829</v>
      </c>
      <c r="L66" s="144">
        <f t="shared" si="189"/>
        <v>46.008197242168137</v>
      </c>
      <c r="M66" s="144">
        <f t="shared" si="189"/>
        <v>29.972785371372659</v>
      </c>
      <c r="N66" s="144">
        <f t="shared" si="189"/>
        <v>54.49240827299667</v>
      </c>
      <c r="O66" s="144">
        <f t="shared" ref="O66" si="190">(O64+O65)</f>
        <v>122.41516355854478</v>
      </c>
      <c r="P66" s="144">
        <f t="shared" si="189"/>
        <v>288.99213281298398</v>
      </c>
      <c r="Q66" s="144">
        <f t="shared" ref="Q66" si="191">(Q64+Q65)</f>
        <v>0</v>
      </c>
      <c r="R66" s="118">
        <f>((P66/G66)^(1/($H$2-$H$1) ))-1</f>
        <v>8.9228119995781174E-2</v>
      </c>
      <c r="S66" s="128"/>
      <c r="T66" s="157">
        <f t="shared" ref="T66:AC66" si="192">(T64+T65)</f>
        <v>0</v>
      </c>
      <c r="U66" s="157">
        <f t="shared" si="192"/>
        <v>0</v>
      </c>
      <c r="V66" s="157">
        <f t="shared" si="192"/>
        <v>0</v>
      </c>
      <c r="W66" s="157">
        <f t="shared" si="192"/>
        <v>0</v>
      </c>
      <c r="X66" s="157">
        <f t="shared" si="192"/>
        <v>0</v>
      </c>
      <c r="Y66" s="157">
        <f t="shared" si="192"/>
        <v>0</v>
      </c>
      <c r="Z66" s="157">
        <f t="shared" si="192"/>
        <v>0</v>
      </c>
      <c r="AA66" s="157">
        <f t="shared" si="192"/>
        <v>0</v>
      </c>
      <c r="AB66" s="157">
        <f t="shared" si="192"/>
        <v>0</v>
      </c>
      <c r="AC66" s="157">
        <f t="shared" si="192"/>
        <v>0</v>
      </c>
      <c r="AD66" s="138">
        <f t="shared" si="158"/>
        <v>-1</v>
      </c>
      <c r="AE66" s="31">
        <f t="shared" si="16"/>
        <v>0.05</v>
      </c>
      <c r="AF66" s="146">
        <f t="shared" si="159"/>
        <v>0</v>
      </c>
    </row>
    <row r="67" spans="2:32" x14ac:dyDescent="0.2">
      <c r="B67" s="20" t="s">
        <v>249</v>
      </c>
      <c r="C67" s="127">
        <f t="shared" ref="C67:P67" si="193">C15/C42</f>
        <v>0</v>
      </c>
      <c r="D67" s="127">
        <f t="shared" si="193"/>
        <v>0</v>
      </c>
      <c r="E67" s="127">
        <f t="shared" si="193"/>
        <v>0</v>
      </c>
      <c r="F67" s="144">
        <f t="shared" si="193"/>
        <v>0</v>
      </c>
      <c r="G67" s="144">
        <f t="shared" si="193"/>
        <v>77.153906753562993</v>
      </c>
      <c r="H67" s="144">
        <f t="shared" si="193"/>
        <v>83.997134670487114</v>
      </c>
      <c r="I67" s="144">
        <f t="shared" si="193"/>
        <v>107.21146953405018</v>
      </c>
      <c r="J67" s="144">
        <f t="shared" si="193"/>
        <v>119.69175627240143</v>
      </c>
      <c r="K67" s="144">
        <f t="shared" si="193"/>
        <v>175.99752339020361</v>
      </c>
      <c r="L67" s="144">
        <f t="shared" si="193"/>
        <v>380.26307428353562</v>
      </c>
      <c r="M67" s="144">
        <f t="shared" si="193"/>
        <v>226.59694829220564</v>
      </c>
      <c r="N67" s="144">
        <f t="shared" si="193"/>
        <v>318.08572388720864</v>
      </c>
      <c r="O67" s="144">
        <f t="shared" si="193"/>
        <v>381.88933047997551</v>
      </c>
      <c r="P67" s="144">
        <f t="shared" si="193"/>
        <v>421.452022548473</v>
      </c>
      <c r="Q67" s="144">
        <f t="shared" ref="Q67" si="194">Q15/Q42</f>
        <v>0</v>
      </c>
      <c r="R67" s="118">
        <f>((P67/G67)^(1/($H$2-$H$1) ))-1</f>
        <v>0.20762542157063657</v>
      </c>
      <c r="S67" s="128"/>
      <c r="T67" s="157">
        <f t="shared" ref="T67:AC67" si="195">T15/T42</f>
        <v>0</v>
      </c>
      <c r="U67" s="157">
        <f t="shared" si="195"/>
        <v>0</v>
      </c>
      <c r="V67" s="157">
        <f t="shared" si="195"/>
        <v>0</v>
      </c>
      <c r="W67" s="157">
        <f t="shared" si="195"/>
        <v>0</v>
      </c>
      <c r="X67" s="157">
        <f t="shared" si="195"/>
        <v>0</v>
      </c>
      <c r="Y67" s="157">
        <f t="shared" si="195"/>
        <v>0</v>
      </c>
      <c r="Z67" s="157">
        <f t="shared" si="195"/>
        <v>0</v>
      </c>
      <c r="AA67" s="157">
        <f t="shared" si="195"/>
        <v>0</v>
      </c>
      <c r="AB67" s="157">
        <f t="shared" si="195"/>
        <v>0</v>
      </c>
      <c r="AC67" s="157">
        <f t="shared" si="195"/>
        <v>0</v>
      </c>
      <c r="AD67" s="138">
        <f t="shared" si="158"/>
        <v>-1</v>
      </c>
      <c r="AE67" s="31">
        <f t="shared" si="16"/>
        <v>0.05</v>
      </c>
      <c r="AF67" s="146">
        <f t="shared" si="159"/>
        <v>0</v>
      </c>
    </row>
    <row r="68" spans="2:32" x14ac:dyDescent="0.2">
      <c r="B68" s="20" t="s">
        <v>250</v>
      </c>
      <c r="C68" s="127">
        <f t="shared" ref="C68:P68" si="196">C16/C42</f>
        <v>0</v>
      </c>
      <c r="D68" s="127">
        <f t="shared" si="196"/>
        <v>0</v>
      </c>
      <c r="E68" s="127">
        <f t="shared" si="196"/>
        <v>0</v>
      </c>
      <c r="F68" s="144">
        <f t="shared" si="196"/>
        <v>0</v>
      </c>
      <c r="G68" s="144">
        <f t="shared" si="196"/>
        <v>16.901811931533338</v>
      </c>
      <c r="H68" s="144">
        <f t="shared" si="196"/>
        <v>12.191977077363898</v>
      </c>
      <c r="I68" s="144">
        <f t="shared" si="196"/>
        <v>21.275985663082437</v>
      </c>
      <c r="J68" s="144">
        <f t="shared" si="196"/>
        <v>42.100358422939067</v>
      </c>
      <c r="K68" s="144">
        <f t="shared" si="196"/>
        <v>115.73335167859108</v>
      </c>
      <c r="L68" s="144">
        <f t="shared" si="196"/>
        <v>65.590646247696512</v>
      </c>
      <c r="M68" s="144">
        <f t="shared" si="196"/>
        <v>60.590771488854237</v>
      </c>
      <c r="N68" s="144">
        <f t="shared" si="196"/>
        <v>104.46338557419119</v>
      </c>
      <c r="O68" s="144">
        <f t="shared" si="196"/>
        <v>146.27025374503208</v>
      </c>
      <c r="P68" s="144">
        <f t="shared" si="196"/>
        <v>142.59741064238369</v>
      </c>
      <c r="Q68" s="144">
        <f t="shared" ref="Q68" si="197">Q16/Q42</f>
        <v>0</v>
      </c>
      <c r="R68" s="118">
        <f>((P68/G68)^(1/($H$2-$H$1) ))-1</f>
        <v>0.26738542461713966</v>
      </c>
      <c r="S68" s="128"/>
      <c r="T68" s="157">
        <f t="shared" ref="T68:AC68" si="198">T16/T42</f>
        <v>0</v>
      </c>
      <c r="U68" s="157">
        <f t="shared" si="198"/>
        <v>0</v>
      </c>
      <c r="V68" s="157">
        <f t="shared" si="198"/>
        <v>0</v>
      </c>
      <c r="W68" s="157">
        <f t="shared" si="198"/>
        <v>0</v>
      </c>
      <c r="X68" s="157">
        <f t="shared" si="198"/>
        <v>0</v>
      </c>
      <c r="Y68" s="157">
        <f t="shared" si="198"/>
        <v>0</v>
      </c>
      <c r="Z68" s="157">
        <f t="shared" si="198"/>
        <v>0</v>
      </c>
      <c r="AA68" s="157">
        <f t="shared" si="198"/>
        <v>0</v>
      </c>
      <c r="AB68" s="157">
        <f t="shared" si="198"/>
        <v>0</v>
      </c>
      <c r="AC68" s="157">
        <f t="shared" si="198"/>
        <v>0</v>
      </c>
      <c r="AD68" s="138">
        <f t="shared" si="158"/>
        <v>-1</v>
      </c>
      <c r="AE68" s="137"/>
      <c r="AF68" s="146">
        <f t="shared" si="159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59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99">D44</f>
        <v>0</v>
      </c>
      <c r="E70" s="159">
        <f t="shared" si="199"/>
        <v>0</v>
      </c>
      <c r="F70" s="159">
        <f t="shared" si="199"/>
        <v>0</v>
      </c>
      <c r="G70" s="159">
        <f t="shared" si="199"/>
        <v>5.25</v>
      </c>
      <c r="H70" s="159">
        <f t="shared" si="199"/>
        <v>7.5</v>
      </c>
      <c r="I70" s="159">
        <f t="shared" si="199"/>
        <v>10</v>
      </c>
      <c r="J70" s="159">
        <f t="shared" si="199"/>
        <v>11</v>
      </c>
      <c r="K70" s="159">
        <f t="shared" si="199"/>
        <v>13</v>
      </c>
      <c r="L70" s="159">
        <f t="shared" si="199"/>
        <v>13</v>
      </c>
      <c r="M70" s="159">
        <f t="shared" si="199"/>
        <v>7</v>
      </c>
      <c r="N70" s="159">
        <f t="shared" si="199"/>
        <v>8</v>
      </c>
      <c r="O70" s="159">
        <f t="shared" si="199"/>
        <v>8.5</v>
      </c>
      <c r="P70" s="159">
        <f t="shared" si="199"/>
        <v>9</v>
      </c>
      <c r="Q70" s="159">
        <f t="shared" ref="Q70" si="200">Q44</f>
        <v>9.5</v>
      </c>
      <c r="R70" s="118">
        <f>((P70/G70)^(1/($H$2-$H$1) ))-1</f>
        <v>6.1718158457117367E-2</v>
      </c>
      <c r="S70" s="128"/>
      <c r="T70" s="159">
        <f t="shared" ref="T70:AC70" si="201">T44</f>
        <v>9.9749999999999996</v>
      </c>
      <c r="U70" s="159">
        <f t="shared" si="201"/>
        <v>10.473750000000001</v>
      </c>
      <c r="V70" s="159">
        <f t="shared" si="201"/>
        <v>10.997437500000002</v>
      </c>
      <c r="W70" s="159">
        <f t="shared" si="201"/>
        <v>11.547309375000003</v>
      </c>
      <c r="X70" s="159">
        <f t="shared" si="201"/>
        <v>12.124674843750004</v>
      </c>
      <c r="Y70" s="159">
        <f t="shared" si="201"/>
        <v>12.730908585937504</v>
      </c>
      <c r="Z70" s="159">
        <f t="shared" si="201"/>
        <v>13.367454015234379</v>
      </c>
      <c r="AA70" s="159">
        <f t="shared" si="201"/>
        <v>14.0358267159961</v>
      </c>
      <c r="AB70" s="159">
        <f t="shared" si="201"/>
        <v>14.737618051795906</v>
      </c>
      <c r="AC70" s="159">
        <f t="shared" si="201"/>
        <v>15.474498954385702</v>
      </c>
      <c r="AD70" s="138">
        <f t="shared" ref="AD70" si="202">((AC70/G70)^(1/($AC$3-$H$1) ))-1</f>
        <v>5.5535549710541199E-2</v>
      </c>
      <c r="AE70" s="31">
        <f t="shared" si="16"/>
        <v>0.05</v>
      </c>
      <c r="AF70" s="146">
        <f t="shared" si="159"/>
        <v>135.40186585087488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03">C20+C21</f>
        <v>0</v>
      </c>
      <c r="D72" s="127">
        <f t="shared" si="203"/>
        <v>0</v>
      </c>
      <c r="E72" s="127">
        <f t="shared" si="203"/>
        <v>0</v>
      </c>
      <c r="F72" s="144">
        <f t="shared" si="203"/>
        <v>0</v>
      </c>
      <c r="G72" s="144">
        <f t="shared" si="203"/>
        <v>1168</v>
      </c>
      <c r="H72" s="144">
        <f t="shared" si="203"/>
        <v>9092</v>
      </c>
      <c r="I72" s="144">
        <f t="shared" si="203"/>
        <v>-2916</v>
      </c>
      <c r="J72" s="144">
        <f t="shared" si="203"/>
        <v>-12497</v>
      </c>
      <c r="K72" s="144">
        <f t="shared" si="203"/>
        <v>-14192</v>
      </c>
      <c r="L72" s="144">
        <f t="shared" si="203"/>
        <v>-6819</v>
      </c>
      <c r="M72" s="144">
        <f t="shared" si="203"/>
        <v>2264</v>
      </c>
      <c r="N72" s="144">
        <f t="shared" si="203"/>
        <v>1295</v>
      </c>
      <c r="O72" s="144">
        <f t="shared" si="203"/>
        <v>18182</v>
      </c>
      <c r="P72" s="144">
        <f t="shared" si="203"/>
        <v>9268</v>
      </c>
      <c r="Q72" s="144">
        <f t="shared" ref="Q72" si="204">Q20+Q21</f>
        <v>9268</v>
      </c>
      <c r="R72" s="118">
        <f>((P72/G72)^(1/($H$2-$H$1) ))-1</f>
        <v>0.25877828536853698</v>
      </c>
      <c r="S72" s="128"/>
      <c r="T72" s="144">
        <f t="shared" ref="T72:AC72" si="205">T20+T21</f>
        <v>10380.16</v>
      </c>
      <c r="U72" s="144">
        <f t="shared" si="205"/>
        <v>11625.779199999997</v>
      </c>
      <c r="V72" s="144">
        <f t="shared" si="205"/>
        <v>13020.872704000001</v>
      </c>
      <c r="W72" s="144">
        <f t="shared" si="205"/>
        <v>14583.377428480002</v>
      </c>
      <c r="X72" s="144">
        <f t="shared" si="205"/>
        <v>16333.382719897607</v>
      </c>
      <c r="Y72" s="144">
        <f t="shared" si="205"/>
        <v>18293.388646285326</v>
      </c>
      <c r="Z72" s="144">
        <f t="shared" si="205"/>
        <v>20488.595283839568</v>
      </c>
      <c r="AA72" s="144">
        <f t="shared" si="205"/>
        <v>22947.22671790031</v>
      </c>
      <c r="AB72" s="144">
        <f t="shared" si="205"/>
        <v>25700.893924048345</v>
      </c>
      <c r="AC72" s="144">
        <f t="shared" si="205"/>
        <v>28785.001194934157</v>
      </c>
      <c r="AD72" s="138">
        <f t="shared" ref="AD72:AD77" si="206">((AC72/G72)^(1/($AC$3-$H$1) ))-1</f>
        <v>0.17377855442340739</v>
      </c>
      <c r="AE72" s="31">
        <f t="shared" si="16"/>
        <v>0.05</v>
      </c>
      <c r="AF72" s="146">
        <f t="shared" si="159"/>
        <v>251868.76045567385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07">C72/C42</f>
        <v>0</v>
      </c>
      <c r="D74" s="127">
        <f t="shared" si="207"/>
        <v>0</v>
      </c>
      <c r="E74" s="127">
        <f t="shared" si="207"/>
        <v>0</v>
      </c>
      <c r="F74" s="144">
        <f t="shared" si="207"/>
        <v>0</v>
      </c>
      <c r="G74" s="144">
        <f t="shared" si="207"/>
        <v>8.3649645491656521</v>
      </c>
      <c r="H74" s="144">
        <f t="shared" si="207"/>
        <v>65.128939828080235</v>
      </c>
      <c r="I74" s="144">
        <f t="shared" si="207"/>
        <v>-20.903225806451612</v>
      </c>
      <c r="J74" s="144">
        <f t="shared" si="207"/>
        <v>-89.584229390681003</v>
      </c>
      <c r="K74" s="144">
        <f t="shared" si="207"/>
        <v>-97.633461750137585</v>
      </c>
      <c r="L74" s="144">
        <f t="shared" si="207"/>
        <v>-43.331003367859182</v>
      </c>
      <c r="M74" s="144">
        <f t="shared" si="207"/>
        <v>6.9229122710454707</v>
      </c>
      <c r="N74" s="144">
        <f t="shared" si="207"/>
        <v>3.9562521003268873</v>
      </c>
      <c r="O74" s="144">
        <f t="shared" si="207"/>
        <v>55.585447875267498</v>
      </c>
      <c r="P74" s="144">
        <f t="shared" si="207"/>
        <v>28.705940655392428</v>
      </c>
      <c r="Q74" s="144">
        <f t="shared" ref="Q74" si="208">Q72/Q42</f>
        <v>28.711276332094176</v>
      </c>
      <c r="R74" s="118">
        <f>((P74/G74)^(1/($H$2-$H$1) ))-1</f>
        <v>0.14683477419757263</v>
      </c>
      <c r="S74" s="128"/>
      <c r="T74" s="146">
        <f t="shared" ref="T74:AC74" si="209">T72/T42</f>
        <v>31.526107345044583</v>
      </c>
      <c r="U74" s="146">
        <f t="shared" si="209"/>
        <v>34.616902182794043</v>
      </c>
      <c r="V74" s="146">
        <f t="shared" si="209"/>
        <v>38.010716122283668</v>
      </c>
      <c r="W74" s="146">
        <f t="shared" si="209"/>
        <v>41.737256918585985</v>
      </c>
      <c r="X74" s="146">
        <f t="shared" si="209"/>
        <v>45.829144851780704</v>
      </c>
      <c r="Y74" s="146">
        <f t="shared" si="209"/>
        <v>50.322198268621968</v>
      </c>
      <c r="Z74" s="146">
        <f t="shared" si="209"/>
        <v>55.255747118486873</v>
      </c>
      <c r="AA74" s="146">
        <f t="shared" si="209"/>
        <v>60.672977228142429</v>
      </c>
      <c r="AB74" s="146">
        <f t="shared" si="209"/>
        <v>66.6213083289407</v>
      </c>
      <c r="AC74" s="146">
        <f t="shared" si="209"/>
        <v>73.152809145503539</v>
      </c>
      <c r="AD74" s="138">
        <f t="shared" si="206"/>
        <v>0.11452122897276928</v>
      </c>
      <c r="AE74" s="31">
        <f t="shared" si="16"/>
        <v>0.05</v>
      </c>
      <c r="AF74" s="146">
        <f t="shared" si="159"/>
        <v>640.08708002315598</v>
      </c>
    </row>
    <row r="75" spans="2:32" x14ac:dyDescent="0.2">
      <c r="B75" s="20" t="s">
        <v>287</v>
      </c>
      <c r="C75" s="127">
        <f t="shared" ref="C75:P75" si="210">C20/C42</f>
        <v>0</v>
      </c>
      <c r="D75" s="127">
        <f t="shared" si="210"/>
        <v>0</v>
      </c>
      <c r="E75" s="127">
        <f t="shared" si="210"/>
        <v>0</v>
      </c>
      <c r="F75" s="144">
        <f t="shared" si="210"/>
        <v>0</v>
      </c>
      <c r="G75" s="144">
        <f t="shared" si="210"/>
        <v>83.563704075055512</v>
      </c>
      <c r="H75" s="144">
        <f t="shared" si="210"/>
        <v>123.96131805157593</v>
      </c>
      <c r="I75" s="144">
        <f t="shared" si="210"/>
        <v>73.641577060931894</v>
      </c>
      <c r="J75" s="144">
        <f t="shared" si="210"/>
        <v>120.05734767025089</v>
      </c>
      <c r="K75" s="144">
        <f t="shared" si="210"/>
        <v>111.67446340121077</v>
      </c>
      <c r="L75" s="144">
        <f t="shared" si="210"/>
        <v>103.49494821122195</v>
      </c>
      <c r="M75" s="144">
        <f t="shared" si="210"/>
        <v>62.667033605479624</v>
      </c>
      <c r="N75" s="144">
        <f t="shared" si="210"/>
        <v>101.84828766077048</v>
      </c>
      <c r="O75" s="144">
        <f t="shared" si="210"/>
        <v>74.848670131458263</v>
      </c>
      <c r="P75" s="144">
        <f t="shared" si="210"/>
        <v>114.3467756922505</v>
      </c>
      <c r="Q75" s="144">
        <f t="shared" ref="Q75" si="211">Q20/Q42</f>
        <v>114.36802973977694</v>
      </c>
      <c r="R75" s="118">
        <f>((P75/G75)^(1/($H$2-$H$1) ))-1</f>
        <v>3.5461669090988579E-2</v>
      </c>
      <c r="S75" s="128"/>
      <c r="T75" s="146">
        <f t="shared" ref="T75:AC75" si="212">T20/T42</f>
        <v>125.5805816750492</v>
      </c>
      <c r="U75" s="146">
        <f t="shared" si="212"/>
        <v>137.89240340789718</v>
      </c>
      <c r="V75" s="146">
        <f t="shared" si="212"/>
        <v>151.41126648710278</v>
      </c>
      <c r="W75" s="146">
        <f t="shared" si="212"/>
        <v>166.25550829956384</v>
      </c>
      <c r="X75" s="146">
        <f t="shared" si="212"/>
        <v>182.55506793677603</v>
      </c>
      <c r="Y75" s="146">
        <f t="shared" si="212"/>
        <v>200.45262361685212</v>
      </c>
      <c r="Z75" s="146">
        <f t="shared" si="212"/>
        <v>220.10484161850431</v>
      </c>
      <c r="AA75" s="146">
        <f t="shared" si="212"/>
        <v>241.68374765953416</v>
      </c>
      <c r="AB75" s="146">
        <f t="shared" si="212"/>
        <v>265.37823272419439</v>
      </c>
      <c r="AC75" s="146">
        <f t="shared" si="212"/>
        <v>291.39570652068403</v>
      </c>
      <c r="AD75" s="138">
        <f t="shared" si="206"/>
        <v>6.4445115189232904E-2</v>
      </c>
      <c r="AE75" s="31">
        <f t="shared" si="16"/>
        <v>0.05</v>
      </c>
      <c r="AF75" s="146">
        <f t="shared" si="159"/>
        <v>2549.7124320559851</v>
      </c>
    </row>
    <row r="76" spans="2:32" x14ac:dyDescent="0.2">
      <c r="B76" s="20" t="s">
        <v>288</v>
      </c>
      <c r="C76" s="127">
        <f t="shared" ref="C76:P76" si="213">C21/C42</f>
        <v>0</v>
      </c>
      <c r="D76" s="127">
        <f t="shared" si="213"/>
        <v>0</v>
      </c>
      <c r="E76" s="127">
        <f t="shared" si="213"/>
        <v>0</v>
      </c>
      <c r="F76" s="144">
        <f t="shared" si="213"/>
        <v>0</v>
      </c>
      <c r="G76" s="144">
        <f t="shared" si="213"/>
        <v>-75.198739525889849</v>
      </c>
      <c r="H76" s="144">
        <f t="shared" si="213"/>
        <v>-58.832378223495702</v>
      </c>
      <c r="I76" s="144">
        <f t="shared" si="213"/>
        <v>-94.54480286738351</v>
      </c>
      <c r="J76" s="144">
        <f t="shared" si="213"/>
        <v>-209.64157706093189</v>
      </c>
      <c r="K76" s="144">
        <f t="shared" si="213"/>
        <v>-209.30792515134834</v>
      </c>
      <c r="L76" s="144">
        <f t="shared" si="213"/>
        <v>-146.82595157908113</v>
      </c>
      <c r="M76" s="144">
        <f t="shared" si="213"/>
        <v>-55.744121334434155</v>
      </c>
      <c r="N76" s="144">
        <f t="shared" si="213"/>
        <v>-97.892035560443588</v>
      </c>
      <c r="O76" s="144">
        <f t="shared" si="213"/>
        <v>-19.263222256190765</v>
      </c>
      <c r="P76" s="144">
        <f t="shared" si="213"/>
        <v>-85.640835036858078</v>
      </c>
      <c r="Q76" s="144">
        <f t="shared" ref="Q76" si="214">Q21/Q42</f>
        <v>-85.656753407682771</v>
      </c>
      <c r="R76" s="118">
        <f>((P76/G76)^(1/($H$2-$H$1) ))-1</f>
        <v>1.4552397175498166E-2</v>
      </c>
      <c r="S76" s="128"/>
      <c r="T76" s="146">
        <f t="shared" ref="T76:AC76" si="215">T21/T42</f>
        <v>-94.054474330004624</v>
      </c>
      <c r="U76" s="146">
        <f t="shared" si="215"/>
        <v>-103.27550122510313</v>
      </c>
      <c r="V76" s="146">
        <f t="shared" si="215"/>
        <v>-113.40055036481913</v>
      </c>
      <c r="W76" s="146">
        <f t="shared" si="215"/>
        <v>-124.51825138097787</v>
      </c>
      <c r="X76" s="146">
        <f t="shared" si="215"/>
        <v>-136.72592308499532</v>
      </c>
      <c r="Y76" s="146">
        <f t="shared" si="215"/>
        <v>-150.13042534823018</v>
      </c>
      <c r="Z76" s="146">
        <f t="shared" si="215"/>
        <v>-164.84909450001746</v>
      </c>
      <c r="AA76" s="146">
        <f t="shared" si="215"/>
        <v>-181.01077043139173</v>
      </c>
      <c r="AB76" s="146">
        <f t="shared" si="215"/>
        <v>-198.75692439525369</v>
      </c>
      <c r="AC76" s="146">
        <f t="shared" si="215"/>
        <v>-218.24289737518052</v>
      </c>
      <c r="AD76" s="138">
        <f t="shared" si="206"/>
        <v>5.4718291581442591E-2</v>
      </c>
      <c r="AE76" s="31">
        <f t="shared" si="16"/>
        <v>0.05</v>
      </c>
      <c r="AF76" s="146">
        <f t="shared" si="159"/>
        <v>-1909.6253520328296</v>
      </c>
    </row>
    <row r="77" spans="2:32" x14ac:dyDescent="0.2">
      <c r="B77" s="20" t="s">
        <v>289</v>
      </c>
      <c r="C77" s="127">
        <f t="shared" ref="C77:P77" si="216">C22/C42</f>
        <v>0</v>
      </c>
      <c r="D77" s="127">
        <f t="shared" si="216"/>
        <v>0</v>
      </c>
      <c r="E77" s="127">
        <f t="shared" si="216"/>
        <v>0</v>
      </c>
      <c r="F77" s="144">
        <f t="shared" si="216"/>
        <v>0</v>
      </c>
      <c r="G77" s="144">
        <f t="shared" si="216"/>
        <v>-7.4912268137219797</v>
      </c>
      <c r="H77" s="144">
        <f t="shared" si="216"/>
        <v>-40.873925501432666</v>
      </c>
      <c r="I77" s="144">
        <f t="shared" si="216"/>
        <v>13.734767025089607</v>
      </c>
      <c r="J77" s="144">
        <f t="shared" si="216"/>
        <v>-76.960573476702507</v>
      </c>
      <c r="K77" s="144">
        <f t="shared" si="216"/>
        <v>114.99724821133736</v>
      </c>
      <c r="L77" s="144">
        <f t="shared" si="216"/>
        <v>159.09004257482366</v>
      </c>
      <c r="M77" s="144">
        <f t="shared" si="216"/>
        <v>-34.042748371709017</v>
      </c>
      <c r="N77" s="144">
        <f t="shared" si="216"/>
        <v>45.66950783612868</v>
      </c>
      <c r="O77" s="144">
        <f t="shared" si="216"/>
        <v>-23.203913176398654</v>
      </c>
      <c r="P77" s="144">
        <f t="shared" si="216"/>
        <v>1.2637056309236201</v>
      </c>
      <c r="Q77" s="144">
        <f t="shared" ref="Q77" si="217">Q22/Q42</f>
        <v>1.2639405204460965</v>
      </c>
      <c r="R77" s="118">
        <f>((P77/G77)^(1/($H$2-$H$1) ))-1</f>
        <v>-1.8205809709415992</v>
      </c>
      <c r="S77" s="128"/>
      <c r="T77" s="146">
        <f t="shared" ref="T77:AC77" si="218">T22/T42</f>
        <v>1.3878562577447335</v>
      </c>
      <c r="U77" s="146">
        <f t="shared" si="218"/>
        <v>1.5239205967393152</v>
      </c>
      <c r="V77" s="146">
        <f t="shared" si="218"/>
        <v>1.6733245768117975</v>
      </c>
      <c r="W77" s="146">
        <f t="shared" si="218"/>
        <v>1.8373760059109934</v>
      </c>
      <c r="X77" s="146">
        <f t="shared" si="218"/>
        <v>2.0175109084512868</v>
      </c>
      <c r="Y77" s="146">
        <f t="shared" si="218"/>
        <v>2.2153060955543546</v>
      </c>
      <c r="Z77" s="146">
        <f t="shared" si="218"/>
        <v>2.4324929676675269</v>
      </c>
      <c r="AA77" s="146">
        <f t="shared" si="218"/>
        <v>2.6709726703800301</v>
      </c>
      <c r="AB77" s="146">
        <f t="shared" si="218"/>
        <v>2.9328327361035629</v>
      </c>
      <c r="AC77" s="146">
        <f t="shared" si="218"/>
        <v>3.2203653572901865</v>
      </c>
      <c r="AD77" s="138" t="e">
        <f t="shared" si="206"/>
        <v>#NUM!</v>
      </c>
      <c r="AE77" s="31">
        <f t="shared" si="16"/>
        <v>0.05</v>
      </c>
      <c r="AF77" s="146">
        <f t="shared" si="159"/>
        <v>28.178196876289132</v>
      </c>
    </row>
    <row r="78" spans="2:32" x14ac:dyDescent="0.2">
      <c r="B78" s="20" t="s">
        <v>296</v>
      </c>
      <c r="C78" s="127">
        <f t="shared" ref="C78:P78" si="219">C23/C42</f>
        <v>0</v>
      </c>
      <c r="D78" s="127">
        <f t="shared" si="219"/>
        <v>0</v>
      </c>
      <c r="E78" s="127">
        <f t="shared" si="219"/>
        <v>0</v>
      </c>
      <c r="F78" s="144">
        <f t="shared" si="219"/>
        <v>0</v>
      </c>
      <c r="G78" s="144">
        <f t="shared" si="219"/>
        <v>1.933681873522882</v>
      </c>
      <c r="H78" s="144">
        <f t="shared" si="219"/>
        <v>25.859598853868196</v>
      </c>
      <c r="I78" s="144">
        <f t="shared" si="219"/>
        <v>18.752688172043012</v>
      </c>
      <c r="J78" s="144">
        <f t="shared" si="219"/>
        <v>13.885304659498209</v>
      </c>
      <c r="K78" s="144">
        <f t="shared" si="219"/>
        <v>30.778756191524486</v>
      </c>
      <c r="L78" s="144">
        <f t="shared" si="219"/>
        <v>144.51293130838152</v>
      </c>
      <c r="M78" s="144">
        <f t="shared" si="219"/>
        <v>42.473167599302819</v>
      </c>
      <c r="N78" s="144">
        <f t="shared" si="219"/>
        <v>92.075275715638654</v>
      </c>
      <c r="O78" s="144">
        <f t="shared" si="219"/>
        <v>124.52155304188321</v>
      </c>
      <c r="P78" s="144">
        <f t="shared" si="219"/>
        <v>156.27826302422102</v>
      </c>
      <c r="Q78" s="144">
        <f t="shared" ref="Q78" si="220">Q23/Q42</f>
        <v>156.30731102850061</v>
      </c>
      <c r="R78" s="118">
        <f>((P78/G78)^(1/($H$2-$H$1) ))-1</f>
        <v>0.62909327142542204</v>
      </c>
      <c r="S78" s="128"/>
      <c r="T78" s="146">
        <f t="shared" ref="T78:AC78" si="221">T23/T42</f>
        <v>171.63155720776541</v>
      </c>
      <c r="U78" s="146">
        <f t="shared" si="221"/>
        <v>188.45818046342868</v>
      </c>
      <c r="V78" s="146">
        <f t="shared" si="221"/>
        <v>206.93447266572559</v>
      </c>
      <c r="W78" s="146">
        <f t="shared" si="221"/>
        <v>227.22216606432616</v>
      </c>
      <c r="X78" s="146">
        <f t="shared" si="221"/>
        <v>249.49884901180917</v>
      </c>
      <c r="Y78" s="146">
        <f t="shared" si="221"/>
        <v>273.9595204835552</v>
      </c>
      <c r="Z78" s="146">
        <f t="shared" si="221"/>
        <v>300.81829700155083</v>
      </c>
      <c r="AA78" s="146">
        <f t="shared" si="221"/>
        <v>330.31028690366367</v>
      </c>
      <c r="AB78" s="146">
        <f t="shared" si="221"/>
        <v>362.69364836480725</v>
      </c>
      <c r="AC78" s="146">
        <f t="shared" si="221"/>
        <v>398.2518491848864</v>
      </c>
      <c r="AD78" s="138">
        <f t="shared" ref="AD78" si="222">((AC78/G78)^(1/($AC$3-$H$1) ))-1</f>
        <v>0.30523478308226082</v>
      </c>
      <c r="AE78" s="31">
        <f t="shared" si="16"/>
        <v>0.05</v>
      </c>
      <c r="AF78" s="146">
        <f t="shared" si="159"/>
        <v>3484.7036803677561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23">C36/C42</f>
        <v>0</v>
      </c>
      <c r="D80" s="144">
        <f t="shared" si="223"/>
        <v>0</v>
      </c>
      <c r="E80" s="144">
        <f t="shared" si="223"/>
        <v>0</v>
      </c>
      <c r="F80" s="144">
        <f t="shared" si="223"/>
        <v>0</v>
      </c>
      <c r="G80" s="144">
        <f t="shared" si="223"/>
        <v>68.588412232328295</v>
      </c>
      <c r="H80" s="144">
        <f t="shared" si="223"/>
        <v>90.995702005730664</v>
      </c>
      <c r="I80" s="144">
        <f t="shared" si="223"/>
        <v>104.02867383512545</v>
      </c>
      <c r="J80" s="144">
        <f t="shared" si="223"/>
        <v>147.51254480286738</v>
      </c>
      <c r="K80" s="144">
        <f t="shared" si="223"/>
        <v>153.65299944964227</v>
      </c>
      <c r="L80" s="144">
        <f t="shared" si="223"/>
        <v>154.87068691618478</v>
      </c>
      <c r="M80" s="144">
        <f t="shared" si="223"/>
        <v>92.505274745436211</v>
      </c>
      <c r="N80" s="144">
        <f t="shared" si="223"/>
        <v>116.10301530565485</v>
      </c>
      <c r="O80" s="144">
        <f t="shared" si="223"/>
        <v>106.44756955059614</v>
      </c>
      <c r="P80" s="144">
        <f t="shared" si="223"/>
        <v>102.35086415164467</v>
      </c>
      <c r="Q80" s="144">
        <f t="shared" ref="Q80" si="224">Q36/Q42</f>
        <v>100.7094175960347</v>
      </c>
      <c r="R80" s="118">
        <f>((P80/G80)^(1/($H$2-$H$1) ))-1</f>
        <v>4.5479786455271842E-2</v>
      </c>
      <c r="S80" s="128"/>
      <c r="T80" s="144">
        <f t="shared" ref="T80:AC80" si="225">T36/T42</f>
        <v>110.58288990937143</v>
      </c>
      <c r="U80" s="144">
        <f t="shared" si="225"/>
        <v>121.42434970440785</v>
      </c>
      <c r="V80" s="144">
        <f t="shared" si="225"/>
        <v>133.32869771464391</v>
      </c>
      <c r="W80" s="144">
        <f t="shared" si="225"/>
        <v>146.40013866705999</v>
      </c>
      <c r="X80" s="144">
        <f t="shared" si="225"/>
        <v>160.75309343834039</v>
      </c>
      <c r="Y80" s="144">
        <f t="shared" si="225"/>
        <v>176.51320063817769</v>
      </c>
      <c r="Z80" s="144">
        <f t="shared" si="225"/>
        <v>193.81841638701869</v>
      </c>
      <c r="AA80" s="144">
        <f t="shared" si="225"/>
        <v>212.82022191515782</v>
      </c>
      <c r="AB80" s="144">
        <f t="shared" si="225"/>
        <v>233.6849495538988</v>
      </c>
      <c r="AC80" s="144">
        <f t="shared" si="225"/>
        <v>256.59523872584964</v>
      </c>
      <c r="AD80" s="138">
        <f t="shared" ref="AD80:AD82" si="226">((AC80/G80)^(1/($AC$3-$H$1) ))-1</f>
        <v>6.8193404725654716E-2</v>
      </c>
      <c r="AE80" s="31">
        <f t="shared" si="16"/>
        <v>0.05</v>
      </c>
      <c r="AF80" s="146">
        <f t="shared" si="159"/>
        <v>2245.2083388511842</v>
      </c>
    </row>
    <row r="81" spans="2:32" x14ac:dyDescent="0.2">
      <c r="B81" s="20" t="s">
        <v>312</v>
      </c>
      <c r="C81" s="144">
        <f t="shared" ref="C81:P81" si="227">C40/C42</f>
        <v>0</v>
      </c>
      <c r="D81" s="144">
        <f t="shared" si="227"/>
        <v>0</v>
      </c>
      <c r="E81" s="144">
        <f t="shared" si="227"/>
        <v>0</v>
      </c>
      <c r="F81" s="144">
        <f t="shared" si="227"/>
        <v>0</v>
      </c>
      <c r="G81" s="144">
        <f t="shared" si="227"/>
        <v>37.012103416171314</v>
      </c>
      <c r="H81" s="144">
        <f t="shared" si="227"/>
        <v>54.641833810888251</v>
      </c>
      <c r="I81" s="144">
        <f t="shared" si="227"/>
        <v>67.340501792114694</v>
      </c>
      <c r="J81" s="144">
        <f t="shared" si="227"/>
        <v>86.551971326164875</v>
      </c>
      <c r="K81" s="144">
        <f t="shared" si="227"/>
        <v>134.30792515134837</v>
      </c>
      <c r="L81" s="144">
        <f t="shared" si="227"/>
        <v>94.999046832306021</v>
      </c>
      <c r="M81" s="144">
        <f t="shared" si="227"/>
        <v>74.681221906247146</v>
      </c>
      <c r="N81" s="144">
        <f t="shared" si="227"/>
        <v>58.873308282161737</v>
      </c>
      <c r="O81" s="144">
        <f t="shared" si="227"/>
        <v>60.278202384591864</v>
      </c>
      <c r="P81" s="144">
        <f t="shared" si="227"/>
        <v>64.690577959487086</v>
      </c>
      <c r="Q81" s="144">
        <f t="shared" ref="Q81" si="228">Q40/Q42</f>
        <v>69.680916976456004</v>
      </c>
      <c r="R81" s="118">
        <f>((P81/G81)^(1/($H$2-$H$1) ))-1</f>
        <v>6.4006155556518118E-2</v>
      </c>
      <c r="S81" s="128"/>
      <c r="T81" s="144">
        <f t="shared" ref="T81:AC81" si="229">T40/T42</f>
        <v>76.512379425128174</v>
      </c>
      <c r="U81" s="144">
        <f t="shared" si="229"/>
        <v>84.013593094258383</v>
      </c>
      <c r="V81" s="144">
        <f t="shared" si="229"/>
        <v>92.250219868205306</v>
      </c>
      <c r="W81" s="144">
        <f t="shared" si="229"/>
        <v>101.29435907097053</v>
      </c>
      <c r="X81" s="144">
        <f t="shared" si="229"/>
        <v>111.22517858773236</v>
      </c>
      <c r="Y81" s="144">
        <f t="shared" si="229"/>
        <v>122.12960786103946</v>
      </c>
      <c r="Z81" s="144">
        <f t="shared" si="229"/>
        <v>134.10309882780805</v>
      </c>
      <c r="AA81" s="144">
        <f t="shared" si="229"/>
        <v>147.25046145798532</v>
      </c>
      <c r="AB81" s="144">
        <f t="shared" si="229"/>
        <v>161.68678120876822</v>
      </c>
      <c r="AC81" s="144">
        <f t="shared" si="229"/>
        <v>177.53842642531413</v>
      </c>
      <c r="AD81" s="138">
        <f t="shared" si="226"/>
        <v>8.1552062806208969E-2</v>
      </c>
      <c r="AE81" s="31">
        <f t="shared" si="16"/>
        <v>0.05</v>
      </c>
      <c r="AF81" s="146">
        <f t="shared" si="159"/>
        <v>1553.4612312214986</v>
      </c>
    </row>
    <row r="82" spans="2:32" x14ac:dyDescent="0.2">
      <c r="B82" s="20" t="s">
        <v>313</v>
      </c>
      <c r="C82" s="144">
        <f t="shared" ref="C82:P82" si="230">C6/C42</f>
        <v>0</v>
      </c>
      <c r="D82" s="144">
        <f t="shared" si="230"/>
        <v>0</v>
      </c>
      <c r="E82" s="144">
        <f t="shared" si="230"/>
        <v>0</v>
      </c>
      <c r="F82" s="144">
        <f t="shared" si="230"/>
        <v>0</v>
      </c>
      <c r="G82" s="144">
        <f t="shared" si="230"/>
        <v>240.78636396189933</v>
      </c>
      <c r="H82" s="144">
        <f t="shared" si="230"/>
        <v>262.09169054441264</v>
      </c>
      <c r="I82" s="144">
        <f t="shared" si="230"/>
        <v>320.05017921146953</v>
      </c>
      <c r="J82" s="144">
        <f t="shared" si="230"/>
        <v>457.17562724014334</v>
      </c>
      <c r="K82" s="144">
        <f t="shared" si="230"/>
        <v>558.37919647771048</v>
      </c>
      <c r="L82" s="144">
        <f t="shared" si="230"/>
        <v>683.56738895596368</v>
      </c>
      <c r="M82" s="144">
        <f t="shared" si="230"/>
        <v>393.26973060575483</v>
      </c>
      <c r="N82" s="144">
        <f t="shared" si="230"/>
        <v>443.02691473436596</v>
      </c>
      <c r="O82" s="144">
        <f t="shared" si="230"/>
        <v>497.48089269336589</v>
      </c>
      <c r="P82" s="144">
        <f t="shared" si="230"/>
        <v>554.71102025645791</v>
      </c>
      <c r="Q82" s="144">
        <f t="shared" ref="Q82" si="231">Q6/Q42</f>
        <v>606.35068153655516</v>
      </c>
      <c r="R82" s="118">
        <f>((P82/G82)^(1/($H$2-$H$1) ))-1</f>
        <v>9.7161463285085681E-2</v>
      </c>
      <c r="S82" s="128"/>
      <c r="T82" s="144">
        <f t="shared" ref="T82:AC82" si="232">T6/T42</f>
        <v>665.79682678523704</v>
      </c>
      <c r="U82" s="144">
        <f t="shared" si="232"/>
        <v>731.07102548967214</v>
      </c>
      <c r="V82" s="144">
        <f t="shared" si="232"/>
        <v>802.74465543963993</v>
      </c>
      <c r="W82" s="144">
        <f t="shared" si="232"/>
        <v>881.44511185529097</v>
      </c>
      <c r="X82" s="144">
        <f t="shared" si="232"/>
        <v>967.86129929208437</v>
      </c>
      <c r="Y82" s="144">
        <f t="shared" si="232"/>
        <v>1062.7496619677788</v>
      </c>
      <c r="Z82" s="144">
        <f t="shared" si="232"/>
        <v>1166.9408052979534</v>
      </c>
      <c r="AA82" s="144">
        <f t="shared" si="232"/>
        <v>1281.3467666016745</v>
      </c>
      <c r="AB82" s="144">
        <f t="shared" si="232"/>
        <v>1406.9689986214464</v>
      </c>
      <c r="AC82" s="144">
        <f t="shared" si="232"/>
        <v>1544.907135741196</v>
      </c>
      <c r="AD82" s="138">
        <f t="shared" si="226"/>
        <v>9.7396383227315475E-2</v>
      </c>
      <c r="AE82" s="31">
        <f t="shared" ref="AE82" si="233">$L$1</f>
        <v>0.05</v>
      </c>
      <c r="AF82" s="146">
        <f t="shared" si="159"/>
        <v>13517.937437735463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34">E36/E25</f>
        <v>#DIV/0!</v>
      </c>
      <c r="F86" s="152" t="e">
        <f t="shared" si="234"/>
        <v>#DIV/0!</v>
      </c>
      <c r="G86" s="152">
        <f t="shared" si="234"/>
        <v>0.1808926581417751</v>
      </c>
      <c r="H86" s="152">
        <f t="shared" si="234"/>
        <v>0.1879364421825068</v>
      </c>
      <c r="I86" s="152">
        <f t="shared" si="234"/>
        <v>0.1691828811919279</v>
      </c>
      <c r="J86" s="152">
        <f t="shared" si="234"/>
        <v>0.17925711697271682</v>
      </c>
      <c r="K86" s="152">
        <f t="shared" si="234"/>
        <v>0.15298993081717926</v>
      </c>
      <c r="L86" s="152">
        <f t="shared" si="234"/>
        <v>0.15734021949644933</v>
      </c>
      <c r="M86" s="152">
        <f t="shared" si="234"/>
        <v>0.13697674945099725</v>
      </c>
      <c r="N86" s="152">
        <f t="shared" si="234"/>
        <v>0.13932515067528925</v>
      </c>
      <c r="O86" s="152">
        <f t="shared" si="234"/>
        <v>9.4808267779783642E-2</v>
      </c>
      <c r="P86" s="152">
        <f t="shared" si="234"/>
        <v>8.0620567332629067E-2</v>
      </c>
      <c r="Q86" s="152">
        <f t="shared" ref="Q86" si="235">Q36/Q25</f>
        <v>7.3322341785998627E-2</v>
      </c>
      <c r="R86" s="118">
        <f t="shared" ref="R86:R137" si="236">((P86/G86)^(1/($H$2-$H$1) ))-1</f>
        <v>-8.58809329667235E-2</v>
      </c>
      <c r="S86" s="152"/>
      <c r="T86" s="152">
        <f t="shared" ref="T86:AC86" si="237">T36/T25</f>
        <v>7.332234178599864E-2</v>
      </c>
      <c r="U86" s="152">
        <f t="shared" si="237"/>
        <v>7.3322341785998627E-2</v>
      </c>
      <c r="V86" s="152">
        <f t="shared" si="237"/>
        <v>7.3322341785998627E-2</v>
      </c>
      <c r="W86" s="152">
        <f t="shared" si="237"/>
        <v>7.3322341785998627E-2</v>
      </c>
      <c r="X86" s="152">
        <f t="shared" si="237"/>
        <v>7.3322341785998627E-2</v>
      </c>
      <c r="Y86" s="152">
        <f t="shared" si="237"/>
        <v>7.3322341785998627E-2</v>
      </c>
      <c r="Z86" s="152">
        <f t="shared" si="237"/>
        <v>7.332234178599864E-2</v>
      </c>
      <c r="AA86" s="152">
        <f t="shared" si="237"/>
        <v>7.3322341785998627E-2</v>
      </c>
      <c r="AB86" s="152">
        <f t="shared" si="237"/>
        <v>7.3322341785998627E-2</v>
      </c>
      <c r="AC86" s="152">
        <f t="shared" si="237"/>
        <v>7.3322341785998627E-2</v>
      </c>
      <c r="AD86" s="138">
        <f t="shared" ref="AD86:AD124" si="238">((AC86/G86)^(1/($AC$3-$H$1) ))-1</f>
        <v>-4.4147744408605805E-2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39">E40/E25</f>
        <v>#DIV/0!</v>
      </c>
      <c r="F87" s="152" t="e">
        <f t="shared" si="239"/>
        <v>#DIV/0!</v>
      </c>
      <c r="G87" s="152">
        <f t="shared" si="239"/>
        <v>9.7614415503465987E-2</v>
      </c>
      <c r="H87" s="152">
        <f t="shared" si="239"/>
        <v>0.11285359214108179</v>
      </c>
      <c r="I87" s="152">
        <f t="shared" si="239"/>
        <v>0.10951653706704595</v>
      </c>
      <c r="J87" s="152">
        <f t="shared" si="239"/>
        <v>0.1051778807623959</v>
      </c>
      <c r="K87" s="152">
        <f t="shared" si="239"/>
        <v>0.13372833755736693</v>
      </c>
      <c r="L87" s="152">
        <f t="shared" si="239"/>
        <v>9.651387992253066E-2</v>
      </c>
      <c r="M87" s="152">
        <f t="shared" si="239"/>
        <v>0.11058386724321387</v>
      </c>
      <c r="N87" s="152">
        <f t="shared" si="239"/>
        <v>7.0648746938835369E-2</v>
      </c>
      <c r="O87" s="152">
        <f t="shared" si="239"/>
        <v>5.3687199971681955E-2</v>
      </c>
      <c r="P87" s="152">
        <f t="shared" si="239"/>
        <v>5.095600451836256E-2</v>
      </c>
      <c r="Q87" s="152">
        <f t="shared" ref="Q87" si="240">Q40/Q25</f>
        <v>5.0731779931479509E-2</v>
      </c>
      <c r="R87" s="118">
        <f t="shared" si="236"/>
        <v>-6.9682334526322331E-2</v>
      </c>
      <c r="S87" s="152"/>
      <c r="T87" s="152">
        <f t="shared" ref="T87:AC87" si="241">T40/T25</f>
        <v>5.0731779931479509E-2</v>
      </c>
      <c r="U87" s="152">
        <f t="shared" si="241"/>
        <v>5.0731779931479509E-2</v>
      </c>
      <c r="V87" s="152">
        <f t="shared" si="241"/>
        <v>5.0731779931479516E-2</v>
      </c>
      <c r="W87" s="152">
        <f t="shared" si="241"/>
        <v>5.0731779931479509E-2</v>
      </c>
      <c r="X87" s="152">
        <f t="shared" si="241"/>
        <v>5.0731779931479516E-2</v>
      </c>
      <c r="Y87" s="152">
        <f t="shared" si="241"/>
        <v>5.0731779931479509E-2</v>
      </c>
      <c r="Z87" s="152">
        <f t="shared" si="241"/>
        <v>5.0731779931479509E-2</v>
      </c>
      <c r="AA87" s="152">
        <f t="shared" si="241"/>
        <v>5.0731779931479509E-2</v>
      </c>
      <c r="AB87" s="152">
        <f t="shared" si="241"/>
        <v>5.0731779931479509E-2</v>
      </c>
      <c r="AC87" s="152">
        <f t="shared" si="241"/>
        <v>5.0731779931479502E-2</v>
      </c>
      <c r="AD87" s="138">
        <f t="shared" si="238"/>
        <v>-3.2194007003485403E-2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42">E40/E7</f>
        <v>#DIV/0!</v>
      </c>
      <c r="F88" s="152" t="e">
        <f t="shared" si="242"/>
        <v>#DIV/0!</v>
      </c>
      <c r="G88" s="152">
        <f>G40/G7</f>
        <v>0.1475854584915898</v>
      </c>
      <c r="H88" s="152">
        <f t="shared" si="242"/>
        <v>0.18736950701284666</v>
      </c>
      <c r="I88" s="152">
        <f t="shared" si="242"/>
        <v>0.18413109098749461</v>
      </c>
      <c r="J88" s="152">
        <f t="shared" si="242"/>
        <v>0.17701476344763886</v>
      </c>
      <c r="K88" s="152">
        <f t="shared" si="242"/>
        <v>0.2283391812865497</v>
      </c>
      <c r="L88" s="152">
        <f t="shared" si="242"/>
        <v>0.12330303680121406</v>
      </c>
      <c r="M88" s="152">
        <f t="shared" si="242"/>
        <v>0.17321030907363016</v>
      </c>
      <c r="N88" s="152">
        <f t="shared" si="242"/>
        <v>0.12506895634171195</v>
      </c>
      <c r="O88" s="152">
        <f t="shared" si="242"/>
        <v>0.11636224143527399</v>
      </c>
      <c r="P88" s="152">
        <f t="shared" ref="P88:Q88" si="243">P40/P7</f>
        <v>0.11472357254675784</v>
      </c>
      <c r="Q88" s="152">
        <f t="shared" si="243"/>
        <v>0.11321789902853979</v>
      </c>
      <c r="R88" s="118">
        <f t="shared" si="236"/>
        <v>-2.7598869955339111E-2</v>
      </c>
      <c r="S88" s="20"/>
      <c r="T88" s="152">
        <f t="shared" ref="T88" si="244">T40/T7</f>
        <v>0.11321789902853979</v>
      </c>
      <c r="U88" s="152">
        <f t="shared" ref="U88:AC88" si="245">U40/U7</f>
        <v>0.11321789902853979</v>
      </c>
      <c r="V88" s="152">
        <f t="shared" si="245"/>
        <v>0.11321789902853981</v>
      </c>
      <c r="W88" s="152">
        <f t="shared" si="245"/>
        <v>0.11321789902853979</v>
      </c>
      <c r="X88" s="152">
        <f t="shared" si="245"/>
        <v>0.11321789902853979</v>
      </c>
      <c r="Y88" s="152">
        <f t="shared" si="245"/>
        <v>0.11321789902853979</v>
      </c>
      <c r="Z88" s="152">
        <f t="shared" si="245"/>
        <v>0.11321789902853979</v>
      </c>
      <c r="AA88" s="152">
        <f t="shared" si="245"/>
        <v>0.11321789902853981</v>
      </c>
      <c r="AB88" s="152">
        <f t="shared" si="245"/>
        <v>0.11321789902853981</v>
      </c>
      <c r="AC88" s="152">
        <f t="shared" si="245"/>
        <v>0.11321789902853979</v>
      </c>
      <c r="AD88" s="138">
        <f t="shared" si="238"/>
        <v>-1.3167199662294737E-2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46">(E40)/(E7+E10)</f>
        <v>#DIV/0!</v>
      </c>
      <c r="F89" s="152" t="e">
        <f t="shared" si="246"/>
        <v>#DIV/0!</v>
      </c>
      <c r="G89" s="152">
        <f>(G40)/(G7+G10)</f>
        <v>9.223136366069995E-2</v>
      </c>
      <c r="H89" s="152">
        <f t="shared" ref="H89:O89" si="247">(H40)/(H7+H10)</f>
        <v>0.12814137884692917</v>
      </c>
      <c r="I89" s="152">
        <f t="shared" si="247"/>
        <v>0.12633136094674557</v>
      </c>
      <c r="J89" s="152">
        <f t="shared" si="247"/>
        <v>0.11853524445317101</v>
      </c>
      <c r="K89" s="152">
        <f t="shared" si="247"/>
        <v>0.14334488531234396</v>
      </c>
      <c r="L89" s="152">
        <f t="shared" si="247"/>
        <v>7.5695435995584856E-2</v>
      </c>
      <c r="M89" s="152">
        <f t="shared" si="247"/>
        <v>0.11878486627400818</v>
      </c>
      <c r="N89" s="152">
        <f t="shared" si="247"/>
        <v>8.0906339083668857E-2</v>
      </c>
      <c r="O89" s="152">
        <f t="shared" si="247"/>
        <v>7.8217232624563635E-2</v>
      </c>
      <c r="P89" s="152">
        <f t="shared" ref="P89:Q89" si="248">(P40)/(P7+P10)</f>
        <v>7.6963044030997463E-2</v>
      </c>
      <c r="Q89" s="152">
        <f t="shared" si="248"/>
        <v>0.11321789902853979</v>
      </c>
      <c r="R89" s="118">
        <f t="shared" si="236"/>
        <v>-1.9907496453277718E-2</v>
      </c>
      <c r="S89" s="20"/>
      <c r="T89" s="152">
        <f t="shared" ref="T89:AC89" si="249">(T40)/(T7+T10)</f>
        <v>0.11321789902853979</v>
      </c>
      <c r="U89" s="152">
        <f t="shared" si="249"/>
        <v>0.11321789902853979</v>
      </c>
      <c r="V89" s="152">
        <f t="shared" si="249"/>
        <v>0.11321789902853981</v>
      </c>
      <c r="W89" s="152">
        <f t="shared" si="249"/>
        <v>0.11321789902853979</v>
      </c>
      <c r="X89" s="152">
        <f t="shared" si="249"/>
        <v>0.11321789902853979</v>
      </c>
      <c r="Y89" s="152">
        <f t="shared" si="249"/>
        <v>0.11321789902853979</v>
      </c>
      <c r="Z89" s="152">
        <f t="shared" si="249"/>
        <v>0.11321789902853979</v>
      </c>
      <c r="AA89" s="152">
        <f t="shared" si="249"/>
        <v>0.11321789902853981</v>
      </c>
      <c r="AB89" s="152">
        <f t="shared" si="249"/>
        <v>0.11321789902853981</v>
      </c>
      <c r="AC89" s="152">
        <f t="shared" si="249"/>
        <v>0.11321789902853979</v>
      </c>
      <c r="AD89" s="138">
        <f t="shared" si="238"/>
        <v>1.0303419886022791E-2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0.22038796441455905</v>
      </c>
      <c r="H90" s="152">
        <f t="shared" ref="H90:P90" si="250">H20/H25</f>
        <v>0.25602142265356848</v>
      </c>
      <c r="I90" s="152">
        <f t="shared" si="250"/>
        <v>0.11976403931123727</v>
      </c>
      <c r="J90" s="152">
        <f t="shared" si="250"/>
        <v>0.14589358514233947</v>
      </c>
      <c r="K90" s="152">
        <f t="shared" si="250"/>
        <v>0.1111925474347558</v>
      </c>
      <c r="L90" s="152">
        <f t="shared" si="250"/>
        <v>0.10514525500322788</v>
      </c>
      <c r="M90" s="152">
        <f t="shared" si="250"/>
        <v>9.2793914559326257E-2</v>
      </c>
      <c r="N90" s="152">
        <f t="shared" si="250"/>
        <v>0.12221928936987668</v>
      </c>
      <c r="O90" s="152">
        <f t="shared" si="250"/>
        <v>6.6664488355565724E-2</v>
      </c>
      <c r="P90" s="152">
        <f t="shared" si="250"/>
        <v>9.0069605228809191E-2</v>
      </c>
      <c r="Q90" s="152">
        <f t="shared" ref="Q90" si="251">Q20/Q25</f>
        <v>8.326660967902727E-2</v>
      </c>
      <c r="R90" s="118">
        <f t="shared" si="236"/>
        <v>-9.4640310447868359E-2</v>
      </c>
      <c r="S90" s="20"/>
      <c r="T90" s="152">
        <f t="shared" ref="T90:AC90" si="252">T20/T25</f>
        <v>8.326660967902727E-2</v>
      </c>
      <c r="U90" s="152">
        <f t="shared" si="252"/>
        <v>8.326660967902727E-2</v>
      </c>
      <c r="V90" s="152">
        <f t="shared" si="252"/>
        <v>8.326660967902727E-2</v>
      </c>
      <c r="W90" s="152">
        <f t="shared" si="252"/>
        <v>8.326660967902727E-2</v>
      </c>
      <c r="X90" s="152">
        <f t="shared" si="252"/>
        <v>8.3266609679027284E-2</v>
      </c>
      <c r="Y90" s="152">
        <f t="shared" si="252"/>
        <v>8.3266609679027284E-2</v>
      </c>
      <c r="Z90" s="152">
        <f t="shared" si="252"/>
        <v>8.3266609679027284E-2</v>
      </c>
      <c r="AA90" s="152">
        <f t="shared" si="252"/>
        <v>8.326660967902727E-2</v>
      </c>
      <c r="AB90" s="152">
        <f t="shared" si="252"/>
        <v>8.3266609679027256E-2</v>
      </c>
      <c r="AC90" s="152">
        <f t="shared" si="252"/>
        <v>8.3266609679027256E-2</v>
      </c>
      <c r="AD90" s="138">
        <f t="shared" si="238"/>
        <v>-4.7501828970584969E-2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-9.7614415503465987E-2</v>
      </c>
      <c r="H91" s="152">
        <f t="shared" ref="H91:P91" si="253">H52/H25</f>
        <v>-0.11285359214108179</v>
      </c>
      <c r="I91" s="152">
        <f t="shared" si="253"/>
        <v>-0.10951653706704595</v>
      </c>
      <c r="J91" s="152">
        <f t="shared" si="253"/>
        <v>-0.1051778807623959</v>
      </c>
      <c r="K91" s="152">
        <f t="shared" si="253"/>
        <v>-0.13372833755736693</v>
      </c>
      <c r="L91" s="152">
        <f t="shared" si="253"/>
        <v>-9.651387992253066E-2</v>
      </c>
      <c r="M91" s="152">
        <f t="shared" si="253"/>
        <v>-0.11058386724321387</v>
      </c>
      <c r="N91" s="152">
        <f t="shared" si="253"/>
        <v>-7.0648746938835369E-2</v>
      </c>
      <c r="O91" s="152">
        <f t="shared" si="253"/>
        <v>-5.3687199971681955E-2</v>
      </c>
      <c r="P91" s="152">
        <f t="shared" si="253"/>
        <v>-5.095600451836256E-2</v>
      </c>
      <c r="Q91" s="152">
        <f t="shared" ref="Q91" si="254">Q52/Q25</f>
        <v>1.3938665361514398E-2</v>
      </c>
      <c r="R91" s="118">
        <f t="shared" si="236"/>
        <v>-6.9682334526322331E-2</v>
      </c>
      <c r="S91" s="20"/>
      <c r="T91" s="152">
        <f t="shared" ref="T91:AC91" si="255">T52/T25</f>
        <v>1.3938665361514394E-2</v>
      </c>
      <c r="U91" s="152">
        <f t="shared" si="255"/>
        <v>1.3938665361514387E-2</v>
      </c>
      <c r="V91" s="152">
        <f t="shared" si="255"/>
        <v>1.3938665361514389E-2</v>
      </c>
      <c r="W91" s="152">
        <f t="shared" si="255"/>
        <v>1.3938665361514394E-2</v>
      </c>
      <c r="X91" s="152">
        <f t="shared" si="255"/>
        <v>1.3938665361514391E-2</v>
      </c>
      <c r="Y91" s="152">
        <f t="shared" si="255"/>
        <v>1.3938665361514391E-2</v>
      </c>
      <c r="Z91" s="152">
        <f t="shared" si="255"/>
        <v>1.3938665361514387E-2</v>
      </c>
      <c r="AA91" s="152">
        <f t="shared" si="255"/>
        <v>1.3938665361514379E-2</v>
      </c>
      <c r="AB91" s="152">
        <f t="shared" si="255"/>
        <v>1.3938665361514382E-2</v>
      </c>
      <c r="AC91" s="152">
        <f t="shared" si="255"/>
        <v>1.393866536151438E-2</v>
      </c>
      <c r="AD91" s="138" t="e">
        <f t="shared" si="238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2.7652380862436959E-2</v>
      </c>
      <c r="H93" s="152">
        <f t="shared" ref="H93:P93" si="256">H29/H25</f>
        <v>2.2073618179666233E-2</v>
      </c>
      <c r="I93" s="152">
        <f t="shared" si="256"/>
        <v>1.108688809354489E-2</v>
      </c>
      <c r="J93" s="152">
        <f t="shared" si="256"/>
        <v>1.1716436112756542E-2</v>
      </c>
      <c r="K93" s="152">
        <f t="shared" si="256"/>
        <v>8.6101787793684496E-3</v>
      </c>
      <c r="L93" s="152">
        <f t="shared" si="256"/>
        <v>1.3770174306003873E-2</v>
      </c>
      <c r="M93" s="152">
        <f t="shared" si="256"/>
        <v>9.340970319893142E-3</v>
      </c>
      <c r="N93" s="152">
        <f t="shared" si="256"/>
        <v>8.8462158872611562E-3</v>
      </c>
      <c r="O93" s="152">
        <f t="shared" si="256"/>
        <v>7.8800404076709227E-3</v>
      </c>
      <c r="P93" s="152">
        <f t="shared" si="256"/>
        <v>6.4481815542484075E-3</v>
      </c>
      <c r="Q93" s="152">
        <f t="shared" ref="Q93" si="257">Q29/Q25</f>
        <v>8.65189649300473E-3</v>
      </c>
      <c r="R93" s="118">
        <f t="shared" si="236"/>
        <v>-0.14936162804438513</v>
      </c>
      <c r="S93" s="20"/>
      <c r="T93" s="152">
        <f t="shared" ref="T93:AC93" si="258">T29/T25</f>
        <v>8.65189649300473E-3</v>
      </c>
      <c r="U93" s="152">
        <f t="shared" si="258"/>
        <v>8.6518964930047317E-3</v>
      </c>
      <c r="V93" s="152">
        <f t="shared" si="258"/>
        <v>8.6518964930047317E-3</v>
      </c>
      <c r="W93" s="152">
        <f t="shared" si="258"/>
        <v>8.6518964930047317E-3</v>
      </c>
      <c r="X93" s="152">
        <f t="shared" si="258"/>
        <v>8.6518964930047317E-3</v>
      </c>
      <c r="Y93" s="152">
        <f t="shared" si="258"/>
        <v>8.6518964930047317E-3</v>
      </c>
      <c r="Z93" s="152">
        <f t="shared" si="258"/>
        <v>8.6518964930047317E-3</v>
      </c>
      <c r="AA93" s="152">
        <f t="shared" si="258"/>
        <v>8.6518964930047317E-3</v>
      </c>
      <c r="AB93" s="152">
        <f t="shared" si="258"/>
        <v>8.6518964930047317E-3</v>
      </c>
      <c r="AC93" s="152">
        <f t="shared" si="258"/>
        <v>8.6518964930047317E-3</v>
      </c>
      <c r="AD93" s="138">
        <f t="shared" si="238"/>
        <v>-5.6441265451293354E-2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0.15286624203821655</v>
      </c>
      <c r="H94" s="152">
        <f t="shared" ref="H94:P94" si="259">H29/H36</f>
        <v>0.11745257025899394</v>
      </c>
      <c r="I94" s="152">
        <f t="shared" si="259"/>
        <v>6.5531973539140018E-2</v>
      </c>
      <c r="J94" s="152">
        <f t="shared" si="259"/>
        <v>6.5361065215278458E-2</v>
      </c>
      <c r="K94" s="152">
        <f t="shared" si="259"/>
        <v>5.627938213566152E-2</v>
      </c>
      <c r="L94" s="152">
        <f t="shared" si="259"/>
        <v>8.7518463810930577E-2</v>
      </c>
      <c r="M94" s="152">
        <f t="shared" si="259"/>
        <v>6.8193838423905861E-2</v>
      </c>
      <c r="N94" s="152">
        <f t="shared" si="259"/>
        <v>6.3493316493000732E-2</v>
      </c>
      <c r="O94" s="152">
        <f t="shared" si="259"/>
        <v>8.3115540365892179E-2</v>
      </c>
      <c r="P94" s="152">
        <f t="shared" si="259"/>
        <v>7.998184294144349E-2</v>
      </c>
      <c r="Q94" s="152">
        <f t="shared" ref="Q94" si="260">Q29/Q36</f>
        <v>0.11799809283583008</v>
      </c>
      <c r="R94" s="118">
        <f t="shared" ref="R94" si="261">((P94/G94)^(1/($H$2-$H$1) ))-1</f>
        <v>-6.9444667950844363E-2</v>
      </c>
      <c r="S94" s="20"/>
      <c r="T94" s="152">
        <f t="shared" ref="T94:AC94" si="262">T29/T36</f>
        <v>0.11799809283583008</v>
      </c>
      <c r="U94" s="152">
        <f t="shared" si="262"/>
        <v>0.1179980928358301</v>
      </c>
      <c r="V94" s="152">
        <f t="shared" si="262"/>
        <v>0.11799809283583011</v>
      </c>
      <c r="W94" s="152">
        <f t="shared" si="262"/>
        <v>0.11799809283583011</v>
      </c>
      <c r="X94" s="152">
        <f t="shared" si="262"/>
        <v>0.11799809283583011</v>
      </c>
      <c r="Y94" s="152">
        <f t="shared" si="262"/>
        <v>0.11799809283583011</v>
      </c>
      <c r="Z94" s="152">
        <f t="shared" si="262"/>
        <v>0.1179980928358301</v>
      </c>
      <c r="AA94" s="152">
        <f t="shared" si="262"/>
        <v>0.11799809283583011</v>
      </c>
      <c r="AB94" s="152">
        <f t="shared" si="262"/>
        <v>0.11799809283583011</v>
      </c>
      <c r="AC94" s="152">
        <f t="shared" si="262"/>
        <v>0.11799809283583011</v>
      </c>
      <c r="AD94" s="138">
        <f t="shared" ref="AD94" si="263">((AC94/G94)^(1/($AC$3-$H$1) ))-1</f>
        <v>-1.2861319278973049E-2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64">G29/G40</f>
        <v>0.28328173374613003</v>
      </c>
      <c r="H95" s="171">
        <f t="shared" si="264"/>
        <v>0.19559517566858942</v>
      </c>
      <c r="I95" s="171">
        <f t="shared" si="264"/>
        <v>0.10123483074302747</v>
      </c>
      <c r="J95" s="171">
        <f t="shared" si="264"/>
        <v>0.11139638893490145</v>
      </c>
      <c r="K95" s="171">
        <f t="shared" si="264"/>
        <v>6.4385596475951448E-2</v>
      </c>
      <c r="L95" s="171">
        <f t="shared" si="264"/>
        <v>0.14267558528428093</v>
      </c>
      <c r="M95" s="171">
        <f t="shared" si="264"/>
        <v>8.4469557384432709E-2</v>
      </c>
      <c r="N95" s="171">
        <f t="shared" si="264"/>
        <v>0.12521405220279175</v>
      </c>
      <c r="O95" s="171">
        <f t="shared" si="264"/>
        <v>0.14677689303646599</v>
      </c>
      <c r="P95" s="171">
        <f t="shared" si="264"/>
        <v>0.12654409652398735</v>
      </c>
      <c r="Q95" s="171">
        <f t="shared" ref="Q95" si="265">Q29/Q40</f>
        <v>0.17054194638331927</v>
      </c>
      <c r="R95" s="118">
        <f t="shared" ref="R95" si="266">((P95/G95)^(1/($H$2-$H$1) ))-1</f>
        <v>-8.5647404617962941E-2</v>
      </c>
      <c r="S95" s="20"/>
      <c r="T95" s="171">
        <f t="shared" ref="T95:AC95" si="267">T29/T40</f>
        <v>0.17054194638331927</v>
      </c>
      <c r="U95" s="171">
        <f t="shared" si="267"/>
        <v>0.17054194638331927</v>
      </c>
      <c r="V95" s="171">
        <f t="shared" si="267"/>
        <v>0.17054194638331927</v>
      </c>
      <c r="W95" s="171">
        <f t="shared" si="267"/>
        <v>0.17054194638331929</v>
      </c>
      <c r="X95" s="171">
        <f t="shared" si="267"/>
        <v>0.17054194638331927</v>
      </c>
      <c r="Y95" s="171">
        <f t="shared" si="267"/>
        <v>0.17054194638331929</v>
      </c>
      <c r="Z95" s="171">
        <f t="shared" si="267"/>
        <v>0.17054194638331927</v>
      </c>
      <c r="AA95" s="171">
        <f t="shared" si="267"/>
        <v>0.17054194638331929</v>
      </c>
      <c r="AB95" s="171">
        <f t="shared" si="267"/>
        <v>0.17054194638331929</v>
      </c>
      <c r="AC95" s="171">
        <f t="shared" si="267"/>
        <v>0.17054194638331929</v>
      </c>
      <c r="AD95" s="138">
        <f t="shared" ref="AD95" si="268">((AC95/G95)^(1/($AC$3-$H$1) ))-1</f>
        <v>-2.5053842013039951E-2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69">G29/G12</f>
        <v>5.4222222222222225</v>
      </c>
      <c r="H96" s="171">
        <f t="shared" si="269"/>
        <v>3.8753246753246753</v>
      </c>
      <c r="I96" s="171">
        <f t="shared" si="269"/>
        <v>3.6718146718146718</v>
      </c>
      <c r="J96" s="171">
        <f t="shared" si="269"/>
        <v>3.2885085574572126</v>
      </c>
      <c r="K96" s="171">
        <f t="shared" si="269"/>
        <v>3.2396907216494846</v>
      </c>
      <c r="L96" s="171">
        <f t="shared" si="269"/>
        <v>2.648669456482597</v>
      </c>
      <c r="M96" s="171">
        <f t="shared" si="269"/>
        <v>3.1069277108433737</v>
      </c>
      <c r="N96" s="171">
        <f t="shared" si="269"/>
        <v>2.7608695652173911</v>
      </c>
      <c r="O96" s="171">
        <f t="shared" si="269"/>
        <v>2.0013831258644537</v>
      </c>
      <c r="P96" s="171">
        <f t="shared" si="269"/>
        <v>5.2382273664182653E-2</v>
      </c>
      <c r="Q96" s="171" t="e">
        <f t="shared" ref="Q96" si="270">Q29/Q12</f>
        <v>#DIV/0!</v>
      </c>
      <c r="R96" s="118">
        <f t="shared" si="236"/>
        <v>-0.40281087221953882</v>
      </c>
      <c r="S96" s="20"/>
      <c r="T96" s="152" t="e">
        <f t="shared" ref="T96:AC96" si="271">T29/T12</f>
        <v>#DIV/0!</v>
      </c>
      <c r="U96" s="152" t="e">
        <f t="shared" si="271"/>
        <v>#DIV/0!</v>
      </c>
      <c r="V96" s="152" t="e">
        <f t="shared" si="271"/>
        <v>#DIV/0!</v>
      </c>
      <c r="W96" s="152" t="e">
        <f t="shared" si="271"/>
        <v>#DIV/0!</v>
      </c>
      <c r="X96" s="152" t="e">
        <f t="shared" si="271"/>
        <v>#DIV/0!</v>
      </c>
      <c r="Y96" s="152" t="e">
        <f t="shared" si="271"/>
        <v>#DIV/0!</v>
      </c>
      <c r="Z96" s="152" t="e">
        <f t="shared" si="271"/>
        <v>#DIV/0!</v>
      </c>
      <c r="AA96" s="152" t="e">
        <f t="shared" si="271"/>
        <v>#DIV/0!</v>
      </c>
      <c r="AB96" s="152" t="e">
        <f t="shared" si="271"/>
        <v>#DIV/0!</v>
      </c>
      <c r="AC96" s="152" t="e">
        <f t="shared" si="271"/>
        <v>#DIV/0!</v>
      </c>
      <c r="AD96" s="138" t="e">
        <f t="shared" si="238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5.4222222222222225</v>
      </c>
      <c r="H97" s="171">
        <f t="shared" ref="H97:P97" si="272">H29/H23</f>
        <v>0.41329639889196673</v>
      </c>
      <c r="I97" s="171">
        <f t="shared" si="272"/>
        <v>0.36353211009174313</v>
      </c>
      <c r="J97" s="171">
        <f t="shared" si="272"/>
        <v>0.69437274135260707</v>
      </c>
      <c r="K97" s="171">
        <f t="shared" si="272"/>
        <v>0.28095663835493967</v>
      </c>
      <c r="L97" s="171">
        <f t="shared" si="272"/>
        <v>9.3791223287309822E-2</v>
      </c>
      <c r="M97" s="171">
        <f t="shared" si="272"/>
        <v>0.14852411807055435</v>
      </c>
      <c r="N97" s="171">
        <f t="shared" si="272"/>
        <v>8.0062377650220645E-2</v>
      </c>
      <c r="O97" s="171">
        <f t="shared" si="272"/>
        <v>7.1051533230217775E-2</v>
      </c>
      <c r="P97" s="171">
        <f t="shared" si="272"/>
        <v>5.2382273664182653E-2</v>
      </c>
      <c r="Q97" s="171">
        <f t="shared" ref="Q97" si="273">Q29/Q23</f>
        <v>7.6026637069922312E-2</v>
      </c>
      <c r="R97" s="118">
        <f t="shared" ref="R97" si="274">((P97/G97)^(1/($H$2-$H$1) ))-1</f>
        <v>-0.40281087221953882</v>
      </c>
      <c r="S97" s="20"/>
      <c r="T97" s="171">
        <f t="shared" ref="T97:AC97" si="275">T29/T23</f>
        <v>7.6026637069922312E-2</v>
      </c>
      <c r="U97" s="171">
        <f t="shared" si="275"/>
        <v>7.6026637069922312E-2</v>
      </c>
      <c r="V97" s="171">
        <f t="shared" si="275"/>
        <v>7.6026637069922326E-2</v>
      </c>
      <c r="W97" s="171">
        <f t="shared" si="275"/>
        <v>7.6026637069922326E-2</v>
      </c>
      <c r="X97" s="171">
        <f t="shared" si="275"/>
        <v>7.6026637069922312E-2</v>
      </c>
      <c r="Y97" s="171">
        <f t="shared" si="275"/>
        <v>7.6026637069922312E-2</v>
      </c>
      <c r="Z97" s="171">
        <f t="shared" si="275"/>
        <v>7.6026637069922326E-2</v>
      </c>
      <c r="AA97" s="171">
        <f t="shared" si="275"/>
        <v>7.6026637069922326E-2</v>
      </c>
      <c r="AB97" s="171">
        <f t="shared" si="275"/>
        <v>7.6026637069922326E-2</v>
      </c>
      <c r="AC97" s="171">
        <f t="shared" si="275"/>
        <v>7.6026637069922326E-2</v>
      </c>
      <c r="AD97" s="138">
        <f t="shared" ref="AD97" si="276">((AC97/G97)^(1/($AC$3-$H$1) ))-1</f>
        <v>-0.19213382759710829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36.163251366120221</v>
      </c>
      <c r="H99" s="127">
        <f t="shared" ref="H99:P99" si="277">1/H93</f>
        <v>45.302949061662197</v>
      </c>
      <c r="I99" s="127">
        <f t="shared" si="277"/>
        <v>90.196635120925336</v>
      </c>
      <c r="J99" s="127">
        <f t="shared" si="277"/>
        <v>85.350185873605952</v>
      </c>
      <c r="K99" s="127">
        <f t="shared" si="277"/>
        <v>116.14160700079555</v>
      </c>
      <c r="L99" s="127">
        <f t="shared" si="277"/>
        <v>72.620721987810597</v>
      </c>
      <c r="M99" s="127">
        <f t="shared" si="277"/>
        <v>107.05525933107126</v>
      </c>
      <c r="N99" s="127">
        <f t="shared" si="277"/>
        <v>113.04268545379196</v>
      </c>
      <c r="O99" s="127">
        <f t="shared" si="277"/>
        <v>126.90290255701451</v>
      </c>
      <c r="P99" s="127">
        <f t="shared" si="277"/>
        <v>155.08248202799848</v>
      </c>
      <c r="Q99" s="127">
        <f t="shared" ref="Q99" si="278">1/Q93</f>
        <v>115.58159541188738</v>
      </c>
      <c r="R99" s="118">
        <f t="shared" si="236"/>
        <v>0.1755876915133785</v>
      </c>
      <c r="S99" s="20"/>
      <c r="T99" s="127">
        <f t="shared" ref="T99:AC99" si="279">1/T93</f>
        <v>115.58159541188738</v>
      </c>
      <c r="U99" s="127">
        <f t="shared" si="279"/>
        <v>115.58159541188735</v>
      </c>
      <c r="V99" s="127">
        <f t="shared" si="279"/>
        <v>115.58159541188735</v>
      </c>
      <c r="W99" s="127">
        <f t="shared" si="279"/>
        <v>115.58159541188735</v>
      </c>
      <c r="X99" s="127">
        <f t="shared" si="279"/>
        <v>115.58159541188735</v>
      </c>
      <c r="Y99" s="127">
        <f t="shared" si="279"/>
        <v>115.58159541188735</v>
      </c>
      <c r="Z99" s="127">
        <f t="shared" si="279"/>
        <v>115.58159541188735</v>
      </c>
      <c r="AA99" s="127">
        <f t="shared" si="279"/>
        <v>115.58159541188735</v>
      </c>
      <c r="AB99" s="127">
        <f t="shared" si="279"/>
        <v>115.58159541188735</v>
      </c>
      <c r="AC99" s="127">
        <f t="shared" si="279"/>
        <v>115.58159541188735</v>
      </c>
      <c r="AD99" s="138">
        <f t="shared" si="238"/>
        <v>5.9817437309070742E-2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0">1/G94</f>
        <v>6.541666666666667</v>
      </c>
      <c r="H100" s="127">
        <f t="shared" si="280"/>
        <v>8.5140750670241285</v>
      </c>
      <c r="I100" s="127">
        <f t="shared" si="280"/>
        <v>15.259726603575185</v>
      </c>
      <c r="J100" s="127">
        <f t="shared" si="280"/>
        <v>15.299628252788104</v>
      </c>
      <c r="K100" s="127">
        <f t="shared" si="280"/>
        <v>17.768496420047732</v>
      </c>
      <c r="L100" s="127">
        <f t="shared" si="280"/>
        <v>11.426160337552743</v>
      </c>
      <c r="M100" s="127">
        <f t="shared" si="280"/>
        <v>14.664081434803682</v>
      </c>
      <c r="N100" s="127">
        <f t="shared" si="280"/>
        <v>15.749689183588895</v>
      </c>
      <c r="O100" s="127">
        <f t="shared" si="280"/>
        <v>12.031444367657222</v>
      </c>
      <c r="P100" s="127">
        <f t="shared" si="280"/>
        <v>12.502837684449489</v>
      </c>
      <c r="Q100" s="127">
        <f t="shared" ref="Q100" si="281">1/Q94</f>
        <v>8.4747132429614176</v>
      </c>
      <c r="R100" s="118">
        <f t="shared" si="236"/>
        <v>7.4627123782012861E-2</v>
      </c>
      <c r="S100" s="20"/>
      <c r="T100" s="127">
        <f t="shared" ref="T100:AC100" si="282">1/T94</f>
        <v>8.4747132429614176</v>
      </c>
      <c r="U100" s="127">
        <f t="shared" si="282"/>
        <v>8.4747132429614158</v>
      </c>
      <c r="V100" s="127">
        <f t="shared" si="282"/>
        <v>8.4747132429614158</v>
      </c>
      <c r="W100" s="127">
        <f t="shared" si="282"/>
        <v>8.4747132429614158</v>
      </c>
      <c r="X100" s="127">
        <f t="shared" si="282"/>
        <v>8.4747132429614158</v>
      </c>
      <c r="Y100" s="127">
        <f t="shared" si="282"/>
        <v>8.4747132429614158</v>
      </c>
      <c r="Z100" s="127">
        <f t="shared" si="282"/>
        <v>8.4747132429614158</v>
      </c>
      <c r="AA100" s="127">
        <f t="shared" si="282"/>
        <v>8.4747132429614158</v>
      </c>
      <c r="AB100" s="127">
        <f t="shared" si="282"/>
        <v>8.4747132429614158</v>
      </c>
      <c r="AC100" s="127">
        <f t="shared" si="282"/>
        <v>8.4747132429614158</v>
      </c>
      <c r="AD100" s="138">
        <f t="shared" si="238"/>
        <v>1.3028887966966218E-2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0"/>
        <v>3.5300546448087431</v>
      </c>
      <c r="H101" s="127">
        <f t="shared" si="280"/>
        <v>5.1126005361930291</v>
      </c>
      <c r="I101" s="127">
        <f t="shared" si="280"/>
        <v>9.8780231335436373</v>
      </c>
      <c r="J101" s="127">
        <f t="shared" si="280"/>
        <v>8.9769516728624534</v>
      </c>
      <c r="K101" s="127">
        <f t="shared" si="280"/>
        <v>15.531424025457436</v>
      </c>
      <c r="L101" s="127">
        <f t="shared" si="280"/>
        <v>7.008907641819035</v>
      </c>
      <c r="M101" s="127">
        <f t="shared" si="280"/>
        <v>11.838584585555017</v>
      </c>
      <c r="N101" s="127">
        <f t="shared" si="280"/>
        <v>7.9863240779113145</v>
      </c>
      <c r="O101" s="127">
        <f t="shared" si="280"/>
        <v>6.8130615065653082</v>
      </c>
      <c r="P101" s="127">
        <f t="shared" si="280"/>
        <v>7.9023836549375721</v>
      </c>
      <c r="Q101" s="127">
        <f t="shared" ref="Q101" si="283">1/Q95</f>
        <v>5.863660062565172</v>
      </c>
      <c r="R101" s="118">
        <f t="shared" si="236"/>
        <v>9.3669996728316329E-2</v>
      </c>
      <c r="S101" s="20"/>
      <c r="T101" s="127">
        <f t="shared" ref="T101:AC101" si="284">1/T95</f>
        <v>5.863660062565172</v>
      </c>
      <c r="U101" s="127">
        <f t="shared" si="284"/>
        <v>5.863660062565172</v>
      </c>
      <c r="V101" s="127">
        <f t="shared" si="284"/>
        <v>5.863660062565172</v>
      </c>
      <c r="W101" s="127">
        <f t="shared" si="284"/>
        <v>5.8636600625651711</v>
      </c>
      <c r="X101" s="127">
        <f t="shared" si="284"/>
        <v>5.863660062565172</v>
      </c>
      <c r="Y101" s="127">
        <f t="shared" si="284"/>
        <v>5.8636600625651711</v>
      </c>
      <c r="Z101" s="127">
        <f t="shared" si="284"/>
        <v>5.863660062565172</v>
      </c>
      <c r="AA101" s="127">
        <f t="shared" si="284"/>
        <v>5.8636600625651711</v>
      </c>
      <c r="AB101" s="127">
        <f t="shared" si="284"/>
        <v>5.8636600625651711</v>
      </c>
      <c r="AC101" s="127">
        <f t="shared" si="284"/>
        <v>5.8636600625651711</v>
      </c>
      <c r="AD101" s="138">
        <f t="shared" si="238"/>
        <v>2.5697667309926508E-2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0"/>
        <v>0.1844262295081967</v>
      </c>
      <c r="H102" s="127">
        <f t="shared" si="280"/>
        <v>0.25804289544235925</v>
      </c>
      <c r="I102" s="127">
        <f t="shared" si="280"/>
        <v>0.2723449001051525</v>
      </c>
      <c r="J102" s="127">
        <f t="shared" si="280"/>
        <v>0.30408921933085503</v>
      </c>
      <c r="K102" s="127">
        <f t="shared" si="280"/>
        <v>0.30867143993635637</v>
      </c>
      <c r="L102" s="127">
        <f t="shared" si="280"/>
        <v>0.37754805438349737</v>
      </c>
      <c r="M102" s="127">
        <f t="shared" si="280"/>
        <v>0.32186136694134754</v>
      </c>
      <c r="N102" s="127">
        <f t="shared" si="280"/>
        <v>0.36220472440944884</v>
      </c>
      <c r="O102" s="127">
        <f t="shared" si="280"/>
        <v>0.49965445749827231</v>
      </c>
      <c r="P102" s="127">
        <f t="shared" si="280"/>
        <v>19.090427544457057</v>
      </c>
      <c r="Q102" s="127" t="e">
        <f t="shared" ref="Q102" si="285">1/Q96</f>
        <v>#DIV/0!</v>
      </c>
      <c r="R102" s="118">
        <f t="shared" si="236"/>
        <v>0.67451139594024934</v>
      </c>
      <c r="S102" s="20"/>
      <c r="T102" s="127" t="e">
        <f t="shared" ref="T102:AC102" si="286">1/T96</f>
        <v>#DIV/0!</v>
      </c>
      <c r="U102" s="127" t="e">
        <f t="shared" si="286"/>
        <v>#DIV/0!</v>
      </c>
      <c r="V102" s="127" t="e">
        <f t="shared" si="286"/>
        <v>#DIV/0!</v>
      </c>
      <c r="W102" s="127" t="e">
        <f t="shared" si="286"/>
        <v>#DIV/0!</v>
      </c>
      <c r="X102" s="127" t="e">
        <f t="shared" si="286"/>
        <v>#DIV/0!</v>
      </c>
      <c r="Y102" s="127" t="e">
        <f t="shared" si="286"/>
        <v>#DIV/0!</v>
      </c>
      <c r="Z102" s="127" t="e">
        <f t="shared" si="286"/>
        <v>#DIV/0!</v>
      </c>
      <c r="AA102" s="127" t="e">
        <f t="shared" si="286"/>
        <v>#DIV/0!</v>
      </c>
      <c r="AB102" s="127" t="e">
        <f t="shared" si="286"/>
        <v>#DIV/0!</v>
      </c>
      <c r="AC102" s="127" t="e">
        <f t="shared" si="286"/>
        <v>#DIV/0!</v>
      </c>
      <c r="AD102" s="138" t="e">
        <f t="shared" si="238"/>
        <v>#DIV/0!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0"/>
        <v>0.1844262295081967</v>
      </c>
      <c r="H103" s="127">
        <f t="shared" si="280"/>
        <v>2.4195710455764075</v>
      </c>
      <c r="I103" s="127">
        <f t="shared" si="280"/>
        <v>2.7507886435331228</v>
      </c>
      <c r="J103" s="127">
        <f t="shared" si="280"/>
        <v>1.4401486988847585</v>
      </c>
      <c r="K103" s="127">
        <f t="shared" si="280"/>
        <v>3.5592680986475735</v>
      </c>
      <c r="L103" s="127">
        <f t="shared" si="280"/>
        <v>10.661978434130333</v>
      </c>
      <c r="M103" s="127">
        <f t="shared" si="280"/>
        <v>6.7329132331555988</v>
      </c>
      <c r="N103" s="127">
        <f t="shared" si="280"/>
        <v>12.490261085785329</v>
      </c>
      <c r="O103" s="127">
        <f t="shared" si="280"/>
        <v>14.074291637871458</v>
      </c>
      <c r="P103" s="127">
        <f t="shared" si="280"/>
        <v>19.090427544457057</v>
      </c>
      <c r="Q103" s="127">
        <f t="shared" ref="Q103" si="287">1/Q97</f>
        <v>13.153284671532846</v>
      </c>
      <c r="R103" s="118">
        <f t="shared" si="236"/>
        <v>0.67451139594024934</v>
      </c>
      <c r="S103" s="20"/>
      <c r="T103" s="127">
        <f t="shared" ref="T103:AC103" si="288">1/T97</f>
        <v>13.153284671532846</v>
      </c>
      <c r="U103" s="127">
        <f t="shared" si="288"/>
        <v>13.153284671532846</v>
      </c>
      <c r="V103" s="127">
        <f t="shared" si="288"/>
        <v>13.153284671532843</v>
      </c>
      <c r="W103" s="127">
        <f t="shared" si="288"/>
        <v>13.153284671532843</v>
      </c>
      <c r="X103" s="127">
        <f t="shared" si="288"/>
        <v>13.153284671532846</v>
      </c>
      <c r="Y103" s="127">
        <f t="shared" si="288"/>
        <v>13.153284671532846</v>
      </c>
      <c r="Z103" s="127">
        <f t="shared" si="288"/>
        <v>13.153284671532843</v>
      </c>
      <c r="AA103" s="127">
        <f t="shared" si="288"/>
        <v>13.153284671532843</v>
      </c>
      <c r="AB103" s="127">
        <f t="shared" si="288"/>
        <v>13.153284671532843</v>
      </c>
      <c r="AC103" s="127">
        <f t="shared" si="288"/>
        <v>13.153284671532843</v>
      </c>
      <c r="AD103" s="138">
        <f t="shared" si="238"/>
        <v>0.23782878174689692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89">F10-(F12+F13)</f>
        <v>0</v>
      </c>
      <c r="G106" s="163">
        <f t="shared" si="289"/>
        <v>2318</v>
      </c>
      <c r="H106" s="163">
        <f t="shared" si="289"/>
        <v>-4651</v>
      </c>
      <c r="I106" s="163">
        <f t="shared" si="289"/>
        <v>16417</v>
      </c>
      <c r="J106" s="163">
        <f t="shared" si="289"/>
        <v>27974</v>
      </c>
      <c r="K106" s="163">
        <f t="shared" si="289"/>
        <v>40786</v>
      </c>
      <c r="L106" s="163">
        <f t="shared" si="289"/>
        <v>69015.69</v>
      </c>
      <c r="M106" s="163">
        <f t="shared" si="289"/>
        <v>54803</v>
      </c>
      <c r="N106" s="163">
        <f t="shared" si="289"/>
        <v>66269</v>
      </c>
      <c r="O106" s="163">
        <f t="shared" si="289"/>
        <v>42593</v>
      </c>
      <c r="P106" s="163">
        <f>P10-(P12+P13)</f>
        <v>-3982</v>
      </c>
      <c r="Q106" s="163">
        <f>Q10-(Q12+Q13)</f>
        <v>0</v>
      </c>
      <c r="R106" s="118">
        <f t="shared" si="236"/>
        <v>-2.0619639109441188</v>
      </c>
      <c r="S106" s="20"/>
      <c r="T106" s="163">
        <f>T10-(T12+T13)</f>
        <v>0</v>
      </c>
      <c r="U106" s="163">
        <f t="shared" ref="U106:AC106" si="290">U10-(U12+U13)</f>
        <v>0</v>
      </c>
      <c r="V106" s="163">
        <f t="shared" si="290"/>
        <v>0</v>
      </c>
      <c r="W106" s="163">
        <f t="shared" si="290"/>
        <v>0</v>
      </c>
      <c r="X106" s="163">
        <f t="shared" si="290"/>
        <v>0</v>
      </c>
      <c r="Y106" s="163">
        <f t="shared" si="290"/>
        <v>0</v>
      </c>
      <c r="Z106" s="163">
        <f t="shared" si="290"/>
        <v>0</v>
      </c>
      <c r="AA106" s="163">
        <f t="shared" si="290"/>
        <v>0</v>
      </c>
      <c r="AB106" s="163">
        <f t="shared" si="290"/>
        <v>0</v>
      </c>
      <c r="AC106" s="163">
        <f t="shared" si="290"/>
        <v>0</v>
      </c>
      <c r="AD106" s="138">
        <f t="shared" si="238"/>
        <v>-1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91">G40/G18</f>
        <v>0.16223512792340292</v>
      </c>
      <c r="H107" s="152">
        <f t="shared" si="291"/>
        <v>0.25213194949428175</v>
      </c>
      <c r="I107" s="152">
        <f t="shared" si="291"/>
        <v>0.16688577011902647</v>
      </c>
      <c r="J107" s="152">
        <f t="shared" si="291"/>
        <v>0.18626392274227885</v>
      </c>
      <c r="K107" s="152">
        <f t="shared" si="291"/>
        <v>0.30475640405238758</v>
      </c>
      <c r="L107" s="152">
        <f t="shared" si="291"/>
        <v>0.13966219498523971</v>
      </c>
      <c r="M107" s="152">
        <f t="shared" si="291"/>
        <v>0.15246174878738505</v>
      </c>
      <c r="N107" s="152">
        <f t="shared" si="291"/>
        <v>0.12189197907640149</v>
      </c>
      <c r="O107" s="152">
        <f t="shared" si="291"/>
        <v>0.12504280767620907</v>
      </c>
      <c r="P107" s="152">
        <f t="shared" si="291"/>
        <v>0.12563158654540205</v>
      </c>
      <c r="Q107" s="152" t="e">
        <f t="shared" ref="Q107" si="292">Q40/Q18</f>
        <v>#DIV/0!</v>
      </c>
      <c r="R107" s="118">
        <f t="shared" si="236"/>
        <v>-2.8010552789858312E-2</v>
      </c>
      <c r="S107" s="20"/>
      <c r="T107" s="152" t="e">
        <f t="shared" ref="T107:AC107" si="293">T40/T18</f>
        <v>#DIV/0!</v>
      </c>
      <c r="U107" s="152" t="e">
        <f t="shared" si="293"/>
        <v>#DIV/0!</v>
      </c>
      <c r="V107" s="152" t="e">
        <f t="shared" si="293"/>
        <v>#DIV/0!</v>
      </c>
      <c r="W107" s="152" t="e">
        <f t="shared" si="293"/>
        <v>#DIV/0!</v>
      </c>
      <c r="X107" s="152" t="e">
        <f t="shared" si="293"/>
        <v>#DIV/0!</v>
      </c>
      <c r="Y107" s="152" t="e">
        <f t="shared" si="293"/>
        <v>#DIV/0!</v>
      </c>
      <c r="Z107" s="152" t="e">
        <f t="shared" si="293"/>
        <v>#DIV/0!</v>
      </c>
      <c r="AA107" s="152" t="e">
        <f t="shared" si="293"/>
        <v>#DIV/0!</v>
      </c>
      <c r="AB107" s="152" t="e">
        <f t="shared" si="293"/>
        <v>#DIV/0!</v>
      </c>
      <c r="AC107" s="152" t="e">
        <f t="shared" si="293"/>
        <v>#DIV/0!</v>
      </c>
      <c r="AD107" s="138" t="e">
        <f t="shared" si="238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94">G40/G25</f>
        <v>9.7614415503465987E-2</v>
      </c>
      <c r="H108" s="152">
        <f t="shared" si="294"/>
        <v>0.11285359214108179</v>
      </c>
      <c r="I108" s="152">
        <f t="shared" si="294"/>
        <v>0.10951653706704595</v>
      </c>
      <c r="J108" s="152">
        <f t="shared" si="294"/>
        <v>0.1051778807623959</v>
      </c>
      <c r="K108" s="152">
        <f t="shared" si="294"/>
        <v>0.13372833755736693</v>
      </c>
      <c r="L108" s="152">
        <f t="shared" si="294"/>
        <v>9.651387992253066E-2</v>
      </c>
      <c r="M108" s="152">
        <f t="shared" si="294"/>
        <v>0.11058386724321387</v>
      </c>
      <c r="N108" s="152">
        <f t="shared" si="294"/>
        <v>7.0648746938835369E-2</v>
      </c>
      <c r="O108" s="152">
        <f t="shared" si="294"/>
        <v>5.3687199971681955E-2</v>
      </c>
      <c r="P108" s="152">
        <f t="shared" si="294"/>
        <v>5.095600451836256E-2</v>
      </c>
      <c r="Q108" s="152">
        <f t="shared" ref="Q108" si="295">Q40/Q25</f>
        <v>5.0731779931479509E-2</v>
      </c>
      <c r="R108" s="118">
        <f t="shared" si="236"/>
        <v>-6.9682334526322331E-2</v>
      </c>
      <c r="S108" s="20"/>
      <c r="T108" s="152">
        <f t="shared" ref="T108:AC108" si="296">T40/T25</f>
        <v>5.0731779931479509E-2</v>
      </c>
      <c r="U108" s="152">
        <f t="shared" si="296"/>
        <v>5.0731779931479509E-2</v>
      </c>
      <c r="V108" s="152">
        <f t="shared" si="296"/>
        <v>5.0731779931479516E-2</v>
      </c>
      <c r="W108" s="152">
        <f t="shared" si="296"/>
        <v>5.0731779931479509E-2</v>
      </c>
      <c r="X108" s="152">
        <f t="shared" si="296"/>
        <v>5.0731779931479516E-2</v>
      </c>
      <c r="Y108" s="152">
        <f t="shared" si="296"/>
        <v>5.0731779931479509E-2</v>
      </c>
      <c r="Z108" s="152">
        <f t="shared" si="296"/>
        <v>5.0731779931479509E-2</v>
      </c>
      <c r="AA108" s="152">
        <f t="shared" si="296"/>
        <v>5.0731779931479509E-2</v>
      </c>
      <c r="AB108" s="152">
        <f t="shared" si="296"/>
        <v>5.0731779931479509E-2</v>
      </c>
      <c r="AC108" s="152">
        <f t="shared" si="296"/>
        <v>5.0731779931479502E-2</v>
      </c>
      <c r="AD108" s="138">
        <f t="shared" si="238"/>
        <v>-3.2194007003485403E-2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97">G25/G18</f>
        <v>1.6619996860775388</v>
      </c>
      <c r="H109" s="152">
        <f t="shared" si="297"/>
        <v>2.234150856085146</v>
      </c>
      <c r="I109" s="152">
        <f t="shared" si="297"/>
        <v>1.5238408243027182</v>
      </c>
      <c r="J109" s="152">
        <f t="shared" si="297"/>
        <v>1.7709419641479744</v>
      </c>
      <c r="K109" s="152">
        <f t="shared" si="297"/>
        <v>2.2789216527996752</v>
      </c>
      <c r="L109" s="152">
        <f t="shared" si="297"/>
        <v>1.4470684951982362</v>
      </c>
      <c r="M109" s="152">
        <f t="shared" si="297"/>
        <v>1.3786979293468422</v>
      </c>
      <c r="N109" s="152">
        <f t="shared" si="297"/>
        <v>1.7253240058444392</v>
      </c>
      <c r="O109" s="152">
        <f t="shared" si="297"/>
        <v>2.3290990728174426</v>
      </c>
      <c r="P109" s="152">
        <f>P25/P18</f>
        <v>2.4654913141812234</v>
      </c>
      <c r="Q109" s="152" t="e">
        <f>Q25/Q18</f>
        <v>#DIV/0!</v>
      </c>
      <c r="R109" s="118">
        <f t="shared" si="236"/>
        <v>4.4793067231768013E-2</v>
      </c>
      <c r="S109" s="20"/>
      <c r="T109" s="152" t="e">
        <f>T25/T18</f>
        <v>#DIV/0!</v>
      </c>
      <c r="U109" s="152" t="e">
        <f t="shared" ref="U109:AC109" si="298">U25/U18</f>
        <v>#DIV/0!</v>
      </c>
      <c r="V109" s="152" t="e">
        <f t="shared" si="298"/>
        <v>#DIV/0!</v>
      </c>
      <c r="W109" s="152" t="e">
        <f t="shared" si="298"/>
        <v>#DIV/0!</v>
      </c>
      <c r="X109" s="152" t="e">
        <f t="shared" si="298"/>
        <v>#DIV/0!</v>
      </c>
      <c r="Y109" s="152" t="e">
        <f t="shared" si="298"/>
        <v>#DIV/0!</v>
      </c>
      <c r="Z109" s="152" t="e">
        <f t="shared" si="298"/>
        <v>#DIV/0!</v>
      </c>
      <c r="AA109" s="152" t="e">
        <f t="shared" si="298"/>
        <v>#DIV/0!</v>
      </c>
      <c r="AB109" s="152" t="e">
        <f t="shared" si="298"/>
        <v>#DIV/0!</v>
      </c>
      <c r="AC109" s="152" t="e">
        <f t="shared" si="298"/>
        <v>#DIV/0!</v>
      </c>
      <c r="AD109" s="138" t="e">
        <f t="shared" si="238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99">E70*E42</f>
        <v>0</v>
      </c>
      <c r="F111" s="165">
        <f t="shared" si="299"/>
        <v>0</v>
      </c>
      <c r="G111" s="165">
        <f>G70*G42</f>
        <v>733.0575</v>
      </c>
      <c r="H111" s="165">
        <f t="shared" ref="H111:P111" si="300">H70*H42</f>
        <v>1047</v>
      </c>
      <c r="I111" s="165">
        <f t="shared" si="300"/>
        <v>1395</v>
      </c>
      <c r="J111" s="165">
        <f t="shared" si="300"/>
        <v>1534.5</v>
      </c>
      <c r="K111" s="165">
        <f t="shared" si="300"/>
        <v>1889.6800000000003</v>
      </c>
      <c r="L111" s="165">
        <f t="shared" si="300"/>
        <v>2045.81</v>
      </c>
      <c r="M111" s="165">
        <f t="shared" si="300"/>
        <v>2289.21</v>
      </c>
      <c r="N111" s="165">
        <f t="shared" si="300"/>
        <v>2618.64</v>
      </c>
      <c r="O111" s="165">
        <f t="shared" si="300"/>
        <v>2780.3500000000004</v>
      </c>
      <c r="P111" s="165">
        <f t="shared" si="300"/>
        <v>2905.7400000000002</v>
      </c>
      <c r="Q111" s="165">
        <f t="shared" ref="Q111" si="301">Q70*Q42</f>
        <v>3066.6</v>
      </c>
      <c r="R111" s="118">
        <f t="shared" si="236"/>
        <v>0.1653533648579868</v>
      </c>
      <c r="S111" s="20"/>
      <c r="T111" s="165">
        <f t="shared" ref="T111:AC111" si="302">T70*T42</f>
        <v>3284.3286000000003</v>
      </c>
      <c r="U111" s="165">
        <f t="shared" si="302"/>
        <v>3517.515930600001</v>
      </c>
      <c r="V111" s="165">
        <f t="shared" si="302"/>
        <v>3767.2595616726012</v>
      </c>
      <c r="W111" s="165">
        <f t="shared" si="302"/>
        <v>4034.7349905513565</v>
      </c>
      <c r="X111" s="165">
        <f t="shared" si="302"/>
        <v>4321.2011748805025</v>
      </c>
      <c r="Y111" s="165">
        <f t="shared" si="302"/>
        <v>4628.006458297019</v>
      </c>
      <c r="Z111" s="165">
        <f t="shared" si="302"/>
        <v>4956.5949168361076</v>
      </c>
      <c r="AA111" s="165">
        <f t="shared" si="302"/>
        <v>5308.5131559314714</v>
      </c>
      <c r="AB111" s="165">
        <f t="shared" si="302"/>
        <v>5685.4175900026057</v>
      </c>
      <c r="AC111" s="165">
        <f t="shared" si="302"/>
        <v>6089.0822388927918</v>
      </c>
      <c r="AD111" s="138">
        <f t="shared" si="238"/>
        <v>0.11165670018119234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03">(G111*0.17)+G111</f>
        <v>857.67727500000001</v>
      </c>
      <c r="H112" s="165">
        <f t="shared" si="303"/>
        <v>1224.99</v>
      </c>
      <c r="I112" s="165">
        <f t="shared" si="303"/>
        <v>1632.15</v>
      </c>
      <c r="J112" s="165">
        <f t="shared" si="303"/>
        <v>1795.365</v>
      </c>
      <c r="K112" s="165">
        <f t="shared" si="303"/>
        <v>2210.9256000000005</v>
      </c>
      <c r="L112" s="165">
        <f t="shared" si="303"/>
        <v>2393.5976999999998</v>
      </c>
      <c r="M112" s="165">
        <f t="shared" si="303"/>
        <v>2678.3757000000001</v>
      </c>
      <c r="N112" s="165">
        <f t="shared" si="303"/>
        <v>3063.8087999999998</v>
      </c>
      <c r="O112" s="165">
        <f t="shared" si="303"/>
        <v>3253.0095000000006</v>
      </c>
      <c r="P112" s="165">
        <f t="shared" si="303"/>
        <v>3399.7158000000004</v>
      </c>
      <c r="Q112" s="165">
        <f t="shared" ref="Q112" si="304">(Q111*0.17)+Q111</f>
        <v>3587.922</v>
      </c>
      <c r="R112" s="118">
        <f t="shared" si="236"/>
        <v>0.1653533648579868</v>
      </c>
      <c r="S112" s="20"/>
      <c r="T112" s="165">
        <f t="shared" ref="T112:AC112" si="305">(T111*0.17)+T111</f>
        <v>3842.6644620000006</v>
      </c>
      <c r="U112" s="165">
        <f t="shared" si="305"/>
        <v>4115.4936388020014</v>
      </c>
      <c r="V112" s="165">
        <f t="shared" si="305"/>
        <v>4407.6936871569433</v>
      </c>
      <c r="W112" s="165">
        <f t="shared" si="305"/>
        <v>4720.6399389450871</v>
      </c>
      <c r="X112" s="165">
        <f t="shared" si="305"/>
        <v>5055.8053746101878</v>
      </c>
      <c r="Y112" s="165">
        <f t="shared" si="305"/>
        <v>5414.7675562075119</v>
      </c>
      <c r="Z112" s="165">
        <f t="shared" si="305"/>
        <v>5799.2160526982461</v>
      </c>
      <c r="AA112" s="165">
        <f t="shared" si="305"/>
        <v>6210.9603924398216</v>
      </c>
      <c r="AB112" s="165">
        <f t="shared" si="305"/>
        <v>6651.9385803030491</v>
      </c>
      <c r="AC112" s="165">
        <f t="shared" si="305"/>
        <v>7124.226219504566</v>
      </c>
      <c r="AD112" s="138">
        <f t="shared" si="238"/>
        <v>0.11165670018119234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06">F112/F40</f>
        <v>#DIV/0!</v>
      </c>
      <c r="G113" s="152">
        <f t="shared" si="306"/>
        <v>0.1659592250386997</v>
      </c>
      <c r="H113" s="152">
        <f t="shared" si="306"/>
        <v>0.16059124278972209</v>
      </c>
      <c r="I113" s="152">
        <f t="shared" si="306"/>
        <v>0.17374387907174793</v>
      </c>
      <c r="J113" s="152">
        <f t="shared" si="306"/>
        <v>0.14869678648335266</v>
      </c>
      <c r="K113" s="152">
        <f t="shared" si="306"/>
        <v>0.1132472263484096</v>
      </c>
      <c r="L113" s="152">
        <f t="shared" si="306"/>
        <v>0.16010686956521739</v>
      </c>
      <c r="M113" s="152">
        <f t="shared" si="306"/>
        <v>0.10966612209802236</v>
      </c>
      <c r="N113" s="152">
        <f t="shared" si="306"/>
        <v>0.15898546001764308</v>
      </c>
      <c r="O113" s="152">
        <f t="shared" si="306"/>
        <v>0.164985012933002</v>
      </c>
      <c r="P113" s="152">
        <f t="shared" si="306"/>
        <v>0.16277486354495838</v>
      </c>
      <c r="Q113" s="152">
        <f t="shared" ref="Q113" si="307">Q112/Q40</f>
        <v>0.15951282621259949</v>
      </c>
      <c r="R113" s="118">
        <f t="shared" si="236"/>
        <v>-2.1503607732458185E-3</v>
      </c>
      <c r="S113" s="20"/>
      <c r="T113" s="152">
        <f t="shared" ref="T113:AC113" si="308">T112/T40</f>
        <v>0.15253414006579824</v>
      </c>
      <c r="U113" s="152">
        <f t="shared" si="308"/>
        <v>0.14586077143791959</v>
      </c>
      <c r="V113" s="152">
        <f t="shared" si="308"/>
        <v>0.13947936268751057</v>
      </c>
      <c r="W113" s="152">
        <f t="shared" si="308"/>
        <v>0.13337714056993202</v>
      </c>
      <c r="X113" s="152">
        <f t="shared" si="308"/>
        <v>0.12754189066999747</v>
      </c>
      <c r="Y113" s="152">
        <f t="shared" si="308"/>
        <v>0.12196193295318508</v>
      </c>
      <c r="Z113" s="152">
        <f t="shared" si="308"/>
        <v>0.11662609838648323</v>
      </c>
      <c r="AA113" s="152">
        <f t="shared" si="308"/>
        <v>0.11152370658207458</v>
      </c>
      <c r="AB113" s="152">
        <f t="shared" si="308"/>
        <v>0.10664454441910881</v>
      </c>
      <c r="AC113" s="152">
        <f t="shared" si="308"/>
        <v>0.10197884560077281</v>
      </c>
      <c r="AD113" s="138">
        <f t="shared" si="238"/>
        <v>-2.4054794947332425E-2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0.83404077496130036</v>
      </c>
      <c r="H114" s="152">
        <f t="shared" ref="H114:P114" si="309">1-H113</f>
        <v>0.83940875721027797</v>
      </c>
      <c r="I114" s="152">
        <f t="shared" si="309"/>
        <v>0.82625612092825207</v>
      </c>
      <c r="J114" s="152">
        <f t="shared" si="309"/>
        <v>0.85130321351664739</v>
      </c>
      <c r="K114" s="152">
        <f t="shared" si="309"/>
        <v>0.88675277365159044</v>
      </c>
      <c r="L114" s="152">
        <f t="shared" si="309"/>
        <v>0.83989313043478264</v>
      </c>
      <c r="M114" s="152">
        <f t="shared" si="309"/>
        <v>0.8903338779019776</v>
      </c>
      <c r="N114" s="152">
        <f t="shared" si="309"/>
        <v>0.84101453998235698</v>
      </c>
      <c r="O114" s="152">
        <f t="shared" si="309"/>
        <v>0.83501498706699806</v>
      </c>
      <c r="P114" s="152">
        <f t="shared" si="309"/>
        <v>0.8372251364550416</v>
      </c>
      <c r="Q114" s="152">
        <f t="shared" ref="Q114" si="310">1-Q113</f>
        <v>0.84048717378740045</v>
      </c>
      <c r="R114" s="118">
        <f t="shared" si="236"/>
        <v>4.2350326878559663E-4</v>
      </c>
      <c r="S114" s="20"/>
      <c r="T114" s="152">
        <f t="shared" ref="T114:AC114" si="311">1-T113</f>
        <v>0.84746585993420176</v>
      </c>
      <c r="U114" s="152">
        <f t="shared" si="311"/>
        <v>0.85413922856208035</v>
      </c>
      <c r="V114" s="152">
        <f t="shared" si="311"/>
        <v>0.8605206373124894</v>
      </c>
      <c r="W114" s="152">
        <f t="shared" si="311"/>
        <v>0.866622859430068</v>
      </c>
      <c r="X114" s="152">
        <f t="shared" si="311"/>
        <v>0.87245810933000256</v>
      </c>
      <c r="Y114" s="152">
        <f t="shared" si="311"/>
        <v>0.87803806704681486</v>
      </c>
      <c r="Z114" s="152">
        <f t="shared" si="311"/>
        <v>0.88337390161351681</v>
      </c>
      <c r="AA114" s="152">
        <f t="shared" si="311"/>
        <v>0.88847629341792544</v>
      </c>
      <c r="AB114" s="152">
        <f t="shared" si="311"/>
        <v>0.89335545558089113</v>
      </c>
      <c r="AC114" s="152">
        <f t="shared" si="311"/>
        <v>0.89802115439922714</v>
      </c>
      <c r="AD114" s="138">
        <f t="shared" si="238"/>
        <v>3.7024036889972134E-3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312">H31/H25</f>
        <v>0</v>
      </c>
      <c r="I116" s="152">
        <f t="shared" si="312"/>
        <v>0</v>
      </c>
      <c r="J116" s="152">
        <f t="shared" si="312"/>
        <v>0</v>
      </c>
      <c r="K116" s="152">
        <f t="shared" si="312"/>
        <v>0</v>
      </c>
      <c r="L116" s="152">
        <f t="shared" si="312"/>
        <v>0</v>
      </c>
      <c r="M116" s="152">
        <f t="shared" si="312"/>
        <v>0</v>
      </c>
      <c r="N116" s="152">
        <f t="shared" si="312"/>
        <v>0</v>
      </c>
      <c r="O116" s="152">
        <f t="shared" si="312"/>
        <v>0</v>
      </c>
      <c r="P116" s="152">
        <f t="shared" si="312"/>
        <v>0</v>
      </c>
      <c r="Q116" s="152">
        <f t="shared" ref="Q116" si="313">Q31/Q25</f>
        <v>0</v>
      </c>
      <c r="R116" s="118" t="e">
        <f t="shared" si="236"/>
        <v>#DIV/0!</v>
      </c>
      <c r="S116" s="20"/>
      <c r="T116" s="152">
        <f t="shared" ref="T116:AC116" si="314">T31/T25</f>
        <v>0</v>
      </c>
      <c r="U116" s="152">
        <f t="shared" si="314"/>
        <v>0</v>
      </c>
      <c r="V116" s="152">
        <f t="shared" si="314"/>
        <v>0</v>
      </c>
      <c r="W116" s="152">
        <f t="shared" si="314"/>
        <v>0</v>
      </c>
      <c r="X116" s="152">
        <f t="shared" si="314"/>
        <v>0</v>
      </c>
      <c r="Y116" s="152">
        <f t="shared" si="314"/>
        <v>0</v>
      </c>
      <c r="Z116" s="152">
        <f t="shared" si="314"/>
        <v>0</v>
      </c>
      <c r="AA116" s="152">
        <f t="shared" si="314"/>
        <v>0</v>
      </c>
      <c r="AB116" s="152">
        <f t="shared" si="314"/>
        <v>0</v>
      </c>
      <c r="AC116" s="152">
        <f t="shared" si="314"/>
        <v>0</v>
      </c>
      <c r="AD116" s="138" t="e">
        <f t="shared" si="238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15">H32/H25</f>
        <v>0</v>
      </c>
      <c r="I117" s="152">
        <f t="shared" si="315"/>
        <v>0</v>
      </c>
      <c r="J117" s="152">
        <f t="shared" si="315"/>
        <v>0</v>
      </c>
      <c r="K117" s="152">
        <f t="shared" si="315"/>
        <v>0</v>
      </c>
      <c r="L117" s="152">
        <f t="shared" si="315"/>
        <v>0</v>
      </c>
      <c r="M117" s="152">
        <f t="shared" si="315"/>
        <v>0</v>
      </c>
      <c r="N117" s="152">
        <f t="shared" si="315"/>
        <v>0</v>
      </c>
      <c r="O117" s="152">
        <f t="shared" si="315"/>
        <v>0</v>
      </c>
      <c r="P117" s="152">
        <f t="shared" si="315"/>
        <v>0</v>
      </c>
      <c r="Q117" s="152">
        <f t="shared" ref="Q117" si="316">Q32/Q25</f>
        <v>0</v>
      </c>
      <c r="R117" s="118" t="e">
        <f t="shared" si="236"/>
        <v>#DIV/0!</v>
      </c>
      <c r="S117" s="20"/>
      <c r="T117" s="152">
        <f t="shared" ref="T117:AC117" si="317">T32/T25</f>
        <v>0</v>
      </c>
      <c r="U117" s="152">
        <f t="shared" si="317"/>
        <v>0</v>
      </c>
      <c r="V117" s="152">
        <f t="shared" si="317"/>
        <v>0</v>
      </c>
      <c r="W117" s="152">
        <f t="shared" si="317"/>
        <v>0</v>
      </c>
      <c r="X117" s="152">
        <f t="shared" si="317"/>
        <v>0</v>
      </c>
      <c r="Y117" s="152">
        <f t="shared" si="317"/>
        <v>0</v>
      </c>
      <c r="Z117" s="152">
        <f t="shared" si="317"/>
        <v>0</v>
      </c>
      <c r="AA117" s="152">
        <f t="shared" si="317"/>
        <v>0</v>
      </c>
      <c r="AB117" s="152">
        <f t="shared" si="317"/>
        <v>0</v>
      </c>
      <c r="AC117" s="152">
        <f t="shared" si="317"/>
        <v>0</v>
      </c>
      <c r="AD117" s="138" t="e">
        <f t="shared" si="238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0.79122830213625972</v>
      </c>
      <c r="H119" s="152">
        <f t="shared" ref="H119:P119" si="318">H27/H25</f>
        <v>0.78762279559711212</v>
      </c>
      <c r="I119" s="152">
        <f t="shared" si="318"/>
        <v>0.81954370052578196</v>
      </c>
      <c r="J119" s="152">
        <f t="shared" si="318"/>
        <v>0.8179204850343218</v>
      </c>
      <c r="K119" s="152">
        <f t="shared" si="318"/>
        <v>0.79941776834029732</v>
      </c>
      <c r="L119" s="152">
        <f t="shared" si="318"/>
        <v>0.83429309231762427</v>
      </c>
      <c r="M119" s="152">
        <f t="shared" si="318"/>
        <v>0.81117928052342037</v>
      </c>
      <c r="N119" s="152">
        <f t="shared" si="318"/>
        <v>0.85114674526710954</v>
      </c>
      <c r="O119" s="152">
        <f t="shared" si="318"/>
        <v>0.88917025407276107</v>
      </c>
      <c r="P119" s="152">
        <f t="shared" si="318"/>
        <v>0.9001861506820239</v>
      </c>
      <c r="Q119" s="152">
        <f t="shared" ref="Q119" si="319">Q27/Q25</f>
        <v>0.93532955470700607</v>
      </c>
      <c r="R119" s="118">
        <f t="shared" si="236"/>
        <v>1.4438241673349728E-2</v>
      </c>
      <c r="S119" s="20"/>
      <c r="T119" s="152">
        <f t="shared" ref="T119:AC119" si="320">T27/T25</f>
        <v>0.93532955470700618</v>
      </c>
      <c r="U119" s="152">
        <f t="shared" si="320"/>
        <v>0.93532955470700618</v>
      </c>
      <c r="V119" s="152">
        <f t="shared" si="320"/>
        <v>0.93532955470700618</v>
      </c>
      <c r="W119" s="152">
        <f t="shared" si="320"/>
        <v>0.93532955470700618</v>
      </c>
      <c r="X119" s="152">
        <f t="shared" si="320"/>
        <v>0.93532955470700618</v>
      </c>
      <c r="Y119" s="152">
        <f t="shared" si="320"/>
        <v>0.93532955470700618</v>
      </c>
      <c r="Z119" s="152">
        <f t="shared" si="320"/>
        <v>0.93532955470700618</v>
      </c>
      <c r="AA119" s="152">
        <f t="shared" si="320"/>
        <v>0.93532955470700618</v>
      </c>
      <c r="AB119" s="152">
        <f t="shared" si="320"/>
        <v>0.93532955470700618</v>
      </c>
      <c r="AC119" s="152">
        <f t="shared" si="320"/>
        <v>0.93532955470700618</v>
      </c>
      <c r="AD119" s="138">
        <f t="shared" si="238"/>
        <v>8.4007086362316574E-3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0.68348979090720208</v>
      </c>
      <c r="H120" s="152">
        <f t="shared" ref="H120:P120" si="321">H33/H25</f>
        <v>0.70153272576636283</v>
      </c>
      <c r="I120" s="152">
        <f t="shared" si="321"/>
        <v>0.70606339694789977</v>
      </c>
      <c r="J120" s="152">
        <f t="shared" si="321"/>
        <v>0.71269904874734313</v>
      </c>
      <c r="K120" s="152">
        <f t="shared" si="321"/>
        <v>0.70939105418179327</v>
      </c>
      <c r="L120" s="152">
        <f t="shared" si="321"/>
        <v>0.75722401549386698</v>
      </c>
      <c r="M120" s="152">
        <f t="shared" si="321"/>
        <v>0.74382287020896065</v>
      </c>
      <c r="N120" s="152">
        <f t="shared" si="321"/>
        <v>0.77968779786781639</v>
      </c>
      <c r="O120" s="152">
        <f t="shared" si="321"/>
        <v>0.83042120368025663</v>
      </c>
      <c r="P120" s="152">
        <f t="shared" si="321"/>
        <v>0.83313774906497706</v>
      </c>
      <c r="Q120" s="152">
        <f t="shared" ref="Q120" si="322">Q33/Q25</f>
        <v>0.78149224915477111</v>
      </c>
      <c r="R120" s="118">
        <f t="shared" si="236"/>
        <v>2.2242339014187262E-2</v>
      </c>
      <c r="S120" s="20"/>
      <c r="T120" s="152">
        <f t="shared" ref="T120:AC120" si="323">T33/T25</f>
        <v>0.78149224915477111</v>
      </c>
      <c r="U120" s="152">
        <f t="shared" si="323"/>
        <v>0.78149224915477111</v>
      </c>
      <c r="V120" s="152">
        <f t="shared" si="323"/>
        <v>0.781492249154771</v>
      </c>
      <c r="W120" s="152">
        <f t="shared" si="323"/>
        <v>0.781492249154771</v>
      </c>
      <c r="X120" s="152">
        <f t="shared" si="323"/>
        <v>0.78149224915477111</v>
      </c>
      <c r="Y120" s="152">
        <f t="shared" si="323"/>
        <v>0.78149224915477111</v>
      </c>
      <c r="Z120" s="152">
        <f t="shared" si="323"/>
        <v>0.781492249154771</v>
      </c>
      <c r="AA120" s="152">
        <f t="shared" si="323"/>
        <v>0.78149224915477089</v>
      </c>
      <c r="AB120" s="152">
        <f t="shared" si="323"/>
        <v>0.78149224915477089</v>
      </c>
      <c r="AC120" s="152">
        <f t="shared" si="323"/>
        <v>0.781492249154771</v>
      </c>
      <c r="AD120" s="138">
        <f t="shared" si="238"/>
        <v>6.7221686478580178E-3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1.3693972763160381E-2</v>
      </c>
      <c r="H121" s="152">
        <f t="shared" ref="H121:P121" si="324">H34/H25</f>
        <v>1.3418747780802463E-2</v>
      </c>
      <c r="I121" s="152">
        <f t="shared" si="324"/>
        <v>1.3360224768877438E-2</v>
      </c>
      <c r="J121" s="152">
        <f t="shared" si="324"/>
        <v>1.9704519321230705E-2</v>
      </c>
      <c r="K121" s="152">
        <f t="shared" si="324"/>
        <v>1.4439345160627439E-2</v>
      </c>
      <c r="L121" s="152">
        <f t="shared" si="324"/>
        <v>2.4841833440929634E-2</v>
      </c>
      <c r="M121" s="152">
        <f t="shared" si="324"/>
        <v>1.4217473002648797E-2</v>
      </c>
      <c r="N121" s="152">
        <f t="shared" si="324"/>
        <v>1.0389629434106139E-2</v>
      </c>
      <c r="O121" s="152">
        <f t="shared" si="324"/>
        <v>1.2906493273103031E-2</v>
      </c>
      <c r="P121" s="152">
        <f t="shared" si="324"/>
        <v>1.9500686781349801E-2</v>
      </c>
      <c r="Q121" s="152">
        <f t="shared" ref="Q121" si="325">Q34/Q25</f>
        <v>1.2567353300057964E-2</v>
      </c>
      <c r="R121" s="118">
        <f t="shared" si="236"/>
        <v>4.005864313849905E-2</v>
      </c>
      <c r="S121" s="20"/>
      <c r="T121" s="152">
        <f t="shared" ref="T121:AC121" si="326">T34/T25</f>
        <v>1.2567353300057964E-2</v>
      </c>
      <c r="U121" s="152">
        <f t="shared" si="326"/>
        <v>1.2567353300057966E-2</v>
      </c>
      <c r="V121" s="152">
        <f t="shared" si="326"/>
        <v>1.2567353300057966E-2</v>
      </c>
      <c r="W121" s="152">
        <f t="shared" si="326"/>
        <v>1.2567353300057966E-2</v>
      </c>
      <c r="X121" s="152">
        <f t="shared" si="326"/>
        <v>1.2567353300057966E-2</v>
      </c>
      <c r="Y121" s="152">
        <f t="shared" si="326"/>
        <v>1.2567353300057966E-2</v>
      </c>
      <c r="Z121" s="152">
        <f t="shared" si="326"/>
        <v>1.2567353300057968E-2</v>
      </c>
      <c r="AA121" s="152">
        <f t="shared" si="326"/>
        <v>1.2567353300057966E-2</v>
      </c>
      <c r="AB121" s="152">
        <f t="shared" si="326"/>
        <v>1.2567353300057966E-2</v>
      </c>
      <c r="AC121" s="152">
        <f t="shared" si="326"/>
        <v>1.2567353300057966E-2</v>
      </c>
      <c r="AD121" s="138">
        <f t="shared" si="238"/>
        <v>-4.2834670816261911E-3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0.77397801566204472</v>
      </c>
      <c r="H124" s="25">
        <f t="shared" ref="H124:AC124" si="327">H15/H9</f>
        <v>0.6409051158723218</v>
      </c>
      <c r="I124" s="25">
        <f t="shared" si="327"/>
        <v>0.83260034515392756</v>
      </c>
      <c r="J124" s="25">
        <f t="shared" si="327"/>
        <v>0.65506689160029818</v>
      </c>
      <c r="K124" s="25">
        <f t="shared" si="327"/>
        <v>0.79891949284866659</v>
      </c>
      <c r="L124" s="25">
        <f t="shared" si="327"/>
        <v>1.2895871045599516</v>
      </c>
      <c r="M124" s="25">
        <f t="shared" si="327"/>
        <v>1.4647085565196767</v>
      </c>
      <c r="N124" s="25">
        <f t="shared" si="327"/>
        <v>1.5970641470073934</v>
      </c>
      <c r="O124" s="25">
        <f t="shared" si="327"/>
        <v>1.7287736828265774</v>
      </c>
      <c r="P124" s="25">
        <f t="shared" si="327"/>
        <v>1.6018977431924939</v>
      </c>
      <c r="Q124" s="25" t="e">
        <f t="shared" ref="Q124" si="328">Q15/Q9</f>
        <v>#DIV/0!</v>
      </c>
      <c r="R124" s="118">
        <f t="shared" si="236"/>
        <v>8.4178236063406686E-2</v>
      </c>
      <c r="S124" s="20"/>
      <c r="T124" s="20" t="e">
        <f t="shared" si="327"/>
        <v>#DIV/0!</v>
      </c>
      <c r="U124" s="20" t="e">
        <f t="shared" si="327"/>
        <v>#DIV/0!</v>
      </c>
      <c r="V124" s="20" t="e">
        <f t="shared" si="327"/>
        <v>#DIV/0!</v>
      </c>
      <c r="W124" s="20" t="e">
        <f t="shared" si="327"/>
        <v>#DIV/0!</v>
      </c>
      <c r="X124" s="20" t="e">
        <f t="shared" si="327"/>
        <v>#DIV/0!</v>
      </c>
      <c r="Y124" s="20" t="e">
        <f t="shared" si="327"/>
        <v>#DIV/0!</v>
      </c>
      <c r="Z124" s="20" t="e">
        <f t="shared" si="327"/>
        <v>#DIV/0!</v>
      </c>
      <c r="AA124" s="20" t="e">
        <f t="shared" si="327"/>
        <v>#DIV/0!</v>
      </c>
      <c r="AB124" s="20" t="e">
        <f t="shared" si="327"/>
        <v>#DIV/0!</v>
      </c>
      <c r="AC124" s="20" t="e">
        <f t="shared" si="327"/>
        <v>#DIV/0!</v>
      </c>
      <c r="AD124" s="138" t="e">
        <f t="shared" si="238"/>
        <v>#DIV/0!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1.9397945254687837E-2</v>
      </c>
      <c r="H125" s="25">
        <f t="shared" ref="H125:P125" si="329">H12/H9</f>
        <v>2.1042850896370792E-2</v>
      </c>
      <c r="I125" s="25">
        <f t="shared" si="329"/>
        <v>1.4418526972109337E-2</v>
      </c>
      <c r="J125" s="25">
        <f t="shared" si="329"/>
        <v>1.6046137549531169E-2</v>
      </c>
      <c r="K125" s="25">
        <f t="shared" si="329"/>
        <v>1.2116669789519705E-2</v>
      </c>
      <c r="L125" s="25">
        <f t="shared" si="329"/>
        <v>1.7354322903197997E-2</v>
      </c>
      <c r="M125" s="25">
        <f t="shared" si="329"/>
        <v>1.3124345265155258E-2</v>
      </c>
      <c r="N125" s="25">
        <f t="shared" si="329"/>
        <v>1.3406141669478787E-2</v>
      </c>
      <c r="O125" s="25">
        <f t="shared" si="329"/>
        <v>2.0011901961055675E-2</v>
      </c>
      <c r="P125" s="25">
        <f t="shared" si="329"/>
        <v>0.59399832829073618</v>
      </c>
      <c r="Q125" s="25" t="e">
        <f t="shared" ref="Q125" si="330">Q12/Q9</f>
        <v>#DIV/0!</v>
      </c>
      <c r="R125" s="118">
        <f t="shared" si="236"/>
        <v>0.4625623457807182</v>
      </c>
      <c r="S125" s="128"/>
      <c r="T125" s="20" t="e">
        <f t="shared" ref="T125:AC125" si="331">T12/T9</f>
        <v>#DIV/0!</v>
      </c>
      <c r="U125" s="20" t="e">
        <f t="shared" si="331"/>
        <v>#DIV/0!</v>
      </c>
      <c r="V125" s="20" t="e">
        <f t="shared" si="331"/>
        <v>#DIV/0!</v>
      </c>
      <c r="W125" s="20" t="e">
        <f t="shared" si="331"/>
        <v>#DIV/0!</v>
      </c>
      <c r="X125" s="20" t="e">
        <f t="shared" si="331"/>
        <v>#DIV/0!</v>
      </c>
      <c r="Y125" s="20" t="e">
        <f t="shared" si="331"/>
        <v>#DIV/0!</v>
      </c>
      <c r="Z125" s="20" t="e">
        <f t="shared" si="331"/>
        <v>#DIV/0!</v>
      </c>
      <c r="AA125" s="20" t="e">
        <f t="shared" si="331"/>
        <v>#DIV/0!</v>
      </c>
      <c r="AB125" s="20" t="e">
        <f t="shared" si="331"/>
        <v>#DIV/0!</v>
      </c>
      <c r="AC125" s="20" t="e">
        <f t="shared" si="331"/>
        <v>#DIV/0!</v>
      </c>
      <c r="AD125" s="118" t="e">
        <f t="shared" ref="AD125" si="332">((AC125/T125)^(1/($H$2-$H$1) ))-1</f>
        <v>#DIV/0!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147.0638888888889</v>
      </c>
      <c r="H126" s="25">
        <f t="shared" ref="H126:P126" si="333">H25/360</f>
        <v>187.75555555555556</v>
      </c>
      <c r="I126" s="25">
        <f t="shared" si="333"/>
        <v>238.26944444444445</v>
      </c>
      <c r="J126" s="25">
        <f t="shared" si="333"/>
        <v>318.87777777777779</v>
      </c>
      <c r="K126" s="25">
        <f t="shared" si="333"/>
        <v>405.52777777777777</v>
      </c>
      <c r="L126" s="25">
        <f t="shared" si="333"/>
        <v>430.27777777777777</v>
      </c>
      <c r="M126" s="25">
        <f t="shared" si="333"/>
        <v>613.48611111111109</v>
      </c>
      <c r="N126" s="25">
        <f t="shared" si="333"/>
        <v>757.7</v>
      </c>
      <c r="O126" s="25">
        <f t="shared" si="333"/>
        <v>1020.1583333333333</v>
      </c>
      <c r="P126" s="25">
        <f t="shared" si="333"/>
        <v>1138.5638888888889</v>
      </c>
      <c r="Q126" s="25">
        <f t="shared" ref="Q126" si="334">Q25/360</f>
        <v>1231.5861111111112</v>
      </c>
      <c r="R126" s="118">
        <f t="shared" si="236"/>
        <v>0.25533969592264438</v>
      </c>
      <c r="S126" s="128"/>
      <c r="T126" s="25">
        <f t="shared" ref="T126:AC126" si="335">T25/360</f>
        <v>1379.3764444444446</v>
      </c>
      <c r="U126" s="25">
        <f t="shared" si="335"/>
        <v>1544.901617777778</v>
      </c>
      <c r="V126" s="25">
        <f t="shared" si="335"/>
        <v>1730.2898119111114</v>
      </c>
      <c r="W126" s="25">
        <f t="shared" si="335"/>
        <v>1937.924589340445</v>
      </c>
      <c r="X126" s="25">
        <f t="shared" si="335"/>
        <v>2170.4755400612985</v>
      </c>
      <c r="Y126" s="25">
        <f t="shared" si="335"/>
        <v>2430.9326048686548</v>
      </c>
      <c r="Z126" s="25">
        <f t="shared" si="335"/>
        <v>2722.6445174528935</v>
      </c>
      <c r="AA126" s="25">
        <f t="shared" si="335"/>
        <v>3049.3618595472412</v>
      </c>
      <c r="AB126" s="25">
        <f t="shared" si="335"/>
        <v>3415.2852826929106</v>
      </c>
      <c r="AC126" s="25">
        <f t="shared" si="335"/>
        <v>3825.1195166160605</v>
      </c>
      <c r="AD126" s="118">
        <f t="shared" ref="AD126:AD137" si="336">((AC126/T126)^(1/($H$2-$H$1) ))-1</f>
        <v>0.12000000000000011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116.36111111111111</v>
      </c>
      <c r="H127" s="25">
        <f t="shared" ref="H127:P127" si="337">H27/360</f>
        <v>147.88055555555556</v>
      </c>
      <c r="I127" s="25">
        <f t="shared" si="337"/>
        <v>195.27222222222221</v>
      </c>
      <c r="J127" s="25">
        <f t="shared" si="337"/>
        <v>260.81666666666666</v>
      </c>
      <c r="K127" s="25">
        <f t="shared" si="337"/>
        <v>324.18611111111113</v>
      </c>
      <c r="L127" s="25">
        <f t="shared" si="337"/>
        <v>358.97777777777776</v>
      </c>
      <c r="M127" s="25">
        <f t="shared" si="337"/>
        <v>497.64722222222224</v>
      </c>
      <c r="N127" s="25">
        <f t="shared" si="337"/>
        <v>644.91388888888889</v>
      </c>
      <c r="O127" s="25">
        <f t="shared" si="337"/>
        <v>907.09444444444443</v>
      </c>
      <c r="P127" s="25">
        <f t="shared" si="337"/>
        <v>1024.9194444444445</v>
      </c>
      <c r="Q127" s="25">
        <f t="shared" ref="Q127" si="338">Q27/360</f>
        <v>1151.9388888888889</v>
      </c>
      <c r="R127" s="118">
        <f t="shared" si="236"/>
        <v>0.27346459383452504</v>
      </c>
      <c r="S127" s="128"/>
      <c r="T127" s="25">
        <f t="shared" ref="T127:AC127" si="339">T27/360</f>
        <v>1290.1715555555556</v>
      </c>
      <c r="U127" s="25">
        <f t="shared" si="339"/>
        <v>1444.9921422222226</v>
      </c>
      <c r="V127" s="25">
        <f t="shared" si="339"/>
        <v>1618.3911992888895</v>
      </c>
      <c r="W127" s="25">
        <f t="shared" si="339"/>
        <v>1812.5981432035562</v>
      </c>
      <c r="X127" s="25">
        <f t="shared" si="339"/>
        <v>2030.1099203879833</v>
      </c>
      <c r="Y127" s="25">
        <f t="shared" si="339"/>
        <v>2273.7231108345413</v>
      </c>
      <c r="Z127" s="25">
        <f t="shared" si="339"/>
        <v>2546.5698841346866</v>
      </c>
      <c r="AA127" s="25">
        <f t="shared" si="339"/>
        <v>2852.1582702308497</v>
      </c>
      <c r="AB127" s="25">
        <f t="shared" si="339"/>
        <v>3194.4172626585519</v>
      </c>
      <c r="AC127" s="25">
        <f t="shared" si="339"/>
        <v>3577.7473341775785</v>
      </c>
      <c r="AD127" s="118">
        <f t="shared" si="336"/>
        <v>0.12000000000000011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0.60016563383499444</v>
      </c>
      <c r="H129" s="25">
        <f t="shared" ref="H129:P129" si="340">H10/H7</f>
        <v>0.46220923092039007</v>
      </c>
      <c r="I129" s="25">
        <f t="shared" si="340"/>
        <v>0.45752479517033207</v>
      </c>
      <c r="J129" s="25">
        <f t="shared" si="340"/>
        <v>0.49335131727484643</v>
      </c>
      <c r="K129" s="25">
        <f t="shared" si="340"/>
        <v>0.59293567251461987</v>
      </c>
      <c r="L129" s="25">
        <f t="shared" si="340"/>
        <v>0.62893621232865415</v>
      </c>
      <c r="M129" s="25">
        <f t="shared" si="340"/>
        <v>0.45818499028382575</v>
      </c>
      <c r="N129" s="25">
        <f t="shared" si="340"/>
        <v>0.54584866597872572</v>
      </c>
      <c r="O129" s="25">
        <f t="shared" si="340"/>
        <v>0.48768036826108768</v>
      </c>
      <c r="P129" s="25">
        <f t="shared" si="340"/>
        <v>0.49063195188267283</v>
      </c>
      <c r="Q129" s="25">
        <f t="shared" ref="Q129" si="341">Q10/Q7</f>
        <v>0</v>
      </c>
      <c r="R129" s="118">
        <f t="shared" si="236"/>
        <v>-2.2141358064810768E-2</v>
      </c>
      <c r="S129" s="128"/>
      <c r="T129" s="25">
        <f t="shared" ref="T129:AC129" si="342">T10/T7</f>
        <v>0</v>
      </c>
      <c r="U129" s="25">
        <f t="shared" si="342"/>
        <v>0</v>
      </c>
      <c r="V129" s="25">
        <f t="shared" si="342"/>
        <v>0</v>
      </c>
      <c r="W129" s="25">
        <f t="shared" si="342"/>
        <v>0</v>
      </c>
      <c r="X129" s="25">
        <f t="shared" si="342"/>
        <v>0</v>
      </c>
      <c r="Y129" s="25">
        <f t="shared" si="342"/>
        <v>0</v>
      </c>
      <c r="Z129" s="25">
        <f t="shared" si="342"/>
        <v>0</v>
      </c>
      <c r="AA129" s="25">
        <f t="shared" si="342"/>
        <v>0</v>
      </c>
      <c r="AB129" s="25">
        <f t="shared" si="342"/>
        <v>0</v>
      </c>
      <c r="AC129" s="25">
        <f t="shared" si="342"/>
        <v>0</v>
      </c>
      <c r="AD129" s="118" t="e">
        <f t="shared" si="336"/>
        <v>#DIV/0!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0.37506469401959558</v>
      </c>
      <c r="H130" s="25">
        <f t="shared" ref="H130:P130" si="343">H10/(H10+H7)</f>
        <v>0.31610334632441878</v>
      </c>
      <c r="I130" s="25">
        <f t="shared" si="343"/>
        <v>0.31390532544378696</v>
      </c>
      <c r="J130" s="25">
        <f t="shared" si="343"/>
        <v>0.33036520714706458</v>
      </c>
      <c r="K130" s="25">
        <f t="shared" si="343"/>
        <v>0.37222825927340009</v>
      </c>
      <c r="L130" s="25">
        <f t="shared" si="343"/>
        <v>0.38610241921600796</v>
      </c>
      <c r="M130" s="25">
        <f t="shared" si="343"/>
        <v>0.3142159556824427</v>
      </c>
      <c r="N130" s="25">
        <f t="shared" si="343"/>
        <v>0.3531061467993904</v>
      </c>
      <c r="O130" s="25">
        <f t="shared" si="343"/>
        <v>0.3278125991748651</v>
      </c>
      <c r="P130" s="25">
        <f t="shared" si="343"/>
        <v>0.32914358991366255</v>
      </c>
      <c r="Q130" s="25">
        <f t="shared" ref="Q130" si="344">Q10/(Q10+Q7)</f>
        <v>0</v>
      </c>
      <c r="R130" s="118">
        <f t="shared" si="236"/>
        <v>-1.4406817436503738E-2</v>
      </c>
      <c r="S130" s="128"/>
      <c r="T130" s="25">
        <f t="shared" ref="T130:AC130" si="345">T10/(T10+T7)</f>
        <v>0</v>
      </c>
      <c r="U130" s="25">
        <f t="shared" si="345"/>
        <v>0</v>
      </c>
      <c r="V130" s="25">
        <f t="shared" si="345"/>
        <v>0</v>
      </c>
      <c r="W130" s="25">
        <f t="shared" si="345"/>
        <v>0</v>
      </c>
      <c r="X130" s="25">
        <f t="shared" si="345"/>
        <v>0</v>
      </c>
      <c r="Y130" s="25">
        <f t="shared" si="345"/>
        <v>0</v>
      </c>
      <c r="Z130" s="25">
        <f t="shared" si="345"/>
        <v>0</v>
      </c>
      <c r="AA130" s="25">
        <f t="shared" si="345"/>
        <v>0</v>
      </c>
      <c r="AB130" s="25">
        <f t="shared" si="345"/>
        <v>0</v>
      </c>
      <c r="AC130" s="25">
        <f t="shared" si="345"/>
        <v>0</v>
      </c>
      <c r="AD130" s="118" t="e">
        <f t="shared" si="336"/>
        <v>#DIV/0!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2360</v>
      </c>
      <c r="H132" s="25">
        <f t="shared" ref="H132:P132" si="346">H16</f>
        <v>1702</v>
      </c>
      <c r="I132" s="25">
        <f t="shared" si="346"/>
        <v>2968</v>
      </c>
      <c r="J132" s="25">
        <f t="shared" si="346"/>
        <v>5873</v>
      </c>
      <c r="K132" s="25">
        <f t="shared" si="346"/>
        <v>16823</v>
      </c>
      <c r="L132" s="25">
        <f t="shared" si="346"/>
        <v>10322</v>
      </c>
      <c r="M132" s="25">
        <f t="shared" si="346"/>
        <v>19815</v>
      </c>
      <c r="N132" s="25">
        <f t="shared" si="346"/>
        <v>34194</v>
      </c>
      <c r="O132" s="25">
        <f t="shared" si="346"/>
        <v>47845</v>
      </c>
      <c r="P132" s="25">
        <f t="shared" si="346"/>
        <v>46039</v>
      </c>
      <c r="Q132" s="25">
        <f t="shared" ref="Q132" si="347">Q16</f>
        <v>0</v>
      </c>
      <c r="R132" s="118">
        <f t="shared" si="236"/>
        <v>0.39109598661837897</v>
      </c>
      <c r="S132" s="128"/>
      <c r="T132" s="25">
        <f t="shared" ref="T132:AC132" si="348">T16</f>
        <v>0</v>
      </c>
      <c r="U132" s="25">
        <f t="shared" si="348"/>
        <v>0</v>
      </c>
      <c r="V132" s="25">
        <f t="shared" si="348"/>
        <v>0</v>
      </c>
      <c r="W132" s="25">
        <f t="shared" si="348"/>
        <v>0</v>
      </c>
      <c r="X132" s="25">
        <f t="shared" si="348"/>
        <v>0</v>
      </c>
      <c r="Y132" s="25">
        <f t="shared" si="348"/>
        <v>0</v>
      </c>
      <c r="Z132" s="25">
        <f t="shared" si="348"/>
        <v>0</v>
      </c>
      <c r="AA132" s="25">
        <f t="shared" si="348"/>
        <v>0</v>
      </c>
      <c r="AB132" s="25">
        <f t="shared" si="348"/>
        <v>0</v>
      </c>
      <c r="AC132" s="25">
        <f t="shared" si="348"/>
        <v>0</v>
      </c>
      <c r="AD132" s="118" t="e">
        <f t="shared" si="336"/>
        <v>#DIV/0!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49">G132*365/G25</f>
        <v>16.270328466463933</v>
      </c>
      <c r="H133" s="119">
        <f t="shared" si="349"/>
        <v>9.1908805775831457</v>
      </c>
      <c r="I133" s="119">
        <f t="shared" si="349"/>
        <v>12.62949275446798</v>
      </c>
      <c r="J133" s="119">
        <f t="shared" si="349"/>
        <v>18.673516498832711</v>
      </c>
      <c r="K133" s="119">
        <f t="shared" si="349"/>
        <v>42.060380848003291</v>
      </c>
      <c r="L133" s="119">
        <f t="shared" si="349"/>
        <v>24.322336991607489</v>
      </c>
      <c r="M133" s="119">
        <f t="shared" si="349"/>
        <v>32.747617214914762</v>
      </c>
      <c r="N133" s="119">
        <f t="shared" si="349"/>
        <v>45.755466103559016</v>
      </c>
      <c r="O133" s="119">
        <f t="shared" si="349"/>
        <v>47.550965672539938</v>
      </c>
      <c r="P133" s="119">
        <f t="shared" si="349"/>
        <v>40.997638350456107</v>
      </c>
      <c r="Q133" s="119">
        <f t="shared" ref="Q133" si="350">Q132*365/Q25</f>
        <v>0</v>
      </c>
      <c r="R133" s="118">
        <f t="shared" si="236"/>
        <v>0.1081430716615368</v>
      </c>
      <c r="S133" s="128"/>
      <c r="T133" s="119">
        <f t="shared" ref="T133:AC133" si="351">T132*365/T25</f>
        <v>0</v>
      </c>
      <c r="U133" s="119">
        <f t="shared" si="351"/>
        <v>0</v>
      </c>
      <c r="V133" s="119">
        <f t="shared" si="351"/>
        <v>0</v>
      </c>
      <c r="W133" s="119">
        <f t="shared" si="351"/>
        <v>0</v>
      </c>
      <c r="X133" s="119">
        <f t="shared" si="351"/>
        <v>0</v>
      </c>
      <c r="Y133" s="119">
        <f t="shared" si="351"/>
        <v>0</v>
      </c>
      <c r="Z133" s="119">
        <f t="shared" si="351"/>
        <v>0</v>
      </c>
      <c r="AA133" s="119">
        <f t="shared" si="351"/>
        <v>0</v>
      </c>
      <c r="AB133" s="119">
        <f t="shared" si="351"/>
        <v>0</v>
      </c>
      <c r="AC133" s="119">
        <f t="shared" si="351"/>
        <v>0</v>
      </c>
      <c r="AD133" s="118" t="e">
        <f t="shared" si="336"/>
        <v>#DIV/0!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4.6850008355415501E-2</v>
      </c>
      <c r="H134" s="133">
        <f t="shared" ref="H134:P134" si="352">H80/H29</f>
        <v>6.0989076411347633E-2</v>
      </c>
      <c r="I134" s="133">
        <f t="shared" si="352"/>
        <v>0.10938872117258196</v>
      </c>
      <c r="J134" s="133">
        <f t="shared" si="352"/>
        <v>0.10967475450027314</v>
      </c>
      <c r="K134" s="133">
        <f t="shared" si="352"/>
        <v>0.12223786750170428</v>
      </c>
      <c r="L134" s="133">
        <f t="shared" si="352"/>
        <v>7.2606979332482321E-2</v>
      </c>
      <c r="M134" s="133">
        <f t="shared" si="352"/>
        <v>4.4840171956100926E-2</v>
      </c>
      <c r="N134" s="133">
        <f t="shared" si="352"/>
        <v>4.8115630047929903E-2</v>
      </c>
      <c r="O134" s="133">
        <f t="shared" si="352"/>
        <v>3.6782159485347667E-2</v>
      </c>
      <c r="P134" s="133">
        <f t="shared" si="352"/>
        <v>3.8725260745987387E-2</v>
      </c>
      <c r="Q134" s="133">
        <f t="shared" ref="Q134" si="353">Q80/Q29</f>
        <v>2.6253758497402163E-2</v>
      </c>
      <c r="R134" s="118">
        <f t="shared" si="236"/>
        <v>-2.0939772178933169E-2</v>
      </c>
      <c r="S134" s="128"/>
      <c r="T134" s="133">
        <f t="shared" ref="T134:AC134" si="354">T80/T29</f>
        <v>2.5738978919021726E-2</v>
      </c>
      <c r="U134" s="133">
        <f t="shared" si="354"/>
        <v>2.5234293057864433E-2</v>
      </c>
      <c r="V134" s="133">
        <f t="shared" si="354"/>
        <v>2.4739502997906303E-2</v>
      </c>
      <c r="W134" s="133">
        <f t="shared" si="354"/>
        <v>2.4254414703829708E-2</v>
      </c>
      <c r="X134" s="133">
        <f t="shared" si="354"/>
        <v>2.3778837944931085E-2</v>
      </c>
      <c r="Y134" s="133">
        <f t="shared" si="354"/>
        <v>2.3312586220520671E-2</v>
      </c>
      <c r="Z134" s="133">
        <f t="shared" si="354"/>
        <v>2.2855476686784972E-2</v>
      </c>
      <c r="AA134" s="133">
        <f t="shared" si="354"/>
        <v>2.2407330085083308E-2</v>
      </c>
      <c r="AB134" s="133">
        <f t="shared" si="354"/>
        <v>2.1967970671650301E-2</v>
      </c>
      <c r="AC134" s="133">
        <f t="shared" si="354"/>
        <v>2.1537226148676761E-2</v>
      </c>
      <c r="AD134" s="118">
        <f t="shared" si="336"/>
        <v>-1.9607843137254943E-2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7.3216705849813302</v>
      </c>
      <c r="H136" s="180">
        <f t="shared" ref="H136:P136" si="355">H25/H14</f>
        <v>9.1192660550458715</v>
      </c>
      <c r="I136" s="180">
        <f t="shared" si="355"/>
        <v>8.2916384726921226</v>
      </c>
      <c r="J136" s="180">
        <f t="shared" si="355"/>
        <v>9.2161207450224794</v>
      </c>
      <c r="K136" s="180">
        <f t="shared" si="355"/>
        <v>7.6330649377810307</v>
      </c>
      <c r="L136" s="180">
        <f t="shared" si="355"/>
        <v>7.7030185489084486</v>
      </c>
      <c r="M136" s="180">
        <f t="shared" si="355"/>
        <v>6.4215101910272443</v>
      </c>
      <c r="N136" s="180">
        <f t="shared" si="355"/>
        <v>7.0814922505776368</v>
      </c>
      <c r="O136" s="180">
        <f t="shared" si="355"/>
        <v>7.8655230017990236</v>
      </c>
      <c r="P136" s="180">
        <f t="shared" si="355"/>
        <v>7.5068771634219154</v>
      </c>
      <c r="Q136" s="180" t="e">
        <f t="shared" ref="Q136" si="356">Q25/Q14</f>
        <v>#DIV/0!</v>
      </c>
      <c r="R136" s="118">
        <f t="shared" si="236"/>
        <v>2.7795259159630881E-3</v>
      </c>
      <c r="S136" s="128"/>
      <c r="T136" s="20" t="e">
        <f t="shared" ref="T136" si="357">T25/T14</f>
        <v>#DIV/0!</v>
      </c>
      <c r="U136" s="20" t="e">
        <f t="shared" ref="U136:AC136" si="358">U25/U14</f>
        <v>#DIV/0!</v>
      </c>
      <c r="V136" s="20" t="e">
        <f t="shared" si="358"/>
        <v>#DIV/0!</v>
      </c>
      <c r="W136" s="20" t="e">
        <f t="shared" si="358"/>
        <v>#DIV/0!</v>
      </c>
      <c r="X136" s="20" t="e">
        <f t="shared" si="358"/>
        <v>#DIV/0!</v>
      </c>
      <c r="Y136" s="20" t="e">
        <f t="shared" si="358"/>
        <v>#DIV/0!</v>
      </c>
      <c r="Z136" s="20" t="e">
        <f t="shared" si="358"/>
        <v>#DIV/0!</v>
      </c>
      <c r="AA136" s="20" t="e">
        <f t="shared" si="358"/>
        <v>#DIV/0!</v>
      </c>
      <c r="AB136" s="20" t="e">
        <f t="shared" si="358"/>
        <v>#DIV/0!</v>
      </c>
      <c r="AC136" s="20" t="e">
        <f t="shared" si="358"/>
        <v>#DIV/0!</v>
      </c>
      <c r="AD136" s="118" t="e">
        <f t="shared" si="336"/>
        <v>#DIV/0!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5.7931129857557737</v>
      </c>
      <c r="H137" s="180">
        <f t="shared" ref="H137:P137" si="359">H27/H14</f>
        <v>7.1825418240690775</v>
      </c>
      <c r="I137" s="180">
        <f t="shared" si="359"/>
        <v>6.7953600773320444</v>
      </c>
      <c r="J137" s="180">
        <f t="shared" si="359"/>
        <v>7.5380539499036612</v>
      </c>
      <c r="K137" s="180">
        <f t="shared" si="359"/>
        <v>6.1020077381574822</v>
      </c>
      <c r="L137" s="180">
        <f t="shared" si="359"/>
        <v>6.426575165348849</v>
      </c>
      <c r="M137" s="180">
        <f t="shared" si="359"/>
        <v>5.208996016631291</v>
      </c>
      <c r="N137" s="180">
        <f t="shared" si="359"/>
        <v>6.0273890807134141</v>
      </c>
      <c r="O137" s="180">
        <f t="shared" si="359"/>
        <v>6.9937890859247833</v>
      </c>
      <c r="P137" s="180">
        <f t="shared" si="359"/>
        <v>6.757586857383564</v>
      </c>
      <c r="Q137" s="180" t="e">
        <f t="shared" ref="Q137" si="360">Q27/Q14</f>
        <v>#DIV/0!</v>
      </c>
      <c r="R137" s="118">
        <f t="shared" si="236"/>
        <v>1.7257899056224879E-2</v>
      </c>
      <c r="S137" s="128"/>
      <c r="T137" s="20" t="e">
        <f t="shared" ref="T137:AC137" si="361">T27/T14</f>
        <v>#DIV/0!</v>
      </c>
      <c r="U137" s="20" t="e">
        <f t="shared" si="361"/>
        <v>#DIV/0!</v>
      </c>
      <c r="V137" s="20" t="e">
        <f t="shared" si="361"/>
        <v>#DIV/0!</v>
      </c>
      <c r="W137" s="20" t="e">
        <f t="shared" si="361"/>
        <v>#DIV/0!</v>
      </c>
      <c r="X137" s="20" t="e">
        <f t="shared" si="361"/>
        <v>#DIV/0!</v>
      </c>
      <c r="Y137" s="20" t="e">
        <f t="shared" si="361"/>
        <v>#DIV/0!</v>
      </c>
      <c r="Z137" s="20" t="e">
        <f t="shared" si="361"/>
        <v>#DIV/0!</v>
      </c>
      <c r="AA137" s="20" t="e">
        <f t="shared" si="361"/>
        <v>#DIV/0!</v>
      </c>
      <c r="AB137" s="20" t="e">
        <f t="shared" si="361"/>
        <v>#DIV/0!</v>
      </c>
      <c r="AC137" s="20" t="e">
        <f t="shared" si="361"/>
        <v>#DIV/0!</v>
      </c>
      <c r="AD137" s="118" t="e">
        <f t="shared" si="336"/>
        <v>#DIV/0!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73.005237257994295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421.33178791618298</v>
      </c>
      <c r="T141" s="133">
        <f>PV($C$1, ($AC$3-$T$3), 0, -AC54)</f>
        <v>43.213516709352099</v>
      </c>
      <c r="U141" s="133">
        <f>PV($C$1, ($AC$3-$T$3), 0, -AF54)</f>
        <v>378.11827120683085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62">T142+U142</f>
        <v>3721.4238343177008</v>
      </c>
      <c r="T142" s="133">
        <f>PV($C$1, ($AC$3-$T$3), 0, -AC56)</f>
        <v>381.68449582745654</v>
      </c>
      <c r="U142" s="133">
        <f>PV($C$1, ($AC$3-$T$3), 0, -AF56)</f>
        <v>3339.7393384902443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62"/>
        <v>3666.3526807822191</v>
      </c>
      <c r="T143" s="133">
        <f>PV($C$1, ($AC$3-$T$3), 0, -AC57)</f>
        <v>376.03617238791992</v>
      </c>
      <c r="U143" s="133">
        <f>PV($C$1, ($AC$3-$T$3), 0, -AF57)</f>
        <v>3290.316508394299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62"/>
        <v>0</v>
      </c>
      <c r="T144" s="133">
        <f>PV($C$1, ($AC$3-$T$3), 0, -AC58)</f>
        <v>0</v>
      </c>
      <c r="U144" s="133">
        <f>PV($C$1, ($AC$3-$T$3), 0, -AF58)</f>
        <v>0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62"/>
        <v>0</v>
      </c>
      <c r="T145" s="133">
        <f>PV($C$1, ($AC$3-$T$3), 0, -AC64)</f>
        <v>0</v>
      </c>
      <c r="U145" s="133">
        <f>PV($C$1, ($AC$3-$T$3), 0, -AF64)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62"/>
        <v>3721.4238343177008</v>
      </c>
      <c r="T147" s="133">
        <f>PV($C$1, ($AC$3-$T$3), 0, -AC60)</f>
        <v>381.68449582745654</v>
      </c>
      <c r="U147" s="133">
        <f>PV($C$1, ($AC$3-$T$3), 0, -$AF$60)</f>
        <v>3339.7393384902443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62"/>
        <v>3721.4238343177008</v>
      </c>
      <c r="T148" s="133">
        <f>PV($C$1, ($AC$3-$T$3), 0, -AC61)</f>
        <v>381.68449582745654</v>
      </c>
      <c r="U148" s="133">
        <f>PV($C$1, ($AC$3-$T$3), 0, -$AF$61)</f>
        <v>3339.7393384902443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62"/>
        <v>3721.4238343177008</v>
      </c>
      <c r="T149" s="133">
        <f>PV($C$1, ($AC$3-$T$3), 0, -AC62)</f>
        <v>381.68449582745654</v>
      </c>
      <c r="U149" s="133">
        <f>PV($C$1, ($AC$3-$T$3), 0, -$AF$62)</f>
        <v>3339.7393384902443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62"/>
        <v>0</v>
      </c>
      <c r="T151" s="133">
        <f>PV($C$1, ($AC$3-$T$3), 0, -AC67)</f>
        <v>0</v>
      </c>
      <c r="U151" s="133">
        <f>PV($C$1, ($AC$3-$T$3), 0, -AF67)</f>
        <v>0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62"/>
        <v>0</v>
      </c>
      <c r="T152" s="133">
        <f>PV($C$1, ($AC$3-$T$3), 0, -AC68)</f>
        <v>0</v>
      </c>
      <c r="U152" s="133">
        <f>PV($C$1, ($AC$3-$T$3), 0, -AF68)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63">T154+U154</f>
        <v>0</v>
      </c>
      <c r="T154" s="133">
        <f>PV($C$1, ($AC$3-$T$3), 0, -AC12)</f>
        <v>0</v>
      </c>
      <c r="U154" s="133">
        <f>PV($C$1, ($AC$3-$T$3), 0, -AF12)</f>
        <v>0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0</v>
      </c>
      <c r="T155" s="140">
        <f>T154/P42</f>
        <v>0</v>
      </c>
      <c r="U155" s="140">
        <f>U154/P42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64">T158+U158</f>
        <v>117.30210199089338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84.344781650523686</v>
      </c>
      <c r="U158" s="133">
        <f>PV($C$1, ($AC$3-$T$3), 0, -AF70)</f>
        <v>32.957320340369691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62"/>
        <v>218200.35375162779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156894.55585950924</v>
      </c>
      <c r="U160" s="133">
        <f>PV($C$1, ($AC$3-$T$3), 0, -AF72)</f>
        <v>61305.797892118528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65">T162+U162</f>
        <v>554.52382042225918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398.72423221504323</v>
      </c>
      <c r="U162" s="133">
        <f>PV($C$1, ($AC$3-$T$3), 0, -AF74)</f>
        <v>155.79958820721592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65"/>
        <v>2208.8811396578508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1588.2716017387747</v>
      </c>
      <c r="U163" s="133">
        <f>PV($C$1, ($AC$3-$T$3), 0, -AF75)</f>
        <v>620.60953791907605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65"/>
        <v>-1654.3573192355923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-1189.547369523732</v>
      </c>
      <c r="U164" s="133">
        <f>PV($C$1, ($AC$3-$T$3), 0, -AF76)</f>
        <v>-464.80994971186027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65"/>
        <v>24.411493173530616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17.552814711236259</v>
      </c>
      <c r="U165" s="133">
        <f>PV($C$1, ($AC$3-$T$3), 0, -AF77)</f>
        <v>6.8586784622943577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3018.8879891266197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2170.6980859562177</v>
      </c>
      <c r="U167" s="133">
        <f>PV($C$1, ($AC$3-$T$3), 0, -AF78)</f>
        <v>848.1899031704022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850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>
        <v>505</v>
      </c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900</v>
      </c>
      <c r="Q169" s="20"/>
      <c r="R169" s="20">
        <v>750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280</v>
      </c>
      <c r="G170" s="22">
        <v>220</v>
      </c>
      <c r="H170" s="22">
        <v>540</v>
      </c>
      <c r="I170" s="22">
        <v>730</v>
      </c>
      <c r="J170" s="22">
        <v>1260</v>
      </c>
      <c r="K170" s="22">
        <v>2120</v>
      </c>
      <c r="L170" s="22">
        <v>1160</v>
      </c>
      <c r="M170" s="22">
        <v>980</v>
      </c>
      <c r="N170" s="22">
        <v>980</v>
      </c>
      <c r="O170" s="22">
        <v>720</v>
      </c>
      <c r="P170" s="22">
        <v>700</v>
      </c>
      <c r="Q170" s="22">
        <v>1500</v>
      </c>
      <c r="R170" s="118">
        <f t="shared" ref="R170:R175" si="366">((P170/G170)^(1/($H$2-$H$1) ))-1</f>
        <v>0.13724180948919251</v>
      </c>
      <c r="S170" s="31">
        <f>L2-3%</f>
        <v>0.09</v>
      </c>
      <c r="T170" s="119">
        <v>800</v>
      </c>
      <c r="U170" s="119">
        <f t="shared" ref="U170:AC170" si="367">T170*(1+$S170)</f>
        <v>872.00000000000011</v>
      </c>
      <c r="V170" s="119">
        <f t="shared" si="367"/>
        <v>950.48000000000025</v>
      </c>
      <c r="W170" s="119">
        <f t="shared" si="367"/>
        <v>1036.0232000000003</v>
      </c>
      <c r="X170" s="119">
        <f t="shared" si="367"/>
        <v>1129.2652880000005</v>
      </c>
      <c r="Y170" s="119">
        <f t="shared" si="367"/>
        <v>1230.8991639200005</v>
      </c>
      <c r="Z170" s="119">
        <f t="shared" si="367"/>
        <v>1341.6800886728006</v>
      </c>
      <c r="AA170" s="119">
        <f t="shared" si="367"/>
        <v>1462.4312966533528</v>
      </c>
      <c r="AB170" s="119">
        <f t="shared" si="367"/>
        <v>1594.0501133521545</v>
      </c>
      <c r="AC170" s="119">
        <f t="shared" si="367"/>
        <v>1737.5146235538487</v>
      </c>
      <c r="AD170" s="138">
        <f t="shared" ref="AD170:AD175" si="368">((AC170/G170)^(1/($AC$3-$H$1) ))-1</f>
        <v>0.10885635388655013</v>
      </c>
      <c r="AE170" s="31">
        <v>0.08</v>
      </c>
      <c r="AF170" s="127">
        <f t="shared" ref="AF170:AF178" si="369">(AC170*(1+AD170))/($C$1-AE170)</f>
        <v>21407.268114427581</v>
      </c>
    </row>
    <row r="171" spans="2:32" x14ac:dyDescent="0.2">
      <c r="B171" s="20" t="s">
        <v>361</v>
      </c>
      <c r="C171" s="25" t="e">
        <f t="shared" ref="C171:P171" si="370">C170/C50</f>
        <v>#DIV/0!</v>
      </c>
      <c r="D171" s="25" t="e">
        <f t="shared" si="370"/>
        <v>#DIV/0!</v>
      </c>
      <c r="E171" s="25" t="e">
        <f t="shared" si="370"/>
        <v>#DIV/0!</v>
      </c>
      <c r="F171" s="25" t="e">
        <f t="shared" si="370"/>
        <v>#DIV/0!</v>
      </c>
      <c r="G171" s="25">
        <f t="shared" si="370"/>
        <v>0.58022023685850821</v>
      </c>
      <c r="H171" s="25">
        <f t="shared" si="370"/>
        <v>1.1152799147828145</v>
      </c>
      <c r="I171" s="25">
        <f t="shared" si="370"/>
        <v>1.1872063606794361</v>
      </c>
      <c r="J171" s="25">
        <f t="shared" si="370"/>
        <v>1.5311509111815742</v>
      </c>
      <c r="K171" s="25">
        <f t="shared" si="370"/>
        <v>2.1108514281800126</v>
      </c>
      <c r="L171" s="25">
        <f t="shared" si="370"/>
        <v>1.1784970948999354</v>
      </c>
      <c r="M171" s="25">
        <f t="shared" si="370"/>
        <v>1.4511303796608634</v>
      </c>
      <c r="N171" s="25">
        <f t="shared" si="370"/>
        <v>1.1760129338788439</v>
      </c>
      <c r="O171" s="25">
        <f t="shared" si="370"/>
        <v>0.64127300500739259</v>
      </c>
      <c r="P171" s="25">
        <f t="shared" si="370"/>
        <v>0.55138173576362037</v>
      </c>
      <c r="Q171" s="25">
        <f t="shared" ref="Q171" si="371">Q170/Q50</f>
        <v>1.0920876647322446</v>
      </c>
      <c r="R171" s="118">
        <f t="shared" ref="R171" si="372">((P171/G171)^(1/($H$2-$H$1) ))-1</f>
        <v>-5.6484732180221986E-3</v>
      </c>
      <c r="S171" s="128"/>
      <c r="T171" s="25">
        <f t="shared" ref="T171:AC171" si="373">T170/T50</f>
        <v>0.53044258001280453</v>
      </c>
      <c r="U171" s="25">
        <f t="shared" si="373"/>
        <v>0.52655898255199651</v>
      </c>
      <c r="V171" s="25">
        <f t="shared" si="373"/>
        <v>0.52270381857259796</v>
      </c>
      <c r="W171" s="25">
        <f t="shared" si="373"/>
        <v>0.51887687990090581</v>
      </c>
      <c r="X171" s="25">
        <f t="shared" si="373"/>
        <v>0.51507795988734562</v>
      </c>
      <c r="Y171" s="25">
        <f t="shared" si="373"/>
        <v>0.51130685339531323</v>
      </c>
      <c r="Z171" s="25">
        <f t="shared" si="373"/>
        <v>0.50756335679009756</v>
      </c>
      <c r="AA171" s="25">
        <f t="shared" si="373"/>
        <v>0.50384726792788426</v>
      </c>
      <c r="AB171" s="25">
        <f t="shared" si="373"/>
        <v>0.50015838614484065</v>
      </c>
      <c r="AC171" s="25">
        <f t="shared" si="373"/>
        <v>0.49649651224628027</v>
      </c>
      <c r="AD171" s="138">
        <f t="shared" ref="AD171" si="374">((AC171/G171)^(1/($AC$3-$H$1) ))-1</f>
        <v>-7.7612890134588497E-3</v>
      </c>
      <c r="AE171" s="31">
        <v>0.08</v>
      </c>
      <c r="AF171" s="127">
        <f t="shared" ref="AF171" si="375">(AC171*(1+AD171))/($C$1-AE171)</f>
        <v>5.4738117702284725</v>
      </c>
    </row>
    <row r="172" spans="2:32" x14ac:dyDescent="0.2">
      <c r="B172" s="20" t="s">
        <v>389</v>
      </c>
      <c r="C172" s="25" t="e">
        <f t="shared" ref="C172:P172" si="376">C170/C54</f>
        <v>#DIV/0!</v>
      </c>
      <c r="D172" s="25" t="e">
        <f t="shared" si="376"/>
        <v>#DIV/0!</v>
      </c>
      <c r="E172" s="25" t="e">
        <f t="shared" si="376"/>
        <v>#DIV/0!</v>
      </c>
      <c r="F172" s="25" t="e">
        <f t="shared" si="376"/>
        <v>#DIV/0!</v>
      </c>
      <c r="G172" s="25">
        <f t="shared" si="376"/>
        <v>5.9440015479876154</v>
      </c>
      <c r="H172" s="25">
        <f t="shared" si="376"/>
        <v>9.8825380178290505</v>
      </c>
      <c r="I172" s="25">
        <f t="shared" si="376"/>
        <v>10.840430061741538</v>
      </c>
      <c r="J172" s="25">
        <f t="shared" si="376"/>
        <v>14.55772734802054</v>
      </c>
      <c r="K172" s="25">
        <f t="shared" si="376"/>
        <v>15.784623264867081</v>
      </c>
      <c r="L172" s="25">
        <f t="shared" si="376"/>
        <v>12.21064882943144</v>
      </c>
      <c r="M172" s="25">
        <f t="shared" si="376"/>
        <v>13.122441960447118</v>
      </c>
      <c r="N172" s="25">
        <f t="shared" si="376"/>
        <v>16.645913548855791</v>
      </c>
      <c r="O172" s="25">
        <f t="shared" si="376"/>
        <v>11.94461632094132</v>
      </c>
      <c r="P172" s="25">
        <f t="shared" si="376"/>
        <v>10.820741166331514</v>
      </c>
      <c r="Q172" s="25">
        <f t="shared" ref="Q172" si="377">Q170/Q54</f>
        <v>21.526697194682793</v>
      </c>
      <c r="R172" s="118">
        <f t="shared" si="366"/>
        <v>6.8830103613798155E-2</v>
      </c>
      <c r="S172" s="128"/>
      <c r="T172" s="25">
        <f t="shared" ref="T172:AC172" si="378">T170/T54</f>
        <v>10.455824351703068</v>
      </c>
      <c r="U172" s="25">
        <f t="shared" si="378"/>
        <v>10.379272780556674</v>
      </c>
      <c r="V172" s="25">
        <f t="shared" si="378"/>
        <v>10.303281676270453</v>
      </c>
      <c r="W172" s="25">
        <f t="shared" si="378"/>
        <v>10.227846935426331</v>
      </c>
      <c r="X172" s="25">
        <f t="shared" si="378"/>
        <v>10.152964484649104</v>
      </c>
      <c r="Y172" s="25">
        <f t="shared" si="378"/>
        <v>10.078630280386493</v>
      </c>
      <c r="Z172" s="25">
        <f t="shared" si="378"/>
        <v>10.004840308690804</v>
      </c>
      <c r="AA172" s="25">
        <f t="shared" si="378"/>
        <v>9.9315905850021764</v>
      </c>
      <c r="AB172" s="25">
        <f t="shared" si="378"/>
        <v>9.8588771539334079</v>
      </c>
      <c r="AC172" s="25">
        <f t="shared" si="378"/>
        <v>9.786696089056397</v>
      </c>
      <c r="AD172" s="138">
        <f t="shared" si="368"/>
        <v>2.5245470855556507E-2</v>
      </c>
      <c r="AE172" s="31">
        <v>0.08</v>
      </c>
      <c r="AF172" s="127">
        <f t="shared" si="369"/>
        <v>111.48628711049842</v>
      </c>
    </row>
    <row r="173" spans="2:32" x14ac:dyDescent="0.2">
      <c r="B173" s="20" t="s">
        <v>258</v>
      </c>
      <c r="C173" s="25" t="e">
        <f t="shared" ref="C173:P173" si="379">C170/C57</f>
        <v>#DIV/0!</v>
      </c>
      <c r="D173" s="25" t="e">
        <f t="shared" si="379"/>
        <v>#DIV/0!</v>
      </c>
      <c r="E173" s="25" t="e">
        <f t="shared" si="379"/>
        <v>#DIV/0!</v>
      </c>
      <c r="F173" s="25" t="e">
        <f t="shared" si="379"/>
        <v>#DIV/0!</v>
      </c>
      <c r="G173" s="25">
        <f t="shared" si="379"/>
        <v>0.91367300199280199</v>
      </c>
      <c r="H173" s="25">
        <f t="shared" si="379"/>
        <v>2.060347654968842</v>
      </c>
      <c r="I173" s="25">
        <f t="shared" si="379"/>
        <v>2.2808923331914799</v>
      </c>
      <c r="J173" s="25">
        <f t="shared" si="379"/>
        <v>2.7560524335173109</v>
      </c>
      <c r="K173" s="25">
        <f t="shared" si="379"/>
        <v>3.796703053002489</v>
      </c>
      <c r="L173" s="25">
        <f t="shared" si="379"/>
        <v>1.6969797253957777</v>
      </c>
      <c r="M173" s="25">
        <f t="shared" si="379"/>
        <v>2.491928373156262</v>
      </c>
      <c r="N173" s="25">
        <f t="shared" si="379"/>
        <v>2.2120552214928004</v>
      </c>
      <c r="O173" s="25">
        <f t="shared" si="379"/>
        <v>1.4472917665277831</v>
      </c>
      <c r="P173" s="25">
        <f t="shared" si="379"/>
        <v>1.26191832222185</v>
      </c>
      <c r="Q173" s="25">
        <f t="shared" ref="Q173" si="380">Q170/Q57</f>
        <v>2.4738159709804322</v>
      </c>
      <c r="R173" s="118">
        <f t="shared" si="366"/>
        <v>3.6530946032409251E-2</v>
      </c>
      <c r="S173" s="128"/>
      <c r="T173" s="25">
        <f t="shared" ref="T173:AC173" si="381">T170/T57</f>
        <v>1.2015677573333527</v>
      </c>
      <c r="U173" s="25">
        <f t="shared" si="381"/>
        <v>1.192770564824305</v>
      </c>
      <c r="V173" s="25">
        <f t="shared" si="381"/>
        <v>1.1840377803318416</v>
      </c>
      <c r="W173" s="25">
        <f t="shared" si="381"/>
        <v>1.1753689322972691</v>
      </c>
      <c r="X173" s="25">
        <f t="shared" si="381"/>
        <v>1.1667635526143785</v>
      </c>
      <c r="Y173" s="25">
        <f t="shared" si="381"/>
        <v>1.1582211766041661</v>
      </c>
      <c r="Z173" s="25">
        <f t="shared" si="381"/>
        <v>1.1497413429897425</v>
      </c>
      <c r="AA173" s="25">
        <f t="shared" si="381"/>
        <v>1.1413235938714248</v>
      </c>
      <c r="AB173" s="25">
        <f t="shared" si="381"/>
        <v>1.1329674747020091</v>
      </c>
      <c r="AC173" s="25">
        <f t="shared" si="381"/>
        <v>1.1246725342622266</v>
      </c>
      <c r="AD173" s="138">
        <f t="shared" si="368"/>
        <v>1.0442872634163658E-2</v>
      </c>
      <c r="AE173" s="31">
        <v>0.08</v>
      </c>
      <c r="AF173" s="127">
        <f t="shared" si="369"/>
        <v>12.626859403251876</v>
      </c>
    </row>
    <row r="174" spans="2:32" x14ac:dyDescent="0.2">
      <c r="B174" s="20" t="s">
        <v>259</v>
      </c>
      <c r="C174" s="25" t="e">
        <f t="shared" ref="C174:P174" si="382">C170/C66</f>
        <v>#DIV/0!</v>
      </c>
      <c r="D174" s="25" t="e">
        <f t="shared" si="382"/>
        <v>#DIV/0!</v>
      </c>
      <c r="E174" s="25" t="e">
        <f t="shared" si="382"/>
        <v>#DIV/0!</v>
      </c>
      <c r="F174" s="25" t="e">
        <f t="shared" si="382"/>
        <v>#DIV/0!</v>
      </c>
      <c r="G174" s="25">
        <f t="shared" si="382"/>
        <v>1.6428815916140764</v>
      </c>
      <c r="H174" s="25">
        <f t="shared" si="382"/>
        <v>3.2122038520538601</v>
      </c>
      <c r="I174" s="25">
        <f t="shared" si="382"/>
        <v>14.705415162454875</v>
      </c>
      <c r="J174" s="25">
        <f t="shared" si="382"/>
        <v>30.961775585696667</v>
      </c>
      <c r="K174" s="25">
        <f t="shared" si="382"/>
        <v>31.096185671039358</v>
      </c>
      <c r="L174" s="25">
        <f t="shared" si="382"/>
        <v>25.212898342750517</v>
      </c>
      <c r="M174" s="25">
        <f t="shared" si="382"/>
        <v>32.69632728014691</v>
      </c>
      <c r="N174" s="25">
        <f t="shared" si="382"/>
        <v>17.98415652856422</v>
      </c>
      <c r="O174" s="25">
        <f t="shared" si="382"/>
        <v>5.8816242944907851</v>
      </c>
      <c r="P174" s="25">
        <f t="shared" si="382"/>
        <v>2.4222112663980107</v>
      </c>
      <c r="Q174" s="25" t="e">
        <f t="shared" ref="Q174" si="383">Q170/Q66</f>
        <v>#DIV/0!</v>
      </c>
      <c r="R174" s="118">
        <f t="shared" si="366"/>
        <v>4.4080471860749704E-2</v>
      </c>
      <c r="S174" s="128"/>
      <c r="T174" s="119" t="e">
        <f t="shared" ref="T174:AC174" si="384">T170/T66</f>
        <v>#DIV/0!</v>
      </c>
      <c r="U174" s="119" t="e">
        <f t="shared" si="384"/>
        <v>#DIV/0!</v>
      </c>
      <c r="V174" s="119" t="e">
        <f t="shared" si="384"/>
        <v>#DIV/0!</v>
      </c>
      <c r="W174" s="119" t="e">
        <f t="shared" si="384"/>
        <v>#DIV/0!</v>
      </c>
      <c r="X174" s="119" t="e">
        <f t="shared" si="384"/>
        <v>#DIV/0!</v>
      </c>
      <c r="Y174" s="119" t="e">
        <f t="shared" si="384"/>
        <v>#DIV/0!</v>
      </c>
      <c r="Z174" s="119" t="e">
        <f t="shared" si="384"/>
        <v>#DIV/0!</v>
      </c>
      <c r="AA174" s="119" t="e">
        <f t="shared" si="384"/>
        <v>#DIV/0!</v>
      </c>
      <c r="AB174" s="119" t="e">
        <f t="shared" si="384"/>
        <v>#DIV/0!</v>
      </c>
      <c r="AC174" s="119" t="e">
        <f t="shared" si="384"/>
        <v>#DIV/0!</v>
      </c>
      <c r="AD174" s="138" t="e">
        <f t="shared" si="368"/>
        <v>#DIV/0!</v>
      </c>
      <c r="AE174" s="31">
        <v>0.08</v>
      </c>
      <c r="AF174" s="127" t="e">
        <f t="shared" si="369"/>
        <v>#DIV/0!</v>
      </c>
    </row>
    <row r="175" spans="2:32" x14ac:dyDescent="0.2">
      <c r="B175" s="20" t="s">
        <v>260</v>
      </c>
      <c r="C175" s="25" t="e">
        <f t="shared" ref="C175:P175" si="385">C170/C68</f>
        <v>#DIV/0!</v>
      </c>
      <c r="D175" s="25" t="e">
        <f t="shared" si="385"/>
        <v>#DIV/0!</v>
      </c>
      <c r="E175" s="25" t="e">
        <f t="shared" si="385"/>
        <v>#DIV/0!</v>
      </c>
      <c r="F175" s="25" t="e">
        <f t="shared" si="385"/>
        <v>#DIV/0!</v>
      </c>
      <c r="G175" s="25">
        <f t="shared" si="385"/>
        <v>13.016355932203391</v>
      </c>
      <c r="H175" s="25">
        <f t="shared" si="385"/>
        <v>44.291421856639246</v>
      </c>
      <c r="I175" s="25">
        <f t="shared" si="385"/>
        <v>34.31098382749326</v>
      </c>
      <c r="J175" s="25">
        <f t="shared" si="385"/>
        <v>29.928486293206198</v>
      </c>
      <c r="K175" s="25">
        <f t="shared" si="385"/>
        <v>18.317969446590979</v>
      </c>
      <c r="L175" s="25">
        <f t="shared" si="385"/>
        <v>17.685448556481301</v>
      </c>
      <c r="M175" s="25">
        <f t="shared" si="385"/>
        <v>16.174080242240727</v>
      </c>
      <c r="N175" s="25">
        <f t="shared" si="385"/>
        <v>9.3812774170907165</v>
      </c>
      <c r="O175" s="25">
        <f t="shared" si="385"/>
        <v>4.9223952346117681</v>
      </c>
      <c r="P175" s="25">
        <f t="shared" si="385"/>
        <v>4.9089250418123767</v>
      </c>
      <c r="Q175" s="25" t="e">
        <f t="shared" ref="Q175" si="386">Q170/Q68</f>
        <v>#DIV/0!</v>
      </c>
      <c r="R175" s="118">
        <f t="shared" si="366"/>
        <v>-0.10268669072572134</v>
      </c>
      <c r="S175" s="128"/>
      <c r="T175" s="119" t="e">
        <f t="shared" ref="T175:AC175" si="387">T170/T68</f>
        <v>#DIV/0!</v>
      </c>
      <c r="U175" s="119" t="e">
        <f t="shared" si="387"/>
        <v>#DIV/0!</v>
      </c>
      <c r="V175" s="119" t="e">
        <f t="shared" si="387"/>
        <v>#DIV/0!</v>
      </c>
      <c r="W175" s="119" t="e">
        <f t="shared" si="387"/>
        <v>#DIV/0!</v>
      </c>
      <c r="X175" s="119" t="e">
        <f t="shared" si="387"/>
        <v>#DIV/0!</v>
      </c>
      <c r="Y175" s="119" t="e">
        <f t="shared" si="387"/>
        <v>#DIV/0!</v>
      </c>
      <c r="Z175" s="119" t="e">
        <f t="shared" si="387"/>
        <v>#DIV/0!</v>
      </c>
      <c r="AA175" s="119" t="e">
        <f t="shared" si="387"/>
        <v>#DIV/0!</v>
      </c>
      <c r="AB175" s="119" t="e">
        <f t="shared" si="387"/>
        <v>#DIV/0!</v>
      </c>
      <c r="AC175" s="119" t="e">
        <f t="shared" si="387"/>
        <v>#DIV/0!</v>
      </c>
      <c r="AD175" s="138" t="e">
        <f t="shared" si="368"/>
        <v>#DIV/0!</v>
      </c>
      <c r="AE175" s="31">
        <v>0.08</v>
      </c>
      <c r="AF175" s="127" t="e">
        <f t="shared" si="369"/>
        <v>#DIV/0!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88">G170/G62</f>
        <v>2.8299032703823119</v>
      </c>
      <c r="H176" s="182">
        <f t="shared" si="388"/>
        <v>4.9193422083007041</v>
      </c>
      <c r="I176" s="182">
        <f t="shared" si="388"/>
        <v>4.1280554542137908</v>
      </c>
      <c r="J176" s="182">
        <f t="shared" si="388"/>
        <v>6.8217806411550104</v>
      </c>
      <c r="K176" s="182">
        <f t="shared" si="388"/>
        <v>10.864205887537459</v>
      </c>
      <c r="L176" s="182">
        <f t="shared" si="388"/>
        <v>3.1243444923666739</v>
      </c>
      <c r="M176" s="182">
        <f t="shared" si="388"/>
        <v>3.2078452176001919</v>
      </c>
      <c r="N176" s="182">
        <f t="shared" si="388"/>
        <v>2.9456153238691667</v>
      </c>
      <c r="O176" s="182">
        <f t="shared" si="388"/>
        <v>1.6886333163642102</v>
      </c>
      <c r="P176" s="182">
        <f t="shared" si="388"/>
        <v>1.5709856805227305</v>
      </c>
      <c r="Q176" s="182">
        <f t="shared" ref="Q176" si="389">Q170/Q62</f>
        <v>2.437207429405547</v>
      </c>
      <c r="R176" s="118">
        <f t="shared" ref="R176:R178" si="390">((P176/G176)^(1/($H$2-$H$1) ))-1</f>
        <v>-6.3300969769083948E-2</v>
      </c>
      <c r="S176" s="128"/>
      <c r="T176" s="135">
        <f t="shared" ref="T176:AC176" si="391">T170/T62</f>
        <v>1.1837864657112658</v>
      </c>
      <c r="U176" s="135">
        <f t="shared" si="391"/>
        <v>1.1751194576587369</v>
      </c>
      <c r="V176" s="135">
        <f t="shared" si="391"/>
        <v>1.1665159044865927</v>
      </c>
      <c r="W176" s="135">
        <f t="shared" si="391"/>
        <v>1.1579753416144585</v>
      </c>
      <c r="X176" s="135">
        <f t="shared" si="391"/>
        <v>1.1494973078633528</v>
      </c>
      <c r="Y176" s="135">
        <f t="shared" si="391"/>
        <v>1.1410813454307815</v>
      </c>
      <c r="Z176" s="135">
        <f t="shared" si="391"/>
        <v>1.1327269998660205</v>
      </c>
      <c r="AA176" s="135">
        <f t="shared" si="391"/>
        <v>1.1244338200455728</v>
      </c>
      <c r="AB176" s="135">
        <f t="shared" si="391"/>
        <v>1.1162013581488104</v>
      </c>
      <c r="AC176" s="135">
        <f t="shared" si="391"/>
        <v>1.1080291696337925</v>
      </c>
      <c r="AD176" s="138">
        <f t="shared" ref="AD176" si="392">((AC176/G176)^(1/($AC$3-$H$1) ))-1</f>
        <v>-4.5800949363098975E-2</v>
      </c>
      <c r="AE176" s="31">
        <v>0.08</v>
      </c>
      <c r="AF176" s="127">
        <f t="shared" si="369"/>
        <v>11.747559797139539</v>
      </c>
    </row>
    <row r="177" spans="2:46" x14ac:dyDescent="0.2">
      <c r="B177" s="20" t="s">
        <v>371</v>
      </c>
      <c r="C177" s="161" t="e">
        <f t="shared" ref="C177:P177" si="393">C54/C170</f>
        <v>#DIV/0!</v>
      </c>
      <c r="D177" s="161" t="e">
        <f t="shared" si="393"/>
        <v>#DIV/0!</v>
      </c>
      <c r="E177" s="161" t="e">
        <f t="shared" si="393"/>
        <v>#DIV/0!</v>
      </c>
      <c r="F177" s="161">
        <f t="shared" si="393"/>
        <v>0</v>
      </c>
      <c r="G177" s="161">
        <f t="shared" si="393"/>
        <v>0.16823683370986961</v>
      </c>
      <c r="H177" s="161">
        <f t="shared" si="393"/>
        <v>0.10118858113127453</v>
      </c>
      <c r="I177" s="161">
        <f t="shared" si="393"/>
        <v>9.2247262728924237E-2</v>
      </c>
      <c r="J177" s="161">
        <f t="shared" si="393"/>
        <v>6.8692040735051488E-2</v>
      </c>
      <c r="K177" s="161">
        <f t="shared" si="393"/>
        <v>6.3352794882711491E-2</v>
      </c>
      <c r="L177" s="161">
        <f t="shared" si="393"/>
        <v>8.1895730027850014E-2</v>
      </c>
      <c r="M177" s="161">
        <f t="shared" si="393"/>
        <v>7.6205328475762391E-2</v>
      </c>
      <c r="N177" s="161">
        <f t="shared" si="393"/>
        <v>6.0074804369552794E-2</v>
      </c>
      <c r="O177" s="161">
        <f t="shared" si="393"/>
        <v>8.3719725534155368E-2</v>
      </c>
      <c r="P177" s="161">
        <f t="shared" si="393"/>
        <v>9.2415111370695843E-2</v>
      </c>
      <c r="Q177" s="161">
        <f t="shared" ref="Q177" si="394">Q54/Q170</f>
        <v>4.645394465097067E-2</v>
      </c>
      <c r="R177" s="118">
        <f t="shared" si="390"/>
        <v>-6.439760948075679E-2</v>
      </c>
      <c r="S177" s="128"/>
      <c r="T177" s="161">
        <f t="shared" ref="T177:AC177" si="395">T54/T170</f>
        <v>9.5640474281410218E-2</v>
      </c>
      <c r="U177" s="161">
        <f t="shared" si="395"/>
        <v>9.634586364020456E-2</v>
      </c>
      <c r="V177" s="161">
        <f t="shared" si="395"/>
        <v>9.7056455546887133E-2</v>
      </c>
      <c r="W177" s="161">
        <f t="shared" si="395"/>
        <v>9.7772288372471289E-2</v>
      </c>
      <c r="X177" s="161">
        <f t="shared" si="395"/>
        <v>9.8493400770973058E-2</v>
      </c>
      <c r="Y177" s="161">
        <f t="shared" si="395"/>
        <v>9.9219831681498311E-2</v>
      </c>
      <c r="Z177" s="161">
        <f t="shared" si="395"/>
        <v>9.9951620330345506E-2</v>
      </c>
      <c r="AA177" s="161">
        <f t="shared" si="395"/>
        <v>0.10068880623312373</v>
      </c>
      <c r="AB177" s="161">
        <f t="shared" si="395"/>
        <v>0.10143142919688666</v>
      </c>
      <c r="AC177" s="161">
        <f t="shared" si="395"/>
        <v>0.10217952932228193</v>
      </c>
      <c r="AD177" s="138">
        <f t="shared" ref="AD177:AD178" si="396">((AC177/G177)^(1/($AC$3-$H$1) ))-1</f>
        <v>-2.4623830656368972E-2</v>
      </c>
      <c r="AE177" s="31">
        <v>0.08</v>
      </c>
      <c r="AF177" s="127">
        <f t="shared" si="369"/>
        <v>1.1073719766189174</v>
      </c>
    </row>
    <row r="178" spans="2:46" x14ac:dyDescent="0.2">
      <c r="B178" s="20" t="s">
        <v>320</v>
      </c>
      <c r="C178" s="152" t="e">
        <f t="shared" ref="C178:P178" si="397">C44/C170</f>
        <v>#DIV/0!</v>
      </c>
      <c r="D178" s="152" t="e">
        <f t="shared" si="397"/>
        <v>#DIV/0!</v>
      </c>
      <c r="E178" s="152" t="e">
        <f t="shared" si="397"/>
        <v>#DIV/0!</v>
      </c>
      <c r="F178" s="152">
        <f t="shared" si="397"/>
        <v>0</v>
      </c>
      <c r="G178" s="152">
        <f t="shared" si="397"/>
        <v>2.3863636363636365E-2</v>
      </c>
      <c r="H178" s="152">
        <f t="shared" si="397"/>
        <v>1.3888888888888888E-2</v>
      </c>
      <c r="I178" s="152">
        <f t="shared" si="397"/>
        <v>1.3698630136986301E-2</v>
      </c>
      <c r="J178" s="152">
        <f t="shared" si="397"/>
        <v>8.7301587301587304E-3</v>
      </c>
      <c r="K178" s="152">
        <f t="shared" si="397"/>
        <v>6.1320754716981136E-3</v>
      </c>
      <c r="L178" s="152">
        <f t="shared" si="397"/>
        <v>1.1206896551724138E-2</v>
      </c>
      <c r="M178" s="152">
        <f t="shared" si="397"/>
        <v>7.1428571428571426E-3</v>
      </c>
      <c r="N178" s="152">
        <f t="shared" si="397"/>
        <v>8.1632653061224497E-3</v>
      </c>
      <c r="O178" s="152">
        <f t="shared" si="397"/>
        <v>1.1805555555555555E-2</v>
      </c>
      <c r="P178" s="152">
        <f t="shared" si="397"/>
        <v>1.2857142857142857E-2</v>
      </c>
      <c r="Q178" s="152">
        <f t="shared" ref="Q178" si="398">Q44/Q170</f>
        <v>6.3333333333333332E-3</v>
      </c>
      <c r="R178" s="118">
        <f t="shared" si="390"/>
        <v>-6.640949216068448E-2</v>
      </c>
      <c r="S178" s="128"/>
      <c r="T178" s="152">
        <f t="shared" ref="T178:AC178" si="399">T44/T170</f>
        <v>1.2468749999999999E-2</v>
      </c>
      <c r="U178" s="152">
        <f t="shared" si="399"/>
        <v>1.201118119266055E-2</v>
      </c>
      <c r="V178" s="152">
        <f t="shared" si="399"/>
        <v>1.1570403901186768E-2</v>
      </c>
      <c r="W178" s="152">
        <f t="shared" si="399"/>
        <v>1.1145801923161565E-2</v>
      </c>
      <c r="X178" s="152">
        <f t="shared" si="399"/>
        <v>1.073678166910059E-2</v>
      </c>
      <c r="Y178" s="152">
        <f t="shared" si="399"/>
        <v>1.0342771332619835E-2</v>
      </c>
      <c r="Z178" s="152">
        <f t="shared" si="399"/>
        <v>9.9632200910558036E-3</v>
      </c>
      <c r="AA178" s="152">
        <f t="shared" si="399"/>
        <v>9.5975973354207288E-3</v>
      </c>
      <c r="AB178" s="152">
        <f t="shared" si="399"/>
        <v>9.2453919286162988E-3</v>
      </c>
      <c r="AC178" s="152">
        <f t="shared" si="399"/>
        <v>8.906111490868911E-3</v>
      </c>
      <c r="AD178" s="138">
        <f t="shared" si="396"/>
        <v>-4.8086304406444569E-2</v>
      </c>
      <c r="AE178" s="31">
        <v>0.08</v>
      </c>
      <c r="AF178" s="127">
        <f t="shared" si="369"/>
        <v>9.4198327807125032E-2</v>
      </c>
    </row>
    <row r="179" spans="2:46" x14ac:dyDescent="0.2">
      <c r="B179" s="20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28"/>
      <c r="S179" s="128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7"/>
      <c r="AE179" s="20"/>
      <c r="AF179" s="127"/>
    </row>
    <row r="180" spans="2:46" x14ac:dyDescent="0.2">
      <c r="B180" s="20"/>
      <c r="C180" s="129"/>
      <c r="D180" s="129"/>
      <c r="E180" s="129"/>
      <c r="F180" s="129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20"/>
    </row>
    <row r="181" spans="2:46" x14ac:dyDescent="0.2">
      <c r="B181" s="108" t="s">
        <v>301</v>
      </c>
      <c r="C181" s="20"/>
      <c r="D181" s="20"/>
      <c r="E181" s="20"/>
      <c r="F181" s="20"/>
      <c r="G181" s="20"/>
      <c r="H181" s="20"/>
      <c r="I181" s="20"/>
      <c r="J181" s="20"/>
      <c r="K181" s="201" t="s">
        <v>351</v>
      </c>
      <c r="L181" s="202"/>
      <c r="M181" s="20"/>
      <c r="N181" s="20"/>
      <c r="O181" s="20"/>
      <c r="P181" s="108" t="s">
        <v>430</v>
      </c>
      <c r="Q181" s="108" t="s">
        <v>429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37"/>
      <c r="AE181" s="20"/>
      <c r="AF181" s="20"/>
    </row>
    <row r="182" spans="2:46" x14ac:dyDescent="0.2">
      <c r="B182" s="20" t="s">
        <v>299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20" t="s">
        <v>352</v>
      </c>
      <c r="L182" s="22">
        <v>1</v>
      </c>
      <c r="M182" s="20"/>
      <c r="N182" s="20"/>
      <c r="O182" s="20"/>
      <c r="P182" s="128">
        <f>(Q170-S158)/Q170</f>
        <v>0.92179859867273772</v>
      </c>
      <c r="Q182" s="128">
        <f>(Q170-T158)/Q170</f>
        <v>0.94377014556631755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349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$L$182</f>
        <v>1</v>
      </c>
      <c r="L183" s="20"/>
      <c r="M183" s="128">
        <f>(P170-(K183*S149))/P170</f>
        <v>-4.3163197633110011</v>
      </c>
      <c r="N183" s="20"/>
      <c r="O183" s="20"/>
      <c r="P183" s="128">
        <f>(Q170-S149)/Q170</f>
        <v>-1.4809492228784671</v>
      </c>
      <c r="Q183" s="128">
        <f>(Q170-T149)/Q170</f>
        <v>0.74554366944836237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350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$L$182</f>
        <v>1</v>
      </c>
      <c r="L184" s="20"/>
      <c r="M184" s="128">
        <f>(P170-(K184*S142))/P170</f>
        <v>-4.3163197633110011</v>
      </c>
      <c r="N184" s="20"/>
      <c r="O184" s="20"/>
      <c r="P184" s="128">
        <f>(Q170-S142)/Q170</f>
        <v>-1.4809492228784671</v>
      </c>
      <c r="Q184" s="128">
        <f>(Q170-T142)/Q170</f>
        <v>0.74554366944836237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353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$L$182</f>
        <v>1</v>
      </c>
      <c r="L185" s="20"/>
      <c r="M185" s="128">
        <f>(P170-(K185*S155))/P170</f>
        <v>1</v>
      </c>
      <c r="N185" s="20"/>
      <c r="O185" s="20"/>
      <c r="P185" s="128">
        <f>(Q170-S155)/Q170</f>
        <v>1</v>
      </c>
      <c r="Q185" s="128">
        <f>(Q170-T155)/Q170</f>
        <v>1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399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$L$182</f>
        <v>1</v>
      </c>
      <c r="L186" s="20"/>
      <c r="M186" s="128">
        <f>(P170-(K186*S167))/P170</f>
        <v>-3.3126971273237422</v>
      </c>
      <c r="N186" s="20"/>
      <c r="O186" s="20"/>
      <c r="P186" s="128">
        <f>(Q170-S167)/Q170</f>
        <v>-1.0125919927510798</v>
      </c>
      <c r="Q186" s="128">
        <f>(Q170-T167)/Q170</f>
        <v>-0.44713205730414513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300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5">
        <f>Q170/S141</f>
        <v>3.5601396405874799</v>
      </c>
      <c r="Q187" s="25">
        <f>Q170/T141</f>
        <v>34.711361495727928</v>
      </c>
      <c r="R187" s="20"/>
      <c r="S187" s="20"/>
      <c r="T187" s="115" t="s">
        <v>11</v>
      </c>
      <c r="U187" s="115" t="s">
        <v>12</v>
      </c>
      <c r="V187" s="115" t="s">
        <v>13</v>
      </c>
      <c r="W187" s="115" t="s">
        <v>14</v>
      </c>
      <c r="X187" s="115" t="s">
        <v>15</v>
      </c>
      <c r="Y187" s="115" t="s">
        <v>234</v>
      </c>
      <c r="Z187" s="115" t="s">
        <v>235</v>
      </c>
      <c r="AA187" s="115" t="s">
        <v>236</v>
      </c>
      <c r="AB187" s="115" t="s">
        <v>237</v>
      </c>
      <c r="AC187" s="115" t="s">
        <v>238</v>
      </c>
      <c r="AD187" s="115" t="s">
        <v>407</v>
      </c>
      <c r="AE187" s="115" t="s">
        <v>408</v>
      </c>
      <c r="AF187" s="115" t="s">
        <v>409</v>
      </c>
      <c r="AG187" s="115" t="s">
        <v>410</v>
      </c>
      <c r="AH187" s="115" t="s">
        <v>411</v>
      </c>
      <c r="AI187" s="115" t="s">
        <v>412</v>
      </c>
      <c r="AJ187" s="115" t="s">
        <v>413</v>
      </c>
      <c r="AK187" s="115" t="s">
        <v>414</v>
      </c>
      <c r="AL187" s="115" t="s">
        <v>415</v>
      </c>
      <c r="AM187" s="115" t="s">
        <v>416</v>
      </c>
      <c r="AN187" s="115" t="s">
        <v>417</v>
      </c>
      <c r="AO187" s="115" t="s">
        <v>418</v>
      </c>
      <c r="AP187" s="115" t="s">
        <v>419</v>
      </c>
      <c r="AQ187" s="115" t="s">
        <v>420</v>
      </c>
      <c r="AR187" s="115" t="s">
        <v>421</v>
      </c>
      <c r="AS187" s="115" t="s">
        <v>422</v>
      </c>
      <c r="AT187" s="115" t="s">
        <v>423</v>
      </c>
    </row>
    <row r="188" spans="2:46" x14ac:dyDescent="0.2">
      <c r="B188" s="20" t="s">
        <v>371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52">
        <f>1/P187</f>
        <v>0.28088785861078863</v>
      </c>
      <c r="Q188" s="128">
        <f>1/Q187</f>
        <v>2.8809011139568068E-2</v>
      </c>
      <c r="R188" s="20"/>
      <c r="S188" s="20"/>
      <c r="T188" s="129">
        <f>Q170-T189</f>
        <v>1423.3445008791059</v>
      </c>
      <c r="U188" s="185">
        <f>T188-U189</f>
        <v>1342.8562268021672</v>
      </c>
      <c r="V188" s="185">
        <f t="shared" ref="V188:X188" si="400">U188-V189</f>
        <v>1258.3435390213815</v>
      </c>
      <c r="W188" s="185">
        <f t="shared" si="400"/>
        <v>1169.6052168515566</v>
      </c>
      <c r="X188" s="185">
        <f t="shared" si="400"/>
        <v>1076.4299785732405</v>
      </c>
      <c r="Y188" s="185">
        <f>X188-Y189</f>
        <v>978.59597838100854</v>
      </c>
      <c r="Z188" s="185">
        <f t="shared" ref="Z188:AC188" si="401">Y188-Z189</f>
        <v>875.87027817916487</v>
      </c>
      <c r="AA188" s="185">
        <f t="shared" si="401"/>
        <v>768.00829296722907</v>
      </c>
      <c r="AB188" s="185">
        <f t="shared" si="401"/>
        <v>654.75320849469654</v>
      </c>
      <c r="AC188" s="185">
        <f t="shared" si="401"/>
        <v>535.83536979853727</v>
      </c>
      <c r="AD188" s="185">
        <f t="shared" ref="AD188" si="402">AC188-AD189</f>
        <v>410.97163916757006</v>
      </c>
      <c r="AE188" s="185">
        <f t="shared" ref="AE188" si="403">AD188-AE189</f>
        <v>279.86472200505455</v>
      </c>
      <c r="AF188" s="185">
        <f t="shared" ref="AF188" si="404">AE188-AF189</f>
        <v>142.20245898441323</v>
      </c>
      <c r="AG188" s="185">
        <f t="shared" ref="AG188" si="405">AF188-AG189</f>
        <v>-2.3429171872601557</v>
      </c>
      <c r="AH188" s="185">
        <f t="shared" ref="AH188" si="406">AG188-AH189</f>
        <v>-154.11556216751723</v>
      </c>
      <c r="AI188" s="185">
        <f t="shared" ref="AI188" si="407">AH188-AI189</f>
        <v>-313.47683939678711</v>
      </c>
      <c r="AJ188" s="185">
        <f t="shared" ref="AJ188" si="408">AI188-AJ189</f>
        <v>-480.80618048752052</v>
      </c>
      <c r="AK188" s="185">
        <f t="shared" ref="AK188" si="409">AJ188-AK189</f>
        <v>-656.50198863279059</v>
      </c>
      <c r="AL188" s="185">
        <f t="shared" ref="AL188" si="410">AK188-AL189</f>
        <v>-840.98258718532418</v>
      </c>
      <c r="AM188" s="185">
        <f t="shared" ref="AM188" si="411">AL188-AM189</f>
        <v>-1034.6872156654845</v>
      </c>
      <c r="AN188" s="185">
        <f t="shared" ref="AN188" si="412">AM188-AN189</f>
        <v>-1238.0770755696528</v>
      </c>
      <c r="AO188" s="185">
        <f t="shared" ref="AO188" si="413">AN188-AO189</f>
        <v>-1451.6364284690296</v>
      </c>
      <c r="AP188" s="185">
        <f t="shared" ref="AP188" si="414">AO188-AP189</f>
        <v>-1675.8737490133751</v>
      </c>
      <c r="AQ188" s="185">
        <f t="shared" ref="AQ188" si="415">AP188-AQ189</f>
        <v>-1911.322935584938</v>
      </c>
      <c r="AR188" s="185">
        <f t="shared" ref="AR188" si="416">AQ188-AR189</f>
        <v>-2158.5445814850791</v>
      </c>
      <c r="AS188" s="185">
        <f t="shared" ref="AS188" si="417">AR188-AS189</f>
        <v>-2418.127309680227</v>
      </c>
      <c r="AT188" s="185">
        <f t="shared" ref="AT188" si="418">AS188-AT189</f>
        <v>-2690.6891742851326</v>
      </c>
    </row>
    <row r="189" spans="2:46" x14ac:dyDescent="0.2">
      <c r="B189" s="20" t="s">
        <v>396</v>
      </c>
      <c r="C189" s="20"/>
      <c r="D189" s="20"/>
      <c r="E189" s="20"/>
      <c r="F189" s="20"/>
      <c r="G189" s="20"/>
      <c r="H189" s="20"/>
      <c r="I189" s="20"/>
      <c r="J189" s="20"/>
      <c r="K189" s="184">
        <f>P1</f>
        <v>0.05</v>
      </c>
      <c r="L189" s="20"/>
      <c r="M189" s="187"/>
      <c r="N189" s="20"/>
      <c r="O189" s="20"/>
      <c r="P189" s="181">
        <f>Q170/R140</f>
        <v>20.546471134654734</v>
      </c>
      <c r="Q189" s="181">
        <f>Q170/R140</f>
        <v>20.546471134654734</v>
      </c>
      <c r="R189" s="20"/>
      <c r="S189" s="20"/>
      <c r="T189" s="186">
        <f>R140*(1+$K$189)</f>
        <v>76.655499120894007</v>
      </c>
      <c r="U189" s="186">
        <f>T189*(1+$K$189)</f>
        <v>80.488274076938708</v>
      </c>
      <c r="V189" s="186">
        <f t="shared" ref="V189:AC189" si="419">U189*(1+$K$189)</f>
        <v>84.512687780785654</v>
      </c>
      <c r="W189" s="186">
        <f t="shared" si="419"/>
        <v>88.73832216982494</v>
      </c>
      <c r="X189" s="186">
        <f t="shared" si="419"/>
        <v>93.175238278316186</v>
      </c>
      <c r="Y189" s="186">
        <f t="shared" si="419"/>
        <v>97.834000192231997</v>
      </c>
      <c r="Z189" s="186">
        <f t="shared" si="419"/>
        <v>102.72570020184361</v>
      </c>
      <c r="AA189" s="186">
        <f t="shared" si="419"/>
        <v>107.86198521193579</v>
      </c>
      <c r="AB189" s="186">
        <f t="shared" si="419"/>
        <v>113.25508447253259</v>
      </c>
      <c r="AC189" s="186">
        <f t="shared" si="419"/>
        <v>118.91783869615922</v>
      </c>
      <c r="AD189" s="186">
        <f t="shared" ref="AD189" si="420">AC189*(1+$K$189)</f>
        <v>124.86373063096718</v>
      </c>
      <c r="AE189" s="186">
        <f t="shared" ref="AE189" si="421">AD189*(1+$K$189)</f>
        <v>131.10691716251554</v>
      </c>
      <c r="AF189" s="186">
        <f t="shared" ref="AF189" si="422">AE189*(1+$K$189)</f>
        <v>137.66226302064132</v>
      </c>
      <c r="AG189" s="186">
        <f t="shared" ref="AG189" si="423">AF189*(1+$K$189)</f>
        <v>144.54537617167338</v>
      </c>
      <c r="AH189" s="186">
        <f t="shared" ref="AH189" si="424">AG189*(1+$K$189)</f>
        <v>151.77264498025707</v>
      </c>
      <c r="AI189" s="186">
        <f t="shared" ref="AI189" si="425">AH189*(1+$K$189)</f>
        <v>159.36127722926992</v>
      </c>
      <c r="AJ189" s="186">
        <f t="shared" ref="AJ189" si="426">AI189*(1+$K$189)</f>
        <v>167.32934109073341</v>
      </c>
      <c r="AK189" s="186">
        <f t="shared" ref="AK189" si="427">AJ189*(1+$K$189)</f>
        <v>175.69580814527009</v>
      </c>
      <c r="AL189" s="186">
        <f t="shared" ref="AL189" si="428">AK189*(1+$K$189)</f>
        <v>184.48059855253359</v>
      </c>
      <c r="AM189" s="186">
        <f t="shared" ref="AM189" si="429">AL189*(1+$K$189)</f>
        <v>193.70462848016027</v>
      </c>
      <c r="AN189" s="186">
        <f t="shared" ref="AN189" si="430">AM189*(1+$K$189)</f>
        <v>203.38985990416828</v>
      </c>
      <c r="AO189" s="186">
        <f t="shared" ref="AO189" si="431">AN189*(1+$K$189)</f>
        <v>213.55935289937671</v>
      </c>
      <c r="AP189" s="186">
        <f t="shared" ref="AP189" si="432">AO189*(1+$K$189)</f>
        <v>224.23732054434555</v>
      </c>
      <c r="AQ189" s="186">
        <f t="shared" ref="AQ189" si="433">AP189*(1+$K$189)</f>
        <v>235.44918657156285</v>
      </c>
      <c r="AR189" s="186">
        <f t="shared" ref="AR189" si="434">AQ189*(1+$K$189)</f>
        <v>247.221645900141</v>
      </c>
      <c r="AS189" s="186">
        <f t="shared" ref="AS189" si="435">AR189*(1+$K$189)</f>
        <v>259.58272819514804</v>
      </c>
      <c r="AT189" s="186">
        <f t="shared" ref="AT189" si="436">AS189*(1+$K$189)</f>
        <v>272.56186460490545</v>
      </c>
    </row>
    <row r="190" spans="2:46" x14ac:dyDescent="0.2">
      <c r="B190" s="20" t="s">
        <v>395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>
        <f>Q170/P54</f>
        <v>23.187302499281813</v>
      </c>
      <c r="Q190" s="181">
        <f>Q170/Q54</f>
        <v>21.526697194682793</v>
      </c>
      <c r="R190" s="20"/>
      <c r="S190" s="20"/>
      <c r="T190" s="186">
        <f>Q54*(1+$K$190)</f>
        <v>73.164962825278806</v>
      </c>
      <c r="U190" s="186">
        <f>T190*(1+$K$190)</f>
        <v>76.823210966542746</v>
      </c>
      <c r="V190" s="186">
        <f t="shared" ref="V190:AC190" si="437">U190*(1+$K$190)</f>
        <v>80.664371514869885</v>
      </c>
      <c r="W190" s="186">
        <f t="shared" si="437"/>
        <v>84.697590090613389</v>
      </c>
      <c r="X190" s="186">
        <f t="shared" si="437"/>
        <v>88.932469595144056</v>
      </c>
      <c r="Y190" s="186">
        <f t="shared" si="437"/>
        <v>93.379093074901263</v>
      </c>
      <c r="Z190" s="186">
        <f t="shared" si="437"/>
        <v>98.048047728646324</v>
      </c>
      <c r="AA190" s="186">
        <f t="shared" si="437"/>
        <v>102.95045011507864</v>
      </c>
      <c r="AB190" s="186">
        <f t="shared" si="437"/>
        <v>108.09797262083258</v>
      </c>
      <c r="AC190" s="186">
        <f t="shared" si="437"/>
        <v>113.50287125187421</v>
      </c>
      <c r="AD190" s="186">
        <f t="shared" ref="AD190" si="438">AC190*(1+$K$190)</f>
        <v>119.17801481446793</v>
      </c>
      <c r="AE190" s="186">
        <f t="shared" ref="AE190" si="439">AD190*(1+$K$190)</f>
        <v>125.13691555519134</v>
      </c>
      <c r="AF190" s="186">
        <f t="shared" ref="AF190" si="440">AE190*(1+$K$190)</f>
        <v>131.3937613329509</v>
      </c>
      <c r="AG190" s="186">
        <f t="shared" ref="AG190" si="441">AF190*(1+$K$190)</f>
        <v>137.96344939959846</v>
      </c>
      <c r="AH190" s="186">
        <f t="shared" ref="AH190" si="442">AG190*(1+$K$190)</f>
        <v>144.86162186957839</v>
      </c>
      <c r="AI190" s="186">
        <f t="shared" ref="AI190" si="443">AH190*(1+$K$190)</f>
        <v>152.10470296305732</v>
      </c>
      <c r="AJ190" s="186">
        <f t="shared" ref="AJ190" si="444">AI190*(1+$K$190)</f>
        <v>159.70993811121019</v>
      </c>
      <c r="AK190" s="186">
        <f t="shared" ref="AK190" si="445">AJ190*(1+$K$190)</f>
        <v>167.69543501677072</v>
      </c>
      <c r="AL190" s="186">
        <f t="shared" ref="AL190" si="446">AK190*(1+$K$190)</f>
        <v>176.08020676760927</v>
      </c>
      <c r="AM190" s="186">
        <f t="shared" ref="AM190" si="447">AL190*(1+$K$190)</f>
        <v>184.88421710598973</v>
      </c>
      <c r="AN190" s="186">
        <f t="shared" ref="AN190" si="448">AM190*(1+$K$190)</f>
        <v>194.12842796128922</v>
      </c>
      <c r="AO190" s="186">
        <f t="shared" ref="AO190" si="449">AN190*(1+$K$190)</f>
        <v>203.83484935935368</v>
      </c>
      <c r="AP190" s="186">
        <f t="shared" ref="AP190" si="450">AO190*(1+$K$190)</f>
        <v>214.02659182732137</v>
      </c>
      <c r="AQ190" s="186">
        <f t="shared" ref="AQ190" si="451">AP190*(1+$K$190)</f>
        <v>224.72792141868746</v>
      </c>
      <c r="AR190" s="186">
        <f t="shared" ref="AR190" si="452">AQ190*(1+$K$190)</f>
        <v>235.96431748962183</v>
      </c>
      <c r="AS190" s="186">
        <f t="shared" ref="AS190" si="453">AR190*(1+$K$190)</f>
        <v>247.76253336410295</v>
      </c>
      <c r="AT190" s="186">
        <f t="shared" ref="AT190" si="454">AS190*(1+$K$190)</f>
        <v>260.15066003230811</v>
      </c>
    </row>
    <row r="191" spans="2:46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129">
        <f>Q170-T190</f>
        <v>1426.8350371747213</v>
      </c>
      <c r="U191" s="185">
        <f>T191-U190</f>
        <v>1350.0118262081785</v>
      </c>
      <c r="V191" s="185">
        <f t="shared" ref="V191:AA191" si="455">U191-V190</f>
        <v>1269.3474546933087</v>
      </c>
      <c r="W191" s="185">
        <f t="shared" si="455"/>
        <v>1184.6498646026953</v>
      </c>
      <c r="X191" s="185">
        <f t="shared" si="455"/>
        <v>1095.7173950075512</v>
      </c>
      <c r="Y191" s="185">
        <f t="shared" si="455"/>
        <v>1002.33830193265</v>
      </c>
      <c r="Z191" s="185">
        <f t="shared" si="455"/>
        <v>904.29025420400365</v>
      </c>
      <c r="AA191" s="185">
        <f t="shared" si="455"/>
        <v>801.33980408892501</v>
      </c>
      <c r="AB191" s="185">
        <f>AA191-AB190</f>
        <v>693.24183146809241</v>
      </c>
      <c r="AC191" s="185">
        <f t="shared" ref="AC191" si="456">AB191-AC190</f>
        <v>579.73896021621817</v>
      </c>
      <c r="AD191" s="185">
        <f t="shared" ref="AD191" si="457">AC191-AD190</f>
        <v>460.56094540175025</v>
      </c>
      <c r="AE191" s="185">
        <f t="shared" ref="AE191" si="458">AD191-AE190</f>
        <v>335.42402984655894</v>
      </c>
      <c r="AF191" s="185">
        <f t="shared" ref="AF191" si="459">AE191-AF190</f>
        <v>204.03026851360804</v>
      </c>
      <c r="AG191" s="185">
        <f t="shared" ref="AG191" si="460">AF191-AG190</f>
        <v>66.066819114009576</v>
      </c>
      <c r="AH191" s="185">
        <f t="shared" ref="AH191" si="461">AG191-AH190</f>
        <v>-78.79480275556881</v>
      </c>
      <c r="AI191" s="185">
        <f t="shared" ref="AI191" si="462">AH191-AI190</f>
        <v>-230.89950571862613</v>
      </c>
      <c r="AJ191" s="185">
        <f t="shared" ref="AJ191" si="463">AI191-AJ190</f>
        <v>-390.60944382983632</v>
      </c>
      <c r="AK191" s="185">
        <f t="shared" ref="AK191" si="464">AJ191-AK190</f>
        <v>-558.30487884660704</v>
      </c>
      <c r="AL191" s="185">
        <f t="shared" ref="AL191" si="465">AK191-AL190</f>
        <v>-734.38508561421634</v>
      </c>
      <c r="AM191" s="185">
        <f t="shared" ref="AM191" si="466">AL191-AM190</f>
        <v>-919.26930272020604</v>
      </c>
      <c r="AN191" s="185">
        <f t="shared" ref="AN191" si="467">AM191-AN190</f>
        <v>-1113.3977306814952</v>
      </c>
      <c r="AO191" s="185">
        <f t="shared" ref="AO191" si="468">AN191-AO190</f>
        <v>-1317.2325800408489</v>
      </c>
      <c r="AP191" s="185">
        <f t="shared" ref="AP191" si="469">AO191-AP190</f>
        <v>-1531.2591718681704</v>
      </c>
      <c r="AQ191" s="185">
        <f t="shared" ref="AQ191" si="470">AP191-AQ190</f>
        <v>-1755.9870932868578</v>
      </c>
      <c r="AR191" s="185">
        <f t="shared" ref="AR191" si="471">AQ191-AR190</f>
        <v>-1991.9514107764796</v>
      </c>
      <c r="AS191" s="185">
        <f t="shared" ref="AS191" si="472">AR191-AS190</f>
        <v>-2239.7139441405825</v>
      </c>
      <c r="AT191" s="185">
        <f t="shared" ref="AT191" si="473">AS191-AT190</f>
        <v>-2499.8646041728907</v>
      </c>
    </row>
    <row r="192" spans="2:46" x14ac:dyDescent="0.2">
      <c r="B192" s="108" t="s">
        <v>302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2:32" x14ac:dyDescent="0.2">
      <c r="B193" s="20" t="s">
        <v>305</v>
      </c>
      <c r="C193" s="25" t="e">
        <f t="shared" ref="C193:P193" si="474">C10/C7</f>
        <v>#DIV/0!</v>
      </c>
      <c r="D193" s="25" t="e">
        <f t="shared" si="474"/>
        <v>#DIV/0!</v>
      </c>
      <c r="E193" s="25" t="e">
        <f t="shared" si="474"/>
        <v>#DIV/0!</v>
      </c>
      <c r="F193" s="25" t="e">
        <f t="shared" si="474"/>
        <v>#DIV/0!</v>
      </c>
      <c r="G193" s="25">
        <f t="shared" si="474"/>
        <v>0.60016563383499444</v>
      </c>
      <c r="H193" s="25">
        <f t="shared" si="474"/>
        <v>0.46220923092039007</v>
      </c>
      <c r="I193" s="25">
        <f t="shared" si="474"/>
        <v>0.45752479517033207</v>
      </c>
      <c r="J193" s="25">
        <f t="shared" si="474"/>
        <v>0.49335131727484643</v>
      </c>
      <c r="K193" s="25">
        <f t="shared" si="474"/>
        <v>0.59293567251461987</v>
      </c>
      <c r="L193" s="25">
        <f t="shared" si="474"/>
        <v>0.62893621232865415</v>
      </c>
      <c r="M193" s="25">
        <f t="shared" si="474"/>
        <v>0.45818499028382575</v>
      </c>
      <c r="N193" s="25">
        <f t="shared" si="474"/>
        <v>0.54584866597872572</v>
      </c>
      <c r="O193" s="25">
        <f t="shared" si="474"/>
        <v>0.48768036826108768</v>
      </c>
      <c r="P193" s="25">
        <f t="shared" si="474"/>
        <v>0.49063195188267283</v>
      </c>
      <c r="Q193" s="25">
        <f t="shared" ref="Q193" si="475">Q10/Q7</f>
        <v>0</v>
      </c>
      <c r="R193" s="118">
        <f t="shared" ref="R193:R195" si="476">((P193/G193)^(1/($H$2-$H$1) ))-1</f>
        <v>-2.2141358064810768E-2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306</v>
      </c>
      <c r="C194" s="112" t="e">
        <f>C10/C12</f>
        <v>#DIV/0!</v>
      </c>
      <c r="D194" s="112" t="e">
        <f>D10/D12</f>
        <v>#DIV/0!</v>
      </c>
      <c r="E194" s="112" t="e">
        <f>E10/E12</f>
        <v>#DIV/0!</v>
      </c>
      <c r="F194" s="112" t="e">
        <f>F10/F12</f>
        <v>#DIV/0!</v>
      </c>
      <c r="G194" s="112">
        <f>G10/G12</f>
        <v>77.837037037037035</v>
      </c>
      <c r="H194" s="112">
        <f t="shared" ref="H194:P194" si="477">H10/H12</f>
        <v>48.875324675324677</v>
      </c>
      <c r="I194" s="112">
        <f t="shared" si="477"/>
        <v>90.12355212355213</v>
      </c>
      <c r="J194" s="112">
        <f t="shared" si="477"/>
        <v>82.276283618581914</v>
      </c>
      <c r="K194" s="112">
        <f t="shared" si="477"/>
        <v>130.65979381443299</v>
      </c>
      <c r="L194" s="112">
        <f t="shared" si="477"/>
        <v>94.691485266543324</v>
      </c>
      <c r="M194" s="112">
        <f t="shared" si="477"/>
        <v>97.296686746987959</v>
      </c>
      <c r="N194" s="112">
        <f t="shared" si="477"/>
        <v>96.231121281464524</v>
      </c>
      <c r="O194" s="112">
        <f t="shared" si="477"/>
        <v>57.147302904564313</v>
      </c>
      <c r="P194" s="112">
        <f t="shared" si="477"/>
        <v>1.7702949104169969</v>
      </c>
      <c r="Q194" s="112" t="e">
        <f t="shared" ref="Q194" si="478">Q10/Q12</f>
        <v>#DIV/0!</v>
      </c>
      <c r="R194" s="118">
        <f t="shared" si="476"/>
        <v>-0.34320654870195688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307</v>
      </c>
      <c r="C195" s="25" t="e">
        <f>C10/(C12+C13)</f>
        <v>#DIV/0!</v>
      </c>
      <c r="D195" s="25" t="e">
        <f>D10/(D12+D13)</f>
        <v>#DIV/0!</v>
      </c>
      <c r="E195" s="25" t="e">
        <f>E10/(E12+E13)</f>
        <v>#DIV/0!</v>
      </c>
      <c r="F195" s="25" t="e">
        <f>F10/(F12+F13)</f>
        <v>#DIV/0!</v>
      </c>
      <c r="G195" s="25">
        <f>G10/(G12+G13)</f>
        <v>1.1239704781260027</v>
      </c>
      <c r="H195" s="25">
        <f t="shared" ref="H195:P195" si="479">H10/(H12+H13)</f>
        <v>0.80181523777058117</v>
      </c>
      <c r="I195" s="25">
        <f t="shared" si="479"/>
        <v>3.3706859205776172</v>
      </c>
      <c r="J195" s="25">
        <f t="shared" si="479"/>
        <v>5.927602607010745</v>
      </c>
      <c r="K195" s="25">
        <f t="shared" si="479"/>
        <v>5.1156407669021187</v>
      </c>
      <c r="L195" s="25">
        <f t="shared" si="479"/>
        <v>10.532145723042246</v>
      </c>
      <c r="M195" s="25">
        <f t="shared" si="479"/>
        <v>6.5910018363599265</v>
      </c>
      <c r="N195" s="25">
        <f t="shared" si="479"/>
        <v>4.7152548074227729</v>
      </c>
      <c r="O195" s="25">
        <f t="shared" si="479"/>
        <v>2.0637081064881873</v>
      </c>
      <c r="P195" s="25">
        <f t="shared" si="479"/>
        <v>0.95732230129469265</v>
      </c>
      <c r="Q195" s="25" t="e">
        <f t="shared" ref="Q195" si="480">Q10/(Q12+Q13)</f>
        <v>#DIV/0!</v>
      </c>
      <c r="R195" s="118">
        <f t="shared" si="476"/>
        <v>-1.7673366502815813E-2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174" t="s">
        <v>377</v>
      </c>
      <c r="D198" s="175"/>
      <c r="E198" s="175"/>
      <c r="F198" s="175"/>
      <c r="G198" s="175"/>
      <c r="H198" s="175"/>
      <c r="I198" s="175"/>
      <c r="J198" s="175"/>
      <c r="K198" s="20"/>
      <c r="L198" s="198" t="s">
        <v>337</v>
      </c>
      <c r="M198" s="199"/>
      <c r="N198" s="200"/>
      <c r="O198" s="23" t="s">
        <v>340</v>
      </c>
      <c r="P198" s="20"/>
      <c r="Q198" s="137"/>
      <c r="R198" s="198" t="s">
        <v>338</v>
      </c>
      <c r="S198" s="199"/>
      <c r="T198" s="200"/>
      <c r="U198" s="23" t="s">
        <v>340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66" t="s">
        <v>339</v>
      </c>
      <c r="D199" s="166" t="s">
        <v>0</v>
      </c>
      <c r="E199" s="166" t="s">
        <v>378</v>
      </c>
      <c r="F199" s="166" t="s">
        <v>379</v>
      </c>
      <c r="G199" s="166" t="s">
        <v>380</v>
      </c>
      <c r="H199" s="166" t="s">
        <v>381</v>
      </c>
      <c r="I199" s="166" t="s">
        <v>382</v>
      </c>
      <c r="J199" s="166" t="s">
        <v>383</v>
      </c>
      <c r="K199" s="20"/>
      <c r="L199" s="166" t="s">
        <v>339</v>
      </c>
      <c r="M199" s="166"/>
      <c r="N199" s="166" t="s">
        <v>0</v>
      </c>
      <c r="O199" s="166" t="s">
        <v>372</v>
      </c>
      <c r="P199" s="20"/>
      <c r="Q199" s="20"/>
      <c r="R199" s="166" t="s">
        <v>339</v>
      </c>
      <c r="S199" s="166"/>
      <c r="T199" s="166" t="s">
        <v>0</v>
      </c>
      <c r="U199" s="166" t="s">
        <v>372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7" t="s">
        <v>341</v>
      </c>
      <c r="D200" s="21">
        <v>220</v>
      </c>
      <c r="E200" s="176" t="s">
        <v>384</v>
      </c>
      <c r="F200" s="22">
        <v>1</v>
      </c>
      <c r="G200" s="22">
        <v>1</v>
      </c>
      <c r="H200" s="167">
        <f>F200/G200</f>
        <v>1</v>
      </c>
      <c r="I200" s="167">
        <f>H200*D201</f>
        <v>1</v>
      </c>
      <c r="J200" s="177">
        <f>I200+D201</f>
        <v>2</v>
      </c>
      <c r="K200" s="20"/>
      <c r="L200" s="167" t="s">
        <v>341</v>
      </c>
      <c r="M200" s="167"/>
      <c r="N200" s="21">
        <v>220</v>
      </c>
      <c r="O200" s="173">
        <f>N200</f>
        <v>220</v>
      </c>
      <c r="P200" s="20"/>
      <c r="Q200" s="20"/>
      <c r="R200" s="167" t="s">
        <v>341</v>
      </c>
      <c r="S200" s="167"/>
      <c r="T200" s="21">
        <v>500</v>
      </c>
      <c r="U200" s="173">
        <f>T200</f>
        <v>500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342</v>
      </c>
      <c r="D201" s="21">
        <v>1</v>
      </c>
      <c r="E201" s="176" t="s">
        <v>385</v>
      </c>
      <c r="F201" s="22">
        <v>0</v>
      </c>
      <c r="G201" s="22">
        <v>1</v>
      </c>
      <c r="H201" s="167">
        <f>F201/G201</f>
        <v>0</v>
      </c>
      <c r="I201" s="167">
        <f>H201*J200</f>
        <v>0</v>
      </c>
      <c r="J201" s="167">
        <f>I201+J200</f>
        <v>2</v>
      </c>
      <c r="K201" s="20"/>
      <c r="L201" s="167" t="s">
        <v>342</v>
      </c>
      <c r="M201" s="167"/>
      <c r="N201" s="21">
        <v>1</v>
      </c>
      <c r="O201" s="173">
        <f>N201</f>
        <v>1</v>
      </c>
      <c r="P201" s="20"/>
      <c r="Q201" s="20"/>
      <c r="R201" s="167" t="s">
        <v>342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344</v>
      </c>
      <c r="D202" s="168">
        <f>D200*D201</f>
        <v>220</v>
      </c>
      <c r="E202" s="176" t="s">
        <v>397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343</v>
      </c>
      <c r="M202" s="167"/>
      <c r="N202" s="168">
        <f>N200*N201</f>
        <v>220</v>
      </c>
      <c r="O202" s="173">
        <f>N202</f>
        <v>220</v>
      </c>
      <c r="P202" s="20"/>
      <c r="Q202" s="20"/>
      <c r="R202" s="167" t="s">
        <v>344</v>
      </c>
      <c r="S202" s="167"/>
      <c r="T202" s="168">
        <f>T200*T201</f>
        <v>500</v>
      </c>
      <c r="U202" s="173">
        <f>T202</f>
        <v>500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/>
      <c r="D203" s="168"/>
      <c r="E203" s="176" t="s">
        <v>386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</f>
        <v>0</v>
      </c>
      <c r="K203" s="20"/>
      <c r="L203" s="167" t="s">
        <v>345</v>
      </c>
      <c r="M203" s="167"/>
      <c r="N203" s="21">
        <v>1000</v>
      </c>
      <c r="O203" s="21">
        <v>1620</v>
      </c>
      <c r="P203" s="20"/>
      <c r="Q203" s="20"/>
      <c r="R203" s="167" t="s">
        <v>345</v>
      </c>
      <c r="S203" s="167"/>
      <c r="T203" s="21">
        <v>1000</v>
      </c>
      <c r="U203" s="21">
        <v>1300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 t="s">
        <v>345</v>
      </c>
      <c r="D204" s="21">
        <v>1500</v>
      </c>
      <c r="E204" s="176"/>
      <c r="F204" s="167"/>
      <c r="G204" s="167"/>
      <c r="H204" s="169" t="s">
        <v>387</v>
      </c>
      <c r="I204" s="167"/>
      <c r="J204" s="167">
        <f>J203</f>
        <v>0</v>
      </c>
      <c r="K204" s="20"/>
      <c r="L204" s="167" t="s">
        <v>346</v>
      </c>
      <c r="M204" s="167"/>
      <c r="N204" s="168">
        <f>N203*N201</f>
        <v>1000</v>
      </c>
      <c r="O204" s="168">
        <f>O203*O201</f>
        <v>1620</v>
      </c>
      <c r="P204" s="20"/>
      <c r="Q204" s="20"/>
      <c r="R204" s="167" t="s">
        <v>342</v>
      </c>
      <c r="S204" s="167"/>
      <c r="T204" s="21">
        <v>2</v>
      </c>
      <c r="U204" s="127">
        <f>T204</f>
        <v>2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342</v>
      </c>
      <c r="D205" s="21">
        <v>2</v>
      </c>
      <c r="E205" s="176" t="s">
        <v>386</v>
      </c>
      <c r="F205" s="22">
        <v>10</v>
      </c>
      <c r="G205" s="22">
        <v>2</v>
      </c>
      <c r="H205" s="167">
        <f>F205/G205</f>
        <v>5</v>
      </c>
      <c r="I205" s="177">
        <f>H205*D201</f>
        <v>5</v>
      </c>
      <c r="J205" s="177">
        <f>I205</f>
        <v>5</v>
      </c>
      <c r="K205" s="20"/>
      <c r="L205" s="167"/>
      <c r="M205" s="167"/>
      <c r="N205" s="168"/>
      <c r="O205" s="168"/>
      <c r="P205" s="20"/>
      <c r="Q205" s="20"/>
      <c r="R205" s="167" t="s">
        <v>344</v>
      </c>
      <c r="S205" s="167"/>
      <c r="T205" s="168">
        <f>T204*T203</f>
        <v>2000</v>
      </c>
      <c r="U205" s="168">
        <f>U204*U203</f>
        <v>2600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344</v>
      </c>
      <c r="D206" s="168">
        <f>D205*D204</f>
        <v>3000</v>
      </c>
      <c r="E206" s="167"/>
      <c r="F206" s="167"/>
      <c r="G206" s="167"/>
      <c r="H206" s="169" t="s">
        <v>387</v>
      </c>
      <c r="I206" s="167"/>
      <c r="J206" s="167">
        <f>J205</f>
        <v>5</v>
      </c>
      <c r="K206" s="20"/>
      <c r="L206" s="167"/>
      <c r="M206" s="167"/>
      <c r="N206" s="168"/>
      <c r="O206" s="168"/>
      <c r="P206" s="20"/>
      <c r="Q206" s="20"/>
      <c r="R206" s="167"/>
      <c r="S206" s="167"/>
      <c r="T206" s="168"/>
      <c r="U206" s="168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/>
      <c r="D207" s="168"/>
      <c r="E207" s="176" t="s">
        <v>386</v>
      </c>
      <c r="F207" s="22">
        <v>10</v>
      </c>
      <c r="G207" s="22">
        <v>2</v>
      </c>
      <c r="H207" s="167">
        <f>F207/G207</f>
        <v>5</v>
      </c>
      <c r="I207" s="167">
        <f>H207*J206</f>
        <v>25</v>
      </c>
      <c r="J207" s="167">
        <f>I207</f>
        <v>25</v>
      </c>
      <c r="K207" s="20"/>
      <c r="L207" s="169" t="s">
        <v>347</v>
      </c>
      <c r="M207" s="169"/>
      <c r="N207" s="170">
        <f>N204/N202</f>
        <v>4.5454545454545459</v>
      </c>
      <c r="O207" s="170">
        <f>O204/O202</f>
        <v>7.3636363636363633</v>
      </c>
      <c r="P207" s="20"/>
      <c r="Q207" s="20"/>
      <c r="R207" s="169" t="s">
        <v>347</v>
      </c>
      <c r="S207" s="169"/>
      <c r="T207" s="170">
        <f>T205/T202</f>
        <v>4</v>
      </c>
      <c r="U207" s="170">
        <f>U205/U202</f>
        <v>5.2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9" t="s">
        <v>347</v>
      </c>
      <c r="D208" s="170">
        <f>D206/D202</f>
        <v>13.636363636363637</v>
      </c>
      <c r="E208" s="176"/>
      <c r="F208" s="167"/>
      <c r="G208" s="167"/>
      <c r="H208" s="169" t="s">
        <v>387</v>
      </c>
      <c r="I208" s="167"/>
      <c r="J208" s="167">
        <f>J207</f>
        <v>25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137"/>
      <c r="E210" s="178"/>
      <c r="F210" s="178"/>
      <c r="G210" s="179"/>
      <c r="H210" s="20"/>
      <c r="I210" s="137"/>
      <c r="J210" s="178"/>
      <c r="K210" s="17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ht="14.25" x14ac:dyDescent="0.2">
      <c r="B211" s="20"/>
      <c r="C211" s="20"/>
      <c r="D211" s="191" t="s">
        <v>27</v>
      </c>
      <c r="E211" s="192"/>
      <c r="F211" s="192"/>
      <c r="G211" s="193"/>
      <c r="H211" s="20"/>
      <c r="I211" s="191" t="s">
        <v>392</v>
      </c>
      <c r="J211" s="192"/>
      <c r="K211" s="193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20" t="s">
        <v>28</v>
      </c>
      <c r="E212" s="127"/>
      <c r="F212" s="127"/>
      <c r="G212" s="21">
        <f>D202</f>
        <v>220</v>
      </c>
      <c r="H212" s="20"/>
      <c r="I212" s="20" t="s">
        <v>28</v>
      </c>
      <c r="J212" s="127"/>
      <c r="K212" s="21">
        <f>G212</f>
        <v>220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29</v>
      </c>
      <c r="E213" s="127"/>
      <c r="F213" s="127"/>
      <c r="G213" s="21">
        <f>D206</f>
        <v>3000</v>
      </c>
      <c r="H213" s="20"/>
      <c r="I213" s="20" t="s">
        <v>29</v>
      </c>
      <c r="J213" s="20"/>
      <c r="K213" s="21">
        <f>G213</f>
        <v>3000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30</v>
      </c>
      <c r="E214" s="20"/>
      <c r="F214" s="20"/>
      <c r="G214" s="22"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3" t="s">
        <v>31</v>
      </c>
      <c r="E215" s="3"/>
      <c r="F215" s="3"/>
      <c r="G215" s="3">
        <f>((G213/G212)^(1/G214))-1</f>
        <v>0.29858343131704812</v>
      </c>
      <c r="H215" s="20"/>
      <c r="I215" s="23" t="s">
        <v>393</v>
      </c>
      <c r="J215" s="23"/>
      <c r="K215" s="23">
        <f>(K213-K212)/K212</f>
        <v>12.636363636363637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32</v>
      </c>
      <c r="E216" s="165"/>
      <c r="F216" s="165"/>
      <c r="G216" s="24">
        <f>G214*12</f>
        <v>120</v>
      </c>
      <c r="H216" s="20"/>
      <c r="I216" s="23" t="s">
        <v>394</v>
      </c>
      <c r="J216" s="23"/>
      <c r="K216" s="23">
        <f>K213/K212</f>
        <v>13.636363636363637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0" t="s">
        <v>30</v>
      </c>
      <c r="E217" s="25"/>
      <c r="F217" s="25"/>
      <c r="G217" s="25">
        <f>G216/12</f>
        <v>10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33</v>
      </c>
      <c r="E218" s="3"/>
      <c r="F218" s="3"/>
      <c r="G218" s="3">
        <f>((G213/G212)^(1/G217))-1</f>
        <v>0.29858343131704812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7">
    <mergeCell ref="D211:G211"/>
    <mergeCell ref="I211:K211"/>
    <mergeCell ref="AE2:AF2"/>
    <mergeCell ref="AE3:AF3"/>
    <mergeCell ref="L198:N198"/>
    <mergeCell ref="R198:T198"/>
    <mergeCell ref="K181:L181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3" t="s">
        <v>27</v>
      </c>
      <c r="K5" s="203"/>
      <c r="M5" s="203" t="s">
        <v>65</v>
      </c>
      <c r="N5" s="20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3" t="s">
        <v>36</v>
      </c>
      <c r="K14" s="203"/>
      <c r="L14" s="20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3" t="s">
        <v>27</v>
      </c>
      <c r="S5" s="20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3" t="s">
        <v>36</v>
      </c>
      <c r="S14" s="203"/>
      <c r="T14" s="20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3" t="s">
        <v>27</v>
      </c>
      <c r="C2" s="203"/>
      <c r="E2" s="203" t="s">
        <v>65</v>
      </c>
      <c r="F2" s="203"/>
      <c r="H2" s="207" t="s">
        <v>36</v>
      </c>
      <c r="I2" s="20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4" t="s">
        <v>68</v>
      </c>
      <c r="E10" s="205"/>
      <c r="F10" s="205"/>
      <c r="G10" s="205"/>
      <c r="H10" s="206"/>
      <c r="I10" s="204" t="s">
        <v>72</v>
      </c>
      <c r="J10" s="205"/>
      <c r="K10" s="205"/>
      <c r="L10" s="20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8"/>
    <col min="2" max="2" width="16.5703125" style="188" customWidth="1"/>
    <col min="3" max="3" width="39.7109375" style="188" customWidth="1"/>
    <col min="4" max="5" width="9.140625" style="188"/>
    <col min="6" max="6" width="19" style="188" bestFit="1" customWidth="1"/>
    <col min="7" max="7" width="49" style="188" customWidth="1"/>
    <col min="8" max="16384" width="9.140625" style="188"/>
  </cols>
  <sheetData>
    <row r="3" spans="2:7" x14ac:dyDescent="0.2">
      <c r="B3" s="209" t="s">
        <v>431</v>
      </c>
      <c r="C3" s="210"/>
      <c r="F3" s="209" t="s">
        <v>432</v>
      </c>
      <c r="G3" s="210"/>
    </row>
    <row r="4" spans="2:7" x14ac:dyDescent="0.2">
      <c r="B4" s="189" t="s">
        <v>433</v>
      </c>
      <c r="C4" s="189"/>
      <c r="F4" s="189" t="s">
        <v>434</v>
      </c>
      <c r="G4" s="189"/>
    </row>
    <row r="5" spans="2:7" x14ac:dyDescent="0.2">
      <c r="B5" s="189" t="s">
        <v>435</v>
      </c>
      <c r="C5" s="189"/>
      <c r="F5" s="189" t="s">
        <v>292</v>
      </c>
      <c r="G5" s="189"/>
    </row>
    <row r="6" spans="2:7" x14ac:dyDescent="0.2">
      <c r="B6" s="189" t="s">
        <v>436</v>
      </c>
      <c r="C6" s="189"/>
      <c r="F6" s="189" t="s">
        <v>437</v>
      </c>
      <c r="G6" s="189"/>
    </row>
    <row r="7" spans="2:7" x14ac:dyDescent="0.2">
      <c r="B7" s="189" t="s">
        <v>438</v>
      </c>
      <c r="C7" s="189"/>
      <c r="F7" s="189" t="s">
        <v>439</v>
      </c>
      <c r="G7" s="189"/>
    </row>
    <row r="8" spans="2:7" x14ac:dyDescent="0.2">
      <c r="B8" s="189" t="s">
        <v>440</v>
      </c>
      <c r="C8" s="189"/>
      <c r="F8" s="189" t="s">
        <v>441</v>
      </c>
      <c r="G8" s="189"/>
    </row>
    <row r="9" spans="2:7" x14ac:dyDescent="0.2">
      <c r="B9" s="189" t="s">
        <v>442</v>
      </c>
      <c r="C9" s="189"/>
      <c r="F9" s="189" t="s">
        <v>443</v>
      </c>
      <c r="G9" s="189"/>
    </row>
    <row r="10" spans="2:7" x14ac:dyDescent="0.2">
      <c r="B10" s="189" t="s">
        <v>441</v>
      </c>
      <c r="C10" s="189"/>
      <c r="F10" s="189"/>
      <c r="G10" s="189"/>
    </row>
    <row r="11" spans="2:7" x14ac:dyDescent="0.2">
      <c r="B11" s="189" t="s">
        <v>444</v>
      </c>
      <c r="C11" s="189"/>
      <c r="F11" s="189"/>
      <c r="G11" s="189"/>
    </row>
    <row r="12" spans="2:7" x14ac:dyDescent="0.2">
      <c r="B12" s="189" t="s">
        <v>445</v>
      </c>
      <c r="C12" s="189"/>
      <c r="F12" s="189"/>
      <c r="G12" s="189"/>
    </row>
    <row r="13" spans="2:7" x14ac:dyDescent="0.2">
      <c r="B13" s="189"/>
      <c r="C13" s="189"/>
      <c r="F13" s="189"/>
      <c r="G13" s="18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2014-06-21T18:53:14Z</dcterms:modified>
</cp:coreProperties>
</file>
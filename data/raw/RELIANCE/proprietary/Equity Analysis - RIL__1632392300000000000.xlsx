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210" i="18" l="1"/>
  <c r="G209" i="18"/>
  <c r="P41" i="18"/>
  <c r="O41" i="18"/>
  <c r="N41" i="18"/>
  <c r="M41" i="18"/>
  <c r="L41" i="18"/>
  <c r="K41" i="18"/>
  <c r="J41" i="18"/>
  <c r="I41" i="18"/>
  <c r="H41" i="18"/>
  <c r="G41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S42" i="18"/>
  <c r="D199" i="18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R42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Q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Q99" i="18" s="1"/>
  <c r="G93" i="18"/>
  <c r="G99" i="18" s="1"/>
  <c r="G90" i="18"/>
  <c r="G96" i="18" s="1"/>
  <c r="S29" i="18"/>
  <c r="Q29" i="18"/>
  <c r="Q96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M187" i="18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M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4" i="18" l="1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<sst xmlns="http://schemas.openxmlformats.org/spreadsheetml/2006/main" count="618" uniqueCount="429">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</sst>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2" fontId="8" fillId="5" borderId="1" xfId="0" applyNumberFormat="1" applyFont="1" applyFill="1" applyBorder="1"/>
    <xf numFmtId="0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35456"/>
        <c:axId val="107636992"/>
      </c:lineChart>
      <c:catAx>
        <c:axId val="107635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7636992"/>
        <c:crosses val="autoZero"/>
        <c:auto val="1"/>
        <c:lblAlgn val="ctr"/>
        <c:lblOffset val="100"/>
        <c:noMultiLvlLbl val="0"/>
      </c:catAx>
      <c:valAx>
        <c:axId val="10763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6354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58" activePane="bottomRight" state="frozen"/>
      <selection pane="topRight" activeCell="C1" sqref="C1"/>
      <selection pane="bottomLeft" activeCell="A5" sqref="A5"/>
      <selection pane="bottomRight" activeCell="C2" sqref="C2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291</v>
      </c>
      <c r="AE2" s="191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292</v>
      </c>
      <c r="AE3" s="193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33621</v>
      </c>
      <c r="H6" s="147">
        <v>36588</v>
      </c>
      <c r="I6" s="147">
        <v>44647</v>
      </c>
      <c r="J6" s="147">
        <v>63776</v>
      </c>
      <c r="K6" s="147">
        <v>81166</v>
      </c>
      <c r="L6" s="147">
        <v>107573</v>
      </c>
      <c r="M6" s="147">
        <v>128611</v>
      </c>
      <c r="N6" s="147">
        <v>145016</v>
      </c>
      <c r="O6" s="147">
        <v>162726</v>
      </c>
      <c r="P6" s="147">
        <v>179094</v>
      </c>
      <c r="Q6" s="118">
        <f>((P6/G6)^(1/($H$2-$H$1) ))-1</f>
        <v>0.20425632061319687</v>
      </c>
      <c r="R6" s="31">
        <f>$L$2</f>
        <v>0.12</v>
      </c>
      <c r="S6" s="154">
        <f>P6*(1+$R6)</f>
        <v>200585.28000000003</v>
      </c>
      <c r="T6" s="154">
        <f>S6*(1+$R6)</f>
        <v>224655.51360000006</v>
      </c>
      <c r="U6" s="154">
        <f t="shared" ref="U6:AB6" si="0">T6*(1+$R6)</f>
        <v>251614.1752320001</v>
      </c>
      <c r="V6" s="154">
        <f t="shared" si="0"/>
        <v>281807.87625984015</v>
      </c>
      <c r="W6" s="154">
        <f t="shared" si="0"/>
        <v>315624.821411021</v>
      </c>
      <c r="X6" s="154">
        <f t="shared" si="0"/>
        <v>353499.79998034355</v>
      </c>
      <c r="Y6" s="154">
        <f t="shared" si="0"/>
        <v>395919.77597798483</v>
      </c>
      <c r="Z6" s="154">
        <f t="shared" si="0"/>
        <v>443430.14909534308</v>
      </c>
      <c r="AA6" s="154">
        <f t="shared" si="0"/>
        <v>496641.76698678429</v>
      </c>
      <c r="AB6" s="154">
        <f t="shared" si="0"/>
        <v>556238.77902519843</v>
      </c>
      <c r="AC6" s="138">
        <f>((AB6/G6)^(1/($AB$3-$H$1) ))-1</f>
        <v>0.15914964669866638</v>
      </c>
      <c r="AD6" s="31">
        <f>$L$1</f>
        <v>0.05</v>
      </c>
      <c r="AE6" s="146">
        <f t="shared" ref="AE6:AE43" si="1">(AB6*(1+AD6))/($C$1-AD6)</f>
        <v>5840507.1797645846</v>
      </c>
    </row>
    <row r="7" spans="2:31" x14ac:dyDescent="0.2">
      <c r="B7" s="20" t="s">
        <v>240</v>
      </c>
      <c r="C7" s="141"/>
      <c r="D7" s="141"/>
      <c r="E7" s="147"/>
      <c r="F7" s="147"/>
      <c r="G7" s="147">
        <v>35017</v>
      </c>
      <c r="H7" s="147">
        <v>40711</v>
      </c>
      <c r="I7" s="147">
        <v>51018</v>
      </c>
      <c r="J7" s="147">
        <v>68209</v>
      </c>
      <c r="K7" s="147">
        <v>85500</v>
      </c>
      <c r="L7" s="147">
        <v>121246</v>
      </c>
      <c r="M7" s="147">
        <v>141002</v>
      </c>
      <c r="N7" s="147">
        <v>154083</v>
      </c>
      <c r="O7" s="147">
        <v>169445</v>
      </c>
      <c r="P7" s="147">
        <v>182055</v>
      </c>
      <c r="Q7" s="118">
        <f>((P7/G7)^(1/($H$2-$H$1) ))-1</f>
        <v>0.20101124855084529</v>
      </c>
      <c r="R7" s="31">
        <f>$L$2</f>
        <v>0.12</v>
      </c>
      <c r="S7" s="154">
        <f t="shared" ref="S7:S16" si="2">P7*(1+$R7)</f>
        <v>203901.6</v>
      </c>
      <c r="T7" s="154">
        <f t="shared" ref="T7:AB7" si="3">S7*(1+$R7)</f>
        <v>228369.79200000002</v>
      </c>
      <c r="U7" s="154">
        <f t="shared" si="3"/>
        <v>255774.16704000003</v>
      </c>
      <c r="V7" s="154">
        <f t="shared" si="3"/>
        <v>286467.06708480004</v>
      </c>
      <c r="W7" s="154">
        <f t="shared" si="3"/>
        <v>320843.11513497611</v>
      </c>
      <c r="X7" s="154">
        <f t="shared" si="3"/>
        <v>359344.28895117325</v>
      </c>
      <c r="Y7" s="154">
        <f t="shared" si="3"/>
        <v>402465.60362531408</v>
      </c>
      <c r="Z7" s="154">
        <f t="shared" si="3"/>
        <v>450761.47606035182</v>
      </c>
      <c r="AA7" s="154">
        <f t="shared" si="3"/>
        <v>504852.8531875941</v>
      </c>
      <c r="AB7" s="154">
        <f t="shared" si="3"/>
        <v>565435.19557010545</v>
      </c>
      <c r="AC7" s="138">
        <f>((AB7/G7)^(1/($AB$3-$H$1) ))-1</f>
        <v>0.15766903182227332</v>
      </c>
      <c r="AD7" s="31">
        <f>$L$1</f>
        <v>0.05</v>
      </c>
      <c r="AE7" s="146">
        <f t="shared" si="1"/>
        <v>5937069.5534861078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0.13986391884257326</v>
      </c>
      <c r="I8" s="151">
        <f t="shared" ref="I8:P8" si="4">(I7-H7)/I7</f>
        <v>0.20202673566192325</v>
      </c>
      <c r="J8" s="151">
        <f t="shared" si="4"/>
        <v>0.25203418903663738</v>
      </c>
      <c r="K8" s="151">
        <f t="shared" si="4"/>
        <v>0.20223391812865496</v>
      </c>
      <c r="L8" s="151">
        <f t="shared" si="4"/>
        <v>0.29482209722382596</v>
      </c>
      <c r="M8" s="151">
        <f t="shared" si="4"/>
        <v>0.14011148778031518</v>
      </c>
      <c r="N8" s="151">
        <f t="shared" si="4"/>
        <v>8.4895802911417878E-2</v>
      </c>
      <c r="O8" s="151">
        <f t="shared" si="4"/>
        <v>9.0660686358405379E-2</v>
      </c>
      <c r="P8" s="151">
        <f t="shared" si="4"/>
        <v>6.9264782620636622E-2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13919</v>
      </c>
      <c r="H9" s="147">
        <v>18296</v>
      </c>
      <c r="I9" s="147">
        <v>17963</v>
      </c>
      <c r="J9" s="147">
        <v>25489</v>
      </c>
      <c r="K9" s="147">
        <v>32022</v>
      </c>
      <c r="L9" s="147">
        <v>46404</v>
      </c>
      <c r="M9" s="147">
        <v>50593</v>
      </c>
      <c r="N9" s="147">
        <v>65194</v>
      </c>
      <c r="O9" s="147">
        <v>72257</v>
      </c>
      <c r="P9" s="147">
        <v>84943</v>
      </c>
      <c r="Q9" s="118">
        <f t="shared" ref="Q9:Q16" si="5">((P9/G9)^(1/($H$2-$H$1) ))-1</f>
        <v>0.22258750000486716</v>
      </c>
      <c r="R9" s="31">
        <f t="shared" ref="R9:R42" si="6">$L$2</f>
        <v>0.12</v>
      </c>
      <c r="S9" s="154">
        <f t="shared" ref="S9" si="7">P9*(1+$R9)</f>
        <v>95136.16</v>
      </c>
      <c r="T9" s="154">
        <f t="shared" ref="T9" si="8">S9*(1+$R9)</f>
        <v>106552.49920000002</v>
      </c>
      <c r="U9" s="154">
        <f t="shared" ref="U9" si="9">T9*(1+$R9)</f>
        <v>119338.79910400003</v>
      </c>
      <c r="V9" s="154">
        <f t="shared" ref="V9" si="10">U9*(1+$R9)</f>
        <v>133659.45499648005</v>
      </c>
      <c r="W9" s="154">
        <f t="shared" ref="W9" si="11">V9*(1+$R9)</f>
        <v>149698.58959605766</v>
      </c>
      <c r="X9" s="154">
        <f t="shared" ref="X9" si="12">W9*(1+$R9)</f>
        <v>167662.42034758459</v>
      </c>
      <c r="Y9" s="154">
        <f t="shared" ref="Y9" si="13">X9*(1+$R9)</f>
        <v>187781.91078929475</v>
      </c>
      <c r="Z9" s="154">
        <f t="shared" ref="Z9" si="14">Y9*(1+$R9)</f>
        <v>210315.74008401015</v>
      </c>
      <c r="AA9" s="154">
        <f t="shared" ref="AA9" si="15">Z9*(1+$R9)</f>
        <v>235553.62889409138</v>
      </c>
      <c r="AB9" s="154">
        <f t="shared" ref="AB9" si="16">AA9*(1+$R9)</f>
        <v>263820.06436138239</v>
      </c>
      <c r="AC9" s="138">
        <f>((AB9/G9)^(1/($AB$3-$H$1) ))-1</f>
        <v>0.16747437565186574</v>
      </c>
      <c r="AD9" s="31">
        <f t="shared" ref="AD9:AD79" si="17">$L$1</f>
        <v>0.05</v>
      </c>
      <c r="AE9" s="146">
        <f t="shared" si="1"/>
        <v>2770110.6757945158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21016</v>
      </c>
      <c r="H10" s="147">
        <v>18817</v>
      </c>
      <c r="I10" s="147">
        <v>23342</v>
      </c>
      <c r="J10" s="147">
        <v>33651</v>
      </c>
      <c r="K10" s="147">
        <v>50696</v>
      </c>
      <c r="L10" s="147">
        <v>76256</v>
      </c>
      <c r="M10" s="147">
        <v>64605</v>
      </c>
      <c r="N10" s="147">
        <v>84106</v>
      </c>
      <c r="O10" s="147">
        <v>82635</v>
      </c>
      <c r="P10" s="147">
        <v>89322</v>
      </c>
      <c r="Q10" s="118">
        <f t="shared" si="5"/>
        <v>0.17441922845681557</v>
      </c>
      <c r="R10" s="31">
        <f t="shared" si="6"/>
        <v>0.12</v>
      </c>
      <c r="S10" s="154">
        <f t="shared" si="2"/>
        <v>100040.64000000001</v>
      </c>
      <c r="T10" s="154">
        <f t="shared" ref="T10:AB10" si="18">S10*(1+$R10)</f>
        <v>112045.51680000003</v>
      </c>
      <c r="U10" s="154">
        <f t="shared" si="18"/>
        <v>125490.97881600005</v>
      </c>
      <c r="V10" s="154">
        <f t="shared" si="18"/>
        <v>140549.89627392005</v>
      </c>
      <c r="W10" s="154">
        <f t="shared" si="18"/>
        <v>157415.88382679046</v>
      </c>
      <c r="X10" s="154">
        <f t="shared" si="18"/>
        <v>176305.78988600534</v>
      </c>
      <c r="Y10" s="154">
        <f t="shared" si="18"/>
        <v>197462.48467232601</v>
      </c>
      <c r="Z10" s="154">
        <f t="shared" si="18"/>
        <v>221157.98283300517</v>
      </c>
      <c r="AA10" s="154">
        <f t="shared" si="18"/>
        <v>247696.94077296581</v>
      </c>
      <c r="AB10" s="154">
        <f t="shared" si="18"/>
        <v>277420.57366572175</v>
      </c>
      <c r="AC10" s="138">
        <f t="shared" ref="AC10:AC42" si="19">((AB10/G10)^(1/($AB$3-$H$1) ))-1</f>
        <v>0.1454558317879171</v>
      </c>
      <c r="AD10" s="31">
        <f t="shared" si="17"/>
        <v>0.05</v>
      </c>
      <c r="AE10" s="146">
        <f t="shared" si="1"/>
        <v>2912916.0234900787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-0.11686241164904076</v>
      </c>
      <c r="I11" s="148">
        <f t="shared" si="20"/>
        <v>0.19385656756062034</v>
      </c>
      <c r="J11" s="148">
        <f t="shared" si="20"/>
        <v>0.30635047992630232</v>
      </c>
      <c r="K11" s="148">
        <f t="shared" si="20"/>
        <v>0.33621982010415025</v>
      </c>
      <c r="L11" s="148">
        <f t="shared" si="20"/>
        <v>0.33518673940411248</v>
      </c>
      <c r="M11" s="148">
        <f t="shared" si="20"/>
        <v>-0.18034207878647163</v>
      </c>
      <c r="N11" s="148">
        <f t="shared" si="20"/>
        <v>0.2318621739233824</v>
      </c>
      <c r="O11" s="148">
        <f t="shared" si="20"/>
        <v>-1.780117383675198E-2</v>
      </c>
      <c r="P11" s="148">
        <f t="shared" si="20"/>
        <v>7.4863975280446027E-2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270</v>
      </c>
      <c r="H12" s="147">
        <v>385</v>
      </c>
      <c r="I12" s="147">
        <v>259</v>
      </c>
      <c r="J12" s="147">
        <v>409</v>
      </c>
      <c r="K12" s="147">
        <v>388</v>
      </c>
      <c r="L12" s="147">
        <v>805.31</v>
      </c>
      <c r="M12" s="147">
        <v>664</v>
      </c>
      <c r="N12" s="147">
        <v>874</v>
      </c>
      <c r="O12" s="147">
        <v>1446</v>
      </c>
      <c r="P12" s="147">
        <v>50456</v>
      </c>
      <c r="Q12" s="118">
        <f t="shared" si="5"/>
        <v>0.78811044192930235</v>
      </c>
      <c r="R12" s="31">
        <f t="shared" si="6"/>
        <v>0.12</v>
      </c>
      <c r="S12" s="154">
        <f t="shared" si="2"/>
        <v>56510.720000000008</v>
      </c>
      <c r="T12" s="154">
        <f t="shared" ref="T12:AB12" si="21">S12*(1+$R12)</f>
        <v>63292.006400000013</v>
      </c>
      <c r="U12" s="154">
        <f t="shared" si="21"/>
        <v>70887.047168000019</v>
      </c>
      <c r="V12" s="154">
        <f t="shared" si="21"/>
        <v>79393.49282816003</v>
      </c>
      <c r="W12" s="154">
        <f t="shared" si="21"/>
        <v>88920.711967539246</v>
      </c>
      <c r="X12" s="154">
        <f t="shared" si="21"/>
        <v>99591.197403643964</v>
      </c>
      <c r="Y12" s="154">
        <f t="shared" si="21"/>
        <v>111542.14109208125</v>
      </c>
      <c r="Z12" s="154">
        <f t="shared" si="21"/>
        <v>124927.19802313102</v>
      </c>
      <c r="AA12" s="154">
        <f t="shared" si="21"/>
        <v>139918.46178590675</v>
      </c>
      <c r="AB12" s="154">
        <f t="shared" si="21"/>
        <v>156708.67720021558</v>
      </c>
      <c r="AC12" s="138">
        <f t="shared" si="19"/>
        <v>0.39784634690625764</v>
      </c>
      <c r="AD12" s="31">
        <f t="shared" si="17"/>
        <v>0.05</v>
      </c>
      <c r="AE12" s="146">
        <f t="shared" si="1"/>
        <v>1645441.1106022638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18428</v>
      </c>
      <c r="H13" s="147">
        <v>23083</v>
      </c>
      <c r="I13" s="147">
        <v>6666</v>
      </c>
      <c r="J13" s="147">
        <v>5268</v>
      </c>
      <c r="K13" s="147">
        <v>9522</v>
      </c>
      <c r="L13" s="147">
        <v>6435</v>
      </c>
      <c r="M13" s="147">
        <v>9138</v>
      </c>
      <c r="N13" s="147">
        <v>16963</v>
      </c>
      <c r="O13" s="147">
        <v>38596</v>
      </c>
      <c r="P13" s="147">
        <v>42848</v>
      </c>
      <c r="Q13" s="118">
        <f t="shared" si="5"/>
        <v>9.8289743649686123E-2</v>
      </c>
      <c r="R13" s="31">
        <f t="shared" si="6"/>
        <v>0.12</v>
      </c>
      <c r="S13" s="154">
        <f t="shared" si="2"/>
        <v>47989.760000000002</v>
      </c>
      <c r="T13" s="154">
        <f t="shared" ref="T13:AB13" si="22">S13*(1+$R13)</f>
        <v>53748.531200000005</v>
      </c>
      <c r="U13" s="154">
        <f t="shared" si="22"/>
        <v>60198.354944000013</v>
      </c>
      <c r="V13" s="154">
        <f t="shared" si="22"/>
        <v>67422.157537280014</v>
      </c>
      <c r="W13" s="154">
        <f t="shared" si="22"/>
        <v>75512.816441753617</v>
      </c>
      <c r="X13" s="154">
        <f t="shared" si="22"/>
        <v>84574.354414764064</v>
      </c>
      <c r="Y13" s="154">
        <f t="shared" si="22"/>
        <v>94723.276944535755</v>
      </c>
      <c r="Z13" s="154">
        <f t="shared" si="22"/>
        <v>106090.07017788006</v>
      </c>
      <c r="AA13" s="154">
        <f t="shared" si="22"/>
        <v>118820.87859922567</v>
      </c>
      <c r="AB13" s="154">
        <f t="shared" si="22"/>
        <v>133079.38403113277</v>
      </c>
      <c r="AC13" s="138">
        <f t="shared" si="19"/>
        <v>0.10966321192545525</v>
      </c>
      <c r="AD13" s="31">
        <f t="shared" si="17"/>
        <v>0.05</v>
      </c>
      <c r="AE13" s="146">
        <f t="shared" si="1"/>
        <v>1397333.5323268941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7231</v>
      </c>
      <c r="H14" s="147">
        <v>7412</v>
      </c>
      <c r="I14" s="147">
        <v>10345</v>
      </c>
      <c r="J14" s="147">
        <v>12456</v>
      </c>
      <c r="K14" s="147">
        <v>19126</v>
      </c>
      <c r="L14" s="147">
        <v>20109</v>
      </c>
      <c r="M14" s="147">
        <v>34393</v>
      </c>
      <c r="N14" s="147">
        <v>38519</v>
      </c>
      <c r="O14" s="147">
        <v>46692</v>
      </c>
      <c r="P14" s="147">
        <v>54601</v>
      </c>
      <c r="Q14" s="118">
        <f t="shared" ref="Q14" si="23">((P14/G14)^(1/($H$2-$H$1) ))-1</f>
        <v>0.25186011828072252</v>
      </c>
      <c r="R14" s="31">
        <f t="shared" si="6"/>
        <v>0.12</v>
      </c>
      <c r="S14" s="154">
        <f t="shared" ref="S14" si="24">P14*(1+$R14)</f>
        <v>61153.120000000003</v>
      </c>
      <c r="T14" s="154">
        <f t="shared" ref="T14" si="25">S14*(1+$R14)</f>
        <v>68491.494400000011</v>
      </c>
      <c r="U14" s="154">
        <f t="shared" ref="U14" si="26">T14*(1+$R14)</f>
        <v>76710.473728000026</v>
      </c>
      <c r="V14" s="154">
        <f t="shared" ref="V14" si="27">U14*(1+$R14)</f>
        <v>85915.730575360038</v>
      </c>
      <c r="W14" s="154">
        <f t="shared" ref="W14" si="28">V14*(1+$R14)</f>
        <v>96225.618244403246</v>
      </c>
      <c r="X14" s="154">
        <f t="shared" ref="X14" si="29">W14*(1+$R14)</f>
        <v>107772.69243373164</v>
      </c>
      <c r="Y14" s="154">
        <f t="shared" ref="Y14" si="30">X14*(1+$R14)</f>
        <v>120705.41552577945</v>
      </c>
      <c r="Z14" s="154">
        <f t="shared" ref="Z14" si="31">Y14*(1+$R14)</f>
        <v>135190.06538887299</v>
      </c>
      <c r="AA14" s="154">
        <f t="shared" ref="AA14" si="32">Z14*(1+$R14)</f>
        <v>151412.87323553776</v>
      </c>
      <c r="AB14" s="154">
        <f t="shared" ref="AB14" si="33">AA14*(1+$R14)</f>
        <v>169582.41802380231</v>
      </c>
      <c r="AC14" s="138">
        <f t="shared" ref="AC14" si="34">((AB14/G14)^(1/($AB$3-$H$1) ))-1</f>
        <v>0.18063285958843456</v>
      </c>
      <c r="AD14" s="31">
        <f t="shared" si="17"/>
        <v>0.05</v>
      </c>
      <c r="AE14" s="146">
        <f t="shared" ref="AE14" si="35">(AB14*(1+AD14))/($C$1-AD14)</f>
        <v>1780615.3892499246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10773</v>
      </c>
      <c r="H15" s="147">
        <v>11726</v>
      </c>
      <c r="I15" s="147">
        <v>14956</v>
      </c>
      <c r="J15" s="147">
        <v>16697</v>
      </c>
      <c r="K15" s="147">
        <v>25583</v>
      </c>
      <c r="L15" s="147">
        <v>59842</v>
      </c>
      <c r="M15" s="147">
        <v>74104</v>
      </c>
      <c r="N15" s="147">
        <v>104119</v>
      </c>
      <c r="O15" s="147">
        <v>124916</v>
      </c>
      <c r="P15" s="147">
        <v>136070</v>
      </c>
      <c r="Q15" s="118">
        <f t="shared" si="5"/>
        <v>0.32550275918844718</v>
      </c>
      <c r="R15" s="31">
        <f t="shared" si="6"/>
        <v>0.12</v>
      </c>
      <c r="S15" s="154">
        <f t="shared" si="2"/>
        <v>152398.40000000002</v>
      </c>
      <c r="T15" s="154">
        <f t="shared" ref="T15:AB15" si="36">S15*(1+$R15)</f>
        <v>170686.20800000004</v>
      </c>
      <c r="U15" s="154">
        <f t="shared" si="36"/>
        <v>191168.55296000006</v>
      </c>
      <c r="V15" s="154">
        <f t="shared" si="36"/>
        <v>214108.77931520008</v>
      </c>
      <c r="W15" s="154">
        <f t="shared" si="36"/>
        <v>239801.83283302412</v>
      </c>
      <c r="X15" s="154">
        <f t="shared" si="36"/>
        <v>268578.05277298705</v>
      </c>
      <c r="Y15" s="154">
        <f t="shared" si="36"/>
        <v>300807.4191057455</v>
      </c>
      <c r="Z15" s="154">
        <f t="shared" si="36"/>
        <v>336904.309398435</v>
      </c>
      <c r="AA15" s="154">
        <f t="shared" si="36"/>
        <v>377332.82652624726</v>
      </c>
      <c r="AB15" s="154">
        <f t="shared" si="36"/>
        <v>422612.76570939698</v>
      </c>
      <c r="AC15" s="138">
        <f t="shared" si="19"/>
        <v>0.21303685910260106</v>
      </c>
      <c r="AD15" s="31">
        <f t="shared" si="17"/>
        <v>0.05</v>
      </c>
      <c r="AE15" s="146">
        <f t="shared" si="1"/>
        <v>4437434.0399486683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2360</v>
      </c>
      <c r="H16" s="147">
        <v>1702</v>
      </c>
      <c r="I16" s="147">
        <v>2968</v>
      </c>
      <c r="J16" s="147">
        <v>5873</v>
      </c>
      <c r="K16" s="147">
        <v>16823</v>
      </c>
      <c r="L16" s="147">
        <v>10322</v>
      </c>
      <c r="M16" s="147">
        <v>19815</v>
      </c>
      <c r="N16" s="147">
        <v>34194</v>
      </c>
      <c r="O16" s="147">
        <v>47845</v>
      </c>
      <c r="P16" s="147">
        <v>46039</v>
      </c>
      <c r="Q16" s="118">
        <f t="shared" si="5"/>
        <v>0.39109598661837897</v>
      </c>
      <c r="R16" s="31">
        <f t="shared" si="6"/>
        <v>0.12</v>
      </c>
      <c r="S16" s="154">
        <f t="shared" si="2"/>
        <v>51563.680000000008</v>
      </c>
      <c r="T16" s="154">
        <f t="shared" ref="T16:AB16" si="37">S16*(1+$R16)</f>
        <v>57751.321600000017</v>
      </c>
      <c r="U16" s="154">
        <f t="shared" si="37"/>
        <v>64681.480192000025</v>
      </c>
      <c r="V16" s="154">
        <f t="shared" si="37"/>
        <v>72443.257815040037</v>
      </c>
      <c r="W16" s="154">
        <f t="shared" si="37"/>
        <v>81136.448752844852</v>
      </c>
      <c r="X16" s="154">
        <f t="shared" si="37"/>
        <v>90872.822603186243</v>
      </c>
      <c r="Y16" s="154">
        <f t="shared" si="37"/>
        <v>101777.5613155686</v>
      </c>
      <c r="Z16" s="154">
        <f t="shared" si="37"/>
        <v>113990.86867343684</v>
      </c>
      <c r="AA16" s="154">
        <f t="shared" si="37"/>
        <v>127669.77291424928</v>
      </c>
      <c r="AB16" s="154">
        <f t="shared" si="37"/>
        <v>142990.14566395921</v>
      </c>
      <c r="AC16" s="138">
        <f t="shared" si="19"/>
        <v>0.24110983200006642</v>
      </c>
      <c r="AD16" s="31">
        <f t="shared" si="17"/>
        <v>0.05</v>
      </c>
      <c r="AE16" s="146">
        <f t="shared" si="1"/>
        <v>1501396.529471572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31855</v>
      </c>
      <c r="H18" s="147">
        <v>30254</v>
      </c>
      <c r="I18" s="147">
        <v>56290</v>
      </c>
      <c r="J18" s="147">
        <v>64822</v>
      </c>
      <c r="K18" s="147">
        <v>64061</v>
      </c>
      <c r="L18" s="147">
        <v>107044</v>
      </c>
      <c r="M18" s="147">
        <v>160191</v>
      </c>
      <c r="N18" s="147">
        <v>158099</v>
      </c>
      <c r="O18" s="147">
        <v>157682</v>
      </c>
      <c r="P18" s="147">
        <v>166248</v>
      </c>
      <c r="Q18" s="118">
        <f>((P18/G18)^(1/($H$2-$H$1) ))-1</f>
        <v>0.20151993279274949</v>
      </c>
      <c r="R18" s="31">
        <f t="shared" si="6"/>
        <v>0.12</v>
      </c>
      <c r="S18" s="154">
        <f t="shared" ref="S18:S34" si="38">P18*(1+$R18)</f>
        <v>186197.76000000001</v>
      </c>
      <c r="T18" s="154">
        <f t="shared" ref="T18:T34" si="39">S18*(1+$R18)</f>
        <v>208541.49120000002</v>
      </c>
      <c r="U18" s="154">
        <f t="shared" ref="U18:U34" si="40">T18*(1+$R18)</f>
        <v>233566.47014400005</v>
      </c>
      <c r="V18" s="154">
        <f t="shared" ref="V18:V34" si="41">U18*(1+$R18)</f>
        <v>261594.44656128009</v>
      </c>
      <c r="W18" s="154">
        <f t="shared" ref="W18:W36" si="42">V18*(1+$R18)</f>
        <v>292985.7801486337</v>
      </c>
      <c r="X18" s="154">
        <f t="shared" ref="X18:X36" si="43">W18*(1+$R18)</f>
        <v>328144.07376646978</v>
      </c>
      <c r="Y18" s="154">
        <f t="shared" ref="Y18:Y36" si="44">X18*(1+$R18)</f>
        <v>367521.36261844618</v>
      </c>
      <c r="Z18" s="154">
        <f t="shared" ref="Z18:Z36" si="45">Y18*(1+$R18)</f>
        <v>411623.92613265978</v>
      </c>
      <c r="AA18" s="154">
        <f t="shared" ref="AA18:AA36" si="46">Z18*(1+$R18)</f>
        <v>461018.79726857902</v>
      </c>
      <c r="AB18" s="154">
        <f t="shared" ref="AB18:AB36" si="47">AA18*(1+$R18)</f>
        <v>516341.05294080853</v>
      </c>
      <c r="AC18" s="138">
        <f t="shared" si="19"/>
        <v>0.15790126600005916</v>
      </c>
      <c r="AD18" s="31">
        <f t="shared" si="17"/>
        <v>0.05</v>
      </c>
      <c r="AE18" s="146">
        <f t="shared" si="1"/>
        <v>5421581.0558784893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11668</v>
      </c>
      <c r="H20" s="147">
        <v>17305</v>
      </c>
      <c r="I20" s="147">
        <v>10273</v>
      </c>
      <c r="J20" s="147">
        <v>16748</v>
      </c>
      <c r="K20" s="147">
        <v>16233</v>
      </c>
      <c r="L20" s="147">
        <v>16287</v>
      </c>
      <c r="M20" s="147">
        <v>20494</v>
      </c>
      <c r="N20" s="147">
        <v>33338</v>
      </c>
      <c r="O20" s="147">
        <v>24483</v>
      </c>
      <c r="P20" s="147">
        <v>36918</v>
      </c>
      <c r="Q20" s="118">
        <f>((P20/G20)^(1/($H$2-$H$1) ))-1</f>
        <v>0.13653395738299268</v>
      </c>
      <c r="R20" s="31">
        <f t="shared" si="6"/>
        <v>0.12</v>
      </c>
      <c r="S20" s="154">
        <f t="shared" ref="S20:S22" si="48">P20*(1+$R20)</f>
        <v>41348.160000000003</v>
      </c>
      <c r="T20" s="154">
        <f t="shared" ref="T20:T22" si="49">S20*(1+$R20)</f>
        <v>46309.939200000008</v>
      </c>
      <c r="U20" s="154">
        <f t="shared" ref="U20:U22" si="50">T20*(1+$R20)</f>
        <v>51867.131904000016</v>
      </c>
      <c r="V20" s="154">
        <f t="shared" ref="V20:V22" si="51">U20*(1+$R20)</f>
        <v>58091.187732480023</v>
      </c>
      <c r="W20" s="154">
        <f t="shared" ref="W20:W22" si="52">V20*(1+$R20)</f>
        <v>65062.130260377635</v>
      </c>
      <c r="X20" s="154">
        <f t="shared" ref="X20:X22" si="53">W20*(1+$R20)</f>
        <v>72869.585891622963</v>
      </c>
      <c r="Y20" s="154">
        <f t="shared" ref="Y20:Y22" si="54">X20*(1+$R20)</f>
        <v>81613.936198617725</v>
      </c>
      <c r="Z20" s="154">
        <f t="shared" ref="Z20:Z22" si="55">Y20*(1+$R20)</f>
        <v>91407.608542451853</v>
      </c>
      <c r="AA20" s="154">
        <f t="shared" ref="AA20:AA22" si="56">Z20*(1+$R20)</f>
        <v>102376.52156754608</v>
      </c>
      <c r="AB20" s="154">
        <f t="shared" ref="AB20:AB22" si="57">AA20*(1+$R20)</f>
        <v>114661.70415565162</v>
      </c>
      <c r="AC20" s="138">
        <f t="shared" ref="AC20:AC22" si="58">((AB20/G20)^(1/($AB$3-$H$1) ))-1</f>
        <v>0.12780167523673036</v>
      </c>
      <c r="AD20" s="31">
        <f t="shared" si="17"/>
        <v>0.05</v>
      </c>
      <c r="AE20" s="146">
        <f t="shared" si="1"/>
        <v>1203947.8936343421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-10500</v>
      </c>
      <c r="H21" s="147">
        <v>-8213</v>
      </c>
      <c r="I21" s="147">
        <v>-13189</v>
      </c>
      <c r="J21" s="147">
        <v>-29245</v>
      </c>
      <c r="K21" s="147">
        <v>-30425</v>
      </c>
      <c r="L21" s="147">
        <v>-23106</v>
      </c>
      <c r="M21" s="147">
        <v>-18230</v>
      </c>
      <c r="N21" s="147">
        <v>-32043</v>
      </c>
      <c r="O21" s="147">
        <v>-6301</v>
      </c>
      <c r="P21" s="147">
        <v>-27650</v>
      </c>
      <c r="Q21" s="118">
        <f>((P21/G21)^(1/($H$2-$H$1) ))-1</f>
        <v>0.11358371377139531</v>
      </c>
      <c r="R21" s="31">
        <f t="shared" si="6"/>
        <v>0.12</v>
      </c>
      <c r="S21" s="154">
        <f t="shared" si="48"/>
        <v>-30968.000000000004</v>
      </c>
      <c r="T21" s="154">
        <f t="shared" si="49"/>
        <v>-34684.160000000011</v>
      </c>
      <c r="U21" s="154">
        <f t="shared" si="50"/>
        <v>-38846.259200000015</v>
      </c>
      <c r="V21" s="154">
        <f t="shared" si="51"/>
        <v>-43507.810304000021</v>
      </c>
      <c r="W21" s="154">
        <f t="shared" si="52"/>
        <v>-48728.747540480028</v>
      </c>
      <c r="X21" s="154">
        <f t="shared" si="53"/>
        <v>-54576.197245337637</v>
      </c>
      <c r="Y21" s="154">
        <f t="shared" si="54"/>
        <v>-61125.340914778157</v>
      </c>
      <c r="Z21" s="154">
        <f t="shared" si="55"/>
        <v>-68460.381824551543</v>
      </c>
      <c r="AA21" s="154">
        <f t="shared" si="56"/>
        <v>-76675.627643497734</v>
      </c>
      <c r="AB21" s="154">
        <f t="shared" si="57"/>
        <v>-85876.702960717463</v>
      </c>
      <c r="AC21" s="138">
        <f t="shared" si="58"/>
        <v>0.11695611112333726</v>
      </c>
      <c r="AD21" s="31">
        <f t="shared" si="17"/>
        <v>0.05</v>
      </c>
      <c r="AE21" s="146">
        <f t="shared" si="1"/>
        <v>-901705.38108753355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-1046</v>
      </c>
      <c r="H22" s="147">
        <v>-5706</v>
      </c>
      <c r="I22" s="147">
        <v>1916</v>
      </c>
      <c r="J22" s="147">
        <v>-10736</v>
      </c>
      <c r="K22" s="147">
        <v>16716</v>
      </c>
      <c r="L22" s="147">
        <v>25036</v>
      </c>
      <c r="M22" s="147">
        <v>-11133</v>
      </c>
      <c r="N22" s="147">
        <v>14949</v>
      </c>
      <c r="O22" s="147">
        <v>-7590</v>
      </c>
      <c r="P22" s="147">
        <v>408</v>
      </c>
      <c r="Q22" s="118">
        <f>((P22/G22)^(1/($H$2-$H$1) ))-1</f>
        <v>-1.9006785727531192</v>
      </c>
      <c r="R22" s="31">
        <f t="shared" si="6"/>
        <v>0.12</v>
      </c>
      <c r="S22" s="154">
        <f t="shared" si="48"/>
        <v>456.96000000000004</v>
      </c>
      <c r="T22" s="154">
        <f t="shared" si="49"/>
        <v>511.79520000000008</v>
      </c>
      <c r="U22" s="154">
        <f t="shared" si="50"/>
        <v>573.21062400000017</v>
      </c>
      <c r="V22" s="154">
        <f t="shared" si="51"/>
        <v>641.99589888000025</v>
      </c>
      <c r="W22" s="154">
        <f t="shared" si="52"/>
        <v>719.03540674560031</v>
      </c>
      <c r="X22" s="154">
        <f t="shared" si="53"/>
        <v>805.31965555507247</v>
      </c>
      <c r="Y22" s="154">
        <f t="shared" si="54"/>
        <v>901.95801422168131</v>
      </c>
      <c r="Z22" s="154">
        <f t="shared" si="55"/>
        <v>1010.1929759282832</v>
      </c>
      <c r="AA22" s="154">
        <f t="shared" si="56"/>
        <v>1131.4161330396773</v>
      </c>
      <c r="AB22" s="154">
        <f t="shared" si="57"/>
        <v>1267.1860690044387</v>
      </c>
      <c r="AC22" s="138">
        <f t="shared" si="58"/>
        <v>-2.0101472100747388</v>
      </c>
      <c r="AD22" s="31">
        <f t="shared" si="17"/>
        <v>0.05</v>
      </c>
      <c r="AE22" s="146">
        <f t="shared" si="1"/>
        <v>13305.453724546607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270</v>
      </c>
      <c r="H23" s="147">
        <v>3610</v>
      </c>
      <c r="I23" s="147">
        <v>2616</v>
      </c>
      <c r="J23" s="147">
        <v>1937</v>
      </c>
      <c r="K23" s="147">
        <v>4474</v>
      </c>
      <c r="L23" s="147">
        <v>22742</v>
      </c>
      <c r="M23" s="147">
        <v>13890</v>
      </c>
      <c r="N23" s="147">
        <v>30139</v>
      </c>
      <c r="O23" s="147">
        <v>40731</v>
      </c>
      <c r="P23" s="147">
        <v>50456</v>
      </c>
      <c r="Q23" s="118">
        <f>((P23/G23)^(1/($H$2-$H$1) ))-1</f>
        <v>0.78811044192930235</v>
      </c>
      <c r="R23" s="31">
        <f t="shared" si="6"/>
        <v>0.12</v>
      </c>
      <c r="S23" s="154">
        <f t="shared" ref="S23" si="59">P23*(1+$R23)</f>
        <v>56510.720000000008</v>
      </c>
      <c r="T23" s="154">
        <f t="shared" ref="T23" si="60">S23*(1+$R23)</f>
        <v>63292.006400000013</v>
      </c>
      <c r="U23" s="154">
        <f t="shared" ref="U23" si="61">T23*(1+$R23)</f>
        <v>70887.047168000019</v>
      </c>
      <c r="V23" s="154">
        <f t="shared" ref="V23" si="62">U23*(1+$R23)</f>
        <v>79393.49282816003</v>
      </c>
      <c r="W23" s="154">
        <f t="shared" ref="W23" si="63">V23*(1+$R23)</f>
        <v>88920.711967539246</v>
      </c>
      <c r="X23" s="154">
        <f t="shared" ref="X23" si="64">W23*(1+$R23)</f>
        <v>99591.197403643964</v>
      </c>
      <c r="Y23" s="154">
        <f t="shared" ref="Y23" si="65">X23*(1+$R23)</f>
        <v>111542.14109208125</v>
      </c>
      <c r="Z23" s="154">
        <f t="shared" ref="Z23" si="66">Y23*(1+$R23)</f>
        <v>124927.19802313102</v>
      </c>
      <c r="AA23" s="154">
        <f t="shared" ref="AA23" si="67">Z23*(1+$R23)</f>
        <v>139918.46178590675</v>
      </c>
      <c r="AB23" s="154">
        <f t="shared" ref="AB23" si="68">AA23*(1+$R23)</f>
        <v>156708.67720021558</v>
      </c>
      <c r="AC23" s="138">
        <f t="shared" ref="AC23" si="69">((AB23/G23)^(1/($AB$3-$H$1) ))-1</f>
        <v>0.39784634690625764</v>
      </c>
      <c r="AD23" s="31">
        <f t="shared" si="17"/>
        <v>0.05</v>
      </c>
      <c r="AE23" s="146">
        <f t="shared" si="1"/>
        <v>1645441.1106022638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52943</v>
      </c>
      <c r="H25" s="147">
        <v>67592</v>
      </c>
      <c r="I25" s="147">
        <v>85777</v>
      </c>
      <c r="J25" s="147">
        <v>114796</v>
      </c>
      <c r="K25" s="147">
        <v>145990</v>
      </c>
      <c r="L25" s="147">
        <v>154900</v>
      </c>
      <c r="M25" s="147">
        <v>220855</v>
      </c>
      <c r="N25" s="147">
        <v>272772</v>
      </c>
      <c r="O25" s="147">
        <v>367257</v>
      </c>
      <c r="P25" s="147">
        <v>409883</v>
      </c>
      <c r="Q25" s="118">
        <f>((P25/G25)^(1/($H$2-$H$1) ))-1</f>
        <v>0.25533969592264438</v>
      </c>
      <c r="R25" s="31">
        <f t="shared" si="6"/>
        <v>0.12</v>
      </c>
      <c r="S25" s="154">
        <f t="shared" si="38"/>
        <v>459068.96</v>
      </c>
      <c r="T25" s="154">
        <f t="shared" si="39"/>
        <v>514157.23520000005</v>
      </c>
      <c r="U25" s="154">
        <f t="shared" si="40"/>
        <v>575856.10342400009</v>
      </c>
      <c r="V25" s="154">
        <f t="shared" si="41"/>
        <v>644958.83583488013</v>
      </c>
      <c r="W25" s="154">
        <f t="shared" si="42"/>
        <v>722353.89613506582</v>
      </c>
      <c r="X25" s="154">
        <f t="shared" si="43"/>
        <v>809036.36367127381</v>
      </c>
      <c r="Y25" s="154">
        <f t="shared" si="44"/>
        <v>906120.72731182678</v>
      </c>
      <c r="Z25" s="154">
        <f t="shared" si="45"/>
        <v>1014855.2145892461</v>
      </c>
      <c r="AA25" s="154">
        <f t="shared" si="46"/>
        <v>1136637.8403399556</v>
      </c>
      <c r="AB25" s="154">
        <f t="shared" si="47"/>
        <v>1273034.3811807504</v>
      </c>
      <c r="AC25" s="138">
        <f t="shared" si="19"/>
        <v>0.18218616612066341</v>
      </c>
      <c r="AD25" s="31">
        <f t="shared" si="17"/>
        <v>0.05</v>
      </c>
      <c r="AE25" s="146">
        <f t="shared" si="1"/>
        <v>13366861.00239788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0.21672683157770151</v>
      </c>
      <c r="I26" s="148">
        <f t="shared" ref="I26:P26" si="70">(I25-H25)/I25</f>
        <v>0.21200321764575586</v>
      </c>
      <c r="J26" s="148">
        <f t="shared" si="70"/>
        <v>0.25278755357329524</v>
      </c>
      <c r="K26" s="148">
        <f t="shared" si="70"/>
        <v>0.21367216932666622</v>
      </c>
      <c r="L26" s="148">
        <f t="shared" si="70"/>
        <v>5.7520981278244031E-2</v>
      </c>
      <c r="M26" s="148">
        <f t="shared" si="70"/>
        <v>0.29863485092028708</v>
      </c>
      <c r="N26" s="148">
        <f t="shared" si="70"/>
        <v>0.19033111902981245</v>
      </c>
      <c r="O26" s="148">
        <f t="shared" si="70"/>
        <v>0.2572721554660633</v>
      </c>
      <c r="P26" s="148">
        <f t="shared" si="70"/>
        <v>0.10399553043185494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41890</v>
      </c>
      <c r="H27" s="147">
        <v>53237</v>
      </c>
      <c r="I27" s="147">
        <v>70298</v>
      </c>
      <c r="J27" s="147">
        <v>93894</v>
      </c>
      <c r="K27" s="147">
        <v>116707</v>
      </c>
      <c r="L27" s="147">
        <v>129232</v>
      </c>
      <c r="M27" s="147">
        <v>179153</v>
      </c>
      <c r="N27" s="147">
        <v>232169</v>
      </c>
      <c r="O27" s="147">
        <v>326554</v>
      </c>
      <c r="P27" s="147">
        <v>368971</v>
      </c>
      <c r="Q27" s="118">
        <f>((P27/G27)^(1/($H$2-$H$1) ))-1</f>
        <v>0.27346459383452504</v>
      </c>
      <c r="R27" s="31">
        <f t="shared" si="6"/>
        <v>0.12</v>
      </c>
      <c r="S27" s="154">
        <f t="shared" si="38"/>
        <v>413247.52</v>
      </c>
      <c r="T27" s="154">
        <f t="shared" si="39"/>
        <v>462837.22240000009</v>
      </c>
      <c r="U27" s="154">
        <f t="shared" si="40"/>
        <v>518377.68908800016</v>
      </c>
      <c r="V27" s="154">
        <f t="shared" si="41"/>
        <v>580583.01177856023</v>
      </c>
      <c r="W27" s="154">
        <f t="shared" si="42"/>
        <v>650252.97319198749</v>
      </c>
      <c r="X27" s="154">
        <f t="shared" si="43"/>
        <v>728283.32997502608</v>
      </c>
      <c r="Y27" s="154">
        <f t="shared" si="44"/>
        <v>815677.3295720293</v>
      </c>
      <c r="Z27" s="154">
        <f t="shared" si="45"/>
        <v>913558.60912067292</v>
      </c>
      <c r="AA27" s="154">
        <f t="shared" si="46"/>
        <v>1023185.6422151538</v>
      </c>
      <c r="AB27" s="154">
        <f t="shared" si="47"/>
        <v>1145967.9192809723</v>
      </c>
      <c r="AC27" s="138">
        <f t="shared" si="19"/>
        <v>0.19024083858829144</v>
      </c>
      <c r="AD27" s="31">
        <f t="shared" si="17"/>
        <v>0.05</v>
      </c>
      <c r="AE27" s="146">
        <f t="shared" si="1"/>
        <v>12032663.152450209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0.21314123635817195</v>
      </c>
      <c r="I28" s="148">
        <f t="shared" si="71"/>
        <v>0.24269538251443853</v>
      </c>
      <c r="J28" s="148">
        <f t="shared" si="71"/>
        <v>0.25130466270475216</v>
      </c>
      <c r="K28" s="148">
        <f t="shared" si="71"/>
        <v>0.1954724223911162</v>
      </c>
      <c r="L28" s="148">
        <f t="shared" si="71"/>
        <v>9.6918719821715987E-2</v>
      </c>
      <c r="M28" s="148">
        <f t="shared" si="71"/>
        <v>0.27865009237913962</v>
      </c>
      <c r="N28" s="148">
        <f t="shared" si="71"/>
        <v>0.22835089956023413</v>
      </c>
      <c r="O28" s="148">
        <f t="shared" si="71"/>
        <v>0.28903336048555522</v>
      </c>
      <c r="P28" s="148">
        <f t="shared" si="71"/>
        <v>0.11496025432893101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1464</v>
      </c>
      <c r="H29" s="147">
        <v>1492</v>
      </c>
      <c r="I29" s="147">
        <v>951</v>
      </c>
      <c r="J29" s="147">
        <v>1345</v>
      </c>
      <c r="K29" s="147">
        <v>1257</v>
      </c>
      <c r="L29" s="147">
        <v>2133</v>
      </c>
      <c r="M29" s="147">
        <v>2063</v>
      </c>
      <c r="N29" s="147">
        <v>2413</v>
      </c>
      <c r="O29" s="147">
        <v>2894</v>
      </c>
      <c r="P29" s="147">
        <v>2643</v>
      </c>
      <c r="Q29" s="118">
        <f>((P29/G29)^(1/($H$2-$H$1) ))-1</f>
        <v>6.7840115190894945E-2</v>
      </c>
      <c r="R29" s="31">
        <f t="shared" si="6"/>
        <v>0.12</v>
      </c>
      <c r="S29" s="154">
        <f t="shared" ref="S29" si="72">P29*(1+$R29)</f>
        <v>2960.1600000000003</v>
      </c>
      <c r="T29" s="154">
        <f t="shared" ref="T29" si="73">S29*(1+$R29)</f>
        <v>3315.3792000000008</v>
      </c>
      <c r="U29" s="154">
        <f t="shared" ref="U29" si="74">T29*(1+$R29)</f>
        <v>3713.2247040000011</v>
      </c>
      <c r="V29" s="154">
        <f t="shared" ref="V29" si="75">U29*(1+$R29)</f>
        <v>4158.8116684800016</v>
      </c>
      <c r="W29" s="154">
        <f t="shared" ref="W29" si="76">V29*(1+$R29)</f>
        <v>4657.8690686976024</v>
      </c>
      <c r="X29" s="154">
        <f t="shared" ref="X29" si="77">W29*(1+$R29)</f>
        <v>5216.8133569413149</v>
      </c>
      <c r="Y29" s="154">
        <f t="shared" ref="Y29" si="78">X29*(1+$R29)</f>
        <v>5842.8309597742727</v>
      </c>
      <c r="Z29" s="154">
        <f t="shared" ref="Z29" si="79">Y29*(1+$R29)</f>
        <v>6543.9706749471861</v>
      </c>
      <c r="AA29" s="154">
        <f t="shared" ref="AA29" si="80">Z29*(1+$R29)</f>
        <v>7329.2471559408496</v>
      </c>
      <c r="AB29" s="154">
        <f t="shared" ref="AB29" si="81">AA29*(1+$R29)</f>
        <v>8208.7568146537524</v>
      </c>
      <c r="AC29" s="138">
        <f t="shared" ref="AC29" si="82">((AB29/G29)^(1/($AB$3-$H$1) ))-1</f>
        <v>9.4982489998012509E-2</v>
      </c>
      <c r="AD29" s="31">
        <f t="shared" si="17"/>
        <v>0.05</v>
      </c>
      <c r="AE29" s="146">
        <f t="shared" ref="AE29" si="83">(AB29*(1+AD29))/($C$1-AD29)</f>
        <v>86191.9465538644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1.876675603217158E-2</v>
      </c>
      <c r="I30" s="148">
        <f t="shared" si="84"/>
        <v>-0.56887486855941116</v>
      </c>
      <c r="J30" s="148">
        <f t="shared" si="84"/>
        <v>0.29293680297397767</v>
      </c>
      <c r="K30" s="148">
        <f t="shared" si="84"/>
        <v>-7.0007955449482892E-2</v>
      </c>
      <c r="L30" s="148">
        <f t="shared" si="84"/>
        <v>0.41068917018284107</v>
      </c>
      <c r="M30" s="148">
        <f t="shared" si="84"/>
        <v>-3.3931168201648085E-2</v>
      </c>
      <c r="N30" s="148">
        <f t="shared" si="84"/>
        <v>0.14504765851636967</v>
      </c>
      <c r="O30" s="148">
        <f t="shared" si="84"/>
        <v>0.16620594333102973</v>
      </c>
      <c r="P30" s="148">
        <f t="shared" si="84"/>
        <v>-9.4967839576239124E-2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36186</v>
      </c>
      <c r="H33" s="147">
        <v>47418</v>
      </c>
      <c r="I33" s="147">
        <v>60564</v>
      </c>
      <c r="J33" s="147">
        <v>81815</v>
      </c>
      <c r="K33" s="147">
        <v>103564</v>
      </c>
      <c r="L33" s="147">
        <v>117294</v>
      </c>
      <c r="M33" s="147">
        <v>164277</v>
      </c>
      <c r="N33" s="147">
        <v>212677</v>
      </c>
      <c r="O33" s="147">
        <v>304978</v>
      </c>
      <c r="P33" s="147">
        <v>341489</v>
      </c>
      <c r="Q33" s="118">
        <f>((P33/G33)^(1/($H$2-$H$1) ))-1</f>
        <v>0.28326138701732262</v>
      </c>
      <c r="R33" s="31">
        <f t="shared" si="6"/>
        <v>0.12</v>
      </c>
      <c r="S33" s="154">
        <f t="shared" si="38"/>
        <v>382467.68000000005</v>
      </c>
      <c r="T33" s="154">
        <f t="shared" si="39"/>
        <v>428363.80160000012</v>
      </c>
      <c r="U33" s="154">
        <f t="shared" si="40"/>
        <v>479767.4577920002</v>
      </c>
      <c r="V33" s="154">
        <f t="shared" si="41"/>
        <v>537339.55272704025</v>
      </c>
      <c r="W33" s="154">
        <f t="shared" si="42"/>
        <v>601820.29905428516</v>
      </c>
      <c r="X33" s="154">
        <f t="shared" si="43"/>
        <v>674038.73494079942</v>
      </c>
      <c r="Y33" s="154">
        <f t="shared" si="44"/>
        <v>754923.38313369546</v>
      </c>
      <c r="Z33" s="154">
        <f t="shared" si="45"/>
        <v>845514.18910973903</v>
      </c>
      <c r="AA33" s="154">
        <f t="shared" si="46"/>
        <v>946975.8918029078</v>
      </c>
      <c r="AB33" s="154">
        <f t="shared" si="47"/>
        <v>1060612.9988192569</v>
      </c>
      <c r="AC33" s="138">
        <f t="shared" si="19"/>
        <v>0.19456940555564484</v>
      </c>
      <c r="AD33" s="31">
        <f t="shared" si="17"/>
        <v>0.05</v>
      </c>
      <c r="AE33" s="146">
        <f t="shared" si="1"/>
        <v>11136436.487602198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725</v>
      </c>
      <c r="H34" s="147">
        <v>907</v>
      </c>
      <c r="I34" s="147">
        <v>1146</v>
      </c>
      <c r="J34" s="147">
        <v>2262</v>
      </c>
      <c r="K34" s="147">
        <v>2108</v>
      </c>
      <c r="L34" s="147">
        <v>3848</v>
      </c>
      <c r="M34" s="147">
        <v>3140</v>
      </c>
      <c r="N34" s="147">
        <v>2834</v>
      </c>
      <c r="O34" s="147">
        <v>4740</v>
      </c>
      <c r="P34" s="147">
        <v>7993</v>
      </c>
      <c r="Q34" s="118">
        <f>((P34/G34)^(1/($H$2-$H$1) ))-1</f>
        <v>0.30562690081920141</v>
      </c>
      <c r="R34" s="31">
        <f t="shared" si="6"/>
        <v>0.12</v>
      </c>
      <c r="S34" s="154">
        <f t="shared" si="38"/>
        <v>8952.1600000000017</v>
      </c>
      <c r="T34" s="154">
        <f t="shared" si="39"/>
        <v>10026.419200000002</v>
      </c>
      <c r="U34" s="154">
        <f t="shared" si="40"/>
        <v>11229.589504000003</v>
      </c>
      <c r="V34" s="154">
        <f t="shared" si="41"/>
        <v>12577.140244480004</v>
      </c>
      <c r="W34" s="154">
        <f t="shared" si="42"/>
        <v>14086.397073817607</v>
      </c>
      <c r="X34" s="154">
        <f t="shared" si="43"/>
        <v>15776.764722675722</v>
      </c>
      <c r="Y34" s="154">
        <f t="shared" si="44"/>
        <v>17669.976489396809</v>
      </c>
      <c r="Z34" s="154">
        <f t="shared" si="45"/>
        <v>19790.37366812443</v>
      </c>
      <c r="AA34" s="154">
        <f t="shared" si="46"/>
        <v>22165.218508299364</v>
      </c>
      <c r="AB34" s="154">
        <f t="shared" si="47"/>
        <v>24825.044729295289</v>
      </c>
      <c r="AC34" s="138">
        <f t="shared" si="19"/>
        <v>0.20438654888952401</v>
      </c>
      <c r="AD34" s="31">
        <f t="shared" si="17"/>
        <v>0.05</v>
      </c>
      <c r="AE34" s="146">
        <f t="shared" si="1"/>
        <v>260662.96965760057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9577</v>
      </c>
      <c r="H36" s="147">
        <v>12703</v>
      </c>
      <c r="I36" s="147">
        <v>14512</v>
      </c>
      <c r="J36" s="147">
        <v>20578</v>
      </c>
      <c r="K36" s="147">
        <v>22335</v>
      </c>
      <c r="L36" s="147">
        <v>24372</v>
      </c>
      <c r="M36" s="147">
        <v>30252</v>
      </c>
      <c r="N36" s="147">
        <v>38004</v>
      </c>
      <c r="O36" s="147">
        <v>34819</v>
      </c>
      <c r="P36" s="147">
        <v>33045</v>
      </c>
      <c r="Q36" s="118">
        <f>((P36/G36)^(1/($H$2-$H$1) ))-1</f>
        <v>0.14752995164664484</v>
      </c>
      <c r="R36" s="31">
        <f t="shared" si="6"/>
        <v>0.12</v>
      </c>
      <c r="S36" s="154">
        <f t="shared" ref="S36" si="88">P36*(1+$R36)</f>
        <v>37010.400000000001</v>
      </c>
      <c r="T36" s="154">
        <f t="shared" ref="T36" si="89">S36*(1+$R36)</f>
        <v>41451.648000000008</v>
      </c>
      <c r="U36" s="154">
        <f t="shared" ref="U36" si="90">T36*(1+$R36)</f>
        <v>46425.845760000011</v>
      </c>
      <c r="V36" s="154">
        <f t="shared" ref="V36" si="91">U36*(1+$R36)</f>
        <v>51996.947251200014</v>
      </c>
      <c r="W36" s="154">
        <f t="shared" si="42"/>
        <v>58236.580921344022</v>
      </c>
      <c r="X36" s="154">
        <f t="shared" si="43"/>
        <v>65224.970631905315</v>
      </c>
      <c r="Y36" s="154">
        <f t="shared" si="44"/>
        <v>73051.967107733959</v>
      </c>
      <c r="Z36" s="154">
        <f t="shared" si="45"/>
        <v>81818.203160662044</v>
      </c>
      <c r="AA36" s="154">
        <f t="shared" si="46"/>
        <v>91636.387539941497</v>
      </c>
      <c r="AB36" s="154">
        <f t="shared" si="47"/>
        <v>102632.75404473448</v>
      </c>
      <c r="AC36" s="138">
        <f t="shared" si="19"/>
        <v>0.13295718966327574</v>
      </c>
      <c r="AD36" s="31">
        <f t="shared" si="17"/>
        <v>0.05</v>
      </c>
      <c r="AE36" s="146">
        <f t="shared" si="1"/>
        <v>1077643.9174697122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92">(G36-F36)/G36</f>
        <v>1</v>
      </c>
      <c r="H37" s="148">
        <f t="shared" ref="H37" si="93">(H36-G36)/H36</f>
        <v>0.2460836022986696</v>
      </c>
      <c r="I37" s="148">
        <f t="shared" ref="I37" si="94">(I36-H36)/I36</f>
        <v>0.12465545755237045</v>
      </c>
      <c r="J37" s="148">
        <f t="shared" ref="J37" si="95">(J36-I36)/J36</f>
        <v>0.29478083390028187</v>
      </c>
      <c r="K37" s="148">
        <f t="shared" ref="K37" si="96">(K36-J36)/K36</f>
        <v>7.8665771211103644E-2</v>
      </c>
      <c r="L37" s="148">
        <f t="shared" ref="L37" si="97">(L36-K36)/L36</f>
        <v>8.3579517479074342E-2</v>
      </c>
      <c r="M37" s="148">
        <f t="shared" ref="M37" si="98">(M36-L36)/M36</f>
        <v>0.19436731455771519</v>
      </c>
      <c r="N37" s="148">
        <f t="shared" ref="N37" si="99">(N36-M36)/N36</f>
        <v>0.20397852857593937</v>
      </c>
      <c r="O37" s="148">
        <f t="shared" ref="O37" si="100">(O36-N36)/O36</f>
        <v>-9.1473046325282178E-2</v>
      </c>
      <c r="P37" s="148">
        <f t="shared" ref="P37" si="101">(P36-O36)/P36</f>
        <v>-5.368436979875927E-2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102">P38*(1+$R38)</f>
        <v>0</v>
      </c>
      <c r="T38" s="154">
        <f t="shared" ref="T38" si="103">S38*(1+$R38)</f>
        <v>0</v>
      </c>
      <c r="U38" s="154">
        <f t="shared" ref="U38" si="104">T38*(1+$R38)</f>
        <v>0</v>
      </c>
      <c r="V38" s="154">
        <f t="shared" ref="V38" si="105">U38*(1+$R38)</f>
        <v>0</v>
      </c>
      <c r="W38" s="154">
        <f t="shared" ref="W38" si="106">V38*(1+$R38)</f>
        <v>0</v>
      </c>
      <c r="X38" s="154">
        <f t="shared" ref="X38" si="107">W38*(1+$R38)</f>
        <v>0</v>
      </c>
      <c r="Y38" s="154">
        <f t="shared" ref="Y38" si="108">X38*(1+$R38)</f>
        <v>0</v>
      </c>
      <c r="Z38" s="154">
        <f t="shared" ref="Z38" si="109">Y38*(1+$R38)</f>
        <v>0</v>
      </c>
      <c r="AA38" s="154">
        <f t="shared" ref="AA38" si="110">Z38*(1+$R38)</f>
        <v>0</v>
      </c>
      <c r="AB38" s="154">
        <f t="shared" ref="AB38" si="111">AA38*(1+$R38)</f>
        <v>0</v>
      </c>
      <c r="AC38" s="138" t="e">
        <f t="shared" ref="AC38" si="112">((AB38/G38)^(1/($AB$3-$H$1) ))-1</f>
        <v>#DIV/0!</v>
      </c>
      <c r="AD38" s="31">
        <f t="shared" si="17"/>
        <v>0.05</v>
      </c>
      <c r="AE38" s="146">
        <f t="shared" ref="AE38" si="113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14">(G38-F38)/G38</f>
        <v>#DIV/0!</v>
      </c>
      <c r="H39" s="148" t="e">
        <f t="shared" ref="H39" si="115">(H38-G38)/H38</f>
        <v>#DIV/0!</v>
      </c>
      <c r="I39" s="148" t="e">
        <f t="shared" ref="I39" si="116">(I38-H38)/I38</f>
        <v>#DIV/0!</v>
      </c>
      <c r="J39" s="148" t="e">
        <f t="shared" ref="J39" si="117">(J38-I38)/J38</f>
        <v>#DIV/0!</v>
      </c>
      <c r="K39" s="148" t="e">
        <f t="shared" ref="K39" si="118">(K38-J38)/K38</f>
        <v>#DIV/0!</v>
      </c>
      <c r="L39" s="148" t="e">
        <f t="shared" ref="L39" si="119">(L38-K38)/L38</f>
        <v>#DIV/0!</v>
      </c>
      <c r="M39" s="148" t="e">
        <f t="shared" ref="M39" si="120">(M38-L38)/M38</f>
        <v>#DIV/0!</v>
      </c>
      <c r="N39" s="148" t="e">
        <f t="shared" ref="N39" si="121">(N38-M38)/N38</f>
        <v>#DIV/0!</v>
      </c>
      <c r="O39" s="148" t="e">
        <f t="shared" ref="O39" si="122">(O38-N38)/O38</f>
        <v>#DIV/0!</v>
      </c>
      <c r="P39" s="148" t="e">
        <f t="shared" ref="P39" si="123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5168</v>
      </c>
      <c r="H40" s="147">
        <v>7628</v>
      </c>
      <c r="I40" s="147">
        <v>9394</v>
      </c>
      <c r="J40" s="147">
        <v>12074</v>
      </c>
      <c r="K40" s="147">
        <v>19523</v>
      </c>
      <c r="L40" s="147">
        <v>14950</v>
      </c>
      <c r="M40" s="147">
        <v>24423</v>
      </c>
      <c r="N40" s="147">
        <v>19271</v>
      </c>
      <c r="O40" s="147">
        <v>19717</v>
      </c>
      <c r="P40" s="147">
        <v>20886</v>
      </c>
      <c r="Q40" s="118">
        <f>((P40/G40)^(1/($H$2-$H$1) ))-1</f>
        <v>0.16786469528719095</v>
      </c>
      <c r="R40" s="31">
        <f t="shared" si="6"/>
        <v>0.12</v>
      </c>
      <c r="S40" s="154">
        <f>P40*(1+$R40)</f>
        <v>23392.320000000003</v>
      </c>
      <c r="T40" s="154">
        <f t="shared" ref="T40:AB40" si="124">S40*(1+$R40)</f>
        <v>26199.398400000005</v>
      </c>
      <c r="U40" s="154">
        <f t="shared" si="124"/>
        <v>29343.32620800001</v>
      </c>
      <c r="V40" s="154">
        <f t="shared" si="124"/>
        <v>32864.525352960016</v>
      </c>
      <c r="W40" s="154">
        <f t="shared" si="124"/>
        <v>36808.268395315223</v>
      </c>
      <c r="X40" s="154">
        <f t="shared" si="124"/>
        <v>41225.260602753056</v>
      </c>
      <c r="Y40" s="154">
        <f t="shared" si="124"/>
        <v>46172.291875083429</v>
      </c>
      <c r="Z40" s="154">
        <f t="shared" si="124"/>
        <v>51712.966900093445</v>
      </c>
      <c r="AA40" s="154">
        <f t="shared" si="124"/>
        <v>57918.522928104663</v>
      </c>
      <c r="AB40" s="154">
        <f t="shared" si="124"/>
        <v>64868.74567947723</v>
      </c>
      <c r="AC40" s="138">
        <f t="shared" si="19"/>
        <v>0.14242316240602859</v>
      </c>
      <c r="AD40" s="31">
        <f t="shared" si="17"/>
        <v>0.05</v>
      </c>
      <c r="AE40" s="146">
        <f t="shared" si="1"/>
        <v>681121.82963451103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5">(H40-G40)/H40</f>
        <v>0.32249606712113266</v>
      </c>
      <c r="I41" s="148">
        <f t="shared" si="125"/>
        <v>0.18799233553331915</v>
      </c>
      <c r="J41" s="148">
        <f t="shared" si="125"/>
        <v>0.22196455192976644</v>
      </c>
      <c r="K41" s="148">
        <f t="shared" si="125"/>
        <v>0.38154996670593661</v>
      </c>
      <c r="L41" s="148">
        <f t="shared" si="125"/>
        <v>-0.30588628762541809</v>
      </c>
      <c r="M41" s="148">
        <f t="shared" si="125"/>
        <v>0.38787208778610327</v>
      </c>
      <c r="N41" s="148">
        <f t="shared" si="125"/>
        <v>-0.26734471485652017</v>
      </c>
      <c r="O41" s="148">
        <f t="shared" si="125"/>
        <v>2.262007404777603E-2</v>
      </c>
      <c r="P41" s="148">
        <f t="shared" si="125"/>
        <v>5.5970506559417793E-2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5">
        <v>139.63</v>
      </c>
      <c r="H42" s="205">
        <v>139.35</v>
      </c>
      <c r="I42" s="205">
        <v>139.35</v>
      </c>
      <c r="J42" s="205">
        <v>139.35</v>
      </c>
      <c r="K42" s="205">
        <v>145.36000000000001</v>
      </c>
      <c r="L42" s="205">
        <v>145.36000000000001</v>
      </c>
      <c r="M42" s="205">
        <v>297.8</v>
      </c>
      <c r="N42" s="205">
        <v>298.10000000000002</v>
      </c>
      <c r="O42" s="205">
        <v>297.87</v>
      </c>
      <c r="P42" s="205">
        <v>293.63</v>
      </c>
      <c r="Q42" s="118">
        <f>((P42/G42)^(1/($H$2-$H$1) ))-1</f>
        <v>8.6098156005066206E-2</v>
      </c>
      <c r="R42" s="31">
        <f t="shared" si="6"/>
        <v>0.12</v>
      </c>
      <c r="S42" s="154">
        <f>P42*(1.5)</f>
        <v>440.44499999999999</v>
      </c>
      <c r="T42" s="154">
        <f t="shared" ref="T42:AB42" si="126">S42*(1+$R42)</f>
        <v>493.29840000000002</v>
      </c>
      <c r="U42" s="154">
        <f t="shared" si="126"/>
        <v>552.49420800000007</v>
      </c>
      <c r="V42" s="154">
        <f t="shared" si="126"/>
        <v>618.79351296000016</v>
      </c>
      <c r="W42" s="154">
        <f t="shared" si="126"/>
        <v>693.04873451520029</v>
      </c>
      <c r="X42" s="154">
        <f t="shared" si="126"/>
        <v>776.21458265702438</v>
      </c>
      <c r="Y42" s="154">
        <f t="shared" si="126"/>
        <v>869.36033257586735</v>
      </c>
      <c r="Z42" s="154">
        <f t="shared" si="126"/>
        <v>973.68357248497148</v>
      </c>
      <c r="AA42" s="154">
        <f t="shared" si="126"/>
        <v>1090.5256011831682</v>
      </c>
      <c r="AB42" s="154">
        <f t="shared" si="126"/>
        <v>1221.3886733251486</v>
      </c>
      <c r="AC42" s="138">
        <f t="shared" si="19"/>
        <v>0.12091421389386681</v>
      </c>
      <c r="AD42" s="31">
        <f t="shared" si="17"/>
        <v>0.05</v>
      </c>
      <c r="AE42" s="146">
        <f t="shared" si="1"/>
        <v>12824.581069914062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5.25</v>
      </c>
      <c r="H43" s="147">
        <v>7.5</v>
      </c>
      <c r="I43" s="147">
        <v>10</v>
      </c>
      <c r="J43" s="147">
        <v>11</v>
      </c>
      <c r="K43" s="206">
        <v>13</v>
      </c>
      <c r="L43" s="206">
        <v>13</v>
      </c>
      <c r="M43" s="206">
        <v>7</v>
      </c>
      <c r="N43" s="206">
        <v>8</v>
      </c>
      <c r="O43" s="206">
        <v>8.5</v>
      </c>
      <c r="P43" s="147">
        <v>9</v>
      </c>
      <c r="Q43" s="118">
        <f>((P43/G43)^(1/($H$2-$H$1) ))-1</f>
        <v>6.1718158457117367E-2</v>
      </c>
      <c r="R43" s="31">
        <v>0.05</v>
      </c>
      <c r="S43" s="154">
        <f t="shared" ref="S43" si="127">P43*(1+$R43)</f>
        <v>9.4500000000000011</v>
      </c>
      <c r="T43" s="154">
        <f t="shared" ref="T43" si="128">S43*(1+$R43)</f>
        <v>9.9225000000000012</v>
      </c>
      <c r="U43" s="154">
        <f t="shared" ref="U43" si="129">T43*(1+$R43)</f>
        <v>10.418625000000002</v>
      </c>
      <c r="V43" s="154">
        <f t="shared" ref="V43" si="130">U43*(1+$R43)</f>
        <v>10.939556250000003</v>
      </c>
      <c r="W43" s="154">
        <f t="shared" ref="W43" si="131">V43*(1+$R43)</f>
        <v>11.486534062500002</v>
      </c>
      <c r="X43" s="154">
        <f t="shared" ref="X43" si="132">W43*(1+$R43)</f>
        <v>12.060860765625003</v>
      </c>
      <c r="Y43" s="154">
        <f t="shared" ref="Y43" si="133">X43*(1+$R43)</f>
        <v>12.663903803906255</v>
      </c>
      <c r="Z43" s="154">
        <f t="shared" ref="Z43" si="134">Y43*(1+$R43)</f>
        <v>13.297098994101567</v>
      </c>
      <c r="AA43" s="154">
        <f t="shared" ref="AA43" si="135">Z43*(1+$R43)</f>
        <v>13.961953943806646</v>
      </c>
      <c r="AB43" s="154">
        <f t="shared" ref="AB43" si="136">AA43*(1+$R43)</f>
        <v>14.660051640996979</v>
      </c>
      <c r="AC43" s="138">
        <f t="shared" ref="AC43" si="137">((AB43/G43)^(1/($AB$3-$H$1) ))-1</f>
        <v>5.553449678183342E-2</v>
      </c>
      <c r="AD43" s="31">
        <f t="shared" si="17"/>
        <v>0.05</v>
      </c>
      <c r="AE43" s="146">
        <f t="shared" si="1"/>
        <v>153.93054223046829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 t="s">
        <v>428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38">C25/C42</f>
        <v>0</v>
      </c>
      <c r="D49" s="133">
        <f t="shared" si="138"/>
        <v>0</v>
      </c>
      <c r="E49" s="133">
        <f t="shared" si="138"/>
        <v>0</v>
      </c>
      <c r="F49" s="133">
        <f t="shared" si="138"/>
        <v>0</v>
      </c>
      <c r="G49" s="133">
        <f t="shared" si="138"/>
        <v>379.16636825897012</v>
      </c>
      <c r="H49" s="133">
        <f t="shared" si="138"/>
        <v>485.05202726946538</v>
      </c>
      <c r="I49" s="133">
        <f t="shared" si="138"/>
        <v>615.55077143882318</v>
      </c>
      <c r="J49" s="133">
        <f t="shared" si="138"/>
        <v>823.79619662719779</v>
      </c>
      <c r="K49" s="133">
        <f t="shared" si="138"/>
        <v>1004.3340671436433</v>
      </c>
      <c r="L49" s="133">
        <f t="shared" si="138"/>
        <v>1065.6301596037424</v>
      </c>
      <c r="M49" s="133">
        <f t="shared" si="138"/>
        <v>741.62189388851573</v>
      </c>
      <c r="N49" s="133">
        <f t="shared" si="138"/>
        <v>915.03522307950345</v>
      </c>
      <c r="O49" s="133">
        <f t="shared" si="138"/>
        <v>1232.9439017020848</v>
      </c>
      <c r="P49" s="133">
        <f t="shared" si="138"/>
        <v>1395.9166297721622</v>
      </c>
      <c r="Q49" s="118">
        <f>((P49/G49)^(1/($H$2-$H$1) ))-1</f>
        <v>0.15582527139175872</v>
      </c>
      <c r="R49" s="128"/>
      <c r="S49" s="158">
        <f t="shared" ref="S49:AB49" si="139">S25/S42</f>
        <v>1042.2844168965478</v>
      </c>
      <c r="T49" s="158">
        <f t="shared" si="139"/>
        <v>1042.2844168965478</v>
      </c>
      <c r="U49" s="158">
        <f t="shared" si="139"/>
        <v>1042.2844168965478</v>
      </c>
      <c r="V49" s="158">
        <f t="shared" si="139"/>
        <v>1042.2844168965478</v>
      </c>
      <c r="W49" s="158">
        <f t="shared" si="139"/>
        <v>1042.2844168965478</v>
      </c>
      <c r="X49" s="158">
        <f t="shared" si="139"/>
        <v>1042.2844168965478</v>
      </c>
      <c r="Y49" s="158">
        <f t="shared" si="139"/>
        <v>1042.2844168965478</v>
      </c>
      <c r="Z49" s="158">
        <f t="shared" si="139"/>
        <v>1042.2844168965478</v>
      </c>
      <c r="AA49" s="158">
        <f t="shared" si="139"/>
        <v>1042.2844168965478</v>
      </c>
      <c r="AB49" s="158">
        <f t="shared" si="139"/>
        <v>1042.2844168965476</v>
      </c>
      <c r="AC49" s="138">
        <f t="shared" ref="AC49" si="140">((AB49/G49)^(1/($AB$3-$H$1) ))-1</f>
        <v>5.466248127405593E-2</v>
      </c>
      <c r="AD49" s="31">
        <f t="shared" si="17"/>
        <v>0.05</v>
      </c>
      <c r="AE49" s="146">
        <f t="shared" ref="AE49:AE50" si="141">(AB49*(1+AD49))/($C$1-AD49)</f>
        <v>10943.986377413752</v>
      </c>
    </row>
    <row r="50" spans="2:31" x14ac:dyDescent="0.2">
      <c r="B50" s="20" t="s">
        <v>304</v>
      </c>
      <c r="C50" s="133">
        <f t="shared" ref="C50:P50" si="142">C27/C42</f>
        <v>0</v>
      </c>
      <c r="D50" s="133">
        <f t="shared" si="142"/>
        <v>0</v>
      </c>
      <c r="E50" s="133">
        <f t="shared" si="142"/>
        <v>0</v>
      </c>
      <c r="F50" s="133">
        <f t="shared" si="142"/>
        <v>0</v>
      </c>
      <c r="G50" s="133">
        <f t="shared" si="142"/>
        <v>300.00716178471674</v>
      </c>
      <c r="H50" s="133">
        <f t="shared" si="142"/>
        <v>382.03803372802298</v>
      </c>
      <c r="I50" s="133">
        <f t="shared" si="142"/>
        <v>504.47075708647293</v>
      </c>
      <c r="J50" s="133">
        <f t="shared" si="142"/>
        <v>673.79978471474703</v>
      </c>
      <c r="K50" s="133">
        <f t="shared" si="142"/>
        <v>802.88249862410555</v>
      </c>
      <c r="L50" s="133">
        <f t="shared" si="142"/>
        <v>889.04788112272968</v>
      </c>
      <c r="M50" s="133">
        <f t="shared" si="142"/>
        <v>601.58831430490261</v>
      </c>
      <c r="N50" s="133">
        <f t="shared" si="142"/>
        <v>778.82925192888285</v>
      </c>
      <c r="O50" s="133">
        <f t="shared" si="142"/>
        <v>1096.2970423339041</v>
      </c>
      <c r="P50" s="133">
        <f t="shared" si="142"/>
        <v>1256.5848176276265</v>
      </c>
      <c r="Q50" s="118">
        <f>((P50/G50)^(1/($H$2-$H$1) ))-1</f>
        <v>0.17251335599227802</v>
      </c>
      <c r="R50" s="128"/>
      <c r="S50" s="158">
        <f t="shared" ref="S50:AB50" si="143">S27/S42</f>
        <v>938.24999716196123</v>
      </c>
      <c r="T50" s="158">
        <f t="shared" si="143"/>
        <v>938.24999716196135</v>
      </c>
      <c r="U50" s="158">
        <f t="shared" si="143"/>
        <v>938.24999716196135</v>
      </c>
      <c r="V50" s="158">
        <f t="shared" si="143"/>
        <v>938.24999716196135</v>
      </c>
      <c r="W50" s="158">
        <f t="shared" si="143"/>
        <v>938.24999716196123</v>
      </c>
      <c r="X50" s="158">
        <f t="shared" si="143"/>
        <v>938.24999716196123</v>
      </c>
      <c r="Y50" s="158">
        <f t="shared" si="143"/>
        <v>938.24999716196135</v>
      </c>
      <c r="Z50" s="158">
        <f t="shared" si="143"/>
        <v>938.24999716196135</v>
      </c>
      <c r="AA50" s="158">
        <f t="shared" si="143"/>
        <v>938.24999716196135</v>
      </c>
      <c r="AB50" s="158">
        <f t="shared" si="143"/>
        <v>938.24999716196123</v>
      </c>
      <c r="AC50" s="138">
        <f t="shared" ref="AC50" si="144">((AB50/G50)^(1/($AB$3-$H$1) ))-1</f>
        <v>6.1848287616583564E-2</v>
      </c>
      <c r="AD50" s="31">
        <f t="shared" si="17"/>
        <v>0.05</v>
      </c>
      <c r="AE50" s="146">
        <f t="shared" si="141"/>
        <v>9851.6249702005953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3">
        <f t="shared" si="145"/>
        <v>0</v>
      </c>
      <c r="G52" s="133">
        <f t="shared" si="145"/>
        <v>37.012103416171314</v>
      </c>
      <c r="H52" s="133">
        <f t="shared" si="145"/>
        <v>54.739863652673129</v>
      </c>
      <c r="I52" s="133">
        <f t="shared" si="145"/>
        <v>67.412988876928594</v>
      </c>
      <c r="J52" s="133">
        <f t="shared" si="145"/>
        <v>86.645138141370651</v>
      </c>
      <c r="K52" s="133">
        <f t="shared" si="145"/>
        <v>134.30792515134837</v>
      </c>
      <c r="L52" s="133">
        <f t="shared" si="145"/>
        <v>102.84810126582278</v>
      </c>
      <c r="M52" s="133">
        <f t="shared" si="145"/>
        <v>82.011417058428478</v>
      </c>
      <c r="N52" s="133">
        <f t="shared" si="145"/>
        <v>64.646091915464609</v>
      </c>
      <c r="O52" s="133">
        <f t="shared" si="145"/>
        <v>66.193305804545602</v>
      </c>
      <c r="P52" s="133">
        <f t="shared" si="145"/>
        <v>71.130334093927729</v>
      </c>
      <c r="Q52" s="118">
        <f>((P52/G52)^(1/($H$2-$H$1) ))-1</f>
        <v>7.5284668176661018E-2</v>
      </c>
      <c r="R52" s="128"/>
      <c r="S52" s="158">
        <f t="shared" ref="S52:AB52" si="146">S40/S42</f>
        <v>53.110649456799379</v>
      </c>
      <c r="T52" s="158">
        <f t="shared" si="146"/>
        <v>53.110649456799386</v>
      </c>
      <c r="U52" s="158">
        <f t="shared" si="146"/>
        <v>53.110649456799386</v>
      </c>
      <c r="V52" s="158">
        <f t="shared" si="146"/>
        <v>53.110649456799386</v>
      </c>
      <c r="W52" s="158">
        <f t="shared" si="146"/>
        <v>53.110649456799386</v>
      </c>
      <c r="X52" s="158">
        <f t="shared" si="146"/>
        <v>53.110649456799386</v>
      </c>
      <c r="Y52" s="158">
        <f t="shared" si="146"/>
        <v>53.110649456799393</v>
      </c>
      <c r="Z52" s="158">
        <f t="shared" si="146"/>
        <v>53.110649456799393</v>
      </c>
      <c r="AA52" s="158">
        <f t="shared" si="146"/>
        <v>53.110649456799393</v>
      </c>
      <c r="AB52" s="158">
        <f t="shared" si="146"/>
        <v>53.110649456799386</v>
      </c>
      <c r="AC52" s="138">
        <f t="shared" ref="AC52:AC66" si="147">((AB52/G52)^(1/($AB$3-$H$1) ))-1</f>
        <v>1.9188755254912371E-2</v>
      </c>
      <c r="AD52" s="31">
        <f t="shared" si="17"/>
        <v>0.05</v>
      </c>
      <c r="AE52" s="146">
        <f t="shared" ref="AE52:AE80" si="148">(AB52*(1+AD52))/($C$1-AD52)</f>
        <v>557.66181929639367</v>
      </c>
    </row>
    <row r="53" spans="2:31" x14ac:dyDescent="0.2">
      <c r="B53" s="20" t="s">
        <v>388</v>
      </c>
      <c r="C53" s="133">
        <f t="shared" ref="C53:F53" si="149">C20/C42</f>
        <v>0</v>
      </c>
      <c r="D53" s="133">
        <f t="shared" si="149"/>
        <v>0</v>
      </c>
      <c r="E53" s="133">
        <f t="shared" si="149"/>
        <v>0</v>
      </c>
      <c r="F53" s="133">
        <f t="shared" si="149"/>
        <v>0</v>
      </c>
      <c r="G53" s="133">
        <f>G20/G42</f>
        <v>83.563704075055512</v>
      </c>
      <c r="H53" s="133">
        <f t="shared" ref="H53:P53" si="150">H20/H42</f>
        <v>124.18371008252602</v>
      </c>
      <c r="I53" s="133">
        <f t="shared" si="150"/>
        <v>73.720846788661646</v>
      </c>
      <c r="J53" s="133">
        <f t="shared" si="150"/>
        <v>120.18658055256549</v>
      </c>
      <c r="K53" s="133">
        <f t="shared" si="150"/>
        <v>111.67446340121077</v>
      </c>
      <c r="L53" s="133">
        <f t="shared" si="150"/>
        <v>112.04595487066592</v>
      </c>
      <c r="M53" s="133">
        <f t="shared" si="150"/>
        <v>68.817998656816656</v>
      </c>
      <c r="N53" s="133">
        <f t="shared" si="150"/>
        <v>111.83495471318349</v>
      </c>
      <c r="O53" s="133">
        <f t="shared" si="150"/>
        <v>82.193574378084392</v>
      </c>
      <c r="P53" s="133">
        <f t="shared" si="150"/>
        <v>125.72965977590846</v>
      </c>
      <c r="Q53" s="118">
        <f>((P53/G53)^(1/($H$2-$H$1) ))-1</f>
        <v>4.6437608883751036E-2</v>
      </c>
      <c r="R53" s="128"/>
      <c r="S53" s="133">
        <f t="shared" ref="S53:AB53" si="151">S20/S42</f>
        <v>93.878145966011658</v>
      </c>
      <c r="T53" s="133">
        <f t="shared" si="151"/>
        <v>93.878145966011658</v>
      </c>
      <c r="U53" s="133">
        <f t="shared" si="151"/>
        <v>93.878145966011658</v>
      </c>
      <c r="V53" s="133">
        <f t="shared" si="151"/>
        <v>93.878145966011658</v>
      </c>
      <c r="W53" s="133">
        <f t="shared" si="151"/>
        <v>93.878145966011658</v>
      </c>
      <c r="X53" s="133">
        <f t="shared" si="151"/>
        <v>93.878145966011672</v>
      </c>
      <c r="Y53" s="133">
        <f t="shared" si="151"/>
        <v>93.878145966011672</v>
      </c>
      <c r="Z53" s="133">
        <f t="shared" si="151"/>
        <v>93.878145966011672</v>
      </c>
      <c r="AA53" s="133">
        <f t="shared" si="151"/>
        <v>93.878145966011658</v>
      </c>
      <c r="AB53" s="133">
        <f t="shared" si="151"/>
        <v>93.878145966011644</v>
      </c>
      <c r="AC53" s="138">
        <f t="shared" ref="AC53" si="152">((AB53/G53)^(1/($AB$3-$H$1) ))-1</f>
        <v>6.144503528898726E-3</v>
      </c>
      <c r="AD53" s="31">
        <f t="shared" si="17"/>
        <v>0.05</v>
      </c>
      <c r="AE53" s="146">
        <f t="shared" si="148"/>
        <v>985.7205326431224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3">
        <f t="shared" si="153"/>
        <v>0</v>
      </c>
      <c r="G54" s="133">
        <f t="shared" si="153"/>
        <v>250.78421542648428</v>
      </c>
      <c r="H54" s="133">
        <f t="shared" si="153"/>
        <v>292.14926444205241</v>
      </c>
      <c r="I54" s="133">
        <f t="shared" si="153"/>
        <v>366.11410118406889</v>
      </c>
      <c r="J54" s="133">
        <f t="shared" si="153"/>
        <v>489.47972730534627</v>
      </c>
      <c r="K54" s="133">
        <f t="shared" si="153"/>
        <v>588.19482663731424</v>
      </c>
      <c r="L54" s="133">
        <f t="shared" si="153"/>
        <v>834.10842047330755</v>
      </c>
      <c r="M54" s="133">
        <f t="shared" si="153"/>
        <v>473.47884486232368</v>
      </c>
      <c r="N54" s="133">
        <f t="shared" si="153"/>
        <v>516.88359610868827</v>
      </c>
      <c r="O54" s="133">
        <f t="shared" si="153"/>
        <v>568.85554100782224</v>
      </c>
      <c r="P54" s="133">
        <f t="shared" si="153"/>
        <v>620.01498484487286</v>
      </c>
      <c r="Q54" s="118">
        <f>((P54/G54)^(1/($H$2-$H$1) ))-1</f>
        <v>0.10580359787043325</v>
      </c>
      <c r="R54" s="128"/>
      <c r="S54" s="158">
        <f t="shared" ref="S54:AB54" si="154">S7/S42</f>
        <v>462.94452201750505</v>
      </c>
      <c r="T54" s="158">
        <f t="shared" si="154"/>
        <v>462.94452201750505</v>
      </c>
      <c r="U54" s="158">
        <f t="shared" si="154"/>
        <v>462.94452201750499</v>
      </c>
      <c r="V54" s="158">
        <f t="shared" si="154"/>
        <v>462.94452201750499</v>
      </c>
      <c r="W54" s="158">
        <f t="shared" si="154"/>
        <v>462.94452201750499</v>
      </c>
      <c r="X54" s="158">
        <f t="shared" si="154"/>
        <v>462.94452201750494</v>
      </c>
      <c r="Y54" s="158">
        <f t="shared" si="154"/>
        <v>462.94452201750499</v>
      </c>
      <c r="Z54" s="158">
        <f t="shared" si="154"/>
        <v>462.94452201750499</v>
      </c>
      <c r="AA54" s="158">
        <f t="shared" si="154"/>
        <v>462.94452201750499</v>
      </c>
      <c r="AB54" s="158">
        <f t="shared" si="154"/>
        <v>462.94452201750499</v>
      </c>
      <c r="AC54" s="138">
        <f t="shared" si="147"/>
        <v>3.2790036447772897E-2</v>
      </c>
      <c r="AD54" s="31">
        <f t="shared" si="17"/>
        <v>0.05</v>
      </c>
      <c r="AE54" s="146">
        <f t="shared" si="148"/>
        <v>4860.9174811838029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240.78636396189933</v>
      </c>
      <c r="H55" s="144">
        <f t="shared" si="155"/>
        <v>262.56189451022607</v>
      </c>
      <c r="I55" s="144">
        <f t="shared" si="155"/>
        <v>320.39468963042697</v>
      </c>
      <c r="J55" s="144">
        <f t="shared" si="155"/>
        <v>457.66774309293146</v>
      </c>
      <c r="K55" s="144">
        <f t="shared" si="155"/>
        <v>558.37919647771048</v>
      </c>
      <c r="L55" s="144">
        <f t="shared" si="155"/>
        <v>740.04540451293337</v>
      </c>
      <c r="M55" s="144">
        <f t="shared" si="155"/>
        <v>431.87038280725318</v>
      </c>
      <c r="N55" s="144">
        <f t="shared" si="155"/>
        <v>486.46762831264675</v>
      </c>
      <c r="O55" s="144">
        <f t="shared" si="155"/>
        <v>546.29872091852144</v>
      </c>
      <c r="P55" s="144">
        <f t="shared" si="155"/>
        <v>609.93086537479144</v>
      </c>
      <c r="Q55" s="118">
        <f>((P55/G55)^(1/($H$2-$H$1) ))-1</f>
        <v>0.10879142364327832</v>
      </c>
      <c r="R55" s="128"/>
      <c r="S55" s="157">
        <f t="shared" ref="S55:AB55" si="156">S6/S42</f>
        <v>455.41504614651097</v>
      </c>
      <c r="T55" s="157">
        <f t="shared" si="156"/>
        <v>455.41504614651103</v>
      </c>
      <c r="U55" s="157">
        <f t="shared" si="156"/>
        <v>455.41504614651103</v>
      </c>
      <c r="V55" s="157">
        <f t="shared" si="156"/>
        <v>455.41504614651103</v>
      </c>
      <c r="W55" s="157">
        <f t="shared" si="156"/>
        <v>455.41504614651103</v>
      </c>
      <c r="X55" s="157">
        <f t="shared" si="156"/>
        <v>455.41504614651103</v>
      </c>
      <c r="Y55" s="157">
        <f t="shared" si="156"/>
        <v>455.41504614651103</v>
      </c>
      <c r="Z55" s="157">
        <f t="shared" si="156"/>
        <v>455.41504614651109</v>
      </c>
      <c r="AA55" s="157">
        <f t="shared" si="156"/>
        <v>455.41504614651109</v>
      </c>
      <c r="AB55" s="157">
        <f t="shared" si="156"/>
        <v>455.41504614651103</v>
      </c>
      <c r="AC55" s="138">
        <f t="shared" si="147"/>
        <v>3.4110935815485854E-2</v>
      </c>
      <c r="AD55" s="31">
        <f t="shared" si="17"/>
        <v>0.05</v>
      </c>
      <c r="AE55" s="146">
        <f t="shared" si="148"/>
        <v>4781.8579845383665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4">
        <f t="shared" si="157"/>
        <v>0</v>
      </c>
      <c r="G56" s="144">
        <f t="shared" si="157"/>
        <v>150.51206760724773</v>
      </c>
      <c r="H56" s="144">
        <f t="shared" si="157"/>
        <v>135.0340868317187</v>
      </c>
      <c r="I56" s="144">
        <f t="shared" si="157"/>
        <v>167.50627915321135</v>
      </c>
      <c r="J56" s="144">
        <f t="shared" si="157"/>
        <v>241.48546824542521</v>
      </c>
      <c r="K56" s="144">
        <f t="shared" si="157"/>
        <v>348.76169510181614</v>
      </c>
      <c r="L56" s="144">
        <f t="shared" si="157"/>
        <v>524.60099064391852</v>
      </c>
      <c r="M56" s="144">
        <f t="shared" si="157"/>
        <v>216.94089993284084</v>
      </c>
      <c r="N56" s="144">
        <f t="shared" si="157"/>
        <v>282.14022140221402</v>
      </c>
      <c r="O56" s="144">
        <f t="shared" si="157"/>
        <v>277.41967972605499</v>
      </c>
      <c r="P56" s="144">
        <f t="shared" si="157"/>
        <v>304.19916221094576</v>
      </c>
      <c r="Q56" s="118">
        <f>((P56/G56)^(1/($H$2-$H$1) ))-1</f>
        <v>8.1319604460627914E-2</v>
      </c>
      <c r="R56" s="128"/>
      <c r="S56" s="157">
        <f t="shared" ref="S56:AB56" si="158">S10/S42</f>
        <v>227.13537445083952</v>
      </c>
      <c r="T56" s="157">
        <f t="shared" si="158"/>
        <v>227.13537445083955</v>
      </c>
      <c r="U56" s="157">
        <f t="shared" si="158"/>
        <v>227.13537445083955</v>
      </c>
      <c r="V56" s="157">
        <f t="shared" si="158"/>
        <v>227.13537445083952</v>
      </c>
      <c r="W56" s="157">
        <f t="shared" si="158"/>
        <v>227.13537445083949</v>
      </c>
      <c r="X56" s="157">
        <f t="shared" si="158"/>
        <v>227.13537445083949</v>
      </c>
      <c r="Y56" s="157">
        <f t="shared" si="158"/>
        <v>227.13537445083952</v>
      </c>
      <c r="Z56" s="157">
        <f t="shared" si="158"/>
        <v>227.13537445083955</v>
      </c>
      <c r="AA56" s="157">
        <f t="shared" si="158"/>
        <v>227.13537445083955</v>
      </c>
      <c r="AB56" s="157">
        <f t="shared" si="158"/>
        <v>227.13537445083952</v>
      </c>
      <c r="AC56" s="138">
        <f t="shared" si="147"/>
        <v>2.1894287350319841E-2</v>
      </c>
      <c r="AD56" s="31">
        <f t="shared" si="17"/>
        <v>0.05</v>
      </c>
      <c r="AE56" s="146">
        <f t="shared" si="148"/>
        <v>2384.9214317338156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100.27214781923655</v>
      </c>
      <c r="H58" s="144">
        <f t="shared" si="159"/>
        <v>157.11517761033369</v>
      </c>
      <c r="I58" s="144">
        <f t="shared" si="159"/>
        <v>198.60782203085756</v>
      </c>
      <c r="J58" s="144">
        <f t="shared" si="159"/>
        <v>247.99425905992106</v>
      </c>
      <c r="K58" s="144">
        <f t="shared" si="159"/>
        <v>239.43313153549806</v>
      </c>
      <c r="L58" s="144">
        <f t="shared" si="159"/>
        <v>309.50742982938908</v>
      </c>
      <c r="M58" s="144">
        <f t="shared" si="159"/>
        <v>256.53794492948288</v>
      </c>
      <c r="N58" s="144">
        <f t="shared" si="159"/>
        <v>234.74337470647433</v>
      </c>
      <c r="O58" s="144">
        <f t="shared" si="159"/>
        <v>291.43586128176719</v>
      </c>
      <c r="P58" s="144">
        <f t="shared" si="159"/>
        <v>315.81582263392704</v>
      </c>
      <c r="Q58" s="118">
        <f>((P58/G58)^(1/($H$2-$H$1) ))-1</f>
        <v>0.13595599392259006</v>
      </c>
      <c r="R58" s="128"/>
      <c r="S58" s="157">
        <f t="shared" ref="S58:AB58" si="160">(S7-S10)/S42</f>
        <v>235.80914756666553</v>
      </c>
      <c r="T58" s="157">
        <f t="shared" si="160"/>
        <v>235.8091475666655</v>
      </c>
      <c r="U58" s="157">
        <f t="shared" si="160"/>
        <v>235.80914756666547</v>
      </c>
      <c r="V58" s="157">
        <f t="shared" si="160"/>
        <v>235.80914756666547</v>
      </c>
      <c r="W58" s="157">
        <f t="shared" si="160"/>
        <v>235.8091475666655</v>
      </c>
      <c r="X58" s="157">
        <f t="shared" si="160"/>
        <v>235.80914756666547</v>
      </c>
      <c r="Y58" s="157">
        <f t="shared" si="160"/>
        <v>235.80914756666547</v>
      </c>
      <c r="Z58" s="157">
        <f t="shared" si="160"/>
        <v>235.80914756666547</v>
      </c>
      <c r="AA58" s="157">
        <f t="shared" si="160"/>
        <v>235.80914756666547</v>
      </c>
      <c r="AB58" s="157">
        <f t="shared" si="160"/>
        <v>235.80914756666544</v>
      </c>
      <c r="AC58" s="138">
        <f t="shared" si="147"/>
        <v>4.6035281967302222E-2</v>
      </c>
      <c r="AD58" s="31">
        <f t="shared" si="17"/>
        <v>0.05</v>
      </c>
      <c r="AE58" s="146">
        <f t="shared" si="148"/>
        <v>2475.9960494499874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4">
        <f t="shared" si="161"/>
        <v>0</v>
      </c>
      <c r="G59" s="144">
        <f t="shared" si="161"/>
        <v>0.587266346773616</v>
      </c>
      <c r="H59" s="144">
        <f t="shared" si="161"/>
        <v>25.819878005023323</v>
      </c>
      <c r="I59" s="144">
        <f t="shared" si="161"/>
        <v>69.702188733405094</v>
      </c>
      <c r="J59" s="144">
        <f t="shared" si="161"/>
        <v>65.080731969860068</v>
      </c>
      <c r="K59" s="144">
        <f t="shared" si="161"/>
        <v>19.138690148596584</v>
      </c>
      <c r="L59" s="144">
        <f t="shared" si="161"/>
        <v>-9.727572922399558</v>
      </c>
      <c r="M59" s="144">
        <f t="shared" si="161"/>
        <v>86.648757555406306</v>
      </c>
      <c r="N59" s="144">
        <f t="shared" si="161"/>
        <v>16.044951358604493</v>
      </c>
      <c r="O59" s="144">
        <f t="shared" si="161"/>
        <v>48.856883875516161</v>
      </c>
      <c r="P59" s="144">
        <f t="shared" si="161"/>
        <v>26.52998671797841</v>
      </c>
      <c r="Q59" s="118">
        <f>((P59/G59)^(1/($H$2-$H$1) ))-1</f>
        <v>0.52713696974072288</v>
      </c>
      <c r="R59" s="128"/>
      <c r="S59" s="157">
        <f t="shared" ref="S59:AB59" si="162">(S7-S10-S9)/S42</f>
        <v>19.809056749423853</v>
      </c>
      <c r="T59" s="157">
        <f t="shared" si="162"/>
        <v>19.809056749423814</v>
      </c>
      <c r="U59" s="157">
        <f t="shared" si="162"/>
        <v>19.809056749423782</v>
      </c>
      <c r="V59" s="157">
        <f t="shared" si="162"/>
        <v>19.809056749423778</v>
      </c>
      <c r="W59" s="157">
        <f t="shared" si="162"/>
        <v>19.809056749423842</v>
      </c>
      <c r="X59" s="157">
        <f t="shared" si="162"/>
        <v>19.809056749423824</v>
      </c>
      <c r="Y59" s="157">
        <f t="shared" si="162"/>
        <v>19.80905674942381</v>
      </c>
      <c r="Z59" s="157">
        <f t="shared" si="162"/>
        <v>19.809056749423807</v>
      </c>
      <c r="AA59" s="157">
        <f t="shared" si="162"/>
        <v>19.809056749423817</v>
      </c>
      <c r="AB59" s="157">
        <f t="shared" si="162"/>
        <v>19.809056749423796</v>
      </c>
      <c r="AC59" s="138">
        <f t="shared" si="147"/>
        <v>0.20343478966430406</v>
      </c>
      <c r="AD59" s="31">
        <f t="shared" si="17"/>
        <v>0.05</v>
      </c>
      <c r="AE59" s="146">
        <f t="shared" si="148"/>
        <v>207.9950958689499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4">
        <f t="shared" si="163"/>
        <v>0</v>
      </c>
      <c r="G60" s="144">
        <f t="shared" si="163"/>
        <v>77.74117310033661</v>
      </c>
      <c r="H60" s="144">
        <f t="shared" si="163"/>
        <v>109.96770721205598</v>
      </c>
      <c r="I60" s="144">
        <f t="shared" si="163"/>
        <v>177.02906350914964</v>
      </c>
      <c r="J60" s="144">
        <f t="shared" si="163"/>
        <v>184.90132759239327</v>
      </c>
      <c r="K60" s="144">
        <f t="shared" si="163"/>
        <v>195.13621353880021</v>
      </c>
      <c r="L60" s="144">
        <f t="shared" si="163"/>
        <v>401.95376995046774</v>
      </c>
      <c r="M60" s="144">
        <f t="shared" si="163"/>
        <v>335.48690396239084</v>
      </c>
      <c r="N60" s="144">
        <f t="shared" si="163"/>
        <v>365.320362294532</v>
      </c>
      <c r="O60" s="144">
        <f t="shared" si="163"/>
        <v>468.22103602242589</v>
      </c>
      <c r="P60" s="144">
        <f t="shared" si="163"/>
        <v>489.93631440929062</v>
      </c>
      <c r="Q60" s="118">
        <f>((P60/G60)^(1/($H$2-$H$1) ))-1</f>
        <v>0.22696467724351477</v>
      </c>
      <c r="R60" s="128"/>
      <c r="S60" s="157">
        <f t="shared" ref="S60:AB60" si="164">(S7+S15-S10-S9)/S42</f>
        <v>365.81911475893696</v>
      </c>
      <c r="T60" s="157">
        <f t="shared" si="164"/>
        <v>365.81911475893696</v>
      </c>
      <c r="U60" s="157">
        <f t="shared" si="164"/>
        <v>365.81911475893696</v>
      </c>
      <c r="V60" s="157">
        <f t="shared" si="164"/>
        <v>365.81911475893691</v>
      </c>
      <c r="W60" s="157">
        <f t="shared" si="164"/>
        <v>365.81911475893691</v>
      </c>
      <c r="X60" s="157">
        <f t="shared" si="164"/>
        <v>365.81911475893708</v>
      </c>
      <c r="Y60" s="157">
        <f t="shared" si="164"/>
        <v>365.81911475893696</v>
      </c>
      <c r="Z60" s="157">
        <f t="shared" si="164"/>
        <v>365.81911475893702</v>
      </c>
      <c r="AA60" s="157">
        <f t="shared" si="164"/>
        <v>365.81911475893702</v>
      </c>
      <c r="AB60" s="157">
        <f t="shared" si="164"/>
        <v>365.81911475893685</v>
      </c>
      <c r="AC60" s="138">
        <f t="shared" si="147"/>
        <v>8.4927719767582399E-2</v>
      </c>
      <c r="AD60" s="31">
        <f t="shared" si="17"/>
        <v>0.05</v>
      </c>
      <c r="AE60" s="146">
        <f t="shared" si="148"/>
        <v>3841.1007049688369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1.933681873522882</v>
      </c>
      <c r="H62" s="144">
        <f t="shared" si="165"/>
        <v>2.762827412988877</v>
      </c>
      <c r="I62" s="144">
        <f t="shared" si="165"/>
        <v>1.8586293505561537</v>
      </c>
      <c r="J62" s="144">
        <f t="shared" si="165"/>
        <v>2.9350556153570149</v>
      </c>
      <c r="K62" s="144">
        <f t="shared" si="165"/>
        <v>2.6692350027517886</v>
      </c>
      <c r="L62" s="144">
        <f t="shared" si="165"/>
        <v>5.5401073197578414</v>
      </c>
      <c r="M62" s="144">
        <f t="shared" si="165"/>
        <v>2.2296843519140364</v>
      </c>
      <c r="N62" s="144">
        <f t="shared" si="165"/>
        <v>2.9319020462931902</v>
      </c>
      <c r="O62" s="144">
        <f t="shared" si="165"/>
        <v>4.8544667136670361</v>
      </c>
      <c r="P62" s="144">
        <f t="shared" si="165"/>
        <v>171.8353029322617</v>
      </c>
      <c r="Q62" s="118">
        <f>((P62/G62)^(1/($H$2-$H$1) ))-1</f>
        <v>0.64636173263235075</v>
      </c>
      <c r="R62" s="128"/>
      <c r="S62" s="157">
        <f t="shared" ref="S62:AB62" si="166">S12/S42</f>
        <v>128.30369285608876</v>
      </c>
      <c r="T62" s="157">
        <f t="shared" si="166"/>
        <v>128.30369285608876</v>
      </c>
      <c r="U62" s="157">
        <f t="shared" si="166"/>
        <v>128.30369285608876</v>
      </c>
      <c r="V62" s="157">
        <f t="shared" si="166"/>
        <v>128.30369285608873</v>
      </c>
      <c r="W62" s="157">
        <f t="shared" si="166"/>
        <v>128.30369285608873</v>
      </c>
      <c r="X62" s="157">
        <f t="shared" si="166"/>
        <v>128.30369285608873</v>
      </c>
      <c r="Y62" s="157">
        <f t="shared" si="166"/>
        <v>128.30369285608876</v>
      </c>
      <c r="Z62" s="157">
        <f t="shared" si="166"/>
        <v>128.30369285608876</v>
      </c>
      <c r="AA62" s="157">
        <f t="shared" si="166"/>
        <v>128.30369285608876</v>
      </c>
      <c r="AB62" s="157">
        <f t="shared" si="166"/>
        <v>128.30369285608873</v>
      </c>
      <c r="AC62" s="138">
        <f t="shared" si="147"/>
        <v>0.24705916793612159</v>
      </c>
      <c r="AD62" s="31">
        <f t="shared" si="17"/>
        <v>0.05</v>
      </c>
      <c r="AE62" s="146">
        <f t="shared" si="148"/>
        <v>1347.1887749889318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4">
        <f t="shared" si="167"/>
        <v>0</v>
      </c>
      <c r="G63" s="144">
        <f t="shared" si="167"/>
        <v>131.97736876029506</v>
      </c>
      <c r="H63" s="144">
        <f t="shared" si="167"/>
        <v>165.6476498026552</v>
      </c>
      <c r="I63" s="144">
        <f t="shared" si="167"/>
        <v>47.836383207750274</v>
      </c>
      <c r="J63" s="144">
        <f t="shared" si="167"/>
        <v>37.804090419806244</v>
      </c>
      <c r="K63" s="144">
        <f t="shared" si="167"/>
        <v>65.506329113924039</v>
      </c>
      <c r="L63" s="144">
        <f t="shared" si="167"/>
        <v>44.269400110071544</v>
      </c>
      <c r="M63" s="144">
        <f t="shared" si="167"/>
        <v>30.685023505708529</v>
      </c>
      <c r="N63" s="144">
        <f t="shared" si="167"/>
        <v>56.903723582690368</v>
      </c>
      <c r="O63" s="144">
        <f t="shared" si="167"/>
        <v>129.57330379024407</v>
      </c>
      <c r="P63" s="144">
        <f t="shared" si="167"/>
        <v>145.92514388856725</v>
      </c>
      <c r="Q63" s="118">
        <f>((P63/G63)^(1/($H$2-$H$1) ))-1</f>
        <v>1.1225125074757036E-2</v>
      </c>
      <c r="R63" s="128"/>
      <c r="S63" s="157">
        <f t="shared" ref="S63:AB63" si="168">S13/S42</f>
        <v>108.95744077013022</v>
      </c>
      <c r="T63" s="157">
        <f t="shared" si="168"/>
        <v>108.95744077013022</v>
      </c>
      <c r="U63" s="157">
        <f t="shared" si="168"/>
        <v>108.95744077013022</v>
      </c>
      <c r="V63" s="157">
        <f t="shared" si="168"/>
        <v>108.95744077013021</v>
      </c>
      <c r="W63" s="157">
        <f t="shared" si="168"/>
        <v>108.95744077013019</v>
      </c>
      <c r="X63" s="157">
        <f t="shared" si="168"/>
        <v>108.95744077013019</v>
      </c>
      <c r="Y63" s="157">
        <f t="shared" si="168"/>
        <v>108.95744077013019</v>
      </c>
      <c r="Z63" s="157">
        <f t="shared" si="168"/>
        <v>108.95744077013021</v>
      </c>
      <c r="AA63" s="157">
        <f t="shared" si="168"/>
        <v>108.95744077013021</v>
      </c>
      <c r="AB63" s="157">
        <f t="shared" si="168"/>
        <v>108.95744077013019</v>
      </c>
      <c r="AC63" s="138">
        <f t="shared" si="147"/>
        <v>-1.0037344364942524E-2</v>
      </c>
      <c r="AD63" s="31">
        <f t="shared" si="17"/>
        <v>0.05</v>
      </c>
      <c r="AE63" s="146">
        <f t="shared" si="148"/>
        <v>1144.0531280863672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4">
        <f t="shared" si="169"/>
        <v>0</v>
      </c>
      <c r="G64" s="144">
        <f t="shared" si="169"/>
        <v>133.91105063381795</v>
      </c>
      <c r="H64" s="144">
        <f t="shared" si="169"/>
        <v>168.41047721564408</v>
      </c>
      <c r="I64" s="144">
        <f t="shared" si="169"/>
        <v>49.695012558306431</v>
      </c>
      <c r="J64" s="144">
        <f t="shared" si="169"/>
        <v>40.739146035163259</v>
      </c>
      <c r="K64" s="144">
        <f t="shared" si="169"/>
        <v>68.175564116675829</v>
      </c>
      <c r="L64" s="144">
        <f t="shared" si="169"/>
        <v>49.809507429829388</v>
      </c>
      <c r="M64" s="144">
        <f t="shared" si="169"/>
        <v>32.914707857622567</v>
      </c>
      <c r="N64" s="144">
        <f t="shared" si="169"/>
        <v>59.835625628983557</v>
      </c>
      <c r="O64" s="144">
        <f t="shared" ref="O64" si="170">(O62+O63)</f>
        <v>134.42777050391109</v>
      </c>
      <c r="P64" s="144">
        <f t="shared" si="169"/>
        <v>317.76044682082897</v>
      </c>
      <c r="Q64" s="118">
        <f>((P64/G64)^(1/($H$2-$H$1) ))-1</f>
        <v>0.10077398656190217</v>
      </c>
      <c r="R64" s="128"/>
      <c r="S64" s="157">
        <f t="shared" ref="S64:AB64" si="171">(S62+S63)</f>
        <v>237.26113362621896</v>
      </c>
      <c r="T64" s="157">
        <f t="shared" si="171"/>
        <v>237.26113362621896</v>
      </c>
      <c r="U64" s="157">
        <f t="shared" si="171"/>
        <v>237.26113362621896</v>
      </c>
      <c r="V64" s="157">
        <f t="shared" si="171"/>
        <v>237.26113362621894</v>
      </c>
      <c r="W64" s="157">
        <f t="shared" si="171"/>
        <v>237.26113362621891</v>
      </c>
      <c r="X64" s="157">
        <f t="shared" si="171"/>
        <v>237.26113362621891</v>
      </c>
      <c r="Y64" s="157">
        <f t="shared" si="171"/>
        <v>237.26113362621896</v>
      </c>
      <c r="Z64" s="157">
        <f t="shared" si="171"/>
        <v>237.26113362621896</v>
      </c>
      <c r="AA64" s="157">
        <f t="shared" si="171"/>
        <v>237.26113362621896</v>
      </c>
      <c r="AB64" s="157">
        <f t="shared" si="171"/>
        <v>237.26113362621891</v>
      </c>
      <c r="AC64" s="138">
        <f t="shared" si="147"/>
        <v>3.056222673899911E-2</v>
      </c>
      <c r="AD64" s="31">
        <f t="shared" si="17"/>
        <v>0.05</v>
      </c>
      <c r="AE64" s="146">
        <f t="shared" si="148"/>
        <v>2491.241903075299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77.153906753562993</v>
      </c>
      <c r="H65" s="144">
        <f t="shared" si="172"/>
        <v>84.147829207032657</v>
      </c>
      <c r="I65" s="144">
        <f t="shared" si="172"/>
        <v>107.32687477574453</v>
      </c>
      <c r="J65" s="144">
        <f t="shared" si="172"/>
        <v>119.82059562253319</v>
      </c>
      <c r="K65" s="144">
        <f t="shared" si="172"/>
        <v>175.99752339020361</v>
      </c>
      <c r="L65" s="144">
        <f t="shared" si="172"/>
        <v>411.68134287286733</v>
      </c>
      <c r="M65" s="144">
        <f t="shared" si="172"/>
        <v>248.83814640698455</v>
      </c>
      <c r="N65" s="144">
        <f t="shared" si="172"/>
        <v>349.27541093592754</v>
      </c>
      <c r="O65" s="144">
        <f t="shared" si="172"/>
        <v>419.3641521469097</v>
      </c>
      <c r="P65" s="144">
        <f t="shared" si="172"/>
        <v>463.40632769131219</v>
      </c>
      <c r="Q65" s="118">
        <f>((P65/G65)^(1/($H$2-$H$1) ))-1</f>
        <v>0.22042630480468683</v>
      </c>
      <c r="R65" s="128"/>
      <c r="S65" s="157">
        <f t="shared" ref="S65:AB65" si="173">S15/S42</f>
        <v>346.01005800951316</v>
      </c>
      <c r="T65" s="157">
        <f t="shared" si="173"/>
        <v>346.01005800951316</v>
      </c>
      <c r="U65" s="157">
        <f t="shared" si="173"/>
        <v>346.01005800951316</v>
      </c>
      <c r="V65" s="157">
        <f t="shared" si="173"/>
        <v>346.01005800951316</v>
      </c>
      <c r="W65" s="157">
        <f t="shared" si="173"/>
        <v>346.01005800951316</v>
      </c>
      <c r="X65" s="157">
        <f t="shared" si="173"/>
        <v>346.01005800951316</v>
      </c>
      <c r="Y65" s="157">
        <f t="shared" si="173"/>
        <v>346.01005800951316</v>
      </c>
      <c r="Z65" s="157">
        <f t="shared" si="173"/>
        <v>346.01005800951316</v>
      </c>
      <c r="AA65" s="157">
        <f t="shared" si="173"/>
        <v>346.01005800951316</v>
      </c>
      <c r="AB65" s="157">
        <f t="shared" si="173"/>
        <v>346.01005800951316</v>
      </c>
      <c r="AC65" s="138">
        <f t="shared" si="147"/>
        <v>8.2185277041599392E-2</v>
      </c>
      <c r="AD65" s="31">
        <f t="shared" si="17"/>
        <v>0.05</v>
      </c>
      <c r="AE65" s="146">
        <f t="shared" si="148"/>
        <v>3633.1056090998886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4">
        <f t="shared" si="174"/>
        <v>0</v>
      </c>
      <c r="G66" s="144">
        <f t="shared" si="174"/>
        <v>16.901811931533338</v>
      </c>
      <c r="H66" s="144">
        <f t="shared" si="174"/>
        <v>12.213850017940437</v>
      </c>
      <c r="I66" s="144">
        <f t="shared" si="174"/>
        <v>21.298887692859708</v>
      </c>
      <c r="J66" s="144">
        <f t="shared" si="174"/>
        <v>42.145676354503053</v>
      </c>
      <c r="K66" s="144">
        <f t="shared" si="174"/>
        <v>115.73335167859108</v>
      </c>
      <c r="L66" s="144">
        <f t="shared" si="174"/>
        <v>71.009906439185457</v>
      </c>
      <c r="M66" s="144">
        <f t="shared" si="174"/>
        <v>66.537944929482876</v>
      </c>
      <c r="N66" s="144">
        <f t="shared" si="174"/>
        <v>114.70647433747064</v>
      </c>
      <c r="O66" s="144">
        <f t="shared" si="174"/>
        <v>160.62376204384464</v>
      </c>
      <c r="P66" s="144">
        <f t="shared" si="174"/>
        <v>156.79256206790859</v>
      </c>
      <c r="Q66" s="118">
        <f>((P66/G66)^(1/($H$2-$H$1) ))-1</f>
        <v>0.28081976654409302</v>
      </c>
      <c r="R66" s="128"/>
      <c r="S66" s="157">
        <f t="shared" ref="S66:AB66" si="175">S16/S42</f>
        <v>117.07177967737177</v>
      </c>
      <c r="T66" s="157">
        <f t="shared" si="175"/>
        <v>117.07177967737178</v>
      </c>
      <c r="U66" s="157">
        <f t="shared" si="175"/>
        <v>117.07177967737178</v>
      </c>
      <c r="V66" s="157">
        <f t="shared" si="175"/>
        <v>117.07177967737178</v>
      </c>
      <c r="W66" s="157">
        <f t="shared" si="175"/>
        <v>117.07177967737178</v>
      </c>
      <c r="X66" s="157">
        <f t="shared" si="175"/>
        <v>117.07177967737178</v>
      </c>
      <c r="Y66" s="157">
        <f t="shared" si="175"/>
        <v>117.07177967737178</v>
      </c>
      <c r="Z66" s="157">
        <f t="shared" si="175"/>
        <v>117.07177967737178</v>
      </c>
      <c r="AA66" s="157">
        <f t="shared" si="175"/>
        <v>117.07177967737178</v>
      </c>
      <c r="AB66" s="157">
        <f t="shared" si="175"/>
        <v>117.07177967737178</v>
      </c>
      <c r="AC66" s="138">
        <f t="shared" si="147"/>
        <v>0.10722998835803899</v>
      </c>
      <c r="AD66" s="137"/>
      <c r="AE66" s="146">
        <f t="shared" si="148"/>
        <v>780.4785311824786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48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76">D43</f>
        <v>0</v>
      </c>
      <c r="E68" s="159">
        <f t="shared" si="176"/>
        <v>0</v>
      </c>
      <c r="F68" s="159">
        <f t="shared" si="176"/>
        <v>0</v>
      </c>
      <c r="G68" s="159">
        <f t="shared" si="176"/>
        <v>5.25</v>
      </c>
      <c r="H68" s="159">
        <f t="shared" si="176"/>
        <v>7.5</v>
      </c>
      <c r="I68" s="159">
        <f t="shared" si="176"/>
        <v>10</v>
      </c>
      <c r="J68" s="159">
        <f t="shared" si="176"/>
        <v>11</v>
      </c>
      <c r="K68" s="159">
        <f t="shared" si="176"/>
        <v>13</v>
      </c>
      <c r="L68" s="159">
        <f t="shared" si="176"/>
        <v>13</v>
      </c>
      <c r="M68" s="159">
        <f t="shared" si="176"/>
        <v>7</v>
      </c>
      <c r="N68" s="159">
        <f t="shared" si="176"/>
        <v>8</v>
      </c>
      <c r="O68" s="159">
        <f t="shared" si="176"/>
        <v>8.5</v>
      </c>
      <c r="P68" s="159">
        <f t="shared" si="176"/>
        <v>9</v>
      </c>
      <c r="Q68" s="118">
        <f>((P68/G68)^(1/($H$2-$H$1) ))-1</f>
        <v>6.1718158457117367E-2</v>
      </c>
      <c r="R68" s="128"/>
      <c r="S68" s="159">
        <f t="shared" ref="S68:AB68" si="177">S43</f>
        <v>9.4500000000000011</v>
      </c>
      <c r="T68" s="159">
        <f t="shared" si="177"/>
        <v>9.9225000000000012</v>
      </c>
      <c r="U68" s="159">
        <f t="shared" si="177"/>
        <v>10.418625000000002</v>
      </c>
      <c r="V68" s="159">
        <f t="shared" si="177"/>
        <v>10.939556250000003</v>
      </c>
      <c r="W68" s="159">
        <f t="shared" si="177"/>
        <v>11.486534062500002</v>
      </c>
      <c r="X68" s="159">
        <f t="shared" si="177"/>
        <v>12.060860765625003</v>
      </c>
      <c r="Y68" s="159">
        <f t="shared" si="177"/>
        <v>12.663903803906255</v>
      </c>
      <c r="Z68" s="159">
        <f t="shared" si="177"/>
        <v>13.297098994101567</v>
      </c>
      <c r="AA68" s="159">
        <f t="shared" si="177"/>
        <v>13.961953943806646</v>
      </c>
      <c r="AB68" s="159">
        <f t="shared" si="177"/>
        <v>14.660051640996979</v>
      </c>
      <c r="AC68" s="138">
        <f t="shared" ref="AC68" si="178">((AB68/G68)^(1/($AB$3-$H$1) ))-1</f>
        <v>5.553449678183342E-2</v>
      </c>
      <c r="AD68" s="31">
        <f t="shared" si="17"/>
        <v>0.05</v>
      </c>
      <c r="AE68" s="146">
        <f t="shared" si="148"/>
        <v>153.93054223046829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4">
        <f t="shared" si="179"/>
        <v>0</v>
      </c>
      <c r="G70" s="144">
        <f t="shared" si="179"/>
        <v>1168</v>
      </c>
      <c r="H70" s="144">
        <f t="shared" si="179"/>
        <v>9092</v>
      </c>
      <c r="I70" s="144">
        <f t="shared" si="179"/>
        <v>-2916</v>
      </c>
      <c r="J70" s="144">
        <f t="shared" si="179"/>
        <v>-12497</v>
      </c>
      <c r="K70" s="144">
        <f t="shared" si="179"/>
        <v>-14192</v>
      </c>
      <c r="L70" s="144">
        <f t="shared" si="179"/>
        <v>-6819</v>
      </c>
      <c r="M70" s="144">
        <f t="shared" si="179"/>
        <v>2264</v>
      </c>
      <c r="N70" s="144">
        <f t="shared" si="179"/>
        <v>1295</v>
      </c>
      <c r="O70" s="144">
        <f t="shared" si="179"/>
        <v>18182</v>
      </c>
      <c r="P70" s="144">
        <f t="shared" si="179"/>
        <v>9268</v>
      </c>
      <c r="Q70" s="118">
        <f>((P70/G70)^(1/($H$2-$H$1) ))-1</f>
        <v>0.25877828536853698</v>
      </c>
      <c r="R70" s="128"/>
      <c r="S70" s="144">
        <f t="shared" ref="S70:AB70" si="180">S20+S21</f>
        <v>10380.16</v>
      </c>
      <c r="T70" s="144">
        <f t="shared" si="180"/>
        <v>11625.779199999997</v>
      </c>
      <c r="U70" s="144">
        <f t="shared" si="180"/>
        <v>13020.872704000001</v>
      </c>
      <c r="V70" s="144">
        <f t="shared" si="180"/>
        <v>14583.377428480002</v>
      </c>
      <c r="W70" s="144">
        <f t="shared" si="180"/>
        <v>16333.382719897607</v>
      </c>
      <c r="X70" s="144">
        <f t="shared" si="180"/>
        <v>18293.388646285326</v>
      </c>
      <c r="Y70" s="144">
        <f t="shared" si="180"/>
        <v>20488.595283839568</v>
      </c>
      <c r="Z70" s="144">
        <f t="shared" si="180"/>
        <v>22947.22671790031</v>
      </c>
      <c r="AA70" s="144">
        <f t="shared" si="180"/>
        <v>25700.893924048345</v>
      </c>
      <c r="AB70" s="144">
        <f t="shared" si="180"/>
        <v>28785.001194934157</v>
      </c>
      <c r="AC70" s="138">
        <f t="shared" ref="AC70:AC75" si="181">((AB70/G70)^(1/($AB$3-$H$1) ))-1</f>
        <v>0.18371895066896538</v>
      </c>
      <c r="AD70" s="31">
        <f t="shared" si="17"/>
        <v>0.05</v>
      </c>
      <c r="AE70" s="146">
        <f t="shared" si="148"/>
        <v>302242.51254680869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4">
        <f t="shared" si="182"/>
        <v>0</v>
      </c>
      <c r="G72" s="144">
        <f t="shared" si="182"/>
        <v>8.3649645491656521</v>
      </c>
      <c r="H72" s="144">
        <f t="shared" si="182"/>
        <v>65.245783997129536</v>
      </c>
      <c r="I72" s="144">
        <f t="shared" si="182"/>
        <v>-20.925726587728743</v>
      </c>
      <c r="J72" s="144">
        <f t="shared" si="182"/>
        <v>-89.680660208109074</v>
      </c>
      <c r="K72" s="144">
        <f t="shared" si="182"/>
        <v>-97.633461750137585</v>
      </c>
      <c r="L72" s="144">
        <f t="shared" si="182"/>
        <v>-46.911117226197021</v>
      </c>
      <c r="M72" s="144">
        <f t="shared" si="182"/>
        <v>7.6024177300201474</v>
      </c>
      <c r="N72" s="144">
        <f t="shared" si="182"/>
        <v>4.3441798054344174</v>
      </c>
      <c r="O72" s="144">
        <f t="shared" si="182"/>
        <v>61.040051028972371</v>
      </c>
      <c r="P72" s="144">
        <f t="shared" si="182"/>
        <v>31.563532336614106</v>
      </c>
      <c r="Q72" s="118">
        <f>((P72/G72)^(1/($H$2-$H$1) ))-1</f>
        <v>0.15899127386297218</v>
      </c>
      <c r="R72" s="128"/>
      <c r="S72" s="146">
        <f t="shared" ref="S72:AB72" si="183">S70/S42</f>
        <v>23.5674374780052</v>
      </c>
      <c r="T72" s="146">
        <f t="shared" si="183"/>
        <v>23.567437478005193</v>
      </c>
      <c r="U72" s="146">
        <f t="shared" si="183"/>
        <v>23.5674374780052</v>
      </c>
      <c r="V72" s="146">
        <f t="shared" si="183"/>
        <v>23.567437478005196</v>
      </c>
      <c r="W72" s="146">
        <f t="shared" si="183"/>
        <v>23.5674374780052</v>
      </c>
      <c r="X72" s="146">
        <f t="shared" si="183"/>
        <v>23.567437478005207</v>
      </c>
      <c r="Y72" s="146">
        <f t="shared" si="183"/>
        <v>23.567437478005207</v>
      </c>
      <c r="Z72" s="146">
        <f t="shared" si="183"/>
        <v>23.5674374780052</v>
      </c>
      <c r="AA72" s="146">
        <f t="shared" si="183"/>
        <v>23.567437478005196</v>
      </c>
      <c r="AB72" s="146">
        <f t="shared" si="183"/>
        <v>23.5674374780052</v>
      </c>
      <c r="AC72" s="138">
        <f t="shared" si="181"/>
        <v>5.6029922715428393E-2</v>
      </c>
      <c r="AD72" s="31">
        <f t="shared" si="17"/>
        <v>0.05</v>
      </c>
      <c r="AE72" s="146">
        <f t="shared" si="148"/>
        <v>247.45809351905461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4">
        <f t="shared" si="184"/>
        <v>0</v>
      </c>
      <c r="G73" s="144">
        <f t="shared" si="184"/>
        <v>83.563704075055512</v>
      </c>
      <c r="H73" s="144">
        <f t="shared" si="184"/>
        <v>124.18371008252602</v>
      </c>
      <c r="I73" s="144">
        <f t="shared" si="184"/>
        <v>73.720846788661646</v>
      </c>
      <c r="J73" s="144">
        <f t="shared" si="184"/>
        <v>120.18658055256549</v>
      </c>
      <c r="K73" s="144">
        <f t="shared" si="184"/>
        <v>111.67446340121077</v>
      </c>
      <c r="L73" s="144">
        <f t="shared" si="184"/>
        <v>112.04595487066592</v>
      </c>
      <c r="M73" s="144">
        <f t="shared" si="184"/>
        <v>68.817998656816656</v>
      </c>
      <c r="N73" s="144">
        <f t="shared" si="184"/>
        <v>111.83495471318349</v>
      </c>
      <c r="O73" s="144">
        <f t="shared" si="184"/>
        <v>82.193574378084392</v>
      </c>
      <c r="P73" s="144">
        <f t="shared" si="184"/>
        <v>125.72965977590846</v>
      </c>
      <c r="Q73" s="118">
        <f>((P73/G73)^(1/($H$2-$H$1) ))-1</f>
        <v>4.6437608883751036E-2</v>
      </c>
      <c r="R73" s="128"/>
      <c r="S73" s="146">
        <f t="shared" ref="S73:AB73" si="185">S20/S42</f>
        <v>93.878145966011658</v>
      </c>
      <c r="T73" s="146">
        <f t="shared" si="185"/>
        <v>93.878145966011658</v>
      </c>
      <c r="U73" s="146">
        <f t="shared" si="185"/>
        <v>93.878145966011658</v>
      </c>
      <c r="V73" s="146">
        <f t="shared" si="185"/>
        <v>93.878145966011658</v>
      </c>
      <c r="W73" s="146">
        <f t="shared" si="185"/>
        <v>93.878145966011658</v>
      </c>
      <c r="X73" s="146">
        <f t="shared" si="185"/>
        <v>93.878145966011672</v>
      </c>
      <c r="Y73" s="146">
        <f t="shared" si="185"/>
        <v>93.878145966011672</v>
      </c>
      <c r="Z73" s="146">
        <f t="shared" si="185"/>
        <v>93.878145966011672</v>
      </c>
      <c r="AA73" s="146">
        <f t="shared" si="185"/>
        <v>93.878145966011658</v>
      </c>
      <c r="AB73" s="146">
        <f t="shared" si="185"/>
        <v>93.878145966011644</v>
      </c>
      <c r="AC73" s="138">
        <f t="shared" si="181"/>
        <v>6.144503528898726E-3</v>
      </c>
      <c r="AD73" s="31">
        <f t="shared" si="17"/>
        <v>0.05</v>
      </c>
      <c r="AE73" s="146">
        <f t="shared" si="148"/>
        <v>985.7205326431224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4">
        <f t="shared" si="186"/>
        <v>0</v>
      </c>
      <c r="G74" s="144">
        <f t="shared" si="186"/>
        <v>-75.198739525889849</v>
      </c>
      <c r="H74" s="144">
        <f t="shared" si="186"/>
        <v>-58.937926085396484</v>
      </c>
      <c r="I74" s="144">
        <f t="shared" si="186"/>
        <v>-94.646573376390393</v>
      </c>
      <c r="J74" s="144">
        <f t="shared" si="186"/>
        <v>-209.86724076067458</v>
      </c>
      <c r="K74" s="144">
        <f t="shared" si="186"/>
        <v>-209.30792515134834</v>
      </c>
      <c r="L74" s="144">
        <f t="shared" si="186"/>
        <v>-158.95707209686296</v>
      </c>
      <c r="M74" s="144">
        <f t="shared" si="186"/>
        <v>-61.215580926796505</v>
      </c>
      <c r="N74" s="144">
        <f t="shared" si="186"/>
        <v>-107.49077490774907</v>
      </c>
      <c r="O74" s="144">
        <f t="shared" si="186"/>
        <v>-21.153523349112028</v>
      </c>
      <c r="P74" s="144">
        <f t="shared" si="186"/>
        <v>-94.166127439294357</v>
      </c>
      <c r="Q74" s="118">
        <f>((P74/G74)^(1/($H$2-$H$1) ))-1</f>
        <v>2.5306697755042462E-2</v>
      </c>
      <c r="R74" s="128"/>
      <c r="S74" s="146">
        <f t="shared" ref="S74:AB74" si="187">S21/S42</f>
        <v>-70.310708488006455</v>
      </c>
      <c r="T74" s="146">
        <f t="shared" si="187"/>
        <v>-70.310708488006469</v>
      </c>
      <c r="U74" s="146">
        <f t="shared" si="187"/>
        <v>-70.310708488006469</v>
      </c>
      <c r="V74" s="146">
        <f t="shared" si="187"/>
        <v>-70.310708488006469</v>
      </c>
      <c r="W74" s="146">
        <f t="shared" si="187"/>
        <v>-70.310708488006455</v>
      </c>
      <c r="X74" s="146">
        <f t="shared" si="187"/>
        <v>-70.310708488006455</v>
      </c>
      <c r="Y74" s="146">
        <f t="shared" si="187"/>
        <v>-70.310708488006455</v>
      </c>
      <c r="Z74" s="146">
        <f t="shared" si="187"/>
        <v>-70.310708488006469</v>
      </c>
      <c r="AA74" s="146">
        <f t="shared" si="187"/>
        <v>-70.310708488006469</v>
      </c>
      <c r="AB74" s="146">
        <f t="shared" si="187"/>
        <v>-70.310708488006455</v>
      </c>
      <c r="AC74" s="138">
        <f t="shared" si="181"/>
        <v>-3.5311379956364242E-3</v>
      </c>
      <c r="AD74" s="31">
        <f t="shared" si="17"/>
        <v>0.05</v>
      </c>
      <c r="AE74" s="146">
        <f t="shared" si="148"/>
        <v>-738.2624391240679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4">
        <f t="shared" si="188"/>
        <v>0</v>
      </c>
      <c r="G75" s="144">
        <f t="shared" si="188"/>
        <v>-7.4912268137219797</v>
      </c>
      <c r="H75" s="144">
        <f t="shared" si="188"/>
        <v>-40.94725511302476</v>
      </c>
      <c r="I75" s="144">
        <f t="shared" si="188"/>
        <v>13.749551489056334</v>
      </c>
      <c r="J75" s="144">
        <f t="shared" si="188"/>
        <v>-77.043415859346965</v>
      </c>
      <c r="K75" s="144">
        <f t="shared" si="188"/>
        <v>114.99724821133736</v>
      </c>
      <c r="L75" s="144">
        <f t="shared" si="188"/>
        <v>172.23445239405612</v>
      </c>
      <c r="M75" s="144">
        <f t="shared" si="188"/>
        <v>-37.384150436534583</v>
      </c>
      <c r="N75" s="144">
        <f t="shared" si="188"/>
        <v>50.147601476014756</v>
      </c>
      <c r="O75" s="144">
        <f t="shared" si="188"/>
        <v>-25.480914492899586</v>
      </c>
      <c r="P75" s="144">
        <f t="shared" si="188"/>
        <v>1.3895037972959166</v>
      </c>
      <c r="Q75" s="118">
        <f>((P75/G75)^(1/($H$2-$H$1) ))-1</f>
        <v>-1.8292791657671481</v>
      </c>
      <c r="R75" s="128"/>
      <c r="S75" s="146">
        <f t="shared" ref="S75:AB75" si="189">S22/S42</f>
        <v>1.0374961686476178</v>
      </c>
      <c r="T75" s="146">
        <f t="shared" si="189"/>
        <v>1.0374961686476178</v>
      </c>
      <c r="U75" s="146">
        <f t="shared" si="189"/>
        <v>1.0374961686476178</v>
      </c>
      <c r="V75" s="146">
        <f t="shared" si="189"/>
        <v>1.0374961686476178</v>
      </c>
      <c r="W75" s="146">
        <f t="shared" si="189"/>
        <v>1.0374961686476178</v>
      </c>
      <c r="X75" s="146">
        <f t="shared" si="189"/>
        <v>1.0374961686476178</v>
      </c>
      <c r="Y75" s="146">
        <f t="shared" si="189"/>
        <v>1.0374961686476181</v>
      </c>
      <c r="Z75" s="146">
        <f t="shared" si="189"/>
        <v>1.0374961686476181</v>
      </c>
      <c r="AA75" s="146">
        <f t="shared" si="189"/>
        <v>1.0374961686476181</v>
      </c>
      <c r="AB75" s="146">
        <f t="shared" si="189"/>
        <v>1.0374961686476178</v>
      </c>
      <c r="AC75" s="138">
        <f t="shared" si="181"/>
        <v>-1.9011815512318804</v>
      </c>
      <c r="AD75" s="31">
        <f t="shared" si="17"/>
        <v>0.05</v>
      </c>
      <c r="AE75" s="146">
        <f t="shared" si="148"/>
        <v>10.89370977079999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4">
        <f t="shared" si="190"/>
        <v>0</v>
      </c>
      <c r="G76" s="144">
        <f t="shared" si="190"/>
        <v>1.933681873522882</v>
      </c>
      <c r="H76" s="144">
        <f t="shared" si="190"/>
        <v>25.905992106207393</v>
      </c>
      <c r="I76" s="144">
        <f t="shared" si="190"/>
        <v>18.772874058127019</v>
      </c>
      <c r="J76" s="144">
        <f t="shared" si="190"/>
        <v>13.900251166128454</v>
      </c>
      <c r="K76" s="144">
        <f t="shared" si="190"/>
        <v>30.778756191524486</v>
      </c>
      <c r="L76" s="144">
        <f t="shared" si="190"/>
        <v>156.45294441386901</v>
      </c>
      <c r="M76" s="144">
        <f t="shared" si="190"/>
        <v>46.642041638683679</v>
      </c>
      <c r="N76" s="144">
        <f t="shared" si="190"/>
        <v>101.10365649111036</v>
      </c>
      <c r="O76" s="144">
        <f t="shared" si="190"/>
        <v>136.74086010675799</v>
      </c>
      <c r="P76" s="144">
        <f t="shared" si="190"/>
        <v>171.8353029322617</v>
      </c>
      <c r="Q76" s="118">
        <f>((P76/G76)^(1/($H$2-$H$1) ))-1</f>
        <v>0.64636173263235075</v>
      </c>
      <c r="R76" s="128"/>
      <c r="S76" s="146">
        <f t="shared" ref="S76:AB76" si="191">S23/S42</f>
        <v>128.30369285608876</v>
      </c>
      <c r="T76" s="146">
        <f t="shared" si="191"/>
        <v>128.30369285608876</v>
      </c>
      <c r="U76" s="146">
        <f t="shared" si="191"/>
        <v>128.30369285608876</v>
      </c>
      <c r="V76" s="146">
        <f t="shared" si="191"/>
        <v>128.30369285608873</v>
      </c>
      <c r="W76" s="146">
        <f t="shared" si="191"/>
        <v>128.30369285608873</v>
      </c>
      <c r="X76" s="146">
        <f t="shared" si="191"/>
        <v>128.30369285608873</v>
      </c>
      <c r="Y76" s="146">
        <f t="shared" si="191"/>
        <v>128.30369285608876</v>
      </c>
      <c r="Z76" s="146">
        <f t="shared" si="191"/>
        <v>128.30369285608876</v>
      </c>
      <c r="AA76" s="146">
        <f t="shared" si="191"/>
        <v>128.30369285608876</v>
      </c>
      <c r="AB76" s="146">
        <f t="shared" si="191"/>
        <v>128.30369285608873</v>
      </c>
      <c r="AC76" s="138">
        <f t="shared" ref="AC76" si="192">((AB76/G76)^(1/($AB$3-$H$1) ))-1</f>
        <v>0.24705916793612159</v>
      </c>
      <c r="AD76" s="31">
        <f t="shared" si="17"/>
        <v>0.05</v>
      </c>
      <c r="AE76" s="146">
        <f t="shared" si="148"/>
        <v>1347.1887749889318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93">C36/C42</f>
        <v>0</v>
      </c>
      <c r="D78" s="144">
        <f t="shared" si="193"/>
        <v>0</v>
      </c>
      <c r="E78" s="144">
        <f t="shared" si="193"/>
        <v>0</v>
      </c>
      <c r="F78" s="144">
        <f t="shared" si="193"/>
        <v>0</v>
      </c>
      <c r="G78" s="144">
        <f t="shared" si="193"/>
        <v>68.588412232328295</v>
      </c>
      <c r="H78" s="144">
        <f t="shared" si="193"/>
        <v>91.158952278435592</v>
      </c>
      <c r="I78" s="144">
        <f t="shared" si="193"/>
        <v>104.14065303193398</v>
      </c>
      <c r="J78" s="144">
        <f t="shared" si="193"/>
        <v>147.67133118048082</v>
      </c>
      <c r="K78" s="144">
        <f t="shared" si="193"/>
        <v>153.65299944964227</v>
      </c>
      <c r="L78" s="144">
        <f t="shared" si="193"/>
        <v>167.66648321408914</v>
      </c>
      <c r="M78" s="144">
        <f t="shared" si="193"/>
        <v>101.5849563465413</v>
      </c>
      <c r="N78" s="144">
        <f t="shared" si="193"/>
        <v>127.48742032874873</v>
      </c>
      <c r="O78" s="144">
        <f t="shared" si="193"/>
        <v>116.8932755900225</v>
      </c>
      <c r="P78" s="144">
        <f t="shared" si="193"/>
        <v>112.53959064128325</v>
      </c>
      <c r="Q78" s="118">
        <f>((P78/G78)^(1/($H$2-$H$1) ))-1</f>
        <v>5.6561918738118111E-2</v>
      </c>
      <c r="R78" s="128"/>
      <c r="S78" s="144">
        <f t="shared" ref="S78:AB78" si="194">S36/S42</f>
        <v>84.029561012158169</v>
      </c>
      <c r="T78" s="144">
        <f t="shared" si="194"/>
        <v>84.029561012158169</v>
      </c>
      <c r="U78" s="144">
        <f t="shared" si="194"/>
        <v>84.029561012158169</v>
      </c>
      <c r="V78" s="144">
        <f t="shared" si="194"/>
        <v>84.029561012158155</v>
      </c>
      <c r="W78" s="144">
        <f t="shared" si="194"/>
        <v>84.029561012158155</v>
      </c>
      <c r="X78" s="144">
        <f t="shared" si="194"/>
        <v>84.029561012158169</v>
      </c>
      <c r="Y78" s="144">
        <f t="shared" si="194"/>
        <v>84.029561012158169</v>
      </c>
      <c r="Z78" s="144">
        <f t="shared" si="194"/>
        <v>84.029561012158169</v>
      </c>
      <c r="AA78" s="144">
        <f t="shared" si="194"/>
        <v>84.029561012158169</v>
      </c>
      <c r="AB78" s="144">
        <f t="shared" si="194"/>
        <v>84.029561012158155</v>
      </c>
      <c r="AC78" s="138">
        <f t="shared" ref="AC78:AC80" si="195">((AB78/G78)^(1/($AB$3-$H$1) ))-1</f>
        <v>1.0743887105841621E-2</v>
      </c>
      <c r="AD78" s="31">
        <f t="shared" si="17"/>
        <v>0.05</v>
      </c>
      <c r="AE78" s="146">
        <f t="shared" si="148"/>
        <v>882.31039062766081</v>
      </c>
    </row>
    <row r="79" spans="2:31" x14ac:dyDescent="0.2">
      <c r="B79" s="20" t="s">
        <v>312</v>
      </c>
      <c r="C79" s="144">
        <f t="shared" ref="C79:P79" si="196">C40/C42</f>
        <v>0</v>
      </c>
      <c r="D79" s="144">
        <f t="shared" si="196"/>
        <v>0</v>
      </c>
      <c r="E79" s="144">
        <f t="shared" si="196"/>
        <v>0</v>
      </c>
      <c r="F79" s="144">
        <f t="shared" si="196"/>
        <v>0</v>
      </c>
      <c r="G79" s="144">
        <f t="shared" si="196"/>
        <v>37.012103416171314</v>
      </c>
      <c r="H79" s="144">
        <f t="shared" si="196"/>
        <v>54.739863652673129</v>
      </c>
      <c r="I79" s="144">
        <f t="shared" si="196"/>
        <v>67.412988876928594</v>
      </c>
      <c r="J79" s="144">
        <f t="shared" si="196"/>
        <v>86.645138141370651</v>
      </c>
      <c r="K79" s="144">
        <f t="shared" si="196"/>
        <v>134.30792515134837</v>
      </c>
      <c r="L79" s="144">
        <f t="shared" si="196"/>
        <v>102.84810126582278</v>
      </c>
      <c r="M79" s="144">
        <f t="shared" si="196"/>
        <v>82.011417058428478</v>
      </c>
      <c r="N79" s="144">
        <f t="shared" si="196"/>
        <v>64.646091915464609</v>
      </c>
      <c r="O79" s="144">
        <f t="shared" si="196"/>
        <v>66.193305804545602</v>
      </c>
      <c r="P79" s="144">
        <f t="shared" si="196"/>
        <v>71.130334093927729</v>
      </c>
      <c r="Q79" s="118">
        <f>((P79/G79)^(1/($H$2-$H$1) ))-1</f>
        <v>7.5284668176661018E-2</v>
      </c>
      <c r="R79" s="128"/>
      <c r="S79" s="144">
        <f t="shared" ref="S79:AB79" si="197">S40/S42</f>
        <v>53.110649456799379</v>
      </c>
      <c r="T79" s="144">
        <f t="shared" si="197"/>
        <v>53.110649456799386</v>
      </c>
      <c r="U79" s="144">
        <f t="shared" si="197"/>
        <v>53.110649456799386</v>
      </c>
      <c r="V79" s="144">
        <f t="shared" si="197"/>
        <v>53.110649456799386</v>
      </c>
      <c r="W79" s="144">
        <f t="shared" si="197"/>
        <v>53.110649456799386</v>
      </c>
      <c r="X79" s="144">
        <f t="shared" si="197"/>
        <v>53.110649456799386</v>
      </c>
      <c r="Y79" s="144">
        <f t="shared" si="197"/>
        <v>53.110649456799393</v>
      </c>
      <c r="Z79" s="144">
        <f t="shared" si="197"/>
        <v>53.110649456799393</v>
      </c>
      <c r="AA79" s="144">
        <f t="shared" si="197"/>
        <v>53.110649456799393</v>
      </c>
      <c r="AB79" s="144">
        <f t="shared" si="197"/>
        <v>53.110649456799386</v>
      </c>
      <c r="AC79" s="138">
        <f t="shared" si="195"/>
        <v>1.9188755254912371E-2</v>
      </c>
      <c r="AD79" s="31">
        <f t="shared" si="17"/>
        <v>0.05</v>
      </c>
      <c r="AE79" s="146">
        <f t="shared" si="148"/>
        <v>557.66181929639367</v>
      </c>
    </row>
    <row r="80" spans="2:31" x14ac:dyDescent="0.2">
      <c r="B80" s="20" t="s">
        <v>313</v>
      </c>
      <c r="C80" s="144">
        <f t="shared" ref="C80:P80" si="198">C6/C42</f>
        <v>0</v>
      </c>
      <c r="D80" s="144">
        <f t="shared" si="198"/>
        <v>0</v>
      </c>
      <c r="E80" s="144">
        <f t="shared" si="198"/>
        <v>0</v>
      </c>
      <c r="F80" s="144">
        <f t="shared" si="198"/>
        <v>0</v>
      </c>
      <c r="G80" s="144">
        <f t="shared" si="198"/>
        <v>240.78636396189933</v>
      </c>
      <c r="H80" s="144">
        <f t="shared" si="198"/>
        <v>262.56189451022607</v>
      </c>
      <c r="I80" s="144">
        <f t="shared" si="198"/>
        <v>320.39468963042697</v>
      </c>
      <c r="J80" s="144">
        <f t="shared" si="198"/>
        <v>457.66774309293146</v>
      </c>
      <c r="K80" s="144">
        <f t="shared" si="198"/>
        <v>558.37919647771048</v>
      </c>
      <c r="L80" s="144">
        <f t="shared" si="198"/>
        <v>740.04540451293337</v>
      </c>
      <c r="M80" s="144">
        <f t="shared" si="198"/>
        <v>431.87038280725318</v>
      </c>
      <c r="N80" s="144">
        <f t="shared" si="198"/>
        <v>486.46762831264675</v>
      </c>
      <c r="O80" s="144">
        <f t="shared" si="198"/>
        <v>546.29872091852144</v>
      </c>
      <c r="P80" s="144">
        <f t="shared" si="198"/>
        <v>609.93086537479144</v>
      </c>
      <c r="Q80" s="118">
        <f>((P80/G80)^(1/($H$2-$H$1) ))-1</f>
        <v>0.10879142364327832</v>
      </c>
      <c r="R80" s="128"/>
      <c r="S80" s="144">
        <f t="shared" ref="S80:AB80" si="199">S6/S42</f>
        <v>455.41504614651097</v>
      </c>
      <c r="T80" s="144">
        <f t="shared" si="199"/>
        <v>455.41504614651103</v>
      </c>
      <c r="U80" s="144">
        <f t="shared" si="199"/>
        <v>455.41504614651103</v>
      </c>
      <c r="V80" s="144">
        <f t="shared" si="199"/>
        <v>455.41504614651103</v>
      </c>
      <c r="W80" s="144">
        <f t="shared" si="199"/>
        <v>455.41504614651103</v>
      </c>
      <c r="X80" s="144">
        <f t="shared" si="199"/>
        <v>455.41504614651103</v>
      </c>
      <c r="Y80" s="144">
        <f t="shared" si="199"/>
        <v>455.41504614651103</v>
      </c>
      <c r="Z80" s="144">
        <f t="shared" si="199"/>
        <v>455.41504614651109</v>
      </c>
      <c r="AA80" s="144">
        <f t="shared" si="199"/>
        <v>455.41504614651109</v>
      </c>
      <c r="AB80" s="144">
        <f t="shared" si="199"/>
        <v>455.41504614651103</v>
      </c>
      <c r="AC80" s="138">
        <f t="shared" si="195"/>
        <v>3.4110935815485854E-2</v>
      </c>
      <c r="AD80" s="31">
        <f t="shared" ref="AD80" si="200">$L$1</f>
        <v>0.05</v>
      </c>
      <c r="AE80" s="146">
        <f t="shared" si="148"/>
        <v>4781.8579845383665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01">E36/E25</f>
        <v>#DIV/0!</v>
      </c>
      <c r="F84" s="152" t="e">
        <f t="shared" si="201"/>
        <v>#DIV/0!</v>
      </c>
      <c r="G84" s="152">
        <f t="shared" si="201"/>
        <v>0.1808926581417751</v>
      </c>
      <c r="H84" s="152">
        <f t="shared" si="201"/>
        <v>0.1879364421825068</v>
      </c>
      <c r="I84" s="152">
        <f t="shared" si="201"/>
        <v>0.1691828811919279</v>
      </c>
      <c r="J84" s="152">
        <f t="shared" si="201"/>
        <v>0.17925711697271682</v>
      </c>
      <c r="K84" s="152">
        <f t="shared" si="201"/>
        <v>0.15298993081717926</v>
      </c>
      <c r="L84" s="152">
        <f t="shared" si="201"/>
        <v>0.15734021949644933</v>
      </c>
      <c r="M84" s="152">
        <f t="shared" si="201"/>
        <v>0.13697674945099725</v>
      </c>
      <c r="N84" s="152">
        <f t="shared" si="201"/>
        <v>0.13932515067528925</v>
      </c>
      <c r="O84" s="152">
        <f t="shared" si="201"/>
        <v>9.4808267779783642E-2</v>
      </c>
      <c r="P84" s="152">
        <f t="shared" si="201"/>
        <v>8.0620567332629067E-2</v>
      </c>
      <c r="Q84" s="118">
        <f t="shared" ref="Q84:Q134" si="202">((P84/G84)^(1/($H$2-$H$1) ))-1</f>
        <v>-8.58809329667235E-2</v>
      </c>
      <c r="R84" s="152"/>
      <c r="S84" s="152">
        <f t="shared" ref="S84:AB84" si="203">S36/S25</f>
        <v>8.0620567332629067E-2</v>
      </c>
      <c r="T84" s="152">
        <f t="shared" si="203"/>
        <v>8.0620567332629081E-2</v>
      </c>
      <c r="U84" s="152">
        <f t="shared" si="203"/>
        <v>8.0620567332629067E-2</v>
      </c>
      <c r="V84" s="152">
        <f t="shared" si="203"/>
        <v>8.0620567332629067E-2</v>
      </c>
      <c r="W84" s="152">
        <f t="shared" si="203"/>
        <v>8.0620567332629067E-2</v>
      </c>
      <c r="X84" s="152">
        <f t="shared" si="203"/>
        <v>8.0620567332629081E-2</v>
      </c>
      <c r="Y84" s="152">
        <f t="shared" si="203"/>
        <v>8.0620567332629067E-2</v>
      </c>
      <c r="Z84" s="152">
        <f t="shared" si="203"/>
        <v>8.0620567332629081E-2</v>
      </c>
      <c r="AA84" s="152">
        <f t="shared" si="203"/>
        <v>8.0620567332629081E-2</v>
      </c>
      <c r="AB84" s="152">
        <f t="shared" si="203"/>
        <v>8.0620567332629081E-2</v>
      </c>
      <c r="AC84" s="138">
        <f t="shared" ref="AC84:AC121" si="204">((AB84/G84)^(1/($AB$3-$H$1) ))-1</f>
        <v>-4.1642321546472183E-2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05">E40/E25</f>
        <v>#DIV/0!</v>
      </c>
      <c r="F85" s="152" t="e">
        <f t="shared" si="205"/>
        <v>#DIV/0!</v>
      </c>
      <c r="G85" s="152">
        <f t="shared" si="205"/>
        <v>9.7614415503465987E-2</v>
      </c>
      <c r="H85" s="152">
        <f t="shared" si="205"/>
        <v>0.11285359214108179</v>
      </c>
      <c r="I85" s="152">
        <f t="shared" si="205"/>
        <v>0.10951653706704595</v>
      </c>
      <c r="J85" s="152">
        <f t="shared" si="205"/>
        <v>0.1051778807623959</v>
      </c>
      <c r="K85" s="152">
        <f t="shared" si="205"/>
        <v>0.13372833755736693</v>
      </c>
      <c r="L85" s="152">
        <f t="shared" si="205"/>
        <v>9.651387992253066E-2</v>
      </c>
      <c r="M85" s="152">
        <f t="shared" si="205"/>
        <v>0.11058386724321387</v>
      </c>
      <c r="N85" s="152">
        <f t="shared" si="205"/>
        <v>7.0648746938835369E-2</v>
      </c>
      <c r="O85" s="152">
        <f t="shared" si="205"/>
        <v>5.3687199971681955E-2</v>
      </c>
      <c r="P85" s="152">
        <f t="shared" si="205"/>
        <v>5.095600451836256E-2</v>
      </c>
      <c r="Q85" s="118">
        <f t="shared" si="202"/>
        <v>-6.9682334526322331E-2</v>
      </c>
      <c r="R85" s="152"/>
      <c r="S85" s="152">
        <f t="shared" ref="S85:AB85" si="206">S40/S25</f>
        <v>5.095600451836256E-2</v>
      </c>
      <c r="T85" s="152">
        <f t="shared" si="206"/>
        <v>5.095600451836256E-2</v>
      </c>
      <c r="U85" s="152">
        <f t="shared" si="206"/>
        <v>5.0956004518362567E-2</v>
      </c>
      <c r="V85" s="152">
        <f t="shared" si="206"/>
        <v>5.0956004518362574E-2</v>
      </c>
      <c r="W85" s="152">
        <f t="shared" si="206"/>
        <v>5.0956004518362574E-2</v>
      </c>
      <c r="X85" s="152">
        <f t="shared" si="206"/>
        <v>5.0956004518362574E-2</v>
      </c>
      <c r="Y85" s="152">
        <f t="shared" si="206"/>
        <v>5.0956004518362574E-2</v>
      </c>
      <c r="Z85" s="152">
        <f t="shared" si="206"/>
        <v>5.0956004518362574E-2</v>
      </c>
      <c r="AA85" s="152">
        <f t="shared" si="206"/>
        <v>5.0956004518362581E-2</v>
      </c>
      <c r="AB85" s="152">
        <f t="shared" si="206"/>
        <v>5.0956004518362581E-2</v>
      </c>
      <c r="AC85" s="138">
        <f t="shared" si="204"/>
        <v>-3.3635145507679987E-2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07">E40/E7</f>
        <v>#DIV/0!</v>
      </c>
      <c r="F86" s="152" t="e">
        <f t="shared" si="207"/>
        <v>#DIV/0!</v>
      </c>
      <c r="G86" s="152">
        <f>G40/G7</f>
        <v>0.1475854584915898</v>
      </c>
      <c r="H86" s="152">
        <f t="shared" si="207"/>
        <v>0.18736950701284666</v>
      </c>
      <c r="I86" s="152">
        <f t="shared" si="207"/>
        <v>0.18413109098749461</v>
      </c>
      <c r="J86" s="152">
        <f t="shared" si="207"/>
        <v>0.17701476344763886</v>
      </c>
      <c r="K86" s="152">
        <f t="shared" si="207"/>
        <v>0.2283391812865497</v>
      </c>
      <c r="L86" s="152">
        <f t="shared" si="207"/>
        <v>0.12330303680121406</v>
      </c>
      <c r="M86" s="152">
        <f t="shared" si="207"/>
        <v>0.17321030907363016</v>
      </c>
      <c r="N86" s="152">
        <f t="shared" si="207"/>
        <v>0.12506895634171195</v>
      </c>
      <c r="O86" s="152">
        <f t="shared" si="207"/>
        <v>0.11636224143527399</v>
      </c>
      <c r="P86" s="152">
        <f t="shared" ref="P86" si="208">P40/P7</f>
        <v>0.11472357254675784</v>
      </c>
      <c r="Q86" s="118">
        <f t="shared" si="202"/>
        <v>-2.7598869955339111E-2</v>
      </c>
      <c r="R86" s="20"/>
      <c r="S86" s="152">
        <f t="shared" ref="S86" si="209">S40/S7</f>
        <v>0.11472357254675786</v>
      </c>
      <c r="T86" s="152">
        <f t="shared" ref="T86:AB86" si="210">T40/T7</f>
        <v>0.11472357254675786</v>
      </c>
      <c r="U86" s="152">
        <f t="shared" si="210"/>
        <v>0.11472357254675787</v>
      </c>
      <c r="V86" s="152">
        <f t="shared" si="210"/>
        <v>0.11472357254675788</v>
      </c>
      <c r="W86" s="152">
        <f t="shared" si="210"/>
        <v>0.11472357254675788</v>
      </c>
      <c r="X86" s="152">
        <f t="shared" si="210"/>
        <v>0.1147235725467579</v>
      </c>
      <c r="Y86" s="152">
        <f t="shared" si="210"/>
        <v>0.1147235725467579</v>
      </c>
      <c r="Z86" s="152">
        <f t="shared" si="210"/>
        <v>0.1147235725467579</v>
      </c>
      <c r="AA86" s="152">
        <f t="shared" si="210"/>
        <v>0.1147235725467579</v>
      </c>
      <c r="AB86" s="152">
        <f t="shared" si="210"/>
        <v>0.1147235725467579</v>
      </c>
      <c r="AC86" s="138">
        <f t="shared" si="204"/>
        <v>-1.3169454306164119E-2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11">(E40)/(E7+E10)</f>
        <v>#DIV/0!</v>
      </c>
      <c r="F87" s="152" t="e">
        <f t="shared" si="211"/>
        <v>#DIV/0!</v>
      </c>
      <c r="G87" s="152">
        <f>(G40)/(G7+G10)</f>
        <v>9.223136366069995E-2</v>
      </c>
      <c r="H87" s="152">
        <f t="shared" ref="H87:O87" si="212">(H40)/(H7+H10)</f>
        <v>0.12814137884692917</v>
      </c>
      <c r="I87" s="152">
        <f t="shared" si="212"/>
        <v>0.12633136094674557</v>
      </c>
      <c r="J87" s="152">
        <f t="shared" si="212"/>
        <v>0.11853524445317101</v>
      </c>
      <c r="K87" s="152">
        <f t="shared" si="212"/>
        <v>0.14334488531234396</v>
      </c>
      <c r="L87" s="152">
        <f t="shared" si="212"/>
        <v>7.5695435995584856E-2</v>
      </c>
      <c r="M87" s="152">
        <f t="shared" si="212"/>
        <v>0.11878486627400818</v>
      </c>
      <c r="N87" s="152">
        <f t="shared" si="212"/>
        <v>8.0906339083668857E-2</v>
      </c>
      <c r="O87" s="152">
        <f t="shared" si="212"/>
        <v>7.8217232624563635E-2</v>
      </c>
      <c r="P87" s="152">
        <f t="shared" ref="P87" si="213">(P40)/(P7+P10)</f>
        <v>7.6963044030997463E-2</v>
      </c>
      <c r="Q87" s="118">
        <f t="shared" si="202"/>
        <v>-1.9907496453277718E-2</v>
      </c>
      <c r="R87" s="20"/>
      <c r="S87" s="152">
        <f t="shared" ref="S87:AB87" si="214">(S40)/(S7+S10)</f>
        <v>7.6963044030997477E-2</v>
      </c>
      <c r="T87" s="152">
        <f t="shared" si="214"/>
        <v>7.6963044030997477E-2</v>
      </c>
      <c r="U87" s="152">
        <f t="shared" si="214"/>
        <v>7.6963044030997477E-2</v>
      </c>
      <c r="V87" s="152">
        <f t="shared" si="214"/>
        <v>7.6963044030997491E-2</v>
      </c>
      <c r="W87" s="152">
        <f t="shared" si="214"/>
        <v>7.6963044030997491E-2</v>
      </c>
      <c r="X87" s="152">
        <f t="shared" si="214"/>
        <v>7.6963044030997491E-2</v>
      </c>
      <c r="Y87" s="152">
        <f t="shared" si="214"/>
        <v>7.6963044030997491E-2</v>
      </c>
      <c r="Z87" s="152">
        <f t="shared" si="214"/>
        <v>7.6963044030997491E-2</v>
      </c>
      <c r="AA87" s="152">
        <f t="shared" si="214"/>
        <v>7.6963044030997491E-2</v>
      </c>
      <c r="AB87" s="152">
        <f t="shared" si="214"/>
        <v>7.6963044030997491E-2</v>
      </c>
      <c r="AC87" s="138">
        <f t="shared" si="204"/>
        <v>-9.4797748028921935E-3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0.22038796441455905</v>
      </c>
      <c r="H88" s="152">
        <f t="shared" ref="H88:P88" si="215">H20/H25</f>
        <v>0.25602142265356848</v>
      </c>
      <c r="I88" s="152">
        <f t="shared" si="215"/>
        <v>0.11976403931123727</v>
      </c>
      <c r="J88" s="152">
        <f t="shared" si="215"/>
        <v>0.14589358514233947</v>
      </c>
      <c r="K88" s="152">
        <f t="shared" si="215"/>
        <v>0.1111925474347558</v>
      </c>
      <c r="L88" s="152">
        <f t="shared" si="215"/>
        <v>0.10514525500322788</v>
      </c>
      <c r="M88" s="152">
        <f t="shared" si="215"/>
        <v>9.2793914559326257E-2</v>
      </c>
      <c r="N88" s="152">
        <f t="shared" si="215"/>
        <v>0.12221928936987668</v>
      </c>
      <c r="O88" s="152">
        <f t="shared" si="215"/>
        <v>6.6664488355565724E-2</v>
      </c>
      <c r="P88" s="152">
        <f t="shared" si="215"/>
        <v>9.0069605228809191E-2</v>
      </c>
      <c r="Q88" s="118">
        <f t="shared" si="202"/>
        <v>-9.4640310447868359E-2</v>
      </c>
      <c r="R88" s="20"/>
      <c r="S88" s="152">
        <f t="shared" ref="S88:AB88" si="216">S20/S25</f>
        <v>9.0069605228809205E-2</v>
      </c>
      <c r="T88" s="152">
        <f t="shared" si="216"/>
        <v>9.0069605228809205E-2</v>
      </c>
      <c r="U88" s="152">
        <f t="shared" si="216"/>
        <v>9.0069605228809205E-2</v>
      </c>
      <c r="V88" s="152">
        <f t="shared" si="216"/>
        <v>9.0069605228809219E-2</v>
      </c>
      <c r="W88" s="152">
        <f t="shared" si="216"/>
        <v>9.0069605228809219E-2</v>
      </c>
      <c r="X88" s="152">
        <f t="shared" si="216"/>
        <v>9.0069605228809219E-2</v>
      </c>
      <c r="Y88" s="152">
        <f t="shared" si="216"/>
        <v>9.0069605228809219E-2</v>
      </c>
      <c r="Z88" s="152">
        <f t="shared" si="216"/>
        <v>9.0069605228809205E-2</v>
      </c>
      <c r="AA88" s="152">
        <f t="shared" si="216"/>
        <v>9.0069605228809219E-2</v>
      </c>
      <c r="AB88" s="152">
        <f t="shared" si="216"/>
        <v>9.0069605228809219E-2</v>
      </c>
      <c r="AC88" s="138">
        <f t="shared" si="204"/>
        <v>-4.6003322016865966E-2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2.7652380862436959E-2</v>
      </c>
      <c r="H90" s="152">
        <f t="shared" ref="H90:P90" si="217">H29/H25</f>
        <v>2.2073618179666233E-2</v>
      </c>
      <c r="I90" s="152">
        <f t="shared" si="217"/>
        <v>1.108688809354489E-2</v>
      </c>
      <c r="J90" s="152">
        <f t="shared" si="217"/>
        <v>1.1716436112756542E-2</v>
      </c>
      <c r="K90" s="152">
        <f t="shared" si="217"/>
        <v>8.6101787793684496E-3</v>
      </c>
      <c r="L90" s="152">
        <f t="shared" si="217"/>
        <v>1.3770174306003873E-2</v>
      </c>
      <c r="M90" s="152">
        <f t="shared" si="217"/>
        <v>9.340970319893142E-3</v>
      </c>
      <c r="N90" s="152">
        <f t="shared" si="217"/>
        <v>8.8462158872611562E-3</v>
      </c>
      <c r="O90" s="152">
        <f t="shared" si="217"/>
        <v>7.8800404076709227E-3</v>
      </c>
      <c r="P90" s="152">
        <f t="shared" si="217"/>
        <v>6.4481815542484075E-3</v>
      </c>
      <c r="Q90" s="118">
        <f t="shared" si="202"/>
        <v>-0.14936162804438513</v>
      </c>
      <c r="R90" s="20"/>
      <c r="S90" s="152">
        <f t="shared" ref="S90:AB90" si="218">S29/S25</f>
        <v>6.4481815542484075E-3</v>
      </c>
      <c r="T90" s="152">
        <f t="shared" si="218"/>
        <v>6.4481815542484083E-3</v>
      </c>
      <c r="U90" s="152">
        <f t="shared" si="218"/>
        <v>6.4481815542484083E-3</v>
      </c>
      <c r="V90" s="152">
        <f t="shared" si="218"/>
        <v>6.4481815542484083E-3</v>
      </c>
      <c r="W90" s="152">
        <f t="shared" si="218"/>
        <v>6.4481815542484092E-3</v>
      </c>
      <c r="X90" s="152">
        <f t="shared" si="218"/>
        <v>6.4481815542484083E-3</v>
      </c>
      <c r="Y90" s="152">
        <f t="shared" si="218"/>
        <v>6.4481815542484075E-3</v>
      </c>
      <c r="Z90" s="152">
        <f t="shared" si="218"/>
        <v>6.4481815542484075E-3</v>
      </c>
      <c r="AA90" s="152">
        <f t="shared" si="218"/>
        <v>6.4481815542484083E-3</v>
      </c>
      <c r="AB90" s="152">
        <f t="shared" si="218"/>
        <v>6.4481815542484083E-3</v>
      </c>
      <c r="AC90" s="138">
        <f t="shared" si="204"/>
        <v>-7.3764757719005591E-2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0.15286624203821655</v>
      </c>
      <c r="H91" s="152">
        <f t="shared" ref="H91:P91" si="219">H29/H36</f>
        <v>0.11745257025899394</v>
      </c>
      <c r="I91" s="152">
        <f t="shared" si="219"/>
        <v>6.5531973539140018E-2</v>
      </c>
      <c r="J91" s="152">
        <f t="shared" si="219"/>
        <v>6.5361065215278458E-2</v>
      </c>
      <c r="K91" s="152">
        <f t="shared" si="219"/>
        <v>5.627938213566152E-2</v>
      </c>
      <c r="L91" s="152">
        <f t="shared" si="219"/>
        <v>8.7518463810930577E-2</v>
      </c>
      <c r="M91" s="152">
        <f t="shared" si="219"/>
        <v>6.8193838423905861E-2</v>
      </c>
      <c r="N91" s="152">
        <f t="shared" si="219"/>
        <v>6.3493316493000732E-2</v>
      </c>
      <c r="O91" s="152">
        <f t="shared" si="219"/>
        <v>8.3115540365892179E-2</v>
      </c>
      <c r="P91" s="152">
        <f t="shared" si="219"/>
        <v>7.998184294144349E-2</v>
      </c>
      <c r="Q91" s="118">
        <f t="shared" ref="Q91" si="220">((P91/G91)^(1/($H$2-$H$1) ))-1</f>
        <v>-6.9444667950844363E-2</v>
      </c>
      <c r="R91" s="20"/>
      <c r="S91" s="152">
        <f t="shared" ref="S91:AB91" si="221">S29/S36</f>
        <v>7.998184294144349E-2</v>
      </c>
      <c r="T91" s="152">
        <f t="shared" si="221"/>
        <v>7.998184294144349E-2</v>
      </c>
      <c r="U91" s="152">
        <f t="shared" si="221"/>
        <v>7.998184294144349E-2</v>
      </c>
      <c r="V91" s="152">
        <f t="shared" si="221"/>
        <v>7.998184294144349E-2</v>
      </c>
      <c r="W91" s="152">
        <f t="shared" si="221"/>
        <v>7.998184294144349E-2</v>
      </c>
      <c r="X91" s="152">
        <f t="shared" si="221"/>
        <v>7.998184294144349E-2</v>
      </c>
      <c r="Y91" s="152">
        <f t="shared" si="221"/>
        <v>7.9981842941443476E-2</v>
      </c>
      <c r="Z91" s="152">
        <f t="shared" si="221"/>
        <v>7.9981842941443476E-2</v>
      </c>
      <c r="AA91" s="152">
        <f t="shared" si="221"/>
        <v>7.998184294144349E-2</v>
      </c>
      <c r="AB91" s="152">
        <f t="shared" si="221"/>
        <v>7.998184294144349E-2</v>
      </c>
      <c r="AC91" s="138">
        <f t="shared" ref="AC91" si="222">((AB91/G91)^(1/($AB$3-$H$1) ))-1</f>
        <v>-3.3518212348826237E-2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23">G29/G40</f>
        <v>0.28328173374613003</v>
      </c>
      <c r="H92" s="171">
        <f t="shared" si="223"/>
        <v>0.19559517566858942</v>
      </c>
      <c r="I92" s="171">
        <f t="shared" si="223"/>
        <v>0.10123483074302747</v>
      </c>
      <c r="J92" s="171">
        <f t="shared" si="223"/>
        <v>0.11139638893490145</v>
      </c>
      <c r="K92" s="171">
        <f t="shared" si="223"/>
        <v>6.4385596475951448E-2</v>
      </c>
      <c r="L92" s="171">
        <f t="shared" si="223"/>
        <v>0.14267558528428093</v>
      </c>
      <c r="M92" s="171">
        <f t="shared" si="223"/>
        <v>8.4469557384432709E-2</v>
      </c>
      <c r="N92" s="171">
        <f t="shared" si="223"/>
        <v>0.12521405220279175</v>
      </c>
      <c r="O92" s="171">
        <f t="shared" si="223"/>
        <v>0.14677689303646599</v>
      </c>
      <c r="P92" s="171">
        <f t="shared" si="223"/>
        <v>0.12654409652398735</v>
      </c>
      <c r="Q92" s="118">
        <f t="shared" ref="Q92" si="224">((P92/G92)^(1/($H$2-$H$1) ))-1</f>
        <v>-8.5647404617962941E-2</v>
      </c>
      <c r="R92" s="20"/>
      <c r="S92" s="171">
        <f t="shared" ref="S92:AB92" si="225">S29/S40</f>
        <v>0.12654409652398735</v>
      </c>
      <c r="T92" s="171">
        <f t="shared" si="225"/>
        <v>0.12654409652398738</v>
      </c>
      <c r="U92" s="171">
        <f t="shared" si="225"/>
        <v>0.12654409652398735</v>
      </c>
      <c r="V92" s="171">
        <f t="shared" si="225"/>
        <v>0.12654409652398735</v>
      </c>
      <c r="W92" s="171">
        <f t="shared" si="225"/>
        <v>0.12654409652398735</v>
      </c>
      <c r="X92" s="171">
        <f t="shared" si="225"/>
        <v>0.12654409652398732</v>
      </c>
      <c r="Y92" s="171">
        <f t="shared" si="225"/>
        <v>0.12654409652398732</v>
      </c>
      <c r="Z92" s="171">
        <f t="shared" si="225"/>
        <v>0.12654409652398732</v>
      </c>
      <c r="AA92" s="171">
        <f t="shared" si="225"/>
        <v>0.12654409652398732</v>
      </c>
      <c r="AB92" s="171">
        <f t="shared" si="225"/>
        <v>0.12654409652398732</v>
      </c>
      <c r="AC92" s="138">
        <f t="shared" ref="AC92" si="226">((AB92/G92)^(1/($AB$3-$H$1) ))-1</f>
        <v>-4.1526357280871617E-2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27">G29/G12</f>
        <v>5.4222222222222225</v>
      </c>
      <c r="H93" s="171">
        <f t="shared" si="227"/>
        <v>3.8753246753246753</v>
      </c>
      <c r="I93" s="171">
        <f t="shared" si="227"/>
        <v>3.6718146718146718</v>
      </c>
      <c r="J93" s="171">
        <f t="shared" si="227"/>
        <v>3.2885085574572126</v>
      </c>
      <c r="K93" s="171">
        <f t="shared" si="227"/>
        <v>3.2396907216494846</v>
      </c>
      <c r="L93" s="171">
        <f t="shared" si="227"/>
        <v>2.648669456482597</v>
      </c>
      <c r="M93" s="171">
        <f t="shared" si="227"/>
        <v>3.1069277108433737</v>
      </c>
      <c r="N93" s="171">
        <f t="shared" si="227"/>
        <v>2.7608695652173911</v>
      </c>
      <c r="O93" s="171">
        <f t="shared" si="227"/>
        <v>2.0013831258644537</v>
      </c>
      <c r="P93" s="171">
        <f t="shared" si="227"/>
        <v>5.2382273664182653E-2</v>
      </c>
      <c r="Q93" s="118">
        <f t="shared" si="202"/>
        <v>-0.40281087221953882</v>
      </c>
      <c r="R93" s="20"/>
      <c r="S93" s="152">
        <f t="shared" ref="S93:AB93" si="228">S29/S12</f>
        <v>5.2382273664182653E-2</v>
      </c>
      <c r="T93" s="152">
        <f t="shared" si="228"/>
        <v>5.2382273664182653E-2</v>
      </c>
      <c r="U93" s="152">
        <f t="shared" si="228"/>
        <v>5.2382273664182653E-2</v>
      </c>
      <c r="V93" s="152">
        <f t="shared" si="228"/>
        <v>5.2382273664182653E-2</v>
      </c>
      <c r="W93" s="152">
        <f t="shared" si="228"/>
        <v>5.2382273664182653E-2</v>
      </c>
      <c r="X93" s="152">
        <f t="shared" si="228"/>
        <v>5.2382273664182653E-2</v>
      </c>
      <c r="Y93" s="152">
        <f t="shared" si="228"/>
        <v>5.2382273664182646E-2</v>
      </c>
      <c r="Z93" s="152">
        <f t="shared" si="228"/>
        <v>5.2382273664182646E-2</v>
      </c>
      <c r="AA93" s="152">
        <f t="shared" si="228"/>
        <v>5.2382273664182646E-2</v>
      </c>
      <c r="AB93" s="152">
        <f t="shared" si="228"/>
        <v>5.2382273664182646E-2</v>
      </c>
      <c r="AC93" s="138">
        <f t="shared" si="204"/>
        <v>-0.21666462667985609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5.4222222222222225</v>
      </c>
      <c r="H94" s="171">
        <f t="shared" ref="H94:P94" si="229">H29/H23</f>
        <v>0.41329639889196673</v>
      </c>
      <c r="I94" s="171">
        <f t="shared" si="229"/>
        <v>0.36353211009174313</v>
      </c>
      <c r="J94" s="171">
        <f t="shared" si="229"/>
        <v>0.69437274135260707</v>
      </c>
      <c r="K94" s="171">
        <f t="shared" si="229"/>
        <v>0.28095663835493967</v>
      </c>
      <c r="L94" s="171">
        <f t="shared" si="229"/>
        <v>9.3791223287309822E-2</v>
      </c>
      <c r="M94" s="171">
        <f t="shared" si="229"/>
        <v>0.14852411807055435</v>
      </c>
      <c r="N94" s="171">
        <f t="shared" si="229"/>
        <v>8.0062377650220645E-2</v>
      </c>
      <c r="O94" s="171">
        <f t="shared" si="229"/>
        <v>7.1051533230217775E-2</v>
      </c>
      <c r="P94" s="171">
        <f t="shared" si="229"/>
        <v>5.2382273664182653E-2</v>
      </c>
      <c r="Q94" s="118">
        <f t="shared" ref="Q94" si="230">((P94/G94)^(1/($H$2-$H$1) ))-1</f>
        <v>-0.40281087221953882</v>
      </c>
      <c r="R94" s="20"/>
      <c r="S94" s="171">
        <f t="shared" ref="S94:AB94" si="231">S29/S23</f>
        <v>5.2382273664182653E-2</v>
      </c>
      <c r="T94" s="171">
        <f t="shared" si="231"/>
        <v>5.2382273664182653E-2</v>
      </c>
      <c r="U94" s="171">
        <f t="shared" si="231"/>
        <v>5.2382273664182653E-2</v>
      </c>
      <c r="V94" s="171">
        <f t="shared" si="231"/>
        <v>5.2382273664182653E-2</v>
      </c>
      <c r="W94" s="171">
        <f t="shared" si="231"/>
        <v>5.2382273664182653E-2</v>
      </c>
      <c r="X94" s="171">
        <f t="shared" si="231"/>
        <v>5.2382273664182653E-2</v>
      </c>
      <c r="Y94" s="171">
        <f t="shared" si="231"/>
        <v>5.2382273664182646E-2</v>
      </c>
      <c r="Z94" s="171">
        <f t="shared" si="231"/>
        <v>5.2382273664182646E-2</v>
      </c>
      <c r="AA94" s="171">
        <f t="shared" si="231"/>
        <v>5.2382273664182646E-2</v>
      </c>
      <c r="AB94" s="171">
        <f t="shared" si="231"/>
        <v>5.2382273664182646E-2</v>
      </c>
      <c r="AC94" s="138">
        <f t="shared" ref="AC94" si="232">((AB94/G94)^(1/($AB$3-$H$1) ))-1</f>
        <v>-0.21666462667985609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36.163251366120221</v>
      </c>
      <c r="H96" s="127">
        <f t="shared" ref="H96:P96" si="233">1/H90</f>
        <v>45.302949061662197</v>
      </c>
      <c r="I96" s="127">
        <f t="shared" si="233"/>
        <v>90.196635120925336</v>
      </c>
      <c r="J96" s="127">
        <f t="shared" si="233"/>
        <v>85.350185873605952</v>
      </c>
      <c r="K96" s="127">
        <f t="shared" si="233"/>
        <v>116.14160700079555</v>
      </c>
      <c r="L96" s="127">
        <f t="shared" si="233"/>
        <v>72.620721987810597</v>
      </c>
      <c r="M96" s="127">
        <f t="shared" si="233"/>
        <v>107.05525933107126</v>
      </c>
      <c r="N96" s="127">
        <f t="shared" si="233"/>
        <v>113.04268545379196</v>
      </c>
      <c r="O96" s="127">
        <f t="shared" si="233"/>
        <v>126.90290255701451</v>
      </c>
      <c r="P96" s="127">
        <f t="shared" si="233"/>
        <v>155.08248202799848</v>
      </c>
      <c r="Q96" s="118">
        <f t="shared" si="202"/>
        <v>0.1755876915133785</v>
      </c>
      <c r="R96" s="20"/>
      <c r="S96" s="127">
        <f t="shared" ref="S96:AB96" si="234">1/S90</f>
        <v>155.08248202799848</v>
      </c>
      <c r="T96" s="127">
        <f t="shared" si="234"/>
        <v>155.08248202799845</v>
      </c>
      <c r="U96" s="127">
        <f t="shared" si="234"/>
        <v>155.08248202799845</v>
      </c>
      <c r="V96" s="127">
        <f t="shared" si="234"/>
        <v>155.08248202799845</v>
      </c>
      <c r="W96" s="127">
        <f t="shared" si="234"/>
        <v>155.08248202799845</v>
      </c>
      <c r="X96" s="127">
        <f t="shared" si="234"/>
        <v>155.08248202799845</v>
      </c>
      <c r="Y96" s="127">
        <f t="shared" si="234"/>
        <v>155.08248202799848</v>
      </c>
      <c r="Z96" s="127">
        <f t="shared" si="234"/>
        <v>155.08248202799848</v>
      </c>
      <c r="AA96" s="127">
        <f t="shared" si="234"/>
        <v>155.08248202799845</v>
      </c>
      <c r="AB96" s="127">
        <f t="shared" si="234"/>
        <v>155.08248202799845</v>
      </c>
      <c r="AC96" s="138">
        <f t="shared" si="204"/>
        <v>7.963933388816935E-2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35">1/G91</f>
        <v>6.541666666666667</v>
      </c>
      <c r="H97" s="127">
        <f t="shared" si="235"/>
        <v>8.5140750670241285</v>
      </c>
      <c r="I97" s="127">
        <f t="shared" si="235"/>
        <v>15.259726603575185</v>
      </c>
      <c r="J97" s="127">
        <f t="shared" si="235"/>
        <v>15.299628252788104</v>
      </c>
      <c r="K97" s="127">
        <f t="shared" si="235"/>
        <v>17.768496420047732</v>
      </c>
      <c r="L97" s="127">
        <f t="shared" si="235"/>
        <v>11.426160337552743</v>
      </c>
      <c r="M97" s="127">
        <f t="shared" si="235"/>
        <v>14.664081434803682</v>
      </c>
      <c r="N97" s="127">
        <f t="shared" si="235"/>
        <v>15.749689183588895</v>
      </c>
      <c r="O97" s="127">
        <f t="shared" si="235"/>
        <v>12.031444367657222</v>
      </c>
      <c r="P97" s="127">
        <f t="shared" si="235"/>
        <v>12.502837684449489</v>
      </c>
      <c r="Q97" s="118">
        <f t="shared" si="202"/>
        <v>7.4627123782012861E-2</v>
      </c>
      <c r="R97" s="20"/>
      <c r="S97" s="127">
        <f t="shared" ref="S97:AB97" si="236">1/S91</f>
        <v>12.502837684449489</v>
      </c>
      <c r="T97" s="127">
        <f t="shared" si="236"/>
        <v>12.502837684449489</v>
      </c>
      <c r="U97" s="127">
        <f t="shared" si="236"/>
        <v>12.502837684449489</v>
      </c>
      <c r="V97" s="127">
        <f t="shared" si="236"/>
        <v>12.502837684449489</v>
      </c>
      <c r="W97" s="127">
        <f t="shared" si="236"/>
        <v>12.502837684449489</v>
      </c>
      <c r="X97" s="127">
        <f t="shared" si="236"/>
        <v>12.502837684449489</v>
      </c>
      <c r="Y97" s="127">
        <f t="shared" si="236"/>
        <v>12.50283768444949</v>
      </c>
      <c r="Z97" s="127">
        <f t="shared" si="236"/>
        <v>12.50283768444949</v>
      </c>
      <c r="AA97" s="127">
        <f t="shared" si="236"/>
        <v>12.502837684449489</v>
      </c>
      <c r="AB97" s="127">
        <f t="shared" si="236"/>
        <v>12.502837684449489</v>
      </c>
      <c r="AC97" s="138">
        <f t="shared" si="204"/>
        <v>3.4680645592179316E-2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35"/>
        <v>3.5300546448087431</v>
      </c>
      <c r="H98" s="127">
        <f t="shared" si="235"/>
        <v>5.1126005361930291</v>
      </c>
      <c r="I98" s="127">
        <f t="shared" si="235"/>
        <v>9.8780231335436373</v>
      </c>
      <c r="J98" s="127">
        <f t="shared" si="235"/>
        <v>8.9769516728624534</v>
      </c>
      <c r="K98" s="127">
        <f t="shared" si="235"/>
        <v>15.531424025457436</v>
      </c>
      <c r="L98" s="127">
        <f t="shared" si="235"/>
        <v>7.008907641819035</v>
      </c>
      <c r="M98" s="127">
        <f t="shared" si="235"/>
        <v>11.838584585555017</v>
      </c>
      <c r="N98" s="127">
        <f t="shared" si="235"/>
        <v>7.9863240779113145</v>
      </c>
      <c r="O98" s="127">
        <f t="shared" si="235"/>
        <v>6.8130615065653082</v>
      </c>
      <c r="P98" s="127">
        <f t="shared" si="235"/>
        <v>7.9023836549375721</v>
      </c>
      <c r="Q98" s="118">
        <f t="shared" si="202"/>
        <v>9.3669996728316329E-2</v>
      </c>
      <c r="R98" s="20"/>
      <c r="S98" s="127">
        <f t="shared" ref="S98:AB98" si="237">1/S92</f>
        <v>7.9023836549375721</v>
      </c>
      <c r="T98" s="127">
        <f t="shared" si="237"/>
        <v>7.9023836549375703</v>
      </c>
      <c r="U98" s="127">
        <f t="shared" si="237"/>
        <v>7.9023836549375721</v>
      </c>
      <c r="V98" s="127">
        <f t="shared" si="237"/>
        <v>7.9023836549375721</v>
      </c>
      <c r="W98" s="127">
        <f t="shared" si="237"/>
        <v>7.9023836549375721</v>
      </c>
      <c r="X98" s="127">
        <f t="shared" si="237"/>
        <v>7.902383654937573</v>
      </c>
      <c r="Y98" s="127">
        <f t="shared" si="237"/>
        <v>7.902383654937573</v>
      </c>
      <c r="Z98" s="127">
        <f t="shared" si="237"/>
        <v>7.902383654937573</v>
      </c>
      <c r="AA98" s="127">
        <f t="shared" si="237"/>
        <v>7.902383654937573</v>
      </c>
      <c r="AB98" s="127">
        <f t="shared" si="237"/>
        <v>7.902383654937573</v>
      </c>
      <c r="AC98" s="138">
        <f t="shared" si="204"/>
        <v>4.3325507797026264E-2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35"/>
        <v>0.1844262295081967</v>
      </c>
      <c r="H99" s="127">
        <f t="shared" si="235"/>
        <v>0.25804289544235925</v>
      </c>
      <c r="I99" s="127">
        <f t="shared" si="235"/>
        <v>0.2723449001051525</v>
      </c>
      <c r="J99" s="127">
        <f t="shared" si="235"/>
        <v>0.30408921933085503</v>
      </c>
      <c r="K99" s="127">
        <f t="shared" si="235"/>
        <v>0.30867143993635637</v>
      </c>
      <c r="L99" s="127">
        <f t="shared" si="235"/>
        <v>0.37754805438349737</v>
      </c>
      <c r="M99" s="127">
        <f t="shared" si="235"/>
        <v>0.32186136694134754</v>
      </c>
      <c r="N99" s="127">
        <f t="shared" si="235"/>
        <v>0.36220472440944884</v>
      </c>
      <c r="O99" s="127">
        <f t="shared" si="235"/>
        <v>0.49965445749827231</v>
      </c>
      <c r="P99" s="127">
        <f t="shared" si="235"/>
        <v>19.090427544457057</v>
      </c>
      <c r="Q99" s="118">
        <f t="shared" si="202"/>
        <v>0.67451139594024934</v>
      </c>
      <c r="R99" s="20"/>
      <c r="S99" s="127">
        <f t="shared" ref="S99:AB99" si="238">1/S93</f>
        <v>19.090427544457057</v>
      </c>
      <c r="T99" s="127">
        <f t="shared" si="238"/>
        <v>19.090427544457057</v>
      </c>
      <c r="U99" s="127">
        <f t="shared" si="238"/>
        <v>19.090427544457057</v>
      </c>
      <c r="V99" s="127">
        <f t="shared" si="238"/>
        <v>19.090427544457057</v>
      </c>
      <c r="W99" s="127">
        <f t="shared" si="238"/>
        <v>19.090427544457057</v>
      </c>
      <c r="X99" s="127">
        <f t="shared" si="238"/>
        <v>19.090427544457057</v>
      </c>
      <c r="Y99" s="127">
        <f t="shared" si="238"/>
        <v>19.090427544457061</v>
      </c>
      <c r="Z99" s="127">
        <f t="shared" si="238"/>
        <v>19.090427544457061</v>
      </c>
      <c r="AA99" s="127">
        <f t="shared" si="238"/>
        <v>19.090427544457061</v>
      </c>
      <c r="AB99" s="127">
        <f t="shared" si="238"/>
        <v>19.090427544457061</v>
      </c>
      <c r="AC99" s="138">
        <f t="shared" si="204"/>
        <v>0.27659242012974539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>
        <f t="shared" si="235"/>
        <v>0.1844262295081967</v>
      </c>
      <c r="H100" s="127">
        <f t="shared" si="235"/>
        <v>2.4195710455764075</v>
      </c>
      <c r="I100" s="127">
        <f t="shared" si="235"/>
        <v>2.7507886435331228</v>
      </c>
      <c r="J100" s="127">
        <f t="shared" si="235"/>
        <v>1.4401486988847585</v>
      </c>
      <c r="K100" s="127">
        <f t="shared" si="235"/>
        <v>3.5592680986475735</v>
      </c>
      <c r="L100" s="127">
        <f t="shared" si="235"/>
        <v>10.661978434130333</v>
      </c>
      <c r="M100" s="127">
        <f t="shared" si="235"/>
        <v>6.7329132331555988</v>
      </c>
      <c r="N100" s="127">
        <f t="shared" si="235"/>
        <v>12.490261085785329</v>
      </c>
      <c r="O100" s="127">
        <f t="shared" si="235"/>
        <v>14.074291637871458</v>
      </c>
      <c r="P100" s="127">
        <f t="shared" si="235"/>
        <v>19.090427544457057</v>
      </c>
      <c r="Q100" s="118">
        <f t="shared" si="202"/>
        <v>0.67451139594024934</v>
      </c>
      <c r="R100" s="20"/>
      <c r="S100" s="127">
        <f t="shared" ref="S100:AB100" si="239">1/S94</f>
        <v>19.090427544457057</v>
      </c>
      <c r="T100" s="127">
        <f t="shared" si="239"/>
        <v>19.090427544457057</v>
      </c>
      <c r="U100" s="127">
        <f t="shared" si="239"/>
        <v>19.090427544457057</v>
      </c>
      <c r="V100" s="127">
        <f t="shared" si="239"/>
        <v>19.090427544457057</v>
      </c>
      <c r="W100" s="127">
        <f t="shared" si="239"/>
        <v>19.090427544457057</v>
      </c>
      <c r="X100" s="127">
        <f t="shared" si="239"/>
        <v>19.090427544457057</v>
      </c>
      <c r="Y100" s="127">
        <f t="shared" si="239"/>
        <v>19.090427544457061</v>
      </c>
      <c r="Z100" s="127">
        <f t="shared" si="239"/>
        <v>19.090427544457061</v>
      </c>
      <c r="AA100" s="127">
        <f t="shared" si="239"/>
        <v>19.090427544457061</v>
      </c>
      <c r="AB100" s="127">
        <f t="shared" si="239"/>
        <v>19.090427544457061</v>
      </c>
      <c r="AC100" s="138">
        <f t="shared" si="204"/>
        <v>0.27659242012974539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40">F10-(F12+F13)</f>
        <v>0</v>
      </c>
      <c r="G103" s="163">
        <f t="shared" si="240"/>
        <v>2318</v>
      </c>
      <c r="H103" s="163">
        <f t="shared" si="240"/>
        <v>-4651</v>
      </c>
      <c r="I103" s="163">
        <f t="shared" si="240"/>
        <v>16417</v>
      </c>
      <c r="J103" s="163">
        <f t="shared" si="240"/>
        <v>27974</v>
      </c>
      <c r="K103" s="163">
        <f t="shared" si="240"/>
        <v>40786</v>
      </c>
      <c r="L103" s="163">
        <f t="shared" si="240"/>
        <v>69015.69</v>
      </c>
      <c r="M103" s="163">
        <f t="shared" si="240"/>
        <v>54803</v>
      </c>
      <c r="N103" s="163">
        <f t="shared" si="240"/>
        <v>66269</v>
      </c>
      <c r="O103" s="163">
        <f t="shared" si="240"/>
        <v>42593</v>
      </c>
      <c r="P103" s="163">
        <f>P10-(P12+P13)</f>
        <v>-3982</v>
      </c>
      <c r="Q103" s="118">
        <f t="shared" si="202"/>
        <v>-2.0619639109441188</v>
      </c>
      <c r="R103" s="20"/>
      <c r="S103" s="163">
        <f>S10-(S12+S13)</f>
        <v>-4459.8399999999965</v>
      </c>
      <c r="T103" s="163">
        <f t="shared" ref="T103:AB103" si="241">T10-(T12+T13)</f>
        <v>-4995.0207999999839</v>
      </c>
      <c r="U103" s="163">
        <f t="shared" si="241"/>
        <v>-5594.4232959999936</v>
      </c>
      <c r="V103" s="163">
        <f t="shared" si="241"/>
        <v>-6265.7540915200079</v>
      </c>
      <c r="W103" s="163">
        <f t="shared" si="241"/>
        <v>-7017.6445825023984</v>
      </c>
      <c r="X103" s="163">
        <f t="shared" si="241"/>
        <v>-7859.7619324026746</v>
      </c>
      <c r="Y103" s="163">
        <f t="shared" si="241"/>
        <v>-8802.9333642909769</v>
      </c>
      <c r="Z103" s="163">
        <f t="shared" si="241"/>
        <v>-9859.2853680058906</v>
      </c>
      <c r="AA103" s="163">
        <f t="shared" si="241"/>
        <v>-11042.399612166599</v>
      </c>
      <c r="AB103" s="163">
        <f t="shared" si="241"/>
        <v>-12367.487565626565</v>
      </c>
      <c r="AC103" s="138">
        <f t="shared" si="204"/>
        <v>-2.0921241297898678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42">G40/G18</f>
        <v>0.16223512792340292</v>
      </c>
      <c r="H104" s="152">
        <f t="shared" si="242"/>
        <v>0.25213194949428175</v>
      </c>
      <c r="I104" s="152">
        <f t="shared" si="242"/>
        <v>0.16688577011902647</v>
      </c>
      <c r="J104" s="152">
        <f t="shared" si="242"/>
        <v>0.18626392274227885</v>
      </c>
      <c r="K104" s="152">
        <f t="shared" si="242"/>
        <v>0.30475640405238758</v>
      </c>
      <c r="L104" s="152">
        <f t="shared" si="242"/>
        <v>0.13966219498523971</v>
      </c>
      <c r="M104" s="152">
        <f t="shared" si="242"/>
        <v>0.15246174878738505</v>
      </c>
      <c r="N104" s="152">
        <f t="shared" si="242"/>
        <v>0.12189197907640149</v>
      </c>
      <c r="O104" s="152">
        <f t="shared" si="242"/>
        <v>0.12504280767620907</v>
      </c>
      <c r="P104" s="152">
        <f t="shared" si="242"/>
        <v>0.12563158654540205</v>
      </c>
      <c r="Q104" s="118">
        <f t="shared" si="202"/>
        <v>-2.8010552789858312E-2</v>
      </c>
      <c r="R104" s="20"/>
      <c r="S104" s="152">
        <f t="shared" ref="S104:AB104" si="243">S40/S18</f>
        <v>0.12563158654540207</v>
      </c>
      <c r="T104" s="152">
        <f t="shared" si="243"/>
        <v>0.12563158654540207</v>
      </c>
      <c r="U104" s="152">
        <f t="shared" si="243"/>
        <v>0.12563158654540207</v>
      </c>
      <c r="V104" s="152">
        <f t="shared" si="243"/>
        <v>0.12563158654540207</v>
      </c>
      <c r="W104" s="152">
        <f t="shared" si="243"/>
        <v>0.12563158654540207</v>
      </c>
      <c r="X104" s="152">
        <f t="shared" si="243"/>
        <v>0.1256315865454021</v>
      </c>
      <c r="Y104" s="152">
        <f t="shared" si="243"/>
        <v>0.1256315865454021</v>
      </c>
      <c r="Z104" s="152">
        <f t="shared" si="243"/>
        <v>0.1256315865454021</v>
      </c>
      <c r="AA104" s="152">
        <f t="shared" si="243"/>
        <v>0.12563158654540207</v>
      </c>
      <c r="AB104" s="152">
        <f t="shared" si="243"/>
        <v>0.1256315865454021</v>
      </c>
      <c r="AC104" s="138">
        <f t="shared" si="204"/>
        <v>-1.3367377727722229E-2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44">G40/G25</f>
        <v>9.7614415503465987E-2</v>
      </c>
      <c r="H105" s="152">
        <f t="shared" si="244"/>
        <v>0.11285359214108179</v>
      </c>
      <c r="I105" s="152">
        <f t="shared" si="244"/>
        <v>0.10951653706704595</v>
      </c>
      <c r="J105" s="152">
        <f t="shared" si="244"/>
        <v>0.1051778807623959</v>
      </c>
      <c r="K105" s="152">
        <f t="shared" si="244"/>
        <v>0.13372833755736693</v>
      </c>
      <c r="L105" s="152">
        <f t="shared" si="244"/>
        <v>9.651387992253066E-2</v>
      </c>
      <c r="M105" s="152">
        <f t="shared" si="244"/>
        <v>0.11058386724321387</v>
      </c>
      <c r="N105" s="152">
        <f t="shared" si="244"/>
        <v>7.0648746938835369E-2</v>
      </c>
      <c r="O105" s="152">
        <f t="shared" si="244"/>
        <v>5.3687199971681955E-2</v>
      </c>
      <c r="P105" s="152">
        <f t="shared" si="244"/>
        <v>5.095600451836256E-2</v>
      </c>
      <c r="Q105" s="118">
        <f t="shared" si="202"/>
        <v>-6.9682334526322331E-2</v>
      </c>
      <c r="R105" s="20"/>
      <c r="S105" s="152">
        <f t="shared" ref="S105:AB105" si="245">S40/S25</f>
        <v>5.095600451836256E-2</v>
      </c>
      <c r="T105" s="152">
        <f t="shared" si="245"/>
        <v>5.095600451836256E-2</v>
      </c>
      <c r="U105" s="152">
        <f t="shared" si="245"/>
        <v>5.0956004518362567E-2</v>
      </c>
      <c r="V105" s="152">
        <f t="shared" si="245"/>
        <v>5.0956004518362574E-2</v>
      </c>
      <c r="W105" s="152">
        <f t="shared" si="245"/>
        <v>5.0956004518362574E-2</v>
      </c>
      <c r="X105" s="152">
        <f t="shared" si="245"/>
        <v>5.0956004518362574E-2</v>
      </c>
      <c r="Y105" s="152">
        <f t="shared" si="245"/>
        <v>5.0956004518362574E-2</v>
      </c>
      <c r="Z105" s="152">
        <f t="shared" si="245"/>
        <v>5.0956004518362574E-2</v>
      </c>
      <c r="AA105" s="152">
        <f t="shared" si="245"/>
        <v>5.0956004518362581E-2</v>
      </c>
      <c r="AB105" s="152">
        <f t="shared" si="245"/>
        <v>5.0956004518362581E-2</v>
      </c>
      <c r="AC105" s="138">
        <f t="shared" si="204"/>
        <v>-3.3635145507679987E-2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46">G25/G18</f>
        <v>1.6619996860775388</v>
      </c>
      <c r="H106" s="152">
        <f t="shared" si="246"/>
        <v>2.234150856085146</v>
      </c>
      <c r="I106" s="152">
        <f t="shared" si="246"/>
        <v>1.5238408243027182</v>
      </c>
      <c r="J106" s="152">
        <f t="shared" si="246"/>
        <v>1.7709419641479744</v>
      </c>
      <c r="K106" s="152">
        <f t="shared" si="246"/>
        <v>2.2789216527996752</v>
      </c>
      <c r="L106" s="152">
        <f t="shared" si="246"/>
        <v>1.4470684951982362</v>
      </c>
      <c r="M106" s="152">
        <f t="shared" si="246"/>
        <v>1.3786979293468422</v>
      </c>
      <c r="N106" s="152">
        <f t="shared" si="246"/>
        <v>1.7253240058444392</v>
      </c>
      <c r="O106" s="152">
        <f t="shared" si="246"/>
        <v>2.3290990728174426</v>
      </c>
      <c r="P106" s="152">
        <f>P25/P18</f>
        <v>2.4654913141812234</v>
      </c>
      <c r="Q106" s="118">
        <f t="shared" si="202"/>
        <v>4.4793067231768013E-2</v>
      </c>
      <c r="R106" s="20"/>
      <c r="S106" s="152">
        <f>S25/S18</f>
        <v>2.4654913141812234</v>
      </c>
      <c r="T106" s="152">
        <f t="shared" ref="T106:AB106" si="247">T25/T18</f>
        <v>2.4654913141812234</v>
      </c>
      <c r="U106" s="152">
        <f t="shared" si="247"/>
        <v>2.4654913141812229</v>
      </c>
      <c r="V106" s="152">
        <f t="shared" si="247"/>
        <v>2.4654913141812229</v>
      </c>
      <c r="W106" s="152">
        <f t="shared" si="247"/>
        <v>2.4654913141812234</v>
      </c>
      <c r="X106" s="152">
        <f t="shared" si="247"/>
        <v>2.4654913141812234</v>
      </c>
      <c r="Y106" s="152">
        <f t="shared" si="247"/>
        <v>2.4654913141812234</v>
      </c>
      <c r="Z106" s="152">
        <f t="shared" si="247"/>
        <v>2.4654913141812234</v>
      </c>
      <c r="AA106" s="152">
        <f t="shared" si="247"/>
        <v>2.4654913141812229</v>
      </c>
      <c r="AB106" s="152">
        <f t="shared" si="247"/>
        <v>2.4654913141812229</v>
      </c>
      <c r="AC106" s="138">
        <f t="shared" si="204"/>
        <v>2.0973204567342751E-2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48">E68*E42</f>
        <v>0</v>
      </c>
      <c r="F108" s="165">
        <f t="shared" si="248"/>
        <v>0</v>
      </c>
      <c r="G108" s="165">
        <f>G68*G42</f>
        <v>733.0575</v>
      </c>
      <c r="H108" s="165">
        <f t="shared" ref="H108:P108" si="249">H68*H42</f>
        <v>1045.125</v>
      </c>
      <c r="I108" s="165">
        <f t="shared" si="249"/>
        <v>1393.5</v>
      </c>
      <c r="J108" s="165">
        <f t="shared" si="249"/>
        <v>1532.85</v>
      </c>
      <c r="K108" s="165">
        <f t="shared" si="249"/>
        <v>1889.6800000000003</v>
      </c>
      <c r="L108" s="165">
        <f t="shared" si="249"/>
        <v>1889.6800000000003</v>
      </c>
      <c r="M108" s="165">
        <f t="shared" si="249"/>
        <v>2084.6</v>
      </c>
      <c r="N108" s="165">
        <f t="shared" si="249"/>
        <v>2384.8000000000002</v>
      </c>
      <c r="O108" s="165">
        <f t="shared" si="249"/>
        <v>2531.895</v>
      </c>
      <c r="P108" s="165">
        <f t="shared" si="249"/>
        <v>2642.67</v>
      </c>
      <c r="Q108" s="118">
        <f t="shared" si="202"/>
        <v>0.15313013409736986</v>
      </c>
      <c r="R108" s="20"/>
      <c r="S108" s="165">
        <f t="shared" ref="S108:AB108" si="250">S68*S42</f>
        <v>4162.20525</v>
      </c>
      <c r="T108" s="165">
        <f t="shared" si="250"/>
        <v>4894.7533740000008</v>
      </c>
      <c r="U108" s="165">
        <f t="shared" si="250"/>
        <v>5756.2299678240024</v>
      </c>
      <c r="V108" s="165">
        <f t="shared" si="250"/>
        <v>6769.3264421610274</v>
      </c>
      <c r="W108" s="165">
        <f t="shared" si="250"/>
        <v>7960.7278959813693</v>
      </c>
      <c r="X108" s="165">
        <f t="shared" si="250"/>
        <v>9361.8160056740908</v>
      </c>
      <c r="Y108" s="165">
        <f t="shared" si="250"/>
        <v>11009.495622672734</v>
      </c>
      <c r="Z108" s="165">
        <f t="shared" si="250"/>
        <v>12947.166852263135</v>
      </c>
      <c r="AA108" s="165">
        <f t="shared" si="250"/>
        <v>15225.868218261448</v>
      </c>
      <c r="AB108" s="165">
        <f t="shared" si="250"/>
        <v>17905.621024675467</v>
      </c>
      <c r="AC108" s="138">
        <f t="shared" si="204"/>
        <v>0.18316362069806691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51">(G108*0.17)+G108</f>
        <v>857.67727500000001</v>
      </c>
      <c r="H109" s="165">
        <f t="shared" si="251"/>
        <v>1222.7962500000001</v>
      </c>
      <c r="I109" s="165">
        <f t="shared" si="251"/>
        <v>1630.395</v>
      </c>
      <c r="J109" s="165">
        <f t="shared" si="251"/>
        <v>1793.4344999999998</v>
      </c>
      <c r="K109" s="165">
        <f t="shared" si="251"/>
        <v>2210.9256000000005</v>
      </c>
      <c r="L109" s="165">
        <f t="shared" si="251"/>
        <v>2210.9256000000005</v>
      </c>
      <c r="M109" s="165">
        <f t="shared" si="251"/>
        <v>2438.982</v>
      </c>
      <c r="N109" s="165">
        <f t="shared" si="251"/>
        <v>2790.2160000000003</v>
      </c>
      <c r="O109" s="165">
        <f t="shared" si="251"/>
        <v>2962.3171499999999</v>
      </c>
      <c r="P109" s="165">
        <f t="shared" si="251"/>
        <v>3091.9239000000002</v>
      </c>
      <c r="Q109" s="118">
        <f t="shared" si="202"/>
        <v>0.15313013409736986</v>
      </c>
      <c r="R109" s="20"/>
      <c r="S109" s="165">
        <f t="shared" ref="S109:AB109" si="252">(S108*0.17)+S108</f>
        <v>4869.7801424999998</v>
      </c>
      <c r="T109" s="165">
        <f t="shared" si="252"/>
        <v>5726.8614475800014</v>
      </c>
      <c r="U109" s="165">
        <f t="shared" si="252"/>
        <v>6734.7890623540825</v>
      </c>
      <c r="V109" s="165">
        <f t="shared" si="252"/>
        <v>7920.1119373284018</v>
      </c>
      <c r="W109" s="165">
        <f t="shared" si="252"/>
        <v>9314.0516382982023</v>
      </c>
      <c r="X109" s="165">
        <f t="shared" si="252"/>
        <v>10953.324726638686</v>
      </c>
      <c r="Y109" s="165">
        <f t="shared" si="252"/>
        <v>12881.109878527099</v>
      </c>
      <c r="Z109" s="165">
        <f t="shared" si="252"/>
        <v>15148.185217147868</v>
      </c>
      <c r="AA109" s="165">
        <f t="shared" si="252"/>
        <v>17814.265815365896</v>
      </c>
      <c r="AB109" s="165">
        <f t="shared" si="252"/>
        <v>20949.576598870299</v>
      </c>
      <c r="AC109" s="138">
        <f t="shared" si="204"/>
        <v>0.18316362069806691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53">F109/F40</f>
        <v>#DIV/0!</v>
      </c>
      <c r="G110" s="152">
        <f t="shared" si="253"/>
        <v>0.1659592250386997</v>
      </c>
      <c r="H110" s="152">
        <f t="shared" si="253"/>
        <v>0.16030365102254851</v>
      </c>
      <c r="I110" s="152">
        <f t="shared" si="253"/>
        <v>0.17355705769640195</v>
      </c>
      <c r="J110" s="152">
        <f t="shared" si="253"/>
        <v>0.14853689746562862</v>
      </c>
      <c r="K110" s="152">
        <f t="shared" si="253"/>
        <v>0.1132472263484096</v>
      </c>
      <c r="L110" s="152">
        <f t="shared" si="253"/>
        <v>0.14788800000000002</v>
      </c>
      <c r="M110" s="152">
        <f t="shared" si="253"/>
        <v>9.9864144453998285E-2</v>
      </c>
      <c r="N110" s="152">
        <f t="shared" si="253"/>
        <v>0.14478833480359091</v>
      </c>
      <c r="O110" s="152">
        <f t="shared" si="253"/>
        <v>0.15024177866815439</v>
      </c>
      <c r="P110" s="152">
        <f t="shared" si="253"/>
        <v>0.14803810686584315</v>
      </c>
      <c r="Q110" s="118">
        <f t="shared" si="202"/>
        <v>-1.2616668051770974E-2</v>
      </c>
      <c r="R110" s="20"/>
      <c r="S110" s="152">
        <f t="shared" ref="S110:AB110" si="254">S109/S40</f>
        <v>0.20817858778009188</v>
      </c>
      <c r="T110" s="152">
        <f t="shared" si="254"/>
        <v>0.21858751716909652</v>
      </c>
      <c r="U110" s="152">
        <f t="shared" si="254"/>
        <v>0.22951689302755135</v>
      </c>
      <c r="V110" s="152">
        <f t="shared" si="254"/>
        <v>0.24099273767892893</v>
      </c>
      <c r="W110" s="152">
        <f t="shared" si="254"/>
        <v>0.25304237456287537</v>
      </c>
      <c r="X110" s="152">
        <f t="shared" si="254"/>
        <v>0.26569449329101913</v>
      </c>
      <c r="Y110" s="152">
        <f t="shared" si="254"/>
        <v>0.27897921795557012</v>
      </c>
      <c r="Z110" s="152">
        <f t="shared" si="254"/>
        <v>0.2929281788533486</v>
      </c>
      <c r="AA110" s="152">
        <f t="shared" si="254"/>
        <v>0.30757458779601604</v>
      </c>
      <c r="AB110" s="152">
        <f t="shared" si="254"/>
        <v>0.32295331718581688</v>
      </c>
      <c r="AC110" s="138">
        <f t="shared" si="204"/>
        <v>3.5661442828448964E-2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0.83404077496130036</v>
      </c>
      <c r="H111" s="152">
        <f t="shared" ref="H111:P111" si="255">1-H110</f>
        <v>0.83969634897745149</v>
      </c>
      <c r="I111" s="152">
        <f t="shared" si="255"/>
        <v>0.82644294230359805</v>
      </c>
      <c r="J111" s="152">
        <f t="shared" si="255"/>
        <v>0.85146310253437141</v>
      </c>
      <c r="K111" s="152">
        <f t="shared" si="255"/>
        <v>0.88675277365159044</v>
      </c>
      <c r="L111" s="152">
        <f t="shared" si="255"/>
        <v>0.85211199999999998</v>
      </c>
      <c r="M111" s="152">
        <f t="shared" si="255"/>
        <v>0.90013585554600173</v>
      </c>
      <c r="N111" s="152">
        <f t="shared" si="255"/>
        <v>0.85521166519640912</v>
      </c>
      <c r="O111" s="152">
        <f t="shared" si="255"/>
        <v>0.84975822133184564</v>
      </c>
      <c r="P111" s="152">
        <f t="shared" si="255"/>
        <v>0.85196189313415682</v>
      </c>
      <c r="Q111" s="118">
        <f t="shared" si="202"/>
        <v>2.3649596108179516E-3</v>
      </c>
      <c r="R111" s="20"/>
      <c r="S111" s="152">
        <f t="shared" ref="S111:AB111" si="256">1-S110</f>
        <v>0.79182141221990809</v>
      </c>
      <c r="T111" s="152">
        <f t="shared" si="256"/>
        <v>0.78141248283090348</v>
      </c>
      <c r="U111" s="152">
        <f t="shared" si="256"/>
        <v>0.77048310697244871</v>
      </c>
      <c r="V111" s="152">
        <f t="shared" si="256"/>
        <v>0.75900726232107107</v>
      </c>
      <c r="W111" s="152">
        <f t="shared" si="256"/>
        <v>0.74695762543712463</v>
      </c>
      <c r="X111" s="152">
        <f t="shared" si="256"/>
        <v>0.73430550670898087</v>
      </c>
      <c r="Y111" s="152">
        <f t="shared" si="256"/>
        <v>0.72102078204442988</v>
      </c>
      <c r="Z111" s="152">
        <f t="shared" si="256"/>
        <v>0.70707182114665135</v>
      </c>
      <c r="AA111" s="152">
        <f t="shared" si="256"/>
        <v>0.6924254122039839</v>
      </c>
      <c r="AB111" s="152">
        <f t="shared" si="256"/>
        <v>0.67704668281418312</v>
      </c>
      <c r="AC111" s="138">
        <f t="shared" si="204"/>
        <v>-1.0915882817718714E-2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57">H31/H25</f>
        <v>0</v>
      </c>
      <c r="I113" s="152">
        <f t="shared" si="257"/>
        <v>0</v>
      </c>
      <c r="J113" s="152">
        <f t="shared" si="257"/>
        <v>0</v>
      </c>
      <c r="K113" s="152">
        <f t="shared" si="257"/>
        <v>0</v>
      </c>
      <c r="L113" s="152">
        <f t="shared" si="257"/>
        <v>0</v>
      </c>
      <c r="M113" s="152">
        <f t="shared" si="257"/>
        <v>0</v>
      </c>
      <c r="N113" s="152">
        <f t="shared" si="257"/>
        <v>0</v>
      </c>
      <c r="O113" s="152">
        <f t="shared" si="257"/>
        <v>0</v>
      </c>
      <c r="P113" s="152">
        <f t="shared" si="257"/>
        <v>0</v>
      </c>
      <c r="Q113" s="118" t="e">
        <f t="shared" si="202"/>
        <v>#DIV/0!</v>
      </c>
      <c r="R113" s="20"/>
      <c r="S113" s="152">
        <f t="shared" ref="S113:AB113" si="258">S31/S25</f>
        <v>0</v>
      </c>
      <c r="T113" s="152">
        <f t="shared" si="258"/>
        <v>0</v>
      </c>
      <c r="U113" s="152">
        <f t="shared" si="258"/>
        <v>0</v>
      </c>
      <c r="V113" s="152">
        <f t="shared" si="258"/>
        <v>0</v>
      </c>
      <c r="W113" s="152">
        <f t="shared" si="258"/>
        <v>0</v>
      </c>
      <c r="X113" s="152">
        <f t="shared" si="258"/>
        <v>0</v>
      </c>
      <c r="Y113" s="152">
        <f t="shared" si="258"/>
        <v>0</v>
      </c>
      <c r="Z113" s="152">
        <f t="shared" si="258"/>
        <v>0</v>
      </c>
      <c r="AA113" s="152">
        <f t="shared" si="258"/>
        <v>0</v>
      </c>
      <c r="AB113" s="152">
        <f t="shared" si="258"/>
        <v>0</v>
      </c>
      <c r="AC113" s="138" t="e">
        <f t="shared" si="204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59">H32/H25</f>
        <v>0</v>
      </c>
      <c r="I114" s="152">
        <f t="shared" si="259"/>
        <v>0</v>
      </c>
      <c r="J114" s="152">
        <f t="shared" si="259"/>
        <v>0</v>
      </c>
      <c r="K114" s="152">
        <f t="shared" si="259"/>
        <v>0</v>
      </c>
      <c r="L114" s="152">
        <f t="shared" si="259"/>
        <v>0</v>
      </c>
      <c r="M114" s="152">
        <f t="shared" si="259"/>
        <v>0</v>
      </c>
      <c r="N114" s="152">
        <f t="shared" si="259"/>
        <v>0</v>
      </c>
      <c r="O114" s="152">
        <f t="shared" si="259"/>
        <v>0</v>
      </c>
      <c r="P114" s="152">
        <f t="shared" si="259"/>
        <v>0</v>
      </c>
      <c r="Q114" s="118" t="e">
        <f t="shared" si="202"/>
        <v>#DIV/0!</v>
      </c>
      <c r="R114" s="20"/>
      <c r="S114" s="152">
        <f t="shared" ref="S114:AB114" si="260">S32/S25</f>
        <v>0</v>
      </c>
      <c r="T114" s="152">
        <f t="shared" si="260"/>
        <v>0</v>
      </c>
      <c r="U114" s="152">
        <f t="shared" si="260"/>
        <v>0</v>
      </c>
      <c r="V114" s="152">
        <f t="shared" si="260"/>
        <v>0</v>
      </c>
      <c r="W114" s="152">
        <f t="shared" si="260"/>
        <v>0</v>
      </c>
      <c r="X114" s="152">
        <f t="shared" si="260"/>
        <v>0</v>
      </c>
      <c r="Y114" s="152">
        <f t="shared" si="260"/>
        <v>0</v>
      </c>
      <c r="Z114" s="152">
        <f t="shared" si="260"/>
        <v>0</v>
      </c>
      <c r="AA114" s="152">
        <f t="shared" si="260"/>
        <v>0</v>
      </c>
      <c r="AB114" s="152">
        <f t="shared" si="260"/>
        <v>0</v>
      </c>
      <c r="AC114" s="138" t="e">
        <f t="shared" si="204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0.79122830213625972</v>
      </c>
      <c r="H116" s="152">
        <f t="shared" ref="H116:P116" si="261">H27/H25</f>
        <v>0.78762279559711212</v>
      </c>
      <c r="I116" s="152">
        <f t="shared" si="261"/>
        <v>0.81954370052578196</v>
      </c>
      <c r="J116" s="152">
        <f t="shared" si="261"/>
        <v>0.8179204850343218</v>
      </c>
      <c r="K116" s="152">
        <f t="shared" si="261"/>
        <v>0.79941776834029732</v>
      </c>
      <c r="L116" s="152">
        <f t="shared" si="261"/>
        <v>0.83429309231762427</v>
      </c>
      <c r="M116" s="152">
        <f t="shared" si="261"/>
        <v>0.81117928052342037</v>
      </c>
      <c r="N116" s="152">
        <f t="shared" si="261"/>
        <v>0.85114674526710954</v>
      </c>
      <c r="O116" s="152">
        <f t="shared" si="261"/>
        <v>0.88917025407276107</v>
      </c>
      <c r="P116" s="152">
        <f t="shared" si="261"/>
        <v>0.9001861506820239</v>
      </c>
      <c r="Q116" s="118">
        <f t="shared" si="202"/>
        <v>1.4438241673349728E-2</v>
      </c>
      <c r="R116" s="20"/>
      <c r="S116" s="152">
        <f t="shared" ref="S116:AB116" si="262">S27/S25</f>
        <v>0.9001861506820239</v>
      </c>
      <c r="T116" s="152">
        <f t="shared" si="262"/>
        <v>0.90018615068202401</v>
      </c>
      <c r="U116" s="152">
        <f t="shared" si="262"/>
        <v>0.90018615068202401</v>
      </c>
      <c r="V116" s="152">
        <f t="shared" si="262"/>
        <v>0.90018615068202412</v>
      </c>
      <c r="W116" s="152">
        <f t="shared" si="262"/>
        <v>0.90018615068202401</v>
      </c>
      <c r="X116" s="152">
        <f t="shared" si="262"/>
        <v>0.90018615068202401</v>
      </c>
      <c r="Y116" s="152">
        <f t="shared" si="262"/>
        <v>0.90018615068202401</v>
      </c>
      <c r="Z116" s="152">
        <f t="shared" si="262"/>
        <v>0.90018615068202401</v>
      </c>
      <c r="AA116" s="152">
        <f t="shared" si="262"/>
        <v>0.90018615068202412</v>
      </c>
      <c r="AB116" s="152">
        <f t="shared" si="262"/>
        <v>0.90018615068202412</v>
      </c>
      <c r="AC116" s="138">
        <f t="shared" si="204"/>
        <v>6.8133705997077687E-3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0.68348979090720208</v>
      </c>
      <c r="H117" s="152">
        <f t="shared" ref="H117:P117" si="263">H33/H25</f>
        <v>0.70153272576636283</v>
      </c>
      <c r="I117" s="152">
        <f t="shared" si="263"/>
        <v>0.70606339694789977</v>
      </c>
      <c r="J117" s="152">
        <f t="shared" si="263"/>
        <v>0.71269904874734313</v>
      </c>
      <c r="K117" s="152">
        <f t="shared" si="263"/>
        <v>0.70939105418179327</v>
      </c>
      <c r="L117" s="152">
        <f t="shared" si="263"/>
        <v>0.75722401549386698</v>
      </c>
      <c r="M117" s="152">
        <f t="shared" si="263"/>
        <v>0.74382287020896065</v>
      </c>
      <c r="N117" s="152">
        <f t="shared" si="263"/>
        <v>0.77968779786781639</v>
      </c>
      <c r="O117" s="152">
        <f t="shared" si="263"/>
        <v>0.83042120368025663</v>
      </c>
      <c r="P117" s="152">
        <f t="shared" si="263"/>
        <v>0.83313774906497706</v>
      </c>
      <c r="Q117" s="118">
        <f t="shared" si="202"/>
        <v>2.2242339014187262E-2</v>
      </c>
      <c r="R117" s="20"/>
      <c r="S117" s="152">
        <f t="shared" ref="S117:AB117" si="264">S33/S25</f>
        <v>0.83313774906497717</v>
      </c>
      <c r="T117" s="152">
        <f t="shared" si="264"/>
        <v>0.83313774906497728</v>
      </c>
      <c r="U117" s="152">
        <f t="shared" si="264"/>
        <v>0.83313774906497728</v>
      </c>
      <c r="V117" s="152">
        <f t="shared" si="264"/>
        <v>0.83313774906497728</v>
      </c>
      <c r="W117" s="152">
        <f t="shared" si="264"/>
        <v>0.83313774906497728</v>
      </c>
      <c r="X117" s="152">
        <f t="shared" si="264"/>
        <v>0.83313774906497728</v>
      </c>
      <c r="Y117" s="152">
        <f t="shared" si="264"/>
        <v>0.83313774906497728</v>
      </c>
      <c r="Z117" s="152">
        <f t="shared" si="264"/>
        <v>0.83313774906497728</v>
      </c>
      <c r="AA117" s="152">
        <f t="shared" si="264"/>
        <v>0.8331377490649774</v>
      </c>
      <c r="AB117" s="152">
        <f t="shared" si="264"/>
        <v>0.8331377490649774</v>
      </c>
      <c r="AC117" s="138">
        <f t="shared" si="204"/>
        <v>1.0474864103355852E-2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1.3693972763160381E-2</v>
      </c>
      <c r="H118" s="152">
        <f t="shared" ref="H118:P118" si="265">H34/H25</f>
        <v>1.3418747780802463E-2</v>
      </c>
      <c r="I118" s="152">
        <f t="shared" si="265"/>
        <v>1.3360224768877438E-2</v>
      </c>
      <c r="J118" s="152">
        <f t="shared" si="265"/>
        <v>1.9704519321230705E-2</v>
      </c>
      <c r="K118" s="152">
        <f t="shared" si="265"/>
        <v>1.4439345160627439E-2</v>
      </c>
      <c r="L118" s="152">
        <f t="shared" si="265"/>
        <v>2.4841833440929634E-2</v>
      </c>
      <c r="M118" s="152">
        <f t="shared" si="265"/>
        <v>1.4217473002648797E-2</v>
      </c>
      <c r="N118" s="152">
        <f t="shared" si="265"/>
        <v>1.0389629434106139E-2</v>
      </c>
      <c r="O118" s="152">
        <f t="shared" si="265"/>
        <v>1.2906493273103031E-2</v>
      </c>
      <c r="P118" s="152">
        <f t="shared" si="265"/>
        <v>1.9500686781349801E-2</v>
      </c>
      <c r="Q118" s="118">
        <f t="shared" si="202"/>
        <v>4.005864313849905E-2</v>
      </c>
      <c r="R118" s="20"/>
      <c r="S118" s="152">
        <f t="shared" ref="S118:AB118" si="266">S34/S25</f>
        <v>1.9500686781349804E-2</v>
      </c>
      <c r="T118" s="152">
        <f t="shared" si="266"/>
        <v>1.9500686781349801E-2</v>
      </c>
      <c r="U118" s="152">
        <f t="shared" si="266"/>
        <v>1.9500686781349804E-2</v>
      </c>
      <c r="V118" s="152">
        <f t="shared" si="266"/>
        <v>1.9500686781349804E-2</v>
      </c>
      <c r="W118" s="152">
        <f t="shared" si="266"/>
        <v>1.9500686781349804E-2</v>
      </c>
      <c r="X118" s="152">
        <f t="shared" si="266"/>
        <v>1.9500686781349804E-2</v>
      </c>
      <c r="Y118" s="152">
        <f t="shared" si="266"/>
        <v>1.9500686781349804E-2</v>
      </c>
      <c r="Z118" s="152">
        <f t="shared" si="266"/>
        <v>1.9500686781349804E-2</v>
      </c>
      <c r="AA118" s="152">
        <f t="shared" si="266"/>
        <v>1.9500686781349804E-2</v>
      </c>
      <c r="AB118" s="152">
        <f t="shared" si="266"/>
        <v>1.9500686781349804E-2</v>
      </c>
      <c r="AC118" s="138">
        <f t="shared" si="204"/>
        <v>1.8779091995054342E-2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0.77397801566204472</v>
      </c>
      <c r="H121" s="25">
        <f t="shared" ref="H121:AB121" si="267">H15/H9</f>
        <v>0.6409051158723218</v>
      </c>
      <c r="I121" s="25">
        <f t="shared" si="267"/>
        <v>0.83260034515392756</v>
      </c>
      <c r="J121" s="25">
        <f t="shared" si="267"/>
        <v>0.65506689160029818</v>
      </c>
      <c r="K121" s="25">
        <f t="shared" si="267"/>
        <v>0.79891949284866659</v>
      </c>
      <c r="L121" s="25">
        <f t="shared" si="267"/>
        <v>1.2895871045599516</v>
      </c>
      <c r="M121" s="25">
        <f t="shared" si="267"/>
        <v>1.4647085565196767</v>
      </c>
      <c r="N121" s="25">
        <f t="shared" si="267"/>
        <v>1.5970641470073934</v>
      </c>
      <c r="O121" s="25">
        <f t="shared" si="267"/>
        <v>1.7287736828265774</v>
      </c>
      <c r="P121" s="25">
        <f t="shared" si="267"/>
        <v>1.6018977431924939</v>
      </c>
      <c r="Q121" s="118">
        <f t="shared" si="202"/>
        <v>8.4178236063406686E-2</v>
      </c>
      <c r="R121" s="20"/>
      <c r="S121" s="20">
        <f t="shared" si="267"/>
        <v>1.6018977431924939</v>
      </c>
      <c r="T121" s="20">
        <f t="shared" si="267"/>
        <v>1.6018977431924939</v>
      </c>
      <c r="U121" s="20">
        <f t="shared" si="267"/>
        <v>1.6018977431924939</v>
      </c>
      <c r="V121" s="20">
        <f t="shared" si="267"/>
        <v>1.6018977431924937</v>
      </c>
      <c r="W121" s="20">
        <f t="shared" si="267"/>
        <v>1.6018977431924939</v>
      </c>
      <c r="X121" s="20">
        <f t="shared" si="267"/>
        <v>1.6018977431924941</v>
      </c>
      <c r="Y121" s="20">
        <f t="shared" si="267"/>
        <v>1.6018977431924941</v>
      </c>
      <c r="Z121" s="20">
        <f t="shared" si="267"/>
        <v>1.6018977431924939</v>
      </c>
      <c r="AA121" s="20">
        <f t="shared" si="267"/>
        <v>1.6018977431924941</v>
      </c>
      <c r="AB121" s="20">
        <f t="shared" si="267"/>
        <v>1.6018977431924941</v>
      </c>
      <c r="AC121" s="138">
        <f t="shared" si="204"/>
        <v>3.9026538312924464E-2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1.9397945254687837E-2</v>
      </c>
      <c r="H122" s="25">
        <f t="shared" ref="H122:P122" si="268">H12/H9</f>
        <v>2.1042850896370792E-2</v>
      </c>
      <c r="I122" s="25">
        <f t="shared" si="268"/>
        <v>1.4418526972109337E-2</v>
      </c>
      <c r="J122" s="25">
        <f t="shared" si="268"/>
        <v>1.6046137549531169E-2</v>
      </c>
      <c r="K122" s="25">
        <f t="shared" si="268"/>
        <v>1.2116669789519705E-2</v>
      </c>
      <c r="L122" s="25">
        <f t="shared" si="268"/>
        <v>1.7354322903197997E-2</v>
      </c>
      <c r="M122" s="25">
        <f t="shared" si="268"/>
        <v>1.3124345265155258E-2</v>
      </c>
      <c r="N122" s="25">
        <f t="shared" si="268"/>
        <v>1.3406141669478787E-2</v>
      </c>
      <c r="O122" s="25">
        <f t="shared" si="268"/>
        <v>2.0011901961055675E-2</v>
      </c>
      <c r="P122" s="25">
        <f t="shared" si="268"/>
        <v>0.59399832829073618</v>
      </c>
      <c r="Q122" s="118">
        <f t="shared" si="202"/>
        <v>0.4625623457807182</v>
      </c>
      <c r="R122" s="128"/>
      <c r="S122" s="20">
        <f t="shared" ref="S122:AB122" si="269">S12/S9</f>
        <v>0.59399832829073618</v>
      </c>
      <c r="T122" s="20">
        <f t="shared" si="269"/>
        <v>0.59399832829073618</v>
      </c>
      <c r="U122" s="20">
        <f t="shared" si="269"/>
        <v>0.59399832829073618</v>
      </c>
      <c r="V122" s="20">
        <f t="shared" si="269"/>
        <v>0.59399832829073618</v>
      </c>
      <c r="W122" s="20">
        <f t="shared" si="269"/>
        <v>0.59399832829073618</v>
      </c>
      <c r="X122" s="20">
        <f t="shared" si="269"/>
        <v>0.59399832829073629</v>
      </c>
      <c r="Y122" s="20">
        <f t="shared" si="269"/>
        <v>0.59399832829073629</v>
      </c>
      <c r="Z122" s="20">
        <f t="shared" si="269"/>
        <v>0.59399832829073629</v>
      </c>
      <c r="AA122" s="20">
        <f t="shared" si="269"/>
        <v>0.59399832829073629</v>
      </c>
      <c r="AB122" s="20">
        <f t="shared" si="269"/>
        <v>0.59399832829073618</v>
      </c>
      <c r="AC122" s="118">
        <f t="shared" ref="AC122" si="27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147.0638888888889</v>
      </c>
      <c r="H123" s="25">
        <f t="shared" ref="H123:P123" si="271">H25/360</f>
        <v>187.75555555555556</v>
      </c>
      <c r="I123" s="25">
        <f t="shared" si="271"/>
        <v>238.26944444444445</v>
      </c>
      <c r="J123" s="25">
        <f t="shared" si="271"/>
        <v>318.87777777777779</v>
      </c>
      <c r="K123" s="25">
        <f t="shared" si="271"/>
        <v>405.52777777777777</v>
      </c>
      <c r="L123" s="25">
        <f t="shared" si="271"/>
        <v>430.27777777777777</v>
      </c>
      <c r="M123" s="25">
        <f t="shared" si="271"/>
        <v>613.48611111111109</v>
      </c>
      <c r="N123" s="25">
        <f t="shared" si="271"/>
        <v>757.7</v>
      </c>
      <c r="O123" s="25">
        <f t="shared" si="271"/>
        <v>1020.1583333333333</v>
      </c>
      <c r="P123" s="25">
        <f t="shared" si="271"/>
        <v>1138.5638888888889</v>
      </c>
      <c r="Q123" s="118">
        <f t="shared" si="202"/>
        <v>0.25533969592264438</v>
      </c>
      <c r="R123" s="128"/>
      <c r="S123" s="25">
        <f t="shared" ref="S123:AB123" si="272">S25/360</f>
        <v>1275.1915555555556</v>
      </c>
      <c r="T123" s="25">
        <f t="shared" si="272"/>
        <v>1428.2145422222225</v>
      </c>
      <c r="U123" s="25">
        <f t="shared" si="272"/>
        <v>1599.6002872888891</v>
      </c>
      <c r="V123" s="25">
        <f t="shared" si="272"/>
        <v>1791.5523217635559</v>
      </c>
      <c r="W123" s="25">
        <f t="shared" si="272"/>
        <v>2006.5386003751828</v>
      </c>
      <c r="X123" s="25">
        <f t="shared" si="272"/>
        <v>2247.3232324202049</v>
      </c>
      <c r="Y123" s="25">
        <f t="shared" si="272"/>
        <v>2517.0020203106301</v>
      </c>
      <c r="Z123" s="25">
        <f t="shared" si="272"/>
        <v>2819.0422627479056</v>
      </c>
      <c r="AA123" s="25">
        <f t="shared" si="272"/>
        <v>3157.3273342776547</v>
      </c>
      <c r="AB123" s="25">
        <f t="shared" si="272"/>
        <v>3536.2066143909733</v>
      </c>
      <c r="AC123" s="118">
        <f t="shared" ref="AC123:AC134" si="273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116.36111111111111</v>
      </c>
      <c r="H124" s="25">
        <f t="shared" ref="H124:P124" si="274">H27/360</f>
        <v>147.88055555555556</v>
      </c>
      <c r="I124" s="25">
        <f t="shared" si="274"/>
        <v>195.27222222222221</v>
      </c>
      <c r="J124" s="25">
        <f t="shared" si="274"/>
        <v>260.81666666666666</v>
      </c>
      <c r="K124" s="25">
        <f t="shared" si="274"/>
        <v>324.18611111111113</v>
      </c>
      <c r="L124" s="25">
        <f t="shared" si="274"/>
        <v>358.97777777777776</v>
      </c>
      <c r="M124" s="25">
        <f t="shared" si="274"/>
        <v>497.64722222222224</v>
      </c>
      <c r="N124" s="25">
        <f t="shared" si="274"/>
        <v>644.91388888888889</v>
      </c>
      <c r="O124" s="25">
        <f t="shared" si="274"/>
        <v>907.09444444444443</v>
      </c>
      <c r="P124" s="25">
        <f t="shared" si="274"/>
        <v>1024.9194444444445</v>
      </c>
      <c r="Q124" s="118">
        <f t="shared" si="202"/>
        <v>0.27346459383452504</v>
      </c>
      <c r="R124" s="128"/>
      <c r="S124" s="25">
        <f t="shared" ref="S124:AB124" si="275">S27/360</f>
        <v>1147.9097777777779</v>
      </c>
      <c r="T124" s="25">
        <f t="shared" si="275"/>
        <v>1285.6589511111113</v>
      </c>
      <c r="U124" s="25">
        <f t="shared" si="275"/>
        <v>1439.9380252444448</v>
      </c>
      <c r="V124" s="25">
        <f t="shared" si="275"/>
        <v>1612.7305882737785</v>
      </c>
      <c r="W124" s="25">
        <f t="shared" si="275"/>
        <v>1806.2582588666319</v>
      </c>
      <c r="X124" s="25">
        <f t="shared" si="275"/>
        <v>2023.0092499306279</v>
      </c>
      <c r="Y124" s="25">
        <f t="shared" si="275"/>
        <v>2265.7703599223037</v>
      </c>
      <c r="Z124" s="25">
        <f t="shared" si="275"/>
        <v>2537.6628031129803</v>
      </c>
      <c r="AA124" s="25">
        <f t="shared" si="275"/>
        <v>2842.1823394865382</v>
      </c>
      <c r="AB124" s="25">
        <f t="shared" si="275"/>
        <v>3183.2442202249231</v>
      </c>
      <c r="AC124" s="118">
        <f t="shared" si="273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0.60016563383499444</v>
      </c>
      <c r="H126" s="25">
        <f t="shared" ref="H126:P126" si="276">H10/H7</f>
        <v>0.46220923092039007</v>
      </c>
      <c r="I126" s="25">
        <f t="shared" si="276"/>
        <v>0.45752479517033207</v>
      </c>
      <c r="J126" s="25">
        <f t="shared" si="276"/>
        <v>0.49335131727484643</v>
      </c>
      <c r="K126" s="25">
        <f t="shared" si="276"/>
        <v>0.59293567251461987</v>
      </c>
      <c r="L126" s="25">
        <f t="shared" si="276"/>
        <v>0.62893621232865415</v>
      </c>
      <c r="M126" s="25">
        <f t="shared" si="276"/>
        <v>0.45818499028382575</v>
      </c>
      <c r="N126" s="25">
        <f t="shared" si="276"/>
        <v>0.54584866597872572</v>
      </c>
      <c r="O126" s="25">
        <f t="shared" si="276"/>
        <v>0.48768036826108768</v>
      </c>
      <c r="P126" s="25">
        <f t="shared" si="276"/>
        <v>0.49063195188267283</v>
      </c>
      <c r="Q126" s="118">
        <f t="shared" si="202"/>
        <v>-2.2141358064810768E-2</v>
      </c>
      <c r="R126" s="128"/>
      <c r="S126" s="25">
        <f t="shared" ref="S126:AB126" si="277">S10/S7</f>
        <v>0.49063195188267289</v>
      </c>
      <c r="T126" s="25">
        <f t="shared" si="277"/>
        <v>0.49063195188267289</v>
      </c>
      <c r="U126" s="25">
        <f t="shared" si="277"/>
        <v>0.49063195188267295</v>
      </c>
      <c r="V126" s="25">
        <f t="shared" si="277"/>
        <v>0.49063195188267295</v>
      </c>
      <c r="W126" s="25">
        <f t="shared" si="277"/>
        <v>0.49063195188267283</v>
      </c>
      <c r="X126" s="25">
        <f t="shared" si="277"/>
        <v>0.49063195188267289</v>
      </c>
      <c r="Y126" s="25">
        <f t="shared" si="277"/>
        <v>0.49063195188267295</v>
      </c>
      <c r="Z126" s="25">
        <f t="shared" si="277"/>
        <v>0.49063195188267295</v>
      </c>
      <c r="AA126" s="25">
        <f t="shared" si="277"/>
        <v>0.49063195188267295</v>
      </c>
      <c r="AB126" s="25">
        <f t="shared" si="277"/>
        <v>0.49063195188267295</v>
      </c>
      <c r="AC126" s="118">
        <f t="shared" si="273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0.37506469401959558</v>
      </c>
      <c r="H127" s="25">
        <f t="shared" ref="H127:P127" si="278">H10/(H10+H7)</f>
        <v>0.31610334632441878</v>
      </c>
      <c r="I127" s="25">
        <f t="shared" si="278"/>
        <v>0.31390532544378696</v>
      </c>
      <c r="J127" s="25">
        <f t="shared" si="278"/>
        <v>0.33036520714706458</v>
      </c>
      <c r="K127" s="25">
        <f t="shared" si="278"/>
        <v>0.37222825927340009</v>
      </c>
      <c r="L127" s="25">
        <f t="shared" si="278"/>
        <v>0.38610241921600796</v>
      </c>
      <c r="M127" s="25">
        <f t="shared" si="278"/>
        <v>0.3142159556824427</v>
      </c>
      <c r="N127" s="25">
        <f t="shared" si="278"/>
        <v>0.3531061467993904</v>
      </c>
      <c r="O127" s="25">
        <f t="shared" si="278"/>
        <v>0.3278125991748651</v>
      </c>
      <c r="P127" s="25">
        <f t="shared" si="278"/>
        <v>0.32914358991366255</v>
      </c>
      <c r="Q127" s="118">
        <f t="shared" si="202"/>
        <v>-1.4406817436503738E-2</v>
      </c>
      <c r="R127" s="128"/>
      <c r="S127" s="25">
        <f t="shared" ref="S127:AB127" si="279">S10/(S10+S7)</f>
        <v>0.3291435899136626</v>
      </c>
      <c r="T127" s="25">
        <f t="shared" si="279"/>
        <v>0.32914358991366255</v>
      </c>
      <c r="U127" s="25">
        <f t="shared" si="279"/>
        <v>0.3291435899136626</v>
      </c>
      <c r="V127" s="25">
        <f t="shared" si="279"/>
        <v>0.3291435899136626</v>
      </c>
      <c r="W127" s="25">
        <f t="shared" si="279"/>
        <v>0.32914358991366255</v>
      </c>
      <c r="X127" s="25">
        <f t="shared" si="279"/>
        <v>0.32914358991366255</v>
      </c>
      <c r="Y127" s="25">
        <f t="shared" si="279"/>
        <v>0.3291435899136626</v>
      </c>
      <c r="Z127" s="25">
        <f t="shared" si="279"/>
        <v>0.3291435899136626</v>
      </c>
      <c r="AA127" s="25">
        <f t="shared" si="279"/>
        <v>0.3291435899136626</v>
      </c>
      <c r="AB127" s="25">
        <f t="shared" si="279"/>
        <v>0.3291435899136626</v>
      </c>
      <c r="AC127" s="118">
        <f t="shared" si="273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2360</v>
      </c>
      <c r="H129" s="25">
        <f t="shared" ref="H129:P129" si="280">H16</f>
        <v>1702</v>
      </c>
      <c r="I129" s="25">
        <f t="shared" si="280"/>
        <v>2968</v>
      </c>
      <c r="J129" s="25">
        <f t="shared" si="280"/>
        <v>5873</v>
      </c>
      <c r="K129" s="25">
        <f t="shared" si="280"/>
        <v>16823</v>
      </c>
      <c r="L129" s="25">
        <f t="shared" si="280"/>
        <v>10322</v>
      </c>
      <c r="M129" s="25">
        <f t="shared" si="280"/>
        <v>19815</v>
      </c>
      <c r="N129" s="25">
        <f t="shared" si="280"/>
        <v>34194</v>
      </c>
      <c r="O129" s="25">
        <f t="shared" si="280"/>
        <v>47845</v>
      </c>
      <c r="P129" s="25">
        <f t="shared" si="280"/>
        <v>46039</v>
      </c>
      <c r="Q129" s="118">
        <f t="shared" si="202"/>
        <v>0.39109598661837897</v>
      </c>
      <c r="R129" s="128"/>
      <c r="S129" s="25">
        <f t="shared" ref="S129:AB129" si="281">S16</f>
        <v>51563.680000000008</v>
      </c>
      <c r="T129" s="25">
        <f t="shared" si="281"/>
        <v>57751.321600000017</v>
      </c>
      <c r="U129" s="25">
        <f t="shared" si="281"/>
        <v>64681.480192000025</v>
      </c>
      <c r="V129" s="25">
        <f t="shared" si="281"/>
        <v>72443.257815040037</v>
      </c>
      <c r="W129" s="25">
        <f t="shared" si="281"/>
        <v>81136.448752844852</v>
      </c>
      <c r="X129" s="25">
        <f t="shared" si="281"/>
        <v>90872.822603186243</v>
      </c>
      <c r="Y129" s="25">
        <f t="shared" si="281"/>
        <v>101777.5613155686</v>
      </c>
      <c r="Z129" s="25">
        <f t="shared" si="281"/>
        <v>113990.86867343684</v>
      </c>
      <c r="AA129" s="25">
        <f t="shared" si="281"/>
        <v>127669.77291424928</v>
      </c>
      <c r="AB129" s="25">
        <f t="shared" si="281"/>
        <v>142990.14566395921</v>
      </c>
      <c r="AC129" s="118">
        <f t="shared" si="273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82">G129*365/G25</f>
        <v>16.270328466463933</v>
      </c>
      <c r="H130" s="119">
        <f t="shared" si="282"/>
        <v>9.1908805775831457</v>
      </c>
      <c r="I130" s="119">
        <f t="shared" si="282"/>
        <v>12.62949275446798</v>
      </c>
      <c r="J130" s="119">
        <f t="shared" si="282"/>
        <v>18.673516498832711</v>
      </c>
      <c r="K130" s="119">
        <f t="shared" si="282"/>
        <v>42.060380848003291</v>
      </c>
      <c r="L130" s="119">
        <f t="shared" si="282"/>
        <v>24.322336991607489</v>
      </c>
      <c r="M130" s="119">
        <f t="shared" si="282"/>
        <v>32.747617214914762</v>
      </c>
      <c r="N130" s="119">
        <f t="shared" si="282"/>
        <v>45.755466103559016</v>
      </c>
      <c r="O130" s="119">
        <f t="shared" si="282"/>
        <v>47.550965672539938</v>
      </c>
      <c r="P130" s="119">
        <f t="shared" si="282"/>
        <v>40.997638350456107</v>
      </c>
      <c r="Q130" s="118">
        <f t="shared" si="202"/>
        <v>0.1081430716615368</v>
      </c>
      <c r="R130" s="128"/>
      <c r="S130" s="119">
        <f t="shared" ref="S130:AB130" si="283">S129*365/S25</f>
        <v>40.997638350456107</v>
      </c>
      <c r="T130" s="119">
        <f t="shared" si="283"/>
        <v>40.997638350456114</v>
      </c>
      <c r="U130" s="119">
        <f t="shared" si="283"/>
        <v>40.997638350456114</v>
      </c>
      <c r="V130" s="119">
        <f t="shared" si="283"/>
        <v>40.997638350456121</v>
      </c>
      <c r="W130" s="119">
        <f t="shared" si="283"/>
        <v>40.997638350456121</v>
      </c>
      <c r="X130" s="119">
        <f t="shared" si="283"/>
        <v>40.997638350456121</v>
      </c>
      <c r="Y130" s="119">
        <f t="shared" si="283"/>
        <v>40.997638350456121</v>
      </c>
      <c r="Z130" s="119">
        <f t="shared" si="283"/>
        <v>40.997638350456114</v>
      </c>
      <c r="AA130" s="119">
        <f t="shared" si="283"/>
        <v>40.997638350456121</v>
      </c>
      <c r="AB130" s="119">
        <f t="shared" si="283"/>
        <v>40.997638350456121</v>
      </c>
      <c r="AC130" s="118">
        <f t="shared" si="273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4.6850008355415501E-2</v>
      </c>
      <c r="H131" s="133">
        <f t="shared" ref="H131:P131" si="284">H78/H29</f>
        <v>6.1098493484206158E-2</v>
      </c>
      <c r="I131" s="133">
        <f t="shared" si="284"/>
        <v>0.10950647006512511</v>
      </c>
      <c r="J131" s="133">
        <f t="shared" si="284"/>
        <v>0.10979281128660284</v>
      </c>
      <c r="K131" s="133">
        <f t="shared" si="284"/>
        <v>0.12223786750170428</v>
      </c>
      <c r="L131" s="133">
        <f t="shared" si="284"/>
        <v>7.8605946185695802E-2</v>
      </c>
      <c r="M131" s="133">
        <f t="shared" si="284"/>
        <v>4.9241374865022447E-2</v>
      </c>
      <c r="N131" s="133">
        <f t="shared" si="284"/>
        <v>5.2833576597077797E-2</v>
      </c>
      <c r="O131" s="133">
        <f t="shared" si="284"/>
        <v>4.0391594882523321E-2</v>
      </c>
      <c r="P131" s="133">
        <f t="shared" si="284"/>
        <v>4.2580246175286891E-2</v>
      </c>
      <c r="Q131" s="118">
        <f t="shared" si="202"/>
        <v>-1.0561690174713645E-2</v>
      </c>
      <c r="R131" s="128"/>
      <c r="S131" s="133">
        <f t="shared" ref="S131:AB131" si="285">S78/S29</f>
        <v>2.8386830783524594E-2</v>
      </c>
      <c r="T131" s="133">
        <f t="shared" si="285"/>
        <v>2.5345384628146957E-2</v>
      </c>
      <c r="U131" s="133">
        <f t="shared" si="285"/>
        <v>2.2629807703702636E-2</v>
      </c>
      <c r="V131" s="133">
        <f t="shared" si="285"/>
        <v>2.0205185449734493E-2</v>
      </c>
      <c r="W131" s="133">
        <f t="shared" si="285"/>
        <v>1.8040344151548652E-2</v>
      </c>
      <c r="X131" s="133">
        <f t="shared" si="285"/>
        <v>1.6107450135311299E-2</v>
      </c>
      <c r="Y131" s="133">
        <f t="shared" si="285"/>
        <v>1.4381651906527945E-2</v>
      </c>
      <c r="Z131" s="133">
        <f t="shared" si="285"/>
        <v>1.2840760630828521E-2</v>
      </c>
      <c r="AA131" s="133">
        <f t="shared" si="285"/>
        <v>1.1464964848954035E-2</v>
      </c>
      <c r="AB131" s="133">
        <f t="shared" si="285"/>
        <v>1.023657575799467E-2</v>
      </c>
      <c r="AC131" s="118">
        <f t="shared" si="273"/>
        <v>-0.10714285714285721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7.3216705849813302</v>
      </c>
      <c r="H133" s="180">
        <f t="shared" ref="H133:P133" si="286">H25/H14</f>
        <v>9.1192660550458715</v>
      </c>
      <c r="I133" s="180">
        <f t="shared" si="286"/>
        <v>8.2916384726921226</v>
      </c>
      <c r="J133" s="180">
        <f t="shared" si="286"/>
        <v>9.2161207450224794</v>
      </c>
      <c r="K133" s="180">
        <f t="shared" si="286"/>
        <v>7.6330649377810307</v>
      </c>
      <c r="L133" s="180">
        <f t="shared" si="286"/>
        <v>7.7030185489084486</v>
      </c>
      <c r="M133" s="180">
        <f t="shared" si="286"/>
        <v>6.4215101910272443</v>
      </c>
      <c r="N133" s="180">
        <f t="shared" si="286"/>
        <v>7.0814922505776368</v>
      </c>
      <c r="O133" s="180">
        <f t="shared" si="286"/>
        <v>7.8655230017990236</v>
      </c>
      <c r="P133" s="180">
        <f t="shared" si="286"/>
        <v>7.5068771634219154</v>
      </c>
      <c r="Q133" s="118">
        <f t="shared" si="202"/>
        <v>2.7795259159630881E-3</v>
      </c>
      <c r="R133" s="128"/>
      <c r="S133" s="20">
        <f t="shared" ref="S133" si="287">S25/S14</f>
        <v>7.5068771634219154</v>
      </c>
      <c r="T133" s="20">
        <f t="shared" ref="T133:AB133" si="288">T25/T14</f>
        <v>7.5068771634219154</v>
      </c>
      <c r="U133" s="20">
        <f t="shared" si="288"/>
        <v>7.5068771634219136</v>
      </c>
      <c r="V133" s="20">
        <f t="shared" si="288"/>
        <v>7.5068771634219136</v>
      </c>
      <c r="W133" s="20">
        <f t="shared" si="288"/>
        <v>7.5068771634219145</v>
      </c>
      <c r="X133" s="20">
        <f t="shared" si="288"/>
        <v>7.5068771634219145</v>
      </c>
      <c r="Y133" s="20">
        <f t="shared" si="288"/>
        <v>7.5068771634219145</v>
      </c>
      <c r="Z133" s="20">
        <f t="shared" si="288"/>
        <v>7.5068771634219154</v>
      </c>
      <c r="AA133" s="20">
        <f t="shared" si="288"/>
        <v>7.5068771634219145</v>
      </c>
      <c r="AB133" s="20">
        <f t="shared" si="288"/>
        <v>7.5068771634219145</v>
      </c>
      <c r="AC133" s="118">
        <f t="shared" si="273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5.7931129857557737</v>
      </c>
      <c r="H134" s="180">
        <f t="shared" ref="H134:P134" si="289">H27/H14</f>
        <v>7.1825418240690775</v>
      </c>
      <c r="I134" s="180">
        <f t="shared" si="289"/>
        <v>6.7953600773320444</v>
      </c>
      <c r="J134" s="180">
        <f t="shared" si="289"/>
        <v>7.5380539499036612</v>
      </c>
      <c r="K134" s="180">
        <f t="shared" si="289"/>
        <v>6.1020077381574822</v>
      </c>
      <c r="L134" s="180">
        <f t="shared" si="289"/>
        <v>6.426575165348849</v>
      </c>
      <c r="M134" s="180">
        <f t="shared" si="289"/>
        <v>5.208996016631291</v>
      </c>
      <c r="N134" s="180">
        <f t="shared" si="289"/>
        <v>6.0273890807134141</v>
      </c>
      <c r="O134" s="180">
        <f t="shared" si="289"/>
        <v>6.9937890859247833</v>
      </c>
      <c r="P134" s="180">
        <f t="shared" si="289"/>
        <v>6.757586857383564</v>
      </c>
      <c r="Q134" s="118">
        <f t="shared" si="202"/>
        <v>1.7257899056224879E-2</v>
      </c>
      <c r="R134" s="128"/>
      <c r="S134" s="20">
        <f t="shared" ref="S134:AB134" si="290">S27/S14</f>
        <v>6.757586857383564</v>
      </c>
      <c r="T134" s="20">
        <f t="shared" si="290"/>
        <v>6.7575868573835649</v>
      </c>
      <c r="U134" s="20">
        <f t="shared" si="290"/>
        <v>6.757586857383564</v>
      </c>
      <c r="V134" s="20">
        <f t="shared" si="290"/>
        <v>6.757586857383564</v>
      </c>
      <c r="W134" s="20">
        <f t="shared" si="290"/>
        <v>6.757586857383564</v>
      </c>
      <c r="X134" s="20">
        <f t="shared" si="290"/>
        <v>6.757586857383564</v>
      </c>
      <c r="Y134" s="20">
        <f t="shared" si="290"/>
        <v>6.7575868573835649</v>
      </c>
      <c r="Z134" s="20">
        <f t="shared" si="290"/>
        <v>6.7575868573835658</v>
      </c>
      <c r="AA134" s="20">
        <f t="shared" si="290"/>
        <v>6.7575868573835658</v>
      </c>
      <c r="AB134" s="20">
        <f t="shared" si="290"/>
        <v>6.7575868573835649</v>
      </c>
      <c r="AC134" s="118">
        <f t="shared" si="273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76.694726937668108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173.61965517549717</v>
      </c>
      <c r="S138" s="133">
        <f>PV($C$1, ($AB$3-$S$3), 0, -AB52)</f>
        <v>15.097361319608449</v>
      </c>
      <c r="T138" s="133">
        <f>PV($C$1, ($AB$3-$S$3), 0, -AE52)</f>
        <v>158.52229385588873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91">S139+T139</f>
        <v>1513.3738543988859</v>
      </c>
      <c r="S139" s="133">
        <f>PV($C$1, ($AB$3-$S$3), 0, -AB54)</f>
        <v>131.59772646946831</v>
      </c>
      <c r="T139" s="133">
        <f>PV($C$1, ($AB$3-$S$3), 0, -AE54)</f>
        <v>1381.7761279294175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91"/>
        <v>1488.7598642152875</v>
      </c>
      <c r="S140" s="133">
        <f>PV($C$1, ($AB$3-$S$3), 0, -AB55)</f>
        <v>129.4573794969815</v>
      </c>
      <c r="T140" s="133">
        <f>PV($C$1, ($AB$3-$S$3), 0, -AE55)</f>
        <v>1359.302484718306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91"/>
        <v>742.50956811192941</v>
      </c>
      <c r="S141" s="133">
        <f>PV($C$1, ($AB$3-$S$3), 0, -AB56)</f>
        <v>64.566049401037333</v>
      </c>
      <c r="T141" s="133">
        <f>PV($C$1, ($AB$3-$S$3), 0, -AE56)</f>
        <v>677.94351871089214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91"/>
        <v>419.4270478566927</v>
      </c>
      <c r="S142" s="133">
        <f>PV($C$1, ($AB$3-$S$3), 0, -AB62)</f>
        <v>36.471917204929795</v>
      </c>
      <c r="T142" s="133">
        <f>PV($C$1, ($AB$3-$S$3), 0, -AE62)</f>
        <v>382.95513065176289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91"/>
        <v>770.86428628695637</v>
      </c>
      <c r="S144" s="133">
        <f>PV($C$1, ($AB$3-$S$3), 0, -AB58)</f>
        <v>67.03167706843098</v>
      </c>
      <c r="T144" s="133">
        <f>PV($C$1, ($AB$3-$S$3), 0, -$AE$58)</f>
        <v>703.83260921852536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91"/>
        <v>64.756157896060387</v>
      </c>
      <c r="S145" s="133">
        <f>PV($C$1, ($AB$3-$S$3), 0, -AB59)</f>
        <v>5.6309702518313367</v>
      </c>
      <c r="T145" s="133">
        <f>PV($C$1, ($AB$3-$S$3), 0, -$AE$59)</f>
        <v>59.125187644229051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91"/>
        <v>1195.8691752153118</v>
      </c>
      <c r="S146" s="133">
        <f>PV($C$1, ($AB$3-$S$3), 0, -AB60)</f>
        <v>103.98862393176626</v>
      </c>
      <c r="T146" s="133">
        <f>PV($C$1, ($AB$3-$S$3), 0, -$AE$60)</f>
        <v>1091.8805512835456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91"/>
        <v>1131.1130173192521</v>
      </c>
      <c r="S148" s="133">
        <f>PV($C$1, ($AB$3-$S$3), 0, -AB65)</f>
        <v>98.357653679934955</v>
      </c>
      <c r="T148" s="133">
        <f>PV($C$1, ($AB$3-$S$3), 0, -AE65)</f>
        <v>1032.7553636393172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91"/>
        <v>255.13981629240368</v>
      </c>
      <c r="S149" s="133">
        <f>PV($C$1, ($AB$3-$S$3), 0, -AB66)</f>
        <v>33.279106472922216</v>
      </c>
      <c r="T149" s="133">
        <f>PV($C$1, ($AB$3-$S$3), 0, -AE66)</f>
        <v>221.86070981948146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92">S151+T151</f>
        <v>512283.44553836959</v>
      </c>
      <c r="S151" s="133">
        <f>PV($C$1, ($AB$3-$S$3), 0, -AB12)</f>
        <v>44546.386568553869</v>
      </c>
      <c r="T151" s="133">
        <f>PV($C$1, ($AB$3-$S$3), 0, -AE12)</f>
        <v>467737.05896981573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1744.6563550671581</v>
      </c>
      <c r="S152" s="140">
        <f>S151/P42</f>
        <v>151.70924826670935</v>
      </c>
      <c r="T152" s="140">
        <f>T151/P42</f>
        <v>1592.9471068004486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93">S155+T155</f>
        <v>128.36838553470466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84.611718313624237</v>
      </c>
      <c r="T155" s="133">
        <f>PV($C$1, ($AB$3-$S$3), 0, -AE68)</f>
        <v>43.756667221080427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91"/>
        <v>252051.23566378874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166135.05002615889</v>
      </c>
      <c r="T157" s="133">
        <f>PV($C$1, ($AB$3-$S$3), 0, -AE70)</f>
        <v>85916.185637629838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94">S159+T159</f>
        <v>206.36447771993511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136.02144317735269</v>
      </c>
      <c r="T159" s="133">
        <f>PV($C$1, ($AB$3-$S$3), 0, -AE72)</f>
        <v>70.343034542582416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94"/>
        <v>822.02889387835182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541.82559767172063</v>
      </c>
      <c r="T160" s="133">
        <f>PV($C$1, ($AB$3-$S$3), 0, -AE73)</f>
        <v>280.20329620663119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94"/>
        <v>-615.66441615841677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-405.80415449436799</v>
      </c>
      <c r="T161" s="133">
        <f>PV($C$1, ($AB$3-$S$3), 0, -AE74)</f>
        <v>-209.86026166404878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94"/>
        <v>9.084668419263437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5.9879962037505283</v>
      </c>
      <c r="T162" s="133">
        <f>PV($C$1, ($AB$3-$S$3), 0, -AE75)</f>
        <v>3.0966722155129083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1123.4706611822448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740.51553053048201</v>
      </c>
      <c r="T164" s="133">
        <f>PV($C$1, ($AB$3-$S$3), 0, -AE76)</f>
        <v>382.95513065176289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700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900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280</v>
      </c>
      <c r="G167" s="22">
        <v>505</v>
      </c>
      <c r="H167" s="22">
        <v>540</v>
      </c>
      <c r="I167" s="22">
        <v>730</v>
      </c>
      <c r="J167" s="22">
        <v>1260</v>
      </c>
      <c r="K167" s="22">
        <v>2120</v>
      </c>
      <c r="L167" s="22">
        <v>1160</v>
      </c>
      <c r="M167" s="22">
        <v>980</v>
      </c>
      <c r="N167" s="22">
        <v>980</v>
      </c>
      <c r="O167" s="22">
        <v>720</v>
      </c>
      <c r="P167" s="22">
        <v>800</v>
      </c>
      <c r="Q167" s="118">
        <f t="shared" ref="Q167:Q172" si="295">((P167/G167)^(1/($H$2-$H$1) ))-1</f>
        <v>5.2446057158187065E-2</v>
      </c>
      <c r="R167" s="31">
        <f>L2-3%</f>
        <v>0.09</v>
      </c>
      <c r="S167" s="119">
        <f t="shared" ref="S167" si="296">P167*(1+$R167)</f>
        <v>872.00000000000011</v>
      </c>
      <c r="T167" s="119">
        <f t="shared" ref="T167:AB167" si="297">S167*(1+$R167)</f>
        <v>950.48000000000025</v>
      </c>
      <c r="U167" s="119">
        <f t="shared" si="297"/>
        <v>1036.0232000000003</v>
      </c>
      <c r="V167" s="119">
        <f t="shared" si="297"/>
        <v>1129.2652880000005</v>
      </c>
      <c r="W167" s="119">
        <f t="shared" si="297"/>
        <v>1230.8991639200005</v>
      </c>
      <c r="X167" s="119">
        <f t="shared" si="297"/>
        <v>1341.6800886728006</v>
      </c>
      <c r="Y167" s="119">
        <f t="shared" si="297"/>
        <v>1462.4312966533528</v>
      </c>
      <c r="Z167" s="119">
        <f t="shared" si="297"/>
        <v>1594.0501133521545</v>
      </c>
      <c r="AA167" s="119">
        <f t="shared" si="297"/>
        <v>1737.5146235538487</v>
      </c>
      <c r="AB167" s="119">
        <f t="shared" si="297"/>
        <v>1893.8909396736951</v>
      </c>
      <c r="AC167" s="138">
        <f t="shared" ref="AC167:AC172" si="298">((AB167/G167)^(1/($AB$3-$H$1) ))-1</f>
        <v>7.204711659087959E-2</v>
      </c>
      <c r="AD167" s="31">
        <v>0.08</v>
      </c>
      <c r="AE167" s="127">
        <f t="shared" ref="AE167:AE175" si="299">(AB167*(1+AC167))/($C$1-AD167)</f>
        <v>29004.861728782522</v>
      </c>
    </row>
    <row r="168" spans="2:31" x14ac:dyDescent="0.2">
      <c r="B168" s="20" t="s">
        <v>361</v>
      </c>
      <c r="C168" s="25" t="e">
        <f t="shared" ref="C168:P168" si="300">C167/C49</f>
        <v>#DIV/0!</v>
      </c>
      <c r="D168" s="25" t="e">
        <f t="shared" si="300"/>
        <v>#DIV/0!</v>
      </c>
      <c r="E168" s="25" t="e">
        <f t="shared" si="300"/>
        <v>#DIV/0!</v>
      </c>
      <c r="F168" s="25" t="e">
        <f t="shared" si="300"/>
        <v>#DIV/0!</v>
      </c>
      <c r="G168" s="25">
        <f t="shared" si="300"/>
        <v>1.3318691800615756</v>
      </c>
      <c r="H168" s="25">
        <f t="shared" si="300"/>
        <v>1.1132826369984614</v>
      </c>
      <c r="I168" s="25">
        <f t="shared" si="300"/>
        <v>1.185929794700211</v>
      </c>
      <c r="J168" s="25">
        <f t="shared" si="300"/>
        <v>1.5295045123523465</v>
      </c>
      <c r="K168" s="25">
        <f t="shared" si="300"/>
        <v>2.1108514281800126</v>
      </c>
      <c r="L168" s="25">
        <f t="shared" si="300"/>
        <v>1.088557779212395</v>
      </c>
      <c r="M168" s="25">
        <f t="shared" si="300"/>
        <v>1.3214280863009669</v>
      </c>
      <c r="N168" s="25">
        <f t="shared" si="300"/>
        <v>1.0709970231548693</v>
      </c>
      <c r="O168" s="25">
        <f t="shared" si="300"/>
        <v>0.58396817487481523</v>
      </c>
      <c r="P168" s="25">
        <f t="shared" si="300"/>
        <v>0.57310012857327586</v>
      </c>
      <c r="Q168" s="118">
        <f t="shared" ref="Q168" si="301">((P168/G168)^(1/($H$2-$H$1) ))-1</f>
        <v>-8.9441905097896179E-2</v>
      </c>
      <c r="R168" s="128"/>
      <c r="S168" s="25">
        <f t="shared" ref="S168:AB168" si="302">S167/S49</f>
        <v>0.83662384840830895</v>
      </c>
      <c r="T168" s="25">
        <f t="shared" si="302"/>
        <v>0.91191999476505692</v>
      </c>
      <c r="U168" s="25">
        <f t="shared" si="302"/>
        <v>0.99399279429391207</v>
      </c>
      <c r="V168" s="25">
        <f t="shared" si="302"/>
        <v>1.0834521457803643</v>
      </c>
      <c r="W168" s="25">
        <f t="shared" si="302"/>
        <v>1.1809628389005971</v>
      </c>
      <c r="X168" s="25">
        <f t="shared" si="302"/>
        <v>1.2872494944016508</v>
      </c>
      <c r="Y168" s="25">
        <f t="shared" si="302"/>
        <v>1.4031019488977996</v>
      </c>
      <c r="Z168" s="25">
        <f t="shared" si="302"/>
        <v>1.5293811242986015</v>
      </c>
      <c r="AA168" s="25">
        <f t="shared" si="302"/>
        <v>1.6670254254854759</v>
      </c>
      <c r="AB168" s="25">
        <f t="shared" si="302"/>
        <v>1.8170577137791692</v>
      </c>
      <c r="AC168" s="138">
        <f t="shared" ref="AC168" si="303">((AB168/G168)^(1/($AB$3-$H$1) ))-1</f>
        <v>1.6483600796932452E-2</v>
      </c>
      <c r="AD168" s="31">
        <v>0.08</v>
      </c>
      <c r="AE168" s="127">
        <f t="shared" ref="AE168" si="304">(AB168*(1+AC168))/($C$1-AD168)</f>
        <v>26.385848110829887</v>
      </c>
    </row>
    <row r="169" spans="2:31" x14ac:dyDescent="0.2">
      <c r="B169" s="20" t="s">
        <v>389</v>
      </c>
      <c r="C169" s="25" t="e">
        <f t="shared" ref="C169:P169" si="305">C167/C52</f>
        <v>#DIV/0!</v>
      </c>
      <c r="D169" s="25" t="e">
        <f t="shared" si="305"/>
        <v>#DIV/0!</v>
      </c>
      <c r="E169" s="25" t="e">
        <f t="shared" si="305"/>
        <v>#DIV/0!</v>
      </c>
      <c r="F169" s="25" t="e">
        <f t="shared" si="305"/>
        <v>#DIV/0!</v>
      </c>
      <c r="G169" s="25">
        <f t="shared" si="305"/>
        <v>13.644185371517027</v>
      </c>
      <c r="H169" s="25">
        <f t="shared" si="305"/>
        <v>9.8648400629260617</v>
      </c>
      <c r="I169" s="25">
        <f t="shared" si="305"/>
        <v>10.828773685331063</v>
      </c>
      <c r="J169" s="25">
        <f t="shared" si="305"/>
        <v>14.54207387775385</v>
      </c>
      <c r="K169" s="25">
        <f t="shared" si="305"/>
        <v>15.784623264867081</v>
      </c>
      <c r="L169" s="25">
        <f t="shared" si="305"/>
        <v>11.278769230769232</v>
      </c>
      <c r="M169" s="25">
        <f t="shared" si="305"/>
        <v>11.949555746632273</v>
      </c>
      <c r="N169" s="25">
        <f t="shared" si="305"/>
        <v>15.159462404649473</v>
      </c>
      <c r="O169" s="25">
        <f t="shared" si="305"/>
        <v>10.877232844753259</v>
      </c>
      <c r="P169" s="25">
        <f t="shared" si="305"/>
        <v>11.24695968591401</v>
      </c>
      <c r="Q169" s="118">
        <f t="shared" si="295"/>
        <v>-2.1239595145721712E-2</v>
      </c>
      <c r="R169" s="128"/>
      <c r="S169" s="119">
        <f t="shared" ref="S169:AB169" si="306">S167/S52</f>
        <v>16.418552755776254</v>
      </c>
      <c r="T169" s="119">
        <f t="shared" si="306"/>
        <v>17.896222503796118</v>
      </c>
      <c r="U169" s="119">
        <f t="shared" si="306"/>
        <v>19.506882529137769</v>
      </c>
      <c r="V169" s="119">
        <f t="shared" si="306"/>
        <v>21.262501956760172</v>
      </c>
      <c r="W169" s="119">
        <f t="shared" si="306"/>
        <v>23.176127132868587</v>
      </c>
      <c r="X169" s="119">
        <f t="shared" si="306"/>
        <v>25.26197857482676</v>
      </c>
      <c r="Y169" s="119">
        <f t="shared" si="306"/>
        <v>27.535556646561169</v>
      </c>
      <c r="Z169" s="119">
        <f t="shared" si="306"/>
        <v>30.013756744751671</v>
      </c>
      <c r="AA169" s="119">
        <f t="shared" si="306"/>
        <v>32.714994851779323</v>
      </c>
      <c r="AB169" s="119">
        <f t="shared" si="306"/>
        <v>35.659344388439472</v>
      </c>
      <c r="AC169" s="138">
        <f t="shared" si="298"/>
        <v>5.1863171628838023E-2</v>
      </c>
      <c r="AD169" s="31">
        <v>0.08</v>
      </c>
      <c r="AE169" s="127">
        <f t="shared" si="299"/>
        <v>535.83930123755647</v>
      </c>
    </row>
    <row r="170" spans="2:31" x14ac:dyDescent="0.2">
      <c r="B170" s="20" t="s">
        <v>258</v>
      </c>
      <c r="C170" s="25" t="e">
        <f t="shared" ref="C170:P170" si="307">C167/C55</f>
        <v>#DIV/0!</v>
      </c>
      <c r="D170" s="25" t="e">
        <f t="shared" si="307"/>
        <v>#DIV/0!</v>
      </c>
      <c r="E170" s="25" t="e">
        <f t="shared" si="307"/>
        <v>#DIV/0!</v>
      </c>
      <c r="F170" s="25" t="e">
        <f t="shared" si="307"/>
        <v>#DIV/0!</v>
      </c>
      <c r="G170" s="25">
        <f t="shared" si="307"/>
        <v>2.0972948454834772</v>
      </c>
      <c r="H170" s="25">
        <f t="shared" si="307"/>
        <v>2.0566579206297146</v>
      </c>
      <c r="I170" s="25">
        <f t="shared" si="307"/>
        <v>2.2784397607901989</v>
      </c>
      <c r="J170" s="25">
        <f t="shared" si="307"/>
        <v>2.7530889362769693</v>
      </c>
      <c r="K170" s="25">
        <f t="shared" si="307"/>
        <v>3.796703053002489</v>
      </c>
      <c r="L170" s="25">
        <f t="shared" si="307"/>
        <v>1.567471391520177</v>
      </c>
      <c r="M170" s="25">
        <f t="shared" si="307"/>
        <v>2.2691993686387635</v>
      </c>
      <c r="N170" s="25">
        <f t="shared" si="307"/>
        <v>2.0145225354443648</v>
      </c>
      <c r="O170" s="25">
        <f t="shared" si="307"/>
        <v>1.31796025220309</v>
      </c>
      <c r="P170" s="25">
        <f t="shared" si="307"/>
        <v>1.3116240633410388</v>
      </c>
      <c r="Q170" s="118">
        <f t="shared" si="295"/>
        <v>-5.0816921274473015E-2</v>
      </c>
      <c r="R170" s="128"/>
      <c r="S170" s="119">
        <f t="shared" ref="S170:AB170" si="308">S167/S55</f>
        <v>1.9147369138951771</v>
      </c>
      <c r="T170" s="119">
        <f t="shared" si="308"/>
        <v>2.0870632361457431</v>
      </c>
      <c r="U170" s="119">
        <f t="shared" si="308"/>
        <v>2.2748989273988602</v>
      </c>
      <c r="V170" s="119">
        <f t="shared" si="308"/>
        <v>2.479639830864758</v>
      </c>
      <c r="W170" s="119">
        <f t="shared" si="308"/>
        <v>2.7028074156425861</v>
      </c>
      <c r="X170" s="119">
        <f t="shared" si="308"/>
        <v>2.9460600830504187</v>
      </c>
      <c r="Y170" s="119">
        <f t="shared" si="308"/>
        <v>3.2112054905249567</v>
      </c>
      <c r="Z170" s="119">
        <f t="shared" si="308"/>
        <v>3.5002139846722025</v>
      </c>
      <c r="AA170" s="119">
        <f t="shared" si="308"/>
        <v>3.8152332432927012</v>
      </c>
      <c r="AB170" s="119">
        <f t="shared" si="308"/>
        <v>4.1586042351890447</v>
      </c>
      <c r="AC170" s="138">
        <f t="shared" si="298"/>
        <v>3.668482699632003E-2</v>
      </c>
      <c r="AD170" s="31">
        <v>0.08</v>
      </c>
      <c r="AE170" s="127">
        <f t="shared" si="299"/>
        <v>61.588027315758843</v>
      </c>
    </row>
    <row r="171" spans="2:31" x14ac:dyDescent="0.2">
      <c r="B171" s="20" t="s">
        <v>259</v>
      </c>
      <c r="C171" s="25" t="e">
        <f t="shared" ref="C171:P171" si="309">C167/C64</f>
        <v>#DIV/0!</v>
      </c>
      <c r="D171" s="25" t="e">
        <f t="shared" si="309"/>
        <v>#DIV/0!</v>
      </c>
      <c r="E171" s="25" t="e">
        <f t="shared" si="309"/>
        <v>#DIV/0!</v>
      </c>
      <c r="F171" s="25" t="e">
        <f t="shared" si="309"/>
        <v>#DIV/0!</v>
      </c>
      <c r="G171" s="25">
        <f t="shared" si="309"/>
        <v>3.7711600171141297</v>
      </c>
      <c r="H171" s="25">
        <f t="shared" si="309"/>
        <v>3.2064513379921591</v>
      </c>
      <c r="I171" s="25">
        <f t="shared" si="309"/>
        <v>14.68960288808664</v>
      </c>
      <c r="J171" s="25">
        <f t="shared" si="309"/>
        <v>30.928483353884094</v>
      </c>
      <c r="K171" s="25">
        <f t="shared" si="309"/>
        <v>31.096185671039358</v>
      </c>
      <c r="L171" s="25">
        <f t="shared" si="309"/>
        <v>23.288726587673732</v>
      </c>
      <c r="M171" s="25">
        <f t="shared" si="309"/>
        <v>29.773923689043052</v>
      </c>
      <c r="N171" s="25">
        <f t="shared" si="309"/>
        <v>16.378202612546954</v>
      </c>
      <c r="O171" s="25">
        <f t="shared" si="309"/>
        <v>5.3560361620298691</v>
      </c>
      <c r="P171" s="25">
        <f t="shared" si="309"/>
        <v>2.5176198233730598</v>
      </c>
      <c r="Q171" s="118">
        <f t="shared" si="295"/>
        <v>-4.3903589650278629E-2</v>
      </c>
      <c r="R171" s="128"/>
      <c r="S171" s="119">
        <f t="shared" ref="S171:AB171" si="310">S167/S64</f>
        <v>3.6752753671562082</v>
      </c>
      <c r="T171" s="119">
        <f t="shared" si="310"/>
        <v>4.0060501502002674</v>
      </c>
      <c r="U171" s="119">
        <f t="shared" si="310"/>
        <v>4.366594663718292</v>
      </c>
      <c r="V171" s="119">
        <f t="shared" si="310"/>
        <v>4.7595881834529399</v>
      </c>
      <c r="W171" s="119">
        <f t="shared" si="310"/>
        <v>5.1879511199637047</v>
      </c>
      <c r="X171" s="119">
        <f t="shared" si="310"/>
        <v>5.6548667207604382</v>
      </c>
      <c r="Y171" s="119">
        <f t="shared" si="310"/>
        <v>6.1638047256288768</v>
      </c>
      <c r="Z171" s="119">
        <f t="shared" si="310"/>
        <v>6.7185471509354757</v>
      </c>
      <c r="AA171" s="119">
        <f t="shared" si="310"/>
        <v>7.3232163945196689</v>
      </c>
      <c r="AB171" s="119">
        <f t="shared" si="310"/>
        <v>7.9823058700264413</v>
      </c>
      <c r="AC171" s="138">
        <f t="shared" si="298"/>
        <v>4.0254619056969476E-2</v>
      </c>
      <c r="AD171" s="31">
        <v>0.08</v>
      </c>
      <c r="AE171" s="127">
        <f t="shared" si="299"/>
        <v>118.62329360029382</v>
      </c>
    </row>
    <row r="172" spans="2:31" x14ac:dyDescent="0.2">
      <c r="B172" s="20" t="s">
        <v>260</v>
      </c>
      <c r="C172" s="25" t="e">
        <f t="shared" ref="C172:P172" si="311">C167/C66</f>
        <v>#DIV/0!</v>
      </c>
      <c r="D172" s="25" t="e">
        <f t="shared" si="311"/>
        <v>#DIV/0!</v>
      </c>
      <c r="E172" s="25" t="e">
        <f t="shared" si="311"/>
        <v>#DIV/0!</v>
      </c>
      <c r="F172" s="25" t="e">
        <f t="shared" si="311"/>
        <v>#DIV/0!</v>
      </c>
      <c r="G172" s="25">
        <f t="shared" si="311"/>
        <v>29.878453389830508</v>
      </c>
      <c r="H172" s="25">
        <f t="shared" si="311"/>
        <v>44.212103407755585</v>
      </c>
      <c r="I172" s="25">
        <f t="shared" si="311"/>
        <v>34.274090296495956</v>
      </c>
      <c r="J172" s="25">
        <f t="shared" si="311"/>
        <v>29.896305125148984</v>
      </c>
      <c r="K172" s="25">
        <f t="shared" si="311"/>
        <v>18.317969446590979</v>
      </c>
      <c r="L172" s="25">
        <f t="shared" si="311"/>
        <v>16.335748885874832</v>
      </c>
      <c r="M172" s="25">
        <f t="shared" si="311"/>
        <v>14.728438051980822</v>
      </c>
      <c r="N172" s="25">
        <f t="shared" si="311"/>
        <v>8.5435456512838517</v>
      </c>
      <c r="O172" s="25">
        <f t="shared" si="311"/>
        <v>4.4825248197303793</v>
      </c>
      <c r="P172" s="25">
        <f t="shared" si="311"/>
        <v>5.1022828471513284</v>
      </c>
      <c r="Q172" s="118">
        <f t="shared" si="295"/>
        <v>-0.17830276776732124</v>
      </c>
      <c r="R172" s="128"/>
      <c r="S172" s="119">
        <f t="shared" ref="S172:AB172" si="312">S167/S66</f>
        <v>7.4484218349039475</v>
      </c>
      <c r="T172" s="119">
        <f t="shared" si="312"/>
        <v>8.1187798000453029</v>
      </c>
      <c r="U172" s="119">
        <f t="shared" si="312"/>
        <v>8.8494699820493814</v>
      </c>
      <c r="V172" s="119">
        <f t="shared" si="312"/>
        <v>9.645922280433826</v>
      </c>
      <c r="W172" s="119">
        <f t="shared" si="312"/>
        <v>10.514055285672871</v>
      </c>
      <c r="X172" s="119">
        <f t="shared" si="312"/>
        <v>11.46032026138343</v>
      </c>
      <c r="Y172" s="119">
        <f t="shared" si="312"/>
        <v>12.491749084907939</v>
      </c>
      <c r="Z172" s="119">
        <f t="shared" si="312"/>
        <v>13.616006502549654</v>
      </c>
      <c r="AA172" s="119">
        <f t="shared" si="312"/>
        <v>14.841447087779125</v>
      </c>
      <c r="AB172" s="119">
        <f t="shared" si="312"/>
        <v>16.177177325679246</v>
      </c>
      <c r="AC172" s="138">
        <f t="shared" si="298"/>
        <v>-3.1775577013889889E-2</v>
      </c>
      <c r="AD172" s="31">
        <v>0.08</v>
      </c>
      <c r="AE172" s="127">
        <f t="shared" si="299"/>
        <v>223.75911688142534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13">G167/G60</f>
        <v>6.4959143251957618</v>
      </c>
      <c r="H173" s="182">
        <f t="shared" si="313"/>
        <v>4.9105324980422864</v>
      </c>
      <c r="I173" s="182">
        <f t="shared" si="313"/>
        <v>4.1236166849081837</v>
      </c>
      <c r="J173" s="182">
        <f t="shared" si="313"/>
        <v>6.8144453931537683</v>
      </c>
      <c r="K173" s="182">
        <f t="shared" si="313"/>
        <v>10.864205887537459</v>
      </c>
      <c r="L173" s="182">
        <f t="shared" si="313"/>
        <v>2.8859040186212095</v>
      </c>
      <c r="M173" s="182">
        <f t="shared" si="313"/>
        <v>2.9211274372422631</v>
      </c>
      <c r="N173" s="182">
        <f t="shared" si="313"/>
        <v>2.6825769958311145</v>
      </c>
      <c r="O173" s="182">
        <f t="shared" si="313"/>
        <v>1.5377352673353935</v>
      </c>
      <c r="P173" s="182">
        <f t="shared" si="313"/>
        <v>1.632865285694425</v>
      </c>
      <c r="Q173" s="118">
        <f t="shared" ref="Q173:Q175" si="314">((P173/G173)^(1/($H$2-$H$1) ))-1</f>
        <v>-0.14223605888752999</v>
      </c>
      <c r="R173" s="128"/>
      <c r="S173" s="135">
        <f t="shared" ref="S173:AB173" si="315">S167/S60</f>
        <v>2.38369173402713</v>
      </c>
      <c r="T173" s="135">
        <f t="shared" si="315"/>
        <v>2.5982239900895721</v>
      </c>
      <c r="U173" s="135">
        <f t="shared" si="315"/>
        <v>2.8320641491976337</v>
      </c>
      <c r="V173" s="135">
        <f t="shared" si="315"/>
        <v>3.0869499226254216</v>
      </c>
      <c r="W173" s="135">
        <f t="shared" si="315"/>
        <v>3.3647754156617093</v>
      </c>
      <c r="X173" s="135">
        <f t="shared" si="315"/>
        <v>3.6676052030712616</v>
      </c>
      <c r="Y173" s="135">
        <f t="shared" si="315"/>
        <v>3.9976896713476768</v>
      </c>
      <c r="Z173" s="135">
        <f t="shared" si="315"/>
        <v>4.3574817417689671</v>
      </c>
      <c r="AA173" s="135">
        <f t="shared" si="315"/>
        <v>4.7496550985281747</v>
      </c>
      <c r="AB173" s="135">
        <f t="shared" si="315"/>
        <v>5.1771240573957131</v>
      </c>
      <c r="AC173" s="138">
        <f t="shared" ref="AC173" si="316">((AB173/G173)^(1/($AB$3-$H$1) ))-1</f>
        <v>-1.1872314571759635E-2</v>
      </c>
      <c r="AD173" s="31">
        <v>0.08</v>
      </c>
      <c r="AE173" s="127">
        <f t="shared" si="299"/>
        <v>73.080851600132675</v>
      </c>
    </row>
    <row r="174" spans="2:31" x14ac:dyDescent="0.2">
      <c r="B174" s="20" t="s">
        <v>371</v>
      </c>
      <c r="C174" s="161" t="e">
        <f t="shared" ref="C174:P174" si="317">C52/C167</f>
        <v>#DIV/0!</v>
      </c>
      <c r="D174" s="161" t="e">
        <f t="shared" si="317"/>
        <v>#DIV/0!</v>
      </c>
      <c r="E174" s="161" t="e">
        <f t="shared" si="317"/>
        <v>#DIV/0!</v>
      </c>
      <c r="F174" s="161">
        <f t="shared" si="317"/>
        <v>0</v>
      </c>
      <c r="G174" s="161">
        <f t="shared" si="317"/>
        <v>7.3291293893408549E-2</v>
      </c>
      <c r="H174" s="161">
        <f t="shared" si="317"/>
        <v>0.1013701178753206</v>
      </c>
      <c r="I174" s="161">
        <f t="shared" si="317"/>
        <v>9.2346560105381642E-2</v>
      </c>
      <c r="J174" s="161">
        <f t="shared" si="317"/>
        <v>6.8765982651881469E-2</v>
      </c>
      <c r="K174" s="161">
        <f t="shared" si="317"/>
        <v>6.3352794882711491E-2</v>
      </c>
      <c r="L174" s="161">
        <f t="shared" si="317"/>
        <v>8.8662156263640324E-2</v>
      </c>
      <c r="M174" s="161">
        <f t="shared" si="317"/>
        <v>8.3685119447376E-2</v>
      </c>
      <c r="N174" s="161">
        <f t="shared" si="317"/>
        <v>6.5965399913739398E-2</v>
      </c>
      <c r="O174" s="161">
        <f t="shared" si="317"/>
        <v>9.1935146950757787E-2</v>
      </c>
      <c r="P174" s="161">
        <f t="shared" si="317"/>
        <v>8.8912917617409659E-2</v>
      </c>
      <c r="Q174" s="118">
        <f t="shared" si="314"/>
        <v>2.1700505088253941E-2</v>
      </c>
      <c r="R174" s="128"/>
      <c r="S174" s="161">
        <f t="shared" ref="S174:AB174" si="318">S52/S167</f>
        <v>6.0906708092659828E-2</v>
      </c>
      <c r="T174" s="161">
        <f t="shared" si="318"/>
        <v>5.5877713846476912E-2</v>
      </c>
      <c r="U174" s="161">
        <f t="shared" si="318"/>
        <v>5.1263957657318261E-2</v>
      </c>
      <c r="V174" s="161">
        <f t="shared" si="318"/>
        <v>4.7031153814053442E-2</v>
      </c>
      <c r="W174" s="161">
        <f t="shared" si="318"/>
        <v>4.314784753582885E-2</v>
      </c>
      <c r="X174" s="161">
        <f t="shared" si="318"/>
        <v>3.9585181225531056E-2</v>
      </c>
      <c r="Y174" s="161">
        <f t="shared" si="318"/>
        <v>3.631668002342299E-2</v>
      </c>
      <c r="Z174" s="161">
        <f t="shared" si="318"/>
        <v>3.331805506736054E-2</v>
      </c>
      <c r="AA174" s="161">
        <f t="shared" si="318"/>
        <v>3.056702299757847E-2</v>
      </c>
      <c r="AB174" s="161">
        <f t="shared" si="318"/>
        <v>2.8043140364750887E-2</v>
      </c>
      <c r="AC174" s="138">
        <f t="shared" ref="AC174:AC175" si="319">((AB174/G174)^(1/($AB$3-$H$1) ))-1</f>
        <v>-4.9306005788306684E-2</v>
      </c>
      <c r="AD174" s="31">
        <v>0.08</v>
      </c>
      <c r="AE174" s="127">
        <f t="shared" si="299"/>
        <v>0.3808635017657741</v>
      </c>
    </row>
    <row r="175" spans="2:31" x14ac:dyDescent="0.2">
      <c r="B175" s="20" t="s">
        <v>320</v>
      </c>
      <c r="C175" s="152" t="e">
        <f t="shared" ref="C175:P175" si="320">C43/C167</f>
        <v>#DIV/0!</v>
      </c>
      <c r="D175" s="152" t="e">
        <f t="shared" si="320"/>
        <v>#DIV/0!</v>
      </c>
      <c r="E175" s="152" t="e">
        <f t="shared" si="320"/>
        <v>#DIV/0!</v>
      </c>
      <c r="F175" s="152">
        <f t="shared" si="320"/>
        <v>0</v>
      </c>
      <c r="G175" s="152">
        <f t="shared" si="320"/>
        <v>1.0396039603960397E-2</v>
      </c>
      <c r="H175" s="152">
        <f t="shared" si="320"/>
        <v>1.3888888888888888E-2</v>
      </c>
      <c r="I175" s="152">
        <f t="shared" si="320"/>
        <v>1.3698630136986301E-2</v>
      </c>
      <c r="J175" s="152">
        <f t="shared" si="320"/>
        <v>8.7301587301587304E-3</v>
      </c>
      <c r="K175" s="152">
        <f t="shared" si="320"/>
        <v>6.1320754716981136E-3</v>
      </c>
      <c r="L175" s="152">
        <f t="shared" si="320"/>
        <v>1.1206896551724138E-2</v>
      </c>
      <c r="M175" s="152">
        <f t="shared" si="320"/>
        <v>7.1428571428571426E-3</v>
      </c>
      <c r="N175" s="152">
        <f t="shared" si="320"/>
        <v>8.1632653061224497E-3</v>
      </c>
      <c r="O175" s="152">
        <f t="shared" si="320"/>
        <v>1.1805555555555555E-2</v>
      </c>
      <c r="P175" s="152">
        <f t="shared" si="320"/>
        <v>1.125E-2</v>
      </c>
      <c r="Q175" s="118">
        <f t="shared" si="314"/>
        <v>8.8100489672287008E-3</v>
      </c>
      <c r="R175" s="128"/>
      <c r="S175" s="152">
        <f t="shared" ref="S175:AB175" si="321">S43/S167</f>
        <v>1.0837155963302753E-2</v>
      </c>
      <c r="T175" s="152">
        <f t="shared" si="321"/>
        <v>1.0439462166484302E-2</v>
      </c>
      <c r="U175" s="152">
        <f t="shared" si="321"/>
        <v>1.0056362637439007E-2</v>
      </c>
      <c r="V175" s="152">
        <f t="shared" si="321"/>
        <v>9.6873218067072987E-3</v>
      </c>
      <c r="W175" s="152">
        <f t="shared" si="321"/>
        <v>9.3318237587547374E-3</v>
      </c>
      <c r="X175" s="152">
        <f t="shared" si="321"/>
        <v>8.98937151072704E-3</v>
      </c>
      <c r="Y175" s="152">
        <f t="shared" si="321"/>
        <v>8.6594863176728369E-3</v>
      </c>
      <c r="Z175" s="152">
        <f t="shared" si="321"/>
        <v>8.3417070032628243E-3</v>
      </c>
      <c r="AA175" s="152">
        <f t="shared" si="321"/>
        <v>8.0355893150696935E-3</v>
      </c>
      <c r="AB175" s="152">
        <f t="shared" si="321"/>
        <v>7.7407053035075026E-3</v>
      </c>
      <c r="AC175" s="138">
        <f t="shared" si="319"/>
        <v>-1.5402886266376647E-2</v>
      </c>
      <c r="AD175" s="31">
        <v>0.08</v>
      </c>
      <c r="AE175" s="127">
        <f t="shared" si="299"/>
        <v>0.10887823000137198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7" t="s">
        <v>351</v>
      </c>
      <c r="L178" s="198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0.8395395180816192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-0.49483646901913969</v>
      </c>
      <c r="N180" s="20"/>
      <c r="O180" s="20"/>
      <c r="P180" s="128">
        <f>(P167-R146)/P167</f>
        <v>-0.49483646901913969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-0.89171731799860732</v>
      </c>
      <c r="N181" s="20"/>
      <c r="O181" s="20"/>
      <c r="P181" s="128">
        <f>(P167-R139)/P167</f>
        <v>-0.89171731799860732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-1.1808204438339476</v>
      </c>
      <c r="N182" s="20"/>
      <c r="O182" s="20"/>
      <c r="P182" s="128">
        <f>(P167-R152)/P167</f>
        <v>-1.1808204438339476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-0.40433832647780604</v>
      </c>
      <c r="N183" s="20"/>
      <c r="O183" s="20"/>
      <c r="P183" s="128">
        <f>(P167-R164)/P167</f>
        <v>-0.40433832647780604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4.6077732339195627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0.21702456896937147</v>
      </c>
      <c r="Q185" s="20"/>
      <c r="R185" s="20"/>
      <c r="S185" s="185">
        <f>P167-S186</f>
        <v>719.47053671544847</v>
      </c>
      <c r="T185" s="185">
        <f>S185-T186</f>
        <v>634.91460026666937</v>
      </c>
      <c r="U185" s="185">
        <f t="shared" ref="U185:W185" si="322">T185-U186</f>
        <v>546.13086699545136</v>
      </c>
      <c r="V185" s="185">
        <f t="shared" si="322"/>
        <v>452.90794706067243</v>
      </c>
      <c r="W185" s="185">
        <f t="shared" si="322"/>
        <v>355.02388112915452</v>
      </c>
      <c r="X185" s="185">
        <f>W185-X186</f>
        <v>252.24561190106073</v>
      </c>
      <c r="Y185" s="185">
        <f t="shared" ref="Y185:AB185" si="323">X185-Y186</f>
        <v>144.32842921156222</v>
      </c>
      <c r="Z185" s="185">
        <f t="shared" si="323"/>
        <v>31.015387387588788</v>
      </c>
      <c r="AA185" s="185">
        <f t="shared" si="323"/>
        <v>-87.963306527583327</v>
      </c>
      <c r="AB185" s="185">
        <f t="shared" si="323"/>
        <v>-212.89093513851407</v>
      </c>
      <c r="AC185" s="185">
        <f t="shared" ref="AC185" si="324">AB185-AC186</f>
        <v>-344.06494517999135</v>
      </c>
      <c r="AD185" s="185">
        <f t="shared" ref="AD185" si="325">AC185-AD186</f>
        <v>-481.79765572354245</v>
      </c>
      <c r="AE185" s="185">
        <f t="shared" ref="AE185" si="326">AD185-AE186</f>
        <v>-626.41700179427107</v>
      </c>
      <c r="AF185" s="185">
        <f t="shared" ref="AF185" si="327">AE185-AF186</f>
        <v>-778.26731516853624</v>
      </c>
      <c r="AG185" s="185">
        <f t="shared" ref="AG185" si="328">AF185-AG186</f>
        <v>-937.7101442115146</v>
      </c>
      <c r="AH185" s="185">
        <f t="shared" ref="AH185" si="329">AG185-AH186</f>
        <v>-1105.1251147066419</v>
      </c>
      <c r="AI185" s="185">
        <f t="shared" ref="AI185" si="330">AH185-AI186</f>
        <v>-1280.9108337265257</v>
      </c>
      <c r="AJ185" s="185">
        <f t="shared" ref="AJ185" si="331">AI185-AJ186</f>
        <v>-1465.4858386974036</v>
      </c>
      <c r="AK185" s="185">
        <f t="shared" ref="AK185" si="332">AJ185-AK186</f>
        <v>-1659.2895939168252</v>
      </c>
      <c r="AL185" s="185">
        <f t="shared" ref="AL185" si="333">AK185-AL186</f>
        <v>-1862.783536897218</v>
      </c>
      <c r="AM185" s="185">
        <f t="shared" ref="AM185" si="334">AL185-AM186</f>
        <v>-2076.4521770266306</v>
      </c>
      <c r="AN185" s="185">
        <f t="shared" ref="AN185" si="335">AM185-AN186</f>
        <v>-2300.8042491625138</v>
      </c>
      <c r="AO185" s="185">
        <f t="shared" ref="AO185" si="336">AN185-AO186</f>
        <v>-2536.373924905191</v>
      </c>
      <c r="AP185" s="185">
        <f t="shared" ref="AP185" si="337">AO185-AP186</f>
        <v>-2783.7220844350022</v>
      </c>
      <c r="AQ185" s="185">
        <f t="shared" ref="AQ185" si="338">AP185-AQ186</f>
        <v>-3043.437651941304</v>
      </c>
      <c r="AR185" s="185">
        <f t="shared" ref="AR185" si="339">AQ185-AR186</f>
        <v>-3316.1389978229208</v>
      </c>
      <c r="AS185" s="185">
        <f t="shared" ref="AS185" si="340">AR185-AS186</f>
        <v>-3602.4754109986184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1">
        <f>P167/(Q137*(1+K186)^L186)</f>
        <v>10.430964838693301</v>
      </c>
      <c r="N186" s="20"/>
      <c r="O186" s="20"/>
      <c r="P186" s="181">
        <f>P167/Q137</f>
        <v>10.430964838693301</v>
      </c>
      <c r="Q186" s="20"/>
      <c r="R186" s="20"/>
      <c r="S186" s="186">
        <f>Q137*(1+$K$186)</f>
        <v>80.529463284551511</v>
      </c>
      <c r="T186" s="186">
        <f>S186*(1+$K$186)</f>
        <v>84.555936448779093</v>
      </c>
      <c r="U186" s="186">
        <f t="shared" ref="U186:AB186" si="341">T186*(1+$K$186)</f>
        <v>88.783733271218054</v>
      </c>
      <c r="V186" s="186">
        <f t="shared" si="341"/>
        <v>93.222919934778957</v>
      </c>
      <c r="W186" s="186">
        <f t="shared" si="341"/>
        <v>97.88406593151791</v>
      </c>
      <c r="X186" s="186">
        <f t="shared" si="341"/>
        <v>102.77826922809381</v>
      </c>
      <c r="Y186" s="186">
        <f t="shared" si="341"/>
        <v>107.9171826894985</v>
      </c>
      <c r="Z186" s="186">
        <f t="shared" si="341"/>
        <v>113.31304182397344</v>
      </c>
      <c r="AA186" s="186">
        <f t="shared" si="341"/>
        <v>118.97869391517212</v>
      </c>
      <c r="AB186" s="186">
        <f t="shared" si="341"/>
        <v>124.92762861093073</v>
      </c>
      <c r="AC186" s="186">
        <f t="shared" ref="AC186" si="342">AB186*(1+$K$186)</f>
        <v>131.17401004147726</v>
      </c>
      <c r="AD186" s="186">
        <f t="shared" ref="AD186" si="343">AC186*(1+$K$186)</f>
        <v>137.73271054355112</v>
      </c>
      <c r="AE186" s="186">
        <f t="shared" ref="AE186" si="344">AD186*(1+$K$186)</f>
        <v>144.61934607072868</v>
      </c>
      <c r="AF186" s="186">
        <f t="shared" ref="AF186" si="345">AE186*(1+$K$186)</f>
        <v>151.85031337426511</v>
      </c>
      <c r="AG186" s="186">
        <f t="shared" ref="AG186" si="346">AF186*(1+$K$186)</f>
        <v>159.44282904297839</v>
      </c>
      <c r="AH186" s="186">
        <f t="shared" ref="AH186" si="347">AG186*(1+$K$186)</f>
        <v>167.41497049512731</v>
      </c>
      <c r="AI186" s="186">
        <f t="shared" ref="AI186" si="348">AH186*(1+$K$186)</f>
        <v>175.78571901988369</v>
      </c>
      <c r="AJ186" s="186">
        <f t="shared" ref="AJ186" si="349">AI186*(1+$K$186)</f>
        <v>184.57500497087787</v>
      </c>
      <c r="AK186" s="186">
        <f t="shared" ref="AK186" si="350">AJ186*(1+$K$186)</f>
        <v>193.80375521942176</v>
      </c>
      <c r="AL186" s="186">
        <f t="shared" ref="AL186" si="351">AK186*(1+$K$186)</f>
        <v>203.49394298039286</v>
      </c>
      <c r="AM186" s="186">
        <f t="shared" ref="AM186" si="352">AL186*(1+$K$186)</f>
        <v>213.66864012941252</v>
      </c>
      <c r="AN186" s="186">
        <f t="shared" ref="AN186" si="353">AM186*(1+$K$186)</f>
        <v>224.35207213588316</v>
      </c>
      <c r="AO186" s="186">
        <f t="shared" ref="AO186" si="354">AN186*(1+$K$186)</f>
        <v>235.56967574267733</v>
      </c>
      <c r="AP186" s="186">
        <f t="shared" ref="AP186" si="355">AO186*(1+$K$186)</f>
        <v>247.3481595298112</v>
      </c>
      <c r="AQ186" s="186">
        <f t="shared" ref="AQ186" si="356">AP186*(1+$K$186)</f>
        <v>259.7155675063018</v>
      </c>
      <c r="AR186" s="186">
        <f t="shared" ref="AR186" si="357">AQ186*(1+$K$186)</f>
        <v>272.70134588161687</v>
      </c>
      <c r="AS186" s="186">
        <f t="shared" ref="AS186" si="358">AR186*(1+$K$186)</f>
        <v>286.33641317569771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1">
        <f>P167/(P52*(1+K187)^L187)</f>
        <v>11.24695968591401</v>
      </c>
      <c r="N187" s="20"/>
      <c r="O187" s="20"/>
      <c r="P187" s="181">
        <f>P167/P52</f>
        <v>11.24695968591401</v>
      </c>
      <c r="Q187" s="20"/>
      <c r="R187" s="20"/>
      <c r="S187" s="186">
        <f>P52*(1+$K$187)</f>
        <v>74.686850798624121</v>
      </c>
      <c r="T187" s="186">
        <f>S187*(1+$K$187)</f>
        <v>78.421193338555327</v>
      </c>
      <c r="U187" s="186">
        <f t="shared" ref="U187:AB187" si="359">T187*(1+$K$187)</f>
        <v>82.342253005483101</v>
      </c>
      <c r="V187" s="186">
        <f t="shared" si="359"/>
        <v>86.459365655757267</v>
      </c>
      <c r="W187" s="186">
        <f t="shared" si="359"/>
        <v>90.782333938545136</v>
      </c>
      <c r="X187" s="186">
        <f t="shared" si="359"/>
        <v>95.321450635472402</v>
      </c>
      <c r="Y187" s="186">
        <f t="shared" si="359"/>
        <v>100.08752316724603</v>
      </c>
      <c r="Z187" s="186">
        <f t="shared" si="359"/>
        <v>105.09189932560834</v>
      </c>
      <c r="AA187" s="186">
        <f t="shared" si="359"/>
        <v>110.34649429188876</v>
      </c>
      <c r="AB187" s="186">
        <f t="shared" si="359"/>
        <v>115.8638190064832</v>
      </c>
      <c r="AC187" s="186">
        <f t="shared" ref="AC187" si="360">AB187*(1+$K$187)</f>
        <v>121.65700995680736</v>
      </c>
      <c r="AD187" s="186">
        <f t="shared" ref="AD187" si="361">AC187*(1+$K$187)</f>
        <v>127.73986045464773</v>
      </c>
      <c r="AE187" s="186">
        <f t="shared" ref="AE187" si="362">AD187*(1+$K$187)</f>
        <v>134.12685347738011</v>
      </c>
      <c r="AF187" s="186">
        <f t="shared" ref="AF187" si="363">AE187*(1+$K$187)</f>
        <v>140.83319615124913</v>
      </c>
      <c r="AG187" s="186">
        <f t="shared" ref="AG187" si="364">AF187*(1+$K$187)</f>
        <v>147.87485595881159</v>
      </c>
      <c r="AH187" s="186">
        <f t="shared" ref="AH187" si="365">AG187*(1+$K$187)</f>
        <v>155.26859875675217</v>
      </c>
      <c r="AI187" s="186">
        <f t="shared" ref="AI187" si="366">AH187*(1+$K$187)</f>
        <v>163.0320286945898</v>
      </c>
      <c r="AJ187" s="186">
        <f t="shared" ref="AJ187" si="367">AI187*(1+$K$187)</f>
        <v>171.18363012931928</v>
      </c>
      <c r="AK187" s="186">
        <f t="shared" ref="AK187" si="368">AJ187*(1+$K$187)</f>
        <v>179.74281163578524</v>
      </c>
      <c r="AL187" s="186">
        <f t="shared" ref="AL187" si="369">AK187*(1+$K$187)</f>
        <v>188.72995221757452</v>
      </c>
      <c r="AM187" s="186">
        <f t="shared" ref="AM187" si="370">AL187*(1+$K$187)</f>
        <v>198.16644982845327</v>
      </c>
      <c r="AN187" s="186">
        <f t="shared" ref="AN187" si="371">AM187*(1+$K$187)</f>
        <v>208.07477231987593</v>
      </c>
      <c r="AO187" s="186">
        <f t="shared" ref="AO187" si="372">AN187*(1+$K$187)</f>
        <v>218.47851093586974</v>
      </c>
      <c r="AP187" s="186">
        <f t="shared" ref="AP187" si="373">AO187*(1+$K$187)</f>
        <v>229.40243648266323</v>
      </c>
      <c r="AQ187" s="186">
        <f t="shared" ref="AQ187" si="374">AP187*(1+$K$187)</f>
        <v>240.87255830679641</v>
      </c>
      <c r="AR187" s="186">
        <f t="shared" ref="AR187" si="375">AQ187*(1+$K$187)</f>
        <v>252.91618622213625</v>
      </c>
      <c r="AS187" s="186">
        <f t="shared" ref="AS187" si="376">AR187*(1+$K$187)</f>
        <v>265.56199553324308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725.31314920137584</v>
      </c>
      <c r="T188" s="185">
        <f>S188-T187</f>
        <v>646.89195586282051</v>
      </c>
      <c r="U188" s="185">
        <f t="shared" ref="U188:Z188" si="377">T188-U187</f>
        <v>564.54970285733737</v>
      </c>
      <c r="V188" s="185">
        <f t="shared" si="377"/>
        <v>478.0903372015801</v>
      </c>
      <c r="W188" s="185">
        <f t="shared" si="377"/>
        <v>387.30800326303495</v>
      </c>
      <c r="X188" s="185">
        <f t="shared" si="377"/>
        <v>291.98655262756256</v>
      </c>
      <c r="Y188" s="185">
        <f t="shared" si="377"/>
        <v>191.89902946031651</v>
      </c>
      <c r="Z188" s="185">
        <f t="shared" si="377"/>
        <v>86.807130134708174</v>
      </c>
      <c r="AA188" s="185">
        <f>Z188-AA187</f>
        <v>-23.539364157180586</v>
      </c>
      <c r="AB188" s="185">
        <f t="shared" ref="AB188" si="378">AA188-AB187</f>
        <v>-139.40318316366378</v>
      </c>
      <c r="AC188" s="185">
        <f t="shared" ref="AC188" si="379">AB188-AC187</f>
        <v>-261.06019312047113</v>
      </c>
      <c r="AD188" s="185">
        <f t="shared" ref="AD188" si="380">AC188-AD187</f>
        <v>-388.80005357511885</v>
      </c>
      <c r="AE188" s="185">
        <f t="shared" ref="AE188" si="381">AD188-AE187</f>
        <v>-522.92690705249902</v>
      </c>
      <c r="AF188" s="185">
        <f t="shared" ref="AF188" si="382">AE188-AF187</f>
        <v>-663.76010320374814</v>
      </c>
      <c r="AG188" s="185">
        <f t="shared" ref="AG188" si="383">AF188-AG187</f>
        <v>-811.63495916255977</v>
      </c>
      <c r="AH188" s="185">
        <f t="shared" ref="AH188" si="384">AG188-AH187</f>
        <v>-966.90355791931188</v>
      </c>
      <c r="AI188" s="185">
        <f t="shared" ref="AI188" si="385">AH188-AI187</f>
        <v>-1129.9355866139017</v>
      </c>
      <c r="AJ188" s="185">
        <f t="shared" ref="AJ188" si="386">AI188-AJ187</f>
        <v>-1301.1192167432209</v>
      </c>
      <c r="AK188" s="185">
        <f t="shared" ref="AK188" si="387">AJ188-AK187</f>
        <v>-1480.8620283790062</v>
      </c>
      <c r="AL188" s="185">
        <f t="shared" ref="AL188" si="388">AK188-AL187</f>
        <v>-1669.5919805965807</v>
      </c>
      <c r="AM188" s="185">
        <f t="shared" ref="AM188" si="389">AL188-AM187</f>
        <v>-1867.758430425034</v>
      </c>
      <c r="AN188" s="185">
        <f t="shared" ref="AN188" si="390">AM188-AN187</f>
        <v>-2075.8332027449101</v>
      </c>
      <c r="AO188" s="185">
        <f t="shared" ref="AO188" si="391">AN188-AO187</f>
        <v>-2294.3117136807796</v>
      </c>
      <c r="AP188" s="185">
        <f t="shared" ref="AP188" si="392">AO188-AP187</f>
        <v>-2523.7141501634428</v>
      </c>
      <c r="AQ188" s="185">
        <f t="shared" ref="AQ188" si="393">AP188-AQ187</f>
        <v>-2764.586708470239</v>
      </c>
      <c r="AR188" s="185">
        <f t="shared" ref="AR188" si="394">AQ188-AR187</f>
        <v>-3017.5028946923753</v>
      </c>
      <c r="AS188" s="185">
        <f t="shared" ref="AS188" si="395">AR188-AS187</f>
        <v>-3283.0648902256185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396">C10/C7</f>
        <v>#DIV/0!</v>
      </c>
      <c r="D190" s="25" t="e">
        <f t="shared" si="396"/>
        <v>#DIV/0!</v>
      </c>
      <c r="E190" s="25" t="e">
        <f t="shared" si="396"/>
        <v>#DIV/0!</v>
      </c>
      <c r="F190" s="25" t="e">
        <f t="shared" si="396"/>
        <v>#DIV/0!</v>
      </c>
      <c r="G190" s="25">
        <f t="shared" si="396"/>
        <v>0.60016563383499444</v>
      </c>
      <c r="H190" s="25">
        <f t="shared" si="396"/>
        <v>0.46220923092039007</v>
      </c>
      <c r="I190" s="25">
        <f t="shared" si="396"/>
        <v>0.45752479517033207</v>
      </c>
      <c r="J190" s="25">
        <f t="shared" si="396"/>
        <v>0.49335131727484643</v>
      </c>
      <c r="K190" s="25">
        <f t="shared" si="396"/>
        <v>0.59293567251461987</v>
      </c>
      <c r="L190" s="25">
        <f t="shared" si="396"/>
        <v>0.62893621232865415</v>
      </c>
      <c r="M190" s="25">
        <f t="shared" si="396"/>
        <v>0.45818499028382575</v>
      </c>
      <c r="N190" s="25">
        <f t="shared" si="396"/>
        <v>0.54584866597872572</v>
      </c>
      <c r="O190" s="25">
        <f t="shared" si="396"/>
        <v>0.48768036826108768</v>
      </c>
      <c r="P190" s="25">
        <f t="shared" si="396"/>
        <v>0.49063195188267283</v>
      </c>
      <c r="Q190" s="118">
        <f t="shared" ref="Q190:Q192" si="397">((P190/G190)^(1/($H$2-$H$1) ))-1</f>
        <v>-2.2141358064810768E-2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77.837037037037035</v>
      </c>
      <c r="H191" s="112">
        <f t="shared" ref="H191:P191" si="398">H10/H12</f>
        <v>48.875324675324677</v>
      </c>
      <c r="I191" s="112">
        <f t="shared" si="398"/>
        <v>90.12355212355213</v>
      </c>
      <c r="J191" s="112">
        <f t="shared" si="398"/>
        <v>82.276283618581914</v>
      </c>
      <c r="K191" s="112">
        <f t="shared" si="398"/>
        <v>130.65979381443299</v>
      </c>
      <c r="L191" s="112">
        <f t="shared" si="398"/>
        <v>94.691485266543324</v>
      </c>
      <c r="M191" s="112">
        <f t="shared" si="398"/>
        <v>97.296686746987959</v>
      </c>
      <c r="N191" s="112">
        <f t="shared" si="398"/>
        <v>96.231121281464524</v>
      </c>
      <c r="O191" s="112">
        <f t="shared" si="398"/>
        <v>57.147302904564313</v>
      </c>
      <c r="P191" s="112">
        <f t="shared" si="398"/>
        <v>1.7702949104169969</v>
      </c>
      <c r="Q191" s="118">
        <f t="shared" si="397"/>
        <v>-0.34320654870195688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1.1239704781260027</v>
      </c>
      <c r="H192" s="25">
        <f t="shared" ref="H192:P192" si="399">H10/(H12+H13)</f>
        <v>0.80181523777058117</v>
      </c>
      <c r="I192" s="25">
        <f t="shared" si="399"/>
        <v>3.3706859205776172</v>
      </c>
      <c r="J192" s="25">
        <f t="shared" si="399"/>
        <v>5.927602607010745</v>
      </c>
      <c r="K192" s="25">
        <f t="shared" si="399"/>
        <v>5.1156407669021187</v>
      </c>
      <c r="L192" s="25">
        <f t="shared" si="399"/>
        <v>10.532145723042246</v>
      </c>
      <c r="M192" s="25">
        <f t="shared" si="399"/>
        <v>6.5910018363599265</v>
      </c>
      <c r="N192" s="25">
        <f t="shared" si="399"/>
        <v>4.7152548074227729</v>
      </c>
      <c r="O192" s="25">
        <f t="shared" si="399"/>
        <v>2.0637081064881873</v>
      </c>
      <c r="P192" s="25">
        <f t="shared" si="399"/>
        <v>0.95732230129469265</v>
      </c>
      <c r="Q192" s="118">
        <f t="shared" si="397"/>
        <v>-1.7673366502815813E-2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4" t="s">
        <v>337</v>
      </c>
      <c r="M195" s="195"/>
      <c r="N195" s="196"/>
      <c r="O195" s="23" t="s">
        <v>340</v>
      </c>
      <c r="P195" s="20"/>
      <c r="Q195" s="194" t="s">
        <v>338</v>
      </c>
      <c r="R195" s="195"/>
      <c r="S195" s="196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250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230</v>
      </c>
      <c r="O197" s="173">
        <f>N197</f>
        <v>230</v>
      </c>
      <c r="P197" s="20"/>
      <c r="Q197" s="167" t="s">
        <v>341</v>
      </c>
      <c r="R197" s="167"/>
      <c r="S197" s="21">
        <v>230</v>
      </c>
      <c r="T197" s="173">
        <f>S197</f>
        <v>230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250</v>
      </c>
      <c r="E199" s="176" t="s">
        <v>398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230</v>
      </c>
      <c r="O199" s="173">
        <f>N199</f>
        <v>230</v>
      </c>
      <c r="P199" s="20"/>
      <c r="Q199" s="167" t="s">
        <v>344</v>
      </c>
      <c r="R199" s="167"/>
      <c r="S199" s="168">
        <f>S197*S198</f>
        <v>230</v>
      </c>
      <c r="T199" s="173">
        <f>S199</f>
        <v>230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0</v>
      </c>
      <c r="G200" s="22">
        <v>2</v>
      </c>
      <c r="H200" s="167">
        <f>F200/G200</f>
        <v>0</v>
      </c>
      <c r="I200" s="167">
        <f>H200*J199</f>
        <v>0</v>
      </c>
      <c r="J200" s="167">
        <f>I200</f>
        <v>0</v>
      </c>
      <c r="K200" s="20"/>
      <c r="L200" s="167" t="s">
        <v>345</v>
      </c>
      <c r="M200" s="167"/>
      <c r="N200" s="21">
        <v>900</v>
      </c>
      <c r="O200" s="21">
        <v>1630</v>
      </c>
      <c r="P200" s="20"/>
      <c r="Q200" s="167" t="s">
        <v>345</v>
      </c>
      <c r="R200" s="167"/>
      <c r="S200" s="21">
        <v>900</v>
      </c>
      <c r="T200" s="21">
        <v>2120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900</v>
      </c>
      <c r="E201" s="176"/>
      <c r="F201" s="167"/>
      <c r="G201" s="167"/>
      <c r="H201" s="169" t="s">
        <v>387</v>
      </c>
      <c r="I201" s="167"/>
      <c r="J201" s="167">
        <f>J200</f>
        <v>0</v>
      </c>
      <c r="K201" s="20"/>
      <c r="L201" s="167" t="s">
        <v>346</v>
      </c>
      <c r="M201" s="167"/>
      <c r="N201" s="168">
        <f>N200*N198</f>
        <v>900</v>
      </c>
      <c r="O201" s="168">
        <f>O200*O198</f>
        <v>1630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4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900</v>
      </c>
      <c r="T202" s="168">
        <f>T201*T200</f>
        <v>2120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3600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3.9130434782608696</v>
      </c>
      <c r="O204" s="170">
        <f>O201/O199</f>
        <v>7.0869565217391308</v>
      </c>
      <c r="P204" s="20"/>
      <c r="Q204" s="169" t="s">
        <v>347</v>
      </c>
      <c r="R204" s="169"/>
      <c r="S204" s="170">
        <f>S202/S199</f>
        <v>3.9130434782608696</v>
      </c>
      <c r="T204" s="170">
        <f>T202/T199</f>
        <v>9.2173913043478262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14.4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7" t="s">
        <v>27</v>
      </c>
      <c r="E208" s="188"/>
      <c r="F208" s="188"/>
      <c r="G208" s="189"/>
      <c r="H208" s="20"/>
      <c r="I208" s="187" t="s">
        <v>393</v>
      </c>
      <c r="J208" s="188"/>
      <c r="K208" s="18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250</v>
      </c>
      <c r="H209" s="20"/>
      <c r="I209" s="20" t="s">
        <v>28</v>
      </c>
      <c r="J209" s="127"/>
      <c r="K209" s="21">
        <f>G209</f>
        <v>250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3600</v>
      </c>
      <c r="H210" s="20"/>
      <c r="I210" s="20" t="s">
        <v>29</v>
      </c>
      <c r="J210" s="20"/>
      <c r="K210" s="21">
        <f>G210</f>
        <v>3600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0.30567848906522599</v>
      </c>
      <c r="H212" s="20"/>
      <c r="I212" s="23" t="s">
        <v>394</v>
      </c>
      <c r="J212" s="23"/>
      <c r="K212" s="23">
        <f>(K210-K209)/K209</f>
        <v>13.4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395</v>
      </c>
      <c r="J213" s="23"/>
      <c r="K213" s="23">
        <f>K210/K209</f>
        <v>14.4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0.30567848906522599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2014-03-29T17:51:39Z</dcterms:modified>
</cp:coreProperties>
</file>
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S167" i="18" l="1"/>
  <c r="S42" i="18"/>
  <c r="C78" i="18"/>
  <c r="G210" i="18" l="1"/>
  <c r="G209" i="18"/>
  <c r="P41" i="18"/>
  <c r="O41" i="18"/>
  <c r="N41" i="18"/>
  <c r="M41" i="18"/>
  <c r="L41" i="18"/>
  <c r="K41" i="18"/>
  <c r="J41" i="18"/>
  <c r="I41" i="18"/>
  <c r="H41" i="18"/>
  <c r="G41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G21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H199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R42" i="18"/>
  <c r="G213" i="18"/>
  <c r="G214" i="18" s="1"/>
  <c r="G215" i="18" s="1"/>
  <c r="K210" i="18"/>
  <c r="K209" i="18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H202" i="18"/>
  <c r="I202" i="18" s="1"/>
  <c r="J202" i="18" s="1"/>
  <c r="J203" i="18" s="1"/>
  <c r="H200" i="18"/>
  <c r="H198" i="18"/>
  <c r="H197" i="18"/>
  <c r="I197" i="18" s="1"/>
  <c r="J197" i="18" s="1"/>
  <c r="D205" i="18" l="1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K37" i="18"/>
  <c r="L37" i="18"/>
  <c r="M37" i="18"/>
  <c r="J37" i="18"/>
  <c r="I37" i="18"/>
  <c r="H37" i="18"/>
  <c r="G37" i="18"/>
  <c r="P37" i="18"/>
  <c r="O37" i="18"/>
  <c r="N37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Q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Q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8" i="18" l="1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Q99" i="18" s="1"/>
  <c r="G93" i="18"/>
  <c r="G99" i="18" s="1"/>
  <c r="G90" i="18"/>
  <c r="G96" i="18" s="1"/>
  <c r="S29" i="18"/>
  <c r="Q29" i="18"/>
  <c r="Q96" i="18" l="1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75" i="18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M187" i="18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P186" i="18"/>
  <c r="S186" i="18"/>
  <c r="M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C94" i="18" l="1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R138" i="18" s="1"/>
  <c r="P184" i="18" s="1"/>
  <c r="P185" i="18" s="1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<sst xmlns="http://schemas.openxmlformats.org/spreadsheetml/2006/main" count="618" uniqueCount="429">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</sst>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172" fontId="8" fillId="5" borderId="1" xfId="0" applyNumberFormat="1" applyFont="1" applyFill="1" applyBorder="1"/>
    <xf numFmtId="0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256448"/>
        <c:axId val="83257984"/>
      </c:lineChart>
      <c:catAx>
        <c:axId val="83256448"/>
        <c:scaling>
          <c:orientation val="minMax"/>
        </c:scaling>
        <c:delete val="0"/>
        <c:axPos val="b"/>
        <c:majorTickMark val="out"/>
        <c:minorTickMark val="none"/>
        <c:tickLblPos val="nextTo"/>
        <c:crossAx val="83257984"/>
        <c:crosses val="autoZero"/>
        <c:auto val="1"/>
        <c:lblAlgn val="ctr"/>
        <c:lblOffset val="100"/>
        <c:noMultiLvlLbl val="0"/>
      </c:catAx>
      <c:valAx>
        <c:axId val="83257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325644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C161" activePane="bottomRight" state="frozen"/>
      <selection pane="topRight" activeCell="C1" sqref="C1"/>
      <selection pane="bottomLeft" activeCell="A5" sqref="A5"/>
      <selection pane="bottomRight" activeCell="A174" sqref="A174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0.04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0.08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2" t="s">
        <v>291</v>
      </c>
      <c r="AE2" s="193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4" t="s">
        <v>292</v>
      </c>
      <c r="AE3" s="195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33621</v>
      </c>
      <c r="H6" s="147">
        <v>36588</v>
      </c>
      <c r="I6" s="147">
        <v>44647</v>
      </c>
      <c r="J6" s="147">
        <v>63776</v>
      </c>
      <c r="K6" s="147">
        <v>81166</v>
      </c>
      <c r="L6" s="147">
        <v>107573</v>
      </c>
      <c r="M6" s="147">
        <v>128611</v>
      </c>
      <c r="N6" s="147">
        <v>145016</v>
      </c>
      <c r="O6" s="147">
        <v>162726</v>
      </c>
      <c r="P6" s="147">
        <v>179094</v>
      </c>
      <c r="Q6" s="118">
        <f>((P6/G6)^(1/($H$2-$H$1) ))-1</f>
        <v>0.20425632061319687</v>
      </c>
      <c r="R6" s="31">
        <f>$L$2</f>
        <v>0.08</v>
      </c>
      <c r="S6" s="154">
        <f>P6*(1+$R6)</f>
        <v>193421.52000000002</v>
      </c>
      <c r="T6" s="154">
        <f>S6*(1+$R6)</f>
        <v>208895.24160000004</v>
      </c>
      <c r="U6" s="154">
        <f t="shared" ref="U6:AB6" si="0">T6*(1+$R6)</f>
        <v>225606.86092800007</v>
      </c>
      <c r="V6" s="154">
        <f t="shared" si="0"/>
        <v>243655.40980224009</v>
      </c>
      <c r="W6" s="154">
        <f t="shared" si="0"/>
        <v>263147.84258641931</v>
      </c>
      <c r="X6" s="154">
        <f t="shared" si="0"/>
        <v>284199.66999333288</v>
      </c>
      <c r="Y6" s="154">
        <f t="shared" si="0"/>
        <v>306935.64359279955</v>
      </c>
      <c r="Z6" s="154">
        <f t="shared" si="0"/>
        <v>331490.49508022354</v>
      </c>
      <c r="AA6" s="154">
        <f t="shared" si="0"/>
        <v>358009.73468664143</v>
      </c>
      <c r="AB6" s="154">
        <f t="shared" si="0"/>
        <v>386650.51346157276</v>
      </c>
      <c r="AC6" s="138">
        <f>((AB6/G6)^(1/($AB$3-$H$1) ))-1</f>
        <v>0.13717351146052859</v>
      </c>
      <c r="AD6" s="31">
        <f>$L$1</f>
        <v>0.04</v>
      </c>
      <c r="AE6" s="146">
        <f t="shared" ref="AE6:AE43" si="1">(AB6*(1+AD6))/($C$1-AD6)</f>
        <v>2233980.7444446427</v>
      </c>
    </row>
    <row r="7" spans="2:31" x14ac:dyDescent="0.2">
      <c r="B7" s="20" t="s">
        <v>240</v>
      </c>
      <c r="C7" s="141"/>
      <c r="D7" s="141"/>
      <c r="E7" s="147"/>
      <c r="F7" s="147"/>
      <c r="G7" s="147">
        <v>35017</v>
      </c>
      <c r="H7" s="147">
        <v>40711</v>
      </c>
      <c r="I7" s="147">
        <v>51018</v>
      </c>
      <c r="J7" s="147">
        <v>68209</v>
      </c>
      <c r="K7" s="147">
        <v>85500</v>
      </c>
      <c r="L7" s="147">
        <v>121246</v>
      </c>
      <c r="M7" s="147">
        <v>141002</v>
      </c>
      <c r="N7" s="147">
        <v>154083</v>
      </c>
      <c r="O7" s="147">
        <v>169445</v>
      </c>
      <c r="P7" s="147">
        <v>182055</v>
      </c>
      <c r="Q7" s="118">
        <f>((P7/G7)^(1/($H$2-$H$1) ))-1</f>
        <v>0.20101124855084529</v>
      </c>
      <c r="R7" s="31">
        <f>$L$2</f>
        <v>0.08</v>
      </c>
      <c r="S7" s="154">
        <f t="shared" ref="S7:S16" si="2">P7*(1+$R7)</f>
        <v>196619.40000000002</v>
      </c>
      <c r="T7" s="154">
        <f t="shared" ref="T7:AB7" si="3">S7*(1+$R7)</f>
        <v>212348.95200000005</v>
      </c>
      <c r="U7" s="154">
        <f t="shared" si="3"/>
        <v>229336.86816000007</v>
      </c>
      <c r="V7" s="154">
        <f t="shared" si="3"/>
        <v>247683.81761280011</v>
      </c>
      <c r="W7" s="154">
        <f t="shared" si="3"/>
        <v>267498.52302182413</v>
      </c>
      <c r="X7" s="154">
        <f t="shared" si="3"/>
        <v>288898.40486357006</v>
      </c>
      <c r="Y7" s="154">
        <f t="shared" si="3"/>
        <v>312010.27725265571</v>
      </c>
      <c r="Z7" s="154">
        <f t="shared" si="3"/>
        <v>336971.09943286818</v>
      </c>
      <c r="AA7" s="154">
        <f t="shared" si="3"/>
        <v>363928.78738749766</v>
      </c>
      <c r="AB7" s="154">
        <f t="shared" si="3"/>
        <v>393043.09037849749</v>
      </c>
      <c r="AC7" s="138">
        <f>((AB7/G7)^(1/($AB$3-$H$1) ))-1</f>
        <v>0.13572096732793648</v>
      </c>
      <c r="AD7" s="31">
        <f>$L$1</f>
        <v>0.04</v>
      </c>
      <c r="AE7" s="146">
        <f t="shared" si="1"/>
        <v>2270915.6332979854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0.13986391884257326</v>
      </c>
      <c r="I8" s="151">
        <f t="shared" ref="I8:P8" si="4">(I7-H7)/I7</f>
        <v>0.20202673566192325</v>
      </c>
      <c r="J8" s="151">
        <f t="shared" si="4"/>
        <v>0.25203418903663738</v>
      </c>
      <c r="K8" s="151">
        <f t="shared" si="4"/>
        <v>0.20223391812865496</v>
      </c>
      <c r="L8" s="151">
        <f t="shared" si="4"/>
        <v>0.29482209722382596</v>
      </c>
      <c r="M8" s="151">
        <f t="shared" si="4"/>
        <v>0.14011148778031518</v>
      </c>
      <c r="N8" s="151">
        <f t="shared" si="4"/>
        <v>8.4895802911417878E-2</v>
      </c>
      <c r="O8" s="151">
        <f t="shared" si="4"/>
        <v>9.0660686358405379E-2</v>
      </c>
      <c r="P8" s="151">
        <f t="shared" si="4"/>
        <v>6.9264782620636622E-2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13919</v>
      </c>
      <c r="H9" s="147">
        <v>18296</v>
      </c>
      <c r="I9" s="147">
        <v>17963</v>
      </c>
      <c r="J9" s="147">
        <v>25489</v>
      </c>
      <c r="K9" s="147">
        <v>32022</v>
      </c>
      <c r="L9" s="147">
        <v>46404</v>
      </c>
      <c r="M9" s="147">
        <v>50593</v>
      </c>
      <c r="N9" s="147">
        <v>65194</v>
      </c>
      <c r="O9" s="147">
        <v>72257</v>
      </c>
      <c r="P9" s="147">
        <v>84943</v>
      </c>
      <c r="Q9" s="118">
        <f t="shared" ref="Q9:Q16" si="5">((P9/G9)^(1/($H$2-$H$1) ))-1</f>
        <v>0.22258750000486716</v>
      </c>
      <c r="R9" s="31">
        <f t="shared" ref="R9:R42" si="6">$L$2</f>
        <v>0.08</v>
      </c>
      <c r="S9" s="154">
        <f t="shared" ref="S9" si="7">P9*(1+$R9)</f>
        <v>91738.44</v>
      </c>
      <c r="T9" s="154">
        <f t="shared" ref="T9" si="8">S9*(1+$R9)</f>
        <v>99077.515200000009</v>
      </c>
      <c r="U9" s="154">
        <f t="shared" ref="U9" si="9">T9*(1+$R9)</f>
        <v>107003.71641600001</v>
      </c>
      <c r="V9" s="154">
        <f t="shared" ref="V9" si="10">U9*(1+$R9)</f>
        <v>115564.01372928002</v>
      </c>
      <c r="W9" s="154">
        <f t="shared" ref="W9" si="11">V9*(1+$R9)</f>
        <v>124809.13482762243</v>
      </c>
      <c r="X9" s="154">
        <f t="shared" ref="X9" si="12">W9*(1+$R9)</f>
        <v>134793.86561383223</v>
      </c>
      <c r="Y9" s="154">
        <f t="shared" ref="Y9" si="13">X9*(1+$R9)</f>
        <v>145577.3748629388</v>
      </c>
      <c r="Z9" s="154">
        <f t="shared" ref="Z9" si="14">Y9*(1+$R9)</f>
        <v>157223.5648519739</v>
      </c>
      <c r="AA9" s="154">
        <f t="shared" ref="AA9" si="15">Z9*(1+$R9)</f>
        <v>169801.45004013184</v>
      </c>
      <c r="AB9" s="154">
        <f t="shared" ref="AB9" si="16">AA9*(1+$R9)</f>
        <v>183385.56604334241</v>
      </c>
      <c r="AC9" s="138">
        <f>((AB9/G9)^(1/($AB$3-$H$1) ))-1</f>
        <v>0.1453404131911451</v>
      </c>
      <c r="AD9" s="31">
        <f t="shared" ref="AD9:AD79" si="17">$L$1</f>
        <v>0.04</v>
      </c>
      <c r="AE9" s="146">
        <f t="shared" si="1"/>
        <v>1059561.0482504228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21016</v>
      </c>
      <c r="H10" s="147">
        <v>18817</v>
      </c>
      <c r="I10" s="147">
        <v>23342</v>
      </c>
      <c r="J10" s="147">
        <v>33651</v>
      </c>
      <c r="K10" s="147">
        <v>50696</v>
      </c>
      <c r="L10" s="147">
        <v>76256</v>
      </c>
      <c r="M10" s="147">
        <v>64605</v>
      </c>
      <c r="N10" s="147">
        <v>84106</v>
      </c>
      <c r="O10" s="147">
        <v>82635</v>
      </c>
      <c r="P10" s="147">
        <v>89322</v>
      </c>
      <c r="Q10" s="118">
        <f t="shared" si="5"/>
        <v>0.17441922845681557</v>
      </c>
      <c r="R10" s="31">
        <f t="shared" si="6"/>
        <v>0.08</v>
      </c>
      <c r="S10" s="154">
        <f t="shared" si="2"/>
        <v>96467.760000000009</v>
      </c>
      <c r="T10" s="154">
        <f t="shared" ref="T10:AB10" si="18">S10*(1+$R10)</f>
        <v>104185.18080000002</v>
      </c>
      <c r="U10" s="154">
        <f t="shared" si="18"/>
        <v>112519.99526400003</v>
      </c>
      <c r="V10" s="154">
        <f t="shared" si="18"/>
        <v>121521.59488512004</v>
      </c>
      <c r="W10" s="154">
        <f t="shared" si="18"/>
        <v>131243.32247592966</v>
      </c>
      <c r="X10" s="154">
        <f t="shared" si="18"/>
        <v>141742.78827400404</v>
      </c>
      <c r="Y10" s="154">
        <f t="shared" si="18"/>
        <v>153082.21133592437</v>
      </c>
      <c r="Z10" s="154">
        <f t="shared" si="18"/>
        <v>165328.78824279833</v>
      </c>
      <c r="AA10" s="154">
        <f t="shared" si="18"/>
        <v>178555.09130222219</v>
      </c>
      <c r="AB10" s="154">
        <f t="shared" si="18"/>
        <v>192839.49860639998</v>
      </c>
      <c r="AC10" s="138">
        <f t="shared" ref="AC10:AC42" si="19">((AB10/G10)^(1/($AB$3-$H$1) ))-1</f>
        <v>0.12373931542579042</v>
      </c>
      <c r="AD10" s="31">
        <f t="shared" si="17"/>
        <v>0.04</v>
      </c>
      <c r="AE10" s="146">
        <f t="shared" si="1"/>
        <v>1114183.7697258666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-0.11686241164904076</v>
      </c>
      <c r="I11" s="148">
        <f t="shared" si="20"/>
        <v>0.19385656756062034</v>
      </c>
      <c r="J11" s="148">
        <f t="shared" si="20"/>
        <v>0.30635047992630232</v>
      </c>
      <c r="K11" s="148">
        <f t="shared" si="20"/>
        <v>0.33621982010415025</v>
      </c>
      <c r="L11" s="148">
        <f t="shared" si="20"/>
        <v>0.33518673940411248</v>
      </c>
      <c r="M11" s="148">
        <f t="shared" si="20"/>
        <v>-0.18034207878647163</v>
      </c>
      <c r="N11" s="148">
        <f t="shared" si="20"/>
        <v>0.2318621739233824</v>
      </c>
      <c r="O11" s="148">
        <f t="shared" si="20"/>
        <v>-1.780117383675198E-2</v>
      </c>
      <c r="P11" s="148">
        <f t="shared" si="20"/>
        <v>7.4863975280446027E-2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0.04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270</v>
      </c>
      <c r="H12" s="147">
        <v>385</v>
      </c>
      <c r="I12" s="147">
        <v>259</v>
      </c>
      <c r="J12" s="147">
        <v>409</v>
      </c>
      <c r="K12" s="147">
        <v>388</v>
      </c>
      <c r="L12" s="147">
        <v>805.31</v>
      </c>
      <c r="M12" s="147">
        <v>664</v>
      </c>
      <c r="N12" s="147">
        <v>874</v>
      </c>
      <c r="O12" s="147">
        <v>1446</v>
      </c>
      <c r="P12" s="147">
        <v>50456</v>
      </c>
      <c r="Q12" s="118">
        <f t="shared" si="5"/>
        <v>0.78811044192930235</v>
      </c>
      <c r="R12" s="31">
        <f t="shared" si="6"/>
        <v>0.08</v>
      </c>
      <c r="S12" s="154">
        <f t="shared" si="2"/>
        <v>54492.480000000003</v>
      </c>
      <c r="T12" s="154">
        <f t="shared" ref="T12:AB12" si="21">S12*(1+$R12)</f>
        <v>58851.878400000009</v>
      </c>
      <c r="U12" s="154">
        <f t="shared" si="21"/>
        <v>63560.028672000015</v>
      </c>
      <c r="V12" s="154">
        <f t="shared" si="21"/>
        <v>68644.830965760018</v>
      </c>
      <c r="W12" s="154">
        <f t="shared" si="21"/>
        <v>74136.417443020822</v>
      </c>
      <c r="X12" s="154">
        <f t="shared" si="21"/>
        <v>80067.330838462498</v>
      </c>
      <c r="Y12" s="154">
        <f t="shared" si="21"/>
        <v>86472.717305539511</v>
      </c>
      <c r="Z12" s="154">
        <f t="shared" si="21"/>
        <v>93390.534689982684</v>
      </c>
      <c r="AA12" s="154">
        <f t="shared" si="21"/>
        <v>100861.77746518131</v>
      </c>
      <c r="AB12" s="154">
        <f t="shared" si="21"/>
        <v>108930.71966239582</v>
      </c>
      <c r="AC12" s="138">
        <f t="shared" si="19"/>
        <v>0.37134479859518388</v>
      </c>
      <c r="AD12" s="31">
        <f t="shared" si="17"/>
        <v>0.04</v>
      </c>
      <c r="AE12" s="146">
        <f t="shared" si="1"/>
        <v>629377.49138273136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18428</v>
      </c>
      <c r="H13" s="147">
        <v>23083</v>
      </c>
      <c r="I13" s="147">
        <v>6666</v>
      </c>
      <c r="J13" s="147">
        <v>5268</v>
      </c>
      <c r="K13" s="147">
        <v>9522</v>
      </c>
      <c r="L13" s="147">
        <v>6435</v>
      </c>
      <c r="M13" s="147">
        <v>9138</v>
      </c>
      <c r="N13" s="147">
        <v>16963</v>
      </c>
      <c r="O13" s="147">
        <v>38596</v>
      </c>
      <c r="P13" s="147">
        <v>42848</v>
      </c>
      <c r="Q13" s="118">
        <f t="shared" si="5"/>
        <v>9.8289743649686123E-2</v>
      </c>
      <c r="R13" s="31">
        <f t="shared" si="6"/>
        <v>0.08</v>
      </c>
      <c r="S13" s="154">
        <f t="shared" si="2"/>
        <v>46275.840000000004</v>
      </c>
      <c r="T13" s="154">
        <f t="shared" ref="T13:AB13" si="22">S13*(1+$R13)</f>
        <v>49977.907200000009</v>
      </c>
      <c r="U13" s="154">
        <f t="shared" si="22"/>
        <v>53976.139776000011</v>
      </c>
      <c r="V13" s="154">
        <f t="shared" si="22"/>
        <v>58294.230958080014</v>
      </c>
      <c r="W13" s="154">
        <f t="shared" si="22"/>
        <v>62957.769434726419</v>
      </c>
      <c r="X13" s="154">
        <f t="shared" si="22"/>
        <v>67994.390989504536</v>
      </c>
      <c r="Y13" s="154">
        <f t="shared" si="22"/>
        <v>73433.942268664905</v>
      </c>
      <c r="Z13" s="154">
        <f t="shared" si="22"/>
        <v>79308.6576501581</v>
      </c>
      <c r="AA13" s="154">
        <f t="shared" si="22"/>
        <v>85653.350262170759</v>
      </c>
      <c r="AB13" s="154">
        <f t="shared" si="22"/>
        <v>92505.618283144431</v>
      </c>
      <c r="AC13" s="138">
        <f t="shared" si="19"/>
        <v>8.8625282195231581E-2</v>
      </c>
      <c r="AD13" s="31">
        <f t="shared" si="17"/>
        <v>0.04</v>
      </c>
      <c r="AE13" s="146">
        <f t="shared" si="1"/>
        <v>534476.90563594562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7231</v>
      </c>
      <c r="H14" s="147">
        <v>7412</v>
      </c>
      <c r="I14" s="147">
        <v>10345</v>
      </c>
      <c r="J14" s="147">
        <v>12456</v>
      </c>
      <c r="K14" s="147">
        <v>19126</v>
      </c>
      <c r="L14" s="147">
        <v>20109</v>
      </c>
      <c r="M14" s="147">
        <v>34393</v>
      </c>
      <c r="N14" s="147">
        <v>38519</v>
      </c>
      <c r="O14" s="147">
        <v>46692</v>
      </c>
      <c r="P14" s="147">
        <v>54601</v>
      </c>
      <c r="Q14" s="118">
        <f t="shared" ref="Q14" si="23">((P14/G14)^(1/($H$2-$H$1) ))-1</f>
        <v>0.25186011828072252</v>
      </c>
      <c r="R14" s="31">
        <f t="shared" si="6"/>
        <v>0.08</v>
      </c>
      <c r="S14" s="154">
        <f t="shared" ref="S14" si="24">P14*(1+$R14)</f>
        <v>58969.08</v>
      </c>
      <c r="T14" s="154">
        <f t="shared" ref="T14" si="25">S14*(1+$R14)</f>
        <v>63686.606400000004</v>
      </c>
      <c r="U14" s="154">
        <f t="shared" ref="U14" si="26">T14*(1+$R14)</f>
        <v>68781.534912000003</v>
      </c>
      <c r="V14" s="154">
        <f t="shared" ref="V14" si="27">U14*(1+$R14)</f>
        <v>74284.057704960011</v>
      </c>
      <c r="W14" s="154">
        <f t="shared" ref="W14" si="28">V14*(1+$R14)</f>
        <v>80226.782321356819</v>
      </c>
      <c r="X14" s="154">
        <f t="shared" ref="X14" si="29">W14*(1+$R14)</f>
        <v>86644.924907065375</v>
      </c>
      <c r="Y14" s="154">
        <f t="shared" ref="Y14" si="30">X14*(1+$R14)</f>
        <v>93576.51889963061</v>
      </c>
      <c r="Z14" s="154">
        <f t="shared" ref="Z14" si="31">Y14*(1+$R14)</f>
        <v>101062.64041160107</v>
      </c>
      <c r="AA14" s="154">
        <f t="shared" ref="AA14" si="32">Z14*(1+$R14)</f>
        <v>109147.65164452916</v>
      </c>
      <c r="AB14" s="154">
        <f t="shared" ref="AB14" si="33">AA14*(1+$R14)</f>
        <v>117879.46377609151</v>
      </c>
      <c r="AC14" s="138">
        <f t="shared" ref="AC14" si="34">((AB14/G14)^(1/($AB$3-$H$1) ))-1</f>
        <v>0.15824942750716708</v>
      </c>
      <c r="AD14" s="31">
        <f t="shared" si="17"/>
        <v>0.04</v>
      </c>
      <c r="AE14" s="146">
        <f t="shared" ref="AE14" si="35">(AB14*(1+AD14))/($C$1-AD14)</f>
        <v>681081.34626186208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10773</v>
      </c>
      <c r="H15" s="147">
        <v>11726</v>
      </c>
      <c r="I15" s="147">
        <v>14956</v>
      </c>
      <c r="J15" s="147">
        <v>16697</v>
      </c>
      <c r="K15" s="147">
        <v>25583</v>
      </c>
      <c r="L15" s="147">
        <v>59842</v>
      </c>
      <c r="M15" s="147">
        <v>74104</v>
      </c>
      <c r="N15" s="147">
        <v>104119</v>
      </c>
      <c r="O15" s="147">
        <v>124916</v>
      </c>
      <c r="P15" s="147">
        <v>136070</v>
      </c>
      <c r="Q15" s="118">
        <f t="shared" si="5"/>
        <v>0.32550275918844718</v>
      </c>
      <c r="R15" s="31">
        <f t="shared" si="6"/>
        <v>0.08</v>
      </c>
      <c r="S15" s="154">
        <f t="shared" si="2"/>
        <v>146955.6</v>
      </c>
      <c r="T15" s="154">
        <f t="shared" ref="T15:AB15" si="36">S15*(1+$R15)</f>
        <v>158712.04800000001</v>
      </c>
      <c r="U15" s="154">
        <f t="shared" si="36"/>
        <v>171409.01184000002</v>
      </c>
      <c r="V15" s="154">
        <f t="shared" si="36"/>
        <v>185121.73278720005</v>
      </c>
      <c r="W15" s="154">
        <f t="shared" si="36"/>
        <v>199931.47141017608</v>
      </c>
      <c r="X15" s="154">
        <f t="shared" si="36"/>
        <v>215925.98912299017</v>
      </c>
      <c r="Y15" s="154">
        <f t="shared" si="36"/>
        <v>233200.0682528294</v>
      </c>
      <c r="Z15" s="154">
        <f t="shared" si="36"/>
        <v>251856.07371305575</v>
      </c>
      <c r="AA15" s="154">
        <f t="shared" si="36"/>
        <v>272004.55961010023</v>
      </c>
      <c r="AB15" s="154">
        <f t="shared" si="36"/>
        <v>293764.92437890824</v>
      </c>
      <c r="AC15" s="138">
        <f t="shared" si="19"/>
        <v>0.19003908470789033</v>
      </c>
      <c r="AD15" s="31">
        <f t="shared" si="17"/>
        <v>0.04</v>
      </c>
      <c r="AE15" s="146">
        <f t="shared" si="1"/>
        <v>1697308.4519670254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2360</v>
      </c>
      <c r="H16" s="147">
        <v>1702</v>
      </c>
      <c r="I16" s="147">
        <v>2968</v>
      </c>
      <c r="J16" s="147">
        <v>5873</v>
      </c>
      <c r="K16" s="147">
        <v>16823</v>
      </c>
      <c r="L16" s="147">
        <v>10322</v>
      </c>
      <c r="M16" s="147">
        <v>19815</v>
      </c>
      <c r="N16" s="147">
        <v>34194</v>
      </c>
      <c r="O16" s="147">
        <v>47845</v>
      </c>
      <c r="P16" s="147">
        <v>46039</v>
      </c>
      <c r="Q16" s="118">
        <f t="shared" si="5"/>
        <v>0.39109598661837897</v>
      </c>
      <c r="R16" s="31">
        <f t="shared" si="6"/>
        <v>0.08</v>
      </c>
      <c r="S16" s="154">
        <f t="shared" si="2"/>
        <v>49722.12</v>
      </c>
      <c r="T16" s="154">
        <f t="shared" ref="T16:AB16" si="37">S16*(1+$R16)</f>
        <v>53699.88960000001</v>
      </c>
      <c r="U16" s="154">
        <f t="shared" si="37"/>
        <v>57995.880768000017</v>
      </c>
      <c r="V16" s="154">
        <f t="shared" si="37"/>
        <v>62635.551229440025</v>
      </c>
      <c r="W16" s="154">
        <f t="shared" si="37"/>
        <v>67646.395327795239</v>
      </c>
      <c r="X16" s="154">
        <f t="shared" si="37"/>
        <v>73058.106954018862</v>
      </c>
      <c r="Y16" s="154">
        <f t="shared" si="37"/>
        <v>78902.755510340372</v>
      </c>
      <c r="Z16" s="154">
        <f t="shared" si="37"/>
        <v>85214.975951167609</v>
      </c>
      <c r="AA16" s="154">
        <f t="shared" si="37"/>
        <v>92032.174027261019</v>
      </c>
      <c r="AB16" s="154">
        <f t="shared" si="37"/>
        <v>99394.747949441909</v>
      </c>
      <c r="AC16" s="138">
        <f t="shared" si="19"/>
        <v>0.21757982654210317</v>
      </c>
      <c r="AD16" s="31">
        <f t="shared" si="17"/>
        <v>0.04</v>
      </c>
      <c r="AE16" s="146">
        <f t="shared" si="1"/>
        <v>574280.76593010884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31855</v>
      </c>
      <c r="H18" s="147">
        <v>30254</v>
      </c>
      <c r="I18" s="147">
        <v>56290</v>
      </c>
      <c r="J18" s="147">
        <v>64822</v>
      </c>
      <c r="K18" s="147">
        <v>64061</v>
      </c>
      <c r="L18" s="147">
        <v>107044</v>
      </c>
      <c r="M18" s="147">
        <v>160191</v>
      </c>
      <c r="N18" s="147">
        <v>158099</v>
      </c>
      <c r="O18" s="147">
        <v>157682</v>
      </c>
      <c r="P18" s="147">
        <v>166248</v>
      </c>
      <c r="Q18" s="118">
        <f>((P18/G18)^(1/($H$2-$H$1) ))-1</f>
        <v>0.20151993279274949</v>
      </c>
      <c r="R18" s="31">
        <f t="shared" si="6"/>
        <v>0.08</v>
      </c>
      <c r="S18" s="154">
        <f t="shared" ref="S18:S34" si="38">P18*(1+$R18)</f>
        <v>179547.84000000003</v>
      </c>
      <c r="T18" s="154">
        <f t="shared" ref="T18:T34" si="39">S18*(1+$R18)</f>
        <v>193911.66720000005</v>
      </c>
      <c r="U18" s="154">
        <f t="shared" ref="U18:U34" si="40">T18*(1+$R18)</f>
        <v>209424.60057600008</v>
      </c>
      <c r="V18" s="154">
        <f t="shared" ref="V18:V34" si="41">U18*(1+$R18)</f>
        <v>226178.56862208011</v>
      </c>
      <c r="W18" s="154">
        <f t="shared" ref="W18:W36" si="42">V18*(1+$R18)</f>
        <v>244272.85411184654</v>
      </c>
      <c r="X18" s="154">
        <f t="shared" ref="X18:X36" si="43">W18*(1+$R18)</f>
        <v>263814.68244079425</v>
      </c>
      <c r="Y18" s="154">
        <f t="shared" ref="Y18:Y36" si="44">X18*(1+$R18)</f>
        <v>284919.8570360578</v>
      </c>
      <c r="Z18" s="154">
        <f t="shared" ref="Z18:Z36" si="45">Y18*(1+$R18)</f>
        <v>307713.44559894246</v>
      </c>
      <c r="AA18" s="154">
        <f t="shared" ref="AA18:AA36" si="46">Z18*(1+$R18)</f>
        <v>332330.52124685788</v>
      </c>
      <c r="AB18" s="154">
        <f t="shared" ref="AB18:AB36" si="47">AA18*(1+$R18)</f>
        <v>358916.96294660651</v>
      </c>
      <c r="AC18" s="138">
        <f t="shared" si="19"/>
        <v>0.13594879861459219</v>
      </c>
      <c r="AD18" s="31">
        <f t="shared" si="17"/>
        <v>0.04</v>
      </c>
      <c r="AE18" s="146">
        <f t="shared" si="1"/>
        <v>2073742.4525803933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>
        <v>11668</v>
      </c>
      <c r="H20" s="147">
        <v>17305</v>
      </c>
      <c r="I20" s="147">
        <v>10273</v>
      </c>
      <c r="J20" s="147">
        <v>16748</v>
      </c>
      <c r="K20" s="147">
        <v>16233</v>
      </c>
      <c r="L20" s="147">
        <v>16287</v>
      </c>
      <c r="M20" s="147">
        <v>20494</v>
      </c>
      <c r="N20" s="147">
        <v>33338</v>
      </c>
      <c r="O20" s="147">
        <v>24483</v>
      </c>
      <c r="P20" s="147">
        <v>36918</v>
      </c>
      <c r="Q20" s="118">
        <f>((P20/G20)^(1/($H$2-$H$1) ))-1</f>
        <v>0.13653395738299268</v>
      </c>
      <c r="R20" s="31">
        <f t="shared" si="6"/>
        <v>0.08</v>
      </c>
      <c r="S20" s="154">
        <f t="shared" ref="S20:S22" si="48">P20*(1+$R20)</f>
        <v>39871.440000000002</v>
      </c>
      <c r="T20" s="154">
        <f t="shared" ref="T20:T22" si="49">S20*(1+$R20)</f>
        <v>43061.155200000008</v>
      </c>
      <c r="U20" s="154">
        <f t="shared" ref="U20:U22" si="50">T20*(1+$R20)</f>
        <v>46506.047616000011</v>
      </c>
      <c r="V20" s="154">
        <f t="shared" ref="V20:V22" si="51">U20*(1+$R20)</f>
        <v>50226.531425280016</v>
      </c>
      <c r="W20" s="154">
        <f t="shared" ref="W20:W22" si="52">V20*(1+$R20)</f>
        <v>54244.653939302421</v>
      </c>
      <c r="X20" s="154">
        <f t="shared" ref="X20:X22" si="53">W20*(1+$R20)</f>
        <v>58584.226254446621</v>
      </c>
      <c r="Y20" s="154">
        <f t="shared" ref="Y20:Y22" si="54">X20*(1+$R20)</f>
        <v>63270.964354802352</v>
      </c>
      <c r="Z20" s="154">
        <f t="shared" ref="Z20:Z22" si="55">Y20*(1+$R20)</f>
        <v>68332.641503186547</v>
      </c>
      <c r="AA20" s="154">
        <f t="shared" ref="AA20:AA22" si="56">Z20*(1+$R20)</f>
        <v>73799.252823441479</v>
      </c>
      <c r="AB20" s="154">
        <f t="shared" ref="AB20:AB22" si="57">AA20*(1+$R20)</f>
        <v>79703.193049316804</v>
      </c>
      <c r="AC20" s="138">
        <f t="shared" ref="AC20:AC22" si="58">((AB20/G20)^(1/($AB$3-$H$1) ))-1</f>
        <v>0.10641986124283487</v>
      </c>
      <c r="AD20" s="31">
        <f t="shared" si="17"/>
        <v>0.04</v>
      </c>
      <c r="AE20" s="146">
        <f t="shared" si="1"/>
        <v>460507.33761827491</v>
      </c>
    </row>
    <row r="21" spans="2:31" x14ac:dyDescent="0.2">
      <c r="B21" s="20" t="s">
        <v>284</v>
      </c>
      <c r="C21" s="141"/>
      <c r="D21" s="141"/>
      <c r="E21" s="147"/>
      <c r="F21" s="147"/>
      <c r="G21" s="147">
        <v>-10500</v>
      </c>
      <c r="H21" s="147">
        <v>-8213</v>
      </c>
      <c r="I21" s="147">
        <v>-13189</v>
      </c>
      <c r="J21" s="147">
        <v>-29245</v>
      </c>
      <c r="K21" s="147">
        <v>-30425</v>
      </c>
      <c r="L21" s="147">
        <v>-23106</v>
      </c>
      <c r="M21" s="147">
        <v>-18230</v>
      </c>
      <c r="N21" s="147">
        <v>-32043</v>
      </c>
      <c r="O21" s="147">
        <v>-6301</v>
      </c>
      <c r="P21" s="147">
        <v>-27650</v>
      </c>
      <c r="Q21" s="118">
        <f>((P21/G21)^(1/($H$2-$H$1) ))-1</f>
        <v>0.11358371377139531</v>
      </c>
      <c r="R21" s="31">
        <f t="shared" si="6"/>
        <v>0.08</v>
      </c>
      <c r="S21" s="154">
        <f t="shared" si="48"/>
        <v>-29862.000000000004</v>
      </c>
      <c r="T21" s="154">
        <f t="shared" si="49"/>
        <v>-32250.960000000006</v>
      </c>
      <c r="U21" s="154">
        <f t="shared" si="50"/>
        <v>-34831.036800000009</v>
      </c>
      <c r="V21" s="154">
        <f t="shared" si="51"/>
        <v>-37617.519744000012</v>
      </c>
      <c r="W21" s="154">
        <f t="shared" si="52"/>
        <v>-40626.921323520015</v>
      </c>
      <c r="X21" s="154">
        <f t="shared" si="53"/>
        <v>-43877.075029401618</v>
      </c>
      <c r="Y21" s="154">
        <f t="shared" si="54"/>
        <v>-47387.241031753751</v>
      </c>
      <c r="Z21" s="154">
        <f t="shared" si="55"/>
        <v>-51178.220314294056</v>
      </c>
      <c r="AA21" s="154">
        <f t="shared" si="56"/>
        <v>-55272.477939437587</v>
      </c>
      <c r="AB21" s="154">
        <f t="shared" si="57"/>
        <v>-59694.276174592596</v>
      </c>
      <c r="AC21" s="138">
        <f t="shared" si="58"/>
        <v>9.5779916468039294E-2</v>
      </c>
      <c r="AD21" s="31">
        <f t="shared" si="17"/>
        <v>0.04</v>
      </c>
      <c r="AE21" s="146">
        <f t="shared" si="1"/>
        <v>-344900.26234209054</v>
      </c>
    </row>
    <row r="22" spans="2:31" x14ac:dyDescent="0.2">
      <c r="B22" s="20" t="s">
        <v>285</v>
      </c>
      <c r="C22" s="141"/>
      <c r="D22" s="141"/>
      <c r="E22" s="147"/>
      <c r="F22" s="147"/>
      <c r="G22" s="147">
        <v>-1046</v>
      </c>
      <c r="H22" s="147">
        <v>-5706</v>
      </c>
      <c r="I22" s="147">
        <v>1916</v>
      </c>
      <c r="J22" s="147">
        <v>-10736</v>
      </c>
      <c r="K22" s="147">
        <v>16716</v>
      </c>
      <c r="L22" s="147">
        <v>25036</v>
      </c>
      <c r="M22" s="147">
        <v>-11133</v>
      </c>
      <c r="N22" s="147">
        <v>14949</v>
      </c>
      <c r="O22" s="147">
        <v>-7590</v>
      </c>
      <c r="P22" s="147">
        <v>408</v>
      </c>
      <c r="Q22" s="118">
        <f>((P22/G22)^(1/($H$2-$H$1) ))-1</f>
        <v>-1.9006785727531192</v>
      </c>
      <c r="R22" s="31">
        <f t="shared" si="6"/>
        <v>0.08</v>
      </c>
      <c r="S22" s="154">
        <f t="shared" si="48"/>
        <v>440.64000000000004</v>
      </c>
      <c r="T22" s="154">
        <f t="shared" si="49"/>
        <v>475.89120000000008</v>
      </c>
      <c r="U22" s="154">
        <f t="shared" si="50"/>
        <v>513.9624960000001</v>
      </c>
      <c r="V22" s="154">
        <f t="shared" si="51"/>
        <v>555.07949568000015</v>
      </c>
      <c r="W22" s="154">
        <f t="shared" si="52"/>
        <v>599.48585533440018</v>
      </c>
      <c r="X22" s="154">
        <f t="shared" si="53"/>
        <v>647.4447237611522</v>
      </c>
      <c r="Y22" s="154">
        <f t="shared" si="54"/>
        <v>699.24030166204443</v>
      </c>
      <c r="Z22" s="154">
        <f t="shared" si="55"/>
        <v>755.17952579500809</v>
      </c>
      <c r="AA22" s="154">
        <f t="shared" si="56"/>
        <v>815.59388785860881</v>
      </c>
      <c r="AB22" s="154">
        <f t="shared" si="57"/>
        <v>880.8413988872976</v>
      </c>
      <c r="AC22" s="138">
        <f t="shared" si="58"/>
        <v>-1.9909959885199942</v>
      </c>
      <c r="AD22" s="31">
        <f t="shared" si="17"/>
        <v>0.04</v>
      </c>
      <c r="AE22" s="146">
        <f t="shared" si="1"/>
        <v>5089.3058602377196</v>
      </c>
    </row>
    <row r="23" spans="2:31" x14ac:dyDescent="0.2">
      <c r="B23" s="20" t="s">
        <v>295</v>
      </c>
      <c r="C23" s="141"/>
      <c r="D23" s="141"/>
      <c r="E23" s="147"/>
      <c r="F23" s="147"/>
      <c r="G23" s="147">
        <v>270</v>
      </c>
      <c r="H23" s="147">
        <v>3610</v>
      </c>
      <c r="I23" s="147">
        <v>2616</v>
      </c>
      <c r="J23" s="147">
        <v>1937</v>
      </c>
      <c r="K23" s="147">
        <v>4474</v>
      </c>
      <c r="L23" s="147">
        <v>22742</v>
      </c>
      <c r="M23" s="147">
        <v>13890</v>
      </c>
      <c r="N23" s="147">
        <v>30139</v>
      </c>
      <c r="O23" s="147">
        <v>40731</v>
      </c>
      <c r="P23" s="147">
        <v>50456</v>
      </c>
      <c r="Q23" s="118">
        <f>((P23/G23)^(1/($H$2-$H$1) ))-1</f>
        <v>0.78811044192930235</v>
      </c>
      <c r="R23" s="31">
        <f t="shared" si="6"/>
        <v>0.08</v>
      </c>
      <c r="S23" s="154">
        <f t="shared" ref="S23" si="59">P23*(1+$R23)</f>
        <v>54492.480000000003</v>
      </c>
      <c r="T23" s="154">
        <f t="shared" ref="T23" si="60">S23*(1+$R23)</f>
        <v>58851.878400000009</v>
      </c>
      <c r="U23" s="154">
        <f t="shared" ref="U23" si="61">T23*(1+$R23)</f>
        <v>63560.028672000015</v>
      </c>
      <c r="V23" s="154">
        <f t="shared" ref="V23" si="62">U23*(1+$R23)</f>
        <v>68644.830965760018</v>
      </c>
      <c r="W23" s="154">
        <f t="shared" ref="W23" si="63">V23*(1+$R23)</f>
        <v>74136.417443020822</v>
      </c>
      <c r="X23" s="154">
        <f t="shared" ref="X23" si="64">W23*(1+$R23)</f>
        <v>80067.330838462498</v>
      </c>
      <c r="Y23" s="154">
        <f t="shared" ref="Y23" si="65">X23*(1+$R23)</f>
        <v>86472.717305539511</v>
      </c>
      <c r="Z23" s="154">
        <f t="shared" ref="Z23" si="66">Y23*(1+$R23)</f>
        <v>93390.534689982684</v>
      </c>
      <c r="AA23" s="154">
        <f t="shared" ref="AA23" si="67">Z23*(1+$R23)</f>
        <v>100861.77746518131</v>
      </c>
      <c r="AB23" s="154">
        <f t="shared" ref="AB23" si="68">AA23*(1+$R23)</f>
        <v>108930.71966239582</v>
      </c>
      <c r="AC23" s="138">
        <f t="shared" ref="AC23" si="69">((AB23/G23)^(1/($AB$3-$H$1) ))-1</f>
        <v>0.37134479859518388</v>
      </c>
      <c r="AD23" s="31">
        <f t="shared" si="17"/>
        <v>0.04</v>
      </c>
      <c r="AE23" s="146">
        <f t="shared" si="1"/>
        <v>629377.49138273136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52943</v>
      </c>
      <c r="H25" s="147">
        <v>67592</v>
      </c>
      <c r="I25" s="147">
        <v>85777</v>
      </c>
      <c r="J25" s="147">
        <v>114796</v>
      </c>
      <c r="K25" s="147">
        <v>145990</v>
      </c>
      <c r="L25" s="147">
        <v>154900</v>
      </c>
      <c r="M25" s="147">
        <v>220855</v>
      </c>
      <c r="N25" s="147">
        <v>272772</v>
      </c>
      <c r="O25" s="147">
        <v>367257</v>
      </c>
      <c r="P25" s="147">
        <v>409883</v>
      </c>
      <c r="Q25" s="118">
        <f>((P25/G25)^(1/($H$2-$H$1) ))-1</f>
        <v>0.25533969592264438</v>
      </c>
      <c r="R25" s="31">
        <f t="shared" si="6"/>
        <v>0.08</v>
      </c>
      <c r="S25" s="154">
        <f t="shared" si="38"/>
        <v>442673.64</v>
      </c>
      <c r="T25" s="154">
        <f t="shared" si="39"/>
        <v>478087.53120000003</v>
      </c>
      <c r="U25" s="154">
        <f t="shared" si="40"/>
        <v>516334.53369600006</v>
      </c>
      <c r="V25" s="154">
        <f t="shared" si="41"/>
        <v>557641.29639168014</v>
      </c>
      <c r="W25" s="154">
        <f t="shared" si="42"/>
        <v>602252.60010301461</v>
      </c>
      <c r="X25" s="154">
        <f t="shared" si="43"/>
        <v>650432.80811125587</v>
      </c>
      <c r="Y25" s="154">
        <f t="shared" si="44"/>
        <v>702467.43276015634</v>
      </c>
      <c r="Z25" s="154">
        <f t="shared" si="45"/>
        <v>758664.82738096896</v>
      </c>
      <c r="AA25" s="154">
        <f t="shared" si="46"/>
        <v>819358.01357144653</v>
      </c>
      <c r="AB25" s="154">
        <f t="shared" si="47"/>
        <v>884906.65465716226</v>
      </c>
      <c r="AC25" s="138">
        <f t="shared" si="19"/>
        <v>0.15977328514596301</v>
      </c>
      <c r="AD25" s="31">
        <f t="shared" si="17"/>
        <v>0.04</v>
      </c>
      <c r="AE25" s="146">
        <f t="shared" si="1"/>
        <v>5112794.0046858275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0.21672683157770151</v>
      </c>
      <c r="I26" s="148">
        <f t="shared" ref="I26:P26" si="70">(I25-H25)/I25</f>
        <v>0.21200321764575586</v>
      </c>
      <c r="J26" s="148">
        <f t="shared" si="70"/>
        <v>0.25278755357329524</v>
      </c>
      <c r="K26" s="148">
        <f t="shared" si="70"/>
        <v>0.21367216932666622</v>
      </c>
      <c r="L26" s="148">
        <f t="shared" si="70"/>
        <v>5.7520981278244031E-2</v>
      </c>
      <c r="M26" s="148">
        <f t="shared" si="70"/>
        <v>0.29863485092028708</v>
      </c>
      <c r="N26" s="148">
        <f t="shared" si="70"/>
        <v>0.19033111902981245</v>
      </c>
      <c r="O26" s="148">
        <f t="shared" si="70"/>
        <v>0.2572721554660633</v>
      </c>
      <c r="P26" s="148">
        <f t="shared" si="70"/>
        <v>0.10399553043185494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41890</v>
      </c>
      <c r="H27" s="147">
        <v>53237</v>
      </c>
      <c r="I27" s="147">
        <v>70298</v>
      </c>
      <c r="J27" s="147">
        <v>93894</v>
      </c>
      <c r="K27" s="147">
        <v>116707</v>
      </c>
      <c r="L27" s="147">
        <v>129232</v>
      </c>
      <c r="M27" s="147">
        <v>179153</v>
      </c>
      <c r="N27" s="147">
        <v>232169</v>
      </c>
      <c r="O27" s="147">
        <v>326554</v>
      </c>
      <c r="P27" s="147">
        <v>368971</v>
      </c>
      <c r="Q27" s="118">
        <f>((P27/G27)^(1/($H$2-$H$1) ))-1</f>
        <v>0.27346459383452504</v>
      </c>
      <c r="R27" s="31">
        <f t="shared" si="6"/>
        <v>0.08</v>
      </c>
      <c r="S27" s="154">
        <f t="shared" si="38"/>
        <v>398488.68000000005</v>
      </c>
      <c r="T27" s="154">
        <f t="shared" si="39"/>
        <v>430367.77440000011</v>
      </c>
      <c r="U27" s="154">
        <f t="shared" si="40"/>
        <v>464797.19635200017</v>
      </c>
      <c r="V27" s="154">
        <f t="shared" si="41"/>
        <v>501980.97206016025</v>
      </c>
      <c r="W27" s="154">
        <f t="shared" si="42"/>
        <v>542139.44982497313</v>
      </c>
      <c r="X27" s="154">
        <f t="shared" si="43"/>
        <v>585510.605810971</v>
      </c>
      <c r="Y27" s="154">
        <f t="shared" si="44"/>
        <v>632351.45427584869</v>
      </c>
      <c r="Z27" s="154">
        <f t="shared" si="45"/>
        <v>682939.57061791664</v>
      </c>
      <c r="AA27" s="154">
        <f t="shared" si="46"/>
        <v>737574.73626735003</v>
      </c>
      <c r="AB27" s="154">
        <f t="shared" si="47"/>
        <v>796580.71516873804</v>
      </c>
      <c r="AC27" s="138">
        <f t="shared" si="19"/>
        <v>0.16767525034930331</v>
      </c>
      <c r="AD27" s="31">
        <f t="shared" si="17"/>
        <v>0.04</v>
      </c>
      <c r="AE27" s="146">
        <f t="shared" si="1"/>
        <v>4602466.3543082643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P28" si="71">(G27-F27)/G27</f>
        <v>1</v>
      </c>
      <c r="H28" s="148">
        <f t="shared" si="71"/>
        <v>0.21314123635817195</v>
      </c>
      <c r="I28" s="148">
        <f t="shared" si="71"/>
        <v>0.24269538251443853</v>
      </c>
      <c r="J28" s="148">
        <f t="shared" si="71"/>
        <v>0.25130466270475216</v>
      </c>
      <c r="K28" s="148">
        <f t="shared" si="71"/>
        <v>0.1954724223911162</v>
      </c>
      <c r="L28" s="148">
        <f t="shared" si="71"/>
        <v>9.6918719821715987E-2</v>
      </c>
      <c r="M28" s="148">
        <f t="shared" si="71"/>
        <v>0.27865009237913962</v>
      </c>
      <c r="N28" s="148">
        <f t="shared" si="71"/>
        <v>0.22835089956023413</v>
      </c>
      <c r="O28" s="148">
        <f t="shared" si="71"/>
        <v>0.28903336048555522</v>
      </c>
      <c r="P28" s="148">
        <f t="shared" si="71"/>
        <v>0.11496025432893101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1464</v>
      </c>
      <c r="H29" s="147">
        <v>1492</v>
      </c>
      <c r="I29" s="147">
        <v>951</v>
      </c>
      <c r="J29" s="147">
        <v>1345</v>
      </c>
      <c r="K29" s="147">
        <v>1257</v>
      </c>
      <c r="L29" s="147">
        <v>2133</v>
      </c>
      <c r="M29" s="147">
        <v>2063</v>
      </c>
      <c r="N29" s="147">
        <v>2413</v>
      </c>
      <c r="O29" s="147">
        <v>2894</v>
      </c>
      <c r="P29" s="147">
        <v>2643</v>
      </c>
      <c r="Q29" s="118">
        <f>((P29/G29)^(1/($H$2-$H$1) ))-1</f>
        <v>6.7840115190894945E-2</v>
      </c>
      <c r="R29" s="31">
        <f t="shared" si="6"/>
        <v>0.08</v>
      </c>
      <c r="S29" s="154">
        <f t="shared" ref="S29" si="72">P29*(1+$R29)</f>
        <v>2854.44</v>
      </c>
      <c r="T29" s="154">
        <f t="shared" ref="T29" si="73">S29*(1+$R29)</f>
        <v>3082.7952000000005</v>
      </c>
      <c r="U29" s="154">
        <f t="shared" ref="U29" si="74">T29*(1+$R29)</f>
        <v>3329.4188160000008</v>
      </c>
      <c r="V29" s="154">
        <f t="shared" ref="V29" si="75">U29*(1+$R29)</f>
        <v>3595.7723212800011</v>
      </c>
      <c r="W29" s="154">
        <f t="shared" ref="W29" si="76">V29*(1+$R29)</f>
        <v>3883.4341069824013</v>
      </c>
      <c r="X29" s="154">
        <f t="shared" ref="X29" si="77">W29*(1+$R29)</f>
        <v>4194.1088355409938</v>
      </c>
      <c r="Y29" s="154">
        <f t="shared" ref="Y29" si="78">X29*(1+$R29)</f>
        <v>4529.6375423842737</v>
      </c>
      <c r="Z29" s="154">
        <f t="shared" ref="Z29" si="79">Y29*(1+$R29)</f>
        <v>4892.0085457750156</v>
      </c>
      <c r="AA29" s="154">
        <f t="shared" ref="AA29" si="80">Z29*(1+$R29)</f>
        <v>5283.3692294370176</v>
      </c>
      <c r="AB29" s="154">
        <f t="shared" ref="AB29" si="81">AA29*(1+$R29)</f>
        <v>5706.0387677919789</v>
      </c>
      <c r="AC29" s="138">
        <f t="shared" ref="AC29" si="82">((AB29/G29)^(1/($AB$3-$H$1) ))-1</f>
        <v>7.4222889758195798E-2</v>
      </c>
      <c r="AD29" s="31">
        <f t="shared" si="17"/>
        <v>0.04</v>
      </c>
      <c r="AE29" s="146">
        <f t="shared" ref="AE29" si="83">(AB29*(1+AD29))/($C$1-AD29)</f>
        <v>32968.223991686995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P30" si="84">(G29-F29)/G29</f>
        <v>1</v>
      </c>
      <c r="H30" s="148">
        <f t="shared" si="84"/>
        <v>1.876675603217158E-2</v>
      </c>
      <c r="I30" s="148">
        <f t="shared" si="84"/>
        <v>-0.56887486855941116</v>
      </c>
      <c r="J30" s="148">
        <f t="shared" si="84"/>
        <v>0.29293680297397767</v>
      </c>
      <c r="K30" s="148">
        <f t="shared" si="84"/>
        <v>-7.0007955449482892E-2</v>
      </c>
      <c r="L30" s="148">
        <f t="shared" si="84"/>
        <v>0.41068917018284107</v>
      </c>
      <c r="M30" s="148">
        <f t="shared" si="84"/>
        <v>-3.3931168201648085E-2</v>
      </c>
      <c r="N30" s="148">
        <f t="shared" si="84"/>
        <v>0.14504765851636967</v>
      </c>
      <c r="O30" s="148">
        <f t="shared" si="84"/>
        <v>0.16620594333102973</v>
      </c>
      <c r="P30" s="148">
        <f t="shared" si="84"/>
        <v>-9.4967839576239124E-2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0.08</v>
      </c>
      <c r="S31" s="154">
        <f>P31*(1+$R31)</f>
        <v>0</v>
      </c>
      <c r="T31" s="154">
        <f>S31*(1+$R31)</f>
        <v>0</v>
      </c>
      <c r="U31" s="154">
        <f t="shared" ref="U31:AB32" si="85">T31*(1+$R31)</f>
        <v>0</v>
      </c>
      <c r="V31" s="154">
        <f t="shared" si="85"/>
        <v>0</v>
      </c>
      <c r="W31" s="154">
        <f t="shared" si="85"/>
        <v>0</v>
      </c>
      <c r="X31" s="154">
        <f t="shared" si="85"/>
        <v>0</v>
      </c>
      <c r="Y31" s="154">
        <f t="shared" si="85"/>
        <v>0</v>
      </c>
      <c r="Z31" s="154">
        <f t="shared" si="85"/>
        <v>0</v>
      </c>
      <c r="AA31" s="154">
        <f t="shared" si="85"/>
        <v>0</v>
      </c>
      <c r="AB31" s="154">
        <f t="shared" si="85"/>
        <v>0</v>
      </c>
      <c r="AC31" s="138" t="e">
        <f t="shared" ref="AC31" si="86">((AB31/G31)^(1/($AB$3-$H$1) ))-1</f>
        <v>#DIV/0!</v>
      </c>
      <c r="AD31" s="31">
        <f t="shared" si="17"/>
        <v>0.04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0.08</v>
      </c>
      <c r="S32" s="154">
        <f>P32*(1+$R32)</f>
        <v>0</v>
      </c>
      <c r="T32" s="154">
        <f>S32*(1+$R32)</f>
        <v>0</v>
      </c>
      <c r="U32" s="154">
        <f t="shared" si="85"/>
        <v>0</v>
      </c>
      <c r="V32" s="154">
        <f t="shared" si="85"/>
        <v>0</v>
      </c>
      <c r="W32" s="154">
        <f t="shared" si="85"/>
        <v>0</v>
      </c>
      <c r="X32" s="154">
        <f t="shared" si="85"/>
        <v>0</v>
      </c>
      <c r="Y32" s="154">
        <f t="shared" si="85"/>
        <v>0</v>
      </c>
      <c r="Z32" s="154">
        <f t="shared" si="85"/>
        <v>0</v>
      </c>
      <c r="AA32" s="154">
        <f t="shared" si="85"/>
        <v>0</v>
      </c>
      <c r="AB32" s="154">
        <f t="shared" si="85"/>
        <v>0</v>
      </c>
      <c r="AC32" s="138" t="e">
        <f t="shared" ref="AC32" si="87">((AB32/G32)^(1/($AB$3-$H$1) ))-1</f>
        <v>#DIV/0!</v>
      </c>
      <c r="AD32" s="31">
        <f t="shared" si="17"/>
        <v>0.04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36186</v>
      </c>
      <c r="H33" s="147">
        <v>47418</v>
      </c>
      <c r="I33" s="147">
        <v>60564</v>
      </c>
      <c r="J33" s="147">
        <v>81815</v>
      </c>
      <c r="K33" s="147">
        <v>103564</v>
      </c>
      <c r="L33" s="147">
        <v>117294</v>
      </c>
      <c r="M33" s="147">
        <v>164277</v>
      </c>
      <c r="N33" s="147">
        <v>212677</v>
      </c>
      <c r="O33" s="147">
        <v>304978</v>
      </c>
      <c r="P33" s="147">
        <v>341489</v>
      </c>
      <c r="Q33" s="118">
        <f>((P33/G33)^(1/($H$2-$H$1) ))-1</f>
        <v>0.28326138701732262</v>
      </c>
      <c r="R33" s="31">
        <f t="shared" si="6"/>
        <v>0.08</v>
      </c>
      <c r="S33" s="154">
        <f t="shared" si="38"/>
        <v>368808.12</v>
      </c>
      <c r="T33" s="154">
        <f t="shared" si="39"/>
        <v>398312.7696</v>
      </c>
      <c r="U33" s="154">
        <f t="shared" si="40"/>
        <v>430177.79116800003</v>
      </c>
      <c r="V33" s="154">
        <f t="shared" si="41"/>
        <v>464592.01446144003</v>
      </c>
      <c r="W33" s="154">
        <f t="shared" si="42"/>
        <v>501759.37561835529</v>
      </c>
      <c r="X33" s="154">
        <f t="shared" si="43"/>
        <v>541900.12566782371</v>
      </c>
      <c r="Y33" s="154">
        <f t="shared" si="44"/>
        <v>585252.13572124962</v>
      </c>
      <c r="Z33" s="154">
        <f t="shared" si="45"/>
        <v>632072.30657894968</v>
      </c>
      <c r="AA33" s="154">
        <f t="shared" si="46"/>
        <v>682638.09110526566</v>
      </c>
      <c r="AB33" s="154">
        <f t="shared" si="47"/>
        <v>737249.13839368697</v>
      </c>
      <c r="AC33" s="138">
        <f t="shared" si="19"/>
        <v>0.17192175269856969</v>
      </c>
      <c r="AD33" s="31">
        <f t="shared" si="17"/>
        <v>0.04</v>
      </c>
      <c r="AE33" s="146">
        <f t="shared" si="1"/>
        <v>4259661.6884968579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725</v>
      </c>
      <c r="H34" s="147">
        <v>907</v>
      </c>
      <c r="I34" s="147">
        <v>1146</v>
      </c>
      <c r="J34" s="147">
        <v>2262</v>
      </c>
      <c r="K34" s="147">
        <v>2108</v>
      </c>
      <c r="L34" s="147">
        <v>3848</v>
      </c>
      <c r="M34" s="147">
        <v>3140</v>
      </c>
      <c r="N34" s="147">
        <v>2834</v>
      </c>
      <c r="O34" s="147">
        <v>4740</v>
      </c>
      <c r="P34" s="147">
        <v>7993</v>
      </c>
      <c r="Q34" s="118">
        <f>((P34/G34)^(1/($H$2-$H$1) ))-1</f>
        <v>0.30562690081920141</v>
      </c>
      <c r="R34" s="31">
        <f t="shared" si="6"/>
        <v>0.08</v>
      </c>
      <c r="S34" s="154">
        <f t="shared" si="38"/>
        <v>8632.44</v>
      </c>
      <c r="T34" s="154">
        <f t="shared" si="39"/>
        <v>9323.0352000000003</v>
      </c>
      <c r="U34" s="154">
        <f t="shared" si="40"/>
        <v>10068.878016000001</v>
      </c>
      <c r="V34" s="154">
        <f t="shared" si="41"/>
        <v>10874.388257280001</v>
      </c>
      <c r="W34" s="154">
        <f t="shared" si="42"/>
        <v>11744.339317862403</v>
      </c>
      <c r="X34" s="154">
        <f t="shared" si="43"/>
        <v>12683.886463291396</v>
      </c>
      <c r="Y34" s="154">
        <f t="shared" si="44"/>
        <v>13698.597380354708</v>
      </c>
      <c r="Z34" s="154">
        <f t="shared" si="45"/>
        <v>14794.485170783086</v>
      </c>
      <c r="AA34" s="154">
        <f t="shared" si="46"/>
        <v>15978.043984445734</v>
      </c>
      <c r="AB34" s="154">
        <f t="shared" si="47"/>
        <v>17256.287503201394</v>
      </c>
      <c r="AC34" s="138">
        <f t="shared" si="19"/>
        <v>0.18155277436112538</v>
      </c>
      <c r="AD34" s="31">
        <f t="shared" si="17"/>
        <v>0.04</v>
      </c>
      <c r="AE34" s="146">
        <f t="shared" si="1"/>
        <v>99702.994462941395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9577</v>
      </c>
      <c r="H36" s="147">
        <v>12703</v>
      </c>
      <c r="I36" s="147">
        <v>14512</v>
      </c>
      <c r="J36" s="147">
        <v>20578</v>
      </c>
      <c r="K36" s="147">
        <v>22335</v>
      </c>
      <c r="L36" s="147">
        <v>24372</v>
      </c>
      <c r="M36" s="147">
        <v>30252</v>
      </c>
      <c r="N36" s="147">
        <v>38004</v>
      </c>
      <c r="O36" s="147">
        <v>34819</v>
      </c>
      <c r="P36" s="147">
        <v>33045</v>
      </c>
      <c r="Q36" s="118">
        <f>((P36/G36)^(1/($H$2-$H$1) ))-1</f>
        <v>0.14752995164664484</v>
      </c>
      <c r="R36" s="31">
        <f t="shared" si="6"/>
        <v>0.08</v>
      </c>
      <c r="S36" s="154">
        <f t="shared" ref="S36" si="88">P36*(1+$R36)</f>
        <v>35688.600000000006</v>
      </c>
      <c r="T36" s="154">
        <f t="shared" ref="T36" si="89">S36*(1+$R36)</f>
        <v>38543.688000000009</v>
      </c>
      <c r="U36" s="154">
        <f t="shared" ref="U36" si="90">T36*(1+$R36)</f>
        <v>41627.183040000011</v>
      </c>
      <c r="V36" s="154">
        <f t="shared" ref="V36" si="91">U36*(1+$R36)</f>
        <v>44957.357683200018</v>
      </c>
      <c r="W36" s="154">
        <f t="shared" si="42"/>
        <v>48553.946297856026</v>
      </c>
      <c r="X36" s="154">
        <f t="shared" si="43"/>
        <v>52438.26200168451</v>
      </c>
      <c r="Y36" s="154">
        <f t="shared" si="44"/>
        <v>56633.322961819278</v>
      </c>
      <c r="Z36" s="154">
        <f t="shared" si="45"/>
        <v>61163.988798764825</v>
      </c>
      <c r="AA36" s="154">
        <f t="shared" si="46"/>
        <v>66057.107902666015</v>
      </c>
      <c r="AB36" s="154">
        <f t="shared" si="47"/>
        <v>71341.676534879298</v>
      </c>
      <c r="AC36" s="138">
        <f t="shared" si="19"/>
        <v>0.11147763308490655</v>
      </c>
      <c r="AD36" s="31">
        <f t="shared" si="17"/>
        <v>0.04</v>
      </c>
      <c r="AE36" s="146">
        <f t="shared" si="1"/>
        <v>412196.35331263597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92">(G36-F36)/G36</f>
        <v>1</v>
      </c>
      <c r="H37" s="148">
        <f t="shared" ref="H37" si="93">(H36-G36)/H36</f>
        <v>0.2460836022986696</v>
      </c>
      <c r="I37" s="148">
        <f t="shared" ref="I37" si="94">(I36-H36)/I36</f>
        <v>0.12465545755237045</v>
      </c>
      <c r="J37" s="148">
        <f t="shared" ref="J37" si="95">(J36-I36)/J36</f>
        <v>0.29478083390028187</v>
      </c>
      <c r="K37" s="148">
        <f t="shared" ref="K37" si="96">(K36-J36)/K36</f>
        <v>7.8665771211103644E-2</v>
      </c>
      <c r="L37" s="148">
        <f t="shared" ref="L37" si="97">(L36-K36)/L36</f>
        <v>8.3579517479074342E-2</v>
      </c>
      <c r="M37" s="148">
        <f t="shared" ref="M37" si="98">(M36-L36)/M36</f>
        <v>0.19436731455771519</v>
      </c>
      <c r="N37" s="148">
        <f t="shared" ref="N37" si="99">(N36-M36)/N36</f>
        <v>0.20397852857593937</v>
      </c>
      <c r="O37" s="148">
        <f t="shared" ref="O37" si="100">(O36-N36)/O36</f>
        <v>-9.1473046325282178E-2</v>
      </c>
      <c r="P37" s="148">
        <f t="shared" ref="P37" si="101">(P36-O36)/P36</f>
        <v>-5.368436979875927E-2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18" t="e">
        <f>((P38/G38)^(1/($H$2-$H$1) ))-1</f>
        <v>#DIV/0!</v>
      </c>
      <c r="R38" s="31">
        <f t="shared" si="6"/>
        <v>0.08</v>
      </c>
      <c r="S38" s="154">
        <f t="shared" ref="S38" si="102">P38*(1+$R38)</f>
        <v>0</v>
      </c>
      <c r="T38" s="154">
        <f t="shared" ref="T38" si="103">S38*(1+$R38)</f>
        <v>0</v>
      </c>
      <c r="U38" s="154">
        <f t="shared" ref="U38" si="104">T38*(1+$R38)</f>
        <v>0</v>
      </c>
      <c r="V38" s="154">
        <f t="shared" ref="V38" si="105">U38*(1+$R38)</f>
        <v>0</v>
      </c>
      <c r="W38" s="154">
        <f t="shared" ref="W38" si="106">V38*(1+$R38)</f>
        <v>0</v>
      </c>
      <c r="X38" s="154">
        <f t="shared" ref="X38" si="107">W38*(1+$R38)</f>
        <v>0</v>
      </c>
      <c r="Y38" s="154">
        <f t="shared" ref="Y38" si="108">X38*(1+$R38)</f>
        <v>0</v>
      </c>
      <c r="Z38" s="154">
        <f t="shared" ref="Z38" si="109">Y38*(1+$R38)</f>
        <v>0</v>
      </c>
      <c r="AA38" s="154">
        <f t="shared" ref="AA38" si="110">Z38*(1+$R38)</f>
        <v>0</v>
      </c>
      <c r="AB38" s="154">
        <f t="shared" ref="AB38" si="111">AA38*(1+$R38)</f>
        <v>0</v>
      </c>
      <c r="AC38" s="138" t="e">
        <f t="shared" ref="AC38" si="112">((AB38/G38)^(1/($AB$3-$H$1) ))-1</f>
        <v>#DIV/0!</v>
      </c>
      <c r="AD38" s="31">
        <f t="shared" si="17"/>
        <v>0.04</v>
      </c>
      <c r="AE38" s="146">
        <f t="shared" ref="AE38" si="113">(AB38*(1+AD38))/($C$1-AD38)</f>
        <v>0</v>
      </c>
    </row>
    <row r="39" spans="2:31" s="123" customFormat="1" x14ac:dyDescent="0.2">
      <c r="B39" s="23"/>
      <c r="C39" s="149"/>
      <c r="D39" s="149"/>
      <c r="E39" s="150"/>
      <c r="F39" s="150"/>
      <c r="G39" s="148" t="e">
        <f t="shared" ref="G39" si="114">(G38-F38)/G38</f>
        <v>#DIV/0!</v>
      </c>
      <c r="H39" s="148" t="e">
        <f t="shared" ref="H39" si="115">(H38-G38)/H38</f>
        <v>#DIV/0!</v>
      </c>
      <c r="I39" s="148" t="e">
        <f t="shared" ref="I39" si="116">(I38-H38)/I38</f>
        <v>#DIV/0!</v>
      </c>
      <c r="J39" s="148" t="e">
        <f t="shared" ref="J39" si="117">(J38-I38)/J38</f>
        <v>#DIV/0!</v>
      </c>
      <c r="K39" s="148" t="e">
        <f t="shared" ref="K39" si="118">(K38-J38)/K38</f>
        <v>#DIV/0!</v>
      </c>
      <c r="L39" s="148" t="e">
        <f t="shared" ref="L39" si="119">(L38-K38)/L38</f>
        <v>#DIV/0!</v>
      </c>
      <c r="M39" s="148" t="e">
        <f t="shared" ref="M39" si="120">(M38-L38)/M38</f>
        <v>#DIV/0!</v>
      </c>
      <c r="N39" s="148" t="e">
        <f t="shared" ref="N39" si="121">(N38-M38)/N38</f>
        <v>#DIV/0!</v>
      </c>
      <c r="O39" s="148" t="e">
        <f t="shared" ref="O39" si="122">(O38-N38)/O38</f>
        <v>#DIV/0!</v>
      </c>
      <c r="P39" s="148" t="e">
        <f t="shared" ref="P39" si="123">(P38-O38)/P38</f>
        <v>#DIV/0!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>
        <v>5168</v>
      </c>
      <c r="H40" s="147">
        <v>7628</v>
      </c>
      <c r="I40" s="147">
        <v>9394</v>
      </c>
      <c r="J40" s="147">
        <v>12074</v>
      </c>
      <c r="K40" s="147">
        <v>19523</v>
      </c>
      <c r="L40" s="147">
        <v>14950</v>
      </c>
      <c r="M40" s="147">
        <v>24423</v>
      </c>
      <c r="N40" s="147">
        <v>19271</v>
      </c>
      <c r="O40" s="147">
        <v>19717</v>
      </c>
      <c r="P40" s="147">
        <v>20886</v>
      </c>
      <c r="Q40" s="118">
        <f>((P40/G40)^(1/($H$2-$H$1) ))-1</f>
        <v>0.16786469528719095</v>
      </c>
      <c r="R40" s="31">
        <f t="shared" si="6"/>
        <v>0.08</v>
      </c>
      <c r="S40" s="154">
        <f>P40*(1+$R40)</f>
        <v>22556.880000000001</v>
      </c>
      <c r="T40" s="154">
        <f t="shared" ref="T40:AB40" si="124">S40*(1+$R40)</f>
        <v>24361.430400000001</v>
      </c>
      <c r="U40" s="154">
        <f t="shared" si="124"/>
        <v>26310.344832000002</v>
      </c>
      <c r="V40" s="154">
        <f t="shared" si="124"/>
        <v>28415.172418560003</v>
      </c>
      <c r="W40" s="154">
        <f t="shared" si="124"/>
        <v>30688.386212044807</v>
      </c>
      <c r="X40" s="154">
        <f t="shared" si="124"/>
        <v>33143.457109008392</v>
      </c>
      <c r="Y40" s="154">
        <f t="shared" si="124"/>
        <v>35794.933677729066</v>
      </c>
      <c r="Z40" s="154">
        <f t="shared" si="124"/>
        <v>38658.528371947395</v>
      </c>
      <c r="AA40" s="154">
        <f t="shared" si="124"/>
        <v>41751.21064170319</v>
      </c>
      <c r="AB40" s="154">
        <f t="shared" si="124"/>
        <v>45091.30749303945</v>
      </c>
      <c r="AC40" s="138">
        <f t="shared" si="19"/>
        <v>0.12076414194415852</v>
      </c>
      <c r="AD40" s="31">
        <f t="shared" si="17"/>
        <v>0.04</v>
      </c>
      <c r="AE40" s="146">
        <f t="shared" si="1"/>
        <v>260527.55440422797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25">(H40-G40)/H40</f>
        <v>0.32249606712113266</v>
      </c>
      <c r="I41" s="148">
        <f t="shared" si="125"/>
        <v>0.18799233553331915</v>
      </c>
      <c r="J41" s="148">
        <f t="shared" si="125"/>
        <v>0.22196455192976644</v>
      </c>
      <c r="K41" s="148">
        <f t="shared" si="125"/>
        <v>0.38154996670593661</v>
      </c>
      <c r="L41" s="148">
        <f t="shared" si="125"/>
        <v>-0.30588628762541809</v>
      </c>
      <c r="M41" s="148">
        <f t="shared" si="125"/>
        <v>0.38787208778610327</v>
      </c>
      <c r="N41" s="148">
        <f t="shared" si="125"/>
        <v>-0.26734471485652017</v>
      </c>
      <c r="O41" s="148">
        <f t="shared" si="125"/>
        <v>2.262007404777603E-2</v>
      </c>
      <c r="P41" s="148">
        <f t="shared" si="125"/>
        <v>5.5970506559417793E-2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187">
        <v>139.63</v>
      </c>
      <c r="H42" s="187">
        <v>139.35</v>
      </c>
      <c r="I42" s="187">
        <v>139.35</v>
      </c>
      <c r="J42" s="187">
        <v>139.35</v>
      </c>
      <c r="K42" s="187">
        <v>145.36000000000001</v>
      </c>
      <c r="L42" s="187">
        <v>145.36000000000001</v>
      </c>
      <c r="M42" s="187">
        <v>297.8</v>
      </c>
      <c r="N42" s="187">
        <v>298.10000000000002</v>
      </c>
      <c r="O42" s="187">
        <v>297.87</v>
      </c>
      <c r="P42" s="187">
        <v>323</v>
      </c>
      <c r="Q42" s="118">
        <f>((P42/G42)^(1/($H$2-$H$1) ))-1</f>
        <v>9.7663718061530735E-2</v>
      </c>
      <c r="R42" s="31">
        <f t="shared" si="6"/>
        <v>0.08</v>
      </c>
      <c r="S42" s="154">
        <f>P42*(1+$R42)</f>
        <v>348.84000000000003</v>
      </c>
      <c r="T42" s="154">
        <f t="shared" ref="S42:AB42" si="126">S42*(1+$R42)</f>
        <v>376.74720000000008</v>
      </c>
      <c r="U42" s="154">
        <f t="shared" si="126"/>
        <v>406.88697600000012</v>
      </c>
      <c r="V42" s="154">
        <f t="shared" si="126"/>
        <v>439.43793408000016</v>
      </c>
      <c r="W42" s="154">
        <f t="shared" si="126"/>
        <v>474.59296880640022</v>
      </c>
      <c r="X42" s="154">
        <f t="shared" si="126"/>
        <v>512.5604063109123</v>
      </c>
      <c r="Y42" s="154">
        <f t="shared" si="126"/>
        <v>553.56523881578528</v>
      </c>
      <c r="Z42" s="154">
        <f t="shared" si="126"/>
        <v>597.85045792104813</v>
      </c>
      <c r="AA42" s="154">
        <f t="shared" si="126"/>
        <v>645.67849455473197</v>
      </c>
      <c r="AB42" s="154">
        <f t="shared" si="126"/>
        <v>697.33277411911058</v>
      </c>
      <c r="AC42" s="138">
        <f t="shared" si="19"/>
        <v>8.8331309062964269E-2</v>
      </c>
      <c r="AD42" s="31">
        <f t="shared" si="17"/>
        <v>0.04</v>
      </c>
      <c r="AE42" s="146">
        <f t="shared" si="1"/>
        <v>4029.0338060215277</v>
      </c>
    </row>
    <row r="43" spans="2:31" x14ac:dyDescent="0.2">
      <c r="B43" s="20" t="s">
        <v>282</v>
      </c>
      <c r="C43" s="145"/>
      <c r="D43" s="145"/>
      <c r="E43" s="145"/>
      <c r="F43" s="147"/>
      <c r="G43" s="147">
        <v>5.25</v>
      </c>
      <c r="H43" s="147">
        <v>7.5</v>
      </c>
      <c r="I43" s="147">
        <v>10</v>
      </c>
      <c r="J43" s="147">
        <v>11</v>
      </c>
      <c r="K43" s="188">
        <v>13</v>
      </c>
      <c r="L43" s="188">
        <v>13</v>
      </c>
      <c r="M43" s="188">
        <v>7</v>
      </c>
      <c r="N43" s="188">
        <v>8</v>
      </c>
      <c r="O43" s="188">
        <v>8.5</v>
      </c>
      <c r="P43" s="147">
        <v>9</v>
      </c>
      <c r="Q43" s="118">
        <f>((P43/G43)^(1/($H$2-$H$1) ))-1</f>
        <v>6.1718158457117367E-2</v>
      </c>
      <c r="R43" s="31">
        <v>0.05</v>
      </c>
      <c r="S43" s="154">
        <f t="shared" ref="S43" si="127">P43*(1+$R43)</f>
        <v>9.4500000000000011</v>
      </c>
      <c r="T43" s="154">
        <f t="shared" ref="T43" si="128">S43*(1+$R43)</f>
        <v>9.9225000000000012</v>
      </c>
      <c r="U43" s="154">
        <f t="shared" ref="U43" si="129">T43*(1+$R43)</f>
        <v>10.418625000000002</v>
      </c>
      <c r="V43" s="154">
        <f t="shared" ref="V43" si="130">U43*(1+$R43)</f>
        <v>10.939556250000003</v>
      </c>
      <c r="W43" s="154">
        <f t="shared" ref="W43" si="131">V43*(1+$R43)</f>
        <v>11.486534062500002</v>
      </c>
      <c r="X43" s="154">
        <f t="shared" ref="X43" si="132">W43*(1+$R43)</f>
        <v>12.060860765625003</v>
      </c>
      <c r="Y43" s="154">
        <f t="shared" ref="Y43" si="133">X43*(1+$R43)</f>
        <v>12.663903803906255</v>
      </c>
      <c r="Z43" s="154">
        <f t="shared" ref="Z43" si="134">Y43*(1+$R43)</f>
        <v>13.297098994101567</v>
      </c>
      <c r="AA43" s="154">
        <f t="shared" ref="AA43" si="135">Z43*(1+$R43)</f>
        <v>13.961953943806646</v>
      </c>
      <c r="AB43" s="154">
        <f t="shared" ref="AB43" si="136">AA43*(1+$R43)</f>
        <v>14.660051640996979</v>
      </c>
      <c r="AC43" s="138">
        <f t="shared" ref="AC43" si="137">((AB43/G43)^(1/($AB$3-$H$1) ))-1</f>
        <v>5.553449678183342E-2</v>
      </c>
      <c r="AD43" s="31">
        <f t="shared" si="17"/>
        <v>0.04</v>
      </c>
      <c r="AE43" s="146">
        <f t="shared" si="1"/>
        <v>84.702520592426993</v>
      </c>
    </row>
    <row r="44" spans="2:31" x14ac:dyDescent="0.2">
      <c r="B44" s="20" t="s">
        <v>427</v>
      </c>
      <c r="C44" s="20"/>
      <c r="D44" s="20"/>
      <c r="E44" s="127"/>
      <c r="F44" s="127"/>
      <c r="G44" s="147">
        <v>0</v>
      </c>
      <c r="H44" s="147">
        <v>0</v>
      </c>
      <c r="I44" s="147">
        <v>0</v>
      </c>
      <c r="J44" s="147">
        <v>0</v>
      </c>
      <c r="K44" s="147">
        <v>0</v>
      </c>
      <c r="L44" s="147">
        <v>0</v>
      </c>
      <c r="M44" s="147">
        <v>0</v>
      </c>
      <c r="N44" s="147">
        <v>0</v>
      </c>
      <c r="O44" s="147">
        <v>0</v>
      </c>
      <c r="P44" s="147">
        <v>0</v>
      </c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425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 t="s">
        <v>428</v>
      </c>
      <c r="N45" s="147">
        <v>0</v>
      </c>
      <c r="O45" s="147">
        <v>0</v>
      </c>
      <c r="P45" s="147">
        <v>0</v>
      </c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426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38">C25/C42</f>
        <v>0</v>
      </c>
      <c r="D49" s="133">
        <f t="shared" si="138"/>
        <v>0</v>
      </c>
      <c r="E49" s="133">
        <f t="shared" si="138"/>
        <v>0</v>
      </c>
      <c r="F49" s="133">
        <f t="shared" si="138"/>
        <v>0</v>
      </c>
      <c r="G49" s="133">
        <f t="shared" si="138"/>
        <v>379.16636825897012</v>
      </c>
      <c r="H49" s="133">
        <f t="shared" si="138"/>
        <v>485.05202726946538</v>
      </c>
      <c r="I49" s="133">
        <f t="shared" si="138"/>
        <v>615.55077143882318</v>
      </c>
      <c r="J49" s="133">
        <f t="shared" si="138"/>
        <v>823.79619662719779</v>
      </c>
      <c r="K49" s="133">
        <f t="shared" si="138"/>
        <v>1004.3340671436433</v>
      </c>
      <c r="L49" s="133">
        <f t="shared" si="138"/>
        <v>1065.6301596037424</v>
      </c>
      <c r="M49" s="133">
        <f t="shared" si="138"/>
        <v>741.62189388851573</v>
      </c>
      <c r="N49" s="133">
        <f t="shared" si="138"/>
        <v>915.03522307950345</v>
      </c>
      <c r="O49" s="133">
        <f t="shared" si="138"/>
        <v>1232.9439017020848</v>
      </c>
      <c r="P49" s="133">
        <f t="shared" si="138"/>
        <v>1268.9876160990711</v>
      </c>
      <c r="Q49" s="118">
        <f>((P49/G49)^(1/($H$2-$H$1) ))-1</f>
        <v>0.14364688862957853</v>
      </c>
      <c r="R49" s="128"/>
      <c r="S49" s="158">
        <f t="shared" ref="S49:AB49" si="139">S25/S42</f>
        <v>1268.9876160990711</v>
      </c>
      <c r="T49" s="158">
        <f t="shared" si="139"/>
        <v>1268.9876160990709</v>
      </c>
      <c r="U49" s="158">
        <f t="shared" si="139"/>
        <v>1268.9876160990709</v>
      </c>
      <c r="V49" s="158">
        <f t="shared" si="139"/>
        <v>1268.9876160990711</v>
      </c>
      <c r="W49" s="158">
        <f t="shared" si="139"/>
        <v>1268.9876160990711</v>
      </c>
      <c r="X49" s="158">
        <f t="shared" si="139"/>
        <v>1268.9876160990711</v>
      </c>
      <c r="Y49" s="158">
        <f t="shared" si="139"/>
        <v>1268.9876160990711</v>
      </c>
      <c r="Z49" s="158">
        <f t="shared" si="139"/>
        <v>1268.9876160990711</v>
      </c>
      <c r="AA49" s="158">
        <f t="shared" si="139"/>
        <v>1268.9876160990714</v>
      </c>
      <c r="AB49" s="158">
        <f t="shared" si="139"/>
        <v>1268.9876160990711</v>
      </c>
      <c r="AC49" s="138">
        <f t="shared" ref="AC49" si="140">((AB49/G49)^(1/($AB$3-$H$1) ))-1</f>
        <v>6.5643591696823655E-2</v>
      </c>
      <c r="AD49" s="31">
        <f t="shared" si="17"/>
        <v>0.04</v>
      </c>
      <c r="AE49" s="146">
        <f t="shared" ref="AE49:AE50" si="141">(AB49*(1+AD49))/($C$1-AD49)</f>
        <v>7331.9284485724111</v>
      </c>
    </row>
    <row r="50" spans="2:31" x14ac:dyDescent="0.2">
      <c r="B50" s="20" t="s">
        <v>304</v>
      </c>
      <c r="C50" s="133">
        <f t="shared" ref="C50:P50" si="142">C27/C42</f>
        <v>0</v>
      </c>
      <c r="D50" s="133">
        <f t="shared" si="142"/>
        <v>0</v>
      </c>
      <c r="E50" s="133">
        <f t="shared" si="142"/>
        <v>0</v>
      </c>
      <c r="F50" s="133">
        <f t="shared" si="142"/>
        <v>0</v>
      </c>
      <c r="G50" s="133">
        <f t="shared" si="142"/>
        <v>300.00716178471674</v>
      </c>
      <c r="H50" s="133">
        <f t="shared" si="142"/>
        <v>382.03803372802298</v>
      </c>
      <c r="I50" s="133">
        <f t="shared" si="142"/>
        <v>504.47075708647293</v>
      </c>
      <c r="J50" s="133">
        <f t="shared" si="142"/>
        <v>673.79978471474703</v>
      </c>
      <c r="K50" s="133">
        <f t="shared" si="142"/>
        <v>802.88249862410555</v>
      </c>
      <c r="L50" s="133">
        <f t="shared" si="142"/>
        <v>889.04788112272968</v>
      </c>
      <c r="M50" s="133">
        <f t="shared" si="142"/>
        <v>601.58831430490261</v>
      </c>
      <c r="N50" s="133">
        <f t="shared" si="142"/>
        <v>778.82925192888285</v>
      </c>
      <c r="O50" s="133">
        <f t="shared" si="142"/>
        <v>1096.2970423339041</v>
      </c>
      <c r="P50" s="133">
        <f t="shared" si="142"/>
        <v>1142.3250773993809</v>
      </c>
      <c r="Q50" s="118">
        <f>((P50/G50)^(1/($H$2-$H$1) ))-1</f>
        <v>0.16015913879658683</v>
      </c>
      <c r="R50" s="128"/>
      <c r="S50" s="158">
        <f t="shared" ref="S50:AB50" si="143">S27/S42</f>
        <v>1142.3250773993809</v>
      </c>
      <c r="T50" s="158">
        <f t="shared" si="143"/>
        <v>1142.3250773993809</v>
      </c>
      <c r="U50" s="158">
        <f t="shared" si="143"/>
        <v>1142.3250773993809</v>
      </c>
      <c r="V50" s="158">
        <f t="shared" si="143"/>
        <v>1142.3250773993809</v>
      </c>
      <c r="W50" s="158">
        <f t="shared" si="143"/>
        <v>1142.3250773993809</v>
      </c>
      <c r="X50" s="158">
        <f t="shared" si="143"/>
        <v>1142.3250773993809</v>
      </c>
      <c r="Y50" s="158">
        <f t="shared" si="143"/>
        <v>1142.3250773993809</v>
      </c>
      <c r="Z50" s="158">
        <f t="shared" si="143"/>
        <v>1142.3250773993809</v>
      </c>
      <c r="AA50" s="158">
        <f t="shared" si="143"/>
        <v>1142.3250773993811</v>
      </c>
      <c r="AB50" s="158">
        <f t="shared" si="143"/>
        <v>1142.3250773993809</v>
      </c>
      <c r="AC50" s="138">
        <f t="shared" ref="AC50" si="144">((AB50/G50)^(1/($AB$3-$H$1) ))-1</f>
        <v>7.2904216414257927E-2</v>
      </c>
      <c r="AD50" s="31">
        <f t="shared" si="17"/>
        <v>0.04</v>
      </c>
      <c r="AE50" s="146">
        <f t="shared" si="141"/>
        <v>6600.1004471964234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45">C40/C42</f>
        <v>0</v>
      </c>
      <c r="D52" s="25">
        <f t="shared" si="145"/>
        <v>0</v>
      </c>
      <c r="E52" s="25">
        <f t="shared" si="145"/>
        <v>0</v>
      </c>
      <c r="F52" s="133">
        <f t="shared" si="145"/>
        <v>0</v>
      </c>
      <c r="G52" s="133">
        <f t="shared" si="145"/>
        <v>37.012103416171314</v>
      </c>
      <c r="H52" s="133">
        <f t="shared" si="145"/>
        <v>54.739863652673129</v>
      </c>
      <c r="I52" s="133">
        <f t="shared" si="145"/>
        <v>67.412988876928594</v>
      </c>
      <c r="J52" s="133">
        <f t="shared" si="145"/>
        <v>86.645138141370651</v>
      </c>
      <c r="K52" s="133">
        <f t="shared" si="145"/>
        <v>134.30792515134837</v>
      </c>
      <c r="L52" s="133">
        <f t="shared" si="145"/>
        <v>102.84810126582278</v>
      </c>
      <c r="M52" s="133">
        <f t="shared" si="145"/>
        <v>82.011417058428478</v>
      </c>
      <c r="N52" s="133">
        <f t="shared" si="145"/>
        <v>64.646091915464609</v>
      </c>
      <c r="O52" s="133">
        <f t="shared" si="145"/>
        <v>66.193305804545602</v>
      </c>
      <c r="P52" s="133">
        <f t="shared" si="145"/>
        <v>64.662538699690401</v>
      </c>
      <c r="Q52" s="118">
        <f>((P52/G52)^(1/($H$2-$H$1) ))-1</f>
        <v>6.3954903556104448E-2</v>
      </c>
      <c r="R52" s="128"/>
      <c r="S52" s="158">
        <f t="shared" ref="S52:AB52" si="146">S40/S42</f>
        <v>64.662538699690401</v>
      </c>
      <c r="T52" s="158">
        <f t="shared" si="146"/>
        <v>64.662538699690387</v>
      </c>
      <c r="U52" s="158">
        <f t="shared" si="146"/>
        <v>64.662538699690387</v>
      </c>
      <c r="V52" s="158">
        <f t="shared" si="146"/>
        <v>64.662538699690387</v>
      </c>
      <c r="W52" s="158">
        <f t="shared" si="146"/>
        <v>64.662538699690387</v>
      </c>
      <c r="X52" s="158">
        <f t="shared" si="146"/>
        <v>64.662538699690387</v>
      </c>
      <c r="Y52" s="158">
        <f t="shared" si="146"/>
        <v>64.662538699690387</v>
      </c>
      <c r="Z52" s="158">
        <f t="shared" si="146"/>
        <v>64.662538699690387</v>
      </c>
      <c r="AA52" s="158">
        <f t="shared" si="146"/>
        <v>64.662538699690401</v>
      </c>
      <c r="AB52" s="158">
        <f t="shared" si="146"/>
        <v>64.662538699690401</v>
      </c>
      <c r="AC52" s="138">
        <f t="shared" ref="AC52:AC66" si="147">((AB52/G52)^(1/($AB$3-$H$1) ))-1</f>
        <v>2.980051443077425E-2</v>
      </c>
      <c r="AD52" s="31">
        <f t="shared" si="17"/>
        <v>0.04</v>
      </c>
      <c r="AE52" s="146">
        <f t="shared" ref="AE52:AE80" si="148">(AB52*(1+AD52))/($C$1-AD52)</f>
        <v>373.60577915376683</v>
      </c>
    </row>
    <row r="53" spans="2:31" x14ac:dyDescent="0.2">
      <c r="B53" s="20" t="s">
        <v>388</v>
      </c>
      <c r="C53" s="133">
        <f t="shared" ref="C53:F53" si="149">C20/C42</f>
        <v>0</v>
      </c>
      <c r="D53" s="133">
        <f t="shared" si="149"/>
        <v>0</v>
      </c>
      <c r="E53" s="133">
        <f t="shared" si="149"/>
        <v>0</v>
      </c>
      <c r="F53" s="133">
        <f t="shared" si="149"/>
        <v>0</v>
      </c>
      <c r="G53" s="133">
        <f>G20/G42</f>
        <v>83.563704075055512</v>
      </c>
      <c r="H53" s="133">
        <f t="shared" ref="H53:P53" si="150">H20/H42</f>
        <v>124.18371008252602</v>
      </c>
      <c r="I53" s="133">
        <f t="shared" si="150"/>
        <v>73.720846788661646</v>
      </c>
      <c r="J53" s="133">
        <f t="shared" si="150"/>
        <v>120.18658055256549</v>
      </c>
      <c r="K53" s="133">
        <f t="shared" si="150"/>
        <v>111.67446340121077</v>
      </c>
      <c r="L53" s="133">
        <f t="shared" si="150"/>
        <v>112.04595487066592</v>
      </c>
      <c r="M53" s="133">
        <f t="shared" si="150"/>
        <v>68.817998656816656</v>
      </c>
      <c r="N53" s="133">
        <f t="shared" si="150"/>
        <v>111.83495471318349</v>
      </c>
      <c r="O53" s="133">
        <f t="shared" si="150"/>
        <v>82.193574378084392</v>
      </c>
      <c r="P53" s="133">
        <f t="shared" si="150"/>
        <v>114.29721362229103</v>
      </c>
      <c r="Q53" s="118">
        <f>((P53/G53)^(1/($H$2-$H$1) ))-1</f>
        <v>3.5411792046936341E-2</v>
      </c>
      <c r="R53" s="128"/>
      <c r="S53" s="133">
        <f t="shared" ref="S53:AB53" si="151">S20/S42</f>
        <v>114.29721362229101</v>
      </c>
      <c r="T53" s="133">
        <f t="shared" si="151"/>
        <v>114.29721362229103</v>
      </c>
      <c r="U53" s="133">
        <f t="shared" si="151"/>
        <v>114.29721362229101</v>
      </c>
      <c r="V53" s="133">
        <f t="shared" si="151"/>
        <v>114.29721362229101</v>
      </c>
      <c r="W53" s="133">
        <f t="shared" si="151"/>
        <v>114.29721362229101</v>
      </c>
      <c r="X53" s="133">
        <f t="shared" si="151"/>
        <v>114.29721362229101</v>
      </c>
      <c r="Y53" s="133">
        <f t="shared" si="151"/>
        <v>114.29721362229101</v>
      </c>
      <c r="Z53" s="133">
        <f t="shared" si="151"/>
        <v>114.29721362229103</v>
      </c>
      <c r="AA53" s="133">
        <f t="shared" si="151"/>
        <v>114.29721362229104</v>
      </c>
      <c r="AB53" s="133">
        <f t="shared" si="151"/>
        <v>114.29721362229104</v>
      </c>
      <c r="AC53" s="138">
        <f t="shared" ref="AC53" si="152">((AB53/G53)^(1/($AB$3-$H$1) ))-1</f>
        <v>1.6620446392785038E-2</v>
      </c>
      <c r="AD53" s="31">
        <f t="shared" si="17"/>
        <v>0.04</v>
      </c>
      <c r="AE53" s="146">
        <f t="shared" si="148"/>
        <v>660.38390092879274</v>
      </c>
    </row>
    <row r="54" spans="2:31" x14ac:dyDescent="0.2">
      <c r="B54" s="20" t="s">
        <v>245</v>
      </c>
      <c r="C54" s="25">
        <f t="shared" ref="C54:P54" si="153">C7/C42</f>
        <v>0</v>
      </c>
      <c r="D54" s="25">
        <f t="shared" si="153"/>
        <v>0</v>
      </c>
      <c r="E54" s="25">
        <f t="shared" si="153"/>
        <v>0</v>
      </c>
      <c r="F54" s="133">
        <f t="shared" si="153"/>
        <v>0</v>
      </c>
      <c r="G54" s="133">
        <f t="shared" si="153"/>
        <v>250.78421542648428</v>
      </c>
      <c r="H54" s="133">
        <f t="shared" si="153"/>
        <v>292.14926444205241</v>
      </c>
      <c r="I54" s="133">
        <f t="shared" si="153"/>
        <v>366.11410118406889</v>
      </c>
      <c r="J54" s="133">
        <f t="shared" si="153"/>
        <v>489.47972730534627</v>
      </c>
      <c r="K54" s="133">
        <f t="shared" si="153"/>
        <v>588.19482663731424</v>
      </c>
      <c r="L54" s="133">
        <f t="shared" si="153"/>
        <v>834.10842047330755</v>
      </c>
      <c r="M54" s="133">
        <f t="shared" si="153"/>
        <v>473.47884486232368</v>
      </c>
      <c r="N54" s="133">
        <f t="shared" si="153"/>
        <v>516.88359610868827</v>
      </c>
      <c r="O54" s="133">
        <f t="shared" si="153"/>
        <v>568.85554100782224</v>
      </c>
      <c r="P54" s="133">
        <f t="shared" si="153"/>
        <v>563.63777089783287</v>
      </c>
      <c r="Q54" s="118">
        <f>((P54/G54)^(1/($H$2-$H$1) ))-1</f>
        <v>9.4152269760565455E-2</v>
      </c>
      <c r="R54" s="128"/>
      <c r="S54" s="158">
        <f t="shared" ref="S54:AB54" si="154">S7/S42</f>
        <v>563.63777089783287</v>
      </c>
      <c r="T54" s="158">
        <f t="shared" si="154"/>
        <v>563.63777089783287</v>
      </c>
      <c r="U54" s="158">
        <f t="shared" si="154"/>
        <v>563.63777089783287</v>
      </c>
      <c r="V54" s="158">
        <f t="shared" si="154"/>
        <v>563.63777089783287</v>
      </c>
      <c r="W54" s="158">
        <f t="shared" si="154"/>
        <v>563.63777089783287</v>
      </c>
      <c r="X54" s="158">
        <f t="shared" si="154"/>
        <v>563.63777089783275</v>
      </c>
      <c r="Y54" s="158">
        <f t="shared" si="154"/>
        <v>563.63777089783287</v>
      </c>
      <c r="Z54" s="158">
        <f t="shared" si="154"/>
        <v>563.63777089783287</v>
      </c>
      <c r="AA54" s="158">
        <f t="shared" si="154"/>
        <v>563.63777089783287</v>
      </c>
      <c r="AB54" s="158">
        <f t="shared" si="154"/>
        <v>563.63777089783287</v>
      </c>
      <c r="AC54" s="138">
        <f t="shared" si="147"/>
        <v>4.3543411707758217E-2</v>
      </c>
      <c r="AD54" s="31">
        <f t="shared" si="17"/>
        <v>0.04</v>
      </c>
      <c r="AE54" s="146">
        <f t="shared" si="148"/>
        <v>3256.5737874097013</v>
      </c>
    </row>
    <row r="55" spans="2:31" x14ac:dyDescent="0.2">
      <c r="B55" s="20" t="s">
        <v>246</v>
      </c>
      <c r="C55" s="127">
        <f t="shared" ref="C55:P55" si="155">C6/C42</f>
        <v>0</v>
      </c>
      <c r="D55" s="127">
        <f t="shared" si="155"/>
        <v>0</v>
      </c>
      <c r="E55" s="127">
        <f t="shared" si="155"/>
        <v>0</v>
      </c>
      <c r="F55" s="144">
        <f t="shared" si="155"/>
        <v>0</v>
      </c>
      <c r="G55" s="144">
        <f t="shared" si="155"/>
        <v>240.78636396189933</v>
      </c>
      <c r="H55" s="144">
        <f t="shared" si="155"/>
        <v>262.56189451022607</v>
      </c>
      <c r="I55" s="144">
        <f t="shared" si="155"/>
        <v>320.39468963042697</v>
      </c>
      <c r="J55" s="144">
        <f t="shared" si="155"/>
        <v>457.66774309293146</v>
      </c>
      <c r="K55" s="144">
        <f t="shared" si="155"/>
        <v>558.37919647771048</v>
      </c>
      <c r="L55" s="144">
        <f t="shared" si="155"/>
        <v>740.04540451293337</v>
      </c>
      <c r="M55" s="144">
        <f t="shared" si="155"/>
        <v>431.87038280725318</v>
      </c>
      <c r="N55" s="144">
        <f t="shared" si="155"/>
        <v>486.46762831264675</v>
      </c>
      <c r="O55" s="144">
        <f t="shared" si="155"/>
        <v>546.29872091852144</v>
      </c>
      <c r="P55" s="144">
        <f t="shared" si="155"/>
        <v>554.47058823529414</v>
      </c>
      <c r="Q55" s="118">
        <f>((P55/G55)^(1/($H$2-$H$1) ))-1</f>
        <v>9.7108614230147161E-2</v>
      </c>
      <c r="R55" s="128"/>
      <c r="S55" s="157">
        <f t="shared" ref="S55:AB55" si="156">S6/S42</f>
        <v>554.47058823529414</v>
      </c>
      <c r="T55" s="157">
        <f t="shared" si="156"/>
        <v>554.47058823529414</v>
      </c>
      <c r="U55" s="157">
        <f t="shared" si="156"/>
        <v>554.47058823529414</v>
      </c>
      <c r="V55" s="157">
        <f t="shared" si="156"/>
        <v>554.47058823529414</v>
      </c>
      <c r="W55" s="157">
        <f t="shared" si="156"/>
        <v>554.47058823529414</v>
      </c>
      <c r="X55" s="157">
        <f t="shared" si="156"/>
        <v>554.47058823529403</v>
      </c>
      <c r="Y55" s="157">
        <f t="shared" si="156"/>
        <v>554.47058823529414</v>
      </c>
      <c r="Z55" s="157">
        <f t="shared" si="156"/>
        <v>554.47058823529414</v>
      </c>
      <c r="AA55" s="157">
        <f t="shared" si="156"/>
        <v>554.47058823529414</v>
      </c>
      <c r="AB55" s="157">
        <f t="shared" si="156"/>
        <v>554.47058823529414</v>
      </c>
      <c r="AC55" s="138">
        <f t="shared" si="147"/>
        <v>4.4878064235436499E-2</v>
      </c>
      <c r="AD55" s="31">
        <f t="shared" si="17"/>
        <v>0.04</v>
      </c>
      <c r="AE55" s="146">
        <f t="shared" si="148"/>
        <v>3203.6078431372557</v>
      </c>
    </row>
    <row r="56" spans="2:31" x14ac:dyDescent="0.2">
      <c r="B56" s="20" t="s">
        <v>247</v>
      </c>
      <c r="C56" s="127">
        <f t="shared" ref="C56:P56" si="157">C10/C42</f>
        <v>0</v>
      </c>
      <c r="D56" s="127">
        <f t="shared" si="157"/>
        <v>0</v>
      </c>
      <c r="E56" s="127">
        <f t="shared" si="157"/>
        <v>0</v>
      </c>
      <c r="F56" s="144">
        <f t="shared" si="157"/>
        <v>0</v>
      </c>
      <c r="G56" s="144">
        <f t="shared" si="157"/>
        <v>150.51206760724773</v>
      </c>
      <c r="H56" s="144">
        <f t="shared" si="157"/>
        <v>135.0340868317187</v>
      </c>
      <c r="I56" s="144">
        <f t="shared" si="157"/>
        <v>167.50627915321135</v>
      </c>
      <c r="J56" s="144">
        <f t="shared" si="157"/>
        <v>241.48546824542521</v>
      </c>
      <c r="K56" s="144">
        <f t="shared" si="157"/>
        <v>348.76169510181614</v>
      </c>
      <c r="L56" s="144">
        <f t="shared" si="157"/>
        <v>524.60099064391852</v>
      </c>
      <c r="M56" s="144">
        <f t="shared" si="157"/>
        <v>216.94089993284084</v>
      </c>
      <c r="N56" s="144">
        <f t="shared" si="157"/>
        <v>282.14022140221402</v>
      </c>
      <c r="O56" s="144">
        <f t="shared" si="157"/>
        <v>277.41967972605499</v>
      </c>
      <c r="P56" s="144">
        <f t="shared" si="157"/>
        <v>276.5386996904025</v>
      </c>
      <c r="Q56" s="118">
        <f>((P56/G56)^(1/($H$2-$H$1) ))-1</f>
        <v>6.9926252578371484E-2</v>
      </c>
      <c r="R56" s="128"/>
      <c r="S56" s="157">
        <f t="shared" ref="S56:AB56" si="158">S10/S42</f>
        <v>276.5386996904025</v>
      </c>
      <c r="T56" s="157">
        <f t="shared" si="158"/>
        <v>276.53869969040244</v>
      </c>
      <c r="U56" s="157">
        <f t="shared" si="158"/>
        <v>276.53869969040244</v>
      </c>
      <c r="V56" s="157">
        <f t="shared" si="158"/>
        <v>276.53869969040244</v>
      </c>
      <c r="W56" s="157">
        <f t="shared" si="158"/>
        <v>276.5386996904025</v>
      </c>
      <c r="X56" s="157">
        <f t="shared" si="158"/>
        <v>276.53869969040244</v>
      </c>
      <c r="Y56" s="157">
        <f t="shared" si="158"/>
        <v>276.53869969040244</v>
      </c>
      <c r="Z56" s="157">
        <f t="shared" si="158"/>
        <v>276.5386996904025</v>
      </c>
      <c r="AA56" s="157">
        <f t="shared" si="158"/>
        <v>276.5386996904025</v>
      </c>
      <c r="AB56" s="157">
        <f t="shared" si="158"/>
        <v>276.5386996904025</v>
      </c>
      <c r="AC56" s="138">
        <f t="shared" si="147"/>
        <v>3.2534216435721186E-2</v>
      </c>
      <c r="AD56" s="31">
        <f t="shared" si="17"/>
        <v>0.04</v>
      </c>
      <c r="AE56" s="146">
        <f t="shared" si="148"/>
        <v>1597.7791537667702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59">(C7-C10)/C42</f>
        <v>0</v>
      </c>
      <c r="D58" s="127">
        <f t="shared" si="159"/>
        <v>0</v>
      </c>
      <c r="E58" s="127">
        <f t="shared" si="159"/>
        <v>0</v>
      </c>
      <c r="F58" s="144">
        <f t="shared" si="159"/>
        <v>0</v>
      </c>
      <c r="G58" s="144">
        <f t="shared" si="159"/>
        <v>100.27214781923655</v>
      </c>
      <c r="H58" s="144">
        <f t="shared" si="159"/>
        <v>157.11517761033369</v>
      </c>
      <c r="I58" s="144">
        <f t="shared" si="159"/>
        <v>198.60782203085756</v>
      </c>
      <c r="J58" s="144">
        <f t="shared" si="159"/>
        <v>247.99425905992106</v>
      </c>
      <c r="K58" s="144">
        <f t="shared" si="159"/>
        <v>239.43313153549806</v>
      </c>
      <c r="L58" s="144">
        <f t="shared" si="159"/>
        <v>309.50742982938908</v>
      </c>
      <c r="M58" s="144">
        <f t="shared" si="159"/>
        <v>256.53794492948288</v>
      </c>
      <c r="N58" s="144">
        <f t="shared" si="159"/>
        <v>234.74337470647433</v>
      </c>
      <c r="O58" s="144">
        <f t="shared" si="159"/>
        <v>291.43586128176719</v>
      </c>
      <c r="P58" s="144">
        <f t="shared" si="159"/>
        <v>287.09907120743031</v>
      </c>
      <c r="Q58" s="118">
        <f>((P58/G58)^(1/($H$2-$H$1) ))-1</f>
        <v>0.12398696431457301</v>
      </c>
      <c r="R58" s="128"/>
      <c r="S58" s="157">
        <f t="shared" ref="S58:AB58" si="160">(S7-S10)/S42</f>
        <v>287.09907120743037</v>
      </c>
      <c r="T58" s="157">
        <f t="shared" si="160"/>
        <v>287.09907120743037</v>
      </c>
      <c r="U58" s="157">
        <f t="shared" si="160"/>
        <v>287.09907120743037</v>
      </c>
      <c r="V58" s="157">
        <f t="shared" si="160"/>
        <v>287.09907120743037</v>
      </c>
      <c r="W58" s="157">
        <f t="shared" si="160"/>
        <v>287.09907120743037</v>
      </c>
      <c r="X58" s="157">
        <f t="shared" si="160"/>
        <v>287.09907120743031</v>
      </c>
      <c r="Y58" s="157">
        <f t="shared" si="160"/>
        <v>287.09907120743037</v>
      </c>
      <c r="Z58" s="157">
        <f t="shared" si="160"/>
        <v>287.09907120743037</v>
      </c>
      <c r="AA58" s="157">
        <f t="shared" si="160"/>
        <v>287.09907120743043</v>
      </c>
      <c r="AB58" s="157">
        <f t="shared" si="160"/>
        <v>287.09907120743043</v>
      </c>
      <c r="AC58" s="138">
        <f t="shared" si="147"/>
        <v>5.6926566279907886E-2</v>
      </c>
      <c r="AD58" s="31">
        <f t="shared" si="17"/>
        <v>0.04</v>
      </c>
      <c r="AE58" s="146">
        <f t="shared" si="148"/>
        <v>1658.7946336429313</v>
      </c>
    </row>
    <row r="59" spans="2:31" x14ac:dyDescent="0.2">
      <c r="B59" s="20" t="s">
        <v>271</v>
      </c>
      <c r="C59" s="127">
        <f t="shared" ref="C59:P59" si="161">(C7-C10-C9)/C42</f>
        <v>0</v>
      </c>
      <c r="D59" s="127">
        <f t="shared" si="161"/>
        <v>0</v>
      </c>
      <c r="E59" s="127">
        <f t="shared" si="161"/>
        <v>0</v>
      </c>
      <c r="F59" s="144">
        <f t="shared" si="161"/>
        <v>0</v>
      </c>
      <c r="G59" s="144">
        <f t="shared" si="161"/>
        <v>0.587266346773616</v>
      </c>
      <c r="H59" s="144">
        <f t="shared" si="161"/>
        <v>25.819878005023323</v>
      </c>
      <c r="I59" s="144">
        <f t="shared" si="161"/>
        <v>69.702188733405094</v>
      </c>
      <c r="J59" s="144">
        <f t="shared" si="161"/>
        <v>65.080731969860068</v>
      </c>
      <c r="K59" s="144">
        <f t="shared" si="161"/>
        <v>19.138690148596584</v>
      </c>
      <c r="L59" s="144">
        <f t="shared" si="161"/>
        <v>-9.727572922399558</v>
      </c>
      <c r="M59" s="144">
        <f t="shared" si="161"/>
        <v>86.648757555406306</v>
      </c>
      <c r="N59" s="144">
        <f t="shared" si="161"/>
        <v>16.044951358604493</v>
      </c>
      <c r="O59" s="144">
        <f t="shared" si="161"/>
        <v>48.856883875516161</v>
      </c>
      <c r="P59" s="144">
        <f t="shared" si="161"/>
        <v>24.117647058823529</v>
      </c>
      <c r="Q59" s="118">
        <f>((P59/G59)^(1/($H$2-$H$1) ))-1</f>
        <v>0.51104625169872642</v>
      </c>
      <c r="R59" s="128"/>
      <c r="S59" s="157">
        <f t="shared" ref="S59:AB59" si="162">(S7-S10-S9)/S42</f>
        <v>24.117647058823561</v>
      </c>
      <c r="T59" s="157">
        <f t="shared" si="162"/>
        <v>24.117647058823586</v>
      </c>
      <c r="U59" s="157">
        <f t="shared" si="162"/>
        <v>24.117647058823607</v>
      </c>
      <c r="V59" s="157">
        <f t="shared" si="162"/>
        <v>24.117647058823632</v>
      </c>
      <c r="W59" s="157">
        <f t="shared" si="162"/>
        <v>24.117647058823614</v>
      </c>
      <c r="X59" s="157">
        <f t="shared" si="162"/>
        <v>24.117647058823589</v>
      </c>
      <c r="Y59" s="157">
        <f t="shared" si="162"/>
        <v>24.117647058823664</v>
      </c>
      <c r="Z59" s="157">
        <f t="shared" si="162"/>
        <v>24.117647058823675</v>
      </c>
      <c r="AA59" s="157">
        <f t="shared" si="162"/>
        <v>24.117647058823682</v>
      </c>
      <c r="AB59" s="157">
        <f t="shared" si="162"/>
        <v>24.117647058823653</v>
      </c>
      <c r="AC59" s="138">
        <f t="shared" si="147"/>
        <v>0.21596491237800919</v>
      </c>
      <c r="AD59" s="31">
        <f t="shared" si="17"/>
        <v>0.04</v>
      </c>
      <c r="AE59" s="146">
        <f t="shared" si="148"/>
        <v>139.3464052287589</v>
      </c>
    </row>
    <row r="60" spans="2:31" x14ac:dyDescent="0.2">
      <c r="B60" s="20" t="s">
        <v>276</v>
      </c>
      <c r="C60" s="127">
        <f t="shared" ref="C60:P60" si="163">(C7+C15-C10-C9)/C42</f>
        <v>0</v>
      </c>
      <c r="D60" s="127">
        <f t="shared" si="163"/>
        <v>0</v>
      </c>
      <c r="E60" s="127">
        <f t="shared" si="163"/>
        <v>0</v>
      </c>
      <c r="F60" s="144">
        <f t="shared" si="163"/>
        <v>0</v>
      </c>
      <c r="G60" s="144">
        <f t="shared" si="163"/>
        <v>77.74117310033661</v>
      </c>
      <c r="H60" s="144">
        <f t="shared" si="163"/>
        <v>109.96770721205598</v>
      </c>
      <c r="I60" s="144">
        <f t="shared" si="163"/>
        <v>177.02906350914964</v>
      </c>
      <c r="J60" s="144">
        <f t="shared" si="163"/>
        <v>184.90132759239327</v>
      </c>
      <c r="K60" s="144">
        <f t="shared" si="163"/>
        <v>195.13621353880021</v>
      </c>
      <c r="L60" s="144">
        <f t="shared" si="163"/>
        <v>401.95376995046774</v>
      </c>
      <c r="M60" s="144">
        <f t="shared" si="163"/>
        <v>335.48690396239084</v>
      </c>
      <c r="N60" s="144">
        <f t="shared" si="163"/>
        <v>365.320362294532</v>
      </c>
      <c r="O60" s="144">
        <f t="shared" si="163"/>
        <v>468.22103602242589</v>
      </c>
      <c r="P60" s="144">
        <f t="shared" si="163"/>
        <v>445.38699690402478</v>
      </c>
      <c r="Q60" s="118">
        <f>((P60/G60)^(1/($H$2-$H$1) ))-1</f>
        <v>0.21403673229803521</v>
      </c>
      <c r="R60" s="128"/>
      <c r="S60" s="157">
        <f t="shared" ref="S60:AB60" si="164">(S7+S15-S10-S9)/S42</f>
        <v>445.38699690402467</v>
      </c>
      <c r="T60" s="157">
        <f t="shared" si="164"/>
        <v>445.38699690402467</v>
      </c>
      <c r="U60" s="157">
        <f t="shared" si="164"/>
        <v>445.38699690402484</v>
      </c>
      <c r="V60" s="157">
        <f t="shared" si="164"/>
        <v>445.38699690402484</v>
      </c>
      <c r="W60" s="157">
        <f t="shared" si="164"/>
        <v>445.38699690402484</v>
      </c>
      <c r="X60" s="157">
        <f t="shared" si="164"/>
        <v>445.38699690402473</v>
      </c>
      <c r="Y60" s="157">
        <f t="shared" si="164"/>
        <v>445.38699690402484</v>
      </c>
      <c r="Z60" s="157">
        <f t="shared" si="164"/>
        <v>445.38699690402501</v>
      </c>
      <c r="AA60" s="157">
        <f t="shared" si="164"/>
        <v>445.38699690402501</v>
      </c>
      <c r="AB60" s="157">
        <f t="shared" si="164"/>
        <v>445.38699690402484</v>
      </c>
      <c r="AC60" s="138">
        <f t="shared" si="147"/>
        <v>9.6223950839628536E-2</v>
      </c>
      <c r="AD60" s="31">
        <f t="shared" si="17"/>
        <v>0.04</v>
      </c>
      <c r="AE60" s="146">
        <f t="shared" si="148"/>
        <v>2573.3470932232549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65">C12/C42</f>
        <v>0</v>
      </c>
      <c r="D62" s="127">
        <f t="shared" si="165"/>
        <v>0</v>
      </c>
      <c r="E62" s="127">
        <f t="shared" si="165"/>
        <v>0</v>
      </c>
      <c r="F62" s="144">
        <f t="shared" si="165"/>
        <v>0</v>
      </c>
      <c r="G62" s="144">
        <f t="shared" si="165"/>
        <v>1.933681873522882</v>
      </c>
      <c r="H62" s="144">
        <f t="shared" si="165"/>
        <v>2.762827412988877</v>
      </c>
      <c r="I62" s="144">
        <f t="shared" si="165"/>
        <v>1.8586293505561537</v>
      </c>
      <c r="J62" s="144">
        <f t="shared" si="165"/>
        <v>2.9350556153570149</v>
      </c>
      <c r="K62" s="144">
        <f t="shared" si="165"/>
        <v>2.6692350027517886</v>
      </c>
      <c r="L62" s="144">
        <f t="shared" si="165"/>
        <v>5.5401073197578414</v>
      </c>
      <c r="M62" s="144">
        <f t="shared" si="165"/>
        <v>2.2296843519140364</v>
      </c>
      <c r="N62" s="144">
        <f t="shared" si="165"/>
        <v>2.9319020462931902</v>
      </c>
      <c r="O62" s="144">
        <f t="shared" si="165"/>
        <v>4.8544667136670361</v>
      </c>
      <c r="P62" s="144">
        <f t="shared" si="165"/>
        <v>156.21052631578948</v>
      </c>
      <c r="Q62" s="118">
        <f>((P62/G62)^(1/($H$2-$H$1) ))-1</f>
        <v>0.62901479980325603</v>
      </c>
      <c r="R62" s="128"/>
      <c r="S62" s="157">
        <f t="shared" ref="S62:AB62" si="166">S12/S42</f>
        <v>156.21052631578948</v>
      </c>
      <c r="T62" s="157">
        <f t="shared" si="166"/>
        <v>156.21052631578945</v>
      </c>
      <c r="U62" s="157">
        <f t="shared" si="166"/>
        <v>156.21052631578945</v>
      </c>
      <c r="V62" s="157">
        <f t="shared" si="166"/>
        <v>156.21052631578945</v>
      </c>
      <c r="W62" s="157">
        <f t="shared" si="166"/>
        <v>156.21052631578945</v>
      </c>
      <c r="X62" s="157">
        <f t="shared" si="166"/>
        <v>156.21052631578945</v>
      </c>
      <c r="Y62" s="157">
        <f t="shared" si="166"/>
        <v>156.21052631578948</v>
      </c>
      <c r="Z62" s="157">
        <f t="shared" si="166"/>
        <v>156.21052631578948</v>
      </c>
      <c r="AA62" s="157">
        <f t="shared" si="166"/>
        <v>156.21052631578951</v>
      </c>
      <c r="AB62" s="157">
        <f t="shared" si="166"/>
        <v>156.21052631578951</v>
      </c>
      <c r="AC62" s="138">
        <f t="shared" si="147"/>
        <v>0.26004350621493155</v>
      </c>
      <c r="AD62" s="31">
        <f t="shared" si="17"/>
        <v>0.04</v>
      </c>
      <c r="AE62" s="146">
        <f t="shared" si="148"/>
        <v>902.54970760233948</v>
      </c>
    </row>
    <row r="63" spans="2:31" x14ac:dyDescent="0.2">
      <c r="B63" s="20" t="s">
        <v>255</v>
      </c>
      <c r="C63" s="127">
        <f t="shared" ref="C63:P63" si="167">C13/C42</f>
        <v>0</v>
      </c>
      <c r="D63" s="127">
        <f t="shared" si="167"/>
        <v>0</v>
      </c>
      <c r="E63" s="127">
        <f t="shared" si="167"/>
        <v>0</v>
      </c>
      <c r="F63" s="144">
        <f t="shared" si="167"/>
        <v>0</v>
      </c>
      <c r="G63" s="144">
        <f t="shared" si="167"/>
        <v>131.97736876029506</v>
      </c>
      <c r="H63" s="144">
        <f t="shared" si="167"/>
        <v>165.6476498026552</v>
      </c>
      <c r="I63" s="144">
        <f t="shared" si="167"/>
        <v>47.836383207750274</v>
      </c>
      <c r="J63" s="144">
        <f t="shared" si="167"/>
        <v>37.804090419806244</v>
      </c>
      <c r="K63" s="144">
        <f t="shared" si="167"/>
        <v>65.506329113924039</v>
      </c>
      <c r="L63" s="144">
        <f t="shared" si="167"/>
        <v>44.269400110071544</v>
      </c>
      <c r="M63" s="144">
        <f t="shared" si="167"/>
        <v>30.685023505708529</v>
      </c>
      <c r="N63" s="144">
        <f t="shared" si="167"/>
        <v>56.903723582690368</v>
      </c>
      <c r="O63" s="144">
        <f t="shared" si="167"/>
        <v>129.57330379024407</v>
      </c>
      <c r="P63" s="144">
        <f t="shared" si="167"/>
        <v>132.656346749226</v>
      </c>
      <c r="Q63" s="118">
        <f>((P63/G63)^(1/($H$2-$H$1) ))-1</f>
        <v>5.7032548115998338E-4</v>
      </c>
      <c r="R63" s="128"/>
      <c r="S63" s="157">
        <f t="shared" ref="S63:AB63" si="168">S13/S42</f>
        <v>132.656346749226</v>
      </c>
      <c r="T63" s="157">
        <f t="shared" si="168"/>
        <v>132.656346749226</v>
      </c>
      <c r="U63" s="157">
        <f t="shared" si="168"/>
        <v>132.656346749226</v>
      </c>
      <c r="V63" s="157">
        <f t="shared" si="168"/>
        <v>132.65634674922597</v>
      </c>
      <c r="W63" s="157">
        <f t="shared" si="168"/>
        <v>132.65634674922597</v>
      </c>
      <c r="X63" s="157">
        <f t="shared" si="168"/>
        <v>132.65634674922597</v>
      </c>
      <c r="Y63" s="157">
        <f t="shared" si="168"/>
        <v>132.65634674922597</v>
      </c>
      <c r="Z63" s="157">
        <f t="shared" si="168"/>
        <v>132.65634674922597</v>
      </c>
      <c r="AA63" s="157">
        <f t="shared" si="168"/>
        <v>132.656346749226</v>
      </c>
      <c r="AB63" s="157">
        <f t="shared" si="168"/>
        <v>132.656346749226</v>
      </c>
      <c r="AC63" s="138">
        <f t="shared" si="147"/>
        <v>2.7011364078144418E-4</v>
      </c>
      <c r="AD63" s="31">
        <f t="shared" si="17"/>
        <v>0.04</v>
      </c>
      <c r="AE63" s="146">
        <f t="shared" si="148"/>
        <v>766.45889232886145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69">(D62+D63)</f>
        <v>0</v>
      </c>
      <c r="E64" s="127">
        <f t="shared" si="169"/>
        <v>0</v>
      </c>
      <c r="F64" s="144">
        <f t="shared" si="169"/>
        <v>0</v>
      </c>
      <c r="G64" s="144">
        <f t="shared" si="169"/>
        <v>133.91105063381795</v>
      </c>
      <c r="H64" s="144">
        <f t="shared" si="169"/>
        <v>168.41047721564408</v>
      </c>
      <c r="I64" s="144">
        <f t="shared" si="169"/>
        <v>49.695012558306431</v>
      </c>
      <c r="J64" s="144">
        <f t="shared" si="169"/>
        <v>40.739146035163259</v>
      </c>
      <c r="K64" s="144">
        <f t="shared" si="169"/>
        <v>68.175564116675829</v>
      </c>
      <c r="L64" s="144">
        <f t="shared" si="169"/>
        <v>49.809507429829388</v>
      </c>
      <c r="M64" s="144">
        <f t="shared" si="169"/>
        <v>32.914707857622567</v>
      </c>
      <c r="N64" s="144">
        <f t="shared" si="169"/>
        <v>59.835625628983557</v>
      </c>
      <c r="O64" s="144">
        <f t="shared" ref="O64" si="170">(O62+O63)</f>
        <v>134.42777050391109</v>
      </c>
      <c r="P64" s="144">
        <f t="shared" si="169"/>
        <v>288.86687306501551</v>
      </c>
      <c r="Q64" s="118">
        <f>((P64/G64)^(1/($H$2-$H$1) ))-1</f>
        <v>8.9175653081219552E-2</v>
      </c>
      <c r="R64" s="128"/>
      <c r="S64" s="157">
        <f t="shared" ref="S64:AB64" si="171">(S62+S63)</f>
        <v>288.86687306501551</v>
      </c>
      <c r="T64" s="157">
        <f t="shared" si="171"/>
        <v>288.86687306501545</v>
      </c>
      <c r="U64" s="157">
        <f t="shared" si="171"/>
        <v>288.86687306501545</v>
      </c>
      <c r="V64" s="157">
        <f t="shared" si="171"/>
        <v>288.8668730650154</v>
      </c>
      <c r="W64" s="157">
        <f t="shared" si="171"/>
        <v>288.8668730650154</v>
      </c>
      <c r="X64" s="157">
        <f t="shared" si="171"/>
        <v>288.8668730650154</v>
      </c>
      <c r="Y64" s="157">
        <f t="shared" si="171"/>
        <v>288.86687306501545</v>
      </c>
      <c r="Z64" s="157">
        <f t="shared" si="171"/>
        <v>288.86687306501545</v>
      </c>
      <c r="AA64" s="157">
        <f t="shared" si="171"/>
        <v>288.86687306501551</v>
      </c>
      <c r="AB64" s="157">
        <f t="shared" si="171"/>
        <v>288.86687306501551</v>
      </c>
      <c r="AC64" s="138">
        <f t="shared" si="147"/>
        <v>4.1292406118930591E-2</v>
      </c>
      <c r="AD64" s="31">
        <f t="shared" si="17"/>
        <v>0.04</v>
      </c>
      <c r="AE64" s="146">
        <f t="shared" si="148"/>
        <v>1669.0085999312007</v>
      </c>
    </row>
    <row r="65" spans="2:31" x14ac:dyDescent="0.2">
      <c r="B65" s="20" t="s">
        <v>249</v>
      </c>
      <c r="C65" s="127">
        <f t="shared" ref="C65:P65" si="172">C15/C42</f>
        <v>0</v>
      </c>
      <c r="D65" s="127">
        <f t="shared" si="172"/>
        <v>0</v>
      </c>
      <c r="E65" s="127">
        <f t="shared" si="172"/>
        <v>0</v>
      </c>
      <c r="F65" s="144">
        <f t="shared" si="172"/>
        <v>0</v>
      </c>
      <c r="G65" s="144">
        <f t="shared" si="172"/>
        <v>77.153906753562993</v>
      </c>
      <c r="H65" s="144">
        <f t="shared" si="172"/>
        <v>84.147829207032657</v>
      </c>
      <c r="I65" s="144">
        <f t="shared" si="172"/>
        <v>107.32687477574453</v>
      </c>
      <c r="J65" s="144">
        <f t="shared" si="172"/>
        <v>119.82059562253319</v>
      </c>
      <c r="K65" s="144">
        <f t="shared" si="172"/>
        <v>175.99752339020361</v>
      </c>
      <c r="L65" s="144">
        <f t="shared" si="172"/>
        <v>411.68134287286733</v>
      </c>
      <c r="M65" s="144">
        <f t="shared" si="172"/>
        <v>248.83814640698455</v>
      </c>
      <c r="N65" s="144">
        <f t="shared" si="172"/>
        <v>349.27541093592754</v>
      </c>
      <c r="O65" s="144">
        <f t="shared" si="172"/>
        <v>419.3641521469097</v>
      </c>
      <c r="P65" s="144">
        <f t="shared" si="172"/>
        <v>421.26934984520125</v>
      </c>
      <c r="Q65" s="118">
        <f>((P65/G65)^(1/($H$2-$H$1) ))-1</f>
        <v>0.20756725158892864</v>
      </c>
      <c r="R65" s="128"/>
      <c r="S65" s="157">
        <f t="shared" ref="S65:AB65" si="173">S15/S42</f>
        <v>421.26934984520119</v>
      </c>
      <c r="T65" s="157">
        <f t="shared" si="173"/>
        <v>421.26934984520119</v>
      </c>
      <c r="U65" s="157">
        <f t="shared" si="173"/>
        <v>421.26934984520119</v>
      </c>
      <c r="V65" s="157">
        <f t="shared" si="173"/>
        <v>421.26934984520119</v>
      </c>
      <c r="W65" s="157">
        <f t="shared" si="173"/>
        <v>421.26934984520119</v>
      </c>
      <c r="X65" s="157">
        <f t="shared" si="173"/>
        <v>421.26934984520119</v>
      </c>
      <c r="Y65" s="157">
        <f t="shared" si="173"/>
        <v>421.26934984520119</v>
      </c>
      <c r="Z65" s="157">
        <f t="shared" si="173"/>
        <v>421.26934984520119</v>
      </c>
      <c r="AA65" s="157">
        <f t="shared" si="173"/>
        <v>421.26934984520119</v>
      </c>
      <c r="AB65" s="157">
        <f t="shared" si="173"/>
        <v>421.26934984520119</v>
      </c>
      <c r="AC65" s="138">
        <f t="shared" si="147"/>
        <v>9.3452953891857371E-2</v>
      </c>
      <c r="AD65" s="31">
        <f t="shared" si="17"/>
        <v>0.04</v>
      </c>
      <c r="AE65" s="146">
        <f t="shared" si="148"/>
        <v>2434.0006879944958</v>
      </c>
    </row>
    <row r="66" spans="2:31" x14ac:dyDescent="0.2">
      <c r="B66" s="20" t="s">
        <v>250</v>
      </c>
      <c r="C66" s="127">
        <f t="shared" ref="C66:P66" si="174">C16/C42</f>
        <v>0</v>
      </c>
      <c r="D66" s="127">
        <f t="shared" si="174"/>
        <v>0</v>
      </c>
      <c r="E66" s="127">
        <f t="shared" si="174"/>
        <v>0</v>
      </c>
      <c r="F66" s="144">
        <f t="shared" si="174"/>
        <v>0</v>
      </c>
      <c r="G66" s="144">
        <f t="shared" si="174"/>
        <v>16.901811931533338</v>
      </c>
      <c r="H66" s="144">
        <f t="shared" si="174"/>
        <v>12.213850017940437</v>
      </c>
      <c r="I66" s="144">
        <f t="shared" si="174"/>
        <v>21.298887692859708</v>
      </c>
      <c r="J66" s="144">
        <f t="shared" si="174"/>
        <v>42.145676354503053</v>
      </c>
      <c r="K66" s="144">
        <f t="shared" si="174"/>
        <v>115.73335167859108</v>
      </c>
      <c r="L66" s="144">
        <f t="shared" si="174"/>
        <v>71.009906439185457</v>
      </c>
      <c r="M66" s="144">
        <f t="shared" si="174"/>
        <v>66.537944929482876</v>
      </c>
      <c r="N66" s="144">
        <f t="shared" si="174"/>
        <v>114.70647433747064</v>
      </c>
      <c r="O66" s="144">
        <f t="shared" si="174"/>
        <v>160.62376204384464</v>
      </c>
      <c r="P66" s="144">
        <f t="shared" si="174"/>
        <v>142.53560371517028</v>
      </c>
      <c r="Q66" s="118">
        <f>((P66/G66)^(1/($H$2-$H$1) ))-1</f>
        <v>0.26732437606214066</v>
      </c>
      <c r="R66" s="128"/>
      <c r="S66" s="157">
        <f t="shared" ref="S66:AB66" si="175">S16/S42</f>
        <v>142.53560371517028</v>
      </c>
      <c r="T66" s="157">
        <f t="shared" si="175"/>
        <v>142.53560371517028</v>
      </c>
      <c r="U66" s="157">
        <f t="shared" si="175"/>
        <v>142.53560371517028</v>
      </c>
      <c r="V66" s="157">
        <f t="shared" si="175"/>
        <v>142.53560371517028</v>
      </c>
      <c r="W66" s="157">
        <f t="shared" si="175"/>
        <v>142.53560371517028</v>
      </c>
      <c r="X66" s="157">
        <f t="shared" si="175"/>
        <v>142.53560371517028</v>
      </c>
      <c r="Y66" s="157">
        <f t="shared" si="175"/>
        <v>142.53560371517028</v>
      </c>
      <c r="Z66" s="157">
        <f t="shared" si="175"/>
        <v>142.53560371517028</v>
      </c>
      <c r="AA66" s="157">
        <f t="shared" si="175"/>
        <v>142.53560371517031</v>
      </c>
      <c r="AB66" s="157">
        <f t="shared" si="175"/>
        <v>142.53560371517031</v>
      </c>
      <c r="AC66" s="138">
        <f t="shared" si="147"/>
        <v>0.1187584299035005</v>
      </c>
      <c r="AD66" s="137"/>
      <c r="AE66" s="146">
        <f t="shared" si="148"/>
        <v>647.8891077962287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0.04</v>
      </c>
      <c r="AE67" s="146">
        <f t="shared" si="148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76">D43</f>
        <v>0</v>
      </c>
      <c r="E68" s="159">
        <f t="shared" si="176"/>
        <v>0</v>
      </c>
      <c r="F68" s="159">
        <f t="shared" si="176"/>
        <v>0</v>
      </c>
      <c r="G68" s="159">
        <f t="shared" si="176"/>
        <v>5.25</v>
      </c>
      <c r="H68" s="159">
        <f t="shared" si="176"/>
        <v>7.5</v>
      </c>
      <c r="I68" s="159">
        <f t="shared" si="176"/>
        <v>10</v>
      </c>
      <c r="J68" s="159">
        <f t="shared" si="176"/>
        <v>11</v>
      </c>
      <c r="K68" s="159">
        <f t="shared" si="176"/>
        <v>13</v>
      </c>
      <c r="L68" s="159">
        <f t="shared" si="176"/>
        <v>13</v>
      </c>
      <c r="M68" s="159">
        <f t="shared" si="176"/>
        <v>7</v>
      </c>
      <c r="N68" s="159">
        <f t="shared" si="176"/>
        <v>8</v>
      </c>
      <c r="O68" s="159">
        <f t="shared" si="176"/>
        <v>8.5</v>
      </c>
      <c r="P68" s="159">
        <f t="shared" si="176"/>
        <v>9</v>
      </c>
      <c r="Q68" s="118">
        <f>((P68/G68)^(1/($H$2-$H$1) ))-1</f>
        <v>6.1718158457117367E-2</v>
      </c>
      <c r="R68" s="128"/>
      <c r="S68" s="159">
        <f t="shared" ref="S68:AB68" si="177">S43</f>
        <v>9.4500000000000011</v>
      </c>
      <c r="T68" s="159">
        <f t="shared" si="177"/>
        <v>9.9225000000000012</v>
      </c>
      <c r="U68" s="159">
        <f t="shared" si="177"/>
        <v>10.418625000000002</v>
      </c>
      <c r="V68" s="159">
        <f t="shared" si="177"/>
        <v>10.939556250000003</v>
      </c>
      <c r="W68" s="159">
        <f t="shared" si="177"/>
        <v>11.486534062500002</v>
      </c>
      <c r="X68" s="159">
        <f t="shared" si="177"/>
        <v>12.060860765625003</v>
      </c>
      <c r="Y68" s="159">
        <f t="shared" si="177"/>
        <v>12.663903803906255</v>
      </c>
      <c r="Z68" s="159">
        <f t="shared" si="177"/>
        <v>13.297098994101567</v>
      </c>
      <c r="AA68" s="159">
        <f t="shared" si="177"/>
        <v>13.961953943806646</v>
      </c>
      <c r="AB68" s="159">
        <f t="shared" si="177"/>
        <v>14.660051640996979</v>
      </c>
      <c r="AC68" s="138">
        <f t="shared" ref="AC68" si="178">((AB68/G68)^(1/($AB$3-$H$1) ))-1</f>
        <v>5.553449678183342E-2</v>
      </c>
      <c r="AD68" s="31">
        <f t="shared" si="17"/>
        <v>0.04</v>
      </c>
      <c r="AE68" s="146">
        <f t="shared" si="148"/>
        <v>84.702520592426993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79">C20+C21</f>
        <v>0</v>
      </c>
      <c r="D70" s="127">
        <f t="shared" si="179"/>
        <v>0</v>
      </c>
      <c r="E70" s="127">
        <f t="shared" si="179"/>
        <v>0</v>
      </c>
      <c r="F70" s="144">
        <f t="shared" si="179"/>
        <v>0</v>
      </c>
      <c r="G70" s="144">
        <f t="shared" si="179"/>
        <v>1168</v>
      </c>
      <c r="H70" s="144">
        <f t="shared" si="179"/>
        <v>9092</v>
      </c>
      <c r="I70" s="144">
        <f t="shared" si="179"/>
        <v>-2916</v>
      </c>
      <c r="J70" s="144">
        <f t="shared" si="179"/>
        <v>-12497</v>
      </c>
      <c r="K70" s="144">
        <f t="shared" si="179"/>
        <v>-14192</v>
      </c>
      <c r="L70" s="144">
        <f t="shared" si="179"/>
        <v>-6819</v>
      </c>
      <c r="M70" s="144">
        <f t="shared" si="179"/>
        <v>2264</v>
      </c>
      <c r="N70" s="144">
        <f t="shared" si="179"/>
        <v>1295</v>
      </c>
      <c r="O70" s="144">
        <f t="shared" si="179"/>
        <v>18182</v>
      </c>
      <c r="P70" s="144">
        <f t="shared" si="179"/>
        <v>9268</v>
      </c>
      <c r="Q70" s="118">
        <f>((P70/G70)^(1/($H$2-$H$1) ))-1</f>
        <v>0.25877828536853698</v>
      </c>
      <c r="R70" s="128"/>
      <c r="S70" s="144">
        <f t="shared" ref="S70:AB70" si="180">S20+S21</f>
        <v>10009.439999999999</v>
      </c>
      <c r="T70" s="144">
        <f t="shared" si="180"/>
        <v>10810.195200000002</v>
      </c>
      <c r="U70" s="144">
        <f t="shared" si="180"/>
        <v>11675.010816000002</v>
      </c>
      <c r="V70" s="144">
        <f t="shared" si="180"/>
        <v>12609.011681280004</v>
      </c>
      <c r="W70" s="144">
        <f t="shared" si="180"/>
        <v>13617.732615782406</v>
      </c>
      <c r="X70" s="144">
        <f t="shared" si="180"/>
        <v>14707.151225045003</v>
      </c>
      <c r="Y70" s="144">
        <f t="shared" si="180"/>
        <v>15883.723323048602</v>
      </c>
      <c r="Z70" s="144">
        <f t="shared" si="180"/>
        <v>17154.421188892491</v>
      </c>
      <c r="AA70" s="144">
        <f t="shared" si="180"/>
        <v>18526.774884003891</v>
      </c>
      <c r="AB70" s="144">
        <f t="shared" si="180"/>
        <v>20008.916874724207</v>
      </c>
      <c r="AC70" s="138">
        <f t="shared" ref="AC70:AC75" si="181">((AB70/G70)^(1/($AB$3-$H$1) ))-1</f>
        <v>0.16127700987388693</v>
      </c>
      <c r="AD70" s="31">
        <f t="shared" si="17"/>
        <v>0.04</v>
      </c>
      <c r="AE70" s="146">
        <f t="shared" si="148"/>
        <v>115607.07527618432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82">C70/C42</f>
        <v>0</v>
      </c>
      <c r="D72" s="127">
        <f t="shared" si="182"/>
        <v>0</v>
      </c>
      <c r="E72" s="127">
        <f t="shared" si="182"/>
        <v>0</v>
      </c>
      <c r="F72" s="144">
        <f t="shared" si="182"/>
        <v>0</v>
      </c>
      <c r="G72" s="144">
        <f t="shared" si="182"/>
        <v>8.3649645491656521</v>
      </c>
      <c r="H72" s="144">
        <f t="shared" si="182"/>
        <v>65.245783997129536</v>
      </c>
      <c r="I72" s="144">
        <f t="shared" si="182"/>
        <v>-20.925726587728743</v>
      </c>
      <c r="J72" s="144">
        <f t="shared" si="182"/>
        <v>-89.680660208109074</v>
      </c>
      <c r="K72" s="144">
        <f t="shared" si="182"/>
        <v>-97.633461750137585</v>
      </c>
      <c r="L72" s="144">
        <f t="shared" si="182"/>
        <v>-46.911117226197021</v>
      </c>
      <c r="M72" s="144">
        <f t="shared" si="182"/>
        <v>7.6024177300201474</v>
      </c>
      <c r="N72" s="144">
        <f t="shared" si="182"/>
        <v>4.3441798054344174</v>
      </c>
      <c r="O72" s="144">
        <f t="shared" si="182"/>
        <v>61.040051028972371</v>
      </c>
      <c r="P72" s="144">
        <f t="shared" si="182"/>
        <v>28.693498452012385</v>
      </c>
      <c r="Q72" s="118">
        <f>((P72/G72)^(1/($H$2-$H$1) ))-1</f>
        <v>0.14677953243415365</v>
      </c>
      <c r="R72" s="128"/>
      <c r="S72" s="146">
        <f t="shared" ref="S72:AB72" si="183">S70/S42</f>
        <v>28.693498452012378</v>
      </c>
      <c r="T72" s="146">
        <f t="shared" si="183"/>
        <v>28.693498452012385</v>
      </c>
      <c r="U72" s="146">
        <f t="shared" si="183"/>
        <v>28.693498452012381</v>
      </c>
      <c r="V72" s="146">
        <f t="shared" si="183"/>
        <v>28.693498452012385</v>
      </c>
      <c r="W72" s="146">
        <f t="shared" si="183"/>
        <v>28.693498452012385</v>
      </c>
      <c r="X72" s="146">
        <f t="shared" si="183"/>
        <v>28.693498452012388</v>
      </c>
      <c r="Y72" s="146">
        <f t="shared" si="183"/>
        <v>28.693498452012385</v>
      </c>
      <c r="Z72" s="146">
        <f t="shared" si="183"/>
        <v>28.693498452012385</v>
      </c>
      <c r="AA72" s="146">
        <f t="shared" si="183"/>
        <v>28.693498452012388</v>
      </c>
      <c r="AB72" s="146">
        <f t="shared" si="183"/>
        <v>28.693498452012392</v>
      </c>
      <c r="AC72" s="138">
        <f t="shared" si="181"/>
        <v>6.702527089267285E-2</v>
      </c>
      <c r="AD72" s="31">
        <f t="shared" si="17"/>
        <v>0.04</v>
      </c>
      <c r="AE72" s="146">
        <f t="shared" si="148"/>
        <v>165.78465772273827</v>
      </c>
    </row>
    <row r="73" spans="2:31" x14ac:dyDescent="0.2">
      <c r="B73" s="20" t="s">
        <v>287</v>
      </c>
      <c r="C73" s="127">
        <f t="shared" ref="C73:P73" si="184">C20/C42</f>
        <v>0</v>
      </c>
      <c r="D73" s="127">
        <f t="shared" si="184"/>
        <v>0</v>
      </c>
      <c r="E73" s="127">
        <f t="shared" si="184"/>
        <v>0</v>
      </c>
      <c r="F73" s="144">
        <f t="shared" si="184"/>
        <v>0</v>
      </c>
      <c r="G73" s="144">
        <f t="shared" si="184"/>
        <v>83.563704075055512</v>
      </c>
      <c r="H73" s="144">
        <f t="shared" si="184"/>
        <v>124.18371008252602</v>
      </c>
      <c r="I73" s="144">
        <f t="shared" si="184"/>
        <v>73.720846788661646</v>
      </c>
      <c r="J73" s="144">
        <f t="shared" si="184"/>
        <v>120.18658055256549</v>
      </c>
      <c r="K73" s="144">
        <f t="shared" si="184"/>
        <v>111.67446340121077</v>
      </c>
      <c r="L73" s="144">
        <f t="shared" si="184"/>
        <v>112.04595487066592</v>
      </c>
      <c r="M73" s="144">
        <f t="shared" si="184"/>
        <v>68.817998656816656</v>
      </c>
      <c r="N73" s="144">
        <f t="shared" si="184"/>
        <v>111.83495471318349</v>
      </c>
      <c r="O73" s="144">
        <f t="shared" si="184"/>
        <v>82.193574378084392</v>
      </c>
      <c r="P73" s="144">
        <f t="shared" si="184"/>
        <v>114.29721362229103</v>
      </c>
      <c r="Q73" s="118">
        <f>((P73/G73)^(1/($H$2-$H$1) ))-1</f>
        <v>3.5411792046936341E-2</v>
      </c>
      <c r="R73" s="128"/>
      <c r="S73" s="146">
        <f t="shared" ref="S73:AB73" si="185">S20/S42</f>
        <v>114.29721362229101</v>
      </c>
      <c r="T73" s="146">
        <f t="shared" si="185"/>
        <v>114.29721362229103</v>
      </c>
      <c r="U73" s="146">
        <f t="shared" si="185"/>
        <v>114.29721362229101</v>
      </c>
      <c r="V73" s="146">
        <f t="shared" si="185"/>
        <v>114.29721362229101</v>
      </c>
      <c r="W73" s="146">
        <f t="shared" si="185"/>
        <v>114.29721362229101</v>
      </c>
      <c r="X73" s="146">
        <f t="shared" si="185"/>
        <v>114.29721362229101</v>
      </c>
      <c r="Y73" s="146">
        <f t="shared" si="185"/>
        <v>114.29721362229101</v>
      </c>
      <c r="Z73" s="146">
        <f t="shared" si="185"/>
        <v>114.29721362229103</v>
      </c>
      <c r="AA73" s="146">
        <f t="shared" si="185"/>
        <v>114.29721362229104</v>
      </c>
      <c r="AB73" s="146">
        <f t="shared" si="185"/>
        <v>114.29721362229104</v>
      </c>
      <c r="AC73" s="138">
        <f t="shared" si="181"/>
        <v>1.6620446392785038E-2</v>
      </c>
      <c r="AD73" s="31">
        <f t="shared" si="17"/>
        <v>0.04</v>
      </c>
      <c r="AE73" s="146">
        <f t="shared" si="148"/>
        <v>660.38390092879274</v>
      </c>
    </row>
    <row r="74" spans="2:31" x14ac:dyDescent="0.2">
      <c r="B74" s="20" t="s">
        <v>288</v>
      </c>
      <c r="C74" s="127">
        <f t="shared" ref="C74:P74" si="186">C21/C42</f>
        <v>0</v>
      </c>
      <c r="D74" s="127">
        <f t="shared" si="186"/>
        <v>0</v>
      </c>
      <c r="E74" s="127">
        <f t="shared" si="186"/>
        <v>0</v>
      </c>
      <c r="F74" s="144">
        <f t="shared" si="186"/>
        <v>0</v>
      </c>
      <c r="G74" s="144">
        <f t="shared" si="186"/>
        <v>-75.198739525889849</v>
      </c>
      <c r="H74" s="144">
        <f t="shared" si="186"/>
        <v>-58.937926085396484</v>
      </c>
      <c r="I74" s="144">
        <f t="shared" si="186"/>
        <v>-94.646573376390393</v>
      </c>
      <c r="J74" s="144">
        <f t="shared" si="186"/>
        <v>-209.86724076067458</v>
      </c>
      <c r="K74" s="144">
        <f t="shared" si="186"/>
        <v>-209.30792515134834</v>
      </c>
      <c r="L74" s="144">
        <f t="shared" si="186"/>
        <v>-158.95707209686296</v>
      </c>
      <c r="M74" s="144">
        <f t="shared" si="186"/>
        <v>-61.215580926796505</v>
      </c>
      <c r="N74" s="144">
        <f t="shared" si="186"/>
        <v>-107.49077490774907</v>
      </c>
      <c r="O74" s="144">
        <f t="shared" si="186"/>
        <v>-21.153523349112028</v>
      </c>
      <c r="P74" s="144">
        <f t="shared" si="186"/>
        <v>-85.603715170278633</v>
      </c>
      <c r="Q74" s="118">
        <f>((P74/G74)^(1/($H$2-$H$1) ))-1</f>
        <v>1.4503527307962116E-2</v>
      </c>
      <c r="R74" s="128"/>
      <c r="S74" s="146">
        <f t="shared" ref="S74:AB74" si="187">S21/S42</f>
        <v>-85.603715170278647</v>
      </c>
      <c r="T74" s="146">
        <f t="shared" si="187"/>
        <v>-85.603715170278633</v>
      </c>
      <c r="U74" s="146">
        <f t="shared" si="187"/>
        <v>-85.603715170278633</v>
      </c>
      <c r="V74" s="146">
        <f t="shared" si="187"/>
        <v>-85.603715170278633</v>
      </c>
      <c r="W74" s="146">
        <f t="shared" si="187"/>
        <v>-85.603715170278633</v>
      </c>
      <c r="X74" s="146">
        <f t="shared" si="187"/>
        <v>-85.603715170278619</v>
      </c>
      <c r="Y74" s="146">
        <f t="shared" si="187"/>
        <v>-85.603715170278633</v>
      </c>
      <c r="Z74" s="146">
        <f t="shared" si="187"/>
        <v>-85.603715170278633</v>
      </c>
      <c r="AA74" s="146">
        <f t="shared" si="187"/>
        <v>-85.603715170278647</v>
      </c>
      <c r="AB74" s="146">
        <f t="shared" si="187"/>
        <v>-85.603715170278647</v>
      </c>
      <c r="AC74" s="138">
        <f t="shared" si="181"/>
        <v>6.8440624128403016E-3</v>
      </c>
      <c r="AD74" s="31">
        <f t="shared" si="17"/>
        <v>0.04</v>
      </c>
      <c r="AE74" s="146">
        <f t="shared" si="148"/>
        <v>-494.59924320605444</v>
      </c>
    </row>
    <row r="75" spans="2:31" x14ac:dyDescent="0.2">
      <c r="B75" s="20" t="s">
        <v>289</v>
      </c>
      <c r="C75" s="127">
        <f t="shared" ref="C75:P75" si="188">C22/C42</f>
        <v>0</v>
      </c>
      <c r="D75" s="127">
        <f t="shared" si="188"/>
        <v>0</v>
      </c>
      <c r="E75" s="127">
        <f t="shared" si="188"/>
        <v>0</v>
      </c>
      <c r="F75" s="144">
        <f t="shared" si="188"/>
        <v>0</v>
      </c>
      <c r="G75" s="144">
        <f t="shared" si="188"/>
        <v>-7.4912268137219797</v>
      </c>
      <c r="H75" s="144">
        <f t="shared" si="188"/>
        <v>-40.94725511302476</v>
      </c>
      <c r="I75" s="144">
        <f t="shared" si="188"/>
        <v>13.749551489056334</v>
      </c>
      <c r="J75" s="144">
        <f t="shared" si="188"/>
        <v>-77.043415859346965</v>
      </c>
      <c r="K75" s="144">
        <f t="shared" si="188"/>
        <v>114.99724821133736</v>
      </c>
      <c r="L75" s="144">
        <f t="shared" si="188"/>
        <v>172.23445239405612</v>
      </c>
      <c r="M75" s="144">
        <f t="shared" si="188"/>
        <v>-37.384150436534583</v>
      </c>
      <c r="N75" s="144">
        <f t="shared" si="188"/>
        <v>50.147601476014756</v>
      </c>
      <c r="O75" s="144">
        <f t="shared" si="188"/>
        <v>-25.480914492899586</v>
      </c>
      <c r="P75" s="144">
        <f t="shared" si="188"/>
        <v>1.263157894736842</v>
      </c>
      <c r="Q75" s="118">
        <f>((P75/G75)^(1/($H$2-$H$1) ))-1</f>
        <v>-1.8205414444632582</v>
      </c>
      <c r="R75" s="128"/>
      <c r="S75" s="146">
        <f t="shared" ref="S75:AB75" si="189">S22/S42</f>
        <v>1.263157894736842</v>
      </c>
      <c r="T75" s="146">
        <f t="shared" si="189"/>
        <v>1.263157894736842</v>
      </c>
      <c r="U75" s="146">
        <f t="shared" si="189"/>
        <v>1.263157894736842</v>
      </c>
      <c r="V75" s="146">
        <f t="shared" si="189"/>
        <v>1.263157894736842</v>
      </c>
      <c r="W75" s="146">
        <f t="shared" si="189"/>
        <v>1.2631578947368418</v>
      </c>
      <c r="X75" s="146">
        <f t="shared" si="189"/>
        <v>1.2631578947368418</v>
      </c>
      <c r="Y75" s="146">
        <f t="shared" si="189"/>
        <v>1.2631578947368418</v>
      </c>
      <c r="Z75" s="146">
        <f t="shared" si="189"/>
        <v>1.263157894736842</v>
      </c>
      <c r="AA75" s="146">
        <f t="shared" si="189"/>
        <v>1.263157894736842</v>
      </c>
      <c r="AB75" s="146">
        <f t="shared" si="189"/>
        <v>1.263157894736842</v>
      </c>
      <c r="AC75" s="138">
        <f t="shared" si="181"/>
        <v>-1.9105646233528151</v>
      </c>
      <c r="AD75" s="31">
        <f t="shared" si="17"/>
        <v>0.04</v>
      </c>
      <c r="AE75" s="146">
        <f t="shared" si="148"/>
        <v>7.2982456140350882</v>
      </c>
    </row>
    <row r="76" spans="2:31" x14ac:dyDescent="0.2">
      <c r="B76" s="20" t="s">
        <v>296</v>
      </c>
      <c r="C76" s="127">
        <f t="shared" ref="C76:P76" si="190">C23/C42</f>
        <v>0</v>
      </c>
      <c r="D76" s="127">
        <f t="shared" si="190"/>
        <v>0</v>
      </c>
      <c r="E76" s="127">
        <f t="shared" si="190"/>
        <v>0</v>
      </c>
      <c r="F76" s="144">
        <f t="shared" si="190"/>
        <v>0</v>
      </c>
      <c r="G76" s="144">
        <f t="shared" si="190"/>
        <v>1.933681873522882</v>
      </c>
      <c r="H76" s="144">
        <f t="shared" si="190"/>
        <v>25.905992106207393</v>
      </c>
      <c r="I76" s="144">
        <f t="shared" si="190"/>
        <v>18.772874058127019</v>
      </c>
      <c r="J76" s="144">
        <f t="shared" si="190"/>
        <v>13.900251166128454</v>
      </c>
      <c r="K76" s="144">
        <f t="shared" si="190"/>
        <v>30.778756191524486</v>
      </c>
      <c r="L76" s="144">
        <f t="shared" si="190"/>
        <v>156.45294441386901</v>
      </c>
      <c r="M76" s="144">
        <f t="shared" si="190"/>
        <v>46.642041638683679</v>
      </c>
      <c r="N76" s="144">
        <f t="shared" si="190"/>
        <v>101.10365649111036</v>
      </c>
      <c r="O76" s="144">
        <f t="shared" si="190"/>
        <v>136.74086010675799</v>
      </c>
      <c r="P76" s="144">
        <f t="shared" si="190"/>
        <v>156.21052631578948</v>
      </c>
      <c r="Q76" s="118">
        <f>((P76/G76)^(1/($H$2-$H$1) ))-1</f>
        <v>0.62901479980325603</v>
      </c>
      <c r="R76" s="128"/>
      <c r="S76" s="146">
        <f t="shared" ref="S76:AB76" si="191">S23/S42</f>
        <v>156.21052631578948</v>
      </c>
      <c r="T76" s="146">
        <f t="shared" si="191"/>
        <v>156.21052631578945</v>
      </c>
      <c r="U76" s="146">
        <f t="shared" si="191"/>
        <v>156.21052631578945</v>
      </c>
      <c r="V76" s="146">
        <f t="shared" si="191"/>
        <v>156.21052631578945</v>
      </c>
      <c r="W76" s="146">
        <f t="shared" si="191"/>
        <v>156.21052631578945</v>
      </c>
      <c r="X76" s="146">
        <f t="shared" si="191"/>
        <v>156.21052631578945</v>
      </c>
      <c r="Y76" s="146">
        <f t="shared" si="191"/>
        <v>156.21052631578948</v>
      </c>
      <c r="Z76" s="146">
        <f t="shared" si="191"/>
        <v>156.21052631578948</v>
      </c>
      <c r="AA76" s="146">
        <f t="shared" si="191"/>
        <v>156.21052631578951</v>
      </c>
      <c r="AB76" s="146">
        <f t="shared" si="191"/>
        <v>156.21052631578951</v>
      </c>
      <c r="AC76" s="138">
        <f t="shared" ref="AC76" si="192">((AB76/G76)^(1/($AB$3-$H$1) ))-1</f>
        <v>0.26004350621493155</v>
      </c>
      <c r="AD76" s="31">
        <f t="shared" si="17"/>
        <v>0.04</v>
      </c>
      <c r="AE76" s="146">
        <f t="shared" si="148"/>
        <v>902.54970760233948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193">C36/C42</f>
        <v>0</v>
      </c>
      <c r="D78" s="144">
        <f t="shared" si="193"/>
        <v>0</v>
      </c>
      <c r="E78" s="144">
        <f t="shared" si="193"/>
        <v>0</v>
      </c>
      <c r="F78" s="144">
        <f t="shared" si="193"/>
        <v>0</v>
      </c>
      <c r="G78" s="144">
        <f t="shared" si="193"/>
        <v>68.588412232328295</v>
      </c>
      <c r="H78" s="144">
        <f t="shared" si="193"/>
        <v>91.158952278435592</v>
      </c>
      <c r="I78" s="144">
        <f t="shared" si="193"/>
        <v>104.14065303193398</v>
      </c>
      <c r="J78" s="144">
        <f t="shared" si="193"/>
        <v>147.67133118048082</v>
      </c>
      <c r="K78" s="144">
        <f t="shared" si="193"/>
        <v>153.65299944964227</v>
      </c>
      <c r="L78" s="144">
        <f t="shared" si="193"/>
        <v>167.66648321408914</v>
      </c>
      <c r="M78" s="144">
        <f t="shared" si="193"/>
        <v>101.5849563465413</v>
      </c>
      <c r="N78" s="144">
        <f t="shared" si="193"/>
        <v>127.48742032874873</v>
      </c>
      <c r="O78" s="144">
        <f t="shared" si="193"/>
        <v>116.8932755900225</v>
      </c>
      <c r="P78" s="144">
        <f t="shared" si="193"/>
        <v>102.30650154798762</v>
      </c>
      <c r="Q78" s="118">
        <f>((P78/G78)^(1/($H$2-$H$1) ))-1</f>
        <v>4.5429426849579846E-2</v>
      </c>
      <c r="R78" s="128"/>
      <c r="S78" s="144">
        <f t="shared" ref="S78:AB78" si="194">S36/S42</f>
        <v>102.30650154798762</v>
      </c>
      <c r="T78" s="144">
        <f t="shared" si="194"/>
        <v>102.30650154798762</v>
      </c>
      <c r="U78" s="144">
        <f t="shared" si="194"/>
        <v>102.30650154798761</v>
      </c>
      <c r="V78" s="144">
        <f t="shared" si="194"/>
        <v>102.30650154798762</v>
      </c>
      <c r="W78" s="144">
        <f t="shared" si="194"/>
        <v>102.30650154798762</v>
      </c>
      <c r="X78" s="144">
        <f t="shared" si="194"/>
        <v>102.30650154798762</v>
      </c>
      <c r="Y78" s="144">
        <f t="shared" si="194"/>
        <v>102.30650154798762</v>
      </c>
      <c r="Z78" s="144">
        <f t="shared" si="194"/>
        <v>102.30650154798764</v>
      </c>
      <c r="AA78" s="144">
        <f t="shared" si="194"/>
        <v>102.30650154798764</v>
      </c>
      <c r="AB78" s="144">
        <f t="shared" si="194"/>
        <v>102.30650154798764</v>
      </c>
      <c r="AC78" s="138">
        <f t="shared" ref="AC78:AC80" si="195">((AB78/G78)^(1/($AB$3-$H$1) ))-1</f>
        <v>2.1267718597447027E-2</v>
      </c>
      <c r="AD78" s="31">
        <f t="shared" si="17"/>
        <v>0.04</v>
      </c>
      <c r="AE78" s="146">
        <f t="shared" si="148"/>
        <v>591.10423116615084</v>
      </c>
    </row>
    <row r="79" spans="2:31" x14ac:dyDescent="0.2">
      <c r="B79" s="20" t="s">
        <v>312</v>
      </c>
      <c r="C79" s="144">
        <f t="shared" ref="C79:P79" si="196">C40/C42</f>
        <v>0</v>
      </c>
      <c r="D79" s="144">
        <f t="shared" si="196"/>
        <v>0</v>
      </c>
      <c r="E79" s="144">
        <f t="shared" si="196"/>
        <v>0</v>
      </c>
      <c r="F79" s="144">
        <f t="shared" si="196"/>
        <v>0</v>
      </c>
      <c r="G79" s="144">
        <f t="shared" si="196"/>
        <v>37.012103416171314</v>
      </c>
      <c r="H79" s="144">
        <f t="shared" si="196"/>
        <v>54.739863652673129</v>
      </c>
      <c r="I79" s="144">
        <f t="shared" si="196"/>
        <v>67.412988876928594</v>
      </c>
      <c r="J79" s="144">
        <f t="shared" si="196"/>
        <v>86.645138141370651</v>
      </c>
      <c r="K79" s="144">
        <f t="shared" si="196"/>
        <v>134.30792515134837</v>
      </c>
      <c r="L79" s="144">
        <f t="shared" si="196"/>
        <v>102.84810126582278</v>
      </c>
      <c r="M79" s="144">
        <f t="shared" si="196"/>
        <v>82.011417058428478</v>
      </c>
      <c r="N79" s="144">
        <f t="shared" si="196"/>
        <v>64.646091915464609</v>
      </c>
      <c r="O79" s="144">
        <f t="shared" si="196"/>
        <v>66.193305804545602</v>
      </c>
      <c r="P79" s="144">
        <f t="shared" si="196"/>
        <v>64.662538699690401</v>
      </c>
      <c r="Q79" s="118">
        <f>((P79/G79)^(1/($H$2-$H$1) ))-1</f>
        <v>6.3954903556104448E-2</v>
      </c>
      <c r="R79" s="128"/>
      <c r="S79" s="144">
        <f t="shared" ref="S79:AB79" si="197">S40/S42</f>
        <v>64.662538699690401</v>
      </c>
      <c r="T79" s="144">
        <f t="shared" si="197"/>
        <v>64.662538699690387</v>
      </c>
      <c r="U79" s="144">
        <f t="shared" si="197"/>
        <v>64.662538699690387</v>
      </c>
      <c r="V79" s="144">
        <f t="shared" si="197"/>
        <v>64.662538699690387</v>
      </c>
      <c r="W79" s="144">
        <f t="shared" si="197"/>
        <v>64.662538699690387</v>
      </c>
      <c r="X79" s="144">
        <f t="shared" si="197"/>
        <v>64.662538699690387</v>
      </c>
      <c r="Y79" s="144">
        <f t="shared" si="197"/>
        <v>64.662538699690387</v>
      </c>
      <c r="Z79" s="144">
        <f t="shared" si="197"/>
        <v>64.662538699690387</v>
      </c>
      <c r="AA79" s="144">
        <f t="shared" si="197"/>
        <v>64.662538699690401</v>
      </c>
      <c r="AB79" s="144">
        <f t="shared" si="197"/>
        <v>64.662538699690401</v>
      </c>
      <c r="AC79" s="138">
        <f t="shared" si="195"/>
        <v>2.980051443077425E-2</v>
      </c>
      <c r="AD79" s="31">
        <f t="shared" si="17"/>
        <v>0.04</v>
      </c>
      <c r="AE79" s="146">
        <f t="shared" si="148"/>
        <v>373.60577915376683</v>
      </c>
    </row>
    <row r="80" spans="2:31" x14ac:dyDescent="0.2">
      <c r="B80" s="20" t="s">
        <v>313</v>
      </c>
      <c r="C80" s="144">
        <f t="shared" ref="C80:P80" si="198">C6/C42</f>
        <v>0</v>
      </c>
      <c r="D80" s="144">
        <f t="shared" si="198"/>
        <v>0</v>
      </c>
      <c r="E80" s="144">
        <f t="shared" si="198"/>
        <v>0</v>
      </c>
      <c r="F80" s="144">
        <f t="shared" si="198"/>
        <v>0</v>
      </c>
      <c r="G80" s="144">
        <f t="shared" si="198"/>
        <v>240.78636396189933</v>
      </c>
      <c r="H80" s="144">
        <f t="shared" si="198"/>
        <v>262.56189451022607</v>
      </c>
      <c r="I80" s="144">
        <f t="shared" si="198"/>
        <v>320.39468963042697</v>
      </c>
      <c r="J80" s="144">
        <f t="shared" si="198"/>
        <v>457.66774309293146</v>
      </c>
      <c r="K80" s="144">
        <f t="shared" si="198"/>
        <v>558.37919647771048</v>
      </c>
      <c r="L80" s="144">
        <f t="shared" si="198"/>
        <v>740.04540451293337</v>
      </c>
      <c r="M80" s="144">
        <f t="shared" si="198"/>
        <v>431.87038280725318</v>
      </c>
      <c r="N80" s="144">
        <f t="shared" si="198"/>
        <v>486.46762831264675</v>
      </c>
      <c r="O80" s="144">
        <f t="shared" si="198"/>
        <v>546.29872091852144</v>
      </c>
      <c r="P80" s="144">
        <f t="shared" si="198"/>
        <v>554.47058823529414</v>
      </c>
      <c r="Q80" s="118">
        <f>((P80/G80)^(1/($H$2-$H$1) ))-1</f>
        <v>9.7108614230147161E-2</v>
      </c>
      <c r="R80" s="128"/>
      <c r="S80" s="144">
        <f t="shared" ref="S80:AB80" si="199">S6/S42</f>
        <v>554.47058823529414</v>
      </c>
      <c r="T80" s="144">
        <f t="shared" si="199"/>
        <v>554.47058823529414</v>
      </c>
      <c r="U80" s="144">
        <f t="shared" si="199"/>
        <v>554.47058823529414</v>
      </c>
      <c r="V80" s="144">
        <f t="shared" si="199"/>
        <v>554.47058823529414</v>
      </c>
      <c r="W80" s="144">
        <f t="shared" si="199"/>
        <v>554.47058823529414</v>
      </c>
      <c r="X80" s="144">
        <f t="shared" si="199"/>
        <v>554.47058823529403</v>
      </c>
      <c r="Y80" s="144">
        <f t="shared" si="199"/>
        <v>554.47058823529414</v>
      </c>
      <c r="Z80" s="144">
        <f t="shared" si="199"/>
        <v>554.47058823529414</v>
      </c>
      <c r="AA80" s="144">
        <f t="shared" si="199"/>
        <v>554.47058823529414</v>
      </c>
      <c r="AB80" s="144">
        <f t="shared" si="199"/>
        <v>554.47058823529414</v>
      </c>
      <c r="AC80" s="138">
        <f t="shared" si="195"/>
        <v>4.4878064235436499E-2</v>
      </c>
      <c r="AD80" s="31">
        <f t="shared" ref="AD80" si="200">$L$1</f>
        <v>0.04</v>
      </c>
      <c r="AE80" s="146">
        <f t="shared" si="148"/>
        <v>3203.6078431372557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01">E36/E25</f>
        <v>#DIV/0!</v>
      </c>
      <c r="F84" s="152" t="e">
        <f t="shared" si="201"/>
        <v>#DIV/0!</v>
      </c>
      <c r="G84" s="152">
        <f t="shared" si="201"/>
        <v>0.1808926581417751</v>
      </c>
      <c r="H84" s="152">
        <f t="shared" si="201"/>
        <v>0.1879364421825068</v>
      </c>
      <c r="I84" s="152">
        <f t="shared" si="201"/>
        <v>0.1691828811919279</v>
      </c>
      <c r="J84" s="152">
        <f t="shared" si="201"/>
        <v>0.17925711697271682</v>
      </c>
      <c r="K84" s="152">
        <f t="shared" si="201"/>
        <v>0.15298993081717926</v>
      </c>
      <c r="L84" s="152">
        <f t="shared" si="201"/>
        <v>0.15734021949644933</v>
      </c>
      <c r="M84" s="152">
        <f t="shared" si="201"/>
        <v>0.13697674945099725</v>
      </c>
      <c r="N84" s="152">
        <f t="shared" si="201"/>
        <v>0.13932515067528925</v>
      </c>
      <c r="O84" s="152">
        <f t="shared" si="201"/>
        <v>9.4808267779783642E-2</v>
      </c>
      <c r="P84" s="152">
        <f t="shared" si="201"/>
        <v>8.0620567332629067E-2</v>
      </c>
      <c r="Q84" s="118">
        <f t="shared" ref="Q84:Q134" si="202">((P84/G84)^(1/($H$2-$H$1) ))-1</f>
        <v>-8.58809329667235E-2</v>
      </c>
      <c r="R84" s="152"/>
      <c r="S84" s="152">
        <f t="shared" ref="S84:AB84" si="203">S36/S25</f>
        <v>8.0620567332629081E-2</v>
      </c>
      <c r="T84" s="152">
        <f t="shared" si="203"/>
        <v>8.0620567332629081E-2</v>
      </c>
      <c r="U84" s="152">
        <f t="shared" si="203"/>
        <v>8.0620567332629081E-2</v>
      </c>
      <c r="V84" s="152">
        <f t="shared" si="203"/>
        <v>8.0620567332629081E-2</v>
      </c>
      <c r="W84" s="152">
        <f t="shared" si="203"/>
        <v>8.0620567332629081E-2</v>
      </c>
      <c r="X84" s="152">
        <f t="shared" si="203"/>
        <v>8.0620567332629081E-2</v>
      </c>
      <c r="Y84" s="152">
        <f t="shared" si="203"/>
        <v>8.0620567332629081E-2</v>
      </c>
      <c r="Z84" s="152">
        <f t="shared" si="203"/>
        <v>8.0620567332629081E-2</v>
      </c>
      <c r="AA84" s="152">
        <f t="shared" si="203"/>
        <v>8.0620567332629081E-2</v>
      </c>
      <c r="AB84" s="152">
        <f t="shared" si="203"/>
        <v>8.0620567332629081E-2</v>
      </c>
      <c r="AC84" s="138">
        <f t="shared" ref="AC84:AC121" si="204">((AB84/G84)^(1/($AB$3-$H$1) ))-1</f>
        <v>-4.1642321546472183E-2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05">E40/E25</f>
        <v>#DIV/0!</v>
      </c>
      <c r="F85" s="152" t="e">
        <f t="shared" si="205"/>
        <v>#DIV/0!</v>
      </c>
      <c r="G85" s="152">
        <f t="shared" si="205"/>
        <v>9.7614415503465987E-2</v>
      </c>
      <c r="H85" s="152">
        <f t="shared" si="205"/>
        <v>0.11285359214108179</v>
      </c>
      <c r="I85" s="152">
        <f t="shared" si="205"/>
        <v>0.10951653706704595</v>
      </c>
      <c r="J85" s="152">
        <f t="shared" si="205"/>
        <v>0.1051778807623959</v>
      </c>
      <c r="K85" s="152">
        <f t="shared" si="205"/>
        <v>0.13372833755736693</v>
      </c>
      <c r="L85" s="152">
        <f t="shared" si="205"/>
        <v>9.651387992253066E-2</v>
      </c>
      <c r="M85" s="152">
        <f t="shared" si="205"/>
        <v>0.11058386724321387</v>
      </c>
      <c r="N85" s="152">
        <f t="shared" si="205"/>
        <v>7.0648746938835369E-2</v>
      </c>
      <c r="O85" s="152">
        <f t="shared" si="205"/>
        <v>5.3687199971681955E-2</v>
      </c>
      <c r="P85" s="152">
        <f t="shared" si="205"/>
        <v>5.095600451836256E-2</v>
      </c>
      <c r="Q85" s="118">
        <f t="shared" si="202"/>
        <v>-6.9682334526322331E-2</v>
      </c>
      <c r="R85" s="152"/>
      <c r="S85" s="152">
        <f t="shared" ref="S85:AB85" si="206">S40/S25</f>
        <v>5.095600451836256E-2</v>
      </c>
      <c r="T85" s="152">
        <f t="shared" si="206"/>
        <v>5.0956004518362553E-2</v>
      </c>
      <c r="U85" s="152">
        <f t="shared" si="206"/>
        <v>5.0956004518362553E-2</v>
      </c>
      <c r="V85" s="152">
        <f t="shared" si="206"/>
        <v>5.0956004518362553E-2</v>
      </c>
      <c r="W85" s="152">
        <f t="shared" si="206"/>
        <v>5.0956004518362547E-2</v>
      </c>
      <c r="X85" s="152">
        <f t="shared" si="206"/>
        <v>5.0956004518362547E-2</v>
      </c>
      <c r="Y85" s="152">
        <f t="shared" si="206"/>
        <v>5.0956004518362547E-2</v>
      </c>
      <c r="Z85" s="152">
        <f t="shared" si="206"/>
        <v>5.0956004518362547E-2</v>
      </c>
      <c r="AA85" s="152">
        <f t="shared" si="206"/>
        <v>5.0956004518362547E-2</v>
      </c>
      <c r="AB85" s="152">
        <f t="shared" si="206"/>
        <v>5.0956004518362553E-2</v>
      </c>
      <c r="AC85" s="138">
        <f t="shared" si="204"/>
        <v>-3.3635145507679987E-2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07">E40/E7</f>
        <v>#DIV/0!</v>
      </c>
      <c r="F86" s="152" t="e">
        <f t="shared" si="207"/>
        <v>#DIV/0!</v>
      </c>
      <c r="G86" s="152">
        <f>G40/G7</f>
        <v>0.1475854584915898</v>
      </c>
      <c r="H86" s="152">
        <f t="shared" si="207"/>
        <v>0.18736950701284666</v>
      </c>
      <c r="I86" s="152">
        <f t="shared" si="207"/>
        <v>0.18413109098749461</v>
      </c>
      <c r="J86" s="152">
        <f t="shared" si="207"/>
        <v>0.17701476344763886</v>
      </c>
      <c r="K86" s="152">
        <f t="shared" si="207"/>
        <v>0.2283391812865497</v>
      </c>
      <c r="L86" s="152">
        <f t="shared" si="207"/>
        <v>0.12330303680121406</v>
      </c>
      <c r="M86" s="152">
        <f t="shared" si="207"/>
        <v>0.17321030907363016</v>
      </c>
      <c r="N86" s="152">
        <f t="shared" si="207"/>
        <v>0.12506895634171195</v>
      </c>
      <c r="O86" s="152">
        <f t="shared" si="207"/>
        <v>0.11636224143527399</v>
      </c>
      <c r="P86" s="152">
        <f t="shared" ref="P86" si="208">P40/P7</f>
        <v>0.11472357254675784</v>
      </c>
      <c r="Q86" s="118">
        <f t="shared" si="202"/>
        <v>-2.7598869955339111E-2</v>
      </c>
      <c r="R86" s="20"/>
      <c r="S86" s="152">
        <f t="shared" ref="S86" si="209">S40/S7</f>
        <v>0.11472357254675784</v>
      </c>
      <c r="T86" s="152">
        <f t="shared" ref="T86:AB86" si="210">T40/T7</f>
        <v>0.11472357254675783</v>
      </c>
      <c r="U86" s="152">
        <f t="shared" si="210"/>
        <v>0.11472357254675783</v>
      </c>
      <c r="V86" s="152">
        <f t="shared" si="210"/>
        <v>0.11472357254675782</v>
      </c>
      <c r="W86" s="152">
        <f t="shared" si="210"/>
        <v>0.11472357254675782</v>
      </c>
      <c r="X86" s="152">
        <f t="shared" si="210"/>
        <v>0.11472357254675782</v>
      </c>
      <c r="Y86" s="152">
        <f t="shared" si="210"/>
        <v>0.11472357254675782</v>
      </c>
      <c r="Z86" s="152">
        <f t="shared" si="210"/>
        <v>0.11472357254675782</v>
      </c>
      <c r="AA86" s="152">
        <f t="shared" si="210"/>
        <v>0.11472357254675782</v>
      </c>
      <c r="AB86" s="152">
        <f t="shared" si="210"/>
        <v>0.11472357254675783</v>
      </c>
      <c r="AC86" s="138">
        <f t="shared" si="204"/>
        <v>-1.316945430616423E-2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11">(E40)/(E7+E10)</f>
        <v>#DIV/0!</v>
      </c>
      <c r="F87" s="152" t="e">
        <f t="shared" si="211"/>
        <v>#DIV/0!</v>
      </c>
      <c r="G87" s="152">
        <f>(G40)/(G7+G10)</f>
        <v>9.223136366069995E-2</v>
      </c>
      <c r="H87" s="152">
        <f t="shared" ref="H87:O87" si="212">(H40)/(H7+H10)</f>
        <v>0.12814137884692917</v>
      </c>
      <c r="I87" s="152">
        <f t="shared" si="212"/>
        <v>0.12633136094674557</v>
      </c>
      <c r="J87" s="152">
        <f t="shared" si="212"/>
        <v>0.11853524445317101</v>
      </c>
      <c r="K87" s="152">
        <f t="shared" si="212"/>
        <v>0.14334488531234396</v>
      </c>
      <c r="L87" s="152">
        <f t="shared" si="212"/>
        <v>7.5695435995584856E-2</v>
      </c>
      <c r="M87" s="152">
        <f t="shared" si="212"/>
        <v>0.11878486627400818</v>
      </c>
      <c r="N87" s="152">
        <f t="shared" si="212"/>
        <v>8.0906339083668857E-2</v>
      </c>
      <c r="O87" s="152">
        <f t="shared" si="212"/>
        <v>7.8217232624563635E-2</v>
      </c>
      <c r="P87" s="152">
        <f t="shared" ref="P87" si="213">(P40)/(P7+P10)</f>
        <v>7.6963044030997463E-2</v>
      </c>
      <c r="Q87" s="118">
        <f t="shared" si="202"/>
        <v>-1.9907496453277718E-2</v>
      </c>
      <c r="R87" s="20"/>
      <c r="S87" s="152">
        <f t="shared" ref="S87:AB87" si="214">(S40)/(S7+S10)</f>
        <v>7.6963044030997463E-2</v>
      </c>
      <c r="T87" s="152">
        <f t="shared" si="214"/>
        <v>7.6963044030997449E-2</v>
      </c>
      <c r="U87" s="152">
        <f t="shared" si="214"/>
        <v>7.6963044030997449E-2</v>
      </c>
      <c r="V87" s="152">
        <f t="shared" si="214"/>
        <v>7.6963044030997449E-2</v>
      </c>
      <c r="W87" s="152">
        <f t="shared" si="214"/>
        <v>7.6963044030997449E-2</v>
      </c>
      <c r="X87" s="152">
        <f t="shared" si="214"/>
        <v>7.6963044030997449E-2</v>
      </c>
      <c r="Y87" s="152">
        <f t="shared" si="214"/>
        <v>7.6963044030997449E-2</v>
      </c>
      <c r="Z87" s="152">
        <f t="shared" si="214"/>
        <v>7.6963044030997449E-2</v>
      </c>
      <c r="AA87" s="152">
        <f t="shared" si="214"/>
        <v>7.6963044030997463E-2</v>
      </c>
      <c r="AB87" s="152">
        <f t="shared" si="214"/>
        <v>7.6963044030997463E-2</v>
      </c>
      <c r="AC87" s="138">
        <f t="shared" si="204"/>
        <v>-9.4797748028921935E-3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>
        <f>G20/G25</f>
        <v>0.22038796441455905</v>
      </c>
      <c r="H88" s="152">
        <f t="shared" ref="H88:P88" si="215">H20/H25</f>
        <v>0.25602142265356848</v>
      </c>
      <c r="I88" s="152">
        <f t="shared" si="215"/>
        <v>0.11976403931123727</v>
      </c>
      <c r="J88" s="152">
        <f t="shared" si="215"/>
        <v>0.14589358514233947</v>
      </c>
      <c r="K88" s="152">
        <f t="shared" si="215"/>
        <v>0.1111925474347558</v>
      </c>
      <c r="L88" s="152">
        <f t="shared" si="215"/>
        <v>0.10514525500322788</v>
      </c>
      <c r="M88" s="152">
        <f t="shared" si="215"/>
        <v>9.2793914559326257E-2</v>
      </c>
      <c r="N88" s="152">
        <f t="shared" si="215"/>
        <v>0.12221928936987668</v>
      </c>
      <c r="O88" s="152">
        <f t="shared" si="215"/>
        <v>6.6664488355565724E-2</v>
      </c>
      <c r="P88" s="152">
        <f t="shared" si="215"/>
        <v>9.0069605228809191E-2</v>
      </c>
      <c r="Q88" s="118">
        <f t="shared" si="202"/>
        <v>-9.4640310447868359E-2</v>
      </c>
      <c r="R88" s="20"/>
      <c r="S88" s="152">
        <f t="shared" ref="S88:AB88" si="216">S20/S25</f>
        <v>9.0069605228809205E-2</v>
      </c>
      <c r="T88" s="152">
        <f t="shared" si="216"/>
        <v>9.0069605228809205E-2</v>
      </c>
      <c r="U88" s="152">
        <f t="shared" si="216"/>
        <v>9.0069605228809205E-2</v>
      </c>
      <c r="V88" s="152">
        <f t="shared" si="216"/>
        <v>9.0069605228809205E-2</v>
      </c>
      <c r="W88" s="152">
        <f t="shared" si="216"/>
        <v>9.0069605228809205E-2</v>
      </c>
      <c r="X88" s="152">
        <f t="shared" si="216"/>
        <v>9.0069605228809191E-2</v>
      </c>
      <c r="Y88" s="152">
        <f t="shared" si="216"/>
        <v>9.0069605228809205E-2</v>
      </c>
      <c r="Z88" s="152">
        <f t="shared" si="216"/>
        <v>9.0069605228809191E-2</v>
      </c>
      <c r="AA88" s="152">
        <f t="shared" si="216"/>
        <v>9.0069605228809205E-2</v>
      </c>
      <c r="AB88" s="152">
        <f t="shared" si="216"/>
        <v>9.0069605228809205E-2</v>
      </c>
      <c r="AC88" s="138">
        <f t="shared" si="204"/>
        <v>-4.6003322016865966E-2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>
        <f>G29/G25</f>
        <v>2.7652380862436959E-2</v>
      </c>
      <c r="H90" s="152">
        <f t="shared" ref="H90:P90" si="217">H29/H25</f>
        <v>2.2073618179666233E-2</v>
      </c>
      <c r="I90" s="152">
        <f t="shared" si="217"/>
        <v>1.108688809354489E-2</v>
      </c>
      <c r="J90" s="152">
        <f t="shared" si="217"/>
        <v>1.1716436112756542E-2</v>
      </c>
      <c r="K90" s="152">
        <f t="shared" si="217"/>
        <v>8.6101787793684496E-3</v>
      </c>
      <c r="L90" s="152">
        <f t="shared" si="217"/>
        <v>1.3770174306003873E-2</v>
      </c>
      <c r="M90" s="152">
        <f t="shared" si="217"/>
        <v>9.340970319893142E-3</v>
      </c>
      <c r="N90" s="152">
        <f t="shared" si="217"/>
        <v>8.8462158872611562E-3</v>
      </c>
      <c r="O90" s="152">
        <f t="shared" si="217"/>
        <v>7.8800404076709227E-3</v>
      </c>
      <c r="P90" s="152">
        <f t="shared" si="217"/>
        <v>6.4481815542484075E-3</v>
      </c>
      <c r="Q90" s="118">
        <f t="shared" si="202"/>
        <v>-0.14936162804438513</v>
      </c>
      <c r="R90" s="20"/>
      <c r="S90" s="152">
        <f t="shared" ref="S90:AB90" si="218">S29/S25</f>
        <v>6.4481815542484075E-3</v>
      </c>
      <c r="T90" s="152">
        <f t="shared" si="218"/>
        <v>6.4481815542484083E-3</v>
      </c>
      <c r="U90" s="152">
        <f t="shared" si="218"/>
        <v>6.4481815542484083E-3</v>
      </c>
      <c r="V90" s="152">
        <f t="shared" si="218"/>
        <v>6.4481815542484075E-3</v>
      </c>
      <c r="W90" s="152">
        <f t="shared" si="218"/>
        <v>6.4481815542484075E-3</v>
      </c>
      <c r="X90" s="152">
        <f t="shared" si="218"/>
        <v>6.4481815542484075E-3</v>
      </c>
      <c r="Y90" s="152">
        <f t="shared" si="218"/>
        <v>6.4481815542484075E-3</v>
      </c>
      <c r="Z90" s="152">
        <f t="shared" si="218"/>
        <v>6.4481815542484066E-3</v>
      </c>
      <c r="AA90" s="152">
        <f t="shared" si="218"/>
        <v>6.4481815542484075E-3</v>
      </c>
      <c r="AB90" s="152">
        <f t="shared" si="218"/>
        <v>6.4481815542484066E-3</v>
      </c>
      <c r="AC90" s="138">
        <f t="shared" si="204"/>
        <v>-7.3764757719005591E-2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0.15286624203821655</v>
      </c>
      <c r="H91" s="152">
        <f t="shared" ref="H91:P91" si="219">H29/H36</f>
        <v>0.11745257025899394</v>
      </c>
      <c r="I91" s="152">
        <f t="shared" si="219"/>
        <v>6.5531973539140018E-2</v>
      </c>
      <c r="J91" s="152">
        <f t="shared" si="219"/>
        <v>6.5361065215278458E-2</v>
      </c>
      <c r="K91" s="152">
        <f t="shared" si="219"/>
        <v>5.627938213566152E-2</v>
      </c>
      <c r="L91" s="152">
        <f t="shared" si="219"/>
        <v>8.7518463810930577E-2</v>
      </c>
      <c r="M91" s="152">
        <f t="shared" si="219"/>
        <v>6.8193838423905861E-2</v>
      </c>
      <c r="N91" s="152">
        <f t="shared" si="219"/>
        <v>6.3493316493000732E-2</v>
      </c>
      <c r="O91" s="152">
        <f t="shared" si="219"/>
        <v>8.3115540365892179E-2</v>
      </c>
      <c r="P91" s="152">
        <f t="shared" si="219"/>
        <v>7.998184294144349E-2</v>
      </c>
      <c r="Q91" s="118">
        <f t="shared" ref="Q91" si="220">((P91/G91)^(1/($H$2-$H$1) ))-1</f>
        <v>-6.9444667950844363E-2</v>
      </c>
      <c r="R91" s="20"/>
      <c r="S91" s="152">
        <f t="shared" ref="S91:AB91" si="221">S29/S36</f>
        <v>7.9981842941443476E-2</v>
      </c>
      <c r="T91" s="152">
        <f t="shared" si="221"/>
        <v>7.9981842941443476E-2</v>
      </c>
      <c r="U91" s="152">
        <f t="shared" si="221"/>
        <v>7.998184294144349E-2</v>
      </c>
      <c r="V91" s="152">
        <f t="shared" si="221"/>
        <v>7.9981842941443476E-2</v>
      </c>
      <c r="W91" s="152">
        <f t="shared" si="221"/>
        <v>7.9981842941443476E-2</v>
      </c>
      <c r="X91" s="152">
        <f t="shared" si="221"/>
        <v>7.9981842941443476E-2</v>
      </c>
      <c r="Y91" s="152">
        <f t="shared" si="221"/>
        <v>7.9981842941443476E-2</v>
      </c>
      <c r="Z91" s="152">
        <f t="shared" si="221"/>
        <v>7.9981842941443462E-2</v>
      </c>
      <c r="AA91" s="152">
        <f t="shared" si="221"/>
        <v>7.9981842941443476E-2</v>
      </c>
      <c r="AB91" s="152">
        <f t="shared" si="221"/>
        <v>7.9981842941443462E-2</v>
      </c>
      <c r="AC91" s="138">
        <f t="shared" ref="AC91" si="222">((AB91/G91)^(1/($AB$3-$H$1) ))-1</f>
        <v>-3.3518212348826237E-2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 t="shared" ref="G92:P92" si="223">G29/G40</f>
        <v>0.28328173374613003</v>
      </c>
      <c r="H92" s="171">
        <f t="shared" si="223"/>
        <v>0.19559517566858942</v>
      </c>
      <c r="I92" s="171">
        <f t="shared" si="223"/>
        <v>0.10123483074302747</v>
      </c>
      <c r="J92" s="171">
        <f t="shared" si="223"/>
        <v>0.11139638893490145</v>
      </c>
      <c r="K92" s="171">
        <f t="shared" si="223"/>
        <v>6.4385596475951448E-2</v>
      </c>
      <c r="L92" s="171">
        <f t="shared" si="223"/>
        <v>0.14267558528428093</v>
      </c>
      <c r="M92" s="171">
        <f t="shared" si="223"/>
        <v>8.4469557384432709E-2</v>
      </c>
      <c r="N92" s="171">
        <f t="shared" si="223"/>
        <v>0.12521405220279175</v>
      </c>
      <c r="O92" s="171">
        <f t="shared" si="223"/>
        <v>0.14677689303646599</v>
      </c>
      <c r="P92" s="171">
        <f t="shared" si="223"/>
        <v>0.12654409652398735</v>
      </c>
      <c r="Q92" s="118">
        <f t="shared" ref="Q92" si="224">((P92/G92)^(1/($H$2-$H$1) ))-1</f>
        <v>-8.5647404617962941E-2</v>
      </c>
      <c r="R92" s="20"/>
      <c r="S92" s="171">
        <f t="shared" ref="S92:AB92" si="225">S29/S40</f>
        <v>0.12654409652398735</v>
      </c>
      <c r="T92" s="171">
        <f t="shared" si="225"/>
        <v>0.12654409652398738</v>
      </c>
      <c r="U92" s="171">
        <f t="shared" si="225"/>
        <v>0.12654409652398738</v>
      </c>
      <c r="V92" s="171">
        <f t="shared" si="225"/>
        <v>0.12654409652398738</v>
      </c>
      <c r="W92" s="171">
        <f t="shared" si="225"/>
        <v>0.12654409652398738</v>
      </c>
      <c r="X92" s="171">
        <f t="shared" si="225"/>
        <v>0.12654409652398738</v>
      </c>
      <c r="Y92" s="171">
        <f t="shared" si="225"/>
        <v>0.12654409652398738</v>
      </c>
      <c r="Z92" s="171">
        <f t="shared" si="225"/>
        <v>0.12654409652398738</v>
      </c>
      <c r="AA92" s="171">
        <f t="shared" si="225"/>
        <v>0.12654409652398738</v>
      </c>
      <c r="AB92" s="171">
        <f t="shared" si="225"/>
        <v>0.12654409652398738</v>
      </c>
      <c r="AC92" s="138">
        <f t="shared" ref="AC92" si="226">((AB92/G92)^(1/($AB$3-$H$1) ))-1</f>
        <v>-4.1526357280871617E-2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>
        <f t="shared" ref="G93:P93" si="227">G29/G12</f>
        <v>5.4222222222222225</v>
      </c>
      <c r="H93" s="171">
        <f t="shared" si="227"/>
        <v>3.8753246753246753</v>
      </c>
      <c r="I93" s="171">
        <f t="shared" si="227"/>
        <v>3.6718146718146718</v>
      </c>
      <c r="J93" s="171">
        <f t="shared" si="227"/>
        <v>3.2885085574572126</v>
      </c>
      <c r="K93" s="171">
        <f t="shared" si="227"/>
        <v>3.2396907216494846</v>
      </c>
      <c r="L93" s="171">
        <f t="shared" si="227"/>
        <v>2.648669456482597</v>
      </c>
      <c r="M93" s="171">
        <f t="shared" si="227"/>
        <v>3.1069277108433737</v>
      </c>
      <c r="N93" s="171">
        <f t="shared" si="227"/>
        <v>2.7608695652173911</v>
      </c>
      <c r="O93" s="171">
        <f t="shared" si="227"/>
        <v>2.0013831258644537</v>
      </c>
      <c r="P93" s="171">
        <f t="shared" si="227"/>
        <v>5.2382273664182653E-2</v>
      </c>
      <c r="Q93" s="118">
        <f t="shared" si="202"/>
        <v>-0.40281087221953882</v>
      </c>
      <c r="R93" s="20"/>
      <c r="S93" s="152">
        <f t="shared" ref="S93:AB93" si="228">S29/S12</f>
        <v>5.2382273664182653E-2</v>
      </c>
      <c r="T93" s="152">
        <f t="shared" si="228"/>
        <v>5.2382273664182653E-2</v>
      </c>
      <c r="U93" s="152">
        <f t="shared" si="228"/>
        <v>5.2382273664182653E-2</v>
      </c>
      <c r="V93" s="152">
        <f t="shared" si="228"/>
        <v>5.2382273664182653E-2</v>
      </c>
      <c r="W93" s="152">
        <f t="shared" si="228"/>
        <v>5.2382273664182653E-2</v>
      </c>
      <c r="X93" s="152">
        <f t="shared" si="228"/>
        <v>5.2382273664182653E-2</v>
      </c>
      <c r="Y93" s="152">
        <f t="shared" si="228"/>
        <v>5.2382273664182653E-2</v>
      </c>
      <c r="Z93" s="152">
        <f t="shared" si="228"/>
        <v>5.2382273664182646E-2</v>
      </c>
      <c r="AA93" s="152">
        <f t="shared" si="228"/>
        <v>5.2382273664182646E-2</v>
      </c>
      <c r="AB93" s="152">
        <f t="shared" si="228"/>
        <v>5.2382273664182646E-2</v>
      </c>
      <c r="AC93" s="138">
        <f t="shared" si="204"/>
        <v>-0.21666462667985609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>
        <f>G29/G23</f>
        <v>5.4222222222222225</v>
      </c>
      <c r="H94" s="171">
        <f t="shared" ref="H94:P94" si="229">H29/H23</f>
        <v>0.41329639889196673</v>
      </c>
      <c r="I94" s="171">
        <f t="shared" si="229"/>
        <v>0.36353211009174313</v>
      </c>
      <c r="J94" s="171">
        <f t="shared" si="229"/>
        <v>0.69437274135260707</v>
      </c>
      <c r="K94" s="171">
        <f t="shared" si="229"/>
        <v>0.28095663835493967</v>
      </c>
      <c r="L94" s="171">
        <f t="shared" si="229"/>
        <v>9.3791223287309822E-2</v>
      </c>
      <c r="M94" s="171">
        <f t="shared" si="229"/>
        <v>0.14852411807055435</v>
      </c>
      <c r="N94" s="171">
        <f t="shared" si="229"/>
        <v>8.0062377650220645E-2</v>
      </c>
      <c r="O94" s="171">
        <f t="shared" si="229"/>
        <v>7.1051533230217775E-2</v>
      </c>
      <c r="P94" s="171">
        <f t="shared" si="229"/>
        <v>5.2382273664182653E-2</v>
      </c>
      <c r="Q94" s="118">
        <f t="shared" ref="Q94" si="230">((P94/G94)^(1/($H$2-$H$1) ))-1</f>
        <v>-0.40281087221953882</v>
      </c>
      <c r="R94" s="20"/>
      <c r="S94" s="171">
        <f t="shared" ref="S94:AB94" si="231">S29/S23</f>
        <v>5.2382273664182653E-2</v>
      </c>
      <c r="T94" s="171">
        <f t="shared" si="231"/>
        <v>5.2382273664182653E-2</v>
      </c>
      <c r="U94" s="171">
        <f t="shared" si="231"/>
        <v>5.2382273664182653E-2</v>
      </c>
      <c r="V94" s="171">
        <f t="shared" si="231"/>
        <v>5.2382273664182653E-2</v>
      </c>
      <c r="W94" s="171">
        <f t="shared" si="231"/>
        <v>5.2382273664182653E-2</v>
      </c>
      <c r="X94" s="171">
        <f t="shared" si="231"/>
        <v>5.2382273664182653E-2</v>
      </c>
      <c r="Y94" s="171">
        <f t="shared" si="231"/>
        <v>5.2382273664182653E-2</v>
      </c>
      <c r="Z94" s="171">
        <f t="shared" si="231"/>
        <v>5.2382273664182646E-2</v>
      </c>
      <c r="AA94" s="171">
        <f t="shared" si="231"/>
        <v>5.2382273664182646E-2</v>
      </c>
      <c r="AB94" s="171">
        <f t="shared" si="231"/>
        <v>5.2382273664182646E-2</v>
      </c>
      <c r="AC94" s="138">
        <f t="shared" ref="AC94" si="232">((AB94/G94)^(1/($AB$3-$H$1) ))-1</f>
        <v>-0.21666462667985609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403</v>
      </c>
      <c r="C96" s="152"/>
      <c r="D96" s="152"/>
      <c r="E96" s="152"/>
      <c r="F96" s="152"/>
      <c r="G96" s="127">
        <f>1/G90</f>
        <v>36.163251366120221</v>
      </c>
      <c r="H96" s="127">
        <f t="shared" ref="H96:P96" si="233">1/H90</f>
        <v>45.302949061662197</v>
      </c>
      <c r="I96" s="127">
        <f t="shared" si="233"/>
        <v>90.196635120925336</v>
      </c>
      <c r="J96" s="127">
        <f t="shared" si="233"/>
        <v>85.350185873605952</v>
      </c>
      <c r="K96" s="127">
        <f t="shared" si="233"/>
        <v>116.14160700079555</v>
      </c>
      <c r="L96" s="127">
        <f t="shared" si="233"/>
        <v>72.620721987810597</v>
      </c>
      <c r="M96" s="127">
        <f t="shared" si="233"/>
        <v>107.05525933107126</v>
      </c>
      <c r="N96" s="127">
        <f t="shared" si="233"/>
        <v>113.04268545379196</v>
      </c>
      <c r="O96" s="127">
        <f t="shared" si="233"/>
        <v>126.90290255701451</v>
      </c>
      <c r="P96" s="127">
        <f t="shared" si="233"/>
        <v>155.08248202799848</v>
      </c>
      <c r="Q96" s="118">
        <f t="shared" si="202"/>
        <v>0.1755876915133785</v>
      </c>
      <c r="R96" s="20"/>
      <c r="S96" s="127">
        <f t="shared" ref="S96:AB96" si="234">1/S90</f>
        <v>155.08248202799848</v>
      </c>
      <c r="T96" s="127">
        <f t="shared" si="234"/>
        <v>155.08248202799845</v>
      </c>
      <c r="U96" s="127">
        <f t="shared" si="234"/>
        <v>155.08248202799845</v>
      </c>
      <c r="V96" s="127">
        <f t="shared" si="234"/>
        <v>155.08248202799848</v>
      </c>
      <c r="W96" s="127">
        <f t="shared" si="234"/>
        <v>155.08248202799848</v>
      </c>
      <c r="X96" s="127">
        <f t="shared" si="234"/>
        <v>155.08248202799848</v>
      </c>
      <c r="Y96" s="127">
        <f t="shared" si="234"/>
        <v>155.08248202799848</v>
      </c>
      <c r="Z96" s="127">
        <f t="shared" si="234"/>
        <v>155.08248202799851</v>
      </c>
      <c r="AA96" s="127">
        <f t="shared" si="234"/>
        <v>155.08248202799848</v>
      </c>
      <c r="AB96" s="127">
        <f t="shared" si="234"/>
        <v>155.08248202799851</v>
      </c>
      <c r="AC96" s="138">
        <f t="shared" si="204"/>
        <v>7.963933388816935E-2</v>
      </c>
      <c r="AD96" s="146"/>
      <c r="AE96" s="146"/>
    </row>
    <row r="97" spans="2:31" ht="12" customHeight="1" x14ac:dyDescent="0.2">
      <c r="B97" s="20" t="s">
        <v>404</v>
      </c>
      <c r="C97" s="152"/>
      <c r="D97" s="152"/>
      <c r="E97" s="152"/>
      <c r="F97" s="152"/>
      <c r="G97" s="127">
        <f t="shared" ref="G97:P100" si="235">1/G91</f>
        <v>6.541666666666667</v>
      </c>
      <c r="H97" s="127">
        <f t="shared" si="235"/>
        <v>8.5140750670241285</v>
      </c>
      <c r="I97" s="127">
        <f t="shared" si="235"/>
        <v>15.259726603575185</v>
      </c>
      <c r="J97" s="127">
        <f t="shared" si="235"/>
        <v>15.299628252788104</v>
      </c>
      <c r="K97" s="127">
        <f t="shared" si="235"/>
        <v>17.768496420047732</v>
      </c>
      <c r="L97" s="127">
        <f t="shared" si="235"/>
        <v>11.426160337552743</v>
      </c>
      <c r="M97" s="127">
        <f t="shared" si="235"/>
        <v>14.664081434803682</v>
      </c>
      <c r="N97" s="127">
        <f t="shared" si="235"/>
        <v>15.749689183588895</v>
      </c>
      <c r="O97" s="127">
        <f t="shared" si="235"/>
        <v>12.031444367657222</v>
      </c>
      <c r="P97" s="127">
        <f t="shared" si="235"/>
        <v>12.502837684449489</v>
      </c>
      <c r="Q97" s="118">
        <f t="shared" si="202"/>
        <v>7.4627123782012861E-2</v>
      </c>
      <c r="R97" s="20"/>
      <c r="S97" s="127">
        <f t="shared" ref="S97:AB97" si="236">1/S91</f>
        <v>12.50283768444949</v>
      </c>
      <c r="T97" s="127">
        <f t="shared" si="236"/>
        <v>12.50283768444949</v>
      </c>
      <c r="U97" s="127">
        <f t="shared" si="236"/>
        <v>12.502837684449489</v>
      </c>
      <c r="V97" s="127">
        <f t="shared" si="236"/>
        <v>12.50283768444949</v>
      </c>
      <c r="W97" s="127">
        <f t="shared" si="236"/>
        <v>12.50283768444949</v>
      </c>
      <c r="X97" s="127">
        <f t="shared" si="236"/>
        <v>12.50283768444949</v>
      </c>
      <c r="Y97" s="127">
        <f t="shared" si="236"/>
        <v>12.50283768444949</v>
      </c>
      <c r="Z97" s="127">
        <f t="shared" si="236"/>
        <v>12.502837684449492</v>
      </c>
      <c r="AA97" s="127">
        <f t="shared" si="236"/>
        <v>12.50283768444949</v>
      </c>
      <c r="AB97" s="127">
        <f t="shared" si="236"/>
        <v>12.502837684449492</v>
      </c>
      <c r="AC97" s="138">
        <f t="shared" si="204"/>
        <v>3.4680645592179316E-2</v>
      </c>
      <c r="AD97" s="146"/>
      <c r="AE97" s="146"/>
    </row>
    <row r="98" spans="2:31" ht="12" customHeight="1" x14ac:dyDescent="0.2">
      <c r="B98" s="20" t="s">
        <v>405</v>
      </c>
      <c r="C98" s="152"/>
      <c r="D98" s="152"/>
      <c r="E98" s="152"/>
      <c r="F98" s="152"/>
      <c r="G98" s="127">
        <f t="shared" si="235"/>
        <v>3.5300546448087431</v>
      </c>
      <c r="H98" s="127">
        <f t="shared" si="235"/>
        <v>5.1126005361930291</v>
      </c>
      <c r="I98" s="127">
        <f t="shared" si="235"/>
        <v>9.8780231335436373</v>
      </c>
      <c r="J98" s="127">
        <f t="shared" si="235"/>
        <v>8.9769516728624534</v>
      </c>
      <c r="K98" s="127">
        <f t="shared" si="235"/>
        <v>15.531424025457436</v>
      </c>
      <c r="L98" s="127">
        <f t="shared" si="235"/>
        <v>7.008907641819035</v>
      </c>
      <c r="M98" s="127">
        <f t="shared" si="235"/>
        <v>11.838584585555017</v>
      </c>
      <c r="N98" s="127">
        <f t="shared" si="235"/>
        <v>7.9863240779113145</v>
      </c>
      <c r="O98" s="127">
        <f t="shared" si="235"/>
        <v>6.8130615065653082</v>
      </c>
      <c r="P98" s="127">
        <f t="shared" si="235"/>
        <v>7.9023836549375721</v>
      </c>
      <c r="Q98" s="118">
        <f t="shared" si="202"/>
        <v>9.3669996728316329E-2</v>
      </c>
      <c r="R98" s="20"/>
      <c r="S98" s="127">
        <f t="shared" ref="S98:AB98" si="237">1/S92</f>
        <v>7.9023836549375721</v>
      </c>
      <c r="T98" s="127">
        <f t="shared" si="237"/>
        <v>7.9023836549375703</v>
      </c>
      <c r="U98" s="127">
        <f t="shared" si="237"/>
        <v>7.9023836549375703</v>
      </c>
      <c r="V98" s="127">
        <f t="shared" si="237"/>
        <v>7.9023836549375703</v>
      </c>
      <c r="W98" s="127">
        <f t="shared" si="237"/>
        <v>7.9023836549375703</v>
      </c>
      <c r="X98" s="127">
        <f t="shared" si="237"/>
        <v>7.9023836549375703</v>
      </c>
      <c r="Y98" s="127">
        <f t="shared" si="237"/>
        <v>7.9023836549375703</v>
      </c>
      <c r="Z98" s="127">
        <f t="shared" si="237"/>
        <v>7.9023836549375703</v>
      </c>
      <c r="AA98" s="127">
        <f t="shared" si="237"/>
        <v>7.9023836549375703</v>
      </c>
      <c r="AB98" s="127">
        <f t="shared" si="237"/>
        <v>7.9023836549375703</v>
      </c>
      <c r="AC98" s="138">
        <f t="shared" si="204"/>
        <v>4.3325507797026264E-2</v>
      </c>
      <c r="AD98" s="146"/>
      <c r="AE98" s="146"/>
    </row>
    <row r="99" spans="2:31" ht="12" customHeight="1" x14ac:dyDescent="0.2">
      <c r="B99" s="20" t="s">
        <v>406</v>
      </c>
      <c r="C99" s="152"/>
      <c r="D99" s="152"/>
      <c r="E99" s="152"/>
      <c r="F99" s="152"/>
      <c r="G99" s="127">
        <f t="shared" si="235"/>
        <v>0.1844262295081967</v>
      </c>
      <c r="H99" s="127">
        <f t="shared" si="235"/>
        <v>0.25804289544235925</v>
      </c>
      <c r="I99" s="127">
        <f t="shared" si="235"/>
        <v>0.2723449001051525</v>
      </c>
      <c r="J99" s="127">
        <f t="shared" si="235"/>
        <v>0.30408921933085503</v>
      </c>
      <c r="K99" s="127">
        <f t="shared" si="235"/>
        <v>0.30867143993635637</v>
      </c>
      <c r="L99" s="127">
        <f t="shared" si="235"/>
        <v>0.37754805438349737</v>
      </c>
      <c r="M99" s="127">
        <f t="shared" si="235"/>
        <v>0.32186136694134754</v>
      </c>
      <c r="N99" s="127">
        <f t="shared" si="235"/>
        <v>0.36220472440944884</v>
      </c>
      <c r="O99" s="127">
        <f t="shared" si="235"/>
        <v>0.49965445749827231</v>
      </c>
      <c r="P99" s="127">
        <f t="shared" si="235"/>
        <v>19.090427544457057</v>
      </c>
      <c r="Q99" s="118">
        <f t="shared" si="202"/>
        <v>0.67451139594024934</v>
      </c>
      <c r="R99" s="20"/>
      <c r="S99" s="127">
        <f t="shared" ref="S99:AB99" si="238">1/S93</f>
        <v>19.090427544457057</v>
      </c>
      <c r="T99" s="127">
        <f t="shared" si="238"/>
        <v>19.090427544457057</v>
      </c>
      <c r="U99" s="127">
        <f t="shared" si="238"/>
        <v>19.090427544457057</v>
      </c>
      <c r="V99" s="127">
        <f t="shared" si="238"/>
        <v>19.090427544457057</v>
      </c>
      <c r="W99" s="127">
        <f t="shared" si="238"/>
        <v>19.090427544457057</v>
      </c>
      <c r="X99" s="127">
        <f t="shared" si="238"/>
        <v>19.090427544457057</v>
      </c>
      <c r="Y99" s="127">
        <f t="shared" si="238"/>
        <v>19.090427544457057</v>
      </c>
      <c r="Z99" s="127">
        <f t="shared" si="238"/>
        <v>19.090427544457061</v>
      </c>
      <c r="AA99" s="127">
        <f t="shared" si="238"/>
        <v>19.090427544457061</v>
      </c>
      <c r="AB99" s="127">
        <f t="shared" si="238"/>
        <v>19.090427544457061</v>
      </c>
      <c r="AC99" s="138">
        <f t="shared" si="204"/>
        <v>0.27659242012974539</v>
      </c>
      <c r="AD99" s="146"/>
      <c r="AE99" s="146"/>
    </row>
    <row r="100" spans="2:31" ht="12" customHeight="1" x14ac:dyDescent="0.2">
      <c r="B100" s="20" t="s">
        <v>407</v>
      </c>
      <c r="C100" s="152"/>
      <c r="D100" s="152"/>
      <c r="E100" s="152"/>
      <c r="F100" s="152"/>
      <c r="G100" s="127">
        <f t="shared" si="235"/>
        <v>0.1844262295081967</v>
      </c>
      <c r="H100" s="127">
        <f t="shared" si="235"/>
        <v>2.4195710455764075</v>
      </c>
      <c r="I100" s="127">
        <f t="shared" si="235"/>
        <v>2.7507886435331228</v>
      </c>
      <c r="J100" s="127">
        <f t="shared" si="235"/>
        <v>1.4401486988847585</v>
      </c>
      <c r="K100" s="127">
        <f t="shared" si="235"/>
        <v>3.5592680986475735</v>
      </c>
      <c r="L100" s="127">
        <f t="shared" si="235"/>
        <v>10.661978434130333</v>
      </c>
      <c r="M100" s="127">
        <f t="shared" si="235"/>
        <v>6.7329132331555988</v>
      </c>
      <c r="N100" s="127">
        <f t="shared" si="235"/>
        <v>12.490261085785329</v>
      </c>
      <c r="O100" s="127">
        <f t="shared" si="235"/>
        <v>14.074291637871458</v>
      </c>
      <c r="P100" s="127">
        <f t="shared" si="235"/>
        <v>19.090427544457057</v>
      </c>
      <c r="Q100" s="118">
        <f t="shared" si="202"/>
        <v>0.67451139594024934</v>
      </c>
      <c r="R100" s="20"/>
      <c r="S100" s="127">
        <f t="shared" ref="S100:AB100" si="239">1/S94</f>
        <v>19.090427544457057</v>
      </c>
      <c r="T100" s="127">
        <f t="shared" si="239"/>
        <v>19.090427544457057</v>
      </c>
      <c r="U100" s="127">
        <f t="shared" si="239"/>
        <v>19.090427544457057</v>
      </c>
      <c r="V100" s="127">
        <f t="shared" si="239"/>
        <v>19.090427544457057</v>
      </c>
      <c r="W100" s="127">
        <f t="shared" si="239"/>
        <v>19.090427544457057</v>
      </c>
      <c r="X100" s="127">
        <f t="shared" si="239"/>
        <v>19.090427544457057</v>
      </c>
      <c r="Y100" s="127">
        <f t="shared" si="239"/>
        <v>19.090427544457057</v>
      </c>
      <c r="Z100" s="127">
        <f t="shared" si="239"/>
        <v>19.090427544457061</v>
      </c>
      <c r="AA100" s="127">
        <f t="shared" si="239"/>
        <v>19.090427544457061</v>
      </c>
      <c r="AB100" s="127">
        <f t="shared" si="239"/>
        <v>19.090427544457061</v>
      </c>
      <c r="AC100" s="138">
        <f t="shared" si="204"/>
        <v>0.27659242012974539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40">F10-(F12+F13)</f>
        <v>0</v>
      </c>
      <c r="G103" s="163">
        <f t="shared" si="240"/>
        <v>2318</v>
      </c>
      <c r="H103" s="163">
        <f t="shared" si="240"/>
        <v>-4651</v>
      </c>
      <c r="I103" s="163">
        <f t="shared" si="240"/>
        <v>16417</v>
      </c>
      <c r="J103" s="163">
        <f t="shared" si="240"/>
        <v>27974</v>
      </c>
      <c r="K103" s="163">
        <f t="shared" si="240"/>
        <v>40786</v>
      </c>
      <c r="L103" s="163">
        <f t="shared" si="240"/>
        <v>69015.69</v>
      </c>
      <c r="M103" s="163">
        <f t="shared" si="240"/>
        <v>54803</v>
      </c>
      <c r="N103" s="163">
        <f t="shared" si="240"/>
        <v>66269</v>
      </c>
      <c r="O103" s="163">
        <f t="shared" si="240"/>
        <v>42593</v>
      </c>
      <c r="P103" s="163">
        <f>P10-(P12+P13)</f>
        <v>-3982</v>
      </c>
      <c r="Q103" s="118">
        <f t="shared" si="202"/>
        <v>-2.0619639109441188</v>
      </c>
      <c r="R103" s="20"/>
      <c r="S103" s="163">
        <f>S10-(S12+S13)</f>
        <v>-4300.5599999999977</v>
      </c>
      <c r="T103" s="163">
        <f t="shared" ref="T103:AB103" si="241">T10-(T12+T13)</f>
        <v>-4644.604800000001</v>
      </c>
      <c r="U103" s="163">
        <f t="shared" si="241"/>
        <v>-5016.1731839999993</v>
      </c>
      <c r="V103" s="163">
        <f t="shared" si="241"/>
        <v>-5417.4670387199876</v>
      </c>
      <c r="W103" s="163">
        <f t="shared" si="241"/>
        <v>-5850.8644018175837</v>
      </c>
      <c r="X103" s="163">
        <f t="shared" si="241"/>
        <v>-6318.9335539629974</v>
      </c>
      <c r="Y103" s="163">
        <f t="shared" si="241"/>
        <v>-6824.4482382800488</v>
      </c>
      <c r="Z103" s="163">
        <f t="shared" si="241"/>
        <v>-7370.4040973424562</v>
      </c>
      <c r="AA103" s="163">
        <f t="shared" si="241"/>
        <v>-7960.0364251298888</v>
      </c>
      <c r="AB103" s="163">
        <f t="shared" si="241"/>
        <v>-8596.8393391402788</v>
      </c>
      <c r="AC103" s="138">
        <f t="shared" si="204"/>
        <v>-2.0714187207501888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 t="shared" ref="G104:P104" si="242">G40/G18</f>
        <v>0.16223512792340292</v>
      </c>
      <c r="H104" s="152">
        <f t="shared" si="242"/>
        <v>0.25213194949428175</v>
      </c>
      <c r="I104" s="152">
        <f t="shared" si="242"/>
        <v>0.16688577011902647</v>
      </c>
      <c r="J104" s="152">
        <f t="shared" si="242"/>
        <v>0.18626392274227885</v>
      </c>
      <c r="K104" s="152">
        <f t="shared" si="242"/>
        <v>0.30475640405238758</v>
      </c>
      <c r="L104" s="152">
        <f t="shared" si="242"/>
        <v>0.13966219498523971</v>
      </c>
      <c r="M104" s="152">
        <f t="shared" si="242"/>
        <v>0.15246174878738505</v>
      </c>
      <c r="N104" s="152">
        <f t="shared" si="242"/>
        <v>0.12189197907640149</v>
      </c>
      <c r="O104" s="152">
        <f t="shared" si="242"/>
        <v>0.12504280767620907</v>
      </c>
      <c r="P104" s="152">
        <f t="shared" si="242"/>
        <v>0.12563158654540205</v>
      </c>
      <c r="Q104" s="118">
        <f t="shared" si="202"/>
        <v>-2.8010552789858312E-2</v>
      </c>
      <c r="R104" s="20"/>
      <c r="S104" s="152">
        <f t="shared" ref="S104:AB104" si="243">S40/S18</f>
        <v>0.12563158654540205</v>
      </c>
      <c r="T104" s="152">
        <f t="shared" si="243"/>
        <v>0.12563158654540202</v>
      </c>
      <c r="U104" s="152">
        <f t="shared" si="243"/>
        <v>0.12563158654540202</v>
      </c>
      <c r="V104" s="152">
        <f t="shared" si="243"/>
        <v>0.12563158654540199</v>
      </c>
      <c r="W104" s="152">
        <f t="shared" si="243"/>
        <v>0.12563158654540202</v>
      </c>
      <c r="X104" s="152">
        <f t="shared" si="243"/>
        <v>0.12563158654540202</v>
      </c>
      <c r="Y104" s="152">
        <f t="shared" si="243"/>
        <v>0.12563158654540202</v>
      </c>
      <c r="Z104" s="152">
        <f t="shared" si="243"/>
        <v>0.12563158654540202</v>
      </c>
      <c r="AA104" s="152">
        <f t="shared" si="243"/>
        <v>0.12563158654540202</v>
      </c>
      <c r="AB104" s="152">
        <f t="shared" si="243"/>
        <v>0.12563158654540205</v>
      </c>
      <c r="AC104" s="138">
        <f t="shared" si="204"/>
        <v>-1.3367377727722229E-2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>
        <f t="shared" ref="G105:P105" si="244">G40/G25</f>
        <v>9.7614415503465987E-2</v>
      </c>
      <c r="H105" s="152">
        <f t="shared" si="244"/>
        <v>0.11285359214108179</v>
      </c>
      <c r="I105" s="152">
        <f t="shared" si="244"/>
        <v>0.10951653706704595</v>
      </c>
      <c r="J105" s="152">
        <f t="shared" si="244"/>
        <v>0.1051778807623959</v>
      </c>
      <c r="K105" s="152">
        <f t="shared" si="244"/>
        <v>0.13372833755736693</v>
      </c>
      <c r="L105" s="152">
        <f t="shared" si="244"/>
        <v>9.651387992253066E-2</v>
      </c>
      <c r="M105" s="152">
        <f t="shared" si="244"/>
        <v>0.11058386724321387</v>
      </c>
      <c r="N105" s="152">
        <f t="shared" si="244"/>
        <v>7.0648746938835369E-2</v>
      </c>
      <c r="O105" s="152">
        <f t="shared" si="244"/>
        <v>5.3687199971681955E-2</v>
      </c>
      <c r="P105" s="152">
        <f t="shared" si="244"/>
        <v>5.095600451836256E-2</v>
      </c>
      <c r="Q105" s="118">
        <f t="shared" si="202"/>
        <v>-6.9682334526322331E-2</v>
      </c>
      <c r="R105" s="20"/>
      <c r="S105" s="152">
        <f t="shared" ref="S105:AB105" si="245">S40/S25</f>
        <v>5.095600451836256E-2</v>
      </c>
      <c r="T105" s="152">
        <f t="shared" si="245"/>
        <v>5.0956004518362553E-2</v>
      </c>
      <c r="U105" s="152">
        <f t="shared" si="245"/>
        <v>5.0956004518362553E-2</v>
      </c>
      <c r="V105" s="152">
        <f t="shared" si="245"/>
        <v>5.0956004518362553E-2</v>
      </c>
      <c r="W105" s="152">
        <f t="shared" si="245"/>
        <v>5.0956004518362547E-2</v>
      </c>
      <c r="X105" s="152">
        <f t="shared" si="245"/>
        <v>5.0956004518362547E-2</v>
      </c>
      <c r="Y105" s="152">
        <f t="shared" si="245"/>
        <v>5.0956004518362547E-2</v>
      </c>
      <c r="Z105" s="152">
        <f t="shared" si="245"/>
        <v>5.0956004518362547E-2</v>
      </c>
      <c r="AA105" s="152">
        <f t="shared" si="245"/>
        <v>5.0956004518362547E-2</v>
      </c>
      <c r="AB105" s="152">
        <f t="shared" si="245"/>
        <v>5.0956004518362553E-2</v>
      </c>
      <c r="AC105" s="138">
        <f t="shared" si="204"/>
        <v>-3.3635145507679987E-2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 t="shared" ref="G106:O106" si="246">G25/G18</f>
        <v>1.6619996860775388</v>
      </c>
      <c r="H106" s="152">
        <f t="shared" si="246"/>
        <v>2.234150856085146</v>
      </c>
      <c r="I106" s="152">
        <f t="shared" si="246"/>
        <v>1.5238408243027182</v>
      </c>
      <c r="J106" s="152">
        <f t="shared" si="246"/>
        <v>1.7709419641479744</v>
      </c>
      <c r="K106" s="152">
        <f t="shared" si="246"/>
        <v>2.2789216527996752</v>
      </c>
      <c r="L106" s="152">
        <f t="shared" si="246"/>
        <v>1.4470684951982362</v>
      </c>
      <c r="M106" s="152">
        <f t="shared" si="246"/>
        <v>1.3786979293468422</v>
      </c>
      <c r="N106" s="152">
        <f t="shared" si="246"/>
        <v>1.7253240058444392</v>
      </c>
      <c r="O106" s="152">
        <f t="shared" si="246"/>
        <v>2.3290990728174426</v>
      </c>
      <c r="P106" s="152">
        <f>P25/P18</f>
        <v>2.4654913141812234</v>
      </c>
      <c r="Q106" s="118">
        <f t="shared" si="202"/>
        <v>4.4793067231768013E-2</v>
      </c>
      <c r="R106" s="20"/>
      <c r="S106" s="152">
        <f>S25/S18</f>
        <v>2.4654913141812229</v>
      </c>
      <c r="T106" s="152">
        <f t="shared" ref="T106:AB106" si="247">T25/T18</f>
        <v>2.4654913141812225</v>
      </c>
      <c r="U106" s="152">
        <f t="shared" si="247"/>
        <v>2.4654913141812225</v>
      </c>
      <c r="V106" s="152">
        <f t="shared" si="247"/>
        <v>2.4654913141812225</v>
      </c>
      <c r="W106" s="152">
        <f t="shared" si="247"/>
        <v>2.4654913141812229</v>
      </c>
      <c r="X106" s="152">
        <f t="shared" si="247"/>
        <v>2.4654913141812234</v>
      </c>
      <c r="Y106" s="152">
        <f t="shared" si="247"/>
        <v>2.4654913141812229</v>
      </c>
      <c r="Z106" s="152">
        <f t="shared" si="247"/>
        <v>2.4654913141812229</v>
      </c>
      <c r="AA106" s="152">
        <f t="shared" si="247"/>
        <v>2.4654913141812229</v>
      </c>
      <c r="AB106" s="152">
        <f t="shared" si="247"/>
        <v>2.4654913141812234</v>
      </c>
      <c r="AC106" s="138">
        <f t="shared" si="204"/>
        <v>2.0973204567342751E-2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48">E68*E42</f>
        <v>0</v>
      </c>
      <c r="F108" s="165">
        <f t="shared" si="248"/>
        <v>0</v>
      </c>
      <c r="G108" s="165">
        <f>G68*G42</f>
        <v>733.0575</v>
      </c>
      <c r="H108" s="165">
        <f t="shared" ref="H108:P108" si="249">H68*H42</f>
        <v>1045.125</v>
      </c>
      <c r="I108" s="165">
        <f t="shared" si="249"/>
        <v>1393.5</v>
      </c>
      <c r="J108" s="165">
        <f t="shared" si="249"/>
        <v>1532.85</v>
      </c>
      <c r="K108" s="165">
        <f t="shared" si="249"/>
        <v>1889.6800000000003</v>
      </c>
      <c r="L108" s="165">
        <f t="shared" si="249"/>
        <v>1889.6800000000003</v>
      </c>
      <c r="M108" s="165">
        <f t="shared" si="249"/>
        <v>2084.6</v>
      </c>
      <c r="N108" s="165">
        <f t="shared" si="249"/>
        <v>2384.8000000000002</v>
      </c>
      <c r="O108" s="165">
        <f t="shared" si="249"/>
        <v>2531.895</v>
      </c>
      <c r="P108" s="165">
        <f t="shared" si="249"/>
        <v>2907</v>
      </c>
      <c r="Q108" s="118">
        <f t="shared" si="202"/>
        <v>0.16540950134548082</v>
      </c>
      <c r="R108" s="20"/>
      <c r="S108" s="165">
        <f t="shared" ref="S108:AB108" si="250">S68*S42</f>
        <v>3296.5380000000005</v>
      </c>
      <c r="T108" s="165">
        <f t="shared" si="250"/>
        <v>3738.274092000001</v>
      </c>
      <c r="U108" s="165">
        <f t="shared" si="250"/>
        <v>4239.2028203280024</v>
      </c>
      <c r="V108" s="165">
        <f t="shared" si="250"/>
        <v>4807.2559982519551</v>
      </c>
      <c r="W108" s="165">
        <f t="shared" si="250"/>
        <v>5451.4283020177172</v>
      </c>
      <c r="X108" s="165">
        <f t="shared" si="250"/>
        <v>6181.9196944880923</v>
      </c>
      <c r="Y108" s="165">
        <f t="shared" si="250"/>
        <v>7010.2969335494972</v>
      </c>
      <c r="Z108" s="165">
        <f t="shared" si="250"/>
        <v>7949.6767226451302</v>
      </c>
      <c r="AA108" s="165">
        <f t="shared" si="250"/>
        <v>9014.9334034795775</v>
      </c>
      <c r="AB108" s="165">
        <f t="shared" si="250"/>
        <v>10222.934479545844</v>
      </c>
      <c r="AC108" s="138">
        <f t="shared" si="204"/>
        <v>0.14877124064368985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51">(G108*0.17)+G108</f>
        <v>857.67727500000001</v>
      </c>
      <c r="H109" s="165">
        <f t="shared" si="251"/>
        <v>1222.7962500000001</v>
      </c>
      <c r="I109" s="165">
        <f t="shared" si="251"/>
        <v>1630.395</v>
      </c>
      <c r="J109" s="165">
        <f t="shared" si="251"/>
        <v>1793.4344999999998</v>
      </c>
      <c r="K109" s="165">
        <f t="shared" si="251"/>
        <v>2210.9256000000005</v>
      </c>
      <c r="L109" s="165">
        <f t="shared" si="251"/>
        <v>2210.9256000000005</v>
      </c>
      <c r="M109" s="165">
        <f t="shared" si="251"/>
        <v>2438.982</v>
      </c>
      <c r="N109" s="165">
        <f t="shared" si="251"/>
        <v>2790.2160000000003</v>
      </c>
      <c r="O109" s="165">
        <f t="shared" si="251"/>
        <v>2962.3171499999999</v>
      </c>
      <c r="P109" s="165">
        <f t="shared" si="251"/>
        <v>3401.19</v>
      </c>
      <c r="Q109" s="118">
        <f t="shared" si="202"/>
        <v>0.16540950134548082</v>
      </c>
      <c r="R109" s="20"/>
      <c r="S109" s="165">
        <f t="shared" ref="S109:AB109" si="252">(S108*0.17)+S108</f>
        <v>3856.9494600000007</v>
      </c>
      <c r="T109" s="165">
        <f t="shared" si="252"/>
        <v>4373.7806876400009</v>
      </c>
      <c r="U109" s="165">
        <f t="shared" si="252"/>
        <v>4959.867299783763</v>
      </c>
      <c r="V109" s="165">
        <f t="shared" si="252"/>
        <v>5624.4895179547875</v>
      </c>
      <c r="W109" s="165">
        <f t="shared" si="252"/>
        <v>6378.1711133607296</v>
      </c>
      <c r="X109" s="165">
        <f t="shared" si="252"/>
        <v>7232.8460425510684</v>
      </c>
      <c r="Y109" s="165">
        <f t="shared" si="252"/>
        <v>8202.0474122529122</v>
      </c>
      <c r="Z109" s="165">
        <f t="shared" si="252"/>
        <v>9301.1217654948032</v>
      </c>
      <c r="AA109" s="165">
        <f t="shared" si="252"/>
        <v>10547.472082071106</v>
      </c>
      <c r="AB109" s="165">
        <f t="shared" si="252"/>
        <v>11960.833341068637</v>
      </c>
      <c r="AC109" s="138">
        <f t="shared" si="204"/>
        <v>0.14877124064368985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53">F109/F40</f>
        <v>#DIV/0!</v>
      </c>
      <c r="G110" s="152">
        <f t="shared" si="253"/>
        <v>0.1659592250386997</v>
      </c>
      <c r="H110" s="152">
        <f t="shared" si="253"/>
        <v>0.16030365102254851</v>
      </c>
      <c r="I110" s="152">
        <f t="shared" si="253"/>
        <v>0.17355705769640195</v>
      </c>
      <c r="J110" s="152">
        <f t="shared" si="253"/>
        <v>0.14853689746562862</v>
      </c>
      <c r="K110" s="152">
        <f t="shared" si="253"/>
        <v>0.1132472263484096</v>
      </c>
      <c r="L110" s="152">
        <f t="shared" si="253"/>
        <v>0.14788800000000002</v>
      </c>
      <c r="M110" s="152">
        <f t="shared" si="253"/>
        <v>9.9864144453998285E-2</v>
      </c>
      <c r="N110" s="152">
        <f t="shared" si="253"/>
        <v>0.14478833480359091</v>
      </c>
      <c r="O110" s="152">
        <f t="shared" si="253"/>
        <v>0.15024177866815439</v>
      </c>
      <c r="P110" s="152">
        <f t="shared" si="253"/>
        <v>0.16284544671071532</v>
      </c>
      <c r="Q110" s="118">
        <f t="shared" si="202"/>
        <v>-2.1022931437331138E-3</v>
      </c>
      <c r="R110" s="20"/>
      <c r="S110" s="152">
        <f t="shared" ref="S110:AB110" si="254">S109/S40</f>
        <v>0.1709877190462511</v>
      </c>
      <c r="T110" s="152">
        <f t="shared" si="254"/>
        <v>0.17953710499856365</v>
      </c>
      <c r="U110" s="152">
        <f t="shared" si="254"/>
        <v>0.1885139602484919</v>
      </c>
      <c r="V110" s="152">
        <f t="shared" si="254"/>
        <v>0.1979396582609165</v>
      </c>
      <c r="W110" s="152">
        <f t="shared" si="254"/>
        <v>0.20783664117396233</v>
      </c>
      <c r="X110" s="152">
        <f t="shared" si="254"/>
        <v>0.21822847323266048</v>
      </c>
      <c r="Y110" s="152">
        <f t="shared" si="254"/>
        <v>0.22913989689429351</v>
      </c>
      <c r="Z110" s="152">
        <f t="shared" si="254"/>
        <v>0.24059689173900817</v>
      </c>
      <c r="AA110" s="152">
        <f t="shared" si="254"/>
        <v>0.25262673632595856</v>
      </c>
      <c r="AB110" s="152">
        <f t="shared" si="254"/>
        <v>0.26525807314225652</v>
      </c>
      <c r="AC110" s="138">
        <f t="shared" si="204"/>
        <v>2.4989288692755851E-2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>
        <f>1-G110</f>
        <v>0.83404077496130036</v>
      </c>
      <c r="H111" s="152">
        <f t="shared" ref="H111:P111" si="255">1-H110</f>
        <v>0.83969634897745149</v>
      </c>
      <c r="I111" s="152">
        <f t="shared" si="255"/>
        <v>0.82644294230359805</v>
      </c>
      <c r="J111" s="152">
        <f t="shared" si="255"/>
        <v>0.85146310253437141</v>
      </c>
      <c r="K111" s="152">
        <f t="shared" si="255"/>
        <v>0.88675277365159044</v>
      </c>
      <c r="L111" s="152">
        <f t="shared" si="255"/>
        <v>0.85211199999999998</v>
      </c>
      <c r="M111" s="152">
        <f t="shared" si="255"/>
        <v>0.90013585554600173</v>
      </c>
      <c r="N111" s="152">
        <f t="shared" si="255"/>
        <v>0.85521166519640912</v>
      </c>
      <c r="O111" s="152">
        <f t="shared" si="255"/>
        <v>0.84975822133184564</v>
      </c>
      <c r="P111" s="152">
        <f t="shared" si="255"/>
        <v>0.83715455328928468</v>
      </c>
      <c r="Q111" s="118">
        <f t="shared" si="202"/>
        <v>4.1413160878245314E-4</v>
      </c>
      <c r="R111" s="20"/>
      <c r="S111" s="152">
        <f t="shared" ref="S111:AB111" si="256">1-S110</f>
        <v>0.8290122809537489</v>
      </c>
      <c r="T111" s="152">
        <f t="shared" si="256"/>
        <v>0.82046289500143632</v>
      </c>
      <c r="U111" s="152">
        <f t="shared" si="256"/>
        <v>0.81148603975150813</v>
      </c>
      <c r="V111" s="152">
        <f t="shared" si="256"/>
        <v>0.80206034173908347</v>
      </c>
      <c r="W111" s="152">
        <f t="shared" si="256"/>
        <v>0.79216335882603772</v>
      </c>
      <c r="X111" s="152">
        <f t="shared" si="256"/>
        <v>0.78177152676733952</v>
      </c>
      <c r="Y111" s="152">
        <f t="shared" si="256"/>
        <v>0.77086010310570652</v>
      </c>
      <c r="Z111" s="152">
        <f t="shared" si="256"/>
        <v>0.75940310826099178</v>
      </c>
      <c r="AA111" s="152">
        <f t="shared" si="256"/>
        <v>0.74737326367404144</v>
      </c>
      <c r="AB111" s="152">
        <f t="shared" si="256"/>
        <v>0.73474192685774353</v>
      </c>
      <c r="AC111" s="138">
        <f t="shared" si="204"/>
        <v>-6.6495288789175655E-3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57">H31/H25</f>
        <v>0</v>
      </c>
      <c r="I113" s="152">
        <f t="shared" si="257"/>
        <v>0</v>
      </c>
      <c r="J113" s="152">
        <f t="shared" si="257"/>
        <v>0</v>
      </c>
      <c r="K113" s="152">
        <f t="shared" si="257"/>
        <v>0</v>
      </c>
      <c r="L113" s="152">
        <f t="shared" si="257"/>
        <v>0</v>
      </c>
      <c r="M113" s="152">
        <f t="shared" si="257"/>
        <v>0</v>
      </c>
      <c r="N113" s="152">
        <f t="shared" si="257"/>
        <v>0</v>
      </c>
      <c r="O113" s="152">
        <f t="shared" si="257"/>
        <v>0</v>
      </c>
      <c r="P113" s="152">
        <f t="shared" si="257"/>
        <v>0</v>
      </c>
      <c r="Q113" s="118" t="e">
        <f t="shared" si="202"/>
        <v>#DIV/0!</v>
      </c>
      <c r="R113" s="20"/>
      <c r="S113" s="152">
        <f t="shared" ref="S113:AB113" si="258">S31/S25</f>
        <v>0</v>
      </c>
      <c r="T113" s="152">
        <f t="shared" si="258"/>
        <v>0</v>
      </c>
      <c r="U113" s="152">
        <f t="shared" si="258"/>
        <v>0</v>
      </c>
      <c r="V113" s="152">
        <f t="shared" si="258"/>
        <v>0</v>
      </c>
      <c r="W113" s="152">
        <f t="shared" si="258"/>
        <v>0</v>
      </c>
      <c r="X113" s="152">
        <f t="shared" si="258"/>
        <v>0</v>
      </c>
      <c r="Y113" s="152">
        <f t="shared" si="258"/>
        <v>0</v>
      </c>
      <c r="Z113" s="152">
        <f t="shared" si="258"/>
        <v>0</v>
      </c>
      <c r="AA113" s="152">
        <f t="shared" si="258"/>
        <v>0</v>
      </c>
      <c r="AB113" s="152">
        <f t="shared" si="258"/>
        <v>0</v>
      </c>
      <c r="AC113" s="138" t="e">
        <f t="shared" si="204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59">H32/H25</f>
        <v>0</v>
      </c>
      <c r="I114" s="152">
        <f t="shared" si="259"/>
        <v>0</v>
      </c>
      <c r="J114" s="152">
        <f t="shared" si="259"/>
        <v>0</v>
      </c>
      <c r="K114" s="152">
        <f t="shared" si="259"/>
        <v>0</v>
      </c>
      <c r="L114" s="152">
        <f t="shared" si="259"/>
        <v>0</v>
      </c>
      <c r="M114" s="152">
        <f t="shared" si="259"/>
        <v>0</v>
      </c>
      <c r="N114" s="152">
        <f t="shared" si="259"/>
        <v>0</v>
      </c>
      <c r="O114" s="152">
        <f t="shared" si="259"/>
        <v>0</v>
      </c>
      <c r="P114" s="152">
        <f t="shared" si="259"/>
        <v>0</v>
      </c>
      <c r="Q114" s="118" t="e">
        <f t="shared" si="202"/>
        <v>#DIV/0!</v>
      </c>
      <c r="R114" s="20"/>
      <c r="S114" s="152">
        <f t="shared" ref="S114:AB114" si="260">S32/S25</f>
        <v>0</v>
      </c>
      <c r="T114" s="152">
        <f t="shared" si="260"/>
        <v>0</v>
      </c>
      <c r="U114" s="152">
        <f t="shared" si="260"/>
        <v>0</v>
      </c>
      <c r="V114" s="152">
        <f t="shared" si="260"/>
        <v>0</v>
      </c>
      <c r="W114" s="152">
        <f t="shared" si="260"/>
        <v>0</v>
      </c>
      <c r="X114" s="152">
        <f t="shared" si="260"/>
        <v>0</v>
      </c>
      <c r="Y114" s="152">
        <f t="shared" si="260"/>
        <v>0</v>
      </c>
      <c r="Z114" s="152">
        <f t="shared" si="260"/>
        <v>0</v>
      </c>
      <c r="AA114" s="152">
        <f t="shared" si="260"/>
        <v>0</v>
      </c>
      <c r="AB114" s="152">
        <f t="shared" si="260"/>
        <v>0</v>
      </c>
      <c r="AC114" s="138" t="e">
        <f t="shared" si="204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>
        <f>G27/G25</f>
        <v>0.79122830213625972</v>
      </c>
      <c r="H116" s="152">
        <f t="shared" ref="H116:P116" si="261">H27/H25</f>
        <v>0.78762279559711212</v>
      </c>
      <c r="I116" s="152">
        <f t="shared" si="261"/>
        <v>0.81954370052578196</v>
      </c>
      <c r="J116" s="152">
        <f t="shared" si="261"/>
        <v>0.8179204850343218</v>
      </c>
      <c r="K116" s="152">
        <f t="shared" si="261"/>
        <v>0.79941776834029732</v>
      </c>
      <c r="L116" s="152">
        <f t="shared" si="261"/>
        <v>0.83429309231762427</v>
      </c>
      <c r="M116" s="152">
        <f t="shared" si="261"/>
        <v>0.81117928052342037</v>
      </c>
      <c r="N116" s="152">
        <f t="shared" si="261"/>
        <v>0.85114674526710954</v>
      </c>
      <c r="O116" s="152">
        <f t="shared" si="261"/>
        <v>0.88917025407276107</v>
      </c>
      <c r="P116" s="152">
        <f t="shared" si="261"/>
        <v>0.9001861506820239</v>
      </c>
      <c r="Q116" s="118">
        <f t="shared" si="202"/>
        <v>1.4438241673349728E-2</v>
      </c>
      <c r="R116" s="20"/>
      <c r="S116" s="152">
        <f t="shared" ref="S116:AB116" si="262">S27/S25</f>
        <v>0.90018615068202401</v>
      </c>
      <c r="T116" s="152">
        <f t="shared" si="262"/>
        <v>0.90018615068202412</v>
      </c>
      <c r="U116" s="152">
        <f t="shared" si="262"/>
        <v>0.90018615068202412</v>
      </c>
      <c r="V116" s="152">
        <f t="shared" si="262"/>
        <v>0.90018615068202412</v>
      </c>
      <c r="W116" s="152">
        <f t="shared" si="262"/>
        <v>0.90018615068202412</v>
      </c>
      <c r="X116" s="152">
        <f t="shared" si="262"/>
        <v>0.90018615068202401</v>
      </c>
      <c r="Y116" s="152">
        <f t="shared" si="262"/>
        <v>0.90018615068202401</v>
      </c>
      <c r="Z116" s="152">
        <f t="shared" si="262"/>
        <v>0.90018615068202401</v>
      </c>
      <c r="AA116" s="152">
        <f t="shared" si="262"/>
        <v>0.90018615068202401</v>
      </c>
      <c r="AB116" s="152">
        <f t="shared" si="262"/>
        <v>0.90018615068202401</v>
      </c>
      <c r="AC116" s="138">
        <f t="shared" si="204"/>
        <v>6.8133705997077687E-3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0.68348979090720208</v>
      </c>
      <c r="H117" s="152">
        <f t="shared" ref="H117:P117" si="263">H33/H25</f>
        <v>0.70153272576636283</v>
      </c>
      <c r="I117" s="152">
        <f t="shared" si="263"/>
        <v>0.70606339694789977</v>
      </c>
      <c r="J117" s="152">
        <f t="shared" si="263"/>
        <v>0.71269904874734313</v>
      </c>
      <c r="K117" s="152">
        <f t="shared" si="263"/>
        <v>0.70939105418179327</v>
      </c>
      <c r="L117" s="152">
        <f t="shared" si="263"/>
        <v>0.75722401549386698</v>
      </c>
      <c r="M117" s="152">
        <f t="shared" si="263"/>
        <v>0.74382287020896065</v>
      </c>
      <c r="N117" s="152">
        <f t="shared" si="263"/>
        <v>0.77968779786781639</v>
      </c>
      <c r="O117" s="152">
        <f t="shared" si="263"/>
        <v>0.83042120368025663</v>
      </c>
      <c r="P117" s="152">
        <f t="shared" si="263"/>
        <v>0.83313774906497706</v>
      </c>
      <c r="Q117" s="118">
        <f t="shared" si="202"/>
        <v>2.2242339014187262E-2</v>
      </c>
      <c r="R117" s="20"/>
      <c r="S117" s="152">
        <f t="shared" ref="S117:AB117" si="264">S33/S25</f>
        <v>0.83313774906497706</v>
      </c>
      <c r="T117" s="152">
        <f t="shared" si="264"/>
        <v>0.83313774906497706</v>
      </c>
      <c r="U117" s="152">
        <f t="shared" si="264"/>
        <v>0.83313774906497706</v>
      </c>
      <c r="V117" s="152">
        <f t="shared" si="264"/>
        <v>0.83313774906497695</v>
      </c>
      <c r="W117" s="152">
        <f t="shared" si="264"/>
        <v>0.83313774906497695</v>
      </c>
      <c r="X117" s="152">
        <f t="shared" si="264"/>
        <v>0.83313774906497684</v>
      </c>
      <c r="Y117" s="152">
        <f t="shared" si="264"/>
        <v>0.83313774906497684</v>
      </c>
      <c r="Z117" s="152">
        <f t="shared" si="264"/>
        <v>0.83313774906497684</v>
      </c>
      <c r="AA117" s="152">
        <f t="shared" si="264"/>
        <v>0.83313774906497673</v>
      </c>
      <c r="AB117" s="152">
        <f t="shared" si="264"/>
        <v>0.83313774906497684</v>
      </c>
      <c r="AC117" s="138">
        <f t="shared" si="204"/>
        <v>1.0474864103355852E-2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1.3693972763160381E-2</v>
      </c>
      <c r="H118" s="152">
        <f t="shared" ref="H118:P118" si="265">H34/H25</f>
        <v>1.3418747780802463E-2</v>
      </c>
      <c r="I118" s="152">
        <f t="shared" si="265"/>
        <v>1.3360224768877438E-2</v>
      </c>
      <c r="J118" s="152">
        <f t="shared" si="265"/>
        <v>1.9704519321230705E-2</v>
      </c>
      <c r="K118" s="152">
        <f t="shared" si="265"/>
        <v>1.4439345160627439E-2</v>
      </c>
      <c r="L118" s="152">
        <f t="shared" si="265"/>
        <v>2.4841833440929634E-2</v>
      </c>
      <c r="M118" s="152">
        <f t="shared" si="265"/>
        <v>1.4217473002648797E-2</v>
      </c>
      <c r="N118" s="152">
        <f t="shared" si="265"/>
        <v>1.0389629434106139E-2</v>
      </c>
      <c r="O118" s="152">
        <f t="shared" si="265"/>
        <v>1.2906493273103031E-2</v>
      </c>
      <c r="P118" s="152">
        <f t="shared" si="265"/>
        <v>1.9500686781349801E-2</v>
      </c>
      <c r="Q118" s="118">
        <f t="shared" si="202"/>
        <v>4.005864313849905E-2</v>
      </c>
      <c r="R118" s="20"/>
      <c r="S118" s="152">
        <f t="shared" ref="S118:AB118" si="266">S34/S25</f>
        <v>1.9500686781349801E-2</v>
      </c>
      <c r="T118" s="152">
        <f t="shared" si="266"/>
        <v>1.9500686781349801E-2</v>
      </c>
      <c r="U118" s="152">
        <f t="shared" si="266"/>
        <v>1.9500686781349797E-2</v>
      </c>
      <c r="V118" s="152">
        <f t="shared" si="266"/>
        <v>1.9500686781349797E-2</v>
      </c>
      <c r="W118" s="152">
        <f t="shared" si="266"/>
        <v>1.9500686781349797E-2</v>
      </c>
      <c r="X118" s="152">
        <f t="shared" si="266"/>
        <v>1.9500686781349797E-2</v>
      </c>
      <c r="Y118" s="152">
        <f t="shared" si="266"/>
        <v>1.9500686781349797E-2</v>
      </c>
      <c r="Z118" s="152">
        <f t="shared" si="266"/>
        <v>1.9500686781349797E-2</v>
      </c>
      <c r="AA118" s="152">
        <f t="shared" si="266"/>
        <v>1.9500686781349797E-2</v>
      </c>
      <c r="AB118" s="152">
        <f t="shared" si="266"/>
        <v>1.9500686781349797E-2</v>
      </c>
      <c r="AC118" s="138">
        <f t="shared" si="204"/>
        <v>1.8779091995054342E-2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0.77397801566204472</v>
      </c>
      <c r="H121" s="25">
        <f t="shared" ref="H121:AB121" si="267">H15/H9</f>
        <v>0.6409051158723218</v>
      </c>
      <c r="I121" s="25">
        <f t="shared" si="267"/>
        <v>0.83260034515392756</v>
      </c>
      <c r="J121" s="25">
        <f t="shared" si="267"/>
        <v>0.65506689160029818</v>
      </c>
      <c r="K121" s="25">
        <f t="shared" si="267"/>
        <v>0.79891949284866659</v>
      </c>
      <c r="L121" s="25">
        <f t="shared" si="267"/>
        <v>1.2895871045599516</v>
      </c>
      <c r="M121" s="25">
        <f t="shared" si="267"/>
        <v>1.4647085565196767</v>
      </c>
      <c r="N121" s="25">
        <f t="shared" si="267"/>
        <v>1.5970641470073934</v>
      </c>
      <c r="O121" s="25">
        <f t="shared" si="267"/>
        <v>1.7287736828265774</v>
      </c>
      <c r="P121" s="25">
        <f t="shared" si="267"/>
        <v>1.6018977431924939</v>
      </c>
      <c r="Q121" s="118">
        <f t="shared" si="202"/>
        <v>8.4178236063406686E-2</v>
      </c>
      <c r="R121" s="20"/>
      <c r="S121" s="20">
        <f t="shared" si="267"/>
        <v>1.6018977431924939</v>
      </c>
      <c r="T121" s="20">
        <f t="shared" si="267"/>
        <v>1.6018977431924937</v>
      </c>
      <c r="U121" s="20">
        <f t="shared" si="267"/>
        <v>1.6018977431924939</v>
      </c>
      <c r="V121" s="20">
        <f t="shared" si="267"/>
        <v>1.6018977431924939</v>
      </c>
      <c r="W121" s="20">
        <f t="shared" si="267"/>
        <v>1.6018977431924941</v>
      </c>
      <c r="X121" s="20">
        <f t="shared" si="267"/>
        <v>1.6018977431924941</v>
      </c>
      <c r="Y121" s="20">
        <f t="shared" si="267"/>
        <v>1.6018977431924941</v>
      </c>
      <c r="Z121" s="20">
        <f t="shared" si="267"/>
        <v>1.6018977431924941</v>
      </c>
      <c r="AA121" s="20">
        <f t="shared" si="267"/>
        <v>1.6018977431924941</v>
      </c>
      <c r="AB121" s="20">
        <f t="shared" si="267"/>
        <v>1.6018977431924939</v>
      </c>
      <c r="AC121" s="138">
        <f t="shared" si="204"/>
        <v>3.9026538312924464E-2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1.9397945254687837E-2</v>
      </c>
      <c r="H122" s="25">
        <f t="shared" ref="H122:P122" si="268">H12/H9</f>
        <v>2.1042850896370792E-2</v>
      </c>
      <c r="I122" s="25">
        <f t="shared" si="268"/>
        <v>1.4418526972109337E-2</v>
      </c>
      <c r="J122" s="25">
        <f t="shared" si="268"/>
        <v>1.6046137549531169E-2</v>
      </c>
      <c r="K122" s="25">
        <f t="shared" si="268"/>
        <v>1.2116669789519705E-2</v>
      </c>
      <c r="L122" s="25">
        <f t="shared" si="268"/>
        <v>1.7354322903197997E-2</v>
      </c>
      <c r="M122" s="25">
        <f t="shared" si="268"/>
        <v>1.3124345265155258E-2</v>
      </c>
      <c r="N122" s="25">
        <f t="shared" si="268"/>
        <v>1.3406141669478787E-2</v>
      </c>
      <c r="O122" s="25">
        <f t="shared" si="268"/>
        <v>2.0011901961055675E-2</v>
      </c>
      <c r="P122" s="25">
        <f t="shared" si="268"/>
        <v>0.59399832829073618</v>
      </c>
      <c r="Q122" s="118">
        <f t="shared" si="202"/>
        <v>0.4625623457807182</v>
      </c>
      <c r="R122" s="128"/>
      <c r="S122" s="20">
        <f t="shared" ref="S122:AB122" si="269">S12/S9</f>
        <v>0.59399832829073618</v>
      </c>
      <c r="T122" s="20">
        <f t="shared" si="269"/>
        <v>0.59399832829073618</v>
      </c>
      <c r="U122" s="20">
        <f t="shared" si="269"/>
        <v>0.59399832829073618</v>
      </c>
      <c r="V122" s="20">
        <f t="shared" si="269"/>
        <v>0.59399832829073618</v>
      </c>
      <c r="W122" s="20">
        <f t="shared" si="269"/>
        <v>0.59399832829073618</v>
      </c>
      <c r="X122" s="20">
        <f t="shared" si="269"/>
        <v>0.59399832829073629</v>
      </c>
      <c r="Y122" s="20">
        <f t="shared" si="269"/>
        <v>0.5939983282907364</v>
      </c>
      <c r="Z122" s="20">
        <f t="shared" si="269"/>
        <v>0.5939983282907364</v>
      </c>
      <c r="AA122" s="20">
        <f t="shared" si="269"/>
        <v>0.5939983282907364</v>
      </c>
      <c r="AB122" s="20">
        <f t="shared" si="269"/>
        <v>0.5939983282907364</v>
      </c>
      <c r="AC122" s="118">
        <f t="shared" ref="AC122" si="270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147.0638888888889</v>
      </c>
      <c r="H123" s="25">
        <f t="shared" ref="H123:P123" si="271">H25/360</f>
        <v>187.75555555555556</v>
      </c>
      <c r="I123" s="25">
        <f t="shared" si="271"/>
        <v>238.26944444444445</v>
      </c>
      <c r="J123" s="25">
        <f t="shared" si="271"/>
        <v>318.87777777777779</v>
      </c>
      <c r="K123" s="25">
        <f t="shared" si="271"/>
        <v>405.52777777777777</v>
      </c>
      <c r="L123" s="25">
        <f t="shared" si="271"/>
        <v>430.27777777777777</v>
      </c>
      <c r="M123" s="25">
        <f t="shared" si="271"/>
        <v>613.48611111111109</v>
      </c>
      <c r="N123" s="25">
        <f t="shared" si="271"/>
        <v>757.7</v>
      </c>
      <c r="O123" s="25">
        <f t="shared" si="271"/>
        <v>1020.1583333333333</v>
      </c>
      <c r="P123" s="25">
        <f t="shared" si="271"/>
        <v>1138.5638888888889</v>
      </c>
      <c r="Q123" s="118">
        <f t="shared" si="202"/>
        <v>0.25533969592264438</v>
      </c>
      <c r="R123" s="128"/>
      <c r="S123" s="25">
        <f t="shared" ref="S123:AB123" si="272">S25/360</f>
        <v>1229.6490000000001</v>
      </c>
      <c r="T123" s="25">
        <f t="shared" si="272"/>
        <v>1328.0209200000002</v>
      </c>
      <c r="U123" s="25">
        <f t="shared" si="272"/>
        <v>1434.2625936000002</v>
      </c>
      <c r="V123" s="25">
        <f t="shared" si="272"/>
        <v>1549.0036010880003</v>
      </c>
      <c r="W123" s="25">
        <f t="shared" si="272"/>
        <v>1672.9238891750406</v>
      </c>
      <c r="X123" s="25">
        <f t="shared" si="272"/>
        <v>1806.7578003090441</v>
      </c>
      <c r="Y123" s="25">
        <f t="shared" si="272"/>
        <v>1951.2984243337676</v>
      </c>
      <c r="Z123" s="25">
        <f t="shared" si="272"/>
        <v>2107.4022982804695</v>
      </c>
      <c r="AA123" s="25">
        <f t="shared" si="272"/>
        <v>2275.9944821429071</v>
      </c>
      <c r="AB123" s="25">
        <f t="shared" si="272"/>
        <v>2458.0740407143394</v>
      </c>
      <c r="AC123" s="118">
        <f t="shared" ref="AC123:AC134" si="273">((AB123/S123)^(1/($H$2-$H$1) ))-1</f>
        <v>8.0000000000000071E-2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116.36111111111111</v>
      </c>
      <c r="H124" s="25">
        <f t="shared" ref="H124:P124" si="274">H27/360</f>
        <v>147.88055555555556</v>
      </c>
      <c r="I124" s="25">
        <f t="shared" si="274"/>
        <v>195.27222222222221</v>
      </c>
      <c r="J124" s="25">
        <f t="shared" si="274"/>
        <v>260.81666666666666</v>
      </c>
      <c r="K124" s="25">
        <f t="shared" si="274"/>
        <v>324.18611111111113</v>
      </c>
      <c r="L124" s="25">
        <f t="shared" si="274"/>
        <v>358.97777777777776</v>
      </c>
      <c r="M124" s="25">
        <f t="shared" si="274"/>
        <v>497.64722222222224</v>
      </c>
      <c r="N124" s="25">
        <f t="shared" si="274"/>
        <v>644.91388888888889</v>
      </c>
      <c r="O124" s="25">
        <f t="shared" si="274"/>
        <v>907.09444444444443</v>
      </c>
      <c r="P124" s="25">
        <f t="shared" si="274"/>
        <v>1024.9194444444445</v>
      </c>
      <c r="Q124" s="118">
        <f t="shared" si="202"/>
        <v>0.27346459383452504</v>
      </c>
      <c r="R124" s="128"/>
      <c r="S124" s="25">
        <f t="shared" ref="S124:AB124" si="275">S27/360</f>
        <v>1106.9130000000002</v>
      </c>
      <c r="T124" s="25">
        <f t="shared" si="275"/>
        <v>1195.4660400000002</v>
      </c>
      <c r="U124" s="25">
        <f t="shared" si="275"/>
        <v>1291.1033232000004</v>
      </c>
      <c r="V124" s="25">
        <f t="shared" si="275"/>
        <v>1394.3915890560006</v>
      </c>
      <c r="W124" s="25">
        <f t="shared" si="275"/>
        <v>1505.942916180481</v>
      </c>
      <c r="X124" s="25">
        <f t="shared" si="275"/>
        <v>1626.4183494749195</v>
      </c>
      <c r="Y124" s="25">
        <f t="shared" si="275"/>
        <v>1756.5318174329129</v>
      </c>
      <c r="Z124" s="25">
        <f t="shared" si="275"/>
        <v>1897.0543628275461</v>
      </c>
      <c r="AA124" s="25">
        <f t="shared" si="275"/>
        <v>2048.8187118537503</v>
      </c>
      <c r="AB124" s="25">
        <f t="shared" si="275"/>
        <v>2212.7242088020503</v>
      </c>
      <c r="AC124" s="118">
        <f t="shared" si="273"/>
        <v>8.0000000000000071E-2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0.60016563383499444</v>
      </c>
      <c r="H126" s="25">
        <f t="shared" ref="H126:P126" si="276">H10/H7</f>
        <v>0.46220923092039007</v>
      </c>
      <c r="I126" s="25">
        <f t="shared" si="276"/>
        <v>0.45752479517033207</v>
      </c>
      <c r="J126" s="25">
        <f t="shared" si="276"/>
        <v>0.49335131727484643</v>
      </c>
      <c r="K126" s="25">
        <f t="shared" si="276"/>
        <v>0.59293567251461987</v>
      </c>
      <c r="L126" s="25">
        <f t="shared" si="276"/>
        <v>0.62893621232865415</v>
      </c>
      <c r="M126" s="25">
        <f t="shared" si="276"/>
        <v>0.45818499028382575</v>
      </c>
      <c r="N126" s="25">
        <f t="shared" si="276"/>
        <v>0.54584866597872572</v>
      </c>
      <c r="O126" s="25">
        <f t="shared" si="276"/>
        <v>0.48768036826108768</v>
      </c>
      <c r="P126" s="25">
        <f t="shared" si="276"/>
        <v>0.49063195188267283</v>
      </c>
      <c r="Q126" s="118">
        <f t="shared" si="202"/>
        <v>-2.2141358064810768E-2</v>
      </c>
      <c r="R126" s="128"/>
      <c r="S126" s="25">
        <f t="shared" ref="S126:AB126" si="277">S10/S7</f>
        <v>0.49063195188267283</v>
      </c>
      <c r="T126" s="25">
        <f t="shared" si="277"/>
        <v>0.49063195188267278</v>
      </c>
      <c r="U126" s="25">
        <f t="shared" si="277"/>
        <v>0.49063195188267278</v>
      </c>
      <c r="V126" s="25">
        <f t="shared" si="277"/>
        <v>0.49063195188267278</v>
      </c>
      <c r="W126" s="25">
        <f t="shared" si="277"/>
        <v>0.49063195188267278</v>
      </c>
      <c r="X126" s="25">
        <f t="shared" si="277"/>
        <v>0.49063195188267283</v>
      </c>
      <c r="Y126" s="25">
        <f t="shared" si="277"/>
        <v>0.49063195188267278</v>
      </c>
      <c r="Z126" s="25">
        <f t="shared" si="277"/>
        <v>0.49063195188267278</v>
      </c>
      <c r="AA126" s="25">
        <f t="shared" si="277"/>
        <v>0.49063195188267272</v>
      </c>
      <c r="AB126" s="25">
        <f t="shared" si="277"/>
        <v>0.49063195188267278</v>
      </c>
      <c r="AC126" s="118">
        <f t="shared" si="273"/>
        <v>0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0.37506469401959558</v>
      </c>
      <c r="H127" s="25">
        <f t="shared" ref="H127:P127" si="278">H10/(H10+H7)</f>
        <v>0.31610334632441878</v>
      </c>
      <c r="I127" s="25">
        <f t="shared" si="278"/>
        <v>0.31390532544378696</v>
      </c>
      <c r="J127" s="25">
        <f t="shared" si="278"/>
        <v>0.33036520714706458</v>
      </c>
      <c r="K127" s="25">
        <f t="shared" si="278"/>
        <v>0.37222825927340009</v>
      </c>
      <c r="L127" s="25">
        <f t="shared" si="278"/>
        <v>0.38610241921600796</v>
      </c>
      <c r="M127" s="25">
        <f t="shared" si="278"/>
        <v>0.3142159556824427</v>
      </c>
      <c r="N127" s="25">
        <f t="shared" si="278"/>
        <v>0.3531061467993904</v>
      </c>
      <c r="O127" s="25">
        <f t="shared" si="278"/>
        <v>0.3278125991748651</v>
      </c>
      <c r="P127" s="25">
        <f t="shared" si="278"/>
        <v>0.32914358991366255</v>
      </c>
      <c r="Q127" s="118">
        <f t="shared" si="202"/>
        <v>-1.4406817436503738E-2</v>
      </c>
      <c r="R127" s="128"/>
      <c r="S127" s="25">
        <f t="shared" ref="S127:AB127" si="279">S10/(S10+S7)</f>
        <v>0.32914358991366255</v>
      </c>
      <c r="T127" s="25">
        <f t="shared" si="279"/>
        <v>0.32914358991366249</v>
      </c>
      <c r="U127" s="25">
        <f t="shared" si="279"/>
        <v>0.32914358991366255</v>
      </c>
      <c r="V127" s="25">
        <f t="shared" si="279"/>
        <v>0.32914358991366249</v>
      </c>
      <c r="W127" s="25">
        <f t="shared" si="279"/>
        <v>0.32914358991366249</v>
      </c>
      <c r="X127" s="25">
        <f t="shared" si="279"/>
        <v>0.32914358991366255</v>
      </c>
      <c r="Y127" s="25">
        <f t="shared" si="279"/>
        <v>0.32914358991366255</v>
      </c>
      <c r="Z127" s="25">
        <f t="shared" si="279"/>
        <v>0.32914358991366255</v>
      </c>
      <c r="AA127" s="25">
        <f t="shared" si="279"/>
        <v>0.32914358991366255</v>
      </c>
      <c r="AB127" s="25">
        <f t="shared" si="279"/>
        <v>0.32914358991366249</v>
      </c>
      <c r="AC127" s="118">
        <f t="shared" si="273"/>
        <v>0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2360</v>
      </c>
      <c r="H129" s="25">
        <f t="shared" ref="H129:P129" si="280">H16</f>
        <v>1702</v>
      </c>
      <c r="I129" s="25">
        <f t="shared" si="280"/>
        <v>2968</v>
      </c>
      <c r="J129" s="25">
        <f t="shared" si="280"/>
        <v>5873</v>
      </c>
      <c r="K129" s="25">
        <f t="shared" si="280"/>
        <v>16823</v>
      </c>
      <c r="L129" s="25">
        <f t="shared" si="280"/>
        <v>10322</v>
      </c>
      <c r="M129" s="25">
        <f t="shared" si="280"/>
        <v>19815</v>
      </c>
      <c r="N129" s="25">
        <f t="shared" si="280"/>
        <v>34194</v>
      </c>
      <c r="O129" s="25">
        <f t="shared" si="280"/>
        <v>47845</v>
      </c>
      <c r="P129" s="25">
        <f t="shared" si="280"/>
        <v>46039</v>
      </c>
      <c r="Q129" s="118">
        <f t="shared" si="202"/>
        <v>0.39109598661837897</v>
      </c>
      <c r="R129" s="128"/>
      <c r="S129" s="25">
        <f t="shared" ref="S129:AB129" si="281">S16</f>
        <v>49722.12</v>
      </c>
      <c r="T129" s="25">
        <f t="shared" si="281"/>
        <v>53699.88960000001</v>
      </c>
      <c r="U129" s="25">
        <f t="shared" si="281"/>
        <v>57995.880768000017</v>
      </c>
      <c r="V129" s="25">
        <f t="shared" si="281"/>
        <v>62635.551229440025</v>
      </c>
      <c r="W129" s="25">
        <f t="shared" si="281"/>
        <v>67646.395327795239</v>
      </c>
      <c r="X129" s="25">
        <f t="shared" si="281"/>
        <v>73058.106954018862</v>
      </c>
      <c r="Y129" s="25">
        <f t="shared" si="281"/>
        <v>78902.755510340372</v>
      </c>
      <c r="Z129" s="25">
        <f t="shared" si="281"/>
        <v>85214.975951167609</v>
      </c>
      <c r="AA129" s="25">
        <f t="shared" si="281"/>
        <v>92032.174027261019</v>
      </c>
      <c r="AB129" s="25">
        <f t="shared" si="281"/>
        <v>99394.747949441909</v>
      </c>
      <c r="AC129" s="118">
        <f t="shared" si="273"/>
        <v>8.0000000000000071E-2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82">G129*365/G25</f>
        <v>16.270328466463933</v>
      </c>
      <c r="H130" s="119">
        <f t="shared" si="282"/>
        <v>9.1908805775831457</v>
      </c>
      <c r="I130" s="119">
        <f t="shared" si="282"/>
        <v>12.62949275446798</v>
      </c>
      <c r="J130" s="119">
        <f t="shared" si="282"/>
        <v>18.673516498832711</v>
      </c>
      <c r="K130" s="119">
        <f t="shared" si="282"/>
        <v>42.060380848003291</v>
      </c>
      <c r="L130" s="119">
        <f t="shared" si="282"/>
        <v>24.322336991607489</v>
      </c>
      <c r="M130" s="119">
        <f t="shared" si="282"/>
        <v>32.747617214914762</v>
      </c>
      <c r="N130" s="119">
        <f t="shared" si="282"/>
        <v>45.755466103559016</v>
      </c>
      <c r="O130" s="119">
        <f t="shared" si="282"/>
        <v>47.550965672539938</v>
      </c>
      <c r="P130" s="119">
        <f t="shared" si="282"/>
        <v>40.997638350456107</v>
      </c>
      <c r="Q130" s="118">
        <f t="shared" si="202"/>
        <v>0.1081430716615368</v>
      </c>
      <c r="R130" s="128"/>
      <c r="S130" s="119">
        <f t="shared" ref="S130:AB130" si="283">S129*365/S25</f>
        <v>40.997638350456107</v>
      </c>
      <c r="T130" s="119">
        <f t="shared" si="283"/>
        <v>40.997638350456114</v>
      </c>
      <c r="U130" s="119">
        <f t="shared" si="283"/>
        <v>40.997638350456114</v>
      </c>
      <c r="V130" s="119">
        <f t="shared" si="283"/>
        <v>40.997638350456107</v>
      </c>
      <c r="W130" s="119">
        <f t="shared" si="283"/>
        <v>40.997638350456114</v>
      </c>
      <c r="X130" s="119">
        <f t="shared" si="283"/>
        <v>40.997638350456114</v>
      </c>
      <c r="Y130" s="119">
        <f t="shared" si="283"/>
        <v>40.997638350456114</v>
      </c>
      <c r="Z130" s="119">
        <f t="shared" si="283"/>
        <v>40.997638350456107</v>
      </c>
      <c r="AA130" s="119">
        <f t="shared" si="283"/>
        <v>40.997638350456107</v>
      </c>
      <c r="AB130" s="119">
        <f t="shared" si="283"/>
        <v>40.997638350456107</v>
      </c>
      <c r="AC130" s="118">
        <f t="shared" si="273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>
        <f>G78/G29</f>
        <v>4.6850008355415501E-2</v>
      </c>
      <c r="H131" s="133">
        <f t="shared" ref="H131:P131" si="284">H78/H29</f>
        <v>6.1098493484206158E-2</v>
      </c>
      <c r="I131" s="133">
        <f t="shared" si="284"/>
        <v>0.10950647006512511</v>
      </c>
      <c r="J131" s="133">
        <f t="shared" si="284"/>
        <v>0.10979281128660284</v>
      </c>
      <c r="K131" s="133">
        <f t="shared" si="284"/>
        <v>0.12223786750170428</v>
      </c>
      <c r="L131" s="133">
        <f t="shared" si="284"/>
        <v>7.8605946185695802E-2</v>
      </c>
      <c r="M131" s="133">
        <f t="shared" si="284"/>
        <v>4.9241374865022447E-2</v>
      </c>
      <c r="N131" s="133">
        <f t="shared" si="284"/>
        <v>5.2833576597077797E-2</v>
      </c>
      <c r="O131" s="133">
        <f t="shared" si="284"/>
        <v>4.0391594882523321E-2</v>
      </c>
      <c r="P131" s="133">
        <f t="shared" si="284"/>
        <v>3.8708475803249195E-2</v>
      </c>
      <c r="Q131" s="118">
        <f t="shared" si="202"/>
        <v>-2.0986932427902727E-2</v>
      </c>
      <c r="R131" s="128"/>
      <c r="S131" s="133">
        <f t="shared" ref="S131:AB131" si="285">S78/S29</f>
        <v>3.584118129930481E-2</v>
      </c>
      <c r="T131" s="133">
        <f t="shared" si="285"/>
        <v>3.3186278980837779E-2</v>
      </c>
      <c r="U131" s="133">
        <f t="shared" si="285"/>
        <v>3.072803609336831E-2</v>
      </c>
      <c r="V131" s="133">
        <f t="shared" si="285"/>
        <v>2.8451885271637327E-2</v>
      </c>
      <c r="W131" s="133">
        <f t="shared" si="285"/>
        <v>2.6344338214479006E-2</v>
      </c>
      <c r="X131" s="133">
        <f t="shared" si="285"/>
        <v>2.4392905754147223E-2</v>
      </c>
      <c r="Y131" s="133">
        <f t="shared" si="285"/>
        <v>2.2586023846432612E-2</v>
      </c>
      <c r="Z131" s="133">
        <f t="shared" si="285"/>
        <v>2.0912985042993163E-2</v>
      </c>
      <c r="AA131" s="133">
        <f t="shared" si="285"/>
        <v>1.9363875039808482E-2</v>
      </c>
      <c r="AB131" s="133">
        <f t="shared" si="285"/>
        <v>1.7929513925748593E-2</v>
      </c>
      <c r="AC131" s="118">
        <f t="shared" si="273"/>
        <v>-7.407407407407407E-2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>
        <f>G25/G14</f>
        <v>7.3216705849813302</v>
      </c>
      <c r="H133" s="180">
        <f t="shared" ref="H133:P133" si="286">H25/H14</f>
        <v>9.1192660550458715</v>
      </c>
      <c r="I133" s="180">
        <f t="shared" si="286"/>
        <v>8.2916384726921226</v>
      </c>
      <c r="J133" s="180">
        <f t="shared" si="286"/>
        <v>9.2161207450224794</v>
      </c>
      <c r="K133" s="180">
        <f t="shared" si="286"/>
        <v>7.6330649377810307</v>
      </c>
      <c r="L133" s="180">
        <f t="shared" si="286"/>
        <v>7.7030185489084486</v>
      </c>
      <c r="M133" s="180">
        <f t="shared" si="286"/>
        <v>6.4215101910272443</v>
      </c>
      <c r="N133" s="180">
        <f t="shared" si="286"/>
        <v>7.0814922505776368</v>
      </c>
      <c r="O133" s="180">
        <f t="shared" si="286"/>
        <v>7.8655230017990236</v>
      </c>
      <c r="P133" s="180">
        <f t="shared" si="286"/>
        <v>7.5068771634219154</v>
      </c>
      <c r="Q133" s="118">
        <f t="shared" si="202"/>
        <v>2.7795259159630881E-3</v>
      </c>
      <c r="R133" s="128"/>
      <c r="S133" s="20">
        <f t="shared" ref="S133" si="287">S25/S14</f>
        <v>7.5068771634219154</v>
      </c>
      <c r="T133" s="20">
        <f t="shared" ref="T133:AB133" si="288">T25/T14</f>
        <v>7.5068771634219154</v>
      </c>
      <c r="U133" s="20">
        <f t="shared" si="288"/>
        <v>7.5068771634219162</v>
      </c>
      <c r="V133" s="20">
        <f t="shared" si="288"/>
        <v>7.5068771634219162</v>
      </c>
      <c r="W133" s="20">
        <f t="shared" si="288"/>
        <v>7.5068771634219162</v>
      </c>
      <c r="X133" s="20">
        <f t="shared" si="288"/>
        <v>7.5068771634219162</v>
      </c>
      <c r="Y133" s="20">
        <f t="shared" si="288"/>
        <v>7.5068771634219162</v>
      </c>
      <c r="Z133" s="20">
        <f t="shared" si="288"/>
        <v>7.5068771634219162</v>
      </c>
      <c r="AA133" s="20">
        <f t="shared" si="288"/>
        <v>7.5068771634219162</v>
      </c>
      <c r="AB133" s="20">
        <f t="shared" si="288"/>
        <v>7.5068771634219154</v>
      </c>
      <c r="AC133" s="118">
        <f t="shared" si="273"/>
        <v>0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>
        <f>G27/G14</f>
        <v>5.7931129857557737</v>
      </c>
      <c r="H134" s="180">
        <f t="shared" ref="H134:P134" si="289">H27/H14</f>
        <v>7.1825418240690775</v>
      </c>
      <c r="I134" s="180">
        <f t="shared" si="289"/>
        <v>6.7953600773320444</v>
      </c>
      <c r="J134" s="180">
        <f t="shared" si="289"/>
        <v>7.5380539499036612</v>
      </c>
      <c r="K134" s="180">
        <f t="shared" si="289"/>
        <v>6.1020077381574822</v>
      </c>
      <c r="L134" s="180">
        <f t="shared" si="289"/>
        <v>6.426575165348849</v>
      </c>
      <c r="M134" s="180">
        <f t="shared" si="289"/>
        <v>5.208996016631291</v>
      </c>
      <c r="N134" s="180">
        <f t="shared" si="289"/>
        <v>6.0273890807134141</v>
      </c>
      <c r="O134" s="180">
        <f t="shared" si="289"/>
        <v>6.9937890859247833</v>
      </c>
      <c r="P134" s="180">
        <f t="shared" si="289"/>
        <v>6.757586857383564</v>
      </c>
      <c r="Q134" s="118">
        <f t="shared" si="202"/>
        <v>1.7257899056224879E-2</v>
      </c>
      <c r="R134" s="128"/>
      <c r="S134" s="20">
        <f t="shared" ref="S134:AB134" si="290">S27/S14</f>
        <v>6.7575868573835649</v>
      </c>
      <c r="T134" s="20">
        <f t="shared" si="290"/>
        <v>6.7575868573835658</v>
      </c>
      <c r="U134" s="20">
        <f t="shared" si="290"/>
        <v>6.7575868573835667</v>
      </c>
      <c r="V134" s="20">
        <f t="shared" si="290"/>
        <v>6.7575868573835667</v>
      </c>
      <c r="W134" s="20">
        <f t="shared" si="290"/>
        <v>6.7575868573835667</v>
      </c>
      <c r="X134" s="20">
        <f t="shared" si="290"/>
        <v>6.7575868573835667</v>
      </c>
      <c r="Y134" s="20">
        <f t="shared" si="290"/>
        <v>6.7575868573835658</v>
      </c>
      <c r="Z134" s="20">
        <f t="shared" si="290"/>
        <v>6.7575868573835658</v>
      </c>
      <c r="AA134" s="20">
        <f t="shared" si="290"/>
        <v>6.7575868573835658</v>
      </c>
      <c r="AB134" s="20">
        <f t="shared" si="290"/>
        <v>6.7575868573835658</v>
      </c>
      <c r="AC134" s="118">
        <f t="shared" si="273"/>
        <v>0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76.047947398244375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73.198402133188964</v>
      </c>
      <c r="S138" s="133">
        <f>PV($C$1, ($AB$3-$S$3), 0, -AB52)</f>
        <v>10.799764249159026</v>
      </c>
      <c r="T138" s="133">
        <f>PV($C$1, ($AB$3-$S$3), 0, -AE52)</f>
        <v>62.398637884029938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291">S139+T139</f>
        <v>638.0415158650635</v>
      </c>
      <c r="S139" s="133">
        <f>PV($C$1, ($AB$3-$S$3), 0, -AB54)</f>
        <v>94.137272832550352</v>
      </c>
      <c r="T139" s="133">
        <f>PV($C$1, ($AB$3-$S$3), 0, -AE54)</f>
        <v>543.90424303251314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291"/>
        <v>627.66420720297549</v>
      </c>
      <c r="S140" s="133">
        <f>PV($C$1, ($AB$3-$S$3), 0, -AB55)</f>
        <v>92.60619450535701</v>
      </c>
      <c r="T140" s="133">
        <f>PV($C$1, ($AB$3-$S$3), 0, -AE55)</f>
        <v>535.05801269761844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291"/>
        <v>313.04355431105552</v>
      </c>
      <c r="S141" s="133">
        <f>PV($C$1, ($AB$3-$S$3), 0, -AB56)</f>
        <v>46.186753914745886</v>
      </c>
      <c r="T141" s="133">
        <f>PV($C$1, ($AB$3-$S$3), 0, -AE56)</f>
        <v>266.85680039630961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291"/>
        <v>176.83130221354892</v>
      </c>
      <c r="S142" s="133">
        <f>PV($C$1, ($AB$3-$S$3), 0, -AB62)</f>
        <v>26.089864261015414</v>
      </c>
      <c r="T142" s="133">
        <f>PV($C$1, ($AB$3-$S$3), 0, -AE62)</f>
        <v>150.74143795253352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291"/>
        <v>324.9979615540081</v>
      </c>
      <c r="S144" s="133">
        <f>PV($C$1, ($AB$3-$S$3), 0, -AB58)</f>
        <v>47.950518917804473</v>
      </c>
      <c r="T144" s="133">
        <f>PV($C$1, ($AB$3-$S$3), 0, -$AE$58)</f>
        <v>277.04744263620364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91"/>
        <v>27.301328766520392</v>
      </c>
      <c r="S145" s="133">
        <f>PV($C$1, ($AB$3-$S$3), 0, -AB59)</f>
        <v>4.0280648999784185</v>
      </c>
      <c r="T145" s="133">
        <f>PV($C$1, ($AB$3-$S$3), 0, -$AE$59)</f>
        <v>23.273263866541974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291"/>
        <v>504.18089298480157</v>
      </c>
      <c r="S146" s="133">
        <f>PV($C$1, ($AB$3-$S$3), 0, -AB60)</f>
        <v>74.387344866610064</v>
      </c>
      <c r="T146" s="133">
        <f>PV($C$1, ($AB$3-$S$3), 0, -$AE$60)</f>
        <v>429.7935481181915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91"/>
        <v>476.87956421828119</v>
      </c>
      <c r="S148" s="133">
        <f>PV($C$1, ($AB$3-$S$3), 0, -AB65)</f>
        <v>70.359279966631647</v>
      </c>
      <c r="T148" s="133">
        <f>PV($C$1, ($AB$3-$S$3), 0, -AE65)</f>
        <v>406.52028425164951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91"/>
        <v>132.01462102621582</v>
      </c>
      <c r="S149" s="133">
        <f>PV($C$1, ($AB$3-$S$3), 0, -AB66)</f>
        <v>23.805915267022527</v>
      </c>
      <c r="T149" s="133">
        <f>PV($C$1, ($AB$3-$S$3), 0, -AE66)</f>
        <v>108.20870575919331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292">S151+T151</f>
        <v>123310.26252366888</v>
      </c>
      <c r="S151" s="133">
        <f>PV($C$1, ($AB$3-$S$3), 0, -AB12)</f>
        <v>18193.317421524916</v>
      </c>
      <c r="T151" s="133">
        <f>PV($C$1, ($AB$3-$S$3), 0, -AE12)</f>
        <v>105116.94510214396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381.76551864912966</v>
      </c>
      <c r="S152" s="140">
        <f>S151/P42</f>
        <v>56.326060128560115</v>
      </c>
      <c r="T152" s="140">
        <f>T151/P42</f>
        <v>325.43945852056953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293">S155+T155</f>
        <v>84.313972014905829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70.167183594547552</v>
      </c>
      <c r="T155" s="133">
        <f>PV($C$1, ($AB$3-$S$3), 0, -AE68)</f>
        <v>14.146788420358279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291"/>
        <v>115076.76089668568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95768.376418988861</v>
      </c>
      <c r="T157" s="133">
        <f>PV($C$1, ($AB$3-$S$3), 0, -AE70)</f>
        <v>19308.384477696814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294">S159+T159</f>
        <v>165.02416804093815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137.33525796197665</v>
      </c>
      <c r="T159" s="133">
        <f>PV($C$1, ($AB$3-$S$3), 0, -AE72)</f>
        <v>27.688910078961484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294"/>
        <v>657.35457873709038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547.05902605095525</v>
      </c>
      <c r="T160" s="133">
        <f>PV($C$1, ($AB$3-$S$3), 0, -AE73)</f>
        <v>110.29555268613508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294"/>
        <v>-492.33041069615228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-409.72376808897866</v>
      </c>
      <c r="T161" s="133">
        <f>PV($C$1, ($AB$3-$S$3), 0, -AE74)</f>
        <v>-82.606642607173598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294"/>
        <v>7.2647670005074163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6.0458335399748009</v>
      </c>
      <c r="T162" s="133">
        <f>PV($C$1, ($AB$3-$S$3), 0, -AE75)</f>
        <v>1.2189334605326156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898.40951906275075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747.66808111021726</v>
      </c>
      <c r="T164" s="133">
        <f>PV($C$1, ($AB$3-$S$3), 0, -AE76)</f>
        <v>150.74143795253352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700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>
        <v>900</v>
      </c>
      <c r="Q166" s="20" t="s">
        <v>392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280</v>
      </c>
      <c r="G167" s="22">
        <v>505</v>
      </c>
      <c r="H167" s="22">
        <v>540</v>
      </c>
      <c r="I167" s="22">
        <v>730</v>
      </c>
      <c r="J167" s="22">
        <v>1260</v>
      </c>
      <c r="K167" s="22">
        <v>2120</v>
      </c>
      <c r="L167" s="22">
        <v>1160</v>
      </c>
      <c r="M167" s="22">
        <v>980</v>
      </c>
      <c r="N167" s="22">
        <v>980</v>
      </c>
      <c r="O167" s="22">
        <v>720</v>
      </c>
      <c r="P167" s="22">
        <v>800</v>
      </c>
      <c r="Q167" s="118">
        <f t="shared" ref="Q167:Q172" si="295">((P167/G167)^(1/($H$2-$H$1) ))-1</f>
        <v>5.2446057158187065E-2</v>
      </c>
      <c r="R167" s="31">
        <v>0.1</v>
      </c>
      <c r="S167" s="119">
        <f t="shared" ref="S167" si="296">P167*(1+$R167)</f>
        <v>880.00000000000011</v>
      </c>
      <c r="T167" s="119">
        <f t="shared" ref="T167:AB167" si="297">S167*(1+$R167)</f>
        <v>968.00000000000023</v>
      </c>
      <c r="U167" s="119">
        <f t="shared" si="297"/>
        <v>1064.8000000000004</v>
      </c>
      <c r="V167" s="119">
        <f t="shared" si="297"/>
        <v>1171.2800000000007</v>
      </c>
      <c r="W167" s="119">
        <f t="shared" si="297"/>
        <v>1288.4080000000008</v>
      </c>
      <c r="X167" s="119">
        <f t="shared" si="297"/>
        <v>1417.248800000001</v>
      </c>
      <c r="Y167" s="119">
        <f t="shared" si="297"/>
        <v>1558.9736800000012</v>
      </c>
      <c r="Z167" s="119">
        <f t="shared" si="297"/>
        <v>1714.8710480000016</v>
      </c>
      <c r="AA167" s="119">
        <f t="shared" si="297"/>
        <v>1886.3581528000018</v>
      </c>
      <c r="AB167" s="119">
        <f t="shared" si="297"/>
        <v>2074.9939680800021</v>
      </c>
      <c r="AC167" s="138">
        <f t="shared" ref="AC167:AC172" si="298">((AB167/G167)^(1/($AB$3-$H$1) ))-1</f>
        <v>7.7212390098507777E-2</v>
      </c>
      <c r="AD167" s="31">
        <v>0.08</v>
      </c>
      <c r="AE167" s="127">
        <f t="shared" ref="AE167:AE175" si="299">(AB167*(1+AC167))/($C$1-AD167)</f>
        <v>15965.780084253183</v>
      </c>
    </row>
    <row r="168" spans="2:31" x14ac:dyDescent="0.2">
      <c r="B168" s="20" t="s">
        <v>361</v>
      </c>
      <c r="C168" s="25" t="e">
        <f t="shared" ref="C168:P168" si="300">C167/C49</f>
        <v>#DIV/0!</v>
      </c>
      <c r="D168" s="25" t="e">
        <f t="shared" si="300"/>
        <v>#DIV/0!</v>
      </c>
      <c r="E168" s="25" t="e">
        <f t="shared" si="300"/>
        <v>#DIV/0!</v>
      </c>
      <c r="F168" s="25" t="e">
        <f t="shared" si="300"/>
        <v>#DIV/0!</v>
      </c>
      <c r="G168" s="25">
        <f t="shared" si="300"/>
        <v>1.3318691800615756</v>
      </c>
      <c r="H168" s="25">
        <f t="shared" si="300"/>
        <v>1.1132826369984614</v>
      </c>
      <c r="I168" s="25">
        <f t="shared" si="300"/>
        <v>1.185929794700211</v>
      </c>
      <c r="J168" s="25">
        <f t="shared" si="300"/>
        <v>1.5295045123523465</v>
      </c>
      <c r="K168" s="25">
        <f t="shared" si="300"/>
        <v>2.1108514281800126</v>
      </c>
      <c r="L168" s="25">
        <f t="shared" si="300"/>
        <v>1.088557779212395</v>
      </c>
      <c r="M168" s="25">
        <f t="shared" si="300"/>
        <v>1.3214280863009669</v>
      </c>
      <c r="N168" s="25">
        <f t="shared" si="300"/>
        <v>1.0709970231548693</v>
      </c>
      <c r="O168" s="25">
        <f t="shared" si="300"/>
        <v>0.58396817487481523</v>
      </c>
      <c r="P168" s="25">
        <f t="shared" si="300"/>
        <v>0.63042380386598129</v>
      </c>
      <c r="Q168" s="118">
        <f t="shared" ref="Q168" si="301">((P168/G168)^(1/($H$2-$H$1) ))-1</f>
        <v>-7.9745621116214194E-2</v>
      </c>
      <c r="R168" s="128"/>
      <c r="S168" s="25">
        <f t="shared" ref="S168:AB168" si="302">S167/S49</f>
        <v>0.69346618425257955</v>
      </c>
      <c r="T168" s="25">
        <f t="shared" si="302"/>
        <v>0.76281280267783769</v>
      </c>
      <c r="U168" s="25">
        <f t="shared" si="302"/>
        <v>0.8390940829456216</v>
      </c>
      <c r="V168" s="25">
        <f t="shared" si="302"/>
        <v>0.92300349124018377</v>
      </c>
      <c r="W168" s="25">
        <f t="shared" si="302"/>
        <v>1.0153038403642021</v>
      </c>
      <c r="X168" s="25">
        <f t="shared" si="302"/>
        <v>1.1168342244006224</v>
      </c>
      <c r="Y168" s="25">
        <f t="shared" si="302"/>
        <v>1.2285176468406849</v>
      </c>
      <c r="Z168" s="25">
        <f t="shared" si="302"/>
        <v>1.3513694115247534</v>
      </c>
      <c r="AA168" s="25">
        <f t="shared" si="302"/>
        <v>1.4865063526772286</v>
      </c>
      <c r="AB168" s="25">
        <f t="shared" si="302"/>
        <v>1.6351569879449519</v>
      </c>
      <c r="AC168" s="138">
        <f t="shared" ref="AC168" si="303">((AB168/G168)^(1/($AB$3-$H$1) ))-1</f>
        <v>1.0856161001506326E-2</v>
      </c>
      <c r="AD168" s="31">
        <v>0.08</v>
      </c>
      <c r="AE168" s="127">
        <f t="shared" ref="AE168" si="304">(AB168*(1+AC168))/($C$1-AD168)</f>
        <v>11.806489396205858</v>
      </c>
    </row>
    <row r="169" spans="2:31" x14ac:dyDescent="0.2">
      <c r="B169" s="20" t="s">
        <v>389</v>
      </c>
      <c r="C169" s="25" t="e">
        <f t="shared" ref="C169:P169" si="305">C167/C52</f>
        <v>#DIV/0!</v>
      </c>
      <c r="D169" s="25" t="e">
        <f t="shared" si="305"/>
        <v>#DIV/0!</v>
      </c>
      <c r="E169" s="25" t="e">
        <f t="shared" si="305"/>
        <v>#DIV/0!</v>
      </c>
      <c r="F169" s="25" t="e">
        <f t="shared" si="305"/>
        <v>#DIV/0!</v>
      </c>
      <c r="G169" s="25">
        <f t="shared" si="305"/>
        <v>13.644185371517027</v>
      </c>
      <c r="H169" s="25">
        <f t="shared" si="305"/>
        <v>9.8648400629260617</v>
      </c>
      <c r="I169" s="25">
        <f t="shared" si="305"/>
        <v>10.828773685331063</v>
      </c>
      <c r="J169" s="25">
        <f t="shared" si="305"/>
        <v>14.54207387775385</v>
      </c>
      <c r="K169" s="25">
        <f t="shared" si="305"/>
        <v>15.784623264867081</v>
      </c>
      <c r="L169" s="25">
        <f t="shared" si="305"/>
        <v>11.278769230769232</v>
      </c>
      <c r="M169" s="25">
        <f t="shared" si="305"/>
        <v>11.949555746632273</v>
      </c>
      <c r="N169" s="25">
        <f t="shared" si="305"/>
        <v>15.159462404649473</v>
      </c>
      <c r="O169" s="25">
        <f t="shared" si="305"/>
        <v>10.877232844753259</v>
      </c>
      <c r="P169" s="25">
        <f t="shared" si="305"/>
        <v>12.371923776692521</v>
      </c>
      <c r="Q169" s="118">
        <f t="shared" si="295"/>
        <v>-1.0817043428674511E-2</v>
      </c>
      <c r="R169" s="128"/>
      <c r="S169" s="119">
        <f t="shared" ref="S169:AB169" si="306">S167/S52</f>
        <v>13.609116154361775</v>
      </c>
      <c r="T169" s="119">
        <f t="shared" si="306"/>
        <v>14.970027769797959</v>
      </c>
      <c r="U169" s="119">
        <f t="shared" si="306"/>
        <v>16.467030546777757</v>
      </c>
      <c r="V169" s="119">
        <f t="shared" si="306"/>
        <v>18.113733601455536</v>
      </c>
      <c r="W169" s="119">
        <f t="shared" si="306"/>
        <v>19.925106961601088</v>
      </c>
      <c r="X169" s="119">
        <f t="shared" si="306"/>
        <v>21.917617657761202</v>
      </c>
      <c r="Y169" s="119">
        <f t="shared" si="306"/>
        <v>24.109379423537323</v>
      </c>
      <c r="Z169" s="119">
        <f t="shared" si="306"/>
        <v>26.520317365891056</v>
      </c>
      <c r="AA169" s="119">
        <f t="shared" si="306"/>
        <v>29.172349102480158</v>
      </c>
      <c r="AB169" s="119">
        <f t="shared" si="306"/>
        <v>32.089584012728174</v>
      </c>
      <c r="AC169" s="138">
        <f t="shared" si="298"/>
        <v>4.6039864035162692E-2</v>
      </c>
      <c r="AD169" s="31">
        <v>0.08</v>
      </c>
      <c r="AE169" s="127">
        <f t="shared" si="299"/>
        <v>239.76417212585079</v>
      </c>
    </row>
    <row r="170" spans="2:31" x14ac:dyDescent="0.2">
      <c r="B170" s="20" t="s">
        <v>258</v>
      </c>
      <c r="C170" s="25" t="e">
        <f t="shared" ref="C170:P170" si="307">C167/C55</f>
        <v>#DIV/0!</v>
      </c>
      <c r="D170" s="25" t="e">
        <f t="shared" si="307"/>
        <v>#DIV/0!</v>
      </c>
      <c r="E170" s="25" t="e">
        <f t="shared" si="307"/>
        <v>#DIV/0!</v>
      </c>
      <c r="F170" s="25" t="e">
        <f t="shared" si="307"/>
        <v>#DIV/0!</v>
      </c>
      <c r="G170" s="25">
        <f t="shared" si="307"/>
        <v>2.0972948454834772</v>
      </c>
      <c r="H170" s="25">
        <f t="shared" si="307"/>
        <v>2.0566579206297146</v>
      </c>
      <c r="I170" s="25">
        <f t="shared" si="307"/>
        <v>2.2784397607901989</v>
      </c>
      <c r="J170" s="25">
        <f t="shared" si="307"/>
        <v>2.7530889362769693</v>
      </c>
      <c r="K170" s="25">
        <f t="shared" si="307"/>
        <v>3.796703053002489</v>
      </c>
      <c r="L170" s="25">
        <f t="shared" si="307"/>
        <v>1.567471391520177</v>
      </c>
      <c r="M170" s="25">
        <f t="shared" si="307"/>
        <v>2.2691993686387635</v>
      </c>
      <c r="N170" s="25">
        <f t="shared" si="307"/>
        <v>2.0145225354443648</v>
      </c>
      <c r="O170" s="25">
        <f t="shared" si="307"/>
        <v>1.31796025220309</v>
      </c>
      <c r="P170" s="25">
        <f t="shared" si="307"/>
        <v>1.4428177381710163</v>
      </c>
      <c r="Q170" s="118">
        <f t="shared" si="295"/>
        <v>-4.070933040964253E-2</v>
      </c>
      <c r="R170" s="128"/>
      <c r="S170" s="119">
        <f t="shared" ref="S170:AB170" si="308">S167/S55</f>
        <v>1.5870995119881182</v>
      </c>
      <c r="T170" s="119">
        <f t="shared" si="308"/>
        <v>1.7458094631869301</v>
      </c>
      <c r="U170" s="119">
        <f t="shared" si="308"/>
        <v>1.9203904095056235</v>
      </c>
      <c r="V170" s="119">
        <f t="shared" si="308"/>
        <v>2.1124294504561862</v>
      </c>
      <c r="W170" s="119">
        <f t="shared" si="308"/>
        <v>2.3236723955018048</v>
      </c>
      <c r="X170" s="119">
        <f t="shared" si="308"/>
        <v>2.5560396350519858</v>
      </c>
      <c r="Y170" s="119">
        <f t="shared" si="308"/>
        <v>2.8116435985571844</v>
      </c>
      <c r="Z170" s="119">
        <f t="shared" si="308"/>
        <v>3.0928079584129033</v>
      </c>
      <c r="AA170" s="119">
        <f t="shared" si="308"/>
        <v>3.4020887542541938</v>
      </c>
      <c r="AB170" s="119">
        <f t="shared" si="308"/>
        <v>3.7422976296796131</v>
      </c>
      <c r="AC170" s="138">
        <f t="shared" si="298"/>
        <v>3.0945549504602932E-2</v>
      </c>
      <c r="AD170" s="31">
        <v>0.08</v>
      </c>
      <c r="AE170" s="127">
        <f t="shared" si="299"/>
        <v>27.557893473141579</v>
      </c>
    </row>
    <row r="171" spans="2:31" x14ac:dyDescent="0.2">
      <c r="B171" s="20" t="s">
        <v>259</v>
      </c>
      <c r="C171" s="25" t="e">
        <f t="shared" ref="C171:P171" si="309">C167/C64</f>
        <v>#DIV/0!</v>
      </c>
      <c r="D171" s="25" t="e">
        <f t="shared" si="309"/>
        <v>#DIV/0!</v>
      </c>
      <c r="E171" s="25" t="e">
        <f t="shared" si="309"/>
        <v>#DIV/0!</v>
      </c>
      <c r="F171" s="25" t="e">
        <f t="shared" si="309"/>
        <v>#DIV/0!</v>
      </c>
      <c r="G171" s="25">
        <f t="shared" si="309"/>
        <v>3.7711600171141297</v>
      </c>
      <c r="H171" s="25">
        <f t="shared" si="309"/>
        <v>3.2064513379921591</v>
      </c>
      <c r="I171" s="25">
        <f t="shared" si="309"/>
        <v>14.68960288808664</v>
      </c>
      <c r="J171" s="25">
        <f t="shared" si="309"/>
        <v>30.928483353884094</v>
      </c>
      <c r="K171" s="25">
        <f t="shared" si="309"/>
        <v>31.096185671039358</v>
      </c>
      <c r="L171" s="25">
        <f t="shared" si="309"/>
        <v>23.288726587673732</v>
      </c>
      <c r="M171" s="25">
        <f t="shared" si="309"/>
        <v>29.773923689043052</v>
      </c>
      <c r="N171" s="25">
        <f t="shared" si="309"/>
        <v>16.378202612546954</v>
      </c>
      <c r="O171" s="25">
        <f t="shared" si="309"/>
        <v>5.3560361620298691</v>
      </c>
      <c r="P171" s="25">
        <f t="shared" si="309"/>
        <v>2.7694418245734371</v>
      </c>
      <c r="Q171" s="118">
        <f t="shared" si="295"/>
        <v>-3.3722380608790292E-2</v>
      </c>
      <c r="R171" s="128"/>
      <c r="S171" s="119">
        <f t="shared" ref="S171:AB171" si="310">S167/S64</f>
        <v>3.0463860070307813</v>
      </c>
      <c r="T171" s="119">
        <f t="shared" si="310"/>
        <v>3.3510246077338603</v>
      </c>
      <c r="U171" s="119">
        <f t="shared" si="310"/>
        <v>3.6861270685072469</v>
      </c>
      <c r="V171" s="119">
        <f t="shared" si="310"/>
        <v>4.054739775357973</v>
      </c>
      <c r="W171" s="119">
        <f t="shared" si="310"/>
        <v>4.4602137528937709</v>
      </c>
      <c r="X171" s="119">
        <f t="shared" si="310"/>
        <v>4.9062351281831482</v>
      </c>
      <c r="Y171" s="119">
        <f t="shared" si="310"/>
        <v>5.3968586410014625</v>
      </c>
      <c r="Z171" s="119">
        <f t="shared" si="310"/>
        <v>5.936544505101609</v>
      </c>
      <c r="AA171" s="119">
        <f t="shared" si="310"/>
        <v>6.5301989556117688</v>
      </c>
      <c r="AB171" s="119">
        <f t="shared" si="310"/>
        <v>7.1832188511729465</v>
      </c>
      <c r="AC171" s="138">
        <f t="shared" si="298"/>
        <v>3.4495578541148486E-2</v>
      </c>
      <c r="AD171" s="31">
        <v>0.08</v>
      </c>
      <c r="AE171" s="127">
        <f t="shared" si="299"/>
        <v>53.078629580227435</v>
      </c>
    </row>
    <row r="172" spans="2:31" x14ac:dyDescent="0.2">
      <c r="B172" s="20" t="s">
        <v>260</v>
      </c>
      <c r="C172" s="25" t="e">
        <f t="shared" ref="C172:P172" si="311">C167/C66</f>
        <v>#DIV/0!</v>
      </c>
      <c r="D172" s="25" t="e">
        <f t="shared" si="311"/>
        <v>#DIV/0!</v>
      </c>
      <c r="E172" s="25" t="e">
        <f t="shared" si="311"/>
        <v>#DIV/0!</v>
      </c>
      <c r="F172" s="25" t="e">
        <f t="shared" si="311"/>
        <v>#DIV/0!</v>
      </c>
      <c r="G172" s="25">
        <f t="shared" si="311"/>
        <v>29.878453389830508</v>
      </c>
      <c r="H172" s="25">
        <f t="shared" si="311"/>
        <v>44.212103407755585</v>
      </c>
      <c r="I172" s="25">
        <f t="shared" si="311"/>
        <v>34.274090296495956</v>
      </c>
      <c r="J172" s="25">
        <f t="shared" si="311"/>
        <v>29.896305125148984</v>
      </c>
      <c r="K172" s="25">
        <f t="shared" si="311"/>
        <v>18.317969446590979</v>
      </c>
      <c r="L172" s="25">
        <f t="shared" si="311"/>
        <v>16.335748885874832</v>
      </c>
      <c r="M172" s="25">
        <f t="shared" si="311"/>
        <v>14.728438051980822</v>
      </c>
      <c r="N172" s="25">
        <f t="shared" si="311"/>
        <v>8.5435456512838517</v>
      </c>
      <c r="O172" s="25">
        <f t="shared" si="311"/>
        <v>4.4825248197303793</v>
      </c>
      <c r="P172" s="25">
        <f t="shared" si="311"/>
        <v>5.6126327678707177</v>
      </c>
      <c r="Q172" s="118">
        <f t="shared" si="295"/>
        <v>-0.16955273879575217</v>
      </c>
      <c r="R172" s="128"/>
      <c r="S172" s="119">
        <f t="shared" ref="S172:AB172" si="312">S167/S66</f>
        <v>6.1738960446577904</v>
      </c>
      <c r="T172" s="119">
        <f t="shared" si="312"/>
        <v>6.7912856491235702</v>
      </c>
      <c r="U172" s="119">
        <f t="shared" si="312"/>
        <v>7.4704142140359284</v>
      </c>
      <c r="V172" s="119">
        <f t="shared" si="312"/>
        <v>8.2174556354395225</v>
      </c>
      <c r="W172" s="119">
        <f t="shared" si="312"/>
        <v>9.0392011989834753</v>
      </c>
      <c r="X172" s="119">
        <f t="shared" si="312"/>
        <v>9.9431213188818237</v>
      </c>
      <c r="Y172" s="119">
        <f t="shared" si="312"/>
        <v>10.937433450770007</v>
      </c>
      <c r="Z172" s="119">
        <f t="shared" si="312"/>
        <v>12.03117679584701</v>
      </c>
      <c r="AA172" s="119">
        <f t="shared" si="312"/>
        <v>13.234294475431708</v>
      </c>
      <c r="AB172" s="119">
        <f t="shared" si="312"/>
        <v>14.55772392297488</v>
      </c>
      <c r="AC172" s="138">
        <f t="shared" si="298"/>
        <v>-3.7135845142705404E-2</v>
      </c>
      <c r="AD172" s="31">
        <v>0.08</v>
      </c>
      <c r="AE172" s="127">
        <f t="shared" si="299"/>
        <v>100.12221815529303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13">G167/G60</f>
        <v>6.4959143251957618</v>
      </c>
      <c r="H173" s="182">
        <f t="shared" si="313"/>
        <v>4.9105324980422864</v>
      </c>
      <c r="I173" s="182">
        <f t="shared" si="313"/>
        <v>4.1236166849081837</v>
      </c>
      <c r="J173" s="182">
        <f t="shared" si="313"/>
        <v>6.8144453931537683</v>
      </c>
      <c r="K173" s="182">
        <f t="shared" si="313"/>
        <v>10.864205887537459</v>
      </c>
      <c r="L173" s="182">
        <f t="shared" si="313"/>
        <v>2.8859040186212095</v>
      </c>
      <c r="M173" s="182">
        <f t="shared" si="313"/>
        <v>2.9211274372422631</v>
      </c>
      <c r="N173" s="182">
        <f t="shared" si="313"/>
        <v>2.6825769958311145</v>
      </c>
      <c r="O173" s="182">
        <f t="shared" si="313"/>
        <v>1.5377352673353935</v>
      </c>
      <c r="P173" s="182">
        <f t="shared" si="313"/>
        <v>1.7961907409981925</v>
      </c>
      <c r="Q173" s="118">
        <f t="shared" ref="Q173:Q175" si="314">((P173/G173)^(1/($H$2-$H$1) ))-1</f>
        <v>-0.13310196540262442</v>
      </c>
      <c r="R173" s="128"/>
      <c r="S173" s="135">
        <f t="shared" ref="S173:AB173" si="315">S167/S60</f>
        <v>1.9758098150980126</v>
      </c>
      <c r="T173" s="135">
        <f t="shared" si="315"/>
        <v>2.1733907966078143</v>
      </c>
      <c r="U173" s="135">
        <f t="shared" si="315"/>
        <v>2.3907298762685949</v>
      </c>
      <c r="V173" s="135">
        <f t="shared" si="315"/>
        <v>2.6298028638954549</v>
      </c>
      <c r="W173" s="135">
        <f t="shared" si="315"/>
        <v>2.8927831502850005</v>
      </c>
      <c r="X173" s="135">
        <f t="shared" si="315"/>
        <v>3.1820614653135015</v>
      </c>
      <c r="Y173" s="135">
        <f t="shared" si="315"/>
        <v>3.5002676118448512</v>
      </c>
      <c r="Z173" s="135">
        <f t="shared" si="315"/>
        <v>3.8502943730293353</v>
      </c>
      <c r="AA173" s="135">
        <f t="shared" si="315"/>
        <v>4.235323810332269</v>
      </c>
      <c r="AB173" s="135">
        <f t="shared" si="315"/>
        <v>4.6588561913654978</v>
      </c>
      <c r="AC173" s="138">
        <f t="shared" ref="AC173" si="316">((AB173/G173)^(1/($AB$3-$H$1) ))-1</f>
        <v>-1.734277081481328E-2</v>
      </c>
      <c r="AD173" s="31">
        <v>0.08</v>
      </c>
      <c r="AE173" s="127">
        <f t="shared" si="299"/>
        <v>32.700419401281934</v>
      </c>
    </row>
    <row r="174" spans="2:31" x14ac:dyDescent="0.2">
      <c r="B174" s="20" t="s">
        <v>371</v>
      </c>
      <c r="C174" s="161" t="e">
        <f t="shared" ref="C174:P174" si="317">C52/C167</f>
        <v>#DIV/0!</v>
      </c>
      <c r="D174" s="161" t="e">
        <f t="shared" si="317"/>
        <v>#DIV/0!</v>
      </c>
      <c r="E174" s="161" t="e">
        <f t="shared" si="317"/>
        <v>#DIV/0!</v>
      </c>
      <c r="F174" s="161">
        <f t="shared" si="317"/>
        <v>0</v>
      </c>
      <c r="G174" s="161">
        <f t="shared" si="317"/>
        <v>7.3291293893408549E-2</v>
      </c>
      <c r="H174" s="161">
        <f t="shared" si="317"/>
        <v>0.1013701178753206</v>
      </c>
      <c r="I174" s="161">
        <f t="shared" si="317"/>
        <v>9.2346560105381642E-2</v>
      </c>
      <c r="J174" s="161">
        <f t="shared" si="317"/>
        <v>6.8765982651881469E-2</v>
      </c>
      <c r="K174" s="161">
        <f t="shared" si="317"/>
        <v>6.3352794882711491E-2</v>
      </c>
      <c r="L174" s="161">
        <f t="shared" si="317"/>
        <v>8.8662156263640324E-2</v>
      </c>
      <c r="M174" s="161">
        <f t="shared" si="317"/>
        <v>8.3685119447376E-2</v>
      </c>
      <c r="N174" s="161">
        <f t="shared" si="317"/>
        <v>6.5965399913739398E-2</v>
      </c>
      <c r="O174" s="161">
        <f t="shared" si="317"/>
        <v>9.1935146950757787E-2</v>
      </c>
      <c r="P174" s="161">
        <f t="shared" si="317"/>
        <v>8.0828173374612997E-2</v>
      </c>
      <c r="Q174" s="118">
        <f t="shared" si="314"/>
        <v>1.0935331383153057E-2</v>
      </c>
      <c r="R174" s="128"/>
      <c r="S174" s="161">
        <f t="shared" ref="S174:AB174" si="318">S52/S167</f>
        <v>7.3480157613284539E-2</v>
      </c>
      <c r="T174" s="161">
        <f t="shared" si="318"/>
        <v>6.6800143284804103E-2</v>
      </c>
      <c r="U174" s="161">
        <f t="shared" si="318"/>
        <v>6.0727402986185536E-2</v>
      </c>
      <c r="V174" s="161">
        <f t="shared" si="318"/>
        <v>5.5206729987441389E-2</v>
      </c>
      <c r="W174" s="161">
        <f t="shared" si="318"/>
        <v>5.0187936352219444E-2</v>
      </c>
      <c r="X174" s="161">
        <f t="shared" si="318"/>
        <v>4.5625396683835855E-2</v>
      </c>
      <c r="Y174" s="161">
        <f t="shared" si="318"/>
        <v>4.1477633348941681E-2</v>
      </c>
      <c r="Z174" s="161">
        <f t="shared" si="318"/>
        <v>3.7706939408128796E-2</v>
      </c>
      <c r="AA174" s="161">
        <f t="shared" si="318"/>
        <v>3.4279035825571638E-2</v>
      </c>
      <c r="AB174" s="161">
        <f t="shared" si="318"/>
        <v>3.1162759841428762E-2</v>
      </c>
      <c r="AC174" s="138">
        <f t="shared" ref="AC174:AC175" si="319">((AB174/G174)^(1/($AB$3-$H$1) ))-1</f>
        <v>-4.4013488986510696E-2</v>
      </c>
      <c r="AD174" s="31">
        <v>0.08</v>
      </c>
      <c r="AE174" s="127">
        <f t="shared" si="299"/>
        <v>0.2127941289597054</v>
      </c>
    </row>
    <row r="175" spans="2:31" x14ac:dyDescent="0.2">
      <c r="B175" s="20" t="s">
        <v>320</v>
      </c>
      <c r="C175" s="152" t="e">
        <f t="shared" ref="C175:P175" si="320">C43/C167</f>
        <v>#DIV/0!</v>
      </c>
      <c r="D175" s="152" t="e">
        <f t="shared" si="320"/>
        <v>#DIV/0!</v>
      </c>
      <c r="E175" s="152" t="e">
        <f t="shared" si="320"/>
        <v>#DIV/0!</v>
      </c>
      <c r="F175" s="152">
        <f t="shared" si="320"/>
        <v>0</v>
      </c>
      <c r="G175" s="152">
        <f t="shared" si="320"/>
        <v>1.0396039603960397E-2</v>
      </c>
      <c r="H175" s="152">
        <f t="shared" si="320"/>
        <v>1.3888888888888888E-2</v>
      </c>
      <c r="I175" s="152">
        <f t="shared" si="320"/>
        <v>1.3698630136986301E-2</v>
      </c>
      <c r="J175" s="152">
        <f t="shared" si="320"/>
        <v>8.7301587301587304E-3</v>
      </c>
      <c r="K175" s="152">
        <f t="shared" si="320"/>
        <v>6.1320754716981136E-3</v>
      </c>
      <c r="L175" s="152">
        <f t="shared" si="320"/>
        <v>1.1206896551724138E-2</v>
      </c>
      <c r="M175" s="152">
        <f t="shared" si="320"/>
        <v>7.1428571428571426E-3</v>
      </c>
      <c r="N175" s="152">
        <f t="shared" si="320"/>
        <v>8.1632653061224497E-3</v>
      </c>
      <c r="O175" s="152">
        <f t="shared" si="320"/>
        <v>1.1805555555555555E-2</v>
      </c>
      <c r="P175" s="152">
        <f t="shared" si="320"/>
        <v>1.125E-2</v>
      </c>
      <c r="Q175" s="118">
        <f t="shared" si="314"/>
        <v>8.8100489672287008E-3</v>
      </c>
      <c r="R175" s="128"/>
      <c r="S175" s="152">
        <f t="shared" ref="S175:AB175" si="321">S43/S167</f>
        <v>1.0738636363636363E-2</v>
      </c>
      <c r="T175" s="152">
        <f t="shared" si="321"/>
        <v>1.0250516528925618E-2</v>
      </c>
      <c r="U175" s="152">
        <f t="shared" si="321"/>
        <v>9.7845839594289993E-3</v>
      </c>
      <c r="V175" s="152">
        <f t="shared" si="321"/>
        <v>9.3398301430913152E-3</v>
      </c>
      <c r="W175" s="152">
        <f t="shared" si="321"/>
        <v>8.9152924093144365E-3</v>
      </c>
      <c r="X175" s="152">
        <f t="shared" si="321"/>
        <v>8.5100518452546903E-3</v>
      </c>
      <c r="Y175" s="152">
        <f t="shared" si="321"/>
        <v>8.1232313068340216E-3</v>
      </c>
      <c r="Z175" s="152">
        <f t="shared" si="321"/>
        <v>7.7539935201597476E-3</v>
      </c>
      <c r="AA175" s="152">
        <f t="shared" si="321"/>
        <v>7.4015392692433953E-3</v>
      </c>
      <c r="AB175" s="152">
        <f t="shared" si="321"/>
        <v>7.0651056660959678E-3</v>
      </c>
      <c r="AC175" s="138">
        <f t="shared" si="319"/>
        <v>-2.012406607641426E-2</v>
      </c>
      <c r="AD175" s="31">
        <v>0.08</v>
      </c>
      <c r="AE175" s="127">
        <f t="shared" si="299"/>
        <v>4.9449478663104306E-2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9" t="s">
        <v>351</v>
      </c>
      <c r="L178" s="20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0.89460753498136769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0.36977388376899806</v>
      </c>
      <c r="N180" s="20"/>
      <c r="O180" s="20"/>
      <c r="P180" s="128">
        <f>(P167-R146)/P167</f>
        <v>0.36977388376899806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0.20244810516867062</v>
      </c>
      <c r="N181" s="20"/>
      <c r="O181" s="20"/>
      <c r="P181" s="128">
        <f>(P167-R139)/P167</f>
        <v>0.20244810516867062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0.52279310168858795</v>
      </c>
      <c r="N182" s="20"/>
      <c r="O182" s="20"/>
      <c r="P182" s="128">
        <f>(P167-R152)/P167</f>
        <v>0.52279310168858795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400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-0.12301189882843844</v>
      </c>
      <c r="N183" s="20"/>
      <c r="O183" s="20"/>
      <c r="P183" s="128">
        <f>(P167-R164)/P167</f>
        <v>-0.12301189882843844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10.929200319760412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408</v>
      </c>
      <c r="AD184" s="115" t="s">
        <v>409</v>
      </c>
      <c r="AE184" s="115" t="s">
        <v>410</v>
      </c>
      <c r="AF184" s="115" t="s">
        <v>411</v>
      </c>
      <c r="AG184" s="115" t="s">
        <v>412</v>
      </c>
      <c r="AH184" s="115" t="s">
        <v>413</v>
      </c>
      <c r="AI184" s="115" t="s">
        <v>414</v>
      </c>
      <c r="AJ184" s="115" t="s">
        <v>415</v>
      </c>
      <c r="AK184" s="115" t="s">
        <v>416</v>
      </c>
      <c r="AL184" s="115" t="s">
        <v>417</v>
      </c>
      <c r="AM184" s="115" t="s">
        <v>418</v>
      </c>
      <c r="AN184" s="115" t="s">
        <v>419</v>
      </c>
      <c r="AO184" s="115" t="s">
        <v>420</v>
      </c>
      <c r="AP184" s="115" t="s">
        <v>421</v>
      </c>
      <c r="AQ184" s="115" t="s">
        <v>422</v>
      </c>
      <c r="AR184" s="115" t="s">
        <v>423</v>
      </c>
      <c r="AS184" s="115" t="s">
        <v>424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9.1498002666486208E-2</v>
      </c>
      <c r="Q185" s="20"/>
      <c r="R185" s="20"/>
      <c r="S185" s="185">
        <f>P167-S186</f>
        <v>720.14965523184344</v>
      </c>
      <c r="T185" s="185">
        <f>S185-T186</f>
        <v>636.30679322527897</v>
      </c>
      <c r="U185" s="185">
        <f t="shared" ref="U185:W185" si="322">T185-U186</f>
        <v>548.27178811838633</v>
      </c>
      <c r="V185" s="185">
        <f t="shared" si="322"/>
        <v>455.83503275614902</v>
      </c>
      <c r="W185" s="185">
        <f t="shared" si="322"/>
        <v>358.77643962579987</v>
      </c>
      <c r="X185" s="185">
        <f>W185-X186</f>
        <v>256.86491683893325</v>
      </c>
      <c r="Y185" s="185">
        <f t="shared" ref="Y185:AB185" si="323">X185-Y186</f>
        <v>149.85781791272331</v>
      </c>
      <c r="Z185" s="185">
        <f t="shared" si="323"/>
        <v>37.50036404020284</v>
      </c>
      <c r="AA185" s="185">
        <f t="shared" si="323"/>
        <v>-80.474962525943653</v>
      </c>
      <c r="AB185" s="185">
        <f t="shared" si="323"/>
        <v>-204.34905542039746</v>
      </c>
      <c r="AC185" s="185">
        <f t="shared" ref="AC185" si="324">AB185-AC186</f>
        <v>-334.41685295957399</v>
      </c>
      <c r="AD185" s="185">
        <f t="shared" ref="AD185" si="325">AC185-AD186</f>
        <v>-470.98804037570937</v>
      </c>
      <c r="AE185" s="185">
        <f t="shared" ref="AE185" si="326">AD185-AE186</f>
        <v>-614.38778716265153</v>
      </c>
      <c r="AF185" s="185">
        <f t="shared" ref="AF185" si="327">AE185-AF186</f>
        <v>-764.95752128894082</v>
      </c>
      <c r="AG185" s="185">
        <f t="shared" ref="AG185" si="328">AF185-AG186</f>
        <v>-923.05574212154454</v>
      </c>
      <c r="AH185" s="185">
        <f t="shared" ref="AH185" si="329">AG185-AH186</f>
        <v>-1089.0588739957784</v>
      </c>
      <c r="AI185" s="185">
        <f t="shared" ref="AI185" si="330">AH185-AI186</f>
        <v>-1263.362162463724</v>
      </c>
      <c r="AJ185" s="185">
        <f t="shared" ref="AJ185" si="331">AI185-AJ186</f>
        <v>-1446.3806153550668</v>
      </c>
      <c r="AK185" s="185">
        <f t="shared" ref="AK185" si="332">AJ185-AK186</f>
        <v>-1638.5499908909769</v>
      </c>
      <c r="AL185" s="185">
        <f t="shared" ref="AL185" si="333">AK185-AL186</f>
        <v>-1840.3278352036825</v>
      </c>
      <c r="AM185" s="185">
        <f t="shared" ref="AM185" si="334">AL185-AM186</f>
        <v>-2052.1945717320232</v>
      </c>
      <c r="AN185" s="185">
        <f t="shared" ref="AN185" si="335">AM185-AN186</f>
        <v>-2274.6546450867809</v>
      </c>
      <c r="AO185" s="185">
        <f t="shared" ref="AO185" si="336">AN185-AO186</f>
        <v>-2508.2377221092765</v>
      </c>
      <c r="AP185" s="185">
        <f t="shared" ref="AP185" si="337">AO185-AP186</f>
        <v>-2753.499952982897</v>
      </c>
      <c r="AQ185" s="185">
        <f t="shared" ref="AQ185" si="338">AP185-AQ186</f>
        <v>-3011.0252954001985</v>
      </c>
      <c r="AR185" s="185">
        <f t="shared" ref="AR185" si="339">AQ185-AR186</f>
        <v>-3281.4269049383652</v>
      </c>
      <c r="AS185" s="185">
        <f t="shared" ref="AS185" si="340">AR185-AS186</f>
        <v>-3565.3485949534402</v>
      </c>
    </row>
    <row r="186" spans="2:45" x14ac:dyDescent="0.2">
      <c r="B186" s="20" t="s">
        <v>397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1">
        <f>P167/(Q137*(1+K186)^L186)</f>
        <v>10.519679062612919</v>
      </c>
      <c r="N186" s="20"/>
      <c r="O186" s="20"/>
      <c r="P186" s="181">
        <f>P167/Q137</f>
        <v>10.519679062612919</v>
      </c>
      <c r="Q186" s="20"/>
      <c r="R186" s="20"/>
      <c r="S186" s="186">
        <f>Q137*(1+$K$186)</f>
        <v>79.850344768156603</v>
      </c>
      <c r="T186" s="186">
        <f>S186*(1+$K$186)</f>
        <v>83.842862006564431</v>
      </c>
      <c r="U186" s="186">
        <f t="shared" ref="U186:AB186" si="341">T186*(1+$K$186)</f>
        <v>88.035005106892655</v>
      </c>
      <c r="V186" s="186">
        <f t="shared" si="341"/>
        <v>92.436755362237292</v>
      </c>
      <c r="W186" s="186">
        <f t="shared" si="341"/>
        <v>97.058593130349166</v>
      </c>
      <c r="X186" s="186">
        <f t="shared" si="341"/>
        <v>101.91152278686663</v>
      </c>
      <c r="Y186" s="186">
        <f t="shared" si="341"/>
        <v>107.00709892620996</v>
      </c>
      <c r="Z186" s="186">
        <f t="shared" si="341"/>
        <v>112.35745387252047</v>
      </c>
      <c r="AA186" s="186">
        <f t="shared" si="341"/>
        <v>117.97532656614649</v>
      </c>
      <c r="AB186" s="186">
        <f t="shared" si="341"/>
        <v>123.87409289445382</v>
      </c>
      <c r="AC186" s="186">
        <f t="shared" ref="AC186" si="342">AB186*(1+$K$186)</f>
        <v>130.06779753917652</v>
      </c>
      <c r="AD186" s="186">
        <f t="shared" ref="AD186" si="343">AC186*(1+$K$186)</f>
        <v>136.57118741613536</v>
      </c>
      <c r="AE186" s="186">
        <f t="shared" ref="AE186" si="344">AD186*(1+$K$186)</f>
        <v>143.39974678694213</v>
      </c>
      <c r="AF186" s="186">
        <f t="shared" ref="AF186" si="345">AE186*(1+$K$186)</f>
        <v>150.56973412628923</v>
      </c>
      <c r="AG186" s="186">
        <f t="shared" ref="AG186" si="346">AF186*(1+$K$186)</f>
        <v>158.09822083260372</v>
      </c>
      <c r="AH186" s="186">
        <f t="shared" ref="AH186" si="347">AG186*(1+$K$186)</f>
        <v>166.0031318742339</v>
      </c>
      <c r="AI186" s="186">
        <f t="shared" ref="AI186" si="348">AH186*(1+$K$186)</f>
        <v>174.30328846794561</v>
      </c>
      <c r="AJ186" s="186">
        <f t="shared" ref="AJ186" si="349">AI186*(1+$K$186)</f>
        <v>183.01845289134289</v>
      </c>
      <c r="AK186" s="186">
        <f t="shared" ref="AK186" si="350">AJ186*(1+$K$186)</f>
        <v>192.16937553591004</v>
      </c>
      <c r="AL186" s="186">
        <f t="shared" ref="AL186" si="351">AK186*(1+$K$186)</f>
        <v>201.77784431270555</v>
      </c>
      <c r="AM186" s="186">
        <f t="shared" ref="AM186" si="352">AL186*(1+$K$186)</f>
        <v>211.86673652834085</v>
      </c>
      <c r="AN186" s="186">
        <f t="shared" ref="AN186" si="353">AM186*(1+$K$186)</f>
        <v>222.4600733547579</v>
      </c>
      <c r="AO186" s="186">
        <f t="shared" ref="AO186" si="354">AN186*(1+$K$186)</f>
        <v>233.58307702249579</v>
      </c>
      <c r="AP186" s="186">
        <f t="shared" ref="AP186" si="355">AO186*(1+$K$186)</f>
        <v>245.26223087362058</v>
      </c>
      <c r="AQ186" s="186">
        <f t="shared" ref="AQ186" si="356">AP186*(1+$K$186)</f>
        <v>257.5253424173016</v>
      </c>
      <c r="AR186" s="186">
        <f t="shared" ref="AR186" si="357">AQ186*(1+$K$186)</f>
        <v>270.40160953816667</v>
      </c>
      <c r="AS186" s="186">
        <f t="shared" ref="AS186" si="358">AR186*(1+$K$186)</f>
        <v>283.921690015075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1">
        <f>P167/(P52*(1+K187)^L187)</f>
        <v>12.371923776692521</v>
      </c>
      <c r="N187" s="20"/>
      <c r="O187" s="20"/>
      <c r="P187" s="181">
        <f>P167/P52</f>
        <v>12.371923776692521</v>
      </c>
      <c r="Q187" s="20"/>
      <c r="R187" s="20"/>
      <c r="S187" s="186">
        <f>P52*(1+$K$187)</f>
        <v>67.895665634674927</v>
      </c>
      <c r="T187" s="186">
        <f>S187*(1+$K$187)</f>
        <v>71.290448916408678</v>
      </c>
      <c r="U187" s="186">
        <f t="shared" ref="U187:AB187" si="359">T187*(1+$K$187)</f>
        <v>74.854971362229122</v>
      </c>
      <c r="V187" s="186">
        <f t="shared" si="359"/>
        <v>78.597719930340588</v>
      </c>
      <c r="W187" s="186">
        <f t="shared" si="359"/>
        <v>82.527605926857618</v>
      </c>
      <c r="X187" s="186">
        <f t="shared" si="359"/>
        <v>86.653986223200505</v>
      </c>
      <c r="Y187" s="186">
        <f t="shared" si="359"/>
        <v>90.986685534360532</v>
      </c>
      <c r="Z187" s="186">
        <f t="shared" si="359"/>
        <v>95.53601981107856</v>
      </c>
      <c r="AA187" s="186">
        <f t="shared" si="359"/>
        <v>100.3128208016325</v>
      </c>
      <c r="AB187" s="186">
        <f t="shared" si="359"/>
        <v>105.32846184171413</v>
      </c>
      <c r="AC187" s="186">
        <f t="shared" ref="AC187" si="360">AB187*(1+$K$187)</f>
        <v>110.59488493379985</v>
      </c>
      <c r="AD187" s="186">
        <f t="shared" ref="AD187" si="361">AC187*(1+$K$187)</f>
        <v>116.12462918048985</v>
      </c>
      <c r="AE187" s="186">
        <f t="shared" ref="AE187" si="362">AD187*(1+$K$187)</f>
        <v>121.93086063951435</v>
      </c>
      <c r="AF187" s="186">
        <f t="shared" ref="AF187" si="363">AE187*(1+$K$187)</f>
        <v>128.02740367149008</v>
      </c>
      <c r="AG187" s="186">
        <f t="shared" ref="AG187" si="364">AF187*(1+$K$187)</f>
        <v>134.42877385506458</v>
      </c>
      <c r="AH187" s="186">
        <f t="shared" ref="AH187" si="365">AG187*(1+$K$187)</f>
        <v>141.1502125478178</v>
      </c>
      <c r="AI187" s="186">
        <f t="shared" ref="AI187" si="366">AH187*(1+$K$187)</f>
        <v>148.20772317520868</v>
      </c>
      <c r="AJ187" s="186">
        <f t="shared" ref="AJ187" si="367">AI187*(1+$K$187)</f>
        <v>155.61810933396913</v>
      </c>
      <c r="AK187" s="186">
        <f t="shared" ref="AK187" si="368">AJ187*(1+$K$187)</f>
        <v>163.3990148006676</v>
      </c>
      <c r="AL187" s="186">
        <f t="shared" ref="AL187" si="369">AK187*(1+$K$187)</f>
        <v>171.56896554070099</v>
      </c>
      <c r="AM187" s="186">
        <f t="shared" ref="AM187" si="370">AL187*(1+$K$187)</f>
        <v>180.14741381773604</v>
      </c>
      <c r="AN187" s="186">
        <f t="shared" ref="AN187" si="371">AM187*(1+$K$187)</f>
        <v>189.15478450862284</v>
      </c>
      <c r="AO187" s="186">
        <f t="shared" ref="AO187" si="372">AN187*(1+$K$187)</f>
        <v>198.61252373405398</v>
      </c>
      <c r="AP187" s="186">
        <f t="shared" ref="AP187" si="373">AO187*(1+$K$187)</f>
        <v>208.54314992075669</v>
      </c>
      <c r="AQ187" s="186">
        <f t="shared" ref="AQ187" si="374">AP187*(1+$K$187)</f>
        <v>218.97030741679453</v>
      </c>
      <c r="AR187" s="186">
        <f t="shared" ref="AR187" si="375">AQ187*(1+$K$187)</f>
        <v>229.91882278763427</v>
      </c>
      <c r="AS187" s="186">
        <f t="shared" ref="AS187" si="376">AR187*(1+$K$187)</f>
        <v>241.414763927016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732.10433436532503</v>
      </c>
      <c r="T188" s="185">
        <f>S188-T187</f>
        <v>660.81388544891638</v>
      </c>
      <c r="U188" s="185">
        <f t="shared" ref="U188:Z188" si="377">T188-U187</f>
        <v>585.95891408668729</v>
      </c>
      <c r="V188" s="185">
        <f t="shared" si="377"/>
        <v>507.3611941563467</v>
      </c>
      <c r="W188" s="185">
        <f t="shared" si="377"/>
        <v>424.83358822948907</v>
      </c>
      <c r="X188" s="185">
        <f t="shared" si="377"/>
        <v>338.17960200628858</v>
      </c>
      <c r="Y188" s="185">
        <f t="shared" si="377"/>
        <v>247.19291647192804</v>
      </c>
      <c r="Z188" s="185">
        <f t="shared" si="377"/>
        <v>151.6568966608495</v>
      </c>
      <c r="AA188" s="185">
        <f>Z188-AA187</f>
        <v>51.344075859217</v>
      </c>
      <c r="AB188" s="185">
        <f t="shared" ref="AB188" si="378">AA188-AB187</f>
        <v>-53.98438598249713</v>
      </c>
      <c r="AC188" s="185">
        <f t="shared" ref="AC188" si="379">AB188-AC187</f>
        <v>-164.57927091629699</v>
      </c>
      <c r="AD188" s="185">
        <f t="shared" ref="AD188" si="380">AC188-AD187</f>
        <v>-280.70390009678681</v>
      </c>
      <c r="AE188" s="185">
        <f t="shared" ref="AE188" si="381">AD188-AE187</f>
        <v>-402.63476073630113</v>
      </c>
      <c r="AF188" s="185">
        <f t="shared" ref="AF188" si="382">AE188-AF187</f>
        <v>-530.66216440779124</v>
      </c>
      <c r="AG188" s="185">
        <f t="shared" ref="AG188" si="383">AF188-AG187</f>
        <v>-665.09093826285584</v>
      </c>
      <c r="AH188" s="185">
        <f t="shared" ref="AH188" si="384">AG188-AH187</f>
        <v>-806.24115081067362</v>
      </c>
      <c r="AI188" s="185">
        <f t="shared" ref="AI188" si="385">AH188-AI187</f>
        <v>-954.4488739858823</v>
      </c>
      <c r="AJ188" s="185">
        <f t="shared" ref="AJ188" si="386">AI188-AJ187</f>
        <v>-1110.0669833198515</v>
      </c>
      <c r="AK188" s="185">
        <f t="shared" ref="AK188" si="387">AJ188-AK187</f>
        <v>-1273.4659981205191</v>
      </c>
      <c r="AL188" s="185">
        <f t="shared" ref="AL188" si="388">AK188-AL187</f>
        <v>-1445.03496366122</v>
      </c>
      <c r="AM188" s="185">
        <f t="shared" ref="AM188" si="389">AL188-AM187</f>
        <v>-1625.1823774789559</v>
      </c>
      <c r="AN188" s="185">
        <f t="shared" ref="AN188" si="390">AM188-AN187</f>
        <v>-1814.3371619875788</v>
      </c>
      <c r="AO188" s="185">
        <f t="shared" ref="AO188" si="391">AN188-AO187</f>
        <v>-2012.9496857216327</v>
      </c>
      <c r="AP188" s="185">
        <f t="shared" ref="AP188" si="392">AO188-AP187</f>
        <v>-2221.4928356423893</v>
      </c>
      <c r="AQ188" s="185">
        <f t="shared" ref="AQ188" si="393">AP188-AQ187</f>
        <v>-2440.4631430591839</v>
      </c>
      <c r="AR188" s="185">
        <f t="shared" ref="AR188" si="394">AQ188-AR187</f>
        <v>-2670.3819658468183</v>
      </c>
      <c r="AS188" s="185">
        <f t="shared" ref="AS188" si="395">AR188-AS187</f>
        <v>-2911.7967297738342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396">C10/C7</f>
        <v>#DIV/0!</v>
      </c>
      <c r="D190" s="25" t="e">
        <f t="shared" si="396"/>
        <v>#DIV/0!</v>
      </c>
      <c r="E190" s="25" t="e">
        <f t="shared" si="396"/>
        <v>#DIV/0!</v>
      </c>
      <c r="F190" s="25" t="e">
        <f t="shared" si="396"/>
        <v>#DIV/0!</v>
      </c>
      <c r="G190" s="25">
        <f t="shared" si="396"/>
        <v>0.60016563383499444</v>
      </c>
      <c r="H190" s="25">
        <f t="shared" si="396"/>
        <v>0.46220923092039007</v>
      </c>
      <c r="I190" s="25">
        <f t="shared" si="396"/>
        <v>0.45752479517033207</v>
      </c>
      <c r="J190" s="25">
        <f t="shared" si="396"/>
        <v>0.49335131727484643</v>
      </c>
      <c r="K190" s="25">
        <f t="shared" si="396"/>
        <v>0.59293567251461987</v>
      </c>
      <c r="L190" s="25">
        <f t="shared" si="396"/>
        <v>0.62893621232865415</v>
      </c>
      <c r="M190" s="25">
        <f t="shared" si="396"/>
        <v>0.45818499028382575</v>
      </c>
      <c r="N190" s="25">
        <f t="shared" si="396"/>
        <v>0.54584866597872572</v>
      </c>
      <c r="O190" s="25">
        <f t="shared" si="396"/>
        <v>0.48768036826108768</v>
      </c>
      <c r="P190" s="25">
        <f t="shared" si="396"/>
        <v>0.49063195188267283</v>
      </c>
      <c r="Q190" s="118">
        <f t="shared" ref="Q190:Q192" si="397">((P190/G190)^(1/($H$2-$H$1) ))-1</f>
        <v>-2.2141358064810768E-2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77.837037037037035</v>
      </c>
      <c r="H191" s="112">
        <f t="shared" ref="H191:P191" si="398">H10/H12</f>
        <v>48.875324675324677</v>
      </c>
      <c r="I191" s="112">
        <f t="shared" si="398"/>
        <v>90.12355212355213</v>
      </c>
      <c r="J191" s="112">
        <f t="shared" si="398"/>
        <v>82.276283618581914</v>
      </c>
      <c r="K191" s="112">
        <f t="shared" si="398"/>
        <v>130.65979381443299</v>
      </c>
      <c r="L191" s="112">
        <f t="shared" si="398"/>
        <v>94.691485266543324</v>
      </c>
      <c r="M191" s="112">
        <f t="shared" si="398"/>
        <v>97.296686746987959</v>
      </c>
      <c r="N191" s="112">
        <f t="shared" si="398"/>
        <v>96.231121281464524</v>
      </c>
      <c r="O191" s="112">
        <f t="shared" si="398"/>
        <v>57.147302904564313</v>
      </c>
      <c r="P191" s="112">
        <f t="shared" si="398"/>
        <v>1.7702949104169969</v>
      </c>
      <c r="Q191" s="118">
        <f t="shared" si="397"/>
        <v>-0.34320654870195688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1.1239704781260027</v>
      </c>
      <c r="H192" s="25">
        <f t="shared" ref="H192:P192" si="399">H10/(H12+H13)</f>
        <v>0.80181523777058117</v>
      </c>
      <c r="I192" s="25">
        <f t="shared" si="399"/>
        <v>3.3706859205776172</v>
      </c>
      <c r="J192" s="25">
        <f t="shared" si="399"/>
        <v>5.927602607010745</v>
      </c>
      <c r="K192" s="25">
        <f t="shared" si="399"/>
        <v>5.1156407669021187</v>
      </c>
      <c r="L192" s="25">
        <f t="shared" si="399"/>
        <v>10.532145723042246</v>
      </c>
      <c r="M192" s="25">
        <f t="shared" si="399"/>
        <v>6.5910018363599265</v>
      </c>
      <c r="N192" s="25">
        <f t="shared" si="399"/>
        <v>4.7152548074227729</v>
      </c>
      <c r="O192" s="25">
        <f t="shared" si="399"/>
        <v>2.0637081064881873</v>
      </c>
      <c r="P192" s="25">
        <f t="shared" si="399"/>
        <v>0.95732230129469265</v>
      </c>
      <c r="Q192" s="118">
        <f t="shared" si="397"/>
        <v>-1.7673366502815813E-2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6" t="s">
        <v>337</v>
      </c>
      <c r="M195" s="197"/>
      <c r="N195" s="198"/>
      <c r="O195" s="23" t="s">
        <v>340</v>
      </c>
      <c r="P195" s="20"/>
      <c r="Q195" s="196" t="s">
        <v>338</v>
      </c>
      <c r="R195" s="197"/>
      <c r="S195" s="198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250</v>
      </c>
      <c r="E197" s="176" t="s">
        <v>384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341</v>
      </c>
      <c r="M197" s="167"/>
      <c r="N197" s="21">
        <v>230</v>
      </c>
      <c r="O197" s="173">
        <f>N197</f>
        <v>230</v>
      </c>
      <c r="P197" s="20"/>
      <c r="Q197" s="167" t="s">
        <v>341</v>
      </c>
      <c r="R197" s="167"/>
      <c r="S197" s="21">
        <v>230</v>
      </c>
      <c r="T197" s="173">
        <f>S197</f>
        <v>230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</v>
      </c>
      <c r="E198" s="176" t="s">
        <v>385</v>
      </c>
      <c r="F198" s="22">
        <v>1</v>
      </c>
      <c r="G198" s="22">
        <v>1</v>
      </c>
      <c r="H198" s="167">
        <f>F198/G198</f>
        <v>1</v>
      </c>
      <c r="I198" s="167">
        <f>H198*J197</f>
        <v>2</v>
      </c>
      <c r="J198" s="167">
        <f>I198+J197</f>
        <v>4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250</v>
      </c>
      <c r="E199" s="176" t="s">
        <v>398</v>
      </c>
      <c r="F199" s="22">
        <v>0</v>
      </c>
      <c r="G199" s="22">
        <v>2</v>
      </c>
      <c r="H199" s="167">
        <f>F199/G199</f>
        <v>0</v>
      </c>
      <c r="I199" s="167">
        <f>H199*J198</f>
        <v>0</v>
      </c>
      <c r="J199" s="167">
        <f>I199+J198</f>
        <v>4</v>
      </c>
      <c r="K199" s="20"/>
      <c r="L199" s="167" t="s">
        <v>343</v>
      </c>
      <c r="M199" s="167"/>
      <c r="N199" s="168">
        <f>N197*N198</f>
        <v>230</v>
      </c>
      <c r="O199" s="173">
        <f>N199</f>
        <v>230</v>
      </c>
      <c r="P199" s="20"/>
      <c r="Q199" s="167" t="s">
        <v>344</v>
      </c>
      <c r="R199" s="167"/>
      <c r="S199" s="168">
        <f>S197*S198</f>
        <v>230</v>
      </c>
      <c r="T199" s="173">
        <f>S199</f>
        <v>230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0</v>
      </c>
      <c r="G200" s="22">
        <v>2</v>
      </c>
      <c r="H200" s="167">
        <f>F200/G200</f>
        <v>0</v>
      </c>
      <c r="I200" s="167">
        <f>H200*J199</f>
        <v>0</v>
      </c>
      <c r="J200" s="167">
        <f>I200</f>
        <v>0</v>
      </c>
      <c r="K200" s="20"/>
      <c r="L200" s="167" t="s">
        <v>345</v>
      </c>
      <c r="M200" s="167"/>
      <c r="N200" s="21">
        <v>900</v>
      </c>
      <c r="O200" s="21">
        <v>1630</v>
      </c>
      <c r="P200" s="20"/>
      <c r="Q200" s="167" t="s">
        <v>345</v>
      </c>
      <c r="R200" s="167"/>
      <c r="S200" s="21">
        <v>900</v>
      </c>
      <c r="T200" s="21">
        <v>2120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900</v>
      </c>
      <c r="E201" s="176"/>
      <c r="F201" s="167"/>
      <c r="G201" s="167"/>
      <c r="H201" s="169" t="s">
        <v>387</v>
      </c>
      <c r="I201" s="167"/>
      <c r="J201" s="167">
        <f>J200</f>
        <v>0</v>
      </c>
      <c r="K201" s="20"/>
      <c r="L201" s="167" t="s">
        <v>346</v>
      </c>
      <c r="M201" s="167"/>
      <c r="N201" s="168">
        <f>N200*N198</f>
        <v>900</v>
      </c>
      <c r="O201" s="168">
        <f>O200*O198</f>
        <v>1630</v>
      </c>
      <c r="P201" s="20"/>
      <c r="Q201" s="167" t="s">
        <v>342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4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900</v>
      </c>
      <c r="T202" s="168">
        <f>T201*T200</f>
        <v>2120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3600</v>
      </c>
      <c r="E203" s="167"/>
      <c r="F203" s="167"/>
      <c r="G203" s="167"/>
      <c r="H203" s="169" t="s">
        <v>387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347</v>
      </c>
      <c r="M204" s="169"/>
      <c r="N204" s="170">
        <f>N201/N199</f>
        <v>3.9130434782608696</v>
      </c>
      <c r="O204" s="170">
        <f>O201/O199</f>
        <v>7.0869565217391308</v>
      </c>
      <c r="P204" s="20"/>
      <c r="Q204" s="169" t="s">
        <v>347</v>
      </c>
      <c r="R204" s="169"/>
      <c r="S204" s="170">
        <f>S202/S199</f>
        <v>3.9130434782608696</v>
      </c>
      <c r="T204" s="170">
        <f>T202/T199</f>
        <v>9.2173913043478262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14.4</v>
      </c>
      <c r="E205" s="176"/>
      <c r="F205" s="167"/>
      <c r="G205" s="167"/>
      <c r="H205" s="169" t="s">
        <v>387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9" t="s">
        <v>27</v>
      </c>
      <c r="E208" s="190"/>
      <c r="F208" s="190"/>
      <c r="G208" s="191"/>
      <c r="H208" s="20"/>
      <c r="I208" s="189" t="s">
        <v>393</v>
      </c>
      <c r="J208" s="190"/>
      <c r="K208" s="191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250</v>
      </c>
      <c r="H209" s="20"/>
      <c r="I209" s="20" t="s">
        <v>28</v>
      </c>
      <c r="J209" s="127"/>
      <c r="K209" s="21">
        <f>G209</f>
        <v>250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3600</v>
      </c>
      <c r="H210" s="20"/>
      <c r="I210" s="20" t="s">
        <v>29</v>
      </c>
      <c r="J210" s="20"/>
      <c r="K210" s="21">
        <f>G210</f>
        <v>3600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10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0.30567848906522599</v>
      </c>
      <c r="H212" s="20"/>
      <c r="I212" s="23" t="s">
        <v>394</v>
      </c>
      <c r="J212" s="23"/>
      <c r="K212" s="23">
        <f>(K210-K209)/K209</f>
        <v>13.4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120</v>
      </c>
      <c r="H213" s="20"/>
      <c r="I213" s="23" t="s">
        <v>395</v>
      </c>
      <c r="J213" s="23"/>
      <c r="K213" s="23">
        <f>K210/K209</f>
        <v>14.4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10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0.30567848906522599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1" t="s">
        <v>27</v>
      </c>
      <c r="K5" s="201"/>
      <c r="M5" s="201" t="s">
        <v>65</v>
      </c>
      <c r="N5" s="201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1" t="s">
        <v>36</v>
      </c>
      <c r="K14" s="201"/>
      <c r="L14" s="201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1" t="s">
        <v>27</v>
      </c>
      <c r="S5" s="201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1" t="s">
        <v>36</v>
      </c>
      <c r="S14" s="201"/>
      <c r="T14" s="201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1" t="s">
        <v>27</v>
      </c>
      <c r="C2" s="201"/>
      <c r="E2" s="201" t="s">
        <v>65</v>
      </c>
      <c r="F2" s="201"/>
      <c r="H2" s="205" t="s">
        <v>36</v>
      </c>
      <c r="I2" s="206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2" t="s">
        <v>68</v>
      </c>
      <c r="E10" s="203"/>
      <c r="F10" s="203"/>
      <c r="G10" s="203"/>
      <c r="H10" s="204"/>
      <c r="I10" s="202" t="s">
        <v>72</v>
      </c>
      <c r="J10" s="203"/>
      <c r="K10" s="203"/>
      <c r="L10" s="204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2014-05-11T13:39:58Z</dcterms:modified>
</cp:coreProperties>
</file>
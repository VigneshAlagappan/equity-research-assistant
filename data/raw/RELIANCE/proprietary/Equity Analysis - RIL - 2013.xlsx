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K193" i="18" l="1"/>
  <c r="K192" i="18"/>
  <c r="G196" i="18"/>
  <c r="G197" i="18" s="1"/>
  <c r="G198" i="18" s="1"/>
  <c r="G195" i="18"/>
  <c r="K195" i="18" l="1"/>
  <c r="K196" i="18"/>
  <c r="T186" i="18" l="1"/>
  <c r="T187" i="18" s="1"/>
  <c r="AD48" i="18" l="1"/>
  <c r="C48" i="18"/>
  <c r="D48" i="18"/>
  <c r="E48" i="18"/>
  <c r="F48" i="18"/>
  <c r="H48" i="18"/>
  <c r="I48" i="18"/>
  <c r="J48" i="18"/>
  <c r="K48" i="18"/>
  <c r="L48" i="18"/>
  <c r="M48" i="18"/>
  <c r="N48" i="18"/>
  <c r="O48" i="18"/>
  <c r="P48" i="18"/>
  <c r="G48" i="18"/>
  <c r="Q48" i="18" s="1"/>
  <c r="H188" i="18"/>
  <c r="D187" i="18"/>
  <c r="H186" i="18"/>
  <c r="I186" i="18" s="1"/>
  <c r="J186" i="18" s="1"/>
  <c r="J187" i="18" s="1"/>
  <c r="H184" i="18"/>
  <c r="D184" i="18"/>
  <c r="H183" i="18"/>
  <c r="H182" i="18"/>
  <c r="I182" i="18" s="1"/>
  <c r="J182" i="18" s="1"/>
  <c r="I183" i="18" l="1"/>
  <c r="J183" i="18" s="1"/>
  <c r="I184" i="18" s="1"/>
  <c r="J184" i="18" s="1"/>
  <c r="J185" i="18" s="1"/>
  <c r="D189" i="18"/>
  <c r="I188" i="18"/>
  <c r="J188" i="18" s="1"/>
  <c r="J189" i="18" s="1"/>
  <c r="H83" i="18"/>
  <c r="I83" i="18"/>
  <c r="J83" i="18"/>
  <c r="K83" i="18"/>
  <c r="L83" i="18"/>
  <c r="M83" i="18"/>
  <c r="N83" i="18"/>
  <c r="O83" i="18"/>
  <c r="P83" i="18"/>
  <c r="G83" i="18"/>
  <c r="H39" i="18"/>
  <c r="I39" i="18"/>
  <c r="J39" i="18"/>
  <c r="K39" i="18"/>
  <c r="L39" i="18"/>
  <c r="M39" i="18"/>
  <c r="N39" i="18"/>
  <c r="O39" i="18"/>
  <c r="P39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3" i="18"/>
  <c r="T182" i="18"/>
  <c r="O183" i="18"/>
  <c r="O186" i="18" s="1"/>
  <c r="O182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7" i="18"/>
  <c r="H118" i="18" s="1"/>
  <c r="I117" i="18"/>
  <c r="I118" i="18" s="1"/>
  <c r="J117" i="18"/>
  <c r="J118" i="18" s="1"/>
  <c r="K117" i="18"/>
  <c r="K118" i="18" s="1"/>
  <c r="L117" i="18"/>
  <c r="L118" i="18" s="1"/>
  <c r="M117" i="18"/>
  <c r="M118" i="18" s="1"/>
  <c r="N117" i="18"/>
  <c r="N118" i="18" s="1"/>
  <c r="O117" i="18"/>
  <c r="O118" i="18" s="1"/>
  <c r="P117" i="18"/>
  <c r="P118" i="18" s="1"/>
  <c r="G117" i="18"/>
  <c r="G118" i="18" s="1"/>
  <c r="Q83" i="18" l="1"/>
  <c r="Q121" i="18"/>
  <c r="Q122" i="18"/>
  <c r="Q89" i="18"/>
  <c r="AC14" i="18"/>
  <c r="AE14" i="18"/>
  <c r="Q86" i="18"/>
  <c r="Q118" i="18"/>
  <c r="Q117" i="18"/>
  <c r="Q87" i="18"/>
  <c r="P82" i="18"/>
  <c r="P81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1" i="18"/>
  <c r="I111" i="18"/>
  <c r="J111" i="18"/>
  <c r="K111" i="18"/>
  <c r="L111" i="18"/>
  <c r="M111" i="18"/>
  <c r="N111" i="18"/>
  <c r="O111" i="18"/>
  <c r="P111" i="18"/>
  <c r="G111" i="18"/>
  <c r="H112" i="18"/>
  <c r="I112" i="18"/>
  <c r="J112" i="18"/>
  <c r="K112" i="18"/>
  <c r="L112" i="18"/>
  <c r="M112" i="18"/>
  <c r="N112" i="18"/>
  <c r="O112" i="18"/>
  <c r="P112" i="18"/>
  <c r="Q112" i="18" s="1"/>
  <c r="G112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R155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B106" i="18"/>
  <c r="B105" i="18"/>
  <c r="K170" i="18"/>
  <c r="K169" i="18"/>
  <c r="K168" i="18"/>
  <c r="S4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87" i="18"/>
  <c r="N186" i="18"/>
  <c r="S184" i="18"/>
  <c r="T184" i="18" s="1"/>
  <c r="T189" i="18" s="1"/>
  <c r="N184" i="18"/>
  <c r="O184" i="18" s="1"/>
  <c r="O189" i="18" s="1"/>
  <c r="F102" i="18"/>
  <c r="H102" i="18"/>
  <c r="I102" i="18"/>
  <c r="J102" i="18"/>
  <c r="K102" i="18"/>
  <c r="L102" i="18"/>
  <c r="M102" i="18"/>
  <c r="N102" i="18"/>
  <c r="O102" i="18"/>
  <c r="P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Q82" i="18" l="1"/>
  <c r="Q109" i="18"/>
  <c r="Q115" i="18"/>
  <c r="Q114" i="18"/>
  <c r="Q110" i="18"/>
  <c r="Q111" i="18"/>
  <c r="Q104" i="18"/>
  <c r="Q105" i="18"/>
  <c r="Q106" i="18"/>
  <c r="Q94" i="18"/>
  <c r="AC32" i="18"/>
  <c r="AE32" i="18"/>
  <c r="N189" i="18"/>
  <c r="S189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G91" i="18" l="1"/>
  <c r="F91" i="18"/>
  <c r="H91" i="18"/>
  <c r="I91" i="18"/>
  <c r="J91" i="18"/>
  <c r="K91" i="18"/>
  <c r="L91" i="18"/>
  <c r="M91" i="18"/>
  <c r="N91" i="18"/>
  <c r="O91" i="18"/>
  <c r="P91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L30" i="18"/>
  <c r="K30" i="18"/>
  <c r="J30" i="18"/>
  <c r="I30" i="18"/>
  <c r="H30" i="18"/>
  <c r="G30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Q41" i="18"/>
  <c r="S63" i="18" l="1"/>
  <c r="S96" i="18" s="1"/>
  <c r="S97" i="18" s="1"/>
  <c r="W29" i="18"/>
  <c r="Q163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l="1"/>
  <c r="X29" i="18"/>
  <c r="P98" i="18"/>
  <c r="Q97" i="18"/>
  <c r="T63" i="18"/>
  <c r="C73" i="18"/>
  <c r="D73" i="18"/>
  <c r="E73" i="18"/>
  <c r="F73" i="18"/>
  <c r="G73" i="18"/>
  <c r="G119" i="18" s="1"/>
  <c r="H73" i="18"/>
  <c r="H119" i="18" s="1"/>
  <c r="I73" i="18"/>
  <c r="I119" i="18" s="1"/>
  <c r="J73" i="18"/>
  <c r="J119" i="18" s="1"/>
  <c r="K73" i="18"/>
  <c r="K119" i="18" s="1"/>
  <c r="L73" i="18"/>
  <c r="L119" i="18" s="1"/>
  <c r="M73" i="18"/>
  <c r="M119" i="18" s="1"/>
  <c r="N73" i="18"/>
  <c r="N119" i="18" s="1"/>
  <c r="O73" i="18"/>
  <c r="O119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19" i="18" s="1"/>
  <c r="E81" i="18"/>
  <c r="F81" i="18"/>
  <c r="H81" i="18"/>
  <c r="I81" i="18"/>
  <c r="J81" i="18"/>
  <c r="K81" i="18"/>
  <c r="L81" i="18"/>
  <c r="M81" i="18"/>
  <c r="N81" i="18"/>
  <c r="O81" i="18"/>
  <c r="E79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G39" i="18"/>
  <c r="G28" i="18"/>
  <c r="G11" i="18"/>
  <c r="G8" i="18"/>
  <c r="G26" i="18"/>
  <c r="V41" i="18" l="1"/>
  <c r="U63" i="18"/>
  <c r="Q119" i="18"/>
  <c r="Y29" i="18"/>
  <c r="Q75" i="18"/>
  <c r="Q73" i="18"/>
  <c r="Q74" i="18"/>
  <c r="Q80" i="18"/>
  <c r="Q81" i="18"/>
  <c r="P79" i="18"/>
  <c r="Q79" i="18" s="1"/>
  <c r="C175" i="18"/>
  <c r="D175" i="18"/>
  <c r="E175" i="18"/>
  <c r="F175" i="18"/>
  <c r="C176" i="18"/>
  <c r="D176" i="18"/>
  <c r="E176" i="18"/>
  <c r="F176" i="18"/>
  <c r="C177" i="18"/>
  <c r="D177" i="18"/>
  <c r="E177" i="18"/>
  <c r="F177" i="18"/>
  <c r="H177" i="18"/>
  <c r="I177" i="18"/>
  <c r="J177" i="18"/>
  <c r="K177" i="18"/>
  <c r="L177" i="18"/>
  <c r="M177" i="18"/>
  <c r="N177" i="18"/>
  <c r="O177" i="18"/>
  <c r="P177" i="18"/>
  <c r="G177" i="18"/>
  <c r="H176" i="18"/>
  <c r="I176" i="18"/>
  <c r="J176" i="18"/>
  <c r="K176" i="18"/>
  <c r="L176" i="18"/>
  <c r="M176" i="18"/>
  <c r="N176" i="18"/>
  <c r="O176" i="18"/>
  <c r="P176" i="18"/>
  <c r="G176" i="18"/>
  <c r="H175" i="18"/>
  <c r="I175" i="18"/>
  <c r="J175" i="18"/>
  <c r="K175" i="18"/>
  <c r="L175" i="18"/>
  <c r="M175" i="18"/>
  <c r="N175" i="18"/>
  <c r="O175" i="18"/>
  <c r="P175" i="18"/>
  <c r="G175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2" i="18" s="1"/>
  <c r="H44" i="18"/>
  <c r="H156" i="18" s="1"/>
  <c r="I44" i="18"/>
  <c r="I156" i="18" s="1"/>
  <c r="J44" i="18"/>
  <c r="J156" i="18" s="1"/>
  <c r="K44" i="18"/>
  <c r="K156" i="18" s="1"/>
  <c r="L44" i="18"/>
  <c r="L156" i="18" s="1"/>
  <c r="M44" i="18"/>
  <c r="M156" i="18" s="1"/>
  <c r="N44" i="18"/>
  <c r="N156" i="18" s="1"/>
  <c r="O44" i="18"/>
  <c r="O156" i="18" s="1"/>
  <c r="P44" i="18"/>
  <c r="P156" i="18" s="1"/>
  <c r="C44" i="18"/>
  <c r="C156" i="18" s="1"/>
  <c r="D44" i="18"/>
  <c r="D156" i="18" s="1"/>
  <c r="E44" i="18"/>
  <c r="E156" i="18" s="1"/>
  <c r="F44" i="18"/>
  <c r="F156" i="18" s="1"/>
  <c r="G44" i="18"/>
  <c r="G156" i="18" s="1"/>
  <c r="M28" i="18"/>
  <c r="L28" i="18"/>
  <c r="K28" i="18"/>
  <c r="J28" i="18"/>
  <c r="I28" i="18"/>
  <c r="H28" i="18"/>
  <c r="M26" i="18"/>
  <c r="L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6" i="18" s="1"/>
  <c r="Q36" i="18"/>
  <c r="W41" i="18" l="1"/>
  <c r="V63" i="18"/>
  <c r="Q156" i="18"/>
  <c r="Z29" i="18"/>
  <c r="T36" i="18"/>
  <c r="T86" i="18" s="1"/>
  <c r="Q177" i="18"/>
  <c r="Q45" i="18"/>
  <c r="Q44" i="18"/>
  <c r="Q176" i="18"/>
  <c r="Q175" i="18"/>
  <c r="Q31" i="18"/>
  <c r="Q34" i="18"/>
  <c r="X41" i="18" l="1"/>
  <c r="W63" i="18"/>
  <c r="AA29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Y41" i="18" l="1"/>
  <c r="X63" i="18"/>
  <c r="T23" i="18"/>
  <c r="S89" i="18"/>
  <c r="AB29" i="18"/>
  <c r="AE31" i="18"/>
  <c r="AC31" i="18"/>
  <c r="AC22" i="18"/>
  <c r="AE22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5" i="18"/>
  <c r="Y63" i="18" l="1"/>
  <c r="Z41" i="18"/>
  <c r="U23" i="18"/>
  <c r="T89" i="18"/>
  <c r="AE29" i="18"/>
  <c r="AC29" i="18"/>
  <c r="T20" i="18"/>
  <c r="S65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0" i="18" s="1"/>
  <c r="O60" i="18"/>
  <c r="O58" i="18"/>
  <c r="O57" i="18"/>
  <c r="O55" i="18"/>
  <c r="O161" i="18" s="1"/>
  <c r="O54" i="18"/>
  <c r="O53" i="18"/>
  <c r="O51" i="18"/>
  <c r="O50" i="18"/>
  <c r="O158" i="18" s="1"/>
  <c r="O49" i="18"/>
  <c r="O47" i="18"/>
  <c r="AA41" i="18" l="1"/>
  <c r="Z63" i="18"/>
  <c r="T65" i="18"/>
  <c r="S111" i="18"/>
  <c r="S121" i="18"/>
  <c r="S112" i="18"/>
  <c r="S122" i="18"/>
  <c r="V23" i="18"/>
  <c r="U89" i="18"/>
  <c r="S105" i="18"/>
  <c r="S106" i="18"/>
  <c r="S104" i="18"/>
  <c r="S94" i="18"/>
  <c r="P99" i="18"/>
  <c r="Q99" i="18" s="1"/>
  <c r="Q98" i="18"/>
  <c r="S85" i="18"/>
  <c r="S102" i="18"/>
  <c r="S101" i="18"/>
  <c r="T18" i="18"/>
  <c r="O157" i="18"/>
  <c r="O162" i="18"/>
  <c r="U20" i="18"/>
  <c r="T27" i="18"/>
  <c r="X36" i="18"/>
  <c r="X86" i="18" s="1"/>
  <c r="T25" i="18"/>
  <c r="T83" i="18" s="1"/>
  <c r="S79" i="18"/>
  <c r="V21" i="18"/>
  <c r="AC33" i="18"/>
  <c r="AC34" i="18"/>
  <c r="AC9" i="18"/>
  <c r="O59" i="18"/>
  <c r="O159" i="18" s="1"/>
  <c r="D55" i="18"/>
  <c r="E55" i="18"/>
  <c r="F55" i="18"/>
  <c r="G55" i="18"/>
  <c r="G161" i="18" s="1"/>
  <c r="H55" i="18"/>
  <c r="H161" i="18" s="1"/>
  <c r="I55" i="18"/>
  <c r="I161" i="18" s="1"/>
  <c r="J55" i="18"/>
  <c r="J161" i="18" s="1"/>
  <c r="K55" i="18"/>
  <c r="K161" i="18" s="1"/>
  <c r="L55" i="18"/>
  <c r="L161" i="18" s="1"/>
  <c r="M55" i="18"/>
  <c r="M161" i="18" s="1"/>
  <c r="N55" i="18"/>
  <c r="N161" i="18" s="1"/>
  <c r="P55" i="18"/>
  <c r="C55" i="18"/>
  <c r="C54" i="18"/>
  <c r="AB41" i="18" l="1"/>
  <c r="AA63" i="18"/>
  <c r="T112" i="18"/>
  <c r="T122" i="18"/>
  <c r="T111" i="18"/>
  <c r="T121" i="18"/>
  <c r="W23" i="18"/>
  <c r="V89" i="18"/>
  <c r="T104" i="18"/>
  <c r="T106" i="18"/>
  <c r="T105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1" i="18"/>
  <c r="Q161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AE41" i="18" l="1"/>
  <c r="AB63" i="18"/>
  <c r="AC41" i="18"/>
  <c r="U111" i="18"/>
  <c r="U121" i="18"/>
  <c r="U112" i="18"/>
  <c r="U122" i="18"/>
  <c r="U83" i="18"/>
  <c r="X23" i="18"/>
  <c r="W89" i="18"/>
  <c r="U106" i="18"/>
  <c r="U105" i="18"/>
  <c r="U104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AE63" i="18" l="1"/>
  <c r="T143" i="18" s="1"/>
  <c r="AC63" i="18"/>
  <c r="S143" i="18"/>
  <c r="V112" i="18"/>
  <c r="V122" i="18"/>
  <c r="V111" i="18"/>
  <c r="V121" i="18"/>
  <c r="Y23" i="18"/>
  <c r="X89" i="18"/>
  <c r="V94" i="18"/>
  <c r="V106" i="18"/>
  <c r="V105" i="18"/>
  <c r="V104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5" i="18"/>
  <c r="S163" i="18" s="1"/>
  <c r="C47" i="18"/>
  <c r="D47" i="18"/>
  <c r="E47" i="18"/>
  <c r="F47" i="18"/>
  <c r="H47" i="18"/>
  <c r="I47" i="18"/>
  <c r="J47" i="18"/>
  <c r="K47" i="18"/>
  <c r="L47" i="18"/>
  <c r="L162" i="18" s="1"/>
  <c r="M47" i="18"/>
  <c r="N47" i="18"/>
  <c r="N162" i="18" s="1"/>
  <c r="P47" i="18"/>
  <c r="D61" i="18"/>
  <c r="D160" i="18" s="1"/>
  <c r="E61" i="18"/>
  <c r="E160" i="18" s="1"/>
  <c r="F61" i="18"/>
  <c r="F160" i="18" s="1"/>
  <c r="G61" i="18"/>
  <c r="H61" i="18"/>
  <c r="H160" i="18" s="1"/>
  <c r="I61" i="18"/>
  <c r="I160" i="18" s="1"/>
  <c r="J61" i="18"/>
  <c r="J160" i="18" s="1"/>
  <c r="K61" i="18"/>
  <c r="K160" i="18" s="1"/>
  <c r="L61" i="18"/>
  <c r="L160" i="18" s="1"/>
  <c r="M61" i="18"/>
  <c r="M160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59" i="18" s="1"/>
  <c r="E57" i="18"/>
  <c r="E59" i="18" s="1"/>
  <c r="E159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8" i="18" s="1"/>
  <c r="E50" i="18"/>
  <c r="E158" i="18" s="1"/>
  <c r="F50" i="18"/>
  <c r="F158" i="18" s="1"/>
  <c r="G50" i="18"/>
  <c r="H50" i="18"/>
  <c r="H158" i="18" s="1"/>
  <c r="I50" i="18"/>
  <c r="I158" i="18" s="1"/>
  <c r="J50" i="18"/>
  <c r="J158" i="18" s="1"/>
  <c r="K50" i="18"/>
  <c r="K158" i="18" s="1"/>
  <c r="L50" i="18"/>
  <c r="L158" i="18" s="1"/>
  <c r="M50" i="18"/>
  <c r="M158" i="18" s="1"/>
  <c r="N50" i="18"/>
  <c r="P50" i="18"/>
  <c r="C61" i="18"/>
  <c r="C160" i="18" s="1"/>
  <c r="C60" i="18"/>
  <c r="C58" i="18"/>
  <c r="C57" i="18"/>
  <c r="C51" i="18"/>
  <c r="C50" i="18"/>
  <c r="C158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09" i="18" s="1"/>
  <c r="S16" i="18"/>
  <c r="S117" i="18" s="1"/>
  <c r="S118" i="18" s="1"/>
  <c r="S38" i="18"/>
  <c r="S87" i="18" s="1"/>
  <c r="S10" i="18"/>
  <c r="S12" i="18"/>
  <c r="S13" i="18"/>
  <c r="S7" i="18"/>
  <c r="S6" i="18"/>
  <c r="R143" i="18" l="1"/>
  <c r="P167" i="18" s="1"/>
  <c r="W111" i="18"/>
  <c r="W121" i="18"/>
  <c r="W83" i="18"/>
  <c r="W112" i="18"/>
  <c r="W122" i="18"/>
  <c r="Z23" i="18"/>
  <c r="Y89" i="18"/>
  <c r="S81" i="18"/>
  <c r="S82" i="18"/>
  <c r="S115" i="18"/>
  <c r="S114" i="18"/>
  <c r="S88" i="18"/>
  <c r="S110" i="18"/>
  <c r="H162" i="18"/>
  <c r="H157" i="18"/>
  <c r="W94" i="18"/>
  <c r="W105" i="18"/>
  <c r="W104" i="18"/>
  <c r="W106" i="18"/>
  <c r="S93" i="18"/>
  <c r="S98" i="18"/>
  <c r="S99" i="18" s="1"/>
  <c r="W85" i="18"/>
  <c r="W102" i="18"/>
  <c r="W101" i="18"/>
  <c r="S91" i="18"/>
  <c r="S92" i="18"/>
  <c r="X18" i="18"/>
  <c r="D157" i="18"/>
  <c r="D161" i="18" s="1"/>
  <c r="D162" i="18"/>
  <c r="E157" i="18"/>
  <c r="E161" i="18" s="1"/>
  <c r="E162" i="18"/>
  <c r="C157" i="18"/>
  <c r="C161" i="18" s="1"/>
  <c r="C162" i="18"/>
  <c r="P157" i="18"/>
  <c r="P162" i="18"/>
  <c r="Q162" i="18" s="1"/>
  <c r="K157" i="18"/>
  <c r="K162" i="18"/>
  <c r="F157" i="18"/>
  <c r="F161" i="18" s="1"/>
  <c r="F162" i="18"/>
  <c r="J157" i="18"/>
  <c r="J162" i="18"/>
  <c r="M157" i="18"/>
  <c r="M162" i="18"/>
  <c r="I157" i="18"/>
  <c r="I162" i="18"/>
  <c r="Q125" i="18"/>
  <c r="Y20" i="18"/>
  <c r="X65" i="18"/>
  <c r="H59" i="18"/>
  <c r="H159" i="18" s="1"/>
  <c r="X27" i="18"/>
  <c r="T12" i="18"/>
  <c r="T15" i="18"/>
  <c r="T109" i="18" s="1"/>
  <c r="T13" i="18"/>
  <c r="T10" i="18"/>
  <c r="T16" i="18"/>
  <c r="T117" i="18" s="1"/>
  <c r="T118" i="18" s="1"/>
  <c r="T6" i="18"/>
  <c r="T7" i="18"/>
  <c r="X25" i="18"/>
  <c r="X83" i="18" s="1"/>
  <c r="W79" i="18"/>
  <c r="T38" i="18"/>
  <c r="T87" i="18" s="1"/>
  <c r="S80" i="18"/>
  <c r="AB36" i="18"/>
  <c r="F59" i="18"/>
  <c r="F159" i="18" s="1"/>
  <c r="L59" i="18"/>
  <c r="L159" i="18" s="1"/>
  <c r="K59" i="18"/>
  <c r="K159" i="18" s="1"/>
  <c r="J59" i="18"/>
  <c r="J159" i="18" s="1"/>
  <c r="Z21" i="18"/>
  <c r="C59" i="18"/>
  <c r="C159" i="18" s="1"/>
  <c r="T155" i="18"/>
  <c r="T163" i="18" s="1"/>
  <c r="I59" i="18"/>
  <c r="I159" i="18" s="1"/>
  <c r="Q49" i="18"/>
  <c r="G158" i="18"/>
  <c r="Q50" i="18"/>
  <c r="Q51" i="18"/>
  <c r="Q58" i="18"/>
  <c r="Q60" i="18"/>
  <c r="G157" i="18"/>
  <c r="Q47" i="18"/>
  <c r="G160" i="18"/>
  <c r="Q61" i="18"/>
  <c r="G59" i="18"/>
  <c r="Q57" i="18"/>
  <c r="N158" i="18"/>
  <c r="N157" i="18"/>
  <c r="N160" i="18"/>
  <c r="P158" i="18"/>
  <c r="L157" i="18"/>
  <c r="N59" i="18"/>
  <c r="M59" i="18"/>
  <c r="M159" i="18" s="1"/>
  <c r="P160" i="18"/>
  <c r="P59" i="18"/>
  <c r="S58" i="18"/>
  <c r="C6" i="12"/>
  <c r="C26" i="15"/>
  <c r="C58" i="15"/>
  <c r="C57" i="15"/>
  <c r="C54" i="15"/>
  <c r="C53" i="15"/>
  <c r="C50" i="15"/>
  <c r="C49" i="15"/>
  <c r="C45" i="15"/>
  <c r="X111" i="18" l="1"/>
  <c r="X121" i="18"/>
  <c r="X112" i="18"/>
  <c r="X122" i="18"/>
  <c r="AE36" i="18"/>
  <c r="AB86" i="18"/>
  <c r="AC86" i="18" s="1"/>
  <c r="AA23" i="18"/>
  <c r="Z89" i="18"/>
  <c r="T115" i="18"/>
  <c r="T114" i="18"/>
  <c r="T88" i="18"/>
  <c r="T110" i="18"/>
  <c r="T82" i="18"/>
  <c r="X104" i="18"/>
  <c r="X105" i="18"/>
  <c r="X106" i="18"/>
  <c r="X94" i="18"/>
  <c r="X85" i="18"/>
  <c r="X102" i="18"/>
  <c r="X101" i="18"/>
  <c r="T91" i="18"/>
  <c r="T92" i="18"/>
  <c r="T93" i="18"/>
  <c r="Y18" i="18"/>
  <c r="Z20" i="18"/>
  <c r="Y65" i="18"/>
  <c r="S57" i="18"/>
  <c r="S74" i="18"/>
  <c r="S53" i="18"/>
  <c r="S55" i="18"/>
  <c r="S161" i="18" s="1"/>
  <c r="S61" i="18"/>
  <c r="S160" i="18" s="1"/>
  <c r="S71" i="18"/>
  <c r="S73" i="18"/>
  <c r="S119" i="18" s="1"/>
  <c r="S45" i="18"/>
  <c r="S44" i="18"/>
  <c r="S156" i="18" s="1"/>
  <c r="S54" i="18"/>
  <c r="S50" i="18"/>
  <c r="S51" i="18"/>
  <c r="S60" i="18"/>
  <c r="S49" i="18"/>
  <c r="S75" i="18"/>
  <c r="S47" i="18"/>
  <c r="S162" i="18" s="1"/>
  <c r="Y27" i="18"/>
  <c r="U15" i="18"/>
  <c r="U109" i="18" s="1"/>
  <c r="U13" i="18"/>
  <c r="U12" i="18"/>
  <c r="S59" i="18"/>
  <c r="U16" i="18"/>
  <c r="U117" i="18" s="1"/>
  <c r="U118" i="18" s="1"/>
  <c r="U10" i="18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5" i="18"/>
  <c r="U163" i="18" s="1"/>
  <c r="Q158" i="18"/>
  <c r="Q157" i="18"/>
  <c r="Q160" i="18"/>
  <c r="G159" i="18"/>
  <c r="Q59" i="18"/>
  <c r="N159" i="18"/>
  <c r="P159" i="18"/>
  <c r="C16" i="15"/>
  <c r="C21" i="15"/>
  <c r="C10" i="15"/>
  <c r="T96" i="18" l="1"/>
  <c r="T97" i="18" s="1"/>
  <c r="T98" i="18" s="1"/>
  <c r="T99" i="18" s="1"/>
  <c r="T48" i="18"/>
  <c r="Y111" i="18"/>
  <c r="Y121" i="18"/>
  <c r="Y112" i="18"/>
  <c r="Y122" i="18"/>
  <c r="AB23" i="18"/>
  <c r="AA89" i="18"/>
  <c r="U88" i="18"/>
  <c r="U110" i="18"/>
  <c r="U115" i="18"/>
  <c r="U114" i="18"/>
  <c r="U82" i="18"/>
  <c r="Y106" i="18"/>
  <c r="Y105" i="18"/>
  <c r="Y104" i="18"/>
  <c r="Y94" i="18"/>
  <c r="T57" i="18"/>
  <c r="Y85" i="18"/>
  <c r="Y102" i="18"/>
  <c r="Y101" i="18"/>
  <c r="U91" i="18"/>
  <c r="U92" i="18"/>
  <c r="U93" i="18"/>
  <c r="T53" i="18"/>
  <c r="Z18" i="18"/>
  <c r="AA20" i="18"/>
  <c r="Z65" i="18"/>
  <c r="T55" i="18"/>
  <c r="T161" i="18" s="1"/>
  <c r="T61" i="18"/>
  <c r="T160" i="18" s="1"/>
  <c r="T71" i="18"/>
  <c r="T73" i="18"/>
  <c r="T119" i="18" s="1"/>
  <c r="T44" i="18"/>
  <c r="T156" i="18" s="1"/>
  <c r="T45" i="18"/>
  <c r="T50" i="18"/>
  <c r="T49" i="18"/>
  <c r="T60" i="18"/>
  <c r="T75" i="18"/>
  <c r="T54" i="18"/>
  <c r="T51" i="18"/>
  <c r="T47" i="18"/>
  <c r="T162" i="18" s="1"/>
  <c r="T58" i="18"/>
  <c r="T74" i="18"/>
  <c r="Z27" i="18"/>
  <c r="V13" i="18"/>
  <c r="V12" i="18"/>
  <c r="V15" i="18"/>
  <c r="V109" i="18" s="1"/>
  <c r="V10" i="18"/>
  <c r="V16" i="18"/>
  <c r="V117" i="18" s="1"/>
  <c r="V118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59" i="18"/>
  <c r="V155" i="18"/>
  <c r="V163" i="18" s="1"/>
  <c r="S157" i="18"/>
  <c r="S158" i="18"/>
  <c r="Q159" i="18"/>
  <c r="D31" i="8"/>
  <c r="D29" i="8"/>
  <c r="D28" i="8"/>
  <c r="D13" i="8"/>
  <c r="D30" i="8" s="1"/>
  <c r="E14" i="8"/>
  <c r="F14" i="8" s="1"/>
  <c r="G14" i="8" s="1"/>
  <c r="H14" i="8" s="1"/>
  <c r="I14" i="8" s="1"/>
  <c r="U96" i="18" l="1"/>
  <c r="U97" i="18" s="1"/>
  <c r="U98" i="18" s="1"/>
  <c r="U99" i="18" s="1"/>
  <c r="U48" i="18"/>
  <c r="Z111" i="18"/>
  <c r="Z121" i="18"/>
  <c r="Z112" i="18"/>
  <c r="Z122" i="18"/>
  <c r="AE23" i="18"/>
  <c r="AB89" i="18"/>
  <c r="AC89" i="18" s="1"/>
  <c r="AC23" i="18"/>
  <c r="V82" i="18"/>
  <c r="V114" i="18"/>
  <c r="V115" i="18"/>
  <c r="V88" i="18"/>
  <c r="V110" i="18"/>
  <c r="Z106" i="18"/>
  <c r="Z105" i="18"/>
  <c r="Z104" i="18"/>
  <c r="Z94" i="18"/>
  <c r="U57" i="18"/>
  <c r="T59" i="18"/>
  <c r="T159" i="18" s="1"/>
  <c r="Z85" i="18"/>
  <c r="Z102" i="18"/>
  <c r="Z101" i="18"/>
  <c r="V91" i="18"/>
  <c r="V93" i="18"/>
  <c r="V92" i="18"/>
  <c r="AA18" i="18"/>
  <c r="AB20" i="18"/>
  <c r="AA65" i="18"/>
  <c r="U75" i="18"/>
  <c r="U74" i="18"/>
  <c r="U53" i="18"/>
  <c r="U61" i="18"/>
  <c r="U160" i="18" s="1"/>
  <c r="U60" i="18"/>
  <c r="U55" i="18"/>
  <c r="U161" i="18" s="1"/>
  <c r="U58" i="18"/>
  <c r="U49" i="18"/>
  <c r="U71" i="18"/>
  <c r="U73" i="18"/>
  <c r="U119" i="18" s="1"/>
  <c r="U45" i="18"/>
  <c r="U44" i="18"/>
  <c r="U156" i="18" s="1"/>
  <c r="U54" i="18"/>
  <c r="U50" i="18"/>
  <c r="U51" i="18"/>
  <c r="U47" i="18"/>
  <c r="U162" i="18" s="1"/>
  <c r="AA27" i="18"/>
  <c r="W12" i="18"/>
  <c r="W15" i="18"/>
  <c r="W109" i="18" s="1"/>
  <c r="W13" i="18"/>
  <c r="W16" i="18"/>
  <c r="W117" i="18" s="1"/>
  <c r="W118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5" i="18"/>
  <c r="W163" i="18" s="1"/>
  <c r="T157" i="18"/>
  <c r="T15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96" i="18" l="1"/>
  <c r="V97" i="18" s="1"/>
  <c r="V98" i="18" s="1"/>
  <c r="V99" i="18" s="1"/>
  <c r="V48" i="18"/>
  <c r="AA111" i="18"/>
  <c r="AA121" i="18"/>
  <c r="AA112" i="18"/>
  <c r="AA122" i="18"/>
  <c r="AE20" i="18"/>
  <c r="AA83" i="18"/>
  <c r="W115" i="18"/>
  <c r="W114" i="18"/>
  <c r="W88" i="18"/>
  <c r="W110" i="18"/>
  <c r="W82" i="18"/>
  <c r="AA105" i="18"/>
  <c r="AA104" i="18"/>
  <c r="AA106" i="18"/>
  <c r="AA94" i="18"/>
  <c r="U59" i="18"/>
  <c r="U159" i="18" s="1"/>
  <c r="AA85" i="18"/>
  <c r="AA102" i="18"/>
  <c r="AA101" i="18"/>
  <c r="V60" i="18"/>
  <c r="W91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1" i="18" s="1"/>
  <c r="V71" i="18"/>
  <c r="V73" i="18"/>
  <c r="V119" i="18" s="1"/>
  <c r="V44" i="18"/>
  <c r="V156" i="18" s="1"/>
  <c r="V45" i="18"/>
  <c r="V53" i="18"/>
  <c r="V61" i="18"/>
  <c r="V160" i="18" s="1"/>
  <c r="V47" i="18"/>
  <c r="V162" i="18" s="1"/>
  <c r="AB27" i="18"/>
  <c r="AB122" i="18" s="1"/>
  <c r="AC122" i="18" s="1"/>
  <c r="X15" i="18"/>
  <c r="X109" i="18" s="1"/>
  <c r="X13" i="18"/>
  <c r="X12" i="18"/>
  <c r="X10" i="18"/>
  <c r="X16" i="18"/>
  <c r="X117" i="18" s="1"/>
  <c r="X118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5" i="18"/>
  <c r="X163" i="18" s="1"/>
  <c r="U157" i="18"/>
  <c r="U15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96" i="18" l="1"/>
  <c r="W97" i="18" s="1"/>
  <c r="W98" i="18" s="1"/>
  <c r="W99" i="18" s="1"/>
  <c r="W48" i="18"/>
  <c r="AB111" i="18"/>
  <c r="AC111" i="18" s="1"/>
  <c r="AB121" i="18"/>
  <c r="AC121" i="18" s="1"/>
  <c r="X88" i="18"/>
  <c r="X110" i="18"/>
  <c r="X115" i="18"/>
  <c r="X114" i="18"/>
  <c r="AE27" i="18"/>
  <c r="AB112" i="18"/>
  <c r="AC112" i="18" s="1"/>
  <c r="X82" i="18"/>
  <c r="AB104" i="18"/>
  <c r="AC104" i="18" s="1"/>
  <c r="AB106" i="18"/>
  <c r="AC106" i="18" s="1"/>
  <c r="AB105" i="18"/>
  <c r="AC10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59" i="18" s="1"/>
  <c r="W58" i="18"/>
  <c r="AB85" i="18"/>
  <c r="AC85" i="18" s="1"/>
  <c r="AB102" i="18"/>
  <c r="AC102" i="18" s="1"/>
  <c r="AB101" i="18"/>
  <c r="AC101" i="18" s="1"/>
  <c r="X91" i="18"/>
  <c r="X93" i="18"/>
  <c r="X92" i="18"/>
  <c r="AE25" i="18"/>
  <c r="AE18" i="18"/>
  <c r="AC18" i="18"/>
  <c r="S145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0" i="18" s="1"/>
  <c r="W60" i="18"/>
  <c r="W55" i="18"/>
  <c r="W161" i="18" s="1"/>
  <c r="W57" i="18"/>
  <c r="W54" i="18"/>
  <c r="W74" i="18"/>
  <c r="W53" i="18"/>
  <c r="W75" i="18"/>
  <c r="W71" i="18"/>
  <c r="W73" i="18"/>
  <c r="W119" i="18" s="1"/>
  <c r="W45" i="18"/>
  <c r="W44" i="18"/>
  <c r="W156" i="18" s="1"/>
  <c r="W49" i="18"/>
  <c r="W50" i="18"/>
  <c r="W51" i="18"/>
  <c r="W47" i="18"/>
  <c r="W162" i="18" s="1"/>
  <c r="AC27" i="18"/>
  <c r="Y12" i="18"/>
  <c r="Y15" i="18"/>
  <c r="Y109" i="18" s="1"/>
  <c r="Y13" i="18"/>
  <c r="Y10" i="18"/>
  <c r="Y16" i="18"/>
  <c r="Y117" i="18" s="1"/>
  <c r="Y118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5" i="18"/>
  <c r="Y163" i="18" s="1"/>
  <c r="V157" i="18"/>
  <c r="V158" i="18"/>
  <c r="P31" i="11"/>
  <c r="N32" i="11"/>
  <c r="T19" i="9"/>
  <c r="D22" i="9"/>
  <c r="X96" i="18" l="1"/>
  <c r="X97" i="18" s="1"/>
  <c r="X98" i="18" s="1"/>
  <c r="X99" i="18" s="1"/>
  <c r="X48" i="18"/>
  <c r="Y115" i="18"/>
  <c r="Y114" i="18"/>
  <c r="Y88" i="18"/>
  <c r="Y110" i="18"/>
  <c r="Y82" i="18"/>
  <c r="W59" i="18"/>
  <c r="W159" i="18" s="1"/>
  <c r="X51" i="18"/>
  <c r="Y91" i="18"/>
  <c r="Y92" i="18"/>
  <c r="Y93" i="18"/>
  <c r="T145" i="18"/>
  <c r="R145" i="18" s="1"/>
  <c r="X53" i="18"/>
  <c r="X60" i="18"/>
  <c r="X47" i="18"/>
  <c r="X162" i="18" s="1"/>
  <c r="X55" i="18"/>
  <c r="X161" i="18" s="1"/>
  <c r="X50" i="18"/>
  <c r="X49" i="18"/>
  <c r="X71" i="18"/>
  <c r="X73" i="18"/>
  <c r="X119" i="18" s="1"/>
  <c r="X45" i="18"/>
  <c r="X44" i="18"/>
  <c r="X156" i="18" s="1"/>
  <c r="X75" i="18"/>
  <c r="X54" i="18"/>
  <c r="X61" i="18"/>
  <c r="X160" i="18" s="1"/>
  <c r="X58" i="18"/>
  <c r="X57" i="18"/>
  <c r="X74" i="18"/>
  <c r="Z13" i="18"/>
  <c r="Z12" i="18"/>
  <c r="Z15" i="18"/>
  <c r="Z109" i="18" s="1"/>
  <c r="Z10" i="18"/>
  <c r="Z16" i="18"/>
  <c r="Z117" i="18" s="1"/>
  <c r="Z118" i="18" s="1"/>
  <c r="Z6" i="18"/>
  <c r="Z7" i="18"/>
  <c r="Z38" i="18"/>
  <c r="Z87" i="18" s="1"/>
  <c r="Y81" i="18"/>
  <c r="Y80" i="18"/>
  <c r="Y40" i="18"/>
  <c r="X70" i="18"/>
  <c r="X68" i="18"/>
  <c r="X69" i="18"/>
  <c r="X67" i="18"/>
  <c r="Z155" i="18"/>
  <c r="Z163" i="18" s="1"/>
  <c r="W157" i="18"/>
  <c r="W15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96" i="18" l="1"/>
  <c r="Y97" i="18" s="1"/>
  <c r="Y98" i="18" s="1"/>
  <c r="Y99" i="18" s="1"/>
  <c r="Y48" i="18"/>
  <c r="Z88" i="18"/>
  <c r="Z110" i="18"/>
  <c r="Z114" i="18"/>
  <c r="Z115" i="18"/>
  <c r="Z82" i="18"/>
  <c r="Z91" i="18"/>
  <c r="Z92" i="18"/>
  <c r="Z93" i="18"/>
  <c r="X59" i="18"/>
  <c r="X159" i="18" s="1"/>
  <c r="Y71" i="18"/>
  <c r="Y73" i="18"/>
  <c r="Y119" i="18" s="1"/>
  <c r="Y44" i="18"/>
  <c r="Y156" i="18" s="1"/>
  <c r="Y45" i="18"/>
  <c r="Y55" i="18"/>
  <c r="Y161" i="18" s="1"/>
  <c r="Y61" i="18"/>
  <c r="Y160" i="18" s="1"/>
  <c r="Y60" i="18"/>
  <c r="Y58" i="18"/>
  <c r="Y49" i="18"/>
  <c r="Y47" i="18"/>
  <c r="Y162" i="18" s="1"/>
  <c r="Y54" i="18"/>
  <c r="Y50" i="18"/>
  <c r="Y51" i="18"/>
  <c r="Y57" i="18"/>
  <c r="Y74" i="18"/>
  <c r="Y53" i="18"/>
  <c r="Y75" i="18"/>
  <c r="AA12" i="18"/>
  <c r="AA15" i="18"/>
  <c r="AA109" i="18" s="1"/>
  <c r="AA13" i="18"/>
  <c r="AA10" i="18"/>
  <c r="AA16" i="18"/>
  <c r="AA117" i="18" s="1"/>
  <c r="AA118" i="18" s="1"/>
  <c r="AA7" i="18"/>
  <c r="AA6" i="18"/>
  <c r="AA38" i="18"/>
  <c r="AA87" i="18" s="1"/>
  <c r="Z80" i="18"/>
  <c r="Z81" i="18"/>
  <c r="Z40" i="18"/>
  <c r="Y70" i="18"/>
  <c r="Y68" i="18"/>
  <c r="Y69" i="18"/>
  <c r="Y67" i="18"/>
  <c r="AA155" i="18"/>
  <c r="AA163" i="18" s="1"/>
  <c r="X157" i="18"/>
  <c r="X158" i="18"/>
  <c r="N34" i="11"/>
  <c r="O33" i="11"/>
  <c r="D25" i="8"/>
  <c r="D23" i="8"/>
  <c r="Z96" i="18" l="1"/>
  <c r="Z97" i="18" s="1"/>
  <c r="Z98" i="18" s="1"/>
  <c r="Z99" i="18" s="1"/>
  <c r="Z48" i="18"/>
  <c r="AA82" i="18"/>
  <c r="AA114" i="18"/>
  <c r="AA115" i="18"/>
  <c r="AA88" i="18"/>
  <c r="AA110" i="18"/>
  <c r="AA91" i="18"/>
  <c r="AA92" i="18"/>
  <c r="AA93" i="18"/>
  <c r="Y59" i="18"/>
  <c r="Y159" i="18" s="1"/>
  <c r="Z71" i="18"/>
  <c r="Z73" i="18"/>
  <c r="Z119" i="18" s="1"/>
  <c r="Z45" i="18"/>
  <c r="Z44" i="18"/>
  <c r="Z156" i="18" s="1"/>
  <c r="Z49" i="18"/>
  <c r="Z60" i="18"/>
  <c r="Z50" i="18"/>
  <c r="Z55" i="18"/>
  <c r="Z161" i="18" s="1"/>
  <c r="Z58" i="18"/>
  <c r="Z57" i="18"/>
  <c r="Z75" i="18"/>
  <c r="Z61" i="18"/>
  <c r="Z160" i="18" s="1"/>
  <c r="Z47" i="18"/>
  <c r="Z162" i="18" s="1"/>
  <c r="Z54" i="18"/>
  <c r="Z74" i="18"/>
  <c r="Z53" i="18"/>
  <c r="Z51" i="18"/>
  <c r="AB15" i="18"/>
  <c r="AB13" i="18"/>
  <c r="AE13" i="18" s="1"/>
  <c r="AB12" i="18"/>
  <c r="AB110" i="18" s="1"/>
  <c r="AC110" i="18" s="1"/>
  <c r="AB10" i="18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5" i="18"/>
  <c r="AB163" i="18" s="1"/>
  <c r="Y157" i="18"/>
  <c r="Y158" i="18"/>
  <c r="N35" i="11"/>
  <c r="O34" i="11"/>
  <c r="D35" i="8"/>
  <c r="E5" i="8"/>
  <c r="E18" i="8" s="1"/>
  <c r="D18" i="8"/>
  <c r="D19" i="8"/>
  <c r="D21" i="8"/>
  <c r="D20" i="8"/>
  <c r="AC163" i="18" l="1"/>
  <c r="AE163" i="18" s="1"/>
  <c r="AA96" i="18"/>
  <c r="AA97" i="18" s="1"/>
  <c r="AA98" i="18" s="1"/>
  <c r="AA99" i="18" s="1"/>
  <c r="AA48" i="18"/>
  <c r="AE16" i="18"/>
  <c r="AB117" i="18"/>
  <c r="AB115" i="18"/>
  <c r="AC115" i="18" s="1"/>
  <c r="AB114" i="18"/>
  <c r="AC114" i="18" s="1"/>
  <c r="AE15" i="18"/>
  <c r="AB109" i="18"/>
  <c r="AC109" i="18" s="1"/>
  <c r="AB82" i="18"/>
  <c r="AC82" i="18" s="1"/>
  <c r="AE10" i="18"/>
  <c r="AB91" i="18"/>
  <c r="AC91" i="18" s="1"/>
  <c r="AE12" i="18"/>
  <c r="AB88" i="18"/>
  <c r="AC88" i="18" s="1"/>
  <c r="AE38" i="18"/>
  <c r="AB92" i="18"/>
  <c r="AC92" i="18" s="1"/>
  <c r="AB93" i="18"/>
  <c r="AC93" i="18" s="1"/>
  <c r="Z59" i="18"/>
  <c r="Z159" i="18" s="1"/>
  <c r="AA71" i="18"/>
  <c r="AA73" i="18"/>
  <c r="AA119" i="18" s="1"/>
  <c r="AA44" i="18"/>
  <c r="AA156" i="18" s="1"/>
  <c r="AA45" i="18"/>
  <c r="AA53" i="18"/>
  <c r="AA61" i="18"/>
  <c r="AA160" i="18" s="1"/>
  <c r="AA47" i="18"/>
  <c r="AA162" i="18" s="1"/>
  <c r="AA55" i="18"/>
  <c r="AA161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39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5" i="18"/>
  <c r="AE155" i="18" s="1"/>
  <c r="Z157" i="18"/>
  <c r="Z158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7" i="18"/>
  <c r="AB118" i="18"/>
  <c r="AC118" i="18" s="1"/>
  <c r="AE40" i="18"/>
  <c r="T139" i="18"/>
  <c r="T140" i="18" s="1"/>
  <c r="AA59" i="18"/>
  <c r="AA159" i="18" s="1"/>
  <c r="AB71" i="18"/>
  <c r="AB73" i="18"/>
  <c r="AB44" i="18"/>
  <c r="AB156" i="18" s="1"/>
  <c r="AC156" i="18" s="1"/>
  <c r="AE156" i="18" s="1"/>
  <c r="AB45" i="18"/>
  <c r="AB53" i="18"/>
  <c r="AB58" i="18"/>
  <c r="AB47" i="18"/>
  <c r="AB55" i="18"/>
  <c r="AB51" i="18"/>
  <c r="AB74" i="18"/>
  <c r="AB50" i="18"/>
  <c r="AE50" i="18" s="1"/>
  <c r="AB49" i="18"/>
  <c r="AB60" i="18"/>
  <c r="AB75" i="18"/>
  <c r="AB54" i="18"/>
  <c r="AB61" i="18"/>
  <c r="AB57" i="18"/>
  <c r="S140" i="18"/>
  <c r="AB70" i="18"/>
  <c r="AB68" i="18"/>
  <c r="AC40" i="18"/>
  <c r="AB69" i="18"/>
  <c r="AB67" i="18"/>
  <c r="AA157" i="18"/>
  <c r="AA158" i="18"/>
  <c r="N37" i="11"/>
  <c r="O36" i="11"/>
  <c r="F18" i="8"/>
  <c r="G18" i="8"/>
  <c r="AE47" i="18" l="1"/>
  <c r="AB162" i="18"/>
  <c r="AC48" i="18"/>
  <c r="AE48" i="18"/>
  <c r="AE73" i="18"/>
  <c r="AB119" i="18"/>
  <c r="AC119" i="18" s="1"/>
  <c r="AC96" i="18"/>
  <c r="R139" i="18"/>
  <c r="R140" i="18"/>
  <c r="AC74" i="18"/>
  <c r="AE74" i="18"/>
  <c r="AC45" i="18"/>
  <c r="AE45" i="18"/>
  <c r="S136" i="18"/>
  <c r="AE60" i="18"/>
  <c r="AB160" i="18"/>
  <c r="AC160" i="18" s="1"/>
  <c r="AE160" i="18" s="1"/>
  <c r="AE61" i="18"/>
  <c r="AC44" i="18"/>
  <c r="AE44" i="18"/>
  <c r="AC58" i="18"/>
  <c r="AE58" i="18"/>
  <c r="S130" i="18"/>
  <c r="AE57" i="18"/>
  <c r="S129" i="18"/>
  <c r="AE51" i="18"/>
  <c r="AB161" i="18"/>
  <c r="AC161" i="18" s="1"/>
  <c r="AE161" i="18" s="1"/>
  <c r="AE55" i="18"/>
  <c r="AC54" i="18"/>
  <c r="AE54" i="18"/>
  <c r="S127" i="18"/>
  <c r="AE49" i="18"/>
  <c r="S132" i="18"/>
  <c r="AE53" i="18"/>
  <c r="AC75" i="18"/>
  <c r="AE75" i="18"/>
  <c r="S152" i="18"/>
  <c r="AE71" i="18"/>
  <c r="S150" i="18"/>
  <c r="AE70" i="18"/>
  <c r="S149" i="18"/>
  <c r="AE69" i="18"/>
  <c r="S147" i="18"/>
  <c r="AE67" i="18"/>
  <c r="S148" i="18"/>
  <c r="AE68" i="18"/>
  <c r="AC60" i="18"/>
  <c r="S133" i="18"/>
  <c r="AC49" i="18"/>
  <c r="AC51" i="18"/>
  <c r="T129" i="18" s="1"/>
  <c r="AC53" i="18"/>
  <c r="S134" i="18"/>
  <c r="AC71" i="18"/>
  <c r="AC57" i="18"/>
  <c r="S137" i="18"/>
  <c r="AB59" i="18"/>
  <c r="AC55" i="18"/>
  <c r="AC61" i="18"/>
  <c r="AC73" i="18"/>
  <c r="AC69" i="18"/>
  <c r="AC68" i="18"/>
  <c r="AC67" i="18"/>
  <c r="AC70" i="18"/>
  <c r="S126" i="18"/>
  <c r="AC47" i="18"/>
  <c r="T126" i="18" s="1"/>
  <c r="AB157" i="18"/>
  <c r="AC50" i="18"/>
  <c r="T128" i="18" s="1"/>
  <c r="AB158" i="18"/>
  <c r="S128" i="18"/>
  <c r="N38" i="11"/>
  <c r="O37" i="11"/>
  <c r="H18" i="8"/>
  <c r="AC162" i="18" l="1"/>
  <c r="AE162" i="18" s="1"/>
  <c r="P170" i="18"/>
  <c r="M170" i="18"/>
  <c r="AC97" i="18"/>
  <c r="T137" i="18"/>
  <c r="R137" i="18" s="1"/>
  <c r="T127" i="18"/>
  <c r="R127" i="18" s="1"/>
  <c r="T136" i="18"/>
  <c r="R136" i="18" s="1"/>
  <c r="T132" i="18"/>
  <c r="R132" i="18" s="1"/>
  <c r="T134" i="18"/>
  <c r="R134" i="18" s="1"/>
  <c r="T152" i="18"/>
  <c r="R152" i="18" s="1"/>
  <c r="T149" i="18"/>
  <c r="R149" i="18" s="1"/>
  <c r="AC59" i="18"/>
  <c r="AE59" i="18"/>
  <c r="T130" i="18"/>
  <c r="R130" i="18" s="1"/>
  <c r="R129" i="18"/>
  <c r="T133" i="18"/>
  <c r="R133" i="18" s="1"/>
  <c r="T147" i="18"/>
  <c r="R147" i="18" s="1"/>
  <c r="AB159" i="18"/>
  <c r="AC159" i="18" s="1"/>
  <c r="AE159" i="18" s="1"/>
  <c r="T150" i="18"/>
  <c r="R150" i="18" s="1"/>
  <c r="T148" i="18"/>
  <c r="R148" i="18" s="1"/>
  <c r="R126" i="18"/>
  <c r="P171" i="18" s="1"/>
  <c r="P172" i="18" s="1"/>
  <c r="AC158" i="18"/>
  <c r="AE158" i="18" s="1"/>
  <c r="AC157" i="18"/>
  <c r="AE157" i="18" s="1"/>
  <c r="R128" i="18"/>
  <c r="N39" i="11"/>
  <c r="O38" i="11"/>
  <c r="I18" i="8"/>
  <c r="P169" i="18" l="1"/>
  <c r="M169" i="18"/>
  <c r="P168" i="18"/>
  <c r="M168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<sst xmlns="http://schemas.openxmlformats.org/spreadsheetml/2006/main" count="574" uniqueCount="396">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</sst>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172" fontId="8" fillId="5" borderId="1" xfId="0" applyNumberFormat="1" applyFont="1" applyFill="1" applyBorder="1"/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68320"/>
        <c:axId val="102569856"/>
      </c:lineChart>
      <c:catAx>
        <c:axId val="102568320"/>
        <c:scaling>
          <c:orientation val="minMax"/>
        </c:scaling>
        <c:delete val="0"/>
        <c:axPos val="b"/>
        <c:majorTickMark val="out"/>
        <c:minorTickMark val="none"/>
        <c:tickLblPos val="nextTo"/>
        <c:crossAx val="102569856"/>
        <c:crosses val="autoZero"/>
        <c:auto val="1"/>
        <c:lblAlgn val="ctr"/>
        <c:lblOffset val="100"/>
        <c:noMultiLvlLbl val="0"/>
      </c:catAx>
      <c:valAx>
        <c:axId val="10256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256832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G200"/>
  <sheetViews>
    <sheetView tabSelected="1" zoomScale="80" zoomScaleNormal="80" workbookViewId="0">
      <pane xSplit="2" ySplit="3" topLeftCell="C154" activePane="bottomRight" state="frozen"/>
      <selection pane="topRight" activeCell="C1" sqref="C1"/>
      <selection pane="bottomLeft" activeCell="A5" sqref="A5"/>
      <selection pane="bottomRight" activeCell="P184" sqref="P184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83" t="s">
        <v>292</v>
      </c>
      <c r="AE2" s="184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5" t="s">
        <v>293</v>
      </c>
      <c r="AE3" s="186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33621</v>
      </c>
      <c r="H6" s="147">
        <v>36588</v>
      </c>
      <c r="I6" s="147">
        <v>44647</v>
      </c>
      <c r="J6" s="147">
        <v>63776</v>
      </c>
      <c r="K6" s="147">
        <v>81166</v>
      </c>
      <c r="L6" s="147">
        <v>107573</v>
      </c>
      <c r="M6" s="147">
        <v>128611</v>
      </c>
      <c r="N6" s="147">
        <v>145016</v>
      </c>
      <c r="O6" s="147">
        <v>162726</v>
      </c>
      <c r="P6" s="147">
        <v>179094</v>
      </c>
      <c r="Q6" s="118">
        <f>((P6/G6)^(1/($H$2-$H$1) ))-1</f>
        <v>0.20425632061319687</v>
      </c>
      <c r="R6" s="31">
        <f>$L$2</f>
        <v>0.12</v>
      </c>
      <c r="S6" s="154">
        <f>P6*(1+$R6)</f>
        <v>200585.28000000003</v>
      </c>
      <c r="T6" s="154">
        <f>S6*(1+$R6)</f>
        <v>224655.51360000006</v>
      </c>
      <c r="U6" s="154">
        <f t="shared" ref="U6:AB6" si="0">T6*(1+$R6)</f>
        <v>251614.1752320001</v>
      </c>
      <c r="V6" s="154">
        <f t="shared" si="0"/>
        <v>281807.87625984015</v>
      </c>
      <c r="W6" s="154">
        <f t="shared" si="0"/>
        <v>315624.821411021</v>
      </c>
      <c r="X6" s="154">
        <f t="shared" si="0"/>
        <v>353499.79998034355</v>
      </c>
      <c r="Y6" s="154">
        <f t="shared" si="0"/>
        <v>395919.77597798483</v>
      </c>
      <c r="Z6" s="154">
        <f t="shared" si="0"/>
        <v>443430.14909534308</v>
      </c>
      <c r="AA6" s="154">
        <f t="shared" si="0"/>
        <v>496641.76698678429</v>
      </c>
      <c r="AB6" s="154">
        <f t="shared" si="0"/>
        <v>556238.77902519843</v>
      </c>
      <c r="AC6" s="138">
        <f>((AB6/G6)^(1/($AB$3-$H$1) ))-1</f>
        <v>0.15914964669866638</v>
      </c>
      <c r="AD6" s="31">
        <f>$L$1</f>
        <v>0.08</v>
      </c>
      <c r="AE6" s="146">
        <f t="shared" ref="AE6:AE41" si="1">(AB6*(1+AD6))/($C$1-AD6)</f>
        <v>4290984.8667658167</v>
      </c>
    </row>
    <row r="7" spans="2:31" x14ac:dyDescent="0.2">
      <c r="B7" s="20" t="s">
        <v>240</v>
      </c>
      <c r="C7" s="141"/>
      <c r="D7" s="141"/>
      <c r="E7" s="147"/>
      <c r="F7" s="147"/>
      <c r="G7" s="147">
        <v>35017</v>
      </c>
      <c r="H7" s="147">
        <v>40711</v>
      </c>
      <c r="I7" s="147">
        <v>51018</v>
      </c>
      <c r="J7" s="147">
        <v>68209</v>
      </c>
      <c r="K7" s="147">
        <v>85500</v>
      </c>
      <c r="L7" s="147">
        <v>121246</v>
      </c>
      <c r="M7" s="147">
        <v>141002</v>
      </c>
      <c r="N7" s="147">
        <v>154083</v>
      </c>
      <c r="O7" s="147">
        <v>169445</v>
      </c>
      <c r="P7" s="147">
        <v>182055</v>
      </c>
      <c r="Q7" s="118">
        <f>((P7/G7)^(1/($H$2-$H$1) ))-1</f>
        <v>0.20101124855084529</v>
      </c>
      <c r="R7" s="31">
        <f>$L$2</f>
        <v>0.12</v>
      </c>
      <c r="S7" s="154">
        <f t="shared" ref="S7:S16" si="2">P7*(1+$R7)</f>
        <v>203901.6</v>
      </c>
      <c r="T7" s="154">
        <f t="shared" ref="T7:AB7" si="3">S7*(1+$R7)</f>
        <v>228369.79200000002</v>
      </c>
      <c r="U7" s="154">
        <f t="shared" si="3"/>
        <v>255774.16704000003</v>
      </c>
      <c r="V7" s="154">
        <f t="shared" si="3"/>
        <v>286467.06708480004</v>
      </c>
      <c r="W7" s="154">
        <f t="shared" si="3"/>
        <v>320843.11513497611</v>
      </c>
      <c r="X7" s="154">
        <f t="shared" si="3"/>
        <v>359344.28895117325</v>
      </c>
      <c r="Y7" s="154">
        <f t="shared" si="3"/>
        <v>402465.60362531408</v>
      </c>
      <c r="Z7" s="154">
        <f t="shared" si="3"/>
        <v>450761.47606035182</v>
      </c>
      <c r="AA7" s="154">
        <f t="shared" si="3"/>
        <v>504852.8531875941</v>
      </c>
      <c r="AB7" s="154">
        <f t="shared" si="3"/>
        <v>565435.19557010545</v>
      </c>
      <c r="AC7" s="138">
        <f>((AB7/G7)^(1/($AB$3-$H$1) ))-1</f>
        <v>0.15766903182227332</v>
      </c>
      <c r="AD7" s="31">
        <f>$L$1</f>
        <v>0.08</v>
      </c>
      <c r="AE7" s="146">
        <f t="shared" si="1"/>
        <v>4361928.651540813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0.13986391884257326</v>
      </c>
      <c r="I8" s="151">
        <f t="shared" ref="I8:P8" si="4">(I7-H7)/I7</f>
        <v>0.20202673566192325</v>
      </c>
      <c r="J8" s="151">
        <f t="shared" si="4"/>
        <v>0.25203418903663738</v>
      </c>
      <c r="K8" s="151">
        <f t="shared" si="4"/>
        <v>0.20223391812865496</v>
      </c>
      <c r="L8" s="151">
        <f t="shared" si="4"/>
        <v>0.29482209722382596</v>
      </c>
      <c r="M8" s="151">
        <f t="shared" si="4"/>
        <v>0.14011148778031518</v>
      </c>
      <c r="N8" s="151">
        <f t="shared" si="4"/>
        <v>8.4895802911417878E-2</v>
      </c>
      <c r="O8" s="151">
        <f t="shared" si="4"/>
        <v>9.0660686358405379E-2</v>
      </c>
      <c r="P8" s="151">
        <f t="shared" si="4"/>
        <v>6.9264782620636622E-2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>
        <v>13919</v>
      </c>
      <c r="H9" s="147">
        <v>18296</v>
      </c>
      <c r="I9" s="147">
        <v>17963</v>
      </c>
      <c r="J9" s="147">
        <v>25489</v>
      </c>
      <c r="K9" s="147">
        <v>32022</v>
      </c>
      <c r="L9" s="147">
        <v>46404</v>
      </c>
      <c r="M9" s="147">
        <v>50593</v>
      </c>
      <c r="N9" s="147">
        <v>65194</v>
      </c>
      <c r="O9" s="147">
        <v>72257</v>
      </c>
      <c r="P9" s="147">
        <v>84943</v>
      </c>
      <c r="Q9" s="118">
        <f t="shared" ref="Q9:Q16" si="5">((P9/G9)^(1/($H$2-$H$1) ))-1</f>
        <v>0.22258750000486716</v>
      </c>
      <c r="R9" s="31">
        <f t="shared" ref="R9:R38" si="6">$L$2</f>
        <v>0.12</v>
      </c>
      <c r="S9" s="154">
        <f t="shared" ref="S9" si="7">P9*(1+$R9)</f>
        <v>95136.16</v>
      </c>
      <c r="T9" s="154">
        <f t="shared" ref="T9" si="8">S9*(1+$R9)</f>
        <v>106552.49920000002</v>
      </c>
      <c r="U9" s="154">
        <f t="shared" ref="U9" si="9">T9*(1+$R9)</f>
        <v>119338.79910400003</v>
      </c>
      <c r="V9" s="154">
        <f t="shared" ref="V9" si="10">U9*(1+$R9)</f>
        <v>133659.45499648005</v>
      </c>
      <c r="W9" s="154">
        <f t="shared" ref="W9" si="11">V9*(1+$R9)</f>
        <v>149698.58959605766</v>
      </c>
      <c r="X9" s="154">
        <f t="shared" ref="X9" si="12">W9*(1+$R9)</f>
        <v>167662.42034758459</v>
      </c>
      <c r="Y9" s="154">
        <f t="shared" ref="Y9" si="13">X9*(1+$R9)</f>
        <v>187781.91078929475</v>
      </c>
      <c r="Z9" s="154">
        <f t="shared" ref="Z9" si="14">Y9*(1+$R9)</f>
        <v>210315.74008401015</v>
      </c>
      <c r="AA9" s="154">
        <f t="shared" ref="AA9" si="15">Z9*(1+$R9)</f>
        <v>235553.62889409138</v>
      </c>
      <c r="AB9" s="154">
        <f t="shared" ref="AB9" si="16">AA9*(1+$R9)</f>
        <v>263820.06436138239</v>
      </c>
      <c r="AC9" s="138">
        <f>((AB9/G9)^(1/($AB$3-$H$1) ))-1</f>
        <v>0.16747437565186574</v>
      </c>
      <c r="AD9" s="31">
        <f t="shared" ref="AD9:AD74" si="17">$L$1</f>
        <v>0.08</v>
      </c>
      <c r="AE9" s="146">
        <f t="shared" si="1"/>
        <v>2035183.3536449498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21016</v>
      </c>
      <c r="H10" s="147">
        <v>18817</v>
      </c>
      <c r="I10" s="147">
        <v>23342</v>
      </c>
      <c r="J10" s="147">
        <v>33651</v>
      </c>
      <c r="K10" s="147">
        <v>50696</v>
      </c>
      <c r="L10" s="147">
        <v>76256</v>
      </c>
      <c r="M10" s="147">
        <v>64605</v>
      </c>
      <c r="N10" s="147">
        <v>84106</v>
      </c>
      <c r="O10" s="147">
        <v>82635</v>
      </c>
      <c r="P10" s="147">
        <v>89322</v>
      </c>
      <c r="Q10" s="118">
        <f t="shared" si="5"/>
        <v>0.17441922845681557</v>
      </c>
      <c r="R10" s="31">
        <f t="shared" si="6"/>
        <v>0.12</v>
      </c>
      <c r="S10" s="154">
        <f t="shared" si="2"/>
        <v>100040.64000000001</v>
      </c>
      <c r="T10" s="154">
        <f t="shared" ref="T10:AB10" si="18">S10*(1+$R10)</f>
        <v>112045.51680000003</v>
      </c>
      <c r="U10" s="154">
        <f t="shared" si="18"/>
        <v>125490.97881600005</v>
      </c>
      <c r="V10" s="154">
        <f t="shared" si="18"/>
        <v>140549.89627392005</v>
      </c>
      <c r="W10" s="154">
        <f t="shared" si="18"/>
        <v>157415.88382679046</v>
      </c>
      <c r="X10" s="154">
        <f t="shared" si="18"/>
        <v>176305.78988600534</v>
      </c>
      <c r="Y10" s="154">
        <f t="shared" si="18"/>
        <v>197462.48467232601</v>
      </c>
      <c r="Z10" s="154">
        <f t="shared" si="18"/>
        <v>221157.98283300517</v>
      </c>
      <c r="AA10" s="154">
        <f t="shared" si="18"/>
        <v>247696.94077296581</v>
      </c>
      <c r="AB10" s="154">
        <f t="shared" si="18"/>
        <v>277420.57366572175</v>
      </c>
      <c r="AC10" s="138">
        <f t="shared" ref="AC10:AC40" si="19">((AB10/G10)^(1/($AB$3-$H$1) ))-1</f>
        <v>0.1454558317879171</v>
      </c>
      <c r="AD10" s="31">
        <f t="shared" si="17"/>
        <v>0.08</v>
      </c>
      <c r="AE10" s="146">
        <f t="shared" si="1"/>
        <v>2140101.5682784249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-0.11686241164904076</v>
      </c>
      <c r="I11" s="148">
        <f t="shared" si="20"/>
        <v>0.19385656756062034</v>
      </c>
      <c r="J11" s="148">
        <f t="shared" si="20"/>
        <v>0.30635047992630232</v>
      </c>
      <c r="K11" s="148">
        <f t="shared" si="20"/>
        <v>0.33621982010415025</v>
      </c>
      <c r="L11" s="148">
        <f t="shared" si="20"/>
        <v>0.33518673940411248</v>
      </c>
      <c r="M11" s="148">
        <f t="shared" si="20"/>
        <v>-0.18034207878647163</v>
      </c>
      <c r="N11" s="148">
        <f t="shared" si="20"/>
        <v>0.2318621739233824</v>
      </c>
      <c r="O11" s="148">
        <f t="shared" si="20"/>
        <v>-1.780117383675198E-2</v>
      </c>
      <c r="P11" s="148">
        <f t="shared" si="20"/>
        <v>7.4863975280446027E-2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270</v>
      </c>
      <c r="H12" s="147">
        <v>385</v>
      </c>
      <c r="I12" s="147">
        <v>259</v>
      </c>
      <c r="J12" s="147">
        <v>409</v>
      </c>
      <c r="K12" s="147">
        <v>388</v>
      </c>
      <c r="L12" s="147">
        <v>805.31</v>
      </c>
      <c r="M12" s="147">
        <v>664</v>
      </c>
      <c r="N12" s="147">
        <v>874</v>
      </c>
      <c r="O12" s="147">
        <v>1446</v>
      </c>
      <c r="P12" s="147">
        <v>50456</v>
      </c>
      <c r="Q12" s="118">
        <f t="shared" si="5"/>
        <v>0.78811044192930235</v>
      </c>
      <c r="R12" s="31">
        <f t="shared" si="6"/>
        <v>0.12</v>
      </c>
      <c r="S12" s="154">
        <f t="shared" si="2"/>
        <v>56510.720000000008</v>
      </c>
      <c r="T12" s="154">
        <f t="shared" ref="T12:AB12" si="21">S12*(1+$R12)</f>
        <v>63292.006400000013</v>
      </c>
      <c r="U12" s="154">
        <f t="shared" si="21"/>
        <v>70887.047168000019</v>
      </c>
      <c r="V12" s="154">
        <f t="shared" si="21"/>
        <v>79393.49282816003</v>
      </c>
      <c r="W12" s="154">
        <f t="shared" si="21"/>
        <v>88920.711967539246</v>
      </c>
      <c r="X12" s="154">
        <f t="shared" si="21"/>
        <v>99591.197403643964</v>
      </c>
      <c r="Y12" s="154">
        <f t="shared" si="21"/>
        <v>111542.14109208125</v>
      </c>
      <c r="Z12" s="154">
        <f t="shared" si="21"/>
        <v>124927.19802313102</v>
      </c>
      <c r="AA12" s="154">
        <f t="shared" si="21"/>
        <v>139918.46178590675</v>
      </c>
      <c r="AB12" s="154">
        <f t="shared" si="21"/>
        <v>156708.67720021558</v>
      </c>
      <c r="AC12" s="138">
        <f t="shared" si="19"/>
        <v>0.39784634690625764</v>
      </c>
      <c r="AD12" s="31">
        <f t="shared" si="17"/>
        <v>0.08</v>
      </c>
      <c r="AE12" s="146">
        <f t="shared" si="1"/>
        <v>1208895.5098302343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18428</v>
      </c>
      <c r="H13" s="147">
        <v>23083</v>
      </c>
      <c r="I13" s="147">
        <v>6666</v>
      </c>
      <c r="J13" s="147">
        <v>5268</v>
      </c>
      <c r="K13" s="147">
        <v>9522</v>
      </c>
      <c r="L13" s="147">
        <v>6435</v>
      </c>
      <c r="M13" s="147">
        <v>9138</v>
      </c>
      <c r="N13" s="147">
        <v>16963</v>
      </c>
      <c r="O13" s="147">
        <v>38596</v>
      </c>
      <c r="P13" s="147">
        <v>42848</v>
      </c>
      <c r="Q13" s="118">
        <f t="shared" si="5"/>
        <v>9.8289743649686123E-2</v>
      </c>
      <c r="R13" s="31">
        <f t="shared" si="6"/>
        <v>0.12</v>
      </c>
      <c r="S13" s="154">
        <f t="shared" si="2"/>
        <v>47989.760000000002</v>
      </c>
      <c r="T13" s="154">
        <f t="shared" ref="T13:AB13" si="22">S13*(1+$R13)</f>
        <v>53748.531200000005</v>
      </c>
      <c r="U13" s="154">
        <f t="shared" si="22"/>
        <v>60198.354944000013</v>
      </c>
      <c r="V13" s="154">
        <f t="shared" si="22"/>
        <v>67422.157537280014</v>
      </c>
      <c r="W13" s="154">
        <f t="shared" si="22"/>
        <v>75512.816441753617</v>
      </c>
      <c r="X13" s="154">
        <f t="shared" si="22"/>
        <v>84574.354414764064</v>
      </c>
      <c r="Y13" s="154">
        <f t="shared" si="22"/>
        <v>94723.276944535755</v>
      </c>
      <c r="Z13" s="154">
        <f t="shared" si="22"/>
        <v>106090.07017788006</v>
      </c>
      <c r="AA13" s="154">
        <f t="shared" si="22"/>
        <v>118820.87859922567</v>
      </c>
      <c r="AB13" s="154">
        <f t="shared" si="22"/>
        <v>133079.38403113277</v>
      </c>
      <c r="AC13" s="138">
        <f t="shared" si="19"/>
        <v>0.10966321192545525</v>
      </c>
      <c r="AD13" s="31">
        <f t="shared" si="17"/>
        <v>0.08</v>
      </c>
      <c r="AE13" s="146">
        <f t="shared" si="1"/>
        <v>1026612.3910973099</v>
      </c>
    </row>
    <row r="14" spans="2:31" x14ac:dyDescent="0.2">
      <c r="B14" s="20" t="s">
        <v>374</v>
      </c>
      <c r="C14" s="141"/>
      <c r="D14" s="141"/>
      <c r="E14" s="147"/>
      <c r="F14" s="147"/>
      <c r="G14" s="147">
        <v>7231</v>
      </c>
      <c r="H14" s="147">
        <v>7412</v>
      </c>
      <c r="I14" s="147">
        <v>10345</v>
      </c>
      <c r="J14" s="147">
        <v>12456</v>
      </c>
      <c r="K14" s="147">
        <v>19126</v>
      </c>
      <c r="L14" s="147">
        <v>20109</v>
      </c>
      <c r="M14" s="147">
        <v>34393</v>
      </c>
      <c r="N14" s="147">
        <v>38519</v>
      </c>
      <c r="O14" s="147">
        <v>46692</v>
      </c>
      <c r="P14" s="147">
        <v>54601</v>
      </c>
      <c r="Q14" s="118">
        <f t="shared" ref="Q14" si="23">((P14/G14)^(1/($H$2-$H$1) ))-1</f>
        <v>0.25186011828072252</v>
      </c>
      <c r="R14" s="31">
        <f t="shared" si="6"/>
        <v>0.12</v>
      </c>
      <c r="S14" s="154">
        <f t="shared" ref="S14" si="24">P14*(1+$R14)</f>
        <v>61153.120000000003</v>
      </c>
      <c r="T14" s="154">
        <f t="shared" ref="T14" si="25">S14*(1+$R14)</f>
        <v>68491.494400000011</v>
      </c>
      <c r="U14" s="154">
        <f t="shared" ref="U14" si="26">T14*(1+$R14)</f>
        <v>76710.473728000026</v>
      </c>
      <c r="V14" s="154">
        <f t="shared" ref="V14" si="27">U14*(1+$R14)</f>
        <v>85915.730575360038</v>
      </c>
      <c r="W14" s="154">
        <f t="shared" ref="W14" si="28">V14*(1+$R14)</f>
        <v>96225.618244403246</v>
      </c>
      <c r="X14" s="154">
        <f t="shared" ref="X14" si="29">W14*(1+$R14)</f>
        <v>107772.69243373164</v>
      </c>
      <c r="Y14" s="154">
        <f t="shared" ref="Y14" si="30">X14*(1+$R14)</f>
        <v>120705.41552577945</v>
      </c>
      <c r="Z14" s="154">
        <f t="shared" ref="Z14" si="31">Y14*(1+$R14)</f>
        <v>135190.06538887299</v>
      </c>
      <c r="AA14" s="154">
        <f t="shared" ref="AA14" si="32">Z14*(1+$R14)</f>
        <v>151412.87323553776</v>
      </c>
      <c r="AB14" s="154">
        <f t="shared" ref="AB14" si="33">AA14*(1+$R14)</f>
        <v>169582.41802380231</v>
      </c>
      <c r="AC14" s="138">
        <f t="shared" ref="AC14" si="34">((AB14/G14)^(1/($AB$3-$H$1) ))-1</f>
        <v>0.18063285958843456</v>
      </c>
      <c r="AD14" s="31">
        <f t="shared" si="17"/>
        <v>0.08</v>
      </c>
      <c r="AE14" s="146">
        <f t="shared" ref="AE14" si="35">(AB14*(1+AD14))/($C$1-AD14)</f>
        <v>1308207.2247550464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10773</v>
      </c>
      <c r="H15" s="147">
        <v>11726</v>
      </c>
      <c r="I15" s="147">
        <v>14956</v>
      </c>
      <c r="J15" s="147">
        <v>16697</v>
      </c>
      <c r="K15" s="147">
        <v>25583</v>
      </c>
      <c r="L15" s="147">
        <v>59842</v>
      </c>
      <c r="M15" s="147">
        <v>74104</v>
      </c>
      <c r="N15" s="147">
        <v>104119</v>
      </c>
      <c r="O15" s="147">
        <v>124916</v>
      </c>
      <c r="P15" s="147">
        <v>136070</v>
      </c>
      <c r="Q15" s="118">
        <f t="shared" si="5"/>
        <v>0.32550275918844718</v>
      </c>
      <c r="R15" s="31">
        <f t="shared" si="6"/>
        <v>0.12</v>
      </c>
      <c r="S15" s="154">
        <f t="shared" si="2"/>
        <v>152398.40000000002</v>
      </c>
      <c r="T15" s="154">
        <f t="shared" ref="T15:AB15" si="36">S15*(1+$R15)</f>
        <v>170686.20800000004</v>
      </c>
      <c r="U15" s="154">
        <f t="shared" si="36"/>
        <v>191168.55296000006</v>
      </c>
      <c r="V15" s="154">
        <f t="shared" si="36"/>
        <v>214108.77931520008</v>
      </c>
      <c r="W15" s="154">
        <f t="shared" si="36"/>
        <v>239801.83283302412</v>
      </c>
      <c r="X15" s="154">
        <f t="shared" si="36"/>
        <v>268578.05277298705</v>
      </c>
      <c r="Y15" s="154">
        <f t="shared" si="36"/>
        <v>300807.4191057455</v>
      </c>
      <c r="Z15" s="154">
        <f t="shared" si="36"/>
        <v>336904.309398435</v>
      </c>
      <c r="AA15" s="154">
        <f t="shared" si="36"/>
        <v>377332.82652624726</v>
      </c>
      <c r="AB15" s="154">
        <f t="shared" si="36"/>
        <v>422612.76570939698</v>
      </c>
      <c r="AC15" s="138">
        <f t="shared" si="19"/>
        <v>0.21303685910260106</v>
      </c>
      <c r="AD15" s="31">
        <f t="shared" si="17"/>
        <v>0.08</v>
      </c>
      <c r="AE15" s="146">
        <f t="shared" si="1"/>
        <v>3260155.6211867766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2360</v>
      </c>
      <c r="H16" s="147">
        <v>1702</v>
      </c>
      <c r="I16" s="147">
        <v>2968</v>
      </c>
      <c r="J16" s="147">
        <v>5873</v>
      </c>
      <c r="K16" s="147">
        <v>16823</v>
      </c>
      <c r="L16" s="147">
        <v>10322</v>
      </c>
      <c r="M16" s="147">
        <v>19815</v>
      </c>
      <c r="N16" s="147">
        <v>34194</v>
      </c>
      <c r="O16" s="147">
        <v>47845</v>
      </c>
      <c r="P16" s="147">
        <v>46039</v>
      </c>
      <c r="Q16" s="118">
        <f t="shared" si="5"/>
        <v>0.39109598661837897</v>
      </c>
      <c r="R16" s="31">
        <f t="shared" si="6"/>
        <v>0.12</v>
      </c>
      <c r="S16" s="154">
        <f t="shared" si="2"/>
        <v>51563.680000000008</v>
      </c>
      <c r="T16" s="154">
        <f t="shared" ref="T16:AB16" si="37">S16*(1+$R16)</f>
        <v>57751.321600000017</v>
      </c>
      <c r="U16" s="154">
        <f t="shared" si="37"/>
        <v>64681.480192000025</v>
      </c>
      <c r="V16" s="154">
        <f t="shared" si="37"/>
        <v>72443.257815040037</v>
      </c>
      <c r="W16" s="154">
        <f t="shared" si="37"/>
        <v>81136.448752844852</v>
      </c>
      <c r="X16" s="154">
        <f t="shared" si="37"/>
        <v>90872.822603186243</v>
      </c>
      <c r="Y16" s="154">
        <f t="shared" si="37"/>
        <v>101777.5613155686</v>
      </c>
      <c r="Z16" s="154">
        <f t="shared" si="37"/>
        <v>113990.86867343684</v>
      </c>
      <c r="AA16" s="154">
        <f t="shared" si="37"/>
        <v>127669.77291424928</v>
      </c>
      <c r="AB16" s="154">
        <f t="shared" si="37"/>
        <v>142990.14566395921</v>
      </c>
      <c r="AC16" s="138">
        <f t="shared" si="19"/>
        <v>0.24110983200006642</v>
      </c>
      <c r="AD16" s="31">
        <f t="shared" si="17"/>
        <v>0.08</v>
      </c>
      <c r="AE16" s="146">
        <f t="shared" si="1"/>
        <v>1103066.8379791139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/>
      <c r="G18" s="147">
        <v>31855</v>
      </c>
      <c r="H18" s="147">
        <v>30254</v>
      </c>
      <c r="I18" s="147">
        <v>56290</v>
      </c>
      <c r="J18" s="147">
        <v>64822</v>
      </c>
      <c r="K18" s="147">
        <v>64061</v>
      </c>
      <c r="L18" s="147">
        <v>107044</v>
      </c>
      <c r="M18" s="147">
        <v>160191</v>
      </c>
      <c r="N18" s="147">
        <v>158099</v>
      </c>
      <c r="O18" s="147">
        <v>157682</v>
      </c>
      <c r="P18" s="147">
        <v>166248</v>
      </c>
      <c r="Q18" s="118">
        <f>((P18/G18)^(1/($H$2-$H$1) ))-1</f>
        <v>0.20151993279274949</v>
      </c>
      <c r="R18" s="31">
        <f t="shared" si="6"/>
        <v>0.12</v>
      </c>
      <c r="S18" s="154">
        <f t="shared" ref="S18:S34" si="38">P18*(1+$R18)</f>
        <v>186197.76000000001</v>
      </c>
      <c r="T18" s="154">
        <f t="shared" ref="T18:T34" si="39">S18*(1+$R18)</f>
        <v>208541.49120000002</v>
      </c>
      <c r="U18" s="154">
        <f t="shared" ref="U18:U34" si="40">T18*(1+$R18)</f>
        <v>233566.47014400005</v>
      </c>
      <c r="V18" s="154">
        <f t="shared" ref="V18:V34" si="41">U18*(1+$R18)</f>
        <v>261594.44656128009</v>
      </c>
      <c r="W18" s="154">
        <f t="shared" ref="W18:W36" si="42">V18*(1+$R18)</f>
        <v>292985.7801486337</v>
      </c>
      <c r="X18" s="154">
        <f t="shared" ref="X18:X36" si="43">W18*(1+$R18)</f>
        <v>328144.07376646978</v>
      </c>
      <c r="Y18" s="154">
        <f t="shared" ref="Y18:Y36" si="44">X18*(1+$R18)</f>
        <v>367521.36261844618</v>
      </c>
      <c r="Z18" s="154">
        <f t="shared" ref="Z18:Z36" si="45">Y18*(1+$R18)</f>
        <v>411623.92613265978</v>
      </c>
      <c r="AA18" s="154">
        <f t="shared" ref="AA18:AA36" si="46">Z18*(1+$R18)</f>
        <v>461018.79726857902</v>
      </c>
      <c r="AB18" s="154">
        <f t="shared" ref="AB18:AB36" si="47">AA18*(1+$R18)</f>
        <v>516341.05294080853</v>
      </c>
      <c r="AC18" s="138">
        <f t="shared" si="19"/>
        <v>0.15790126600005916</v>
      </c>
      <c r="AD18" s="31">
        <f t="shared" si="17"/>
        <v>0.08</v>
      </c>
      <c r="AE18" s="146">
        <f t="shared" si="1"/>
        <v>3983202.4084005225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/>
      <c r="G20" s="147">
        <v>11668</v>
      </c>
      <c r="H20" s="147">
        <v>17305</v>
      </c>
      <c r="I20" s="147">
        <v>10273</v>
      </c>
      <c r="J20" s="147">
        <v>16748</v>
      </c>
      <c r="K20" s="147">
        <v>16233</v>
      </c>
      <c r="L20" s="147">
        <v>16287</v>
      </c>
      <c r="M20" s="147">
        <v>20494</v>
      </c>
      <c r="N20" s="147">
        <v>33338</v>
      </c>
      <c r="O20" s="147">
        <v>24483</v>
      </c>
      <c r="P20" s="147">
        <v>36918</v>
      </c>
      <c r="Q20" s="118">
        <f>((P20/G20)^(1/($H$2-$H$1) ))-1</f>
        <v>0.13653395738299268</v>
      </c>
      <c r="R20" s="31">
        <f t="shared" si="6"/>
        <v>0.12</v>
      </c>
      <c r="S20" s="154">
        <f t="shared" ref="S20:S22" si="48">P20*(1+$R20)</f>
        <v>41348.160000000003</v>
      </c>
      <c r="T20" s="154">
        <f t="shared" ref="T20:T22" si="49">S20*(1+$R20)</f>
        <v>46309.939200000008</v>
      </c>
      <c r="U20" s="154">
        <f t="shared" ref="U20:U22" si="50">T20*(1+$R20)</f>
        <v>51867.131904000016</v>
      </c>
      <c r="V20" s="154">
        <f t="shared" ref="V20:V22" si="51">U20*(1+$R20)</f>
        <v>58091.187732480023</v>
      </c>
      <c r="W20" s="154">
        <f t="shared" ref="W20:W22" si="52">V20*(1+$R20)</f>
        <v>65062.130260377635</v>
      </c>
      <c r="X20" s="154">
        <f t="shared" ref="X20:X22" si="53">W20*(1+$R20)</f>
        <v>72869.585891622963</v>
      </c>
      <c r="Y20" s="154">
        <f t="shared" ref="Y20:Y22" si="54">X20*(1+$R20)</f>
        <v>81613.936198617725</v>
      </c>
      <c r="Z20" s="154">
        <f t="shared" ref="Z20:Z22" si="55">Y20*(1+$R20)</f>
        <v>91407.608542451853</v>
      </c>
      <c r="AA20" s="154">
        <f t="shared" ref="AA20:AA22" si="56">Z20*(1+$R20)</f>
        <v>102376.52156754608</v>
      </c>
      <c r="AB20" s="154">
        <f t="shared" ref="AB20:AB22" si="57">AA20*(1+$R20)</f>
        <v>114661.70415565162</v>
      </c>
      <c r="AC20" s="138">
        <f t="shared" ref="AC20:AC22" si="58">((AB20/G20)^(1/($AB$3-$H$1) ))-1</f>
        <v>0.12780167523673036</v>
      </c>
      <c r="AD20" s="31">
        <f t="shared" si="17"/>
        <v>0.08</v>
      </c>
      <c r="AE20" s="146">
        <f t="shared" si="1"/>
        <v>884533.14634359814</v>
      </c>
    </row>
    <row r="21" spans="2:31" x14ac:dyDescent="0.2">
      <c r="B21" s="20" t="s">
        <v>285</v>
      </c>
      <c r="C21" s="141"/>
      <c r="D21" s="141"/>
      <c r="E21" s="147"/>
      <c r="F21" s="147"/>
      <c r="G21" s="147">
        <v>-10500</v>
      </c>
      <c r="H21" s="147">
        <v>-8213</v>
      </c>
      <c r="I21" s="147">
        <v>-13189</v>
      </c>
      <c r="J21" s="147">
        <v>-29245</v>
      </c>
      <c r="K21" s="147">
        <v>-30425</v>
      </c>
      <c r="L21" s="147">
        <v>-23106</v>
      </c>
      <c r="M21" s="147">
        <v>-18230</v>
      </c>
      <c r="N21" s="147">
        <v>-32043</v>
      </c>
      <c r="O21" s="147">
        <v>-6301</v>
      </c>
      <c r="P21" s="147">
        <v>-27650</v>
      </c>
      <c r="Q21" s="118">
        <f>((P21/G21)^(1/($H$2-$H$1) ))-1</f>
        <v>0.11358371377139531</v>
      </c>
      <c r="R21" s="31">
        <f t="shared" si="6"/>
        <v>0.12</v>
      </c>
      <c r="S21" s="154">
        <f t="shared" si="48"/>
        <v>-30968.000000000004</v>
      </c>
      <c r="T21" s="154">
        <f t="shared" si="49"/>
        <v>-34684.160000000011</v>
      </c>
      <c r="U21" s="154">
        <f t="shared" si="50"/>
        <v>-38846.259200000015</v>
      </c>
      <c r="V21" s="154">
        <f t="shared" si="51"/>
        <v>-43507.810304000021</v>
      </c>
      <c r="W21" s="154">
        <f t="shared" si="52"/>
        <v>-48728.747540480028</v>
      </c>
      <c r="X21" s="154">
        <f t="shared" si="53"/>
        <v>-54576.197245337637</v>
      </c>
      <c r="Y21" s="154">
        <f t="shared" si="54"/>
        <v>-61125.340914778157</v>
      </c>
      <c r="Z21" s="154">
        <f t="shared" si="55"/>
        <v>-68460.381824551543</v>
      </c>
      <c r="AA21" s="154">
        <f t="shared" si="56"/>
        <v>-76675.627643497734</v>
      </c>
      <c r="AB21" s="154">
        <f t="shared" si="57"/>
        <v>-85876.702960717463</v>
      </c>
      <c r="AC21" s="138">
        <f t="shared" si="58"/>
        <v>0.11695611112333726</v>
      </c>
      <c r="AD21" s="31">
        <f t="shared" si="17"/>
        <v>0.08</v>
      </c>
      <c r="AE21" s="146">
        <f t="shared" si="1"/>
        <v>-662477.42283982038</v>
      </c>
    </row>
    <row r="22" spans="2:31" x14ac:dyDescent="0.2">
      <c r="B22" s="20" t="s">
        <v>286</v>
      </c>
      <c r="C22" s="141"/>
      <c r="D22" s="141"/>
      <c r="E22" s="147"/>
      <c r="F22" s="147"/>
      <c r="G22" s="147">
        <v>-1046</v>
      </c>
      <c r="H22" s="147">
        <v>-5706</v>
      </c>
      <c r="I22" s="147">
        <v>1916</v>
      </c>
      <c r="J22" s="147">
        <v>-10736</v>
      </c>
      <c r="K22" s="147">
        <v>16716</v>
      </c>
      <c r="L22" s="147">
        <v>25036</v>
      </c>
      <c r="M22" s="147">
        <v>-11133</v>
      </c>
      <c r="N22" s="147">
        <v>14949</v>
      </c>
      <c r="O22" s="147">
        <v>-7590</v>
      </c>
      <c r="P22" s="147">
        <v>408</v>
      </c>
      <c r="Q22" s="118">
        <f>((P22/G22)^(1/($H$2-$H$1) ))-1</f>
        <v>-1.9006785727531192</v>
      </c>
      <c r="R22" s="31">
        <f t="shared" si="6"/>
        <v>0.12</v>
      </c>
      <c r="S22" s="154">
        <f t="shared" si="48"/>
        <v>456.96000000000004</v>
      </c>
      <c r="T22" s="154">
        <f t="shared" si="49"/>
        <v>511.79520000000008</v>
      </c>
      <c r="U22" s="154">
        <f t="shared" si="50"/>
        <v>573.21062400000017</v>
      </c>
      <c r="V22" s="154">
        <f t="shared" si="51"/>
        <v>641.99589888000025</v>
      </c>
      <c r="W22" s="154">
        <f t="shared" si="52"/>
        <v>719.03540674560031</v>
      </c>
      <c r="X22" s="154">
        <f t="shared" si="53"/>
        <v>805.31965555507247</v>
      </c>
      <c r="Y22" s="154">
        <f t="shared" si="54"/>
        <v>901.95801422168131</v>
      </c>
      <c r="Z22" s="154">
        <f t="shared" si="55"/>
        <v>1010.1929759282832</v>
      </c>
      <c r="AA22" s="154">
        <f t="shared" si="56"/>
        <v>1131.4161330396773</v>
      </c>
      <c r="AB22" s="154">
        <f t="shared" si="57"/>
        <v>1267.1860690044387</v>
      </c>
      <c r="AC22" s="138">
        <f t="shared" si="58"/>
        <v>-2.0101472100747388</v>
      </c>
      <c r="AD22" s="31">
        <f t="shared" si="17"/>
        <v>0.08</v>
      </c>
      <c r="AE22" s="146">
        <f t="shared" si="1"/>
        <v>9775.435389462813</v>
      </c>
    </row>
    <row r="23" spans="2:31" x14ac:dyDescent="0.2">
      <c r="B23" s="20" t="s">
        <v>296</v>
      </c>
      <c r="C23" s="141"/>
      <c r="D23" s="141"/>
      <c r="E23" s="147"/>
      <c r="F23" s="147"/>
      <c r="G23" s="147">
        <v>270</v>
      </c>
      <c r="H23" s="147">
        <v>3610</v>
      </c>
      <c r="I23" s="147">
        <v>2616</v>
      </c>
      <c r="J23" s="147">
        <v>1937</v>
      </c>
      <c r="K23" s="147">
        <v>4474</v>
      </c>
      <c r="L23" s="147">
        <v>22742</v>
      </c>
      <c r="M23" s="147">
        <v>13890</v>
      </c>
      <c r="N23" s="147">
        <v>30139</v>
      </c>
      <c r="O23" s="147">
        <v>40731</v>
      </c>
      <c r="P23" s="147">
        <v>50456</v>
      </c>
      <c r="Q23" s="118">
        <f>((P23/G23)^(1/($H$2-$H$1) ))-1</f>
        <v>0.78811044192930235</v>
      </c>
      <c r="R23" s="31">
        <f t="shared" si="6"/>
        <v>0.12</v>
      </c>
      <c r="S23" s="154">
        <f t="shared" ref="S23" si="59">P23*(1+$R23)</f>
        <v>56510.720000000008</v>
      </c>
      <c r="T23" s="154">
        <f t="shared" ref="T23" si="60">S23*(1+$R23)</f>
        <v>63292.006400000013</v>
      </c>
      <c r="U23" s="154">
        <f t="shared" ref="U23" si="61">T23*(1+$R23)</f>
        <v>70887.047168000019</v>
      </c>
      <c r="V23" s="154">
        <f t="shared" ref="V23" si="62">U23*(1+$R23)</f>
        <v>79393.49282816003</v>
      </c>
      <c r="W23" s="154">
        <f t="shared" ref="W23" si="63">V23*(1+$R23)</f>
        <v>88920.711967539246</v>
      </c>
      <c r="X23" s="154">
        <f t="shared" ref="X23" si="64">W23*(1+$R23)</f>
        <v>99591.197403643964</v>
      </c>
      <c r="Y23" s="154">
        <f t="shared" ref="Y23" si="65">X23*(1+$R23)</f>
        <v>111542.14109208125</v>
      </c>
      <c r="Z23" s="154">
        <f t="shared" ref="Z23" si="66">Y23*(1+$R23)</f>
        <v>124927.19802313102</v>
      </c>
      <c r="AA23" s="154">
        <f t="shared" ref="AA23" si="67">Z23*(1+$R23)</f>
        <v>139918.46178590675</v>
      </c>
      <c r="AB23" s="154">
        <f t="shared" ref="AB23" si="68">AA23*(1+$R23)</f>
        <v>156708.67720021558</v>
      </c>
      <c r="AC23" s="138">
        <f t="shared" ref="AC23" si="69">((AB23/G23)^(1/($AB$3-$H$1) ))-1</f>
        <v>0.39784634690625764</v>
      </c>
      <c r="AD23" s="31">
        <f t="shared" si="17"/>
        <v>0.08</v>
      </c>
      <c r="AE23" s="146">
        <f t="shared" si="1"/>
        <v>1208895.5098302343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52943</v>
      </c>
      <c r="H25" s="147">
        <v>67592</v>
      </c>
      <c r="I25" s="147">
        <v>85777</v>
      </c>
      <c r="J25" s="147">
        <v>114796</v>
      </c>
      <c r="K25" s="147">
        <v>145990</v>
      </c>
      <c r="L25" s="147">
        <v>154900</v>
      </c>
      <c r="M25" s="147">
        <v>220855</v>
      </c>
      <c r="N25" s="147">
        <v>272772</v>
      </c>
      <c r="O25" s="147">
        <v>367257</v>
      </c>
      <c r="P25" s="147">
        <v>409883</v>
      </c>
      <c r="Q25" s="118">
        <f>((P25/G25)^(1/($H$2-$H$1) ))-1</f>
        <v>0.25533969592264438</v>
      </c>
      <c r="R25" s="31">
        <f t="shared" si="6"/>
        <v>0.12</v>
      </c>
      <c r="S25" s="154">
        <f t="shared" si="38"/>
        <v>459068.96</v>
      </c>
      <c r="T25" s="154">
        <f t="shared" si="39"/>
        <v>514157.23520000005</v>
      </c>
      <c r="U25" s="154">
        <f t="shared" si="40"/>
        <v>575856.10342400009</v>
      </c>
      <c r="V25" s="154">
        <f t="shared" si="41"/>
        <v>644958.83583488013</v>
      </c>
      <c r="W25" s="154">
        <f t="shared" si="42"/>
        <v>722353.89613506582</v>
      </c>
      <c r="X25" s="154">
        <f t="shared" si="43"/>
        <v>809036.36367127381</v>
      </c>
      <c r="Y25" s="154">
        <f t="shared" si="44"/>
        <v>906120.72731182678</v>
      </c>
      <c r="Z25" s="154">
        <f t="shared" si="45"/>
        <v>1014855.2145892461</v>
      </c>
      <c r="AA25" s="154">
        <f t="shared" si="46"/>
        <v>1136637.8403399556</v>
      </c>
      <c r="AB25" s="154">
        <f t="shared" si="47"/>
        <v>1273034.3811807504</v>
      </c>
      <c r="AC25" s="138">
        <f t="shared" si="19"/>
        <v>0.18218616612066341</v>
      </c>
      <c r="AD25" s="31">
        <f t="shared" si="17"/>
        <v>0.08</v>
      </c>
      <c r="AE25" s="146">
        <f t="shared" si="1"/>
        <v>9820550.940537218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0.21672683157770151</v>
      </c>
      <c r="I26" s="148">
        <f t="shared" ref="I26" si="70">(I25-H25)/I25</f>
        <v>0.21200321764575586</v>
      </c>
      <c r="J26" s="148">
        <f t="shared" ref="J26" si="71">(J25-I25)/J25</f>
        <v>0.25278755357329524</v>
      </c>
      <c r="K26" s="148">
        <f t="shared" ref="K26" si="72">(K25-J25)/K25</f>
        <v>0.21367216932666622</v>
      </c>
      <c r="L26" s="148">
        <f t="shared" ref="L26" si="73">(L25-K25)/L25</f>
        <v>5.7520981278244031E-2</v>
      </c>
      <c r="M26" s="148">
        <f t="shared" ref="M26" si="74">(M25-L25)/M25</f>
        <v>0.29863485092028708</v>
      </c>
      <c r="N26" s="148">
        <f t="shared" ref="N26" si="75">(N25-M25)/N25</f>
        <v>0.19033111902981245</v>
      </c>
      <c r="O26" s="148">
        <f t="shared" ref="O26" si="76">(O25-N25)/O25</f>
        <v>0.2572721554660633</v>
      </c>
      <c r="P26" s="148">
        <f t="shared" ref="P26" si="77">(P25-O25)/P25</f>
        <v>0.10399553043185494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/>
      <c r="G27" s="147">
        <v>41890</v>
      </c>
      <c r="H27" s="147">
        <v>53237</v>
      </c>
      <c r="I27" s="147">
        <v>70298</v>
      </c>
      <c r="J27" s="147">
        <v>93894</v>
      </c>
      <c r="K27" s="147">
        <v>116707</v>
      </c>
      <c r="L27" s="147">
        <v>129232</v>
      </c>
      <c r="M27" s="147">
        <v>179153</v>
      </c>
      <c r="N27" s="147">
        <v>232169</v>
      </c>
      <c r="O27" s="147">
        <v>326554</v>
      </c>
      <c r="P27" s="147">
        <v>368971</v>
      </c>
      <c r="Q27" s="118">
        <f>((P27/G27)^(1/($H$2-$H$1) ))-1</f>
        <v>0.27346459383452504</v>
      </c>
      <c r="R27" s="31">
        <f t="shared" si="6"/>
        <v>0.12</v>
      </c>
      <c r="S27" s="154">
        <f t="shared" si="38"/>
        <v>413247.52</v>
      </c>
      <c r="T27" s="154">
        <f t="shared" si="39"/>
        <v>462837.22240000009</v>
      </c>
      <c r="U27" s="154">
        <f t="shared" si="40"/>
        <v>518377.68908800016</v>
      </c>
      <c r="V27" s="154">
        <f t="shared" si="41"/>
        <v>580583.01177856023</v>
      </c>
      <c r="W27" s="154">
        <f t="shared" si="42"/>
        <v>650252.97319198749</v>
      </c>
      <c r="X27" s="154">
        <f t="shared" si="43"/>
        <v>728283.32997502608</v>
      </c>
      <c r="Y27" s="154">
        <f t="shared" si="44"/>
        <v>815677.3295720293</v>
      </c>
      <c r="Z27" s="154">
        <f t="shared" si="45"/>
        <v>913558.60912067292</v>
      </c>
      <c r="AA27" s="154">
        <f t="shared" si="46"/>
        <v>1023185.6422151538</v>
      </c>
      <c r="AB27" s="154">
        <f t="shared" si="47"/>
        <v>1145967.9192809723</v>
      </c>
      <c r="AC27" s="138">
        <f t="shared" si="19"/>
        <v>0.19024083858829144</v>
      </c>
      <c r="AD27" s="31">
        <f t="shared" si="17"/>
        <v>0.08</v>
      </c>
      <c r="AE27" s="146">
        <f t="shared" si="1"/>
        <v>8840323.9487389289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0.21314123635817195</v>
      </c>
      <c r="I28" s="148">
        <f t="shared" si="78"/>
        <v>0.24269538251443853</v>
      </c>
      <c r="J28" s="148">
        <f t="shared" si="78"/>
        <v>0.25130466270475216</v>
      </c>
      <c r="K28" s="148">
        <f t="shared" si="78"/>
        <v>0.1954724223911162</v>
      </c>
      <c r="L28" s="148">
        <f t="shared" si="78"/>
        <v>9.6918719821715987E-2</v>
      </c>
      <c r="M28" s="148">
        <f t="shared" si="78"/>
        <v>0.27865009237913962</v>
      </c>
      <c r="N28" s="148">
        <f t="shared" ref="N28" si="79">(N27-M27)/N27</f>
        <v>0.22835089956023413</v>
      </c>
      <c r="O28" s="148">
        <f t="shared" ref="O28" si="80">(O27-N27)/O27</f>
        <v>0.28903336048555522</v>
      </c>
      <c r="P28" s="148">
        <f t="shared" ref="P28" si="81">(P27-O27)/P27</f>
        <v>0.11496025432893101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/>
      <c r="G29" s="147">
        <v>1464</v>
      </c>
      <c r="H29" s="147">
        <v>1492</v>
      </c>
      <c r="I29" s="147">
        <v>951</v>
      </c>
      <c r="J29" s="147">
        <v>1345</v>
      </c>
      <c r="K29" s="147">
        <v>1257</v>
      </c>
      <c r="L29" s="147">
        <v>2133</v>
      </c>
      <c r="M29" s="147">
        <v>2063</v>
      </c>
      <c r="N29" s="147">
        <v>2413</v>
      </c>
      <c r="O29" s="147">
        <v>2894</v>
      </c>
      <c r="P29" s="147">
        <v>2643</v>
      </c>
      <c r="Q29" s="118">
        <f>((P29/G29)^(1/($H$2-$H$1) ))-1</f>
        <v>6.7840115190894945E-2</v>
      </c>
      <c r="R29" s="31">
        <f t="shared" si="6"/>
        <v>0.12</v>
      </c>
      <c r="S29" s="154">
        <f t="shared" ref="S29" si="82">P29*(1+$R29)</f>
        <v>2960.1600000000003</v>
      </c>
      <c r="T29" s="154">
        <f t="shared" ref="T29" si="83">S29*(1+$R29)</f>
        <v>3315.3792000000008</v>
      </c>
      <c r="U29" s="154">
        <f t="shared" ref="U29" si="84">T29*(1+$R29)</f>
        <v>3713.2247040000011</v>
      </c>
      <c r="V29" s="154">
        <f t="shared" ref="V29" si="85">U29*(1+$R29)</f>
        <v>4158.8116684800016</v>
      </c>
      <c r="W29" s="154">
        <f t="shared" ref="W29" si="86">V29*(1+$R29)</f>
        <v>4657.8690686976024</v>
      </c>
      <c r="X29" s="154">
        <f t="shared" ref="X29" si="87">W29*(1+$R29)</f>
        <v>5216.8133569413149</v>
      </c>
      <c r="Y29" s="154">
        <f t="shared" ref="Y29" si="88">X29*(1+$R29)</f>
        <v>5842.8309597742727</v>
      </c>
      <c r="Z29" s="154">
        <f t="shared" ref="Z29" si="89">Y29*(1+$R29)</f>
        <v>6543.9706749471861</v>
      </c>
      <c r="AA29" s="154">
        <f t="shared" ref="AA29" si="90">Z29*(1+$R29)</f>
        <v>7329.2471559408496</v>
      </c>
      <c r="AB29" s="154">
        <f t="shared" ref="AB29" si="91">AA29*(1+$R29)</f>
        <v>8208.7568146537524</v>
      </c>
      <c r="AC29" s="138">
        <f t="shared" ref="AC29" si="92">((AB29/G29)^(1/($AB$3-$H$1) ))-1</f>
        <v>9.4982489998012509E-2</v>
      </c>
      <c r="AD29" s="31">
        <f t="shared" si="17"/>
        <v>0.08</v>
      </c>
      <c r="AE29" s="146">
        <f t="shared" ref="AE29" si="93">(AB29*(1+AD29))/($C$1-AD29)</f>
        <v>63324.695427328952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1.876675603217158E-2</v>
      </c>
      <c r="I30" s="148">
        <f t="shared" si="94"/>
        <v>-0.56887486855941116</v>
      </c>
      <c r="J30" s="148">
        <f t="shared" si="94"/>
        <v>0.29293680297397767</v>
      </c>
      <c r="K30" s="148">
        <f t="shared" si="94"/>
        <v>-7.0007955449482892E-2</v>
      </c>
      <c r="L30" s="148">
        <f t="shared" si="94"/>
        <v>0.41068917018284107</v>
      </c>
      <c r="M30" s="148">
        <f t="shared" ref="M30" si="95">(M29-L29)/M29</f>
        <v>-3.3931168201648085E-2</v>
      </c>
      <c r="N30" s="148">
        <f t="shared" ref="N30" si="96">(N29-M29)/N29</f>
        <v>0.14504765851636967</v>
      </c>
      <c r="O30" s="148">
        <f t="shared" ref="O30" si="97">(O29-N29)/O29</f>
        <v>0.16620594333102973</v>
      </c>
      <c r="P30" s="148">
        <f t="shared" ref="P30" si="98">(P29-O29)/P29</f>
        <v>-9.4967839576239124E-2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 x14ac:dyDescent="0.2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 x14ac:dyDescent="0.2">
      <c r="B33" s="20" t="s">
        <v>317</v>
      </c>
      <c r="C33" s="141"/>
      <c r="D33" s="141"/>
      <c r="E33" s="147"/>
      <c r="F33" s="147"/>
      <c r="G33" s="147">
        <v>36186</v>
      </c>
      <c r="H33" s="147">
        <v>47418</v>
      </c>
      <c r="I33" s="147">
        <v>60564</v>
      </c>
      <c r="J33" s="147">
        <v>81815</v>
      </c>
      <c r="K33" s="147">
        <v>103564</v>
      </c>
      <c r="L33" s="147">
        <v>117294</v>
      </c>
      <c r="M33" s="147">
        <v>164277</v>
      </c>
      <c r="N33" s="147">
        <v>212677</v>
      </c>
      <c r="O33" s="147">
        <v>304978</v>
      </c>
      <c r="P33" s="147">
        <v>341489</v>
      </c>
      <c r="Q33" s="118">
        <f>((P33/G33)^(1/($H$2-$H$1) ))-1</f>
        <v>0.28326138701732262</v>
      </c>
      <c r="R33" s="31">
        <f t="shared" si="6"/>
        <v>0.12</v>
      </c>
      <c r="S33" s="154">
        <f t="shared" si="38"/>
        <v>382467.68000000005</v>
      </c>
      <c r="T33" s="154">
        <f t="shared" si="39"/>
        <v>428363.80160000012</v>
      </c>
      <c r="U33" s="154">
        <f t="shared" si="40"/>
        <v>479767.4577920002</v>
      </c>
      <c r="V33" s="154">
        <f t="shared" si="41"/>
        <v>537339.55272704025</v>
      </c>
      <c r="W33" s="154">
        <f t="shared" si="42"/>
        <v>601820.29905428516</v>
      </c>
      <c r="X33" s="154">
        <f t="shared" si="43"/>
        <v>674038.73494079942</v>
      </c>
      <c r="Y33" s="154">
        <f t="shared" si="44"/>
        <v>754923.38313369546</v>
      </c>
      <c r="Z33" s="154">
        <f t="shared" si="45"/>
        <v>845514.18910973903</v>
      </c>
      <c r="AA33" s="154">
        <f t="shared" si="46"/>
        <v>946975.8918029078</v>
      </c>
      <c r="AB33" s="154">
        <f t="shared" si="47"/>
        <v>1060612.9988192569</v>
      </c>
      <c r="AC33" s="138">
        <f t="shared" si="19"/>
        <v>0.19456940555564484</v>
      </c>
      <c r="AD33" s="31">
        <f t="shared" si="17"/>
        <v>0.08</v>
      </c>
      <c r="AE33" s="146">
        <f t="shared" si="1"/>
        <v>8181871.7051771246</v>
      </c>
    </row>
    <row r="34" spans="2:31" x14ac:dyDescent="0.2">
      <c r="B34" s="20" t="s">
        <v>309</v>
      </c>
      <c r="C34" s="141"/>
      <c r="D34" s="141"/>
      <c r="E34" s="147"/>
      <c r="F34" s="147"/>
      <c r="G34" s="147">
        <v>725</v>
      </c>
      <c r="H34" s="147">
        <v>907</v>
      </c>
      <c r="I34" s="147">
        <v>1146</v>
      </c>
      <c r="J34" s="147">
        <v>2262</v>
      </c>
      <c r="K34" s="147">
        <v>2108</v>
      </c>
      <c r="L34" s="147">
        <v>3848</v>
      </c>
      <c r="M34" s="147">
        <v>3140</v>
      </c>
      <c r="N34" s="147">
        <v>2834</v>
      </c>
      <c r="O34" s="147">
        <v>4740</v>
      </c>
      <c r="P34" s="147">
        <v>7993</v>
      </c>
      <c r="Q34" s="118">
        <f>((P34/G34)^(1/($H$2-$H$1) ))-1</f>
        <v>0.30562690081920141</v>
      </c>
      <c r="R34" s="31">
        <f t="shared" si="6"/>
        <v>0.12</v>
      </c>
      <c r="S34" s="154">
        <f t="shared" si="38"/>
        <v>8952.1600000000017</v>
      </c>
      <c r="T34" s="154">
        <f t="shared" si="39"/>
        <v>10026.419200000002</v>
      </c>
      <c r="U34" s="154">
        <f t="shared" si="40"/>
        <v>11229.589504000003</v>
      </c>
      <c r="V34" s="154">
        <f t="shared" si="41"/>
        <v>12577.140244480004</v>
      </c>
      <c r="W34" s="154">
        <f t="shared" si="42"/>
        <v>14086.397073817607</v>
      </c>
      <c r="X34" s="154">
        <f t="shared" si="43"/>
        <v>15776.764722675722</v>
      </c>
      <c r="Y34" s="154">
        <f t="shared" si="44"/>
        <v>17669.976489396809</v>
      </c>
      <c r="Z34" s="154">
        <f t="shared" si="45"/>
        <v>19790.37366812443</v>
      </c>
      <c r="AA34" s="154">
        <f t="shared" si="46"/>
        <v>22165.218508299364</v>
      </c>
      <c r="AB34" s="154">
        <f t="shared" si="47"/>
        <v>24825.044729295289</v>
      </c>
      <c r="AC34" s="138">
        <f t="shared" si="19"/>
        <v>0.20438654888952401</v>
      </c>
      <c r="AD34" s="31">
        <f t="shared" si="17"/>
        <v>0.08</v>
      </c>
      <c r="AE34" s="146">
        <f t="shared" si="1"/>
        <v>191507.4879117065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/>
      <c r="G36" s="147">
        <v>9577</v>
      </c>
      <c r="H36" s="147">
        <v>12703</v>
      </c>
      <c r="I36" s="147">
        <v>14512</v>
      </c>
      <c r="J36" s="147">
        <v>20578</v>
      </c>
      <c r="K36" s="147">
        <v>22335</v>
      </c>
      <c r="L36" s="147">
        <v>24372</v>
      </c>
      <c r="M36" s="147">
        <v>30252</v>
      </c>
      <c r="N36" s="147">
        <v>38004</v>
      </c>
      <c r="O36" s="147">
        <v>34819</v>
      </c>
      <c r="P36" s="147">
        <v>33045</v>
      </c>
      <c r="Q36" s="118">
        <f>((P36/G36)^(1/($H$2-$H$1) ))-1</f>
        <v>0.14752995164664484</v>
      </c>
      <c r="R36" s="31">
        <f t="shared" si="6"/>
        <v>0.12</v>
      </c>
      <c r="S36" s="154">
        <f t="shared" ref="S36" si="102">P36*(1+$R36)</f>
        <v>37010.400000000001</v>
      </c>
      <c r="T36" s="154">
        <f t="shared" ref="T36" si="103">S36*(1+$R36)</f>
        <v>41451.648000000008</v>
      </c>
      <c r="U36" s="154">
        <f t="shared" ref="U36" si="104">T36*(1+$R36)</f>
        <v>46425.845760000011</v>
      </c>
      <c r="V36" s="154">
        <f t="shared" ref="V36" si="105">U36*(1+$R36)</f>
        <v>51996.947251200014</v>
      </c>
      <c r="W36" s="154">
        <f t="shared" si="42"/>
        <v>58236.580921344022</v>
      </c>
      <c r="X36" s="154">
        <f t="shared" si="43"/>
        <v>65224.970631905315</v>
      </c>
      <c r="Y36" s="154">
        <f t="shared" si="44"/>
        <v>73051.967107733959</v>
      </c>
      <c r="Z36" s="154">
        <f t="shared" si="45"/>
        <v>81818.203160662044</v>
      </c>
      <c r="AA36" s="154">
        <f t="shared" si="46"/>
        <v>91636.387539941497</v>
      </c>
      <c r="AB36" s="154">
        <f t="shared" si="47"/>
        <v>102632.75404473448</v>
      </c>
      <c r="AC36" s="138">
        <f t="shared" si="19"/>
        <v>0.13295718966327574</v>
      </c>
      <c r="AD36" s="31">
        <f t="shared" si="17"/>
        <v>0.08</v>
      </c>
      <c r="AE36" s="146">
        <f t="shared" si="1"/>
        <v>791738.38834509451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0.2460836022986696</v>
      </c>
      <c r="I37" s="148">
        <f t="shared" ref="I37" si="108">(I36-H36)/I36</f>
        <v>0.12465545755237045</v>
      </c>
      <c r="J37" s="148">
        <f t="shared" ref="J37" si="109">(J36-I36)/J36</f>
        <v>0.29478083390028187</v>
      </c>
      <c r="K37" s="148">
        <f t="shared" ref="K37" si="110">(K36-J36)/K36</f>
        <v>7.8665771211103644E-2</v>
      </c>
      <c r="L37" s="148">
        <f t="shared" ref="L37" si="111">(L36-K36)/L36</f>
        <v>8.3579517479074342E-2</v>
      </c>
      <c r="M37" s="148">
        <f t="shared" ref="M37" si="112">(M36-L36)/M36</f>
        <v>0.19436731455771519</v>
      </c>
      <c r="N37" s="148">
        <f t="shared" ref="N37" si="113">(N36-M36)/N36</f>
        <v>0.20397852857593937</v>
      </c>
      <c r="O37" s="148">
        <f t="shared" ref="O37" si="114">(O36-N36)/O36</f>
        <v>-9.1473046325282178E-2</v>
      </c>
      <c r="P37" s="148">
        <f t="shared" ref="P37" si="115">(P36-O36)/P36</f>
        <v>-5.368436979875927E-2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/>
      <c r="G38" s="147">
        <v>5168</v>
      </c>
      <c r="H38" s="147">
        <v>7628</v>
      </c>
      <c r="I38" s="147">
        <v>9394</v>
      </c>
      <c r="J38" s="147">
        <v>12074</v>
      </c>
      <c r="K38" s="147">
        <v>19523</v>
      </c>
      <c r="L38" s="147">
        <v>14950</v>
      </c>
      <c r="M38" s="147">
        <v>24423</v>
      </c>
      <c r="N38" s="147">
        <v>19271</v>
      </c>
      <c r="O38" s="147">
        <v>19717</v>
      </c>
      <c r="P38" s="147">
        <v>20886</v>
      </c>
      <c r="Q38" s="118">
        <f>((P38/G38)^(1/($H$2-$H$1) ))-1</f>
        <v>0.16786469528719095</v>
      </c>
      <c r="R38" s="31">
        <f t="shared" si="6"/>
        <v>0.12</v>
      </c>
      <c r="S38" s="154">
        <f>P38*(1+$R38)</f>
        <v>23392.320000000003</v>
      </c>
      <c r="T38" s="154">
        <f t="shared" ref="T38:AB38" si="116">S38*(1+$R38)</f>
        <v>26199.398400000005</v>
      </c>
      <c r="U38" s="154">
        <f t="shared" si="116"/>
        <v>29343.32620800001</v>
      </c>
      <c r="V38" s="154">
        <f t="shared" si="116"/>
        <v>32864.525352960016</v>
      </c>
      <c r="W38" s="154">
        <f t="shared" si="116"/>
        <v>36808.268395315223</v>
      </c>
      <c r="X38" s="154">
        <f t="shared" si="116"/>
        <v>41225.260602753056</v>
      </c>
      <c r="Y38" s="154">
        <f t="shared" si="116"/>
        <v>46172.291875083429</v>
      </c>
      <c r="Z38" s="154">
        <f t="shared" si="116"/>
        <v>51712.966900093445</v>
      </c>
      <c r="AA38" s="154">
        <f t="shared" si="116"/>
        <v>57918.522928104663</v>
      </c>
      <c r="AB38" s="154">
        <f t="shared" si="116"/>
        <v>64868.74567947723</v>
      </c>
      <c r="AC38" s="138">
        <f t="shared" si="19"/>
        <v>0.14242316240602859</v>
      </c>
      <c r="AD38" s="31">
        <f t="shared" si="17"/>
        <v>0.08</v>
      </c>
      <c r="AE38" s="146">
        <f t="shared" si="1"/>
        <v>500416.03809882433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1</v>
      </c>
      <c r="H39" s="148">
        <f t="shared" ref="H39:P39" si="117">(H38-G38)/H38</f>
        <v>0.32249606712113266</v>
      </c>
      <c r="I39" s="148">
        <f t="shared" si="117"/>
        <v>0.18799233553331915</v>
      </c>
      <c r="J39" s="148">
        <f t="shared" si="117"/>
        <v>0.22196455192976644</v>
      </c>
      <c r="K39" s="148">
        <f t="shared" si="117"/>
        <v>0.38154996670593661</v>
      </c>
      <c r="L39" s="148">
        <f t="shared" si="117"/>
        <v>-0.30588628762541809</v>
      </c>
      <c r="M39" s="148">
        <f t="shared" si="117"/>
        <v>0.38787208778610327</v>
      </c>
      <c r="N39" s="148">
        <f t="shared" si="117"/>
        <v>-0.26734471485652017</v>
      </c>
      <c r="O39" s="148">
        <f t="shared" si="117"/>
        <v>2.262007404777603E-2</v>
      </c>
      <c r="P39" s="148">
        <f t="shared" si="117"/>
        <v>5.5970506559417793E-2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79">
        <v>139.63</v>
      </c>
      <c r="G40" s="179">
        <v>139.63</v>
      </c>
      <c r="H40" s="179">
        <v>139.35</v>
      </c>
      <c r="I40" s="179">
        <v>139.35</v>
      </c>
      <c r="J40" s="179">
        <v>139.35</v>
      </c>
      <c r="K40" s="179">
        <v>145.36000000000001</v>
      </c>
      <c r="L40" s="179">
        <v>145.36000000000001</v>
      </c>
      <c r="M40" s="179">
        <v>297.8</v>
      </c>
      <c r="N40" s="179">
        <v>298.10000000000002</v>
      </c>
      <c r="O40" s="179">
        <v>297.87</v>
      </c>
      <c r="P40" s="179">
        <v>293.63</v>
      </c>
      <c r="Q40" s="118">
        <f>((P40/G40)^(1/($H$2-$H$1) ))-1</f>
        <v>8.6098156005066206E-2</v>
      </c>
      <c r="R40" s="31">
        <v>0.09</v>
      </c>
      <c r="S40" s="154">
        <f>P40*(1+$R40)</f>
        <v>320.05670000000003</v>
      </c>
      <c r="T40" s="154">
        <f t="shared" ref="T40:AB40" si="118">S40*(1+$R40)</f>
        <v>348.86180300000007</v>
      </c>
      <c r="U40" s="154">
        <f t="shared" si="118"/>
        <v>380.2593652700001</v>
      </c>
      <c r="V40" s="154">
        <f t="shared" si="118"/>
        <v>414.48270814430015</v>
      </c>
      <c r="W40" s="154">
        <f t="shared" si="118"/>
        <v>451.78615187728718</v>
      </c>
      <c r="X40" s="154">
        <f t="shared" si="118"/>
        <v>492.44690554624304</v>
      </c>
      <c r="Y40" s="154">
        <f t="shared" si="118"/>
        <v>536.767127045405</v>
      </c>
      <c r="Z40" s="154">
        <f t="shared" si="118"/>
        <v>585.07616847949146</v>
      </c>
      <c r="AA40" s="154">
        <f t="shared" si="118"/>
        <v>637.73302364264578</v>
      </c>
      <c r="AB40" s="154">
        <f t="shared" si="118"/>
        <v>695.12899577048393</v>
      </c>
      <c r="AC40" s="138">
        <f t="shared" si="19"/>
        <v>8.8150013849998876E-2</v>
      </c>
      <c r="AD40" s="31">
        <f t="shared" si="17"/>
        <v>0.08</v>
      </c>
      <c r="AE40" s="146">
        <f t="shared" si="1"/>
        <v>5362.4236816580187</v>
      </c>
    </row>
    <row r="41" spans="2:31" x14ac:dyDescent="0.2">
      <c r="B41" s="20" t="s">
        <v>283</v>
      </c>
      <c r="C41" s="145"/>
      <c r="D41" s="145"/>
      <c r="E41" s="145"/>
      <c r="F41" s="147"/>
      <c r="G41" s="147">
        <v>5.25</v>
      </c>
      <c r="H41" s="147">
        <v>7.5</v>
      </c>
      <c r="I41" s="147">
        <v>10</v>
      </c>
      <c r="J41" s="147">
        <v>11</v>
      </c>
      <c r="K41" s="173">
        <v>13</v>
      </c>
      <c r="L41" s="173">
        <v>13</v>
      </c>
      <c r="M41" s="173">
        <v>7</v>
      </c>
      <c r="N41" s="173">
        <v>8</v>
      </c>
      <c r="O41" s="173">
        <v>8.5</v>
      </c>
      <c r="P41" s="147">
        <v>9</v>
      </c>
      <c r="Q41" s="118">
        <f>((P41/G41)^(1/($H$2-$H$1) ))-1</f>
        <v>6.1718158457117367E-2</v>
      </c>
      <c r="R41" s="31">
        <v>0.05</v>
      </c>
      <c r="S41" s="154">
        <f t="shared" ref="S41" si="119">P41*(1+$R41)</f>
        <v>9.4500000000000011</v>
      </c>
      <c r="T41" s="154">
        <f t="shared" ref="T41" si="120">S41*(1+$R41)</f>
        <v>9.9225000000000012</v>
      </c>
      <c r="U41" s="154">
        <f t="shared" ref="U41" si="121">T41*(1+$R41)</f>
        <v>10.418625000000002</v>
      </c>
      <c r="V41" s="154">
        <f t="shared" ref="V41" si="122">U41*(1+$R41)</f>
        <v>10.939556250000003</v>
      </c>
      <c r="W41" s="154">
        <f t="shared" ref="W41" si="123">V41*(1+$R41)</f>
        <v>11.486534062500002</v>
      </c>
      <c r="X41" s="154">
        <f t="shared" ref="X41" si="124">W41*(1+$R41)</f>
        <v>12.060860765625003</v>
      </c>
      <c r="Y41" s="154">
        <f t="shared" ref="Y41" si="125">X41*(1+$R41)</f>
        <v>12.663903803906255</v>
      </c>
      <c r="Z41" s="154">
        <f t="shared" ref="Z41" si="126">Y41*(1+$R41)</f>
        <v>13.297098994101567</v>
      </c>
      <c r="AA41" s="154">
        <f t="shared" ref="AA41" si="127">Z41*(1+$R41)</f>
        <v>13.961953943806646</v>
      </c>
      <c r="AB41" s="154">
        <f t="shared" ref="AB41" si="128">AA41*(1+$R41)</f>
        <v>14.660051640996979</v>
      </c>
      <c r="AC41" s="138">
        <f t="shared" ref="AC41" si="129">((AB41/G41)^(1/($AB$3-$H$1) ))-1</f>
        <v>5.553449678183342E-2</v>
      </c>
      <c r="AD41" s="31">
        <f t="shared" si="17"/>
        <v>0.08</v>
      </c>
      <c r="AE41" s="146">
        <f t="shared" si="1"/>
        <v>113.09182694483384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>
        <f t="shared" si="130"/>
        <v>379.16636825897012</v>
      </c>
      <c r="H44" s="133">
        <f t="shared" si="130"/>
        <v>485.05202726946538</v>
      </c>
      <c r="I44" s="133">
        <f t="shared" si="130"/>
        <v>615.55077143882318</v>
      </c>
      <c r="J44" s="133">
        <f t="shared" si="130"/>
        <v>823.79619662719779</v>
      </c>
      <c r="K44" s="133">
        <f t="shared" si="130"/>
        <v>1004.3340671436433</v>
      </c>
      <c r="L44" s="133">
        <f t="shared" si="130"/>
        <v>1065.6301596037424</v>
      </c>
      <c r="M44" s="133">
        <f t="shared" si="130"/>
        <v>741.62189388851573</v>
      </c>
      <c r="N44" s="133">
        <f t="shared" si="130"/>
        <v>915.03522307950345</v>
      </c>
      <c r="O44" s="133">
        <f t="shared" si="130"/>
        <v>1232.9439017020848</v>
      </c>
      <c r="P44" s="133">
        <f t="shared" si="130"/>
        <v>1395.9166297721622</v>
      </c>
      <c r="Q44" s="118">
        <f>((P44/G44)^(1/($H$2-$H$1) ))-1</f>
        <v>0.15582527139175872</v>
      </c>
      <c r="R44" s="128"/>
      <c r="S44" s="158">
        <f t="shared" ref="S44:AB44" si="131">S25/S40</f>
        <v>1434.3363535273593</v>
      </c>
      <c r="T44" s="158">
        <f t="shared" si="131"/>
        <v>1473.813500872149</v>
      </c>
      <c r="U44" s="158">
        <f t="shared" si="131"/>
        <v>1514.3771752080795</v>
      </c>
      <c r="V44" s="158">
        <f t="shared" si="131"/>
        <v>1556.0572809477515</v>
      </c>
      <c r="W44" s="158">
        <f t="shared" si="131"/>
        <v>1598.8845455609924</v>
      </c>
      <c r="X44" s="158">
        <f t="shared" si="131"/>
        <v>1642.890542227809</v>
      </c>
      <c r="Y44" s="158">
        <f t="shared" si="131"/>
        <v>1688.1077131148127</v>
      </c>
      <c r="Z44" s="158">
        <f t="shared" si="131"/>
        <v>1734.5693932922848</v>
      </c>
      <c r="AA44" s="158">
        <f t="shared" si="131"/>
        <v>1782.3098353095033</v>
      </c>
      <c r="AB44" s="158">
        <f t="shared" si="131"/>
        <v>1831.3642344464624</v>
      </c>
      <c r="AC44" s="138">
        <f t="shared" ref="AC44" si="132">((AB44/G44)^(1/($AB$3-$H$1) ))-1</f>
        <v>8.6418371615834433E-2</v>
      </c>
      <c r="AD44" s="31">
        <f t="shared" si="17"/>
        <v>0.08</v>
      </c>
      <c r="AE44" s="146">
        <f t="shared" ref="AE44:AE45" si="133">(AB44*(1+AD44))/($C$1-AD44)</f>
        <v>14127.666951444138</v>
      </c>
    </row>
    <row r="45" spans="2:31" x14ac:dyDescent="0.2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>
        <f t="shared" si="134"/>
        <v>300.00716178471674</v>
      </c>
      <c r="H45" s="133">
        <f t="shared" si="134"/>
        <v>382.03803372802298</v>
      </c>
      <c r="I45" s="133">
        <f t="shared" si="134"/>
        <v>504.47075708647293</v>
      </c>
      <c r="J45" s="133">
        <f t="shared" si="134"/>
        <v>673.79978471474703</v>
      </c>
      <c r="K45" s="133">
        <f t="shared" si="134"/>
        <v>802.88249862410555</v>
      </c>
      <c r="L45" s="133">
        <f t="shared" si="134"/>
        <v>889.04788112272968</v>
      </c>
      <c r="M45" s="133">
        <f t="shared" si="134"/>
        <v>601.58831430490261</v>
      </c>
      <c r="N45" s="133">
        <f t="shared" si="134"/>
        <v>778.82925192888285</v>
      </c>
      <c r="O45" s="133">
        <f t="shared" si="134"/>
        <v>1096.2970423339041</v>
      </c>
      <c r="P45" s="133">
        <f t="shared" si="134"/>
        <v>1256.5848176276265</v>
      </c>
      <c r="Q45" s="118">
        <f>((P45/G45)^(1/($H$2-$H$1) ))-1</f>
        <v>0.17251335599227802</v>
      </c>
      <c r="R45" s="128"/>
      <c r="S45" s="158">
        <f t="shared" ref="S45:AB45" si="135">S27/S40</f>
        <v>1291.1697208650842</v>
      </c>
      <c r="T45" s="158">
        <f t="shared" si="135"/>
        <v>1326.7065021732976</v>
      </c>
      <c r="U45" s="158">
        <f t="shared" si="135"/>
        <v>1363.2213600312782</v>
      </c>
      <c r="V45" s="158">
        <f t="shared" si="135"/>
        <v>1400.7412139770934</v>
      </c>
      <c r="W45" s="158">
        <f t="shared" si="135"/>
        <v>1439.2937244535269</v>
      </c>
      <c r="X45" s="158">
        <f t="shared" si="135"/>
        <v>1478.9073131999546</v>
      </c>
      <c r="Y45" s="158">
        <f t="shared" si="135"/>
        <v>1519.6111842054577</v>
      </c>
      <c r="Z45" s="158">
        <f t="shared" si="135"/>
        <v>1561.4353452386356</v>
      </c>
      <c r="AA45" s="158">
        <f t="shared" si="135"/>
        <v>1604.4106299699743</v>
      </c>
      <c r="AB45" s="158">
        <f t="shared" si="135"/>
        <v>1648.5687207030928</v>
      </c>
      <c r="AC45" s="138">
        <f t="shared" ref="AC45" si="136">((AB45/G45)^(1/($AB$3-$H$1) ))-1</f>
        <v>9.3820542607984336E-2</v>
      </c>
      <c r="AD45" s="31">
        <f t="shared" si="17"/>
        <v>0.08</v>
      </c>
      <c r="AE45" s="146">
        <f t="shared" si="133"/>
        <v>12717.530131138144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>
        <f t="shared" si="137"/>
        <v>37.012103416171314</v>
      </c>
      <c r="H47" s="133">
        <f t="shared" si="137"/>
        <v>54.739863652673129</v>
      </c>
      <c r="I47" s="133">
        <f t="shared" si="137"/>
        <v>67.412988876928594</v>
      </c>
      <c r="J47" s="133">
        <f t="shared" si="137"/>
        <v>86.645138141370651</v>
      </c>
      <c r="K47" s="133">
        <f t="shared" si="137"/>
        <v>134.30792515134837</v>
      </c>
      <c r="L47" s="133">
        <f t="shared" si="137"/>
        <v>102.84810126582278</v>
      </c>
      <c r="M47" s="133">
        <f t="shared" si="137"/>
        <v>82.011417058428478</v>
      </c>
      <c r="N47" s="133">
        <f t="shared" si="137"/>
        <v>64.646091915464609</v>
      </c>
      <c r="O47" s="133">
        <f t="shared" si="137"/>
        <v>66.193305804545602</v>
      </c>
      <c r="P47" s="133">
        <f t="shared" si="137"/>
        <v>71.130334093927729</v>
      </c>
      <c r="Q47" s="118">
        <f>((P47/G47)^(1/($H$2-$H$1) ))-1</f>
        <v>7.5284668176661018E-2</v>
      </c>
      <c r="R47" s="128"/>
      <c r="S47" s="158">
        <f t="shared" ref="S47:AB47" si="138">S38/S40</f>
        <v>73.0880497111918</v>
      </c>
      <c r="T47" s="158">
        <f t="shared" si="138"/>
        <v>75.099647409664968</v>
      </c>
      <c r="U47" s="158">
        <f t="shared" si="138"/>
        <v>77.16661018240805</v>
      </c>
      <c r="V47" s="158">
        <f t="shared" si="138"/>
        <v>79.290461838804603</v>
      </c>
      <c r="W47" s="158">
        <f t="shared" si="138"/>
        <v>81.472768127946026</v>
      </c>
      <c r="X47" s="158">
        <f t="shared" si="138"/>
        <v>83.715137892935374</v>
      </c>
      <c r="Y47" s="158">
        <f t="shared" si="138"/>
        <v>86.01922425696111</v>
      </c>
      <c r="Z47" s="158">
        <f t="shared" si="138"/>
        <v>88.386725842015096</v>
      </c>
      <c r="AA47" s="158">
        <f t="shared" si="138"/>
        <v>90.819388021153117</v>
      </c>
      <c r="AB47" s="158">
        <f t="shared" si="138"/>
        <v>93.31900420522156</v>
      </c>
      <c r="AC47" s="138">
        <f t="shared" ref="AC47:AC61" si="139">((AB47/G47)^(1/($AB$3-$H$1) ))-1</f>
        <v>4.9876531604319041E-2</v>
      </c>
      <c r="AD47" s="31">
        <f t="shared" si="17"/>
        <v>0.08</v>
      </c>
      <c r="AE47" s="146">
        <f t="shared" ref="AE47:AE75" si="140">(AB47*(1+AD47))/($C$1-AD47)</f>
        <v>719.88946101170916</v>
      </c>
    </row>
    <row r="48" spans="2:31" x14ac:dyDescent="0.2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0</v>
      </c>
      <c r="G48" s="133">
        <f>G20/G40</f>
        <v>83.563704075055512</v>
      </c>
      <c r="H48" s="133">
        <f t="shared" ref="H48:P48" si="142">H20/H40</f>
        <v>124.18371008252602</v>
      </c>
      <c r="I48" s="133">
        <f t="shared" si="142"/>
        <v>73.720846788661646</v>
      </c>
      <c r="J48" s="133">
        <f t="shared" si="142"/>
        <v>120.18658055256549</v>
      </c>
      <c r="K48" s="133">
        <f t="shared" si="142"/>
        <v>111.67446340121077</v>
      </c>
      <c r="L48" s="133">
        <f t="shared" si="142"/>
        <v>112.04595487066592</v>
      </c>
      <c r="M48" s="133">
        <f t="shared" si="142"/>
        <v>68.817998656816656</v>
      </c>
      <c r="N48" s="133">
        <f t="shared" si="142"/>
        <v>111.83495471318349</v>
      </c>
      <c r="O48" s="133">
        <f t="shared" si="142"/>
        <v>82.193574378084392</v>
      </c>
      <c r="P48" s="133">
        <f t="shared" si="142"/>
        <v>125.72965977590846</v>
      </c>
      <c r="Q48" s="118">
        <f>((P48/G48)^(1/($H$2-$H$1) ))-1</f>
        <v>4.6437608883751036E-2</v>
      </c>
      <c r="R48" s="128"/>
      <c r="S48" s="133">
        <f t="shared" ref="S48:AB48" si="143">S20/S40</f>
        <v>129.19010912753896</v>
      </c>
      <c r="T48" s="133">
        <f t="shared" si="143"/>
        <v>132.7458002044437</v>
      </c>
      <c r="U48" s="133">
        <f t="shared" si="143"/>
        <v>136.39935433851096</v>
      </c>
      <c r="V48" s="133">
        <f t="shared" si="143"/>
        <v>140.15346500837825</v>
      </c>
      <c r="W48" s="133">
        <f t="shared" si="143"/>
        <v>144.01089982512261</v>
      </c>
      <c r="X48" s="133">
        <f t="shared" si="143"/>
        <v>147.97450257260306</v>
      </c>
      <c r="Y48" s="133">
        <f t="shared" si="143"/>
        <v>152.04719530395911</v>
      </c>
      <c r="Z48" s="133">
        <f t="shared" si="143"/>
        <v>156.2319804958112</v>
      </c>
      <c r="AA48" s="133">
        <f t="shared" si="143"/>
        <v>160.53194326175094</v>
      </c>
      <c r="AB48" s="133">
        <f t="shared" si="143"/>
        <v>164.95025362675327</v>
      </c>
      <c r="AC48" s="138">
        <f t="shared" ref="AC48" si="144">((AB48/G48)^(1/($AB$3-$H$1) ))-1</f>
        <v>3.6439517421352097E-2</v>
      </c>
      <c r="AD48" s="31">
        <f t="shared" si="17"/>
        <v>0.08</v>
      </c>
      <c r="AE48" s="146">
        <f t="shared" si="140"/>
        <v>1272.4733851206679</v>
      </c>
    </row>
    <row r="49" spans="2:31" x14ac:dyDescent="0.2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0</v>
      </c>
      <c r="G49" s="133">
        <f t="shared" si="145"/>
        <v>250.78421542648428</v>
      </c>
      <c r="H49" s="133">
        <f t="shared" si="145"/>
        <v>292.14926444205241</v>
      </c>
      <c r="I49" s="133">
        <f t="shared" si="145"/>
        <v>366.11410118406889</v>
      </c>
      <c r="J49" s="133">
        <f t="shared" si="145"/>
        <v>489.47972730534627</v>
      </c>
      <c r="K49" s="133">
        <f t="shared" si="145"/>
        <v>588.19482663731424</v>
      </c>
      <c r="L49" s="133">
        <f t="shared" si="145"/>
        <v>834.10842047330755</v>
      </c>
      <c r="M49" s="133">
        <f t="shared" si="145"/>
        <v>473.47884486232368</v>
      </c>
      <c r="N49" s="133">
        <f t="shared" si="145"/>
        <v>516.88359610868827</v>
      </c>
      <c r="O49" s="133">
        <f t="shared" si="145"/>
        <v>568.85554100782224</v>
      </c>
      <c r="P49" s="133">
        <f t="shared" si="145"/>
        <v>620.01498484487286</v>
      </c>
      <c r="Q49" s="118">
        <f>((P49/G49)^(1/($H$2-$H$1) ))-1</f>
        <v>0.10580359787043325</v>
      </c>
      <c r="R49" s="128"/>
      <c r="S49" s="158">
        <f t="shared" ref="S49:AB49" si="146">S7/S40</f>
        <v>637.07961745528212</v>
      </c>
      <c r="T49" s="158">
        <f t="shared" si="146"/>
        <v>654.6139188531339</v>
      </c>
      <c r="U49" s="158">
        <f t="shared" si="146"/>
        <v>672.6308157023027</v>
      </c>
      <c r="V49" s="158">
        <f t="shared" si="146"/>
        <v>691.14359044640275</v>
      </c>
      <c r="W49" s="158">
        <f t="shared" si="146"/>
        <v>710.16589110089092</v>
      </c>
      <c r="X49" s="158">
        <f t="shared" si="146"/>
        <v>729.71174131467694</v>
      </c>
      <c r="Y49" s="158">
        <f t="shared" si="146"/>
        <v>749.79555070865877</v>
      </c>
      <c r="Z49" s="158">
        <f t="shared" si="146"/>
        <v>770.43212549880548</v>
      </c>
      <c r="AA49" s="158">
        <f t="shared" si="146"/>
        <v>791.63667941161657</v>
      </c>
      <c r="AB49" s="158">
        <f t="shared" si="146"/>
        <v>813.42484490000982</v>
      </c>
      <c r="AC49" s="138">
        <f t="shared" si="139"/>
        <v>6.3887347412980633E-2</v>
      </c>
      <c r="AD49" s="31">
        <f t="shared" si="17"/>
        <v>0.08</v>
      </c>
      <c r="AE49" s="146">
        <f t="shared" si="140"/>
        <v>6274.9916606572187</v>
      </c>
    </row>
    <row r="50" spans="2:31" x14ac:dyDescent="0.2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0</v>
      </c>
      <c r="G50" s="144">
        <f t="shared" si="147"/>
        <v>240.78636396189933</v>
      </c>
      <c r="H50" s="144">
        <f t="shared" si="147"/>
        <v>262.56189451022607</v>
      </c>
      <c r="I50" s="144">
        <f t="shared" si="147"/>
        <v>320.39468963042697</v>
      </c>
      <c r="J50" s="144">
        <f t="shared" si="147"/>
        <v>457.66774309293146</v>
      </c>
      <c r="K50" s="144">
        <f t="shared" si="147"/>
        <v>558.37919647771048</v>
      </c>
      <c r="L50" s="144">
        <f t="shared" si="147"/>
        <v>740.04540451293337</v>
      </c>
      <c r="M50" s="144">
        <f t="shared" si="147"/>
        <v>431.87038280725318</v>
      </c>
      <c r="N50" s="144">
        <f t="shared" si="147"/>
        <v>486.46762831264675</v>
      </c>
      <c r="O50" s="144">
        <f t="shared" si="147"/>
        <v>546.29872091852144</v>
      </c>
      <c r="P50" s="144">
        <f t="shared" si="147"/>
        <v>609.93086537479144</v>
      </c>
      <c r="Q50" s="118">
        <f>((P50/G50)^(1/($H$2-$H$1) ))-1</f>
        <v>0.10879142364327832</v>
      </c>
      <c r="R50" s="128"/>
      <c r="S50" s="157">
        <f t="shared" ref="S50:AB50" si="148">S6/S40</f>
        <v>626.71795341262975</v>
      </c>
      <c r="T50" s="157">
        <f t="shared" si="148"/>
        <v>643.96707139646355</v>
      </c>
      <c r="U50" s="157">
        <f t="shared" si="148"/>
        <v>661.69093574682495</v>
      </c>
      <c r="V50" s="157">
        <f t="shared" si="148"/>
        <v>679.9026128774716</v>
      </c>
      <c r="W50" s="157">
        <f t="shared" si="148"/>
        <v>698.61552882822775</v>
      </c>
      <c r="X50" s="157">
        <f t="shared" si="148"/>
        <v>717.84347916294962</v>
      </c>
      <c r="Y50" s="157">
        <f t="shared" si="148"/>
        <v>737.60063913991155</v>
      </c>
      <c r="Z50" s="157">
        <f t="shared" si="148"/>
        <v>757.90157416211105</v>
      </c>
      <c r="AA50" s="157">
        <f t="shared" si="148"/>
        <v>778.76125051519659</v>
      </c>
      <c r="AB50" s="157">
        <f t="shared" si="148"/>
        <v>800.19504640093601</v>
      </c>
      <c r="AC50" s="138">
        <f t="shared" si="139"/>
        <v>6.5248019064451102E-2</v>
      </c>
      <c r="AD50" s="31">
        <f t="shared" si="17"/>
        <v>0.08</v>
      </c>
      <c r="AE50" s="146">
        <f t="shared" si="140"/>
        <v>6172.9332150929349</v>
      </c>
    </row>
    <row r="51" spans="2:31" x14ac:dyDescent="0.2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0</v>
      </c>
      <c r="G51" s="144">
        <f t="shared" si="149"/>
        <v>150.51206760724773</v>
      </c>
      <c r="H51" s="144">
        <f t="shared" si="149"/>
        <v>135.0340868317187</v>
      </c>
      <c r="I51" s="144">
        <f t="shared" si="149"/>
        <v>167.50627915321135</v>
      </c>
      <c r="J51" s="144">
        <f t="shared" si="149"/>
        <v>241.48546824542521</v>
      </c>
      <c r="K51" s="144">
        <f t="shared" si="149"/>
        <v>348.76169510181614</v>
      </c>
      <c r="L51" s="144">
        <f t="shared" si="149"/>
        <v>524.60099064391852</v>
      </c>
      <c r="M51" s="144">
        <f t="shared" si="149"/>
        <v>216.94089993284084</v>
      </c>
      <c r="N51" s="144">
        <f t="shared" si="149"/>
        <v>282.14022140221402</v>
      </c>
      <c r="O51" s="144">
        <f t="shared" si="149"/>
        <v>277.41967972605499</v>
      </c>
      <c r="P51" s="144">
        <f t="shared" si="149"/>
        <v>304.19916221094576</v>
      </c>
      <c r="Q51" s="118">
        <f>((P51/G51)^(1/($H$2-$H$1) ))-1</f>
        <v>8.1319604460627914E-2</v>
      </c>
      <c r="R51" s="128"/>
      <c r="S51" s="157">
        <f t="shared" ref="S51:AB51" si="150">S10/S40</f>
        <v>312.57161621675158</v>
      </c>
      <c r="T51" s="157">
        <f t="shared" si="150"/>
        <v>321.1745047364787</v>
      </c>
      <c r="U51" s="157">
        <f t="shared" si="150"/>
        <v>330.0141700044552</v>
      </c>
      <c r="V51" s="157">
        <f t="shared" si="150"/>
        <v>339.09712881191723</v>
      </c>
      <c r="W51" s="157">
        <f t="shared" si="150"/>
        <v>348.43007731132781</v>
      </c>
      <c r="X51" s="157">
        <f t="shared" si="150"/>
        <v>358.019895952924</v>
      </c>
      <c r="Y51" s="157">
        <f t="shared" si="150"/>
        <v>367.87365455713297</v>
      </c>
      <c r="Z51" s="157">
        <f t="shared" si="150"/>
        <v>377.99861752659535</v>
      </c>
      <c r="AA51" s="157">
        <f t="shared" si="150"/>
        <v>388.40224920163928</v>
      </c>
      <c r="AB51" s="157">
        <f t="shared" si="150"/>
        <v>399.09221936315231</v>
      </c>
      <c r="AC51" s="138">
        <f t="shared" si="139"/>
        <v>5.2663527278893785E-2</v>
      </c>
      <c r="AD51" s="31">
        <f t="shared" si="17"/>
        <v>0.08</v>
      </c>
      <c r="AE51" s="146">
        <f t="shared" si="140"/>
        <v>3078.7114065157461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0</v>
      </c>
      <c r="G53" s="144">
        <f t="shared" si="151"/>
        <v>100.27214781923655</v>
      </c>
      <c r="H53" s="144">
        <f t="shared" si="151"/>
        <v>157.11517761033369</v>
      </c>
      <c r="I53" s="144">
        <f t="shared" si="151"/>
        <v>198.60782203085756</v>
      </c>
      <c r="J53" s="144">
        <f t="shared" si="151"/>
        <v>247.99425905992106</v>
      </c>
      <c r="K53" s="144">
        <f t="shared" si="151"/>
        <v>239.43313153549806</v>
      </c>
      <c r="L53" s="144">
        <f t="shared" si="151"/>
        <v>309.50742982938908</v>
      </c>
      <c r="M53" s="144">
        <f t="shared" si="151"/>
        <v>256.53794492948288</v>
      </c>
      <c r="N53" s="144">
        <f t="shared" si="151"/>
        <v>234.74337470647433</v>
      </c>
      <c r="O53" s="144">
        <f t="shared" si="151"/>
        <v>291.43586128176719</v>
      </c>
      <c r="P53" s="144">
        <f t="shared" si="151"/>
        <v>315.81582263392704</v>
      </c>
      <c r="Q53" s="118">
        <f>((P53/G53)^(1/($H$2-$H$1) ))-1</f>
        <v>0.13595599392259006</v>
      </c>
      <c r="R53" s="128"/>
      <c r="S53" s="157">
        <f t="shared" ref="S53:AB53" si="152">(S7-S10)/S40</f>
        <v>324.50800123853048</v>
      </c>
      <c r="T53" s="157">
        <f t="shared" si="152"/>
        <v>333.43941411665514</v>
      </c>
      <c r="U53" s="157">
        <f t="shared" si="152"/>
        <v>342.61664569784745</v>
      </c>
      <c r="V53" s="157">
        <f t="shared" si="152"/>
        <v>352.04646163448547</v>
      </c>
      <c r="W53" s="157">
        <f t="shared" si="152"/>
        <v>361.73581378956311</v>
      </c>
      <c r="X53" s="157">
        <f t="shared" si="152"/>
        <v>371.69184536175288</v>
      </c>
      <c r="Y53" s="157">
        <f t="shared" si="152"/>
        <v>381.92189615152586</v>
      </c>
      <c r="Z53" s="157">
        <f t="shared" si="152"/>
        <v>392.43350797221012</v>
      </c>
      <c r="AA53" s="157">
        <f t="shared" si="152"/>
        <v>403.23443020997735</v>
      </c>
      <c r="AB53" s="157">
        <f t="shared" si="152"/>
        <v>414.33262553685751</v>
      </c>
      <c r="AC53" s="138">
        <f t="shared" si="139"/>
        <v>7.7531407313163658E-2</v>
      </c>
      <c r="AD53" s="31">
        <f t="shared" si="17"/>
        <v>0.08</v>
      </c>
      <c r="AE53" s="146">
        <f t="shared" si="140"/>
        <v>3196.2802541414721</v>
      </c>
    </row>
    <row r="54" spans="2:31" x14ac:dyDescent="0.2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0</v>
      </c>
      <c r="G54" s="144">
        <f t="shared" si="153"/>
        <v>0.587266346773616</v>
      </c>
      <c r="H54" s="144">
        <f t="shared" si="153"/>
        <v>25.819878005023323</v>
      </c>
      <c r="I54" s="144">
        <f t="shared" si="153"/>
        <v>69.702188733405094</v>
      </c>
      <c r="J54" s="144">
        <f t="shared" si="153"/>
        <v>65.080731969860068</v>
      </c>
      <c r="K54" s="144">
        <f t="shared" si="153"/>
        <v>19.138690148596584</v>
      </c>
      <c r="L54" s="144">
        <f t="shared" si="153"/>
        <v>-9.727572922399558</v>
      </c>
      <c r="M54" s="144">
        <f t="shared" si="153"/>
        <v>86.648757555406306</v>
      </c>
      <c r="N54" s="144">
        <f t="shared" si="153"/>
        <v>16.044951358604493</v>
      </c>
      <c r="O54" s="144">
        <f t="shared" si="153"/>
        <v>48.856883875516161</v>
      </c>
      <c r="P54" s="144">
        <f t="shared" si="153"/>
        <v>26.52998671797841</v>
      </c>
      <c r="Q54" s="118">
        <f>((P54/G54)^(1/($H$2-$H$1) ))-1</f>
        <v>0.52713696974072288</v>
      </c>
      <c r="R54" s="128"/>
      <c r="S54" s="157">
        <f t="shared" ref="S54:AB54" si="154">(S7-S10-S9)/S40</f>
        <v>27.260169838656672</v>
      </c>
      <c r="T54" s="157">
        <f t="shared" si="154"/>
        <v>28.010449742472858</v>
      </c>
      <c r="U54" s="157">
        <f t="shared" si="154"/>
        <v>28.78137955189867</v>
      </c>
      <c r="V54" s="157">
        <f t="shared" si="154"/>
        <v>29.573527612960095</v>
      </c>
      <c r="W54" s="157">
        <f t="shared" si="154"/>
        <v>30.387477914234331</v>
      </c>
      <c r="X54" s="157">
        <f t="shared" si="154"/>
        <v>31.223830517378364</v>
      </c>
      <c r="Y54" s="157">
        <f t="shared" si="154"/>
        <v>32.08320199950802</v>
      </c>
      <c r="Z54" s="157">
        <f t="shared" si="154"/>
        <v>32.966225907751351</v>
      </c>
      <c r="AA54" s="157">
        <f t="shared" si="154"/>
        <v>33.873553226313341</v>
      </c>
      <c r="AB54" s="157">
        <f t="shared" si="154"/>
        <v>34.805852856395326</v>
      </c>
      <c r="AC54" s="138">
        <f t="shared" si="139"/>
        <v>0.23967021463921645</v>
      </c>
      <c r="AD54" s="31">
        <f t="shared" si="17"/>
        <v>0.08</v>
      </c>
      <c r="AE54" s="146">
        <f t="shared" si="140"/>
        <v>268.50229346362107</v>
      </c>
    </row>
    <row r="55" spans="2:31" x14ac:dyDescent="0.2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77.74117310033661</v>
      </c>
      <c r="H55" s="144">
        <f t="shared" si="155"/>
        <v>109.96770721205598</v>
      </c>
      <c r="I55" s="144">
        <f t="shared" si="155"/>
        <v>177.02906350914964</v>
      </c>
      <c r="J55" s="144">
        <f t="shared" si="155"/>
        <v>184.90132759239327</v>
      </c>
      <c r="K55" s="144">
        <f t="shared" si="155"/>
        <v>195.13621353880021</v>
      </c>
      <c r="L55" s="144">
        <f t="shared" si="155"/>
        <v>401.95376995046774</v>
      </c>
      <c r="M55" s="144">
        <f t="shared" si="155"/>
        <v>335.48690396239084</v>
      </c>
      <c r="N55" s="144">
        <f t="shared" si="155"/>
        <v>365.320362294532</v>
      </c>
      <c r="O55" s="144">
        <f t="shared" si="155"/>
        <v>468.22103602242589</v>
      </c>
      <c r="P55" s="144">
        <f t="shared" si="155"/>
        <v>489.93631440929062</v>
      </c>
      <c r="Q55" s="118">
        <f>((P55/G55)^(1/($H$2-$H$1) ))-1</f>
        <v>0.22696467724351477</v>
      </c>
      <c r="R55" s="128"/>
      <c r="S55" s="157">
        <f t="shared" ref="S55:AB55" si="156">(S7+S15-S10-S9)/S40</f>
        <v>503.42080012697738</v>
      </c>
      <c r="T55" s="157">
        <f t="shared" si="156"/>
        <v>517.27641847909604</v>
      </c>
      <c r="U55" s="157">
        <f t="shared" si="156"/>
        <v>531.5133841253097</v>
      </c>
      <c r="V55" s="157">
        <f t="shared" si="156"/>
        <v>546.1421928627035</v>
      </c>
      <c r="W55" s="157">
        <f t="shared" si="156"/>
        <v>561.17362936351185</v>
      </c>
      <c r="X55" s="157">
        <f t="shared" si="156"/>
        <v>576.61877512581066</v>
      </c>
      <c r="Y55" s="157">
        <f t="shared" si="156"/>
        <v>592.48901664303457</v>
      </c>
      <c r="Z55" s="157">
        <f t="shared" si="156"/>
        <v>608.79605379834754</v>
      </c>
      <c r="AA55" s="157">
        <f t="shared" si="156"/>
        <v>625.55190849004521</v>
      </c>
      <c r="AB55" s="157">
        <f t="shared" si="156"/>
        <v>642.76893349435818</v>
      </c>
      <c r="AC55" s="138">
        <f t="shared" si="139"/>
        <v>0.11759489652736921</v>
      </c>
      <c r="AD55" s="31">
        <f t="shared" si="17"/>
        <v>0.08</v>
      </c>
      <c r="AE55" s="146">
        <f t="shared" si="140"/>
        <v>4958.5032012421916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0</v>
      </c>
      <c r="G57" s="144">
        <f t="shared" si="157"/>
        <v>1.933681873522882</v>
      </c>
      <c r="H57" s="144">
        <f t="shared" si="157"/>
        <v>2.762827412988877</v>
      </c>
      <c r="I57" s="144">
        <f t="shared" si="157"/>
        <v>1.8586293505561537</v>
      </c>
      <c r="J57" s="144">
        <f t="shared" si="157"/>
        <v>2.9350556153570149</v>
      </c>
      <c r="K57" s="144">
        <f t="shared" si="157"/>
        <v>2.6692350027517886</v>
      </c>
      <c r="L57" s="144">
        <f t="shared" si="157"/>
        <v>5.5401073197578414</v>
      </c>
      <c r="M57" s="144">
        <f t="shared" si="157"/>
        <v>2.2296843519140364</v>
      </c>
      <c r="N57" s="144">
        <f t="shared" si="157"/>
        <v>2.9319020462931902</v>
      </c>
      <c r="O57" s="144">
        <f t="shared" si="157"/>
        <v>4.8544667136670361</v>
      </c>
      <c r="P57" s="144">
        <f t="shared" si="157"/>
        <v>171.8353029322617</v>
      </c>
      <c r="Q57" s="118">
        <f>((P57/G57)^(1/($H$2-$H$1) ))-1</f>
        <v>0.64636173263235075</v>
      </c>
      <c r="R57" s="128"/>
      <c r="S57" s="157">
        <f t="shared" ref="S57:AB57" si="158">S12/S40</f>
        <v>176.56471493957164</v>
      </c>
      <c r="T57" s="157">
        <f t="shared" si="158"/>
        <v>181.4242942498351</v>
      </c>
      <c r="U57" s="157">
        <f t="shared" si="158"/>
        <v>186.41762344937183</v>
      </c>
      <c r="V57" s="157">
        <f t="shared" si="158"/>
        <v>191.54838372779491</v>
      </c>
      <c r="W57" s="157">
        <f t="shared" si="158"/>
        <v>196.82035759186269</v>
      </c>
      <c r="X57" s="157">
        <f t="shared" si="158"/>
        <v>202.23743165402405</v>
      </c>
      <c r="Y57" s="157">
        <f t="shared" si="158"/>
        <v>207.80359949771278</v>
      </c>
      <c r="Z57" s="157">
        <f t="shared" si="158"/>
        <v>213.52296462150306</v>
      </c>
      <c r="AA57" s="157">
        <f t="shared" si="158"/>
        <v>219.39974346429671</v>
      </c>
      <c r="AB57" s="157">
        <f t="shared" si="158"/>
        <v>225.43826851377278</v>
      </c>
      <c r="AC57" s="138">
        <f t="shared" si="139"/>
        <v>0.28460812306615479</v>
      </c>
      <c r="AD57" s="31">
        <f t="shared" si="17"/>
        <v>0.08</v>
      </c>
      <c r="AE57" s="146">
        <f t="shared" si="140"/>
        <v>1739.0952142491044</v>
      </c>
    </row>
    <row r="58" spans="2:31" x14ac:dyDescent="0.2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131.97736876029506</v>
      </c>
      <c r="H58" s="144">
        <f t="shared" si="159"/>
        <v>165.6476498026552</v>
      </c>
      <c r="I58" s="144">
        <f t="shared" si="159"/>
        <v>47.836383207750274</v>
      </c>
      <c r="J58" s="144">
        <f t="shared" si="159"/>
        <v>37.804090419806244</v>
      </c>
      <c r="K58" s="144">
        <f t="shared" si="159"/>
        <v>65.506329113924039</v>
      </c>
      <c r="L58" s="144">
        <f t="shared" si="159"/>
        <v>44.269400110071544</v>
      </c>
      <c r="M58" s="144">
        <f t="shared" si="159"/>
        <v>30.685023505708529</v>
      </c>
      <c r="N58" s="144">
        <f t="shared" si="159"/>
        <v>56.903723582690368</v>
      </c>
      <c r="O58" s="144">
        <f t="shared" si="159"/>
        <v>129.57330379024407</v>
      </c>
      <c r="P58" s="144">
        <f t="shared" si="159"/>
        <v>145.92514388856725</v>
      </c>
      <c r="Q58" s="118">
        <f>((P58/G58)^(1/($H$2-$H$1) ))-1</f>
        <v>1.1225125074757036E-2</v>
      </c>
      <c r="R58" s="128"/>
      <c r="S58" s="157">
        <f t="shared" ref="S58:AB58" si="160">S13/S40</f>
        <v>149.94143225247277</v>
      </c>
      <c r="T58" s="157">
        <f t="shared" si="160"/>
        <v>154.06826066309128</v>
      </c>
      <c r="U58" s="157">
        <f t="shared" si="160"/>
        <v>158.30867150702957</v>
      </c>
      <c r="V58" s="157">
        <f t="shared" si="160"/>
        <v>162.6657909063056</v>
      </c>
      <c r="W58" s="157">
        <f t="shared" si="160"/>
        <v>167.14283102299291</v>
      </c>
      <c r="X58" s="157">
        <f t="shared" si="160"/>
        <v>171.74309242729547</v>
      </c>
      <c r="Y58" s="157">
        <f t="shared" si="160"/>
        <v>176.46996653079901</v>
      </c>
      <c r="Z58" s="157">
        <f t="shared" si="160"/>
        <v>181.32693808669256</v>
      </c>
      <c r="AA58" s="157">
        <f t="shared" si="160"/>
        <v>186.31758775880337</v>
      </c>
      <c r="AB58" s="157">
        <f t="shared" si="160"/>
        <v>191.44559476133924</v>
      </c>
      <c r="AC58" s="138">
        <f t="shared" si="139"/>
        <v>1.9770434040928153E-2</v>
      </c>
      <c r="AD58" s="31">
        <f t="shared" si="17"/>
        <v>0.08</v>
      </c>
      <c r="AE58" s="146">
        <f t="shared" si="140"/>
        <v>1476.8660167303312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0</v>
      </c>
      <c r="G59" s="144">
        <f t="shared" si="161"/>
        <v>133.91105063381795</v>
      </c>
      <c r="H59" s="144">
        <f t="shared" si="161"/>
        <v>168.41047721564408</v>
      </c>
      <c r="I59" s="144">
        <f t="shared" si="161"/>
        <v>49.695012558306431</v>
      </c>
      <c r="J59" s="144">
        <f t="shared" si="161"/>
        <v>40.739146035163259</v>
      </c>
      <c r="K59" s="144">
        <f t="shared" si="161"/>
        <v>68.175564116675829</v>
      </c>
      <c r="L59" s="144">
        <f t="shared" si="161"/>
        <v>49.809507429829388</v>
      </c>
      <c r="M59" s="144">
        <f t="shared" si="161"/>
        <v>32.914707857622567</v>
      </c>
      <c r="N59" s="144">
        <f t="shared" si="161"/>
        <v>59.835625628983557</v>
      </c>
      <c r="O59" s="144">
        <f t="shared" ref="O59" si="162">(O57+O58)</f>
        <v>134.42777050391109</v>
      </c>
      <c r="P59" s="144">
        <f t="shared" si="161"/>
        <v>317.76044682082897</v>
      </c>
      <c r="Q59" s="118">
        <f>((P59/G59)^(1/($H$2-$H$1) ))-1</f>
        <v>0.10077398656190217</v>
      </c>
      <c r="R59" s="128"/>
      <c r="S59" s="157">
        <f t="shared" ref="S59:AB59" si="163">(S57+S58)</f>
        <v>326.50614719204441</v>
      </c>
      <c r="T59" s="157">
        <f t="shared" si="163"/>
        <v>335.49255491292638</v>
      </c>
      <c r="U59" s="157">
        <f t="shared" si="163"/>
        <v>344.72629495640138</v>
      </c>
      <c r="V59" s="157">
        <f t="shared" si="163"/>
        <v>354.21417463410052</v>
      </c>
      <c r="W59" s="157">
        <f t="shared" si="163"/>
        <v>363.9631886148556</v>
      </c>
      <c r="X59" s="157">
        <f t="shared" si="163"/>
        <v>373.98052408131952</v>
      </c>
      <c r="Y59" s="157">
        <f t="shared" si="163"/>
        <v>384.27356602851182</v>
      </c>
      <c r="Z59" s="157">
        <f t="shared" si="163"/>
        <v>394.8499027081956</v>
      </c>
      <c r="AA59" s="157">
        <f t="shared" si="163"/>
        <v>405.71733122310008</v>
      </c>
      <c r="AB59" s="157">
        <f t="shared" si="163"/>
        <v>416.88386327511205</v>
      </c>
      <c r="AC59" s="138">
        <f t="shared" si="139"/>
        <v>6.1592458347473844E-2</v>
      </c>
      <c r="AD59" s="31">
        <f t="shared" si="17"/>
        <v>0.08</v>
      </c>
      <c r="AE59" s="146">
        <f t="shared" si="140"/>
        <v>3215.9612309794356</v>
      </c>
    </row>
    <row r="60" spans="2:31" x14ac:dyDescent="0.2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0</v>
      </c>
      <c r="G60" s="144">
        <f t="shared" si="164"/>
        <v>77.153906753562993</v>
      </c>
      <c r="H60" s="144">
        <f t="shared" si="164"/>
        <v>84.147829207032657</v>
      </c>
      <c r="I60" s="144">
        <f t="shared" si="164"/>
        <v>107.32687477574453</v>
      </c>
      <c r="J60" s="144">
        <f t="shared" si="164"/>
        <v>119.82059562253319</v>
      </c>
      <c r="K60" s="144">
        <f t="shared" si="164"/>
        <v>175.99752339020361</v>
      </c>
      <c r="L60" s="144">
        <f t="shared" si="164"/>
        <v>411.68134287286733</v>
      </c>
      <c r="M60" s="144">
        <f t="shared" si="164"/>
        <v>248.83814640698455</v>
      </c>
      <c r="N60" s="144">
        <f t="shared" si="164"/>
        <v>349.27541093592754</v>
      </c>
      <c r="O60" s="144">
        <f t="shared" si="164"/>
        <v>419.3641521469097</v>
      </c>
      <c r="P60" s="144">
        <f t="shared" si="164"/>
        <v>463.40632769131219</v>
      </c>
      <c r="Q60" s="118">
        <f>((P60/G60)^(1/($H$2-$H$1) ))-1</f>
        <v>0.22042630480468683</v>
      </c>
      <c r="R60" s="128"/>
      <c r="S60" s="157">
        <f t="shared" ref="S60:AB60" si="165">S15/S40</f>
        <v>476.16063028832082</v>
      </c>
      <c r="T60" s="157">
        <f t="shared" si="165"/>
        <v>489.26596873662322</v>
      </c>
      <c r="U60" s="157">
        <f t="shared" si="165"/>
        <v>502.73200457341102</v>
      </c>
      <c r="V60" s="157">
        <f t="shared" si="165"/>
        <v>516.56866524974339</v>
      </c>
      <c r="W60" s="157">
        <f t="shared" si="165"/>
        <v>530.78615144927767</v>
      </c>
      <c r="X60" s="157">
        <f t="shared" si="165"/>
        <v>545.39494460843218</v>
      </c>
      <c r="Y60" s="157">
        <f t="shared" si="165"/>
        <v>560.40581464352658</v>
      </c>
      <c r="Z60" s="157">
        <f t="shared" si="165"/>
        <v>575.82982789059611</v>
      </c>
      <c r="AA60" s="157">
        <f t="shared" si="165"/>
        <v>591.67835526373187</v>
      </c>
      <c r="AB60" s="157">
        <f t="shared" si="165"/>
        <v>607.963080637963</v>
      </c>
      <c r="AC60" s="138">
        <f t="shared" si="139"/>
        <v>0.11476987884302647</v>
      </c>
      <c r="AD60" s="31">
        <f t="shared" si="17"/>
        <v>0.08</v>
      </c>
      <c r="AE60" s="146">
        <f t="shared" si="140"/>
        <v>4690.0009077785717</v>
      </c>
    </row>
    <row r="61" spans="2:31" x14ac:dyDescent="0.2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0</v>
      </c>
      <c r="G61" s="144">
        <f t="shared" si="166"/>
        <v>16.901811931533338</v>
      </c>
      <c r="H61" s="144">
        <f t="shared" si="166"/>
        <v>12.213850017940437</v>
      </c>
      <c r="I61" s="144">
        <f t="shared" si="166"/>
        <v>21.298887692859708</v>
      </c>
      <c r="J61" s="144">
        <f t="shared" si="166"/>
        <v>42.145676354503053</v>
      </c>
      <c r="K61" s="144">
        <f t="shared" si="166"/>
        <v>115.73335167859108</v>
      </c>
      <c r="L61" s="144">
        <f t="shared" si="166"/>
        <v>71.009906439185457</v>
      </c>
      <c r="M61" s="144">
        <f t="shared" si="166"/>
        <v>66.537944929482876</v>
      </c>
      <c r="N61" s="144">
        <f t="shared" si="166"/>
        <v>114.70647433747064</v>
      </c>
      <c r="O61" s="144">
        <f t="shared" si="166"/>
        <v>160.62376204384464</v>
      </c>
      <c r="P61" s="144">
        <f t="shared" si="166"/>
        <v>156.79256206790859</v>
      </c>
      <c r="Q61" s="118">
        <f>((P61/G61)^(1/($H$2-$H$1) ))-1</f>
        <v>0.28081976654409302</v>
      </c>
      <c r="R61" s="128"/>
      <c r="S61" s="157">
        <f t="shared" ref="S61:AB61" si="167">S16/S40</f>
        <v>161.10795368445653</v>
      </c>
      <c r="T61" s="157">
        <f t="shared" si="167"/>
        <v>165.54211754733151</v>
      </c>
      <c r="U61" s="157">
        <f t="shared" si="167"/>
        <v>170.09832261744154</v>
      </c>
      <c r="V61" s="157">
        <f t="shared" si="167"/>
        <v>174.77992782709592</v>
      </c>
      <c r="W61" s="157">
        <f t="shared" si="167"/>
        <v>179.59038455628206</v>
      </c>
      <c r="X61" s="157">
        <f t="shared" si="167"/>
        <v>184.53323917709716</v>
      </c>
      <c r="Y61" s="157">
        <f t="shared" si="167"/>
        <v>189.6121356682099</v>
      </c>
      <c r="Z61" s="157">
        <f t="shared" si="167"/>
        <v>194.83081830127992</v>
      </c>
      <c r="AA61" s="157">
        <f t="shared" si="167"/>
        <v>200.19313440131515</v>
      </c>
      <c r="AB61" s="157">
        <f t="shared" si="167"/>
        <v>205.70303718300275</v>
      </c>
      <c r="AC61" s="138">
        <f t="shared" si="139"/>
        <v>0.14056868648917109</v>
      </c>
      <c r="AD61" s="137"/>
      <c r="AE61" s="146">
        <f t="shared" si="140"/>
        <v>935.01380537728517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40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</v>
      </c>
      <c r="G63" s="159">
        <f t="shared" si="168"/>
        <v>5.25</v>
      </c>
      <c r="H63" s="159">
        <f t="shared" si="168"/>
        <v>7.5</v>
      </c>
      <c r="I63" s="159">
        <f t="shared" si="168"/>
        <v>10</v>
      </c>
      <c r="J63" s="159">
        <f t="shared" si="168"/>
        <v>11</v>
      </c>
      <c r="K63" s="159">
        <f t="shared" si="168"/>
        <v>13</v>
      </c>
      <c r="L63" s="159">
        <f t="shared" si="168"/>
        <v>13</v>
      </c>
      <c r="M63" s="159">
        <f t="shared" si="168"/>
        <v>7</v>
      </c>
      <c r="N63" s="159">
        <f t="shared" si="168"/>
        <v>8</v>
      </c>
      <c r="O63" s="159">
        <f t="shared" si="168"/>
        <v>8.5</v>
      </c>
      <c r="P63" s="159">
        <f t="shared" si="168"/>
        <v>9</v>
      </c>
      <c r="Q63" s="118">
        <f>((P63/G63)^(1/($H$2-$H$1) ))-1</f>
        <v>6.1718158457117367E-2</v>
      </c>
      <c r="R63" s="128"/>
      <c r="S63" s="159">
        <f t="shared" ref="S63:AB63" si="169">S41</f>
        <v>9.4500000000000011</v>
      </c>
      <c r="T63" s="159">
        <f t="shared" si="169"/>
        <v>9.9225000000000012</v>
      </c>
      <c r="U63" s="159">
        <f t="shared" si="169"/>
        <v>10.418625000000002</v>
      </c>
      <c r="V63" s="159">
        <f t="shared" si="169"/>
        <v>10.939556250000003</v>
      </c>
      <c r="W63" s="159">
        <f t="shared" si="169"/>
        <v>11.486534062500002</v>
      </c>
      <c r="X63" s="159">
        <f t="shared" si="169"/>
        <v>12.060860765625003</v>
      </c>
      <c r="Y63" s="159">
        <f t="shared" si="169"/>
        <v>12.663903803906255</v>
      </c>
      <c r="Z63" s="159">
        <f t="shared" si="169"/>
        <v>13.297098994101567</v>
      </c>
      <c r="AA63" s="159">
        <f t="shared" si="169"/>
        <v>13.961953943806646</v>
      </c>
      <c r="AB63" s="159">
        <f t="shared" si="169"/>
        <v>14.660051640996979</v>
      </c>
      <c r="AC63" s="138">
        <f t="shared" ref="AC63" si="170">((AB63/G63)^(1/($AB$3-$H$1) ))-1</f>
        <v>5.553449678183342E-2</v>
      </c>
      <c r="AD63" s="31">
        <f t="shared" si="17"/>
        <v>0.08</v>
      </c>
      <c r="AE63" s="146">
        <f t="shared" si="140"/>
        <v>113.09182694483384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1168</v>
      </c>
      <c r="H65" s="144">
        <f t="shared" si="171"/>
        <v>9092</v>
      </c>
      <c r="I65" s="144">
        <f t="shared" si="171"/>
        <v>-2916</v>
      </c>
      <c r="J65" s="144">
        <f t="shared" si="171"/>
        <v>-12497</v>
      </c>
      <c r="K65" s="144">
        <f t="shared" si="171"/>
        <v>-14192</v>
      </c>
      <c r="L65" s="144">
        <f t="shared" si="171"/>
        <v>-6819</v>
      </c>
      <c r="M65" s="144">
        <f t="shared" si="171"/>
        <v>2264</v>
      </c>
      <c r="N65" s="144">
        <f t="shared" si="171"/>
        <v>1295</v>
      </c>
      <c r="O65" s="144">
        <f t="shared" si="171"/>
        <v>18182</v>
      </c>
      <c r="P65" s="144">
        <f t="shared" si="171"/>
        <v>9268</v>
      </c>
      <c r="Q65" s="118">
        <f>((P65/G65)^(1/($H$2-$H$1) ))-1</f>
        <v>0.25877828536853698</v>
      </c>
      <c r="R65" s="128"/>
      <c r="S65" s="144">
        <f t="shared" ref="S65:AB65" si="172">S20+S21</f>
        <v>10380.16</v>
      </c>
      <c r="T65" s="144">
        <f t="shared" si="172"/>
        <v>11625.779199999997</v>
      </c>
      <c r="U65" s="144">
        <f t="shared" si="172"/>
        <v>13020.872704000001</v>
      </c>
      <c r="V65" s="144">
        <f t="shared" si="172"/>
        <v>14583.377428480002</v>
      </c>
      <c r="W65" s="144">
        <f t="shared" si="172"/>
        <v>16333.382719897607</v>
      </c>
      <c r="X65" s="144">
        <f t="shared" si="172"/>
        <v>18293.388646285326</v>
      </c>
      <c r="Y65" s="144">
        <f t="shared" si="172"/>
        <v>20488.595283839568</v>
      </c>
      <c r="Z65" s="144">
        <f t="shared" si="172"/>
        <v>22947.22671790031</v>
      </c>
      <c r="AA65" s="144">
        <f t="shared" si="172"/>
        <v>25700.893924048345</v>
      </c>
      <c r="AB65" s="144">
        <f t="shared" si="172"/>
        <v>28785.001194934157</v>
      </c>
      <c r="AC65" s="138">
        <f t="shared" ref="AC65:AC70" si="173">((AB65/G65)^(1/($AB$3-$H$1) ))-1</f>
        <v>0.18371895066896538</v>
      </c>
      <c r="AD65" s="31">
        <f t="shared" si="17"/>
        <v>0.08</v>
      </c>
      <c r="AE65" s="146">
        <f t="shared" si="140"/>
        <v>222055.72350377779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0</v>
      </c>
      <c r="G67" s="144">
        <f t="shared" si="174"/>
        <v>8.3649645491656521</v>
      </c>
      <c r="H67" s="144">
        <f t="shared" si="174"/>
        <v>65.245783997129536</v>
      </c>
      <c r="I67" s="144">
        <f t="shared" si="174"/>
        <v>-20.925726587728743</v>
      </c>
      <c r="J67" s="144">
        <f t="shared" si="174"/>
        <v>-89.680660208109074</v>
      </c>
      <c r="K67" s="144">
        <f t="shared" si="174"/>
        <v>-97.633461750137585</v>
      </c>
      <c r="L67" s="144">
        <f t="shared" si="174"/>
        <v>-46.911117226197021</v>
      </c>
      <c r="M67" s="144">
        <f t="shared" si="174"/>
        <v>7.6024177300201474</v>
      </c>
      <c r="N67" s="144">
        <f t="shared" si="174"/>
        <v>4.3441798054344174</v>
      </c>
      <c r="O67" s="144">
        <f t="shared" si="174"/>
        <v>61.040051028972371</v>
      </c>
      <c r="P67" s="144">
        <f t="shared" si="174"/>
        <v>31.563532336614106</v>
      </c>
      <c r="Q67" s="118">
        <f>((P67/G67)^(1/($H$2-$H$1) ))-1</f>
        <v>0.15899127386297218</v>
      </c>
      <c r="R67" s="128"/>
      <c r="S67" s="146">
        <f t="shared" ref="S67:AB67" si="175">S65/S40</f>
        <v>32.432253410098895</v>
      </c>
      <c r="T67" s="146">
        <f t="shared" si="175"/>
        <v>33.324884237899774</v>
      </c>
      <c r="U67" s="146">
        <f t="shared" si="175"/>
        <v>34.242082886649314</v>
      </c>
      <c r="V67" s="146">
        <f t="shared" si="175"/>
        <v>35.184525534905717</v>
      </c>
      <c r="W67" s="146">
        <f t="shared" si="175"/>
        <v>36.152906971646246</v>
      </c>
      <c r="X67" s="146">
        <f t="shared" si="175"/>
        <v>37.147941108480559</v>
      </c>
      <c r="Y67" s="146">
        <f t="shared" si="175"/>
        <v>38.170361505961679</v>
      </c>
      <c r="Z67" s="146">
        <f t="shared" si="175"/>
        <v>39.220921914382629</v>
      </c>
      <c r="AA67" s="146">
        <f t="shared" si="175"/>
        <v>40.30039682945737</v>
      </c>
      <c r="AB67" s="146">
        <f t="shared" si="175"/>
        <v>41.409582063295659</v>
      </c>
      <c r="AC67" s="138">
        <f t="shared" si="173"/>
        <v>8.7826986722935985E-2</v>
      </c>
      <c r="AD67" s="31">
        <f t="shared" si="17"/>
        <v>0.08</v>
      </c>
      <c r="AE67" s="146">
        <f t="shared" si="140"/>
        <v>319.44534734542361</v>
      </c>
    </row>
    <row r="68" spans="2:31" x14ac:dyDescent="0.2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0</v>
      </c>
      <c r="G68" s="144">
        <f t="shared" si="176"/>
        <v>83.563704075055512</v>
      </c>
      <c r="H68" s="144">
        <f t="shared" si="176"/>
        <v>124.18371008252602</v>
      </c>
      <c r="I68" s="144">
        <f t="shared" si="176"/>
        <v>73.720846788661646</v>
      </c>
      <c r="J68" s="144">
        <f t="shared" si="176"/>
        <v>120.18658055256549</v>
      </c>
      <c r="K68" s="144">
        <f t="shared" si="176"/>
        <v>111.67446340121077</v>
      </c>
      <c r="L68" s="144">
        <f t="shared" si="176"/>
        <v>112.04595487066592</v>
      </c>
      <c r="M68" s="144">
        <f t="shared" si="176"/>
        <v>68.817998656816656</v>
      </c>
      <c r="N68" s="144">
        <f t="shared" si="176"/>
        <v>111.83495471318349</v>
      </c>
      <c r="O68" s="144">
        <f t="shared" si="176"/>
        <v>82.193574378084392</v>
      </c>
      <c r="P68" s="144">
        <f t="shared" si="176"/>
        <v>125.72965977590846</v>
      </c>
      <c r="Q68" s="118">
        <f>((P68/G68)^(1/($H$2-$H$1) ))-1</f>
        <v>4.6437608883751036E-2</v>
      </c>
      <c r="R68" s="128"/>
      <c r="S68" s="146">
        <f t="shared" ref="S68:AB68" si="177">S20/S40</f>
        <v>129.19010912753896</v>
      </c>
      <c r="T68" s="146">
        <f t="shared" si="177"/>
        <v>132.7458002044437</v>
      </c>
      <c r="U68" s="146">
        <f t="shared" si="177"/>
        <v>136.39935433851096</v>
      </c>
      <c r="V68" s="146">
        <f t="shared" si="177"/>
        <v>140.15346500837825</v>
      </c>
      <c r="W68" s="146">
        <f t="shared" si="177"/>
        <v>144.01089982512261</v>
      </c>
      <c r="X68" s="146">
        <f t="shared" si="177"/>
        <v>147.97450257260306</v>
      </c>
      <c r="Y68" s="146">
        <f t="shared" si="177"/>
        <v>152.04719530395911</v>
      </c>
      <c r="Z68" s="146">
        <f t="shared" si="177"/>
        <v>156.2319804958112</v>
      </c>
      <c r="AA68" s="146">
        <f t="shared" si="177"/>
        <v>160.53194326175094</v>
      </c>
      <c r="AB68" s="146">
        <f t="shared" si="177"/>
        <v>164.95025362675327</v>
      </c>
      <c r="AC68" s="138">
        <f t="shared" si="173"/>
        <v>3.6439517421352097E-2</v>
      </c>
      <c r="AD68" s="31">
        <f t="shared" si="17"/>
        <v>0.08</v>
      </c>
      <c r="AE68" s="146">
        <f t="shared" si="140"/>
        <v>1272.4733851206679</v>
      </c>
    </row>
    <row r="69" spans="2:31" x14ac:dyDescent="0.2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0</v>
      </c>
      <c r="G69" s="144">
        <f t="shared" si="178"/>
        <v>-75.198739525889849</v>
      </c>
      <c r="H69" s="144">
        <f t="shared" si="178"/>
        <v>-58.937926085396484</v>
      </c>
      <c r="I69" s="144">
        <f t="shared" si="178"/>
        <v>-94.646573376390393</v>
      </c>
      <c r="J69" s="144">
        <f t="shared" si="178"/>
        <v>-209.86724076067458</v>
      </c>
      <c r="K69" s="144">
        <f t="shared" si="178"/>
        <v>-209.30792515134834</v>
      </c>
      <c r="L69" s="144">
        <f t="shared" si="178"/>
        <v>-158.95707209686296</v>
      </c>
      <c r="M69" s="144">
        <f t="shared" si="178"/>
        <v>-61.215580926796505</v>
      </c>
      <c r="N69" s="144">
        <f t="shared" si="178"/>
        <v>-107.49077490774907</v>
      </c>
      <c r="O69" s="144">
        <f t="shared" si="178"/>
        <v>-21.153523349112028</v>
      </c>
      <c r="P69" s="144">
        <f t="shared" si="178"/>
        <v>-94.166127439294357</v>
      </c>
      <c r="Q69" s="118">
        <f>((P69/G69)^(1/($H$2-$H$1) ))-1</f>
        <v>2.5306697755042462E-2</v>
      </c>
      <c r="R69" s="128"/>
      <c r="S69" s="146">
        <f t="shared" ref="S69:AB69" si="179">S21/S40</f>
        <v>-96.757855717440066</v>
      </c>
      <c r="T69" s="146">
        <f t="shared" si="179"/>
        <v>-99.42091596654393</v>
      </c>
      <c r="U69" s="146">
        <f t="shared" si="179"/>
        <v>-102.15727145186166</v>
      </c>
      <c r="V69" s="146">
        <f t="shared" si="179"/>
        <v>-104.96893947347253</v>
      </c>
      <c r="W69" s="146">
        <f t="shared" si="179"/>
        <v>-107.85799285347636</v>
      </c>
      <c r="X69" s="146">
        <f t="shared" si="179"/>
        <v>-110.82656146412251</v>
      </c>
      <c r="Y69" s="146">
        <f t="shared" si="179"/>
        <v>-113.87683379799743</v>
      </c>
      <c r="Z69" s="146">
        <f t="shared" si="179"/>
        <v>-117.01105858142856</v>
      </c>
      <c r="AA69" s="146">
        <f t="shared" si="179"/>
        <v>-120.23154643229356</v>
      </c>
      <c r="AB69" s="146">
        <f t="shared" si="179"/>
        <v>-123.54067156345761</v>
      </c>
      <c r="AC69" s="138">
        <f t="shared" si="173"/>
        <v>2.64725423027099E-2</v>
      </c>
      <c r="AD69" s="31">
        <f t="shared" si="17"/>
        <v>0.08</v>
      </c>
      <c r="AE69" s="146">
        <f t="shared" si="140"/>
        <v>-953.02803777524446</v>
      </c>
    </row>
    <row r="70" spans="2:31" x14ac:dyDescent="0.2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0</v>
      </c>
      <c r="G70" s="144">
        <f t="shared" si="180"/>
        <v>-7.4912268137219797</v>
      </c>
      <c r="H70" s="144">
        <f t="shared" si="180"/>
        <v>-40.94725511302476</v>
      </c>
      <c r="I70" s="144">
        <f t="shared" si="180"/>
        <v>13.749551489056334</v>
      </c>
      <c r="J70" s="144">
        <f t="shared" si="180"/>
        <v>-77.043415859346965</v>
      </c>
      <c r="K70" s="144">
        <f t="shared" si="180"/>
        <v>114.99724821133736</v>
      </c>
      <c r="L70" s="144">
        <f t="shared" si="180"/>
        <v>172.23445239405612</v>
      </c>
      <c r="M70" s="144">
        <f t="shared" si="180"/>
        <v>-37.384150436534583</v>
      </c>
      <c r="N70" s="144">
        <f t="shared" si="180"/>
        <v>50.147601476014756</v>
      </c>
      <c r="O70" s="144">
        <f t="shared" si="180"/>
        <v>-25.480914492899586</v>
      </c>
      <c r="P70" s="144">
        <f t="shared" si="180"/>
        <v>1.3895037972959166</v>
      </c>
      <c r="Q70" s="118">
        <f>((P70/G70)^(1/($H$2-$H$1) ))-1</f>
        <v>-1.8292791657671481</v>
      </c>
      <c r="R70" s="128"/>
      <c r="S70" s="146">
        <f t="shared" ref="S70:AB70" si="181">S22/S40</f>
        <v>1.4277470210747032</v>
      </c>
      <c r="T70" s="146">
        <f t="shared" si="181"/>
        <v>1.4670428106455666</v>
      </c>
      <c r="U70" s="146">
        <f t="shared" si="181"/>
        <v>1.5074201357092063</v>
      </c>
      <c r="V70" s="146">
        <f t="shared" si="181"/>
        <v>1.5489087632975329</v>
      </c>
      <c r="W70" s="146">
        <f t="shared" si="181"/>
        <v>1.5915392797185661</v>
      </c>
      <c r="X70" s="146">
        <f t="shared" si="181"/>
        <v>1.6353431131053158</v>
      </c>
      <c r="Y70" s="146">
        <f t="shared" si="181"/>
        <v>1.6803525565852786</v>
      </c>
      <c r="Z70" s="146">
        <f t="shared" si="181"/>
        <v>1.7266007920876258</v>
      </c>
      <c r="AA70" s="146">
        <f t="shared" si="181"/>
        <v>1.774121914805634</v>
      </c>
      <c r="AB70" s="146">
        <f t="shared" si="181"/>
        <v>1.8229509583323944</v>
      </c>
      <c r="AC70" s="138">
        <f t="shared" si="173"/>
        <v>-1.9283161303290552</v>
      </c>
      <c r="AD70" s="31">
        <f t="shared" si="17"/>
        <v>0.08</v>
      </c>
      <c r="AE70" s="146">
        <f t="shared" si="140"/>
        <v>14.062764535707041</v>
      </c>
    </row>
    <row r="71" spans="2:31" x14ac:dyDescent="0.2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0</v>
      </c>
      <c r="G71" s="144">
        <f t="shared" si="182"/>
        <v>1.933681873522882</v>
      </c>
      <c r="H71" s="144">
        <f t="shared" si="182"/>
        <v>25.905992106207393</v>
      </c>
      <c r="I71" s="144">
        <f t="shared" si="182"/>
        <v>18.772874058127019</v>
      </c>
      <c r="J71" s="144">
        <f t="shared" si="182"/>
        <v>13.900251166128454</v>
      </c>
      <c r="K71" s="144">
        <f t="shared" si="182"/>
        <v>30.778756191524486</v>
      </c>
      <c r="L71" s="144">
        <f t="shared" si="182"/>
        <v>156.45294441386901</v>
      </c>
      <c r="M71" s="144">
        <f t="shared" si="182"/>
        <v>46.642041638683679</v>
      </c>
      <c r="N71" s="144">
        <f t="shared" si="182"/>
        <v>101.10365649111036</v>
      </c>
      <c r="O71" s="144">
        <f t="shared" si="182"/>
        <v>136.74086010675799</v>
      </c>
      <c r="P71" s="144">
        <f t="shared" si="182"/>
        <v>171.8353029322617</v>
      </c>
      <c r="Q71" s="118">
        <f>((P71/G71)^(1/($H$2-$H$1) ))-1</f>
        <v>0.64636173263235075</v>
      </c>
      <c r="R71" s="128"/>
      <c r="S71" s="146">
        <f t="shared" ref="S71:AB71" si="183">S23/S40</f>
        <v>176.56471493957164</v>
      </c>
      <c r="T71" s="146">
        <f t="shared" si="183"/>
        <v>181.4242942498351</v>
      </c>
      <c r="U71" s="146">
        <f t="shared" si="183"/>
        <v>186.41762344937183</v>
      </c>
      <c r="V71" s="146">
        <f t="shared" si="183"/>
        <v>191.54838372779491</v>
      </c>
      <c r="W71" s="146">
        <f t="shared" si="183"/>
        <v>196.82035759186269</v>
      </c>
      <c r="X71" s="146">
        <f t="shared" si="183"/>
        <v>202.23743165402405</v>
      </c>
      <c r="Y71" s="146">
        <f t="shared" si="183"/>
        <v>207.80359949771278</v>
      </c>
      <c r="Z71" s="146">
        <f t="shared" si="183"/>
        <v>213.52296462150306</v>
      </c>
      <c r="AA71" s="146">
        <f t="shared" si="183"/>
        <v>219.39974346429671</v>
      </c>
      <c r="AB71" s="146">
        <f t="shared" si="183"/>
        <v>225.43826851377278</v>
      </c>
      <c r="AC71" s="138">
        <f t="shared" ref="AC71" si="184">((AB71/G71)^(1/($AB$3-$H$1) ))-1</f>
        <v>0.28460812306615479</v>
      </c>
      <c r="AD71" s="31">
        <f t="shared" si="17"/>
        <v>0.08</v>
      </c>
      <c r="AE71" s="146">
        <f t="shared" si="140"/>
        <v>1739.0952142491044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0</v>
      </c>
      <c r="G73" s="144">
        <f t="shared" si="185"/>
        <v>68.588412232328295</v>
      </c>
      <c r="H73" s="144">
        <f t="shared" si="185"/>
        <v>91.158952278435592</v>
      </c>
      <c r="I73" s="144">
        <f t="shared" si="185"/>
        <v>104.14065303193398</v>
      </c>
      <c r="J73" s="144">
        <f t="shared" si="185"/>
        <v>147.67133118048082</v>
      </c>
      <c r="K73" s="144">
        <f t="shared" si="185"/>
        <v>153.65299944964227</v>
      </c>
      <c r="L73" s="144">
        <f t="shared" si="185"/>
        <v>167.66648321408914</v>
      </c>
      <c r="M73" s="144">
        <f t="shared" si="185"/>
        <v>101.5849563465413</v>
      </c>
      <c r="N73" s="144">
        <f t="shared" si="185"/>
        <v>127.48742032874873</v>
      </c>
      <c r="O73" s="144">
        <f t="shared" si="185"/>
        <v>116.8932755900225</v>
      </c>
      <c r="P73" s="144">
        <f t="shared" si="185"/>
        <v>112.53959064128325</v>
      </c>
      <c r="Q73" s="118">
        <f>((P73/G73)^(1/($H$2-$H$1) ))-1</f>
        <v>5.6561918738118111E-2</v>
      </c>
      <c r="R73" s="128"/>
      <c r="S73" s="144">
        <f t="shared" ref="S73:AB73" si="186">S36/S40</f>
        <v>115.63701056719012</v>
      </c>
      <c r="T73" s="144">
        <f t="shared" si="186"/>
        <v>118.81968058280087</v>
      </c>
      <c r="U73" s="144">
        <f t="shared" si="186"/>
        <v>122.0899470208596</v>
      </c>
      <c r="V73" s="144">
        <f t="shared" si="186"/>
        <v>125.45022079207591</v>
      </c>
      <c r="W73" s="144">
        <f t="shared" si="186"/>
        <v>128.90297916250003</v>
      </c>
      <c r="X73" s="144">
        <f t="shared" si="186"/>
        <v>132.45076757981656</v>
      </c>
      <c r="Y73" s="144">
        <f t="shared" si="186"/>
        <v>136.09620154990324</v>
      </c>
      <c r="Z73" s="144">
        <f t="shared" si="186"/>
        <v>139.8419685650382</v>
      </c>
      <c r="AA73" s="144">
        <f t="shared" si="186"/>
        <v>143.69083008517686</v>
      </c>
      <c r="AB73" s="144">
        <f t="shared" si="186"/>
        <v>147.64562357375971</v>
      </c>
      <c r="AC73" s="138">
        <f t="shared" ref="AC73:AC75" si="187">((AB73/G73)^(1/($AB$3-$H$1) ))-1</f>
        <v>4.1177388451013153E-2</v>
      </c>
      <c r="AD73" s="31">
        <f t="shared" si="17"/>
        <v>0.08</v>
      </c>
      <c r="AE73" s="146">
        <f t="shared" si="140"/>
        <v>1138.9805247118604</v>
      </c>
    </row>
    <row r="74" spans="2:31" x14ac:dyDescent="0.2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0</v>
      </c>
      <c r="G74" s="144">
        <f t="shared" si="188"/>
        <v>37.012103416171314</v>
      </c>
      <c r="H74" s="144">
        <f t="shared" si="188"/>
        <v>54.739863652673129</v>
      </c>
      <c r="I74" s="144">
        <f t="shared" si="188"/>
        <v>67.412988876928594</v>
      </c>
      <c r="J74" s="144">
        <f t="shared" si="188"/>
        <v>86.645138141370651</v>
      </c>
      <c r="K74" s="144">
        <f t="shared" si="188"/>
        <v>134.30792515134837</v>
      </c>
      <c r="L74" s="144">
        <f t="shared" si="188"/>
        <v>102.84810126582278</v>
      </c>
      <c r="M74" s="144">
        <f t="shared" si="188"/>
        <v>82.011417058428478</v>
      </c>
      <c r="N74" s="144">
        <f t="shared" si="188"/>
        <v>64.646091915464609</v>
      </c>
      <c r="O74" s="144">
        <f t="shared" si="188"/>
        <v>66.193305804545602</v>
      </c>
      <c r="P74" s="144">
        <f t="shared" si="188"/>
        <v>71.130334093927729</v>
      </c>
      <c r="Q74" s="118">
        <f>((P74/G74)^(1/($H$2-$H$1) ))-1</f>
        <v>7.5284668176661018E-2</v>
      </c>
      <c r="R74" s="128"/>
      <c r="S74" s="144">
        <f t="shared" ref="S74:AB74" si="189">S38/S40</f>
        <v>73.0880497111918</v>
      </c>
      <c r="T74" s="144">
        <f t="shared" si="189"/>
        <v>75.099647409664968</v>
      </c>
      <c r="U74" s="144">
        <f t="shared" si="189"/>
        <v>77.16661018240805</v>
      </c>
      <c r="V74" s="144">
        <f t="shared" si="189"/>
        <v>79.290461838804603</v>
      </c>
      <c r="W74" s="144">
        <f t="shared" si="189"/>
        <v>81.472768127946026</v>
      </c>
      <c r="X74" s="144">
        <f t="shared" si="189"/>
        <v>83.715137892935374</v>
      </c>
      <c r="Y74" s="144">
        <f t="shared" si="189"/>
        <v>86.01922425696111</v>
      </c>
      <c r="Z74" s="144">
        <f t="shared" si="189"/>
        <v>88.386725842015096</v>
      </c>
      <c r="AA74" s="144">
        <f t="shared" si="189"/>
        <v>90.819388021153117</v>
      </c>
      <c r="AB74" s="144">
        <f t="shared" si="189"/>
        <v>93.31900420522156</v>
      </c>
      <c r="AC74" s="138">
        <f t="shared" si="187"/>
        <v>4.9876531604319041E-2</v>
      </c>
      <c r="AD74" s="31">
        <f t="shared" si="17"/>
        <v>0.08</v>
      </c>
      <c r="AE74" s="146">
        <f t="shared" si="140"/>
        <v>719.88946101170916</v>
      </c>
    </row>
    <row r="75" spans="2:31" x14ac:dyDescent="0.2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0</v>
      </c>
      <c r="G75" s="144">
        <f t="shared" si="190"/>
        <v>240.78636396189933</v>
      </c>
      <c r="H75" s="144">
        <f t="shared" si="190"/>
        <v>262.56189451022607</v>
      </c>
      <c r="I75" s="144">
        <f t="shared" si="190"/>
        <v>320.39468963042697</v>
      </c>
      <c r="J75" s="144">
        <f t="shared" si="190"/>
        <v>457.66774309293146</v>
      </c>
      <c r="K75" s="144">
        <f t="shared" si="190"/>
        <v>558.37919647771048</v>
      </c>
      <c r="L75" s="144">
        <f t="shared" si="190"/>
        <v>740.04540451293337</v>
      </c>
      <c r="M75" s="144">
        <f t="shared" si="190"/>
        <v>431.87038280725318</v>
      </c>
      <c r="N75" s="144">
        <f t="shared" si="190"/>
        <v>486.46762831264675</v>
      </c>
      <c r="O75" s="144">
        <f t="shared" si="190"/>
        <v>546.29872091852144</v>
      </c>
      <c r="P75" s="144">
        <f t="shared" si="190"/>
        <v>609.93086537479144</v>
      </c>
      <c r="Q75" s="118">
        <f>((P75/G75)^(1/($H$2-$H$1) ))-1</f>
        <v>0.10879142364327832</v>
      </c>
      <c r="R75" s="128"/>
      <c r="S75" s="144">
        <f t="shared" ref="S75:AB75" si="191">S6/S40</f>
        <v>626.71795341262975</v>
      </c>
      <c r="T75" s="144">
        <f t="shared" si="191"/>
        <v>643.96707139646355</v>
      </c>
      <c r="U75" s="144">
        <f t="shared" si="191"/>
        <v>661.69093574682495</v>
      </c>
      <c r="V75" s="144">
        <f t="shared" si="191"/>
        <v>679.9026128774716</v>
      </c>
      <c r="W75" s="144">
        <f t="shared" si="191"/>
        <v>698.61552882822775</v>
      </c>
      <c r="X75" s="144">
        <f t="shared" si="191"/>
        <v>717.84347916294962</v>
      </c>
      <c r="Y75" s="144">
        <f t="shared" si="191"/>
        <v>737.60063913991155</v>
      </c>
      <c r="Z75" s="144">
        <f t="shared" si="191"/>
        <v>757.90157416211105</v>
      </c>
      <c r="AA75" s="144">
        <f t="shared" si="191"/>
        <v>778.76125051519659</v>
      </c>
      <c r="AB75" s="144">
        <f t="shared" si="191"/>
        <v>800.19504640093601</v>
      </c>
      <c r="AC75" s="138">
        <f t="shared" si="187"/>
        <v>6.5248019064451102E-2</v>
      </c>
      <c r="AD75" s="31">
        <f t="shared" ref="AD75" si="192">$L$1</f>
        <v>0.08</v>
      </c>
      <c r="AE75" s="146">
        <f t="shared" si="140"/>
        <v>6172.9332150929349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310</v>
      </c>
      <c r="C79" s="152"/>
      <c r="D79" s="152"/>
      <c r="E79" s="152" t="e">
        <f t="shared" ref="E79:P79" si="193">E36/E25</f>
        <v>#DIV/0!</v>
      </c>
      <c r="F79" s="152" t="e">
        <f t="shared" si="193"/>
        <v>#DIV/0!</v>
      </c>
      <c r="G79" s="152">
        <f t="shared" si="193"/>
        <v>0.1808926581417751</v>
      </c>
      <c r="H79" s="152">
        <f t="shared" si="193"/>
        <v>0.1879364421825068</v>
      </c>
      <c r="I79" s="152">
        <f t="shared" si="193"/>
        <v>0.1691828811919279</v>
      </c>
      <c r="J79" s="152">
        <f t="shared" si="193"/>
        <v>0.17925711697271682</v>
      </c>
      <c r="K79" s="152">
        <f t="shared" si="193"/>
        <v>0.15298993081717926</v>
      </c>
      <c r="L79" s="152">
        <f t="shared" si="193"/>
        <v>0.15734021949644933</v>
      </c>
      <c r="M79" s="152">
        <f t="shared" si="193"/>
        <v>0.13697674945099725</v>
      </c>
      <c r="N79" s="152">
        <f t="shared" si="193"/>
        <v>0.13932515067528925</v>
      </c>
      <c r="O79" s="152">
        <f t="shared" si="193"/>
        <v>9.4808267779783642E-2</v>
      </c>
      <c r="P79" s="152">
        <f t="shared" si="193"/>
        <v>8.0620567332629067E-2</v>
      </c>
      <c r="Q79" s="118">
        <f t="shared" ref="Q79:Q122" si="194">((P79/G79)^(1/($H$2-$H$1) ))-1</f>
        <v>-8.58809329667235E-2</v>
      </c>
      <c r="R79" s="152"/>
      <c r="S79" s="152">
        <f t="shared" ref="S79:AB79" si="195">S36/S25</f>
        <v>8.0620567332629067E-2</v>
      </c>
      <c r="T79" s="152">
        <f t="shared" si="195"/>
        <v>8.0620567332629081E-2</v>
      </c>
      <c r="U79" s="152">
        <f t="shared" si="195"/>
        <v>8.0620567332629067E-2</v>
      </c>
      <c r="V79" s="152">
        <f t="shared" si="195"/>
        <v>8.0620567332629067E-2</v>
      </c>
      <c r="W79" s="152">
        <f t="shared" si="195"/>
        <v>8.0620567332629067E-2</v>
      </c>
      <c r="X79" s="152">
        <f t="shared" si="195"/>
        <v>8.0620567332629081E-2</v>
      </c>
      <c r="Y79" s="152">
        <f t="shared" si="195"/>
        <v>8.0620567332629067E-2</v>
      </c>
      <c r="Z79" s="152">
        <f t="shared" si="195"/>
        <v>8.0620567332629081E-2</v>
      </c>
      <c r="AA79" s="152">
        <f t="shared" si="195"/>
        <v>8.0620567332629081E-2</v>
      </c>
      <c r="AB79" s="152">
        <f t="shared" si="195"/>
        <v>8.0620567332629081E-2</v>
      </c>
      <c r="AC79" s="138">
        <f t="shared" ref="AC79:AC109" si="196">((AB79/G79)^(1/($AB$3-$H$1) ))-1</f>
        <v>-4.1642321546472183E-2</v>
      </c>
      <c r="AD79" s="146"/>
      <c r="AE79" s="146"/>
    </row>
    <row r="80" spans="2:31" x14ac:dyDescent="0.2">
      <c r="B80" s="20" t="s">
        <v>267</v>
      </c>
      <c r="C80" s="152"/>
      <c r="D80" s="152"/>
      <c r="E80" s="152" t="e">
        <f t="shared" ref="E80:P80" si="197">E38/E25</f>
        <v>#DIV/0!</v>
      </c>
      <c r="F80" s="152" t="e">
        <f t="shared" si="197"/>
        <v>#DIV/0!</v>
      </c>
      <c r="G80" s="152">
        <f t="shared" si="197"/>
        <v>9.7614415503465987E-2</v>
      </c>
      <c r="H80" s="152">
        <f t="shared" si="197"/>
        <v>0.11285359214108179</v>
      </c>
      <c r="I80" s="152">
        <f t="shared" si="197"/>
        <v>0.10951653706704595</v>
      </c>
      <c r="J80" s="152">
        <f t="shared" si="197"/>
        <v>0.1051778807623959</v>
      </c>
      <c r="K80" s="152">
        <f t="shared" si="197"/>
        <v>0.13372833755736693</v>
      </c>
      <c r="L80" s="152">
        <f t="shared" si="197"/>
        <v>9.651387992253066E-2</v>
      </c>
      <c r="M80" s="152">
        <f t="shared" si="197"/>
        <v>0.11058386724321387</v>
      </c>
      <c r="N80" s="152">
        <f t="shared" si="197"/>
        <v>7.0648746938835369E-2</v>
      </c>
      <c r="O80" s="152">
        <f t="shared" si="197"/>
        <v>5.3687199971681955E-2</v>
      </c>
      <c r="P80" s="152">
        <f t="shared" si="197"/>
        <v>5.095600451836256E-2</v>
      </c>
      <c r="Q80" s="118">
        <f t="shared" si="194"/>
        <v>-6.9682334526322331E-2</v>
      </c>
      <c r="R80" s="152"/>
      <c r="S80" s="152">
        <f t="shared" ref="S80:AB80" si="198">S38/S25</f>
        <v>5.095600451836256E-2</v>
      </c>
      <c r="T80" s="152">
        <f t="shared" si="198"/>
        <v>5.095600451836256E-2</v>
      </c>
      <c r="U80" s="152">
        <f t="shared" si="198"/>
        <v>5.0956004518362567E-2</v>
      </c>
      <c r="V80" s="152">
        <f t="shared" si="198"/>
        <v>5.0956004518362574E-2</v>
      </c>
      <c r="W80" s="152">
        <f t="shared" si="198"/>
        <v>5.0956004518362574E-2</v>
      </c>
      <c r="X80" s="152">
        <f t="shared" si="198"/>
        <v>5.0956004518362574E-2</v>
      </c>
      <c r="Y80" s="152">
        <f t="shared" si="198"/>
        <v>5.0956004518362574E-2</v>
      </c>
      <c r="Z80" s="152">
        <f t="shared" si="198"/>
        <v>5.0956004518362574E-2</v>
      </c>
      <c r="AA80" s="152">
        <f t="shared" si="198"/>
        <v>5.0956004518362581E-2</v>
      </c>
      <c r="AB80" s="152">
        <f t="shared" si="198"/>
        <v>5.0956004518362581E-2</v>
      </c>
      <c r="AC80" s="138">
        <f t="shared" si="196"/>
        <v>-3.3635145507679987E-2</v>
      </c>
      <c r="AD80" s="146"/>
      <c r="AE80" s="146"/>
    </row>
    <row r="81" spans="2:31" x14ac:dyDescent="0.2">
      <c r="B81" s="20" t="s">
        <v>360</v>
      </c>
      <c r="C81" s="152"/>
      <c r="D81" s="152"/>
      <c r="E81" s="152" t="e">
        <f t="shared" ref="E81:O81" si="199">E38/E7</f>
        <v>#DIV/0!</v>
      </c>
      <c r="F81" s="152" t="e">
        <f t="shared" si="199"/>
        <v>#DIV/0!</v>
      </c>
      <c r="G81" s="152">
        <f>G38/G7</f>
        <v>0.1475854584915898</v>
      </c>
      <c r="H81" s="152">
        <f t="shared" si="199"/>
        <v>0.18736950701284666</v>
      </c>
      <c r="I81" s="152">
        <f t="shared" si="199"/>
        <v>0.18413109098749461</v>
      </c>
      <c r="J81" s="152">
        <f t="shared" si="199"/>
        <v>0.17701476344763886</v>
      </c>
      <c r="K81" s="152">
        <f t="shared" si="199"/>
        <v>0.2283391812865497</v>
      </c>
      <c r="L81" s="152">
        <f t="shared" si="199"/>
        <v>0.12330303680121406</v>
      </c>
      <c r="M81" s="152">
        <f t="shared" si="199"/>
        <v>0.17321030907363016</v>
      </c>
      <c r="N81" s="152">
        <f t="shared" si="199"/>
        <v>0.12506895634171195</v>
      </c>
      <c r="O81" s="152">
        <f t="shared" si="199"/>
        <v>0.11636224143527399</v>
      </c>
      <c r="P81" s="152">
        <f t="shared" ref="P81" si="200">P38/P7</f>
        <v>0.11472357254675784</v>
      </c>
      <c r="Q81" s="118">
        <f t="shared" si="194"/>
        <v>-2.7598869955339111E-2</v>
      </c>
      <c r="R81" s="20"/>
      <c r="S81" s="152">
        <f t="shared" ref="S81" si="201">S38/S7</f>
        <v>0.11472357254675786</v>
      </c>
      <c r="T81" s="152">
        <f t="shared" ref="T81:AB81" si="202">T38/T7</f>
        <v>0.11472357254675786</v>
      </c>
      <c r="U81" s="152">
        <f t="shared" si="202"/>
        <v>0.11472357254675787</v>
      </c>
      <c r="V81" s="152">
        <f t="shared" si="202"/>
        <v>0.11472357254675788</v>
      </c>
      <c r="W81" s="152">
        <f t="shared" si="202"/>
        <v>0.11472357254675788</v>
      </c>
      <c r="X81" s="152">
        <f t="shared" si="202"/>
        <v>0.1147235725467579</v>
      </c>
      <c r="Y81" s="152">
        <f t="shared" si="202"/>
        <v>0.1147235725467579</v>
      </c>
      <c r="Z81" s="152">
        <f t="shared" si="202"/>
        <v>0.1147235725467579</v>
      </c>
      <c r="AA81" s="152">
        <f t="shared" si="202"/>
        <v>0.1147235725467579</v>
      </c>
      <c r="AB81" s="152">
        <f t="shared" si="202"/>
        <v>0.1147235725467579</v>
      </c>
      <c r="AC81" s="138">
        <f t="shared" si="196"/>
        <v>-1.3169454306164119E-2</v>
      </c>
      <c r="AD81" s="146"/>
      <c r="AE81" s="146"/>
    </row>
    <row r="82" spans="2:31" x14ac:dyDescent="0.2">
      <c r="B82" s="20" t="s">
        <v>361</v>
      </c>
      <c r="C82" s="152"/>
      <c r="D82" s="152"/>
      <c r="E82" s="152" t="e">
        <f t="shared" ref="E82:F82" si="203">(E38)/(E7+E10)</f>
        <v>#DIV/0!</v>
      </c>
      <c r="F82" s="152" t="e">
        <f t="shared" si="203"/>
        <v>#DIV/0!</v>
      </c>
      <c r="G82" s="152">
        <f>(G38)/(G7+G10)</f>
        <v>9.223136366069995E-2</v>
      </c>
      <c r="H82" s="152">
        <f t="shared" ref="H82:O82" si="204">(H38)/(H7+H10)</f>
        <v>0.12814137884692917</v>
      </c>
      <c r="I82" s="152">
        <f t="shared" si="204"/>
        <v>0.12633136094674557</v>
      </c>
      <c r="J82" s="152">
        <f t="shared" si="204"/>
        <v>0.11853524445317101</v>
      </c>
      <c r="K82" s="152">
        <f t="shared" si="204"/>
        <v>0.14334488531234396</v>
      </c>
      <c r="L82" s="152">
        <f t="shared" si="204"/>
        <v>7.5695435995584856E-2</v>
      </c>
      <c r="M82" s="152">
        <f t="shared" si="204"/>
        <v>0.11878486627400818</v>
      </c>
      <c r="N82" s="152">
        <f t="shared" si="204"/>
        <v>8.0906339083668857E-2</v>
      </c>
      <c r="O82" s="152">
        <f t="shared" si="204"/>
        <v>7.8217232624563635E-2</v>
      </c>
      <c r="P82" s="152">
        <f t="shared" ref="P82" si="205">(P38)/(P7+P10)</f>
        <v>7.6963044030997463E-2</v>
      </c>
      <c r="Q82" s="118">
        <f t="shared" si="194"/>
        <v>-1.9907496453277718E-2</v>
      </c>
      <c r="R82" s="20"/>
      <c r="S82" s="152">
        <f t="shared" ref="S82:AB82" si="206">(S38)/(S7+S10)</f>
        <v>7.6963044030997477E-2</v>
      </c>
      <c r="T82" s="152">
        <f t="shared" si="206"/>
        <v>7.6963044030997477E-2</v>
      </c>
      <c r="U82" s="152">
        <f t="shared" si="206"/>
        <v>7.6963044030997477E-2</v>
      </c>
      <c r="V82" s="152">
        <f t="shared" si="206"/>
        <v>7.6963044030997491E-2</v>
      </c>
      <c r="W82" s="152">
        <f t="shared" si="206"/>
        <v>7.6963044030997491E-2</v>
      </c>
      <c r="X82" s="152">
        <f t="shared" si="206"/>
        <v>7.6963044030997491E-2</v>
      </c>
      <c r="Y82" s="152">
        <f t="shared" si="206"/>
        <v>7.6963044030997491E-2</v>
      </c>
      <c r="Z82" s="152">
        <f t="shared" si="206"/>
        <v>7.6963044030997491E-2</v>
      </c>
      <c r="AA82" s="152">
        <f t="shared" si="206"/>
        <v>7.6963044030997491E-2</v>
      </c>
      <c r="AB82" s="152">
        <f t="shared" si="206"/>
        <v>7.6963044030997491E-2</v>
      </c>
      <c r="AC82" s="138">
        <f t="shared" si="196"/>
        <v>-9.4797748028921935E-3</v>
      </c>
      <c r="AD82" s="146"/>
      <c r="AE82" s="146"/>
    </row>
    <row r="83" spans="2:31" x14ac:dyDescent="0.2">
      <c r="B83" s="20" t="s">
        <v>377</v>
      </c>
      <c r="C83" s="152"/>
      <c r="D83" s="152"/>
      <c r="E83" s="152"/>
      <c r="F83" s="152"/>
      <c r="G83" s="152">
        <f>G20/G25</f>
        <v>0.22038796441455905</v>
      </c>
      <c r="H83" s="152">
        <f t="shared" ref="H83:P83" si="207">H20/H25</f>
        <v>0.25602142265356848</v>
      </c>
      <c r="I83" s="152">
        <f t="shared" si="207"/>
        <v>0.11976403931123727</v>
      </c>
      <c r="J83" s="152">
        <f t="shared" si="207"/>
        <v>0.14589358514233947</v>
      </c>
      <c r="K83" s="152">
        <f t="shared" si="207"/>
        <v>0.1111925474347558</v>
      </c>
      <c r="L83" s="152">
        <f t="shared" si="207"/>
        <v>0.10514525500322788</v>
      </c>
      <c r="M83" s="152">
        <f t="shared" si="207"/>
        <v>9.2793914559326257E-2</v>
      </c>
      <c r="N83" s="152">
        <f t="shared" si="207"/>
        <v>0.12221928936987668</v>
      </c>
      <c r="O83" s="152">
        <f t="shared" si="207"/>
        <v>6.6664488355565724E-2</v>
      </c>
      <c r="P83" s="152">
        <f t="shared" si="207"/>
        <v>9.0069605228809191E-2</v>
      </c>
      <c r="Q83" s="118">
        <f t="shared" si="194"/>
        <v>-9.4640310447868359E-2</v>
      </c>
      <c r="R83" s="20"/>
      <c r="S83" s="152">
        <f t="shared" ref="S83:AB83" si="208">S20/S25</f>
        <v>9.0069605228809205E-2</v>
      </c>
      <c r="T83" s="152">
        <f t="shared" si="208"/>
        <v>9.0069605228809205E-2</v>
      </c>
      <c r="U83" s="152">
        <f t="shared" si="208"/>
        <v>9.0069605228809205E-2</v>
      </c>
      <c r="V83" s="152">
        <f t="shared" si="208"/>
        <v>9.0069605228809219E-2</v>
      </c>
      <c r="W83" s="152">
        <f t="shared" si="208"/>
        <v>9.0069605228809219E-2</v>
      </c>
      <c r="X83" s="152">
        <f t="shared" si="208"/>
        <v>9.0069605228809219E-2</v>
      </c>
      <c r="Y83" s="152">
        <f t="shared" si="208"/>
        <v>9.0069605228809219E-2</v>
      </c>
      <c r="Z83" s="152">
        <f t="shared" si="208"/>
        <v>9.0069605228809205E-2</v>
      </c>
      <c r="AA83" s="152">
        <f t="shared" si="208"/>
        <v>9.0069605228809219E-2</v>
      </c>
      <c r="AB83" s="152">
        <f t="shared" si="208"/>
        <v>9.0069605228809219E-2</v>
      </c>
      <c r="AC83" s="138">
        <f t="shared" si="196"/>
        <v>-4.6003322016865966E-2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324</v>
      </c>
      <c r="C85" s="152"/>
      <c r="D85" s="152"/>
      <c r="E85" s="152"/>
      <c r="F85" s="152"/>
      <c r="G85" s="152">
        <f>G29/G25</f>
        <v>2.7652380862436959E-2</v>
      </c>
      <c r="H85" s="152">
        <f t="shared" ref="H85:P85" si="209">H29/H25</f>
        <v>2.2073618179666233E-2</v>
      </c>
      <c r="I85" s="152">
        <f t="shared" si="209"/>
        <v>1.108688809354489E-2</v>
      </c>
      <c r="J85" s="152">
        <f t="shared" si="209"/>
        <v>1.1716436112756542E-2</v>
      </c>
      <c r="K85" s="152">
        <f t="shared" si="209"/>
        <v>8.6101787793684496E-3</v>
      </c>
      <c r="L85" s="152">
        <f t="shared" si="209"/>
        <v>1.3770174306003873E-2</v>
      </c>
      <c r="M85" s="152">
        <f t="shared" si="209"/>
        <v>9.340970319893142E-3</v>
      </c>
      <c r="N85" s="152">
        <f t="shared" si="209"/>
        <v>8.8462158872611562E-3</v>
      </c>
      <c r="O85" s="152">
        <f t="shared" si="209"/>
        <v>7.8800404076709227E-3</v>
      </c>
      <c r="P85" s="152">
        <f t="shared" si="209"/>
        <v>6.4481815542484075E-3</v>
      </c>
      <c r="Q85" s="118">
        <f t="shared" si="194"/>
        <v>-0.14936162804438513</v>
      </c>
      <c r="R85" s="20"/>
      <c r="S85" s="152">
        <f t="shared" ref="S85:AB85" si="210">S29/S25</f>
        <v>6.4481815542484075E-3</v>
      </c>
      <c r="T85" s="152">
        <f t="shared" si="210"/>
        <v>6.4481815542484083E-3</v>
      </c>
      <c r="U85" s="152">
        <f t="shared" si="210"/>
        <v>6.4481815542484083E-3</v>
      </c>
      <c r="V85" s="152">
        <f t="shared" si="210"/>
        <v>6.4481815542484083E-3</v>
      </c>
      <c r="W85" s="152">
        <f t="shared" si="210"/>
        <v>6.4481815542484092E-3</v>
      </c>
      <c r="X85" s="152">
        <f t="shared" si="210"/>
        <v>6.4481815542484083E-3</v>
      </c>
      <c r="Y85" s="152">
        <f t="shared" si="210"/>
        <v>6.4481815542484075E-3</v>
      </c>
      <c r="Z85" s="152">
        <f t="shared" si="210"/>
        <v>6.4481815542484075E-3</v>
      </c>
      <c r="AA85" s="152">
        <f t="shared" si="210"/>
        <v>6.4481815542484083E-3</v>
      </c>
      <c r="AB85" s="152">
        <f t="shared" si="210"/>
        <v>6.4481815542484083E-3</v>
      </c>
      <c r="AC85" s="138">
        <f t="shared" si="196"/>
        <v>-7.3764757719005591E-2</v>
      </c>
      <c r="AD85" s="146"/>
      <c r="AE85" s="146"/>
    </row>
    <row r="86" spans="2:31" x14ac:dyDescent="0.2">
      <c r="B86" s="20" t="s">
        <v>370</v>
      </c>
      <c r="C86" s="152"/>
      <c r="D86" s="152"/>
      <c r="E86" s="152"/>
      <c r="F86" s="152"/>
      <c r="G86" s="152">
        <f>G29/G36</f>
        <v>0.15286624203821655</v>
      </c>
      <c r="H86" s="152">
        <f t="shared" ref="H86:P86" si="211">H29/H36</f>
        <v>0.11745257025899394</v>
      </c>
      <c r="I86" s="152">
        <f t="shared" si="211"/>
        <v>6.5531973539140018E-2</v>
      </c>
      <c r="J86" s="152">
        <f t="shared" si="211"/>
        <v>6.5361065215278458E-2</v>
      </c>
      <c r="K86" s="152">
        <f t="shared" si="211"/>
        <v>5.627938213566152E-2</v>
      </c>
      <c r="L86" s="152">
        <f t="shared" si="211"/>
        <v>8.7518463810930577E-2</v>
      </c>
      <c r="M86" s="152">
        <f t="shared" si="211"/>
        <v>6.8193838423905861E-2</v>
      </c>
      <c r="N86" s="152">
        <f t="shared" si="211"/>
        <v>6.3493316493000732E-2</v>
      </c>
      <c r="O86" s="152">
        <f t="shared" si="211"/>
        <v>8.3115540365892179E-2</v>
      </c>
      <c r="P86" s="152">
        <f t="shared" si="211"/>
        <v>7.998184294144349E-2</v>
      </c>
      <c r="Q86" s="118">
        <f t="shared" ref="Q86" si="212">((P86/G86)^(1/($H$2-$H$1) ))-1</f>
        <v>-6.9444667950844363E-2</v>
      </c>
      <c r="R86" s="20"/>
      <c r="S86" s="152">
        <f t="shared" ref="S86:AB86" si="213">S29/S36</f>
        <v>7.998184294144349E-2</v>
      </c>
      <c r="T86" s="152">
        <f t="shared" si="213"/>
        <v>7.998184294144349E-2</v>
      </c>
      <c r="U86" s="152">
        <f t="shared" si="213"/>
        <v>7.998184294144349E-2</v>
      </c>
      <c r="V86" s="152">
        <f t="shared" si="213"/>
        <v>7.998184294144349E-2</v>
      </c>
      <c r="W86" s="152">
        <f t="shared" si="213"/>
        <v>7.998184294144349E-2</v>
      </c>
      <c r="X86" s="152">
        <f t="shared" si="213"/>
        <v>7.998184294144349E-2</v>
      </c>
      <c r="Y86" s="152">
        <f t="shared" si="213"/>
        <v>7.9981842941443476E-2</v>
      </c>
      <c r="Z86" s="152">
        <f t="shared" si="213"/>
        <v>7.9981842941443476E-2</v>
      </c>
      <c r="AA86" s="152">
        <f t="shared" si="213"/>
        <v>7.998184294144349E-2</v>
      </c>
      <c r="AB86" s="152">
        <f t="shared" si="213"/>
        <v>7.998184294144349E-2</v>
      </c>
      <c r="AC86" s="138">
        <f t="shared" ref="AC86" si="214">((AB86/G86)^(1/($AB$3-$H$1) ))-1</f>
        <v>-3.3518212348826237E-2</v>
      </c>
      <c r="AD86" s="146"/>
      <c r="AE86" s="146"/>
    </row>
    <row r="87" spans="2:31" ht="12" customHeight="1" x14ac:dyDescent="0.2">
      <c r="B87" s="20" t="s">
        <v>369</v>
      </c>
      <c r="C87" s="152"/>
      <c r="D87" s="152"/>
      <c r="E87" s="152"/>
      <c r="F87" s="152"/>
      <c r="G87" s="171">
        <f t="shared" ref="G87:P87" si="215">G29/G38</f>
        <v>0.28328173374613003</v>
      </c>
      <c r="H87" s="171">
        <f t="shared" si="215"/>
        <v>0.19559517566858942</v>
      </c>
      <c r="I87" s="171">
        <f t="shared" si="215"/>
        <v>0.10123483074302747</v>
      </c>
      <c r="J87" s="171">
        <f t="shared" si="215"/>
        <v>0.11139638893490145</v>
      </c>
      <c r="K87" s="171">
        <f t="shared" si="215"/>
        <v>6.4385596475951448E-2</v>
      </c>
      <c r="L87" s="171">
        <f t="shared" si="215"/>
        <v>0.14267558528428093</v>
      </c>
      <c r="M87" s="171">
        <f t="shared" si="215"/>
        <v>8.4469557384432709E-2</v>
      </c>
      <c r="N87" s="171">
        <f t="shared" si="215"/>
        <v>0.12521405220279175</v>
      </c>
      <c r="O87" s="171">
        <f t="shared" si="215"/>
        <v>0.14677689303646599</v>
      </c>
      <c r="P87" s="171">
        <f t="shared" si="215"/>
        <v>0.12654409652398735</v>
      </c>
      <c r="Q87" s="118">
        <f t="shared" ref="Q87" si="216">((P87/G87)^(1/($H$2-$H$1) ))-1</f>
        <v>-8.5647404617962941E-2</v>
      </c>
      <c r="R87" s="20"/>
      <c r="S87" s="171">
        <f t="shared" ref="S87:AB87" si="217">S29/S38</f>
        <v>0.12654409652398735</v>
      </c>
      <c r="T87" s="171">
        <f t="shared" si="217"/>
        <v>0.12654409652398738</v>
      </c>
      <c r="U87" s="171">
        <f t="shared" si="217"/>
        <v>0.12654409652398735</v>
      </c>
      <c r="V87" s="171">
        <f t="shared" si="217"/>
        <v>0.12654409652398735</v>
      </c>
      <c r="W87" s="171">
        <f t="shared" si="217"/>
        <v>0.12654409652398735</v>
      </c>
      <c r="X87" s="171">
        <f t="shared" si="217"/>
        <v>0.12654409652398732</v>
      </c>
      <c r="Y87" s="171">
        <f t="shared" si="217"/>
        <v>0.12654409652398732</v>
      </c>
      <c r="Z87" s="171">
        <f t="shared" si="217"/>
        <v>0.12654409652398732</v>
      </c>
      <c r="AA87" s="171">
        <f t="shared" si="217"/>
        <v>0.12654409652398732</v>
      </c>
      <c r="AB87" s="171">
        <f t="shared" si="217"/>
        <v>0.12654409652398732</v>
      </c>
      <c r="AC87" s="138">
        <f t="shared" ref="AC87" si="218">((AB87/G87)^(1/($AB$3-$H$1) ))-1</f>
        <v>-4.1526357280871617E-2</v>
      </c>
      <c r="AD87" s="146"/>
      <c r="AE87" s="146"/>
    </row>
    <row r="88" spans="2:31" ht="12" customHeight="1" x14ac:dyDescent="0.2">
      <c r="B88" s="20" t="s">
        <v>326</v>
      </c>
      <c r="C88" s="152"/>
      <c r="D88" s="152"/>
      <c r="E88" s="152"/>
      <c r="F88" s="152"/>
      <c r="G88" s="171">
        <f t="shared" ref="G88:P88" si="219">G29/G12</f>
        <v>5.4222222222222225</v>
      </c>
      <c r="H88" s="171">
        <f t="shared" si="219"/>
        <v>3.8753246753246753</v>
      </c>
      <c r="I88" s="171">
        <f t="shared" si="219"/>
        <v>3.6718146718146718</v>
      </c>
      <c r="J88" s="171">
        <f t="shared" si="219"/>
        <v>3.2885085574572126</v>
      </c>
      <c r="K88" s="171">
        <f t="shared" si="219"/>
        <v>3.2396907216494846</v>
      </c>
      <c r="L88" s="171">
        <f t="shared" si="219"/>
        <v>2.648669456482597</v>
      </c>
      <c r="M88" s="171">
        <f t="shared" si="219"/>
        <v>3.1069277108433737</v>
      </c>
      <c r="N88" s="171">
        <f t="shared" si="219"/>
        <v>2.7608695652173911</v>
      </c>
      <c r="O88" s="171">
        <f t="shared" si="219"/>
        <v>2.0013831258644537</v>
      </c>
      <c r="P88" s="171">
        <f t="shared" si="219"/>
        <v>5.2382273664182653E-2</v>
      </c>
      <c r="Q88" s="118">
        <f t="shared" si="194"/>
        <v>-0.40281087221953882</v>
      </c>
      <c r="R88" s="20"/>
      <c r="S88" s="152">
        <f t="shared" ref="S88:AB88" si="220">S29/S12</f>
        <v>5.2382273664182653E-2</v>
      </c>
      <c r="T88" s="152">
        <f t="shared" si="220"/>
        <v>5.2382273664182653E-2</v>
      </c>
      <c r="U88" s="152">
        <f t="shared" si="220"/>
        <v>5.2382273664182653E-2</v>
      </c>
      <c r="V88" s="152">
        <f t="shared" si="220"/>
        <v>5.2382273664182653E-2</v>
      </c>
      <c r="W88" s="152">
        <f t="shared" si="220"/>
        <v>5.2382273664182653E-2</v>
      </c>
      <c r="X88" s="152">
        <f t="shared" si="220"/>
        <v>5.2382273664182653E-2</v>
      </c>
      <c r="Y88" s="152">
        <f t="shared" si="220"/>
        <v>5.2382273664182646E-2</v>
      </c>
      <c r="Z88" s="152">
        <f t="shared" si="220"/>
        <v>5.2382273664182646E-2</v>
      </c>
      <c r="AA88" s="152">
        <f t="shared" si="220"/>
        <v>5.2382273664182646E-2</v>
      </c>
      <c r="AB88" s="152">
        <f t="shared" si="220"/>
        <v>5.2382273664182646E-2</v>
      </c>
      <c r="AC88" s="138">
        <f t="shared" si="196"/>
        <v>-0.21666462667985609</v>
      </c>
      <c r="AD88" s="146"/>
      <c r="AE88" s="146"/>
    </row>
    <row r="89" spans="2:31" ht="12" customHeight="1" x14ac:dyDescent="0.2">
      <c r="B89" s="20" t="s">
        <v>371</v>
      </c>
      <c r="C89" s="152"/>
      <c r="D89" s="152"/>
      <c r="E89" s="152"/>
      <c r="F89" s="152"/>
      <c r="G89" s="171">
        <f>G29/G23</f>
        <v>5.4222222222222225</v>
      </c>
      <c r="H89" s="171">
        <f t="shared" ref="H89:P89" si="221">H29/H23</f>
        <v>0.41329639889196673</v>
      </c>
      <c r="I89" s="171">
        <f t="shared" si="221"/>
        <v>0.36353211009174313</v>
      </c>
      <c r="J89" s="171">
        <f t="shared" si="221"/>
        <v>0.69437274135260707</v>
      </c>
      <c r="K89" s="171">
        <f t="shared" si="221"/>
        <v>0.28095663835493967</v>
      </c>
      <c r="L89" s="171">
        <f t="shared" si="221"/>
        <v>9.3791223287309822E-2</v>
      </c>
      <c r="M89" s="171">
        <f t="shared" si="221"/>
        <v>0.14852411807055435</v>
      </c>
      <c r="N89" s="171">
        <f t="shared" si="221"/>
        <v>8.0062377650220645E-2</v>
      </c>
      <c r="O89" s="171">
        <f t="shared" si="221"/>
        <v>7.1051533230217775E-2</v>
      </c>
      <c r="P89" s="171">
        <f t="shared" si="221"/>
        <v>5.2382273664182653E-2</v>
      </c>
      <c r="Q89" s="118">
        <f t="shared" ref="Q89" si="222">((P89/G89)^(1/($H$2-$H$1) ))-1</f>
        <v>-0.40281087221953882</v>
      </c>
      <c r="R89" s="20"/>
      <c r="S89" s="171">
        <f t="shared" ref="S89:AB89" si="223">S29/S23</f>
        <v>5.2382273664182653E-2</v>
      </c>
      <c r="T89" s="171">
        <f t="shared" si="223"/>
        <v>5.2382273664182653E-2</v>
      </c>
      <c r="U89" s="171">
        <f t="shared" si="223"/>
        <v>5.2382273664182653E-2</v>
      </c>
      <c r="V89" s="171">
        <f t="shared" si="223"/>
        <v>5.2382273664182653E-2</v>
      </c>
      <c r="W89" s="171">
        <f t="shared" si="223"/>
        <v>5.2382273664182653E-2</v>
      </c>
      <c r="X89" s="171">
        <f t="shared" si="223"/>
        <v>5.2382273664182653E-2</v>
      </c>
      <c r="Y89" s="171">
        <f t="shared" si="223"/>
        <v>5.2382273664182646E-2</v>
      </c>
      <c r="Z89" s="171">
        <f t="shared" si="223"/>
        <v>5.2382273664182646E-2</v>
      </c>
      <c r="AA89" s="171">
        <f t="shared" si="223"/>
        <v>5.2382273664182646E-2</v>
      </c>
      <c r="AB89" s="171">
        <f t="shared" si="223"/>
        <v>5.2382273664182646E-2</v>
      </c>
      <c r="AC89" s="138">
        <f t="shared" ref="AC89" si="224">((AB89/G89)^(1/($AB$3-$H$1) ))-1</f>
        <v>-0.21666462667985609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327</v>
      </c>
      <c r="C91" s="152"/>
      <c r="D91" s="152"/>
      <c r="E91" s="152"/>
      <c r="F91" s="163">
        <f>F12+F13-F10</f>
        <v>0</v>
      </c>
      <c r="G91" s="163">
        <f>G12+G13-G10</f>
        <v>-2318</v>
      </c>
      <c r="H91" s="163">
        <f t="shared" ref="H91:P91" si="225">H12+H13-H10</f>
        <v>4651</v>
      </c>
      <c r="I91" s="163">
        <f t="shared" si="225"/>
        <v>-16417</v>
      </c>
      <c r="J91" s="163">
        <f t="shared" si="225"/>
        <v>-27974</v>
      </c>
      <c r="K91" s="163">
        <f t="shared" si="225"/>
        <v>-40786</v>
      </c>
      <c r="L91" s="163">
        <f t="shared" si="225"/>
        <v>-69015.69</v>
      </c>
      <c r="M91" s="163">
        <f t="shared" si="225"/>
        <v>-54803</v>
      </c>
      <c r="N91" s="163">
        <f t="shared" si="225"/>
        <v>-66269</v>
      </c>
      <c r="O91" s="163">
        <f t="shared" si="225"/>
        <v>-42593</v>
      </c>
      <c r="P91" s="163">
        <f t="shared" si="225"/>
        <v>3982</v>
      </c>
      <c r="Q91" s="118">
        <f t="shared" si="194"/>
        <v>-2.0619639109441188</v>
      </c>
      <c r="R91" s="20"/>
      <c r="S91" s="163">
        <f t="shared" ref="S91:AB91" si="226">S12+S13-S10</f>
        <v>4459.8399999999965</v>
      </c>
      <c r="T91" s="163">
        <f t="shared" si="226"/>
        <v>4995.0207999999839</v>
      </c>
      <c r="U91" s="163">
        <f t="shared" si="226"/>
        <v>5594.4232959999936</v>
      </c>
      <c r="V91" s="163">
        <f t="shared" si="226"/>
        <v>6265.7540915200079</v>
      </c>
      <c r="W91" s="163">
        <f t="shared" si="226"/>
        <v>7017.6445825023984</v>
      </c>
      <c r="X91" s="163">
        <f t="shared" si="226"/>
        <v>7859.7619324026746</v>
      </c>
      <c r="Y91" s="163">
        <f t="shared" si="226"/>
        <v>8802.9333642909769</v>
      </c>
      <c r="Z91" s="163">
        <f t="shared" si="226"/>
        <v>9859.2853680058906</v>
      </c>
      <c r="AA91" s="163">
        <f t="shared" si="226"/>
        <v>11042.399612166599</v>
      </c>
      <c r="AB91" s="163">
        <f t="shared" si="226"/>
        <v>12367.487565626565</v>
      </c>
      <c r="AC91" s="138">
        <f t="shared" si="196"/>
        <v>-2.0921241297898678</v>
      </c>
      <c r="AD91" s="146"/>
      <c r="AE91" s="146"/>
    </row>
    <row r="92" spans="2:31" ht="12" customHeight="1" x14ac:dyDescent="0.2">
      <c r="B92" s="20" t="s">
        <v>322</v>
      </c>
      <c r="C92" s="20"/>
      <c r="D92" s="20"/>
      <c r="E92" s="20"/>
      <c r="F92" s="20"/>
      <c r="G92" s="152">
        <f t="shared" ref="G92:P92" si="227">G38/G18</f>
        <v>0.16223512792340292</v>
      </c>
      <c r="H92" s="152">
        <f t="shared" si="227"/>
        <v>0.25213194949428175</v>
      </c>
      <c r="I92" s="152">
        <f t="shared" si="227"/>
        <v>0.16688577011902647</v>
      </c>
      <c r="J92" s="152">
        <f t="shared" si="227"/>
        <v>0.18626392274227885</v>
      </c>
      <c r="K92" s="152">
        <f t="shared" si="227"/>
        <v>0.30475640405238758</v>
      </c>
      <c r="L92" s="152">
        <f t="shared" si="227"/>
        <v>0.13966219498523971</v>
      </c>
      <c r="M92" s="152">
        <f t="shared" si="227"/>
        <v>0.15246174878738505</v>
      </c>
      <c r="N92" s="152">
        <f t="shared" si="227"/>
        <v>0.12189197907640149</v>
      </c>
      <c r="O92" s="152">
        <f t="shared" si="227"/>
        <v>0.12504280767620907</v>
      </c>
      <c r="P92" s="152">
        <f t="shared" si="227"/>
        <v>0.12563158654540205</v>
      </c>
      <c r="Q92" s="118">
        <f t="shared" si="194"/>
        <v>-2.8010552789858312E-2</v>
      </c>
      <c r="R92" s="20"/>
      <c r="S92" s="152">
        <f t="shared" ref="S92:AB92" si="228">S38/S18</f>
        <v>0.12563158654540207</v>
      </c>
      <c r="T92" s="152">
        <f t="shared" si="228"/>
        <v>0.12563158654540207</v>
      </c>
      <c r="U92" s="152">
        <f t="shared" si="228"/>
        <v>0.12563158654540207</v>
      </c>
      <c r="V92" s="152">
        <f t="shared" si="228"/>
        <v>0.12563158654540207</v>
      </c>
      <c r="W92" s="152">
        <f t="shared" si="228"/>
        <v>0.12563158654540207</v>
      </c>
      <c r="X92" s="152">
        <f t="shared" si="228"/>
        <v>0.1256315865454021</v>
      </c>
      <c r="Y92" s="152">
        <f t="shared" si="228"/>
        <v>0.1256315865454021</v>
      </c>
      <c r="Z92" s="152">
        <f t="shared" si="228"/>
        <v>0.1256315865454021</v>
      </c>
      <c r="AA92" s="152">
        <f t="shared" si="228"/>
        <v>0.12563158654540207</v>
      </c>
      <c r="AB92" s="152">
        <f t="shared" si="228"/>
        <v>0.1256315865454021</v>
      </c>
      <c r="AC92" s="138">
        <f t="shared" si="196"/>
        <v>-1.3367377727722229E-2</v>
      </c>
      <c r="AD92" s="20"/>
      <c r="AE92" s="20"/>
    </row>
    <row r="93" spans="2:31" x14ac:dyDescent="0.2">
      <c r="B93" s="20" t="s">
        <v>323</v>
      </c>
      <c r="C93" s="20"/>
      <c r="D93" s="20"/>
      <c r="E93" s="20"/>
      <c r="F93" s="20"/>
      <c r="G93" s="152">
        <f t="shared" ref="G93:P93" si="229">G38/G25</f>
        <v>9.7614415503465987E-2</v>
      </c>
      <c r="H93" s="152">
        <f t="shared" si="229"/>
        <v>0.11285359214108179</v>
      </c>
      <c r="I93" s="152">
        <f t="shared" si="229"/>
        <v>0.10951653706704595</v>
      </c>
      <c r="J93" s="152">
        <f t="shared" si="229"/>
        <v>0.1051778807623959</v>
      </c>
      <c r="K93" s="152">
        <f t="shared" si="229"/>
        <v>0.13372833755736693</v>
      </c>
      <c r="L93" s="152">
        <f t="shared" si="229"/>
        <v>9.651387992253066E-2</v>
      </c>
      <c r="M93" s="152">
        <f t="shared" si="229"/>
        <v>0.11058386724321387</v>
      </c>
      <c r="N93" s="152">
        <f t="shared" si="229"/>
        <v>7.0648746938835369E-2</v>
      </c>
      <c r="O93" s="152">
        <f t="shared" si="229"/>
        <v>5.3687199971681955E-2</v>
      </c>
      <c r="P93" s="152">
        <f t="shared" si="229"/>
        <v>5.095600451836256E-2</v>
      </c>
      <c r="Q93" s="118">
        <f t="shared" si="194"/>
        <v>-6.9682334526322331E-2</v>
      </c>
      <c r="R93" s="20"/>
      <c r="S93" s="152">
        <f t="shared" ref="S93:AB93" si="230">S38/S25</f>
        <v>5.095600451836256E-2</v>
      </c>
      <c r="T93" s="152">
        <f t="shared" si="230"/>
        <v>5.095600451836256E-2</v>
      </c>
      <c r="U93" s="152">
        <f t="shared" si="230"/>
        <v>5.0956004518362567E-2</v>
      </c>
      <c r="V93" s="152">
        <f t="shared" si="230"/>
        <v>5.0956004518362574E-2</v>
      </c>
      <c r="W93" s="152">
        <f t="shared" si="230"/>
        <v>5.0956004518362574E-2</v>
      </c>
      <c r="X93" s="152">
        <f t="shared" si="230"/>
        <v>5.0956004518362574E-2</v>
      </c>
      <c r="Y93" s="152">
        <f t="shared" si="230"/>
        <v>5.0956004518362574E-2</v>
      </c>
      <c r="Z93" s="152">
        <f t="shared" si="230"/>
        <v>5.0956004518362574E-2</v>
      </c>
      <c r="AA93" s="152">
        <f t="shared" si="230"/>
        <v>5.0956004518362581E-2</v>
      </c>
      <c r="AB93" s="152">
        <f t="shared" si="230"/>
        <v>5.0956004518362581E-2</v>
      </c>
      <c r="AC93" s="138">
        <f t="shared" si="196"/>
        <v>-3.3635145507679987E-2</v>
      </c>
      <c r="AD93" s="20"/>
      <c r="AE93" s="20"/>
    </row>
    <row r="94" spans="2:31" x14ac:dyDescent="0.2">
      <c r="B94" s="20" t="s">
        <v>349</v>
      </c>
      <c r="C94" s="20"/>
      <c r="D94" s="20"/>
      <c r="E94" s="152"/>
      <c r="F94" s="152"/>
      <c r="G94" s="152">
        <f t="shared" ref="G94:O94" si="231">G25/G18</f>
        <v>1.6619996860775388</v>
      </c>
      <c r="H94" s="152">
        <f t="shared" si="231"/>
        <v>2.234150856085146</v>
      </c>
      <c r="I94" s="152">
        <f t="shared" si="231"/>
        <v>1.5238408243027182</v>
      </c>
      <c r="J94" s="152">
        <f t="shared" si="231"/>
        <v>1.7709419641479744</v>
      </c>
      <c r="K94" s="152">
        <f t="shared" si="231"/>
        <v>2.2789216527996752</v>
      </c>
      <c r="L94" s="152">
        <f t="shared" si="231"/>
        <v>1.4470684951982362</v>
      </c>
      <c r="M94" s="152">
        <f t="shared" si="231"/>
        <v>1.3786979293468422</v>
      </c>
      <c r="N94" s="152">
        <f t="shared" si="231"/>
        <v>1.7253240058444392</v>
      </c>
      <c r="O94" s="152">
        <f t="shared" si="231"/>
        <v>2.3290990728174426</v>
      </c>
      <c r="P94" s="152">
        <f>P25/P18</f>
        <v>2.4654913141812234</v>
      </c>
      <c r="Q94" s="118">
        <f t="shared" si="194"/>
        <v>4.4793067231768013E-2</v>
      </c>
      <c r="R94" s="20"/>
      <c r="S94" s="152">
        <f>S25/S18</f>
        <v>2.4654913141812234</v>
      </c>
      <c r="T94" s="152">
        <f t="shared" ref="T94:AB94" si="232">T25/T18</f>
        <v>2.4654913141812234</v>
      </c>
      <c r="U94" s="152">
        <f t="shared" si="232"/>
        <v>2.4654913141812229</v>
      </c>
      <c r="V94" s="152">
        <f t="shared" si="232"/>
        <v>2.4654913141812229</v>
      </c>
      <c r="W94" s="152">
        <f t="shared" si="232"/>
        <v>2.4654913141812234</v>
      </c>
      <c r="X94" s="152">
        <f t="shared" si="232"/>
        <v>2.4654913141812234</v>
      </c>
      <c r="Y94" s="152">
        <f t="shared" si="232"/>
        <v>2.4654913141812234</v>
      </c>
      <c r="Z94" s="152">
        <f t="shared" si="232"/>
        <v>2.4654913141812234</v>
      </c>
      <c r="AA94" s="152">
        <f t="shared" si="232"/>
        <v>2.4654913141812229</v>
      </c>
      <c r="AB94" s="152">
        <f t="shared" si="232"/>
        <v>2.4654913141812229</v>
      </c>
      <c r="AC94" s="138">
        <f t="shared" si="196"/>
        <v>2.0973204567342751E-2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0</v>
      </c>
      <c r="G96" s="165">
        <f>G63*G40</f>
        <v>733.0575</v>
      </c>
      <c r="H96" s="165">
        <f t="shared" ref="H96:P96" si="234">H63*H40</f>
        <v>1045.125</v>
      </c>
      <c r="I96" s="165">
        <f t="shared" si="234"/>
        <v>1393.5</v>
      </c>
      <c r="J96" s="165">
        <f t="shared" si="234"/>
        <v>1532.85</v>
      </c>
      <c r="K96" s="165">
        <f t="shared" si="234"/>
        <v>1889.6800000000003</v>
      </c>
      <c r="L96" s="165">
        <f t="shared" si="234"/>
        <v>1889.6800000000003</v>
      </c>
      <c r="M96" s="165">
        <f t="shared" si="234"/>
        <v>2084.6</v>
      </c>
      <c r="N96" s="165">
        <f t="shared" si="234"/>
        <v>2384.8000000000002</v>
      </c>
      <c r="O96" s="165">
        <f t="shared" si="234"/>
        <v>2531.895</v>
      </c>
      <c r="P96" s="165">
        <f t="shared" si="234"/>
        <v>2642.67</v>
      </c>
      <c r="Q96" s="118">
        <f t="shared" si="194"/>
        <v>0.15313013409736986</v>
      </c>
      <c r="R96" s="20"/>
      <c r="S96" s="165">
        <f t="shared" ref="S96:AB96" si="235">S63*S40</f>
        <v>3024.5358150000006</v>
      </c>
      <c r="T96" s="165">
        <f t="shared" si="235"/>
        <v>3461.581240267501</v>
      </c>
      <c r="U96" s="165">
        <f t="shared" si="235"/>
        <v>3961.7797294861557</v>
      </c>
      <c r="V96" s="165">
        <f t="shared" si="235"/>
        <v>4534.2569003969056</v>
      </c>
      <c r="W96" s="165">
        <f t="shared" si="235"/>
        <v>5189.4570225042589</v>
      </c>
      <c r="X96" s="165">
        <f t="shared" si="235"/>
        <v>5939.3335622561244</v>
      </c>
      <c r="Y96" s="165">
        <f t="shared" si="235"/>
        <v>6797.567262002136</v>
      </c>
      <c r="Z96" s="165">
        <f t="shared" si="235"/>
        <v>7779.8157313614447</v>
      </c>
      <c r="AA96" s="165">
        <f t="shared" si="235"/>
        <v>8903.9991045431761</v>
      </c>
      <c r="AB96" s="165">
        <f t="shared" si="235"/>
        <v>10190.626975149666</v>
      </c>
      <c r="AC96" s="138">
        <f t="shared" si="196"/>
        <v>0.14857987729230349</v>
      </c>
      <c r="AD96" s="20"/>
      <c r="AE96" s="20"/>
    </row>
    <row r="97" spans="2:31" x14ac:dyDescent="0.2">
      <c r="B97" s="20" t="s">
        <v>336</v>
      </c>
      <c r="C97" s="20"/>
      <c r="D97" s="20"/>
      <c r="E97" s="165">
        <f>(E96*0.17)+E96</f>
        <v>0</v>
      </c>
      <c r="F97" s="165">
        <f>(F96*0.17)+F96</f>
        <v>0</v>
      </c>
      <c r="G97" s="165">
        <f t="shared" ref="G97:P97" si="236">(G96*0.17)+G96</f>
        <v>857.67727500000001</v>
      </c>
      <c r="H97" s="165">
        <f t="shared" si="236"/>
        <v>1222.7962500000001</v>
      </c>
      <c r="I97" s="165">
        <f t="shared" si="236"/>
        <v>1630.395</v>
      </c>
      <c r="J97" s="165">
        <f t="shared" si="236"/>
        <v>1793.4344999999998</v>
      </c>
      <c r="K97" s="165">
        <f t="shared" si="236"/>
        <v>2210.9256000000005</v>
      </c>
      <c r="L97" s="165">
        <f t="shared" si="236"/>
        <v>2210.9256000000005</v>
      </c>
      <c r="M97" s="165">
        <f t="shared" si="236"/>
        <v>2438.982</v>
      </c>
      <c r="N97" s="165">
        <f t="shared" si="236"/>
        <v>2790.2160000000003</v>
      </c>
      <c r="O97" s="165">
        <f t="shared" si="236"/>
        <v>2962.3171499999999</v>
      </c>
      <c r="P97" s="165">
        <f t="shared" si="236"/>
        <v>3091.9239000000002</v>
      </c>
      <c r="Q97" s="118">
        <f t="shared" si="194"/>
        <v>0.15313013409736986</v>
      </c>
      <c r="R97" s="20"/>
      <c r="S97" s="165">
        <f t="shared" ref="S97:AB97" si="237">(S96*0.17)+S96</f>
        <v>3538.7069035500008</v>
      </c>
      <c r="T97" s="165">
        <f t="shared" si="237"/>
        <v>4050.0500511129762</v>
      </c>
      <c r="U97" s="165">
        <f t="shared" si="237"/>
        <v>4635.2822834988019</v>
      </c>
      <c r="V97" s="165">
        <f t="shared" si="237"/>
        <v>5305.08057346438</v>
      </c>
      <c r="W97" s="165">
        <f t="shared" si="237"/>
        <v>6071.6647163299831</v>
      </c>
      <c r="X97" s="165">
        <f t="shared" si="237"/>
        <v>6949.0202678396654</v>
      </c>
      <c r="Y97" s="165">
        <f t="shared" si="237"/>
        <v>7953.1536965424993</v>
      </c>
      <c r="Z97" s="165">
        <f t="shared" si="237"/>
        <v>9102.3844056928901</v>
      </c>
      <c r="AA97" s="165">
        <f t="shared" si="237"/>
        <v>10417.678952315517</v>
      </c>
      <c r="AB97" s="165">
        <f t="shared" si="237"/>
        <v>11923.033560925109</v>
      </c>
      <c r="AC97" s="138">
        <f t="shared" si="196"/>
        <v>0.14857987729230349</v>
      </c>
      <c r="AD97" s="20"/>
      <c r="AE97" s="20"/>
    </row>
    <row r="98" spans="2:31" x14ac:dyDescent="0.2">
      <c r="B98" s="20" t="s">
        <v>337</v>
      </c>
      <c r="C98" s="20"/>
      <c r="D98" s="20"/>
      <c r="E98" s="20"/>
      <c r="F98" s="152" t="e">
        <f t="shared" ref="F98:P98" si="238">F97/F38</f>
        <v>#DIV/0!</v>
      </c>
      <c r="G98" s="152">
        <f t="shared" si="238"/>
        <v>0.1659592250386997</v>
      </c>
      <c r="H98" s="152">
        <f t="shared" si="238"/>
        <v>0.16030365102254851</v>
      </c>
      <c r="I98" s="152">
        <f t="shared" si="238"/>
        <v>0.17355705769640195</v>
      </c>
      <c r="J98" s="152">
        <f t="shared" si="238"/>
        <v>0.14853689746562862</v>
      </c>
      <c r="K98" s="152">
        <f t="shared" si="238"/>
        <v>0.1132472263484096</v>
      </c>
      <c r="L98" s="152">
        <f t="shared" si="238"/>
        <v>0.14788800000000002</v>
      </c>
      <c r="M98" s="152">
        <f t="shared" si="238"/>
        <v>9.9864144453998285E-2</v>
      </c>
      <c r="N98" s="152">
        <f t="shared" si="238"/>
        <v>0.14478833480359091</v>
      </c>
      <c r="O98" s="152">
        <f t="shared" si="238"/>
        <v>0.15024177866815439</v>
      </c>
      <c r="P98" s="152">
        <f t="shared" si="238"/>
        <v>0.14803810686584315</v>
      </c>
      <c r="Q98" s="118">
        <f t="shared" si="194"/>
        <v>-1.2616668051770974E-2</v>
      </c>
      <c r="R98" s="20"/>
      <c r="S98" s="152">
        <f t="shared" ref="S98:AB98" si="239">S97/S38</f>
        <v>0.15127644045353347</v>
      </c>
      <c r="T98" s="152">
        <f t="shared" si="239"/>
        <v>0.15458561258845452</v>
      </c>
      <c r="U98" s="152">
        <f t="shared" si="239"/>
        <v>0.15796717286382697</v>
      </c>
      <c r="V98" s="152">
        <f t="shared" si="239"/>
        <v>0.16142270477022319</v>
      </c>
      <c r="W98" s="152">
        <f t="shared" si="239"/>
        <v>0.16495382643707182</v>
      </c>
      <c r="X98" s="152">
        <f t="shared" si="239"/>
        <v>0.16856219139038273</v>
      </c>
      <c r="Y98" s="152">
        <f t="shared" si="239"/>
        <v>0.17224948932704737</v>
      </c>
      <c r="Z98" s="152">
        <f t="shared" si="239"/>
        <v>0.17601744690607651</v>
      </c>
      <c r="AA98" s="152">
        <f t="shared" si="239"/>
        <v>0.179867828557147</v>
      </c>
      <c r="AB98" s="152">
        <f t="shared" si="239"/>
        <v>0.18380243730683457</v>
      </c>
      <c r="AC98" s="138">
        <f t="shared" si="196"/>
        <v>5.38917197136346E-3</v>
      </c>
      <c r="AD98" s="20"/>
      <c r="AE98" s="20"/>
    </row>
    <row r="99" spans="2:31" x14ac:dyDescent="0.2">
      <c r="B99" s="20" t="s">
        <v>330</v>
      </c>
      <c r="C99" s="20"/>
      <c r="D99" s="20"/>
      <c r="E99" s="20"/>
      <c r="F99" s="152" t="e">
        <f>1-F98</f>
        <v>#DIV/0!</v>
      </c>
      <c r="G99" s="152">
        <f>1-G98</f>
        <v>0.83404077496130036</v>
      </c>
      <c r="H99" s="152">
        <f t="shared" ref="H99:P99" si="240">1-H98</f>
        <v>0.83969634897745149</v>
      </c>
      <c r="I99" s="152">
        <f t="shared" si="240"/>
        <v>0.82644294230359805</v>
      </c>
      <c r="J99" s="152">
        <f t="shared" si="240"/>
        <v>0.85146310253437141</v>
      </c>
      <c r="K99" s="152">
        <f t="shared" si="240"/>
        <v>0.88675277365159044</v>
      </c>
      <c r="L99" s="152">
        <f t="shared" si="240"/>
        <v>0.85211199999999998</v>
      </c>
      <c r="M99" s="152">
        <f t="shared" si="240"/>
        <v>0.90013585554600173</v>
      </c>
      <c r="N99" s="152">
        <f t="shared" si="240"/>
        <v>0.85521166519640912</v>
      </c>
      <c r="O99" s="152">
        <f t="shared" si="240"/>
        <v>0.84975822133184564</v>
      </c>
      <c r="P99" s="152">
        <f t="shared" si="240"/>
        <v>0.85196189313415682</v>
      </c>
      <c r="Q99" s="118">
        <f t="shared" si="194"/>
        <v>2.3649596108179516E-3</v>
      </c>
      <c r="R99" s="20"/>
      <c r="S99" s="152">
        <f t="shared" ref="S99:AB99" si="241">1-S98</f>
        <v>0.8487235595464665</v>
      </c>
      <c r="T99" s="152">
        <f t="shared" si="241"/>
        <v>0.84541438741154551</v>
      </c>
      <c r="U99" s="152">
        <f t="shared" si="241"/>
        <v>0.842032827136173</v>
      </c>
      <c r="V99" s="152">
        <f t="shared" si="241"/>
        <v>0.83857729522977675</v>
      </c>
      <c r="W99" s="152">
        <f t="shared" si="241"/>
        <v>0.83504617356292821</v>
      </c>
      <c r="X99" s="152">
        <f t="shared" si="241"/>
        <v>0.83143780860961725</v>
      </c>
      <c r="Y99" s="152">
        <f t="shared" si="241"/>
        <v>0.82775051067295258</v>
      </c>
      <c r="Z99" s="152">
        <f t="shared" si="241"/>
        <v>0.82398255309392354</v>
      </c>
      <c r="AA99" s="152">
        <f t="shared" si="241"/>
        <v>0.820132171442853</v>
      </c>
      <c r="AB99" s="152">
        <f t="shared" si="241"/>
        <v>0.81619756269316546</v>
      </c>
      <c r="AC99" s="138">
        <f t="shared" si="196"/>
        <v>-1.1375553980770281E-3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334</v>
      </c>
      <c r="C101" s="152"/>
      <c r="D101" s="152"/>
      <c r="E101" s="152"/>
      <c r="F101" s="152" t="e">
        <f>F31/F25</f>
        <v>#DIV/0!</v>
      </c>
      <c r="G101" s="152">
        <f>G31/G25</f>
        <v>0</v>
      </c>
      <c r="H101" s="152">
        <f t="shared" ref="H101:P101" si="242">H31/H25</f>
        <v>0</v>
      </c>
      <c r="I101" s="152">
        <f t="shared" si="242"/>
        <v>0</v>
      </c>
      <c r="J101" s="152">
        <f t="shared" si="242"/>
        <v>0</v>
      </c>
      <c r="K101" s="152">
        <f t="shared" si="242"/>
        <v>0</v>
      </c>
      <c r="L101" s="152">
        <f t="shared" si="242"/>
        <v>0</v>
      </c>
      <c r="M101" s="152">
        <f t="shared" si="242"/>
        <v>0</v>
      </c>
      <c r="N101" s="152">
        <f t="shared" si="242"/>
        <v>0</v>
      </c>
      <c r="O101" s="152">
        <f t="shared" si="242"/>
        <v>0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 x14ac:dyDescent="0.2">
      <c r="B102" s="20" t="s">
        <v>331</v>
      </c>
      <c r="C102" s="152"/>
      <c r="D102" s="152"/>
      <c r="E102" s="152"/>
      <c r="F102" s="152" t="e">
        <f>F32/F25</f>
        <v>#DIV/0!</v>
      </c>
      <c r="G102" s="152">
        <f>G32/G25</f>
        <v>0</v>
      </c>
      <c r="H102" s="152">
        <f t="shared" ref="H102:P102" si="244">H32/H25</f>
        <v>0</v>
      </c>
      <c r="I102" s="152">
        <f t="shared" si="244"/>
        <v>0</v>
      </c>
      <c r="J102" s="152">
        <f t="shared" si="244"/>
        <v>0</v>
      </c>
      <c r="K102" s="152">
        <f t="shared" si="244"/>
        <v>0</v>
      </c>
      <c r="L102" s="152">
        <f t="shared" si="244"/>
        <v>0</v>
      </c>
      <c r="M102" s="152">
        <f t="shared" si="244"/>
        <v>0</v>
      </c>
      <c r="N102" s="152">
        <f t="shared" si="244"/>
        <v>0</v>
      </c>
      <c r="O102" s="152">
        <f t="shared" si="244"/>
        <v>0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 x14ac:dyDescent="0.2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 x14ac:dyDescent="0.2">
      <c r="B104" s="20" t="s">
        <v>355</v>
      </c>
      <c r="C104" s="20"/>
      <c r="D104" s="20"/>
      <c r="E104" s="20"/>
      <c r="F104" s="20"/>
      <c r="G104" s="152">
        <f>G27/G25</f>
        <v>0.79122830213625972</v>
      </c>
      <c r="H104" s="152">
        <f t="shared" ref="H104:P104" si="246">H27/H25</f>
        <v>0.78762279559711212</v>
      </c>
      <c r="I104" s="152">
        <f t="shared" si="246"/>
        <v>0.81954370052578196</v>
      </c>
      <c r="J104" s="152">
        <f t="shared" si="246"/>
        <v>0.8179204850343218</v>
      </c>
      <c r="K104" s="152">
        <f t="shared" si="246"/>
        <v>0.79941776834029732</v>
      </c>
      <c r="L104" s="152">
        <f t="shared" si="246"/>
        <v>0.83429309231762427</v>
      </c>
      <c r="M104" s="152">
        <f t="shared" si="246"/>
        <v>0.81117928052342037</v>
      </c>
      <c r="N104" s="152">
        <f t="shared" si="246"/>
        <v>0.85114674526710954</v>
      </c>
      <c r="O104" s="152">
        <f t="shared" si="246"/>
        <v>0.88917025407276107</v>
      </c>
      <c r="P104" s="152">
        <f t="shared" si="246"/>
        <v>0.9001861506820239</v>
      </c>
      <c r="Q104" s="118">
        <f t="shared" si="194"/>
        <v>1.4438241673349728E-2</v>
      </c>
      <c r="R104" s="20"/>
      <c r="S104" s="152">
        <f t="shared" ref="S104:AB104" si="247">S27/S25</f>
        <v>0.9001861506820239</v>
      </c>
      <c r="T104" s="152">
        <f t="shared" si="247"/>
        <v>0.90018615068202401</v>
      </c>
      <c r="U104" s="152">
        <f t="shared" si="247"/>
        <v>0.90018615068202401</v>
      </c>
      <c r="V104" s="152">
        <f t="shared" si="247"/>
        <v>0.90018615068202412</v>
      </c>
      <c r="W104" s="152">
        <f t="shared" si="247"/>
        <v>0.90018615068202401</v>
      </c>
      <c r="X104" s="152">
        <f t="shared" si="247"/>
        <v>0.90018615068202401</v>
      </c>
      <c r="Y104" s="152">
        <f t="shared" si="247"/>
        <v>0.90018615068202401</v>
      </c>
      <c r="Z104" s="152">
        <f t="shared" si="247"/>
        <v>0.90018615068202401</v>
      </c>
      <c r="AA104" s="152">
        <f t="shared" si="247"/>
        <v>0.90018615068202412</v>
      </c>
      <c r="AB104" s="152">
        <f t="shared" si="247"/>
        <v>0.90018615068202412</v>
      </c>
      <c r="AC104" s="138">
        <f t="shared" si="196"/>
        <v>6.8133705997077687E-3</v>
      </c>
      <c r="AD104" s="20"/>
      <c r="AE104" s="20"/>
    </row>
    <row r="105" spans="2:31" x14ac:dyDescent="0.2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0.68348979090720208</v>
      </c>
      <c r="H105" s="152">
        <f t="shared" ref="H105:P105" si="248">H33/H25</f>
        <v>0.70153272576636283</v>
      </c>
      <c r="I105" s="152">
        <f t="shared" si="248"/>
        <v>0.70606339694789977</v>
      </c>
      <c r="J105" s="152">
        <f t="shared" si="248"/>
        <v>0.71269904874734313</v>
      </c>
      <c r="K105" s="152">
        <f t="shared" si="248"/>
        <v>0.70939105418179327</v>
      </c>
      <c r="L105" s="152">
        <f t="shared" si="248"/>
        <v>0.75722401549386698</v>
      </c>
      <c r="M105" s="152">
        <f t="shared" si="248"/>
        <v>0.74382287020896065</v>
      </c>
      <c r="N105" s="152">
        <f t="shared" si="248"/>
        <v>0.77968779786781639</v>
      </c>
      <c r="O105" s="152">
        <f t="shared" si="248"/>
        <v>0.83042120368025663</v>
      </c>
      <c r="P105" s="152">
        <f t="shared" si="248"/>
        <v>0.83313774906497706</v>
      </c>
      <c r="Q105" s="118">
        <f t="shared" si="194"/>
        <v>2.2242339014187262E-2</v>
      </c>
      <c r="R105" s="20"/>
      <c r="S105" s="152">
        <f t="shared" ref="S105:AB105" si="249">S33/S25</f>
        <v>0.83313774906497717</v>
      </c>
      <c r="T105" s="152">
        <f t="shared" si="249"/>
        <v>0.83313774906497728</v>
      </c>
      <c r="U105" s="152">
        <f t="shared" si="249"/>
        <v>0.83313774906497728</v>
      </c>
      <c r="V105" s="152">
        <f t="shared" si="249"/>
        <v>0.83313774906497728</v>
      </c>
      <c r="W105" s="152">
        <f t="shared" si="249"/>
        <v>0.83313774906497728</v>
      </c>
      <c r="X105" s="152">
        <f t="shared" si="249"/>
        <v>0.83313774906497728</v>
      </c>
      <c r="Y105" s="152">
        <f t="shared" si="249"/>
        <v>0.83313774906497728</v>
      </c>
      <c r="Z105" s="152">
        <f t="shared" si="249"/>
        <v>0.83313774906497728</v>
      </c>
      <c r="AA105" s="152">
        <f t="shared" si="249"/>
        <v>0.8331377490649774</v>
      </c>
      <c r="AB105" s="152">
        <f t="shared" si="249"/>
        <v>0.8331377490649774</v>
      </c>
      <c r="AC105" s="138">
        <f t="shared" si="196"/>
        <v>1.0474864103355852E-2</v>
      </c>
      <c r="AD105" s="20"/>
      <c r="AE105" s="20"/>
    </row>
    <row r="106" spans="2:31" x14ac:dyDescent="0.2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1.3693972763160381E-2</v>
      </c>
      <c r="H106" s="152">
        <f t="shared" ref="H106:P106" si="250">H34/H25</f>
        <v>1.3418747780802463E-2</v>
      </c>
      <c r="I106" s="152">
        <f t="shared" si="250"/>
        <v>1.3360224768877438E-2</v>
      </c>
      <c r="J106" s="152">
        <f t="shared" si="250"/>
        <v>1.9704519321230705E-2</v>
      </c>
      <c r="K106" s="152">
        <f t="shared" si="250"/>
        <v>1.4439345160627439E-2</v>
      </c>
      <c r="L106" s="152">
        <f t="shared" si="250"/>
        <v>2.4841833440929634E-2</v>
      </c>
      <c r="M106" s="152">
        <f t="shared" si="250"/>
        <v>1.4217473002648797E-2</v>
      </c>
      <c r="N106" s="152">
        <f t="shared" si="250"/>
        <v>1.0389629434106139E-2</v>
      </c>
      <c r="O106" s="152">
        <f t="shared" si="250"/>
        <v>1.2906493273103031E-2</v>
      </c>
      <c r="P106" s="152">
        <f t="shared" si="250"/>
        <v>1.9500686781349801E-2</v>
      </c>
      <c r="Q106" s="118">
        <f t="shared" si="194"/>
        <v>4.005864313849905E-2</v>
      </c>
      <c r="R106" s="20"/>
      <c r="S106" s="152">
        <f t="shared" ref="S106:AB106" si="251">S34/S25</f>
        <v>1.9500686781349804E-2</v>
      </c>
      <c r="T106" s="152">
        <f t="shared" si="251"/>
        <v>1.9500686781349801E-2</v>
      </c>
      <c r="U106" s="152">
        <f t="shared" si="251"/>
        <v>1.9500686781349804E-2</v>
      </c>
      <c r="V106" s="152">
        <f t="shared" si="251"/>
        <v>1.9500686781349804E-2</v>
      </c>
      <c r="W106" s="152">
        <f t="shared" si="251"/>
        <v>1.9500686781349804E-2</v>
      </c>
      <c r="X106" s="152">
        <f t="shared" si="251"/>
        <v>1.9500686781349804E-2</v>
      </c>
      <c r="Y106" s="152">
        <f t="shared" si="251"/>
        <v>1.9500686781349804E-2</v>
      </c>
      <c r="Z106" s="152">
        <f t="shared" si="251"/>
        <v>1.9500686781349804E-2</v>
      </c>
      <c r="AA106" s="152">
        <f t="shared" si="251"/>
        <v>1.9500686781349804E-2</v>
      </c>
      <c r="AB106" s="152">
        <f t="shared" si="251"/>
        <v>1.9500686781349804E-2</v>
      </c>
      <c r="AC106" s="138">
        <f t="shared" si="196"/>
        <v>1.8779091995054342E-2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 x14ac:dyDescent="0.2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 x14ac:dyDescent="0.2">
      <c r="B109" s="20" t="s">
        <v>366</v>
      </c>
      <c r="C109" s="20"/>
      <c r="D109" s="20"/>
      <c r="E109" s="20"/>
      <c r="F109" s="20"/>
      <c r="G109" s="25">
        <f>G15/G9</f>
        <v>0.77397801566204472</v>
      </c>
      <c r="H109" s="25">
        <f t="shared" ref="H109:AB109" si="252">H15/H9</f>
        <v>0.6409051158723218</v>
      </c>
      <c r="I109" s="25">
        <f t="shared" si="252"/>
        <v>0.83260034515392756</v>
      </c>
      <c r="J109" s="25">
        <f t="shared" si="252"/>
        <v>0.65506689160029818</v>
      </c>
      <c r="K109" s="25">
        <f t="shared" si="252"/>
        <v>0.79891949284866659</v>
      </c>
      <c r="L109" s="25">
        <f t="shared" si="252"/>
        <v>1.2895871045599516</v>
      </c>
      <c r="M109" s="25">
        <f t="shared" si="252"/>
        <v>1.4647085565196767</v>
      </c>
      <c r="N109" s="25">
        <f t="shared" si="252"/>
        <v>1.5970641470073934</v>
      </c>
      <c r="O109" s="25">
        <f t="shared" si="252"/>
        <v>1.7287736828265774</v>
      </c>
      <c r="P109" s="25">
        <f t="shared" si="252"/>
        <v>1.6018977431924939</v>
      </c>
      <c r="Q109" s="118">
        <f t="shared" si="194"/>
        <v>8.4178236063406686E-2</v>
      </c>
      <c r="R109" s="20"/>
      <c r="S109" s="20">
        <f t="shared" si="252"/>
        <v>1.6018977431924939</v>
      </c>
      <c r="T109" s="20">
        <f t="shared" si="252"/>
        <v>1.6018977431924939</v>
      </c>
      <c r="U109" s="20">
        <f t="shared" si="252"/>
        <v>1.6018977431924939</v>
      </c>
      <c r="V109" s="20">
        <f t="shared" si="252"/>
        <v>1.6018977431924937</v>
      </c>
      <c r="W109" s="20">
        <f t="shared" si="252"/>
        <v>1.6018977431924939</v>
      </c>
      <c r="X109" s="20">
        <f t="shared" si="252"/>
        <v>1.6018977431924941</v>
      </c>
      <c r="Y109" s="20">
        <f t="shared" si="252"/>
        <v>1.6018977431924941</v>
      </c>
      <c r="Z109" s="20">
        <f t="shared" si="252"/>
        <v>1.6018977431924939</v>
      </c>
      <c r="AA109" s="20">
        <f t="shared" si="252"/>
        <v>1.6018977431924941</v>
      </c>
      <c r="AB109" s="20">
        <f t="shared" si="252"/>
        <v>1.6018977431924941</v>
      </c>
      <c r="AC109" s="138">
        <f t="shared" si="196"/>
        <v>3.9026538312924464E-2</v>
      </c>
      <c r="AD109" s="20"/>
      <c r="AE109" s="20"/>
    </row>
    <row r="110" spans="2:31" x14ac:dyDescent="0.2">
      <c r="B110" s="20" t="s">
        <v>356</v>
      </c>
      <c r="C110" s="20"/>
      <c r="D110" s="20"/>
      <c r="E110" s="20"/>
      <c r="F110" s="20"/>
      <c r="G110" s="25">
        <f>G12/G9</f>
        <v>1.9397945254687837E-2</v>
      </c>
      <c r="H110" s="25">
        <f t="shared" ref="H110:P110" si="253">H12/H9</f>
        <v>2.1042850896370792E-2</v>
      </c>
      <c r="I110" s="25">
        <f t="shared" si="253"/>
        <v>1.4418526972109337E-2</v>
      </c>
      <c r="J110" s="25">
        <f t="shared" si="253"/>
        <v>1.6046137549531169E-2</v>
      </c>
      <c r="K110" s="25">
        <f t="shared" si="253"/>
        <v>1.2116669789519705E-2</v>
      </c>
      <c r="L110" s="25">
        <f t="shared" si="253"/>
        <v>1.7354322903197997E-2</v>
      </c>
      <c r="M110" s="25">
        <f t="shared" si="253"/>
        <v>1.3124345265155258E-2</v>
      </c>
      <c r="N110" s="25">
        <f t="shared" si="253"/>
        <v>1.3406141669478787E-2</v>
      </c>
      <c r="O110" s="25">
        <f t="shared" si="253"/>
        <v>2.0011901961055675E-2</v>
      </c>
      <c r="P110" s="25">
        <f t="shared" si="253"/>
        <v>0.59399832829073618</v>
      </c>
      <c r="Q110" s="118">
        <f t="shared" si="194"/>
        <v>0.4625623457807182</v>
      </c>
      <c r="R110" s="128"/>
      <c r="S110" s="20">
        <f t="shared" ref="S110:AB110" si="254">S12/S9</f>
        <v>0.59399832829073618</v>
      </c>
      <c r="T110" s="20">
        <f t="shared" si="254"/>
        <v>0.59399832829073618</v>
      </c>
      <c r="U110" s="20">
        <f t="shared" si="254"/>
        <v>0.59399832829073618</v>
      </c>
      <c r="V110" s="20">
        <f t="shared" si="254"/>
        <v>0.59399832829073618</v>
      </c>
      <c r="W110" s="20">
        <f t="shared" si="254"/>
        <v>0.59399832829073618</v>
      </c>
      <c r="X110" s="20">
        <f t="shared" si="254"/>
        <v>0.59399832829073629</v>
      </c>
      <c r="Y110" s="20">
        <f t="shared" si="254"/>
        <v>0.59399832829073629</v>
      </c>
      <c r="Z110" s="20">
        <f t="shared" si="254"/>
        <v>0.59399832829073629</v>
      </c>
      <c r="AA110" s="20">
        <f t="shared" si="254"/>
        <v>0.59399832829073629</v>
      </c>
      <c r="AB110" s="20">
        <f t="shared" si="254"/>
        <v>0.59399832829073618</v>
      </c>
      <c r="AC110" s="118">
        <f t="shared" ref="AC110" si="255">((AB110/S110)^(1/($H$2-$H$1) ))-1</f>
        <v>0</v>
      </c>
      <c r="AD110" s="20"/>
      <c r="AE110" s="20"/>
    </row>
    <row r="111" spans="2:31" x14ac:dyDescent="0.2">
      <c r="B111" s="20" t="s">
        <v>358</v>
      </c>
      <c r="C111" s="20"/>
      <c r="D111" s="20"/>
      <c r="E111" s="20"/>
      <c r="F111" s="20"/>
      <c r="G111" s="25">
        <f>G25/360</f>
        <v>147.0638888888889</v>
      </c>
      <c r="H111" s="25">
        <f t="shared" ref="H111:P111" si="256">H25/360</f>
        <v>187.75555555555556</v>
      </c>
      <c r="I111" s="25">
        <f t="shared" si="256"/>
        <v>238.26944444444445</v>
      </c>
      <c r="J111" s="25">
        <f t="shared" si="256"/>
        <v>318.87777777777779</v>
      </c>
      <c r="K111" s="25">
        <f t="shared" si="256"/>
        <v>405.52777777777777</v>
      </c>
      <c r="L111" s="25">
        <f t="shared" si="256"/>
        <v>430.27777777777777</v>
      </c>
      <c r="M111" s="25">
        <f t="shared" si="256"/>
        <v>613.48611111111109</v>
      </c>
      <c r="N111" s="25">
        <f t="shared" si="256"/>
        <v>757.7</v>
      </c>
      <c r="O111" s="25">
        <f t="shared" si="256"/>
        <v>1020.1583333333333</v>
      </c>
      <c r="P111" s="25">
        <f t="shared" si="256"/>
        <v>1138.5638888888889</v>
      </c>
      <c r="Q111" s="118">
        <f t="shared" si="194"/>
        <v>0.25533969592264438</v>
      </c>
      <c r="R111" s="128"/>
      <c r="S111" s="25">
        <f t="shared" ref="S111:AB111" si="257">S25/360</f>
        <v>1275.1915555555556</v>
      </c>
      <c r="T111" s="25">
        <f t="shared" si="257"/>
        <v>1428.2145422222225</v>
      </c>
      <c r="U111" s="25">
        <f t="shared" si="257"/>
        <v>1599.6002872888891</v>
      </c>
      <c r="V111" s="25">
        <f t="shared" si="257"/>
        <v>1791.5523217635559</v>
      </c>
      <c r="W111" s="25">
        <f t="shared" si="257"/>
        <v>2006.5386003751828</v>
      </c>
      <c r="X111" s="25">
        <f t="shared" si="257"/>
        <v>2247.3232324202049</v>
      </c>
      <c r="Y111" s="25">
        <f t="shared" si="257"/>
        <v>2517.0020203106301</v>
      </c>
      <c r="Z111" s="25">
        <f t="shared" si="257"/>
        <v>2819.0422627479056</v>
      </c>
      <c r="AA111" s="25">
        <f t="shared" si="257"/>
        <v>3157.3273342776547</v>
      </c>
      <c r="AB111" s="25">
        <f t="shared" si="257"/>
        <v>3536.2066143909733</v>
      </c>
      <c r="AC111" s="118">
        <f t="shared" ref="AC111:AC122" si="258">((AB111/S111)^(1/($H$2-$H$1) ))-1</f>
        <v>0.12000000000000011</v>
      </c>
      <c r="AD111" s="20"/>
      <c r="AE111" s="20"/>
    </row>
    <row r="112" spans="2:31" x14ac:dyDescent="0.2">
      <c r="B112" s="20" t="s">
        <v>357</v>
      </c>
      <c r="C112" s="20"/>
      <c r="D112" s="20"/>
      <c r="E112" s="20"/>
      <c r="F112" s="20"/>
      <c r="G112" s="25">
        <f>G27/360</f>
        <v>116.36111111111111</v>
      </c>
      <c r="H112" s="25">
        <f t="shared" ref="H112:P112" si="259">H27/360</f>
        <v>147.88055555555556</v>
      </c>
      <c r="I112" s="25">
        <f t="shared" si="259"/>
        <v>195.27222222222221</v>
      </c>
      <c r="J112" s="25">
        <f t="shared" si="259"/>
        <v>260.81666666666666</v>
      </c>
      <c r="K112" s="25">
        <f t="shared" si="259"/>
        <v>324.18611111111113</v>
      </c>
      <c r="L112" s="25">
        <f t="shared" si="259"/>
        <v>358.97777777777776</v>
      </c>
      <c r="M112" s="25">
        <f t="shared" si="259"/>
        <v>497.64722222222224</v>
      </c>
      <c r="N112" s="25">
        <f t="shared" si="259"/>
        <v>644.91388888888889</v>
      </c>
      <c r="O112" s="25">
        <f t="shared" si="259"/>
        <v>907.09444444444443</v>
      </c>
      <c r="P112" s="25">
        <f t="shared" si="259"/>
        <v>1024.9194444444445</v>
      </c>
      <c r="Q112" s="118">
        <f t="shared" si="194"/>
        <v>0.27346459383452504</v>
      </c>
      <c r="R112" s="128"/>
      <c r="S112" s="25">
        <f t="shared" ref="S112:AB112" si="260">S27/360</f>
        <v>1147.9097777777779</v>
      </c>
      <c r="T112" s="25">
        <f t="shared" si="260"/>
        <v>1285.6589511111113</v>
      </c>
      <c r="U112" s="25">
        <f t="shared" si="260"/>
        <v>1439.9380252444448</v>
      </c>
      <c r="V112" s="25">
        <f t="shared" si="260"/>
        <v>1612.7305882737785</v>
      </c>
      <c r="W112" s="25">
        <f t="shared" si="260"/>
        <v>1806.2582588666319</v>
      </c>
      <c r="X112" s="25">
        <f t="shared" si="260"/>
        <v>2023.0092499306279</v>
      </c>
      <c r="Y112" s="25">
        <f t="shared" si="260"/>
        <v>2265.7703599223037</v>
      </c>
      <c r="Z112" s="25">
        <f t="shared" si="260"/>
        <v>2537.6628031129803</v>
      </c>
      <c r="AA112" s="25">
        <f t="shared" si="260"/>
        <v>2842.1823394865382</v>
      </c>
      <c r="AB112" s="25">
        <f t="shared" si="260"/>
        <v>3183.2442202249231</v>
      </c>
      <c r="AC112" s="118">
        <f t="shared" si="258"/>
        <v>0.12000000000000011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 x14ac:dyDescent="0.2">
      <c r="B114" s="20" t="s">
        <v>367</v>
      </c>
      <c r="C114" s="20"/>
      <c r="D114" s="20"/>
      <c r="E114" s="20"/>
      <c r="F114" s="20"/>
      <c r="G114" s="25">
        <f>G10/G7</f>
        <v>0.60016563383499444</v>
      </c>
      <c r="H114" s="25">
        <f t="shared" ref="H114:P114" si="261">H10/H7</f>
        <v>0.46220923092039007</v>
      </c>
      <c r="I114" s="25">
        <f t="shared" si="261"/>
        <v>0.45752479517033207</v>
      </c>
      <c r="J114" s="25">
        <f t="shared" si="261"/>
        <v>0.49335131727484643</v>
      </c>
      <c r="K114" s="25">
        <f t="shared" si="261"/>
        <v>0.59293567251461987</v>
      </c>
      <c r="L114" s="25">
        <f t="shared" si="261"/>
        <v>0.62893621232865415</v>
      </c>
      <c r="M114" s="25">
        <f t="shared" si="261"/>
        <v>0.45818499028382575</v>
      </c>
      <c r="N114" s="25">
        <f t="shared" si="261"/>
        <v>0.54584866597872572</v>
      </c>
      <c r="O114" s="25">
        <f t="shared" si="261"/>
        <v>0.48768036826108768</v>
      </c>
      <c r="P114" s="25">
        <f t="shared" si="261"/>
        <v>0.49063195188267283</v>
      </c>
      <c r="Q114" s="118">
        <f t="shared" si="194"/>
        <v>-2.2141358064810768E-2</v>
      </c>
      <c r="R114" s="128"/>
      <c r="S114" s="25">
        <f t="shared" ref="S114:AB114" si="262">S10/S7</f>
        <v>0.49063195188267289</v>
      </c>
      <c r="T114" s="25">
        <f t="shared" si="262"/>
        <v>0.49063195188267289</v>
      </c>
      <c r="U114" s="25">
        <f t="shared" si="262"/>
        <v>0.49063195188267295</v>
      </c>
      <c r="V114" s="25">
        <f t="shared" si="262"/>
        <v>0.49063195188267295</v>
      </c>
      <c r="W114" s="25">
        <f t="shared" si="262"/>
        <v>0.49063195188267283</v>
      </c>
      <c r="X114" s="25">
        <f t="shared" si="262"/>
        <v>0.49063195188267289</v>
      </c>
      <c r="Y114" s="25">
        <f t="shared" si="262"/>
        <v>0.49063195188267295</v>
      </c>
      <c r="Z114" s="25">
        <f t="shared" si="262"/>
        <v>0.49063195188267295</v>
      </c>
      <c r="AA114" s="25">
        <f t="shared" si="262"/>
        <v>0.49063195188267295</v>
      </c>
      <c r="AB114" s="25">
        <f t="shared" si="262"/>
        <v>0.49063195188267295</v>
      </c>
      <c r="AC114" s="118">
        <f t="shared" si="258"/>
        <v>0</v>
      </c>
      <c r="AD114" s="20"/>
      <c r="AE114" s="20"/>
    </row>
    <row r="115" spans="2:31" x14ac:dyDescent="0.2">
      <c r="B115" s="20" t="s">
        <v>359</v>
      </c>
      <c r="C115" s="20"/>
      <c r="D115" s="20"/>
      <c r="E115" s="20"/>
      <c r="F115" s="20"/>
      <c r="G115" s="25">
        <f>G10/(G10+G7)</f>
        <v>0.37506469401959558</v>
      </c>
      <c r="H115" s="25">
        <f t="shared" ref="H115:P115" si="263">H10/(H10+H7)</f>
        <v>0.31610334632441878</v>
      </c>
      <c r="I115" s="25">
        <f t="shared" si="263"/>
        <v>0.31390532544378696</v>
      </c>
      <c r="J115" s="25">
        <f t="shared" si="263"/>
        <v>0.33036520714706458</v>
      </c>
      <c r="K115" s="25">
        <f t="shared" si="263"/>
        <v>0.37222825927340009</v>
      </c>
      <c r="L115" s="25">
        <f t="shared" si="263"/>
        <v>0.38610241921600796</v>
      </c>
      <c r="M115" s="25">
        <f t="shared" si="263"/>
        <v>0.3142159556824427</v>
      </c>
      <c r="N115" s="25">
        <f t="shared" si="263"/>
        <v>0.3531061467993904</v>
      </c>
      <c r="O115" s="25">
        <f t="shared" si="263"/>
        <v>0.3278125991748651</v>
      </c>
      <c r="P115" s="25">
        <f t="shared" si="263"/>
        <v>0.32914358991366255</v>
      </c>
      <c r="Q115" s="118">
        <f t="shared" si="194"/>
        <v>-1.4406817436503738E-2</v>
      </c>
      <c r="R115" s="128"/>
      <c r="S115" s="25">
        <f t="shared" ref="S115:AB115" si="264">S10/(S10+S7)</f>
        <v>0.3291435899136626</v>
      </c>
      <c r="T115" s="25">
        <f t="shared" si="264"/>
        <v>0.32914358991366255</v>
      </c>
      <c r="U115" s="25">
        <f t="shared" si="264"/>
        <v>0.3291435899136626</v>
      </c>
      <c r="V115" s="25">
        <f t="shared" si="264"/>
        <v>0.3291435899136626</v>
      </c>
      <c r="W115" s="25">
        <f t="shared" si="264"/>
        <v>0.32914358991366255</v>
      </c>
      <c r="X115" s="25">
        <f t="shared" si="264"/>
        <v>0.32914358991366255</v>
      </c>
      <c r="Y115" s="25">
        <f t="shared" si="264"/>
        <v>0.3291435899136626</v>
      </c>
      <c r="Z115" s="25">
        <f t="shared" si="264"/>
        <v>0.3291435899136626</v>
      </c>
      <c r="AA115" s="25">
        <f t="shared" si="264"/>
        <v>0.3291435899136626</v>
      </c>
      <c r="AB115" s="25">
        <f t="shared" si="264"/>
        <v>0.3291435899136626</v>
      </c>
      <c r="AC115" s="118">
        <f t="shared" si="258"/>
        <v>0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 x14ac:dyDescent="0.2">
      <c r="B117" s="20" t="s">
        <v>364</v>
      </c>
      <c r="C117" s="20"/>
      <c r="D117" s="20"/>
      <c r="E117" s="20"/>
      <c r="F117" s="20"/>
      <c r="G117" s="25">
        <f>G16</f>
        <v>2360</v>
      </c>
      <c r="H117" s="25">
        <f t="shared" ref="H117:P117" si="265">H16</f>
        <v>1702</v>
      </c>
      <c r="I117" s="25">
        <f t="shared" si="265"/>
        <v>2968</v>
      </c>
      <c r="J117" s="25">
        <f t="shared" si="265"/>
        <v>5873</v>
      </c>
      <c r="K117" s="25">
        <f t="shared" si="265"/>
        <v>16823</v>
      </c>
      <c r="L117" s="25">
        <f t="shared" si="265"/>
        <v>10322</v>
      </c>
      <c r="M117" s="25">
        <f t="shared" si="265"/>
        <v>19815</v>
      </c>
      <c r="N117" s="25">
        <f t="shared" si="265"/>
        <v>34194</v>
      </c>
      <c r="O117" s="25">
        <f t="shared" si="265"/>
        <v>47845</v>
      </c>
      <c r="P117" s="25">
        <f t="shared" si="265"/>
        <v>46039</v>
      </c>
      <c r="Q117" s="118">
        <f t="shared" si="194"/>
        <v>0.39109598661837897</v>
      </c>
      <c r="R117" s="128"/>
      <c r="S117" s="25">
        <f t="shared" ref="S117:AB117" si="266">S16</f>
        <v>51563.680000000008</v>
      </c>
      <c r="T117" s="25">
        <f t="shared" si="266"/>
        <v>57751.321600000017</v>
      </c>
      <c r="U117" s="25">
        <f t="shared" si="266"/>
        <v>64681.480192000025</v>
      </c>
      <c r="V117" s="25">
        <f t="shared" si="266"/>
        <v>72443.257815040037</v>
      </c>
      <c r="W117" s="25">
        <f t="shared" si="266"/>
        <v>81136.448752844852</v>
      </c>
      <c r="X117" s="25">
        <f t="shared" si="266"/>
        <v>90872.822603186243</v>
      </c>
      <c r="Y117" s="25">
        <f t="shared" si="266"/>
        <v>101777.5613155686</v>
      </c>
      <c r="Z117" s="25">
        <f t="shared" si="266"/>
        <v>113990.86867343684</v>
      </c>
      <c r="AA117" s="25">
        <f t="shared" si="266"/>
        <v>127669.77291424928</v>
      </c>
      <c r="AB117" s="25">
        <f t="shared" si="266"/>
        <v>142990.14566395921</v>
      </c>
      <c r="AC117" s="118">
        <f t="shared" si="258"/>
        <v>0.12000000000000011</v>
      </c>
      <c r="AD117" s="20"/>
      <c r="AE117" s="20"/>
    </row>
    <row r="118" spans="2:31" x14ac:dyDescent="0.2">
      <c r="B118" s="20" t="s">
        <v>365</v>
      </c>
      <c r="C118" s="20"/>
      <c r="D118" s="20"/>
      <c r="E118" s="20"/>
      <c r="F118" s="20"/>
      <c r="G118" s="119">
        <f t="shared" ref="G118:P118" si="267">G117*365/G25</f>
        <v>16.270328466463933</v>
      </c>
      <c r="H118" s="119">
        <f t="shared" si="267"/>
        <v>9.1908805775831457</v>
      </c>
      <c r="I118" s="119">
        <f t="shared" si="267"/>
        <v>12.62949275446798</v>
      </c>
      <c r="J118" s="119">
        <f t="shared" si="267"/>
        <v>18.673516498832711</v>
      </c>
      <c r="K118" s="119">
        <f t="shared" si="267"/>
        <v>42.060380848003291</v>
      </c>
      <c r="L118" s="119">
        <f t="shared" si="267"/>
        <v>24.322336991607489</v>
      </c>
      <c r="M118" s="119">
        <f t="shared" si="267"/>
        <v>32.747617214914762</v>
      </c>
      <c r="N118" s="119">
        <f t="shared" si="267"/>
        <v>45.755466103559016</v>
      </c>
      <c r="O118" s="119">
        <f t="shared" si="267"/>
        <v>47.550965672539938</v>
      </c>
      <c r="P118" s="119">
        <f t="shared" si="267"/>
        <v>40.997638350456107</v>
      </c>
      <c r="Q118" s="118">
        <f t="shared" si="194"/>
        <v>0.1081430716615368</v>
      </c>
      <c r="R118" s="128"/>
      <c r="S118" s="119">
        <f t="shared" ref="S118:AB118" si="268">S117*365/S25</f>
        <v>40.997638350456107</v>
      </c>
      <c r="T118" s="119">
        <f t="shared" si="268"/>
        <v>40.997638350456114</v>
      </c>
      <c r="U118" s="119">
        <f t="shared" si="268"/>
        <v>40.997638350456114</v>
      </c>
      <c r="V118" s="119">
        <f t="shared" si="268"/>
        <v>40.997638350456121</v>
      </c>
      <c r="W118" s="119">
        <f t="shared" si="268"/>
        <v>40.997638350456121</v>
      </c>
      <c r="X118" s="119">
        <f t="shared" si="268"/>
        <v>40.997638350456121</v>
      </c>
      <c r="Y118" s="119">
        <f t="shared" si="268"/>
        <v>40.997638350456121</v>
      </c>
      <c r="Z118" s="119">
        <f t="shared" si="268"/>
        <v>40.997638350456114</v>
      </c>
      <c r="AA118" s="119">
        <f t="shared" si="268"/>
        <v>40.997638350456121</v>
      </c>
      <c r="AB118" s="119">
        <f t="shared" si="268"/>
        <v>40.997638350456121</v>
      </c>
      <c r="AC118" s="118">
        <f t="shared" si="258"/>
        <v>0</v>
      </c>
      <c r="AD118" s="20"/>
      <c r="AE118" s="20"/>
    </row>
    <row r="119" spans="2:31" x14ac:dyDescent="0.2">
      <c r="B119" s="20" t="s">
        <v>368</v>
      </c>
      <c r="C119" s="20"/>
      <c r="D119" s="20"/>
      <c r="E119" s="20"/>
      <c r="F119" s="20"/>
      <c r="G119" s="133">
        <f>G73/G29</f>
        <v>4.6850008355415501E-2</v>
      </c>
      <c r="H119" s="133">
        <f t="shared" ref="H119:P119" si="269">H73/H29</f>
        <v>6.1098493484206158E-2</v>
      </c>
      <c r="I119" s="133">
        <f t="shared" si="269"/>
        <v>0.10950647006512511</v>
      </c>
      <c r="J119" s="133">
        <f t="shared" si="269"/>
        <v>0.10979281128660284</v>
      </c>
      <c r="K119" s="133">
        <f t="shared" si="269"/>
        <v>0.12223786750170428</v>
      </c>
      <c r="L119" s="133">
        <f t="shared" si="269"/>
        <v>7.8605946185695802E-2</v>
      </c>
      <c r="M119" s="133">
        <f t="shared" si="269"/>
        <v>4.9241374865022447E-2</v>
      </c>
      <c r="N119" s="133">
        <f t="shared" si="269"/>
        <v>5.2833576597077797E-2</v>
      </c>
      <c r="O119" s="133">
        <f t="shared" si="269"/>
        <v>4.0391594882523321E-2</v>
      </c>
      <c r="P119" s="133">
        <f t="shared" si="269"/>
        <v>4.2580246175286891E-2</v>
      </c>
      <c r="Q119" s="118">
        <f t="shared" si="194"/>
        <v>-1.0561690174713645E-2</v>
      </c>
      <c r="R119" s="128"/>
      <c r="S119" s="133">
        <f t="shared" ref="S119:AB119" si="270">S73/S29</f>
        <v>3.9064446032373287E-2</v>
      </c>
      <c r="T119" s="133">
        <f t="shared" si="270"/>
        <v>3.583894131410393E-2</v>
      </c>
      <c r="U119" s="133">
        <f t="shared" si="270"/>
        <v>3.287976267348984E-2</v>
      </c>
      <c r="V119" s="133">
        <f t="shared" si="270"/>
        <v>3.0164919883935628E-2</v>
      </c>
      <c r="W119" s="133">
        <f t="shared" si="270"/>
        <v>2.7674238425629018E-2</v>
      </c>
      <c r="X119" s="133">
        <f t="shared" si="270"/>
        <v>2.5389209564797264E-2</v>
      </c>
      <c r="Y119" s="133">
        <f t="shared" si="270"/>
        <v>2.3292852811740608E-2</v>
      </c>
      <c r="Z119" s="133">
        <f t="shared" si="270"/>
        <v>2.1369589735541841E-2</v>
      </c>
      <c r="AA119" s="133">
        <f t="shared" si="270"/>
        <v>1.9605128197744803E-2</v>
      </c>
      <c r="AB119" s="133">
        <f t="shared" si="270"/>
        <v>1.7986356144720002E-2</v>
      </c>
      <c r="AC119" s="118">
        <f t="shared" si="258"/>
        <v>-8.2568807339449601E-2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375</v>
      </c>
      <c r="C121" s="20"/>
      <c r="D121" s="20"/>
      <c r="E121" s="20"/>
      <c r="F121" s="20"/>
      <c r="G121" s="25">
        <f>G25/G14</f>
        <v>7.3216705849813302</v>
      </c>
      <c r="H121" s="25">
        <f t="shared" ref="H121:P121" si="271">H25/H14</f>
        <v>9.1192660550458715</v>
      </c>
      <c r="I121" s="25">
        <f t="shared" si="271"/>
        <v>8.2916384726921226</v>
      </c>
      <c r="J121" s="25">
        <f t="shared" si="271"/>
        <v>9.2161207450224794</v>
      </c>
      <c r="K121" s="25">
        <f t="shared" si="271"/>
        <v>7.6330649377810307</v>
      </c>
      <c r="L121" s="25">
        <f t="shared" si="271"/>
        <v>7.7030185489084486</v>
      </c>
      <c r="M121" s="25">
        <f t="shared" si="271"/>
        <v>6.4215101910272443</v>
      </c>
      <c r="N121" s="25">
        <f t="shared" si="271"/>
        <v>7.0814922505776368</v>
      </c>
      <c r="O121" s="25">
        <f t="shared" si="271"/>
        <v>7.8655230017990236</v>
      </c>
      <c r="P121" s="25">
        <f t="shared" si="271"/>
        <v>7.5068771634219154</v>
      </c>
      <c r="Q121" s="118">
        <f t="shared" si="194"/>
        <v>2.7795259159630881E-3</v>
      </c>
      <c r="R121" s="128"/>
      <c r="S121" s="20">
        <f t="shared" ref="S121" si="272">S25/S14</f>
        <v>7.5068771634219154</v>
      </c>
      <c r="T121" s="20">
        <f t="shared" ref="T121:AB121" si="273">T25/T14</f>
        <v>7.5068771634219154</v>
      </c>
      <c r="U121" s="20">
        <f t="shared" si="273"/>
        <v>7.5068771634219136</v>
      </c>
      <c r="V121" s="20">
        <f t="shared" si="273"/>
        <v>7.5068771634219136</v>
      </c>
      <c r="W121" s="20">
        <f t="shared" si="273"/>
        <v>7.5068771634219145</v>
      </c>
      <c r="X121" s="20">
        <f t="shared" si="273"/>
        <v>7.5068771634219145</v>
      </c>
      <c r="Y121" s="20">
        <f t="shared" si="273"/>
        <v>7.5068771634219145</v>
      </c>
      <c r="Z121" s="20">
        <f t="shared" si="273"/>
        <v>7.5068771634219154</v>
      </c>
      <c r="AA121" s="20">
        <f t="shared" si="273"/>
        <v>7.5068771634219145</v>
      </c>
      <c r="AB121" s="20">
        <f t="shared" si="273"/>
        <v>7.5068771634219145</v>
      </c>
      <c r="AC121" s="118">
        <f t="shared" si="258"/>
        <v>0</v>
      </c>
      <c r="AD121" s="20"/>
      <c r="AE121" s="20"/>
    </row>
    <row r="122" spans="2:31" x14ac:dyDescent="0.2">
      <c r="B122" s="20" t="s">
        <v>376</v>
      </c>
      <c r="C122" s="20"/>
      <c r="D122" s="20"/>
      <c r="E122" s="20"/>
      <c r="F122" s="20"/>
      <c r="G122" s="25">
        <f>G27/G14</f>
        <v>5.7931129857557737</v>
      </c>
      <c r="H122" s="25">
        <f t="shared" ref="H122:P122" si="274">H27/H14</f>
        <v>7.1825418240690775</v>
      </c>
      <c r="I122" s="25">
        <f t="shared" si="274"/>
        <v>6.7953600773320444</v>
      </c>
      <c r="J122" s="25">
        <f t="shared" si="274"/>
        <v>7.5380539499036612</v>
      </c>
      <c r="K122" s="25">
        <f t="shared" si="274"/>
        <v>6.1020077381574822</v>
      </c>
      <c r="L122" s="25">
        <f t="shared" si="274"/>
        <v>6.426575165348849</v>
      </c>
      <c r="M122" s="25">
        <f t="shared" si="274"/>
        <v>5.208996016631291</v>
      </c>
      <c r="N122" s="25">
        <f t="shared" si="274"/>
        <v>6.0273890807134141</v>
      </c>
      <c r="O122" s="25">
        <f t="shared" si="274"/>
        <v>6.9937890859247833</v>
      </c>
      <c r="P122" s="25">
        <f t="shared" si="274"/>
        <v>6.757586857383564</v>
      </c>
      <c r="Q122" s="118">
        <f t="shared" si="194"/>
        <v>1.7257899056224879E-2</v>
      </c>
      <c r="R122" s="128"/>
      <c r="S122" s="20">
        <f t="shared" ref="S122:AB122" si="275">S27/S14</f>
        <v>6.757586857383564</v>
      </c>
      <c r="T122" s="20">
        <f t="shared" si="275"/>
        <v>6.7575868573835649</v>
      </c>
      <c r="U122" s="20">
        <f t="shared" si="275"/>
        <v>6.757586857383564</v>
      </c>
      <c r="V122" s="20">
        <f t="shared" si="275"/>
        <v>6.757586857383564</v>
      </c>
      <c r="W122" s="20">
        <f t="shared" si="275"/>
        <v>6.757586857383564</v>
      </c>
      <c r="X122" s="20">
        <f t="shared" si="275"/>
        <v>6.757586857383564</v>
      </c>
      <c r="Y122" s="20">
        <f t="shared" si="275"/>
        <v>6.7575868573835649</v>
      </c>
      <c r="Z122" s="20">
        <f t="shared" si="275"/>
        <v>6.7575868573835658</v>
      </c>
      <c r="AA122" s="20">
        <f t="shared" si="275"/>
        <v>6.7575868573835658</v>
      </c>
      <c r="AB122" s="20">
        <f t="shared" si="275"/>
        <v>6.7575868573835649</v>
      </c>
      <c r="AC122" s="118">
        <f t="shared" si="258"/>
        <v>0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 x14ac:dyDescent="0.2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76.694726937668108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135.81990262633067</v>
      </c>
      <c r="S126" s="133">
        <f>PV($C$1, ($AB$3-$S$3), 0, -AB47)</f>
        <v>15.585890465316636</v>
      </c>
      <c r="T126" s="133">
        <f>PV($C$1, ($AB$3-$S$3), 0, -AE47)</f>
        <v>120.23401216101404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1183.8883641021077</v>
      </c>
      <c r="S127" s="133">
        <f>PV($C$1, ($AB$3-$S$3), 0, -AB49)</f>
        <v>135.85604178220908</v>
      </c>
      <c r="T127" s="133">
        <f>PV($C$1, ($AB$3-$S$3), 0, -AE49)</f>
        <v>1048.0323223198986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1164.6332299607425</v>
      </c>
      <c r="S128" s="133">
        <f>PV($C$1, ($AB$3-$S$3), 0, -AB50)</f>
        <v>133.64643622500321</v>
      </c>
      <c r="T128" s="133">
        <f>PV($C$1, ($AB$3-$S$3), 0, -AE50)</f>
        <v>1030.9867937357392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580.85345889060159</v>
      </c>
      <c r="S129" s="133">
        <f>PV($C$1, ($AB$3-$S$3), 0, -AB51)</f>
        <v>66.655314954659218</v>
      </c>
      <c r="T129" s="133">
        <f>PV($C$1, ($AB$3-$S$3), 0, -AE51)</f>
        <v>514.19814393594243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328.11112740180698</v>
      </c>
      <c r="S130" s="133">
        <f>PV($C$1, ($AB$3-$S$3), 0, -AB57)</f>
        <v>37.652096587092601</v>
      </c>
      <c r="T130" s="133">
        <f>PV($C$1, ($AB$3-$S$3), 0, -AE57)</f>
        <v>290.45903081471437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603.03490521150604</v>
      </c>
      <c r="S132" s="133">
        <f>PV($C$1, ($AB$3-$S$3), 0, -AB53)</f>
        <v>69.200726827549872</v>
      </c>
      <c r="T132" s="133">
        <f>PV($C$1, ($AB$3-$S$3), 0, -$AE$53)</f>
        <v>533.83417838395621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50.657715285794851</v>
      </c>
      <c r="S133" s="133">
        <f>PV($C$1, ($AB$3-$S$3), 0, -AB54)</f>
        <v>5.8131804426321967</v>
      </c>
      <c r="T133" s="133">
        <f>PV($C$1, ($AB$3-$S$3), 0, -$AE$54)</f>
        <v>44.844534843162656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935.50948921880297</v>
      </c>
      <c r="S134" s="133">
        <f>PV($C$1, ($AB$3-$S$3), 0, -AB55)</f>
        <v>107.35354794314132</v>
      </c>
      <c r="T134" s="133">
        <f>PV($C$1, ($AB$3-$S$3), 0, -$AE$55)</f>
        <v>828.15594127566169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884.85177393300842</v>
      </c>
      <c r="S136" s="133">
        <f>PV($C$1, ($AB$3-$S$3), 0, -AB60)</f>
        <v>101.54036750050915</v>
      </c>
      <c r="T136" s="133">
        <f>PV($C$1, ($AB$3-$S$3), 0, -AE60)</f>
        <v>783.31140643249921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190.51947576495547</v>
      </c>
      <c r="S137" s="133">
        <f>PV($C$1, ($AB$3-$S$3), 0, -AB61)</f>
        <v>34.355971039582137</v>
      </c>
      <c r="T137" s="133">
        <f>PV($C$1, ($AB$3-$S$3), 0, -AE61)</f>
        <v>156.16350472537334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228079.55849193933</v>
      </c>
      <c r="S139" s="133">
        <f>PV($C$1, ($AB$3-$S$3), 0, -AB12)</f>
        <v>26173.064089238942</v>
      </c>
      <c r="T139" s="133">
        <f>PV($C$1, ($AB$3-$S$3), 0, -AE12)</f>
        <v>201906.49440270039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776.75836424050453</v>
      </c>
      <c r="S140" s="140">
        <f>S139/P40</f>
        <v>89.136205732516913</v>
      </c>
      <c r="T140" s="140">
        <f>T139/P40</f>
        <v>687.62215850798759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89.055478023927009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70.167183594547552</v>
      </c>
      <c r="T143" s="133">
        <f>PV($C$1, ($AB$3-$S$3), 0, -AE63)</f>
        <v>18.88829442937946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174860.36912485523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137773.21615743358</v>
      </c>
      <c r="T145" s="133">
        <f>PV($C$1, ($AB$3-$S$3), 0, -AE65)</f>
        <v>37087.152967421658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251.55096419340018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198.19805675740105</v>
      </c>
      <c r="T147" s="133">
        <f>PV($C$1, ($AB$3-$S$3), 0, -AE67)</f>
        <v>53.352907435999121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1002.0240069154023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789.49890584481363</v>
      </c>
      <c r="T148" s="133">
        <f>PV($C$1, ($AB$3-$S$3), 0, -AE68)</f>
        <v>212.52510107058868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-750.47304272200222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-591.30084908741264</v>
      </c>
      <c r="T149" s="133">
        <f>PV($C$1, ($AB$3-$S$3), 0, -AE69)</f>
        <v>-159.17219363458958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11.073887936006395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8.7251626194453635</v>
      </c>
      <c r="T150" s="133">
        <f>PV($C$1, ($AB$3-$S$3), 0, -AE70)</f>
        <v>2.348725316561032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1369.4708080861246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1079.0117772714102</v>
      </c>
      <c r="T152" s="133">
        <f>PV($C$1, ($AB$3-$S$3), 0, -AE71)</f>
        <v>290.45903081471437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3" t="s">
        <v>391</v>
      </c>
      <c r="P154" s="23">
        <v>900</v>
      </c>
      <c r="Q154" s="23">
        <v>700</v>
      </c>
      <c r="R154" s="23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204</v>
      </c>
      <c r="C155" s="22">
        <v>0</v>
      </c>
      <c r="D155" s="22">
        <v>0</v>
      </c>
      <c r="E155" s="22">
        <v>0</v>
      </c>
      <c r="F155" s="22">
        <v>280</v>
      </c>
      <c r="G155" s="22">
        <v>505</v>
      </c>
      <c r="H155" s="22">
        <v>540</v>
      </c>
      <c r="I155" s="22">
        <v>730</v>
      </c>
      <c r="J155" s="22">
        <v>1260</v>
      </c>
      <c r="K155" s="22">
        <v>2120</v>
      </c>
      <c r="L155" s="22">
        <v>1160</v>
      </c>
      <c r="M155" s="22">
        <v>980</v>
      </c>
      <c r="N155" s="22">
        <v>980</v>
      </c>
      <c r="O155" s="22">
        <v>720</v>
      </c>
      <c r="P155" s="22">
        <v>700</v>
      </c>
      <c r="Q155" s="118">
        <f t="shared" ref="Q155:Q160" si="280">((P155/G155)^(1/($H$2-$H$1) ))-1</f>
        <v>3.6946370344093094E-2</v>
      </c>
      <c r="R155" s="31">
        <f>L2-3%</f>
        <v>0.09</v>
      </c>
      <c r="S155" s="119">
        <f t="shared" ref="S155" si="281">P155*(1+$R155)</f>
        <v>763</v>
      </c>
      <c r="T155" s="119">
        <f t="shared" ref="T155:AB155" si="282">S155*(1+$R155)</f>
        <v>831.67000000000007</v>
      </c>
      <c r="U155" s="119">
        <f t="shared" si="282"/>
        <v>906.52030000000013</v>
      </c>
      <c r="V155" s="119">
        <f t="shared" si="282"/>
        <v>988.10712700000022</v>
      </c>
      <c r="W155" s="119">
        <f t="shared" si="282"/>
        <v>1077.0367684300004</v>
      </c>
      <c r="X155" s="119">
        <f t="shared" si="282"/>
        <v>1173.9700775887004</v>
      </c>
      <c r="Y155" s="119">
        <f t="shared" si="282"/>
        <v>1279.6273845716835</v>
      </c>
      <c r="Z155" s="119">
        <f t="shared" si="282"/>
        <v>1394.7938491831351</v>
      </c>
      <c r="AA155" s="119">
        <f t="shared" si="282"/>
        <v>1520.3252956096173</v>
      </c>
      <c r="AB155" s="119">
        <f t="shared" si="282"/>
        <v>1657.1545722144831</v>
      </c>
      <c r="AC155" s="138">
        <f t="shared" ref="AC155:AC160" si="283">((AB155/G155)^(1/($AB$3-$H$1) ))-1</f>
        <v>6.453921726666878E-2</v>
      </c>
      <c r="AD155" s="31">
        <v>0.08</v>
      </c>
      <c r="AE155" s="127">
        <f t="shared" ref="AE155:AE163" si="284">(AB155*(1+AC155))/($C$1-AD155)</f>
        <v>12600.757365679192</v>
      </c>
    </row>
    <row r="156" spans="2:31" x14ac:dyDescent="0.2">
      <c r="B156" s="20" t="s">
        <v>362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 t="e">
        <f t="shared" si="285"/>
        <v>#DIV/0!</v>
      </c>
      <c r="G156" s="25">
        <f t="shared" si="285"/>
        <v>1.3318691800615756</v>
      </c>
      <c r="H156" s="25">
        <f t="shared" si="285"/>
        <v>1.1132826369984614</v>
      </c>
      <c r="I156" s="25">
        <f t="shared" si="285"/>
        <v>1.185929794700211</v>
      </c>
      <c r="J156" s="25">
        <f t="shared" si="285"/>
        <v>1.5295045123523465</v>
      </c>
      <c r="K156" s="25">
        <f t="shared" si="285"/>
        <v>2.1108514281800126</v>
      </c>
      <c r="L156" s="25">
        <f t="shared" si="285"/>
        <v>1.088557779212395</v>
      </c>
      <c r="M156" s="25">
        <f t="shared" si="285"/>
        <v>1.3214280863009669</v>
      </c>
      <c r="N156" s="25">
        <f t="shared" si="285"/>
        <v>1.0709970231548693</v>
      </c>
      <c r="O156" s="25">
        <f t="shared" si="285"/>
        <v>0.58396817487481523</v>
      </c>
      <c r="P156" s="25">
        <f t="shared" si="285"/>
        <v>0.50146261250161628</v>
      </c>
      <c r="Q156" s="118">
        <f t="shared" ref="Q156" si="286">((P156/G156)^(1/($H$2-$H$1) ))-1</f>
        <v>-0.10285196559556142</v>
      </c>
      <c r="R156" s="128"/>
      <c r="S156" s="25">
        <f t="shared" ref="S156:AB156" si="287">S155/S44</f>
        <v>0.53195333027961644</v>
      </c>
      <c r="T156" s="25">
        <f t="shared" si="287"/>
        <v>0.56429799259393953</v>
      </c>
      <c r="U156" s="25">
        <f t="shared" si="287"/>
        <v>0.5986093258936247</v>
      </c>
      <c r="V156" s="25">
        <f t="shared" si="287"/>
        <v>0.63500691079840677</v>
      </c>
      <c r="W156" s="25">
        <f t="shared" si="287"/>
        <v>0.6736175988567743</v>
      </c>
      <c r="X156" s="25">
        <f t="shared" si="287"/>
        <v>0.71457595464440482</v>
      </c>
      <c r="Y156" s="25">
        <f t="shared" si="287"/>
        <v>0.75802472474376559</v>
      </c>
      <c r="Z156" s="25">
        <f t="shared" si="287"/>
        <v>0.80411533523934631</v>
      </c>
      <c r="AA156" s="25">
        <f t="shared" si="287"/>
        <v>0.85300841946238171</v>
      </c>
      <c r="AB156" s="25">
        <f t="shared" si="287"/>
        <v>0.90487437782433544</v>
      </c>
      <c r="AC156" s="138">
        <f t="shared" ref="AC156" si="288">((AB156/G156)^(1/($AB$3-$H$1) ))-1</f>
        <v>-2.013879267949481E-2</v>
      </c>
      <c r="AD156" s="31">
        <v>0.08</v>
      </c>
      <c r="AE156" s="127">
        <f t="shared" ref="AE156" si="289">(AB156*(1+AC156))/($C$1-AD156)</f>
        <v>6.3332235737738873</v>
      </c>
    </row>
    <row r="157" spans="2:31" x14ac:dyDescent="0.2">
      <c r="B157" s="20" t="s">
        <v>390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 t="e">
        <f t="shared" si="290"/>
        <v>#DIV/0!</v>
      </c>
      <c r="G157" s="25">
        <f t="shared" si="290"/>
        <v>13.644185371517027</v>
      </c>
      <c r="H157" s="25">
        <f t="shared" si="290"/>
        <v>9.8648400629260617</v>
      </c>
      <c r="I157" s="25">
        <f t="shared" si="290"/>
        <v>10.828773685331063</v>
      </c>
      <c r="J157" s="25">
        <f t="shared" si="290"/>
        <v>14.54207387775385</v>
      </c>
      <c r="K157" s="25">
        <f t="shared" si="290"/>
        <v>15.784623264867081</v>
      </c>
      <c r="L157" s="25">
        <f t="shared" si="290"/>
        <v>11.278769230769232</v>
      </c>
      <c r="M157" s="25">
        <f t="shared" si="290"/>
        <v>11.949555746632273</v>
      </c>
      <c r="N157" s="25">
        <f t="shared" si="290"/>
        <v>15.159462404649473</v>
      </c>
      <c r="O157" s="25">
        <f t="shared" si="290"/>
        <v>10.877232844753259</v>
      </c>
      <c r="P157" s="25">
        <f t="shared" si="290"/>
        <v>9.8410897251747578</v>
      </c>
      <c r="Q157" s="118">
        <f t="shared" si="280"/>
        <v>-3.5654091392912091E-2</v>
      </c>
      <c r="R157" s="128"/>
      <c r="S157" s="119">
        <f t="shared" ref="S157:AB157" si="291">S155/S47</f>
        <v>10.439463127214403</v>
      </c>
      <c r="T157" s="119">
        <f t="shared" si="291"/>
        <v>11.074219769145921</v>
      </c>
      <c r="U157" s="119">
        <f t="shared" si="291"/>
        <v>11.747571881894883</v>
      </c>
      <c r="V157" s="119">
        <f t="shared" si="291"/>
        <v>12.461866207927956</v>
      </c>
      <c r="W157" s="119">
        <f t="shared" si="291"/>
        <v>13.219592180035004</v>
      </c>
      <c r="X157" s="119">
        <f t="shared" si="291"/>
        <v>14.023390597410344</v>
      </c>
      <c r="Y157" s="119">
        <f t="shared" si="291"/>
        <v>14.876062829270744</v>
      </c>
      <c r="Z157" s="119">
        <f t="shared" si="291"/>
        <v>15.780580578086223</v>
      </c>
      <c r="AA157" s="119">
        <f t="shared" si="291"/>
        <v>16.740096236450217</v>
      </c>
      <c r="AB157" s="119">
        <f t="shared" si="291"/>
        <v>17.757953873684379</v>
      </c>
      <c r="AC157" s="138">
        <f t="shared" si="283"/>
        <v>1.3966104795145373E-2</v>
      </c>
      <c r="AD157" s="31">
        <v>0.08</v>
      </c>
      <c r="AE157" s="127">
        <f t="shared" si="284"/>
        <v>128.61402370308292</v>
      </c>
    </row>
    <row r="158" spans="2:31" x14ac:dyDescent="0.2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 t="e">
        <f t="shared" si="292"/>
        <v>#DIV/0!</v>
      </c>
      <c r="G158" s="25">
        <f t="shared" si="292"/>
        <v>2.0972948454834772</v>
      </c>
      <c r="H158" s="25">
        <f t="shared" si="292"/>
        <v>2.0566579206297146</v>
      </c>
      <c r="I158" s="25">
        <f t="shared" si="292"/>
        <v>2.2784397607901989</v>
      </c>
      <c r="J158" s="25">
        <f t="shared" si="292"/>
        <v>2.7530889362769693</v>
      </c>
      <c r="K158" s="25">
        <f t="shared" si="292"/>
        <v>3.796703053002489</v>
      </c>
      <c r="L158" s="25">
        <f t="shared" si="292"/>
        <v>1.567471391520177</v>
      </c>
      <c r="M158" s="25">
        <f t="shared" si="292"/>
        <v>2.2691993686387635</v>
      </c>
      <c r="N158" s="25">
        <f t="shared" si="292"/>
        <v>2.0145225354443648</v>
      </c>
      <c r="O158" s="25">
        <f t="shared" si="292"/>
        <v>1.31796025220309</v>
      </c>
      <c r="P158" s="25">
        <f t="shared" si="292"/>
        <v>1.1476710554234089</v>
      </c>
      <c r="Q158" s="118">
        <f t="shared" si="280"/>
        <v>-6.4795823422872489E-2</v>
      </c>
      <c r="R158" s="128"/>
      <c r="S158" s="119">
        <f t="shared" ref="S158:AB158" si="293">S155/S50</f>
        <v>1.21745355441835</v>
      </c>
      <c r="T158" s="119">
        <f t="shared" si="293"/>
        <v>1.2914790785753945</v>
      </c>
      <c r="U158" s="119">
        <f t="shared" si="293"/>
        <v>1.3700056189780592</v>
      </c>
      <c r="V158" s="119">
        <f t="shared" si="293"/>
        <v>1.4533068534891358</v>
      </c>
      <c r="W158" s="119">
        <f t="shared" si="293"/>
        <v>1.541673100562895</v>
      </c>
      <c r="X158" s="119">
        <f t="shared" si="293"/>
        <v>1.635412331052478</v>
      </c>
      <c r="Y158" s="119">
        <f t="shared" si="293"/>
        <v>1.734851241538794</v>
      </c>
      <c r="Z158" s="119">
        <f t="shared" si="293"/>
        <v>1.8403363929216436</v>
      </c>
      <c r="AA158" s="119">
        <f t="shared" si="293"/>
        <v>1.9522354182412547</v>
      </c>
      <c r="AB158" s="119">
        <f t="shared" si="293"/>
        <v>2.0709383039396738</v>
      </c>
      <c r="AC158" s="138">
        <f t="shared" si="283"/>
        <v>-6.6538663775672635E-4</v>
      </c>
      <c r="AD158" s="31">
        <v>0.08</v>
      </c>
      <c r="AE158" s="127">
        <f t="shared" si="284"/>
        <v>14.782573780461526</v>
      </c>
    </row>
    <row r="159" spans="2:31" x14ac:dyDescent="0.2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 t="e">
        <f t="shared" si="294"/>
        <v>#DIV/0!</v>
      </c>
      <c r="G159" s="25">
        <f t="shared" si="294"/>
        <v>3.7711600171141297</v>
      </c>
      <c r="H159" s="25">
        <f t="shared" si="294"/>
        <v>3.2064513379921591</v>
      </c>
      <c r="I159" s="25">
        <f t="shared" si="294"/>
        <v>14.68960288808664</v>
      </c>
      <c r="J159" s="25">
        <f t="shared" si="294"/>
        <v>30.928483353884094</v>
      </c>
      <c r="K159" s="25">
        <f t="shared" si="294"/>
        <v>31.096185671039358</v>
      </c>
      <c r="L159" s="25">
        <f t="shared" si="294"/>
        <v>23.288726587673732</v>
      </c>
      <c r="M159" s="25">
        <f t="shared" si="294"/>
        <v>29.773923689043052</v>
      </c>
      <c r="N159" s="25">
        <f t="shared" si="294"/>
        <v>16.378202612546954</v>
      </c>
      <c r="O159" s="25">
        <f t="shared" si="294"/>
        <v>5.3560361620298691</v>
      </c>
      <c r="P159" s="25">
        <f t="shared" si="294"/>
        <v>2.2029173454514273</v>
      </c>
      <c r="Q159" s="118">
        <f t="shared" si="280"/>
        <v>-5.7984306494346494E-2</v>
      </c>
      <c r="R159" s="128"/>
      <c r="S159" s="119">
        <f t="shared" ref="S159:AB159" si="295">S155/S59</f>
        <v>2.3368625876168223</v>
      </c>
      <c r="T159" s="119">
        <f t="shared" si="295"/>
        <v>2.4789521788817384</v>
      </c>
      <c r="U159" s="119">
        <f t="shared" si="295"/>
        <v>2.6296813247583875</v>
      </c>
      <c r="V159" s="119">
        <f t="shared" si="295"/>
        <v>2.7895753410227142</v>
      </c>
      <c r="W159" s="119">
        <f t="shared" si="295"/>
        <v>2.9591914845259706</v>
      </c>
      <c r="X159" s="119">
        <f t="shared" si="295"/>
        <v>3.1391208953261658</v>
      </c>
      <c r="Y159" s="119">
        <f t="shared" si="295"/>
        <v>3.3299906569080511</v>
      </c>
      <c r="Z159" s="119">
        <f t="shared" si="295"/>
        <v>3.532465981671836</v>
      </c>
      <c r="AA159" s="119">
        <f t="shared" si="295"/>
        <v>3.7472525293074184</v>
      </c>
      <c r="AB159" s="119">
        <f t="shared" si="295"/>
        <v>3.9750988661340569</v>
      </c>
      <c r="AC159" s="138">
        <f t="shared" si="283"/>
        <v>2.7757911202401786E-3</v>
      </c>
      <c r="AD159" s="31">
        <v>0.08</v>
      </c>
      <c r="AE159" s="127">
        <f t="shared" si="284"/>
        <v>28.47237793049106</v>
      </c>
    </row>
    <row r="160" spans="2:31" x14ac:dyDescent="0.2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 t="e">
        <f t="shared" si="296"/>
        <v>#DIV/0!</v>
      </c>
      <c r="G160" s="25">
        <f t="shared" si="296"/>
        <v>29.878453389830508</v>
      </c>
      <c r="H160" s="25">
        <f t="shared" si="296"/>
        <v>44.212103407755585</v>
      </c>
      <c r="I160" s="25">
        <f t="shared" si="296"/>
        <v>34.274090296495956</v>
      </c>
      <c r="J160" s="25">
        <f t="shared" si="296"/>
        <v>29.896305125148984</v>
      </c>
      <c r="K160" s="25">
        <f t="shared" si="296"/>
        <v>18.317969446590979</v>
      </c>
      <c r="L160" s="25">
        <f t="shared" si="296"/>
        <v>16.335748885874832</v>
      </c>
      <c r="M160" s="25">
        <f t="shared" si="296"/>
        <v>14.728438051980822</v>
      </c>
      <c r="N160" s="25">
        <f t="shared" si="296"/>
        <v>8.5435456512838517</v>
      </c>
      <c r="O160" s="25">
        <f t="shared" si="296"/>
        <v>4.4825248197303793</v>
      </c>
      <c r="P160" s="25">
        <f t="shared" si="296"/>
        <v>4.4644974912574122</v>
      </c>
      <c r="Q160" s="118">
        <f t="shared" si="280"/>
        <v>-0.19040414785135529</v>
      </c>
      <c r="R160" s="128"/>
      <c r="S160" s="119">
        <f t="shared" ref="S160:AB160" si="297">S155/S61</f>
        <v>4.73595488335976</v>
      </c>
      <c r="T160" s="119">
        <f t="shared" si="297"/>
        <v>5.0239178543926162</v>
      </c>
      <c r="U160" s="119">
        <f t="shared" si="297"/>
        <v>5.3293900025034544</v>
      </c>
      <c r="V160" s="119">
        <f t="shared" si="297"/>
        <v>5.6534359481913867</v>
      </c>
      <c r="W160" s="119">
        <f t="shared" si="297"/>
        <v>5.9971850446840955</v>
      </c>
      <c r="X160" s="119">
        <f t="shared" si="297"/>
        <v>6.3618353139189061</v>
      </c>
      <c r="Y160" s="119">
        <f t="shared" si="297"/>
        <v>6.7486576218455827</v>
      </c>
      <c r="Z160" s="119">
        <f t="shared" si="297"/>
        <v>7.1590001076024432</v>
      </c>
      <c r="AA160" s="119">
        <f t="shared" si="297"/>
        <v>7.5942928820021995</v>
      </c>
      <c r="AB160" s="119">
        <f t="shared" si="297"/>
        <v>8.0560530117025113</v>
      </c>
      <c r="AC160" s="138">
        <f t="shared" si="283"/>
        <v>-6.6659264034796162E-2</v>
      </c>
      <c r="AD160" s="31">
        <v>0.08</v>
      </c>
      <c r="AE160" s="127">
        <f t="shared" si="284"/>
        <v>53.707446049407991</v>
      </c>
    </row>
    <row r="161" spans="2:31" x14ac:dyDescent="0.2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25">
        <f t="shared" ref="G161:P161" si="298">G155/G55</f>
        <v>6.4959143251957618</v>
      </c>
      <c r="H161" s="25">
        <f t="shared" si="298"/>
        <v>4.9105324980422864</v>
      </c>
      <c r="I161" s="25">
        <f t="shared" si="298"/>
        <v>4.1236166849081837</v>
      </c>
      <c r="J161" s="25">
        <f t="shared" si="298"/>
        <v>6.8144453931537683</v>
      </c>
      <c r="K161" s="25">
        <f t="shared" si="298"/>
        <v>10.864205887537459</v>
      </c>
      <c r="L161" s="25">
        <f t="shared" si="298"/>
        <v>2.8859040186212095</v>
      </c>
      <c r="M161" s="25">
        <f t="shared" si="298"/>
        <v>2.9211274372422631</v>
      </c>
      <c r="N161" s="25">
        <f t="shared" si="298"/>
        <v>2.6825769958311145</v>
      </c>
      <c r="O161" s="25">
        <f t="shared" si="298"/>
        <v>1.5377352673353935</v>
      </c>
      <c r="P161" s="25">
        <f t="shared" si="298"/>
        <v>1.4287571249826219</v>
      </c>
      <c r="Q161" s="118">
        <f t="shared" ref="Q161:Q163" si="299">((P161/G161)^(1/($H$2-$H$1) ))-1</f>
        <v>-0.15486860414459092</v>
      </c>
      <c r="R161" s="128"/>
      <c r="S161" s="135">
        <f t="shared" ref="S161:AB161" si="300">S155/S55</f>
        <v>1.5156306608855836</v>
      </c>
      <c r="T161" s="135">
        <f t="shared" si="300"/>
        <v>1.6077864180340731</v>
      </c>
      <c r="U161" s="135">
        <f t="shared" si="300"/>
        <v>1.7055455743448951</v>
      </c>
      <c r="V161" s="135">
        <f t="shared" si="300"/>
        <v>1.8092488364992589</v>
      </c>
      <c r="W161" s="135">
        <f t="shared" si="300"/>
        <v>1.9192576273614017</v>
      </c>
      <c r="X161" s="135">
        <f t="shared" si="300"/>
        <v>2.0359553455965003</v>
      </c>
      <c r="Y161" s="135">
        <f t="shared" si="300"/>
        <v>2.1597487018778594</v>
      </c>
      <c r="Z161" s="135">
        <f t="shared" si="300"/>
        <v>2.2910691363402544</v>
      </c>
      <c r="AA161" s="135">
        <f t="shared" si="300"/>
        <v>2.4303743222195147</v>
      </c>
      <c r="AB161" s="135">
        <f t="shared" si="300"/>
        <v>2.5781497609187558</v>
      </c>
      <c r="AC161" s="138">
        <f t="shared" ref="AC161" si="301">((AB161/G161)^(1/($AB$3-$H$1) ))-1</f>
        <v>-4.7473086558964317E-2</v>
      </c>
      <c r="AD161" s="31">
        <v>0.08</v>
      </c>
      <c r="AE161" s="127">
        <f t="shared" si="284"/>
        <v>17.54112167254776</v>
      </c>
    </row>
    <row r="162" spans="2:31" x14ac:dyDescent="0.2">
      <c r="B162" s="20" t="s">
        <v>372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>
        <f t="shared" si="302"/>
        <v>0</v>
      </c>
      <c r="G162" s="161">
        <f t="shared" si="302"/>
        <v>7.3291293893408549E-2</v>
      </c>
      <c r="H162" s="161">
        <f t="shared" si="302"/>
        <v>0.1013701178753206</v>
      </c>
      <c r="I162" s="161">
        <f t="shared" si="302"/>
        <v>9.2346560105381642E-2</v>
      </c>
      <c r="J162" s="161">
        <f t="shared" si="302"/>
        <v>6.8765982651881469E-2</v>
      </c>
      <c r="K162" s="161">
        <f t="shared" si="302"/>
        <v>6.3352794882711491E-2</v>
      </c>
      <c r="L162" s="161">
        <f t="shared" si="302"/>
        <v>8.8662156263640324E-2</v>
      </c>
      <c r="M162" s="161">
        <f t="shared" si="302"/>
        <v>8.3685119447376E-2</v>
      </c>
      <c r="N162" s="161">
        <f t="shared" si="302"/>
        <v>6.5965399913739398E-2</v>
      </c>
      <c r="O162" s="161">
        <f t="shared" si="302"/>
        <v>9.1935146950757787E-2</v>
      </c>
      <c r="P162" s="161">
        <f t="shared" si="302"/>
        <v>0.10161476299132532</v>
      </c>
      <c r="Q162" s="118">
        <f t="shared" si="299"/>
        <v>3.6972305346751888E-2</v>
      </c>
      <c r="R162" s="128"/>
      <c r="S162" s="161">
        <f t="shared" ref="S162:AB162" si="303">S47/S155</f>
        <v>9.5790366593960424E-2</v>
      </c>
      <c r="T162" s="161">
        <f t="shared" si="303"/>
        <v>9.0299815322982632E-2</v>
      </c>
      <c r="U162" s="161">
        <f t="shared" si="303"/>
        <v>8.5123973707381992E-2</v>
      </c>
      <c r="V162" s="161">
        <f t="shared" si="303"/>
        <v>8.0244803090874367E-2</v>
      </c>
      <c r="W162" s="161">
        <f t="shared" si="303"/>
        <v>7.5645298764228E-2</v>
      </c>
      <c r="X162" s="161">
        <f t="shared" si="303"/>
        <v>7.1309430701065032E-2</v>
      </c>
      <c r="Y162" s="161">
        <f t="shared" si="303"/>
        <v>6.7222087690592403E-2</v>
      </c>
      <c r="Z162" s="161">
        <f t="shared" si="303"/>
        <v>6.3369024672555757E-2</v>
      </c>
      <c r="AA162" s="161">
        <f t="shared" si="303"/>
        <v>5.9736813090869818E-2</v>
      </c>
      <c r="AB162" s="161">
        <f t="shared" si="303"/>
        <v>5.631279409289975E-2</v>
      </c>
      <c r="AC162" s="138">
        <f t="shared" ref="AC162:AC163" si="304">((AB162/G162)^(1/($AB$3-$H$1) ))-1</f>
        <v>-1.3773739308541311E-2</v>
      </c>
      <c r="AD162" s="31">
        <v>0.08</v>
      </c>
      <c r="AE162" s="127">
        <f t="shared" si="284"/>
        <v>0.39669397390948985</v>
      </c>
    </row>
    <row r="163" spans="2:31" x14ac:dyDescent="0.2">
      <c r="B163" s="20" t="s">
        <v>321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>
        <f t="shared" si="305"/>
        <v>0</v>
      </c>
      <c r="G163" s="152">
        <f t="shared" si="305"/>
        <v>1.0396039603960397E-2</v>
      </c>
      <c r="H163" s="152">
        <f t="shared" si="305"/>
        <v>1.3888888888888888E-2</v>
      </c>
      <c r="I163" s="152">
        <f t="shared" si="305"/>
        <v>1.3698630136986301E-2</v>
      </c>
      <c r="J163" s="152">
        <f t="shared" si="305"/>
        <v>8.7301587301587304E-3</v>
      </c>
      <c r="K163" s="152">
        <f t="shared" si="305"/>
        <v>6.1320754716981136E-3</v>
      </c>
      <c r="L163" s="152">
        <f t="shared" si="305"/>
        <v>1.1206896551724138E-2</v>
      </c>
      <c r="M163" s="152">
        <f t="shared" si="305"/>
        <v>7.1428571428571426E-3</v>
      </c>
      <c r="N163" s="152">
        <f t="shared" si="305"/>
        <v>8.1632653061224497E-3</v>
      </c>
      <c r="O163" s="152">
        <f t="shared" si="305"/>
        <v>1.1805555555555555E-2</v>
      </c>
      <c r="P163" s="152">
        <f t="shared" si="305"/>
        <v>1.2857142857142857E-2</v>
      </c>
      <c r="Q163" s="118">
        <f t="shared" si="299"/>
        <v>2.3889169991312187E-2</v>
      </c>
      <c r="R163" s="128"/>
      <c r="S163" s="152">
        <f t="shared" ref="S163:AB163" si="306">S41/S155</f>
        <v>1.2385321100917432E-2</v>
      </c>
      <c r="T163" s="152">
        <f t="shared" si="306"/>
        <v>1.193081390455349E-2</v>
      </c>
      <c r="U163" s="152">
        <f t="shared" si="306"/>
        <v>1.1492985871358866E-2</v>
      </c>
      <c r="V163" s="152">
        <f t="shared" si="306"/>
        <v>1.10712249219512E-2</v>
      </c>
      <c r="W163" s="152">
        <f t="shared" si="306"/>
        <v>1.0664941438576842E-2</v>
      </c>
      <c r="X163" s="152">
        <f t="shared" si="306"/>
        <v>1.0273567440830904E-2</v>
      </c>
      <c r="Y163" s="152">
        <f t="shared" si="306"/>
        <v>9.8965557916261011E-3</v>
      </c>
      <c r="Z163" s="152">
        <f t="shared" si="306"/>
        <v>9.5333794323003724E-3</v>
      </c>
      <c r="AA163" s="152">
        <f t="shared" si="306"/>
        <v>9.1835306457939362E-3</v>
      </c>
      <c r="AB163" s="152">
        <f t="shared" si="306"/>
        <v>8.8465203468657185E-3</v>
      </c>
      <c r="AC163" s="138">
        <f t="shared" si="304"/>
        <v>-8.4587963870003113E-3</v>
      </c>
      <c r="AD163" s="31">
        <v>0.08</v>
      </c>
      <c r="AE163" s="127">
        <f t="shared" si="284"/>
        <v>6.2654924517986613E-2</v>
      </c>
    </row>
    <row r="164" spans="2:31" x14ac:dyDescent="0.2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 x14ac:dyDescent="0.2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127"/>
    </row>
    <row r="166" spans="2:31" x14ac:dyDescent="0.2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90" t="s">
        <v>352</v>
      </c>
      <c r="L166" s="19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0.87277788853724714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-0.33644212745543284</v>
      </c>
      <c r="N168" s="20"/>
      <c r="O168" s="20"/>
      <c r="P168" s="128">
        <f>(P155-R134)/P155</f>
        <v>-0.33644212745543284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-0.69126909157443961</v>
      </c>
      <c r="N169" s="20"/>
      <c r="O169" s="20"/>
      <c r="P169" s="128">
        <f>(P155-R127)/P155</f>
        <v>-0.69126909157443961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-0.10965480605786362</v>
      </c>
      <c r="N170" s="20"/>
      <c r="O170" s="20"/>
      <c r="P170" s="128">
        <f>(P155-R140)/P155</f>
        <v>-0.10965480605786362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301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5">
        <f>P155/R126</f>
        <v>5.1538838304563379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52">
        <f>1/P171</f>
        <v>0.19402843232332956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 x14ac:dyDescent="0.2">
      <c r="B174" s="108" t="s">
        <v>303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 x14ac:dyDescent="0.2">
      <c r="B175" s="20" t="s">
        <v>306</v>
      </c>
      <c r="C175" s="25" t="e">
        <f t="shared" ref="C175:P175" si="307">C10/C7</f>
        <v>#DIV/0!</v>
      </c>
      <c r="D175" s="25" t="e">
        <f t="shared" si="307"/>
        <v>#DIV/0!</v>
      </c>
      <c r="E175" s="25" t="e">
        <f t="shared" si="307"/>
        <v>#DIV/0!</v>
      </c>
      <c r="F175" s="25" t="e">
        <f t="shared" si="307"/>
        <v>#DIV/0!</v>
      </c>
      <c r="G175" s="25">
        <f t="shared" si="307"/>
        <v>0.60016563383499444</v>
      </c>
      <c r="H175" s="25">
        <f t="shared" si="307"/>
        <v>0.46220923092039007</v>
      </c>
      <c r="I175" s="25">
        <f t="shared" si="307"/>
        <v>0.45752479517033207</v>
      </c>
      <c r="J175" s="25">
        <f t="shared" si="307"/>
        <v>0.49335131727484643</v>
      </c>
      <c r="K175" s="25">
        <f t="shared" si="307"/>
        <v>0.59293567251461987</v>
      </c>
      <c r="L175" s="25">
        <f t="shared" si="307"/>
        <v>0.62893621232865415</v>
      </c>
      <c r="M175" s="25">
        <f t="shared" si="307"/>
        <v>0.45818499028382575</v>
      </c>
      <c r="N175" s="25">
        <f t="shared" si="307"/>
        <v>0.54584866597872572</v>
      </c>
      <c r="O175" s="25">
        <f t="shared" si="307"/>
        <v>0.48768036826108768</v>
      </c>
      <c r="P175" s="25">
        <f t="shared" si="307"/>
        <v>0.49063195188267283</v>
      </c>
      <c r="Q175" s="118">
        <f t="shared" ref="Q175:Q177" si="308">((P175/G175)^(1/($H$2-$H$1) ))-1</f>
        <v>-2.2141358064810768E-2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 x14ac:dyDescent="0.2">
      <c r="B176" s="20" t="s">
        <v>307</v>
      </c>
      <c r="C176" s="112" t="e">
        <f>C10/C12</f>
        <v>#DIV/0!</v>
      </c>
      <c r="D176" s="112" t="e">
        <f>D10/D12</f>
        <v>#DIV/0!</v>
      </c>
      <c r="E176" s="112" t="e">
        <f>E10/E12</f>
        <v>#DIV/0!</v>
      </c>
      <c r="F176" s="112" t="e">
        <f>F10/F12</f>
        <v>#DIV/0!</v>
      </c>
      <c r="G176" s="112">
        <f>G10/G12</f>
        <v>77.837037037037035</v>
      </c>
      <c r="H176" s="112">
        <f t="shared" ref="H176:P176" si="309">H10/H12</f>
        <v>48.875324675324677</v>
      </c>
      <c r="I176" s="112">
        <f t="shared" si="309"/>
        <v>90.12355212355213</v>
      </c>
      <c r="J176" s="112">
        <f t="shared" si="309"/>
        <v>82.276283618581914</v>
      </c>
      <c r="K176" s="112">
        <f t="shared" si="309"/>
        <v>130.65979381443299</v>
      </c>
      <c r="L176" s="112">
        <f t="shared" si="309"/>
        <v>94.691485266543324</v>
      </c>
      <c r="M176" s="112">
        <f t="shared" si="309"/>
        <v>97.296686746987959</v>
      </c>
      <c r="N176" s="112">
        <f t="shared" si="309"/>
        <v>96.231121281464524</v>
      </c>
      <c r="O176" s="112">
        <f t="shared" si="309"/>
        <v>57.147302904564313</v>
      </c>
      <c r="P176" s="112">
        <f t="shared" si="309"/>
        <v>1.7702949104169969</v>
      </c>
      <c r="Q176" s="118">
        <f t="shared" si="308"/>
        <v>-0.34320654870195688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3" x14ac:dyDescent="0.2">
      <c r="B177" s="20" t="s">
        <v>308</v>
      </c>
      <c r="C177" s="25" t="e">
        <f>C10/(C12+C13)</f>
        <v>#DIV/0!</v>
      </c>
      <c r="D177" s="25" t="e">
        <f>D10/(D12+D13)</f>
        <v>#DIV/0!</v>
      </c>
      <c r="E177" s="25" t="e">
        <f>E10/(E12+E13)</f>
        <v>#DIV/0!</v>
      </c>
      <c r="F177" s="25" t="e">
        <f>F10/(F12+F13)</f>
        <v>#DIV/0!</v>
      </c>
      <c r="G177" s="25">
        <f>G10/(G12+G13)</f>
        <v>1.1239704781260027</v>
      </c>
      <c r="H177" s="25">
        <f t="shared" ref="H177:P177" si="310">H10/(H12+H13)</f>
        <v>0.80181523777058117</v>
      </c>
      <c r="I177" s="25">
        <f t="shared" si="310"/>
        <v>3.3706859205776172</v>
      </c>
      <c r="J177" s="25">
        <f t="shared" si="310"/>
        <v>5.927602607010745</v>
      </c>
      <c r="K177" s="25">
        <f t="shared" si="310"/>
        <v>5.1156407669021187</v>
      </c>
      <c r="L177" s="25">
        <f t="shared" si="310"/>
        <v>10.532145723042246</v>
      </c>
      <c r="M177" s="25">
        <f t="shared" si="310"/>
        <v>6.5910018363599265</v>
      </c>
      <c r="N177" s="25">
        <f t="shared" si="310"/>
        <v>4.7152548074227729</v>
      </c>
      <c r="O177" s="25">
        <f t="shared" si="310"/>
        <v>2.0637081064881873</v>
      </c>
      <c r="P177" s="25">
        <f t="shared" si="310"/>
        <v>0.95732230129469265</v>
      </c>
      <c r="Q177" s="118">
        <f t="shared" si="308"/>
        <v>-1.7673366502815813E-2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3" x14ac:dyDescent="0.2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3" x14ac:dyDescent="0.2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3" x14ac:dyDescent="0.2">
      <c r="B180" s="20"/>
      <c r="C180" s="175" t="s">
        <v>378</v>
      </c>
      <c r="D180" s="176"/>
      <c r="E180" s="176"/>
      <c r="F180" s="176"/>
      <c r="G180" s="176"/>
      <c r="H180" s="176"/>
      <c r="I180" s="176"/>
      <c r="J180" s="176"/>
      <c r="K180" s="20"/>
      <c r="L180" s="187" t="s">
        <v>338</v>
      </c>
      <c r="M180" s="188"/>
      <c r="N180" s="189"/>
      <c r="O180" s="23" t="s">
        <v>341</v>
      </c>
      <c r="P180" s="20"/>
      <c r="Q180" s="187" t="s">
        <v>339</v>
      </c>
      <c r="R180" s="188"/>
      <c r="S180" s="189"/>
      <c r="T180" s="23" t="s">
        <v>341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2:33" x14ac:dyDescent="0.2">
      <c r="B181" s="20"/>
      <c r="C181" s="166" t="s">
        <v>340</v>
      </c>
      <c r="D181" s="166" t="s">
        <v>0</v>
      </c>
      <c r="E181" s="166" t="s">
        <v>379</v>
      </c>
      <c r="F181" s="166" t="s">
        <v>380</v>
      </c>
      <c r="G181" s="166" t="s">
        <v>381</v>
      </c>
      <c r="H181" s="166" t="s">
        <v>382</v>
      </c>
      <c r="I181" s="166" t="s">
        <v>383</v>
      </c>
      <c r="J181" s="166" t="s">
        <v>384</v>
      </c>
      <c r="K181" s="20"/>
      <c r="L181" s="166" t="s">
        <v>340</v>
      </c>
      <c r="M181" s="166"/>
      <c r="N181" s="166" t="s">
        <v>0</v>
      </c>
      <c r="O181" s="166" t="s">
        <v>373</v>
      </c>
      <c r="P181" s="20"/>
      <c r="Q181" s="166" t="s">
        <v>340</v>
      </c>
      <c r="R181" s="166"/>
      <c r="S181" s="166" t="s">
        <v>0</v>
      </c>
      <c r="T181" s="166" t="s">
        <v>373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2:33" x14ac:dyDescent="0.2">
      <c r="B182" s="20"/>
      <c r="C182" s="167" t="s">
        <v>342</v>
      </c>
      <c r="D182" s="21">
        <v>250</v>
      </c>
      <c r="E182" s="177" t="s">
        <v>385</v>
      </c>
      <c r="F182" s="22">
        <v>1</v>
      </c>
      <c r="G182" s="22">
        <v>1</v>
      </c>
      <c r="H182" s="167">
        <f>F182/G182</f>
        <v>1</v>
      </c>
      <c r="I182" s="167">
        <f>H182*D183</f>
        <v>1</v>
      </c>
      <c r="J182" s="178">
        <f>I182+D183</f>
        <v>2</v>
      </c>
      <c r="K182" s="20"/>
      <c r="L182" s="167" t="s">
        <v>342</v>
      </c>
      <c r="M182" s="167"/>
      <c r="N182" s="21">
        <v>230</v>
      </c>
      <c r="O182" s="174">
        <f>N182</f>
        <v>230</v>
      </c>
      <c r="P182" s="20"/>
      <c r="Q182" s="167" t="s">
        <v>342</v>
      </c>
      <c r="R182" s="167"/>
      <c r="S182" s="21">
        <v>280</v>
      </c>
      <c r="T182" s="174">
        <f>S182</f>
        <v>280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2:33" x14ac:dyDescent="0.2">
      <c r="B183" s="20"/>
      <c r="C183" s="167" t="s">
        <v>343</v>
      </c>
      <c r="D183" s="21">
        <v>1</v>
      </c>
      <c r="E183" s="177" t="s">
        <v>386</v>
      </c>
      <c r="F183" s="22">
        <v>1</v>
      </c>
      <c r="G183" s="22">
        <v>1</v>
      </c>
      <c r="H183" s="167">
        <f>F183/G183</f>
        <v>1</v>
      </c>
      <c r="I183" s="167">
        <f>H183*J182</f>
        <v>2</v>
      </c>
      <c r="J183" s="167">
        <f>I183+J182</f>
        <v>4</v>
      </c>
      <c r="K183" s="20"/>
      <c r="L183" s="167" t="s">
        <v>343</v>
      </c>
      <c r="M183" s="167"/>
      <c r="N183" s="21">
        <v>1</v>
      </c>
      <c r="O183" s="174">
        <f>N183</f>
        <v>1</v>
      </c>
      <c r="P183" s="20"/>
      <c r="Q183" s="167" t="s">
        <v>343</v>
      </c>
      <c r="R183" s="167"/>
      <c r="S183" s="21">
        <v>1</v>
      </c>
      <c r="T183" s="174">
        <f>S183</f>
        <v>1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2:33" x14ac:dyDescent="0.2">
      <c r="B184" s="20"/>
      <c r="C184" s="167" t="s">
        <v>345</v>
      </c>
      <c r="D184" s="168">
        <f>D182*D183</f>
        <v>250</v>
      </c>
      <c r="E184" s="177" t="s">
        <v>387</v>
      </c>
      <c r="F184" s="22">
        <v>0</v>
      </c>
      <c r="G184" s="22">
        <v>2</v>
      </c>
      <c r="H184" s="167">
        <f>F184/G184</f>
        <v>0</v>
      </c>
      <c r="I184" s="167">
        <f>H184*J183</f>
        <v>0</v>
      </c>
      <c r="J184" s="167">
        <f>I184</f>
        <v>0</v>
      </c>
      <c r="K184" s="20"/>
      <c r="L184" s="167" t="s">
        <v>344</v>
      </c>
      <c r="M184" s="167"/>
      <c r="N184" s="168">
        <f>N182*N183</f>
        <v>230</v>
      </c>
      <c r="O184" s="174">
        <f>N184</f>
        <v>230</v>
      </c>
      <c r="P184" s="20"/>
      <c r="Q184" s="167" t="s">
        <v>345</v>
      </c>
      <c r="R184" s="167"/>
      <c r="S184" s="168">
        <f>S182*S183</f>
        <v>280</v>
      </c>
      <c r="T184" s="174">
        <f>S184</f>
        <v>280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2:33" x14ac:dyDescent="0.2">
      <c r="B185" s="20"/>
      <c r="C185" s="167" t="s">
        <v>346</v>
      </c>
      <c r="D185" s="21">
        <v>900</v>
      </c>
      <c r="E185" s="177"/>
      <c r="F185" s="167"/>
      <c r="G185" s="167"/>
      <c r="H185" s="169" t="s">
        <v>388</v>
      </c>
      <c r="I185" s="167"/>
      <c r="J185" s="167">
        <f>J184</f>
        <v>0</v>
      </c>
      <c r="K185" s="20"/>
      <c r="L185" s="167" t="s">
        <v>346</v>
      </c>
      <c r="M185" s="167"/>
      <c r="N185" s="21">
        <v>890</v>
      </c>
      <c r="O185" s="21">
        <v>1630</v>
      </c>
      <c r="P185" s="20"/>
      <c r="Q185" s="167" t="s">
        <v>346</v>
      </c>
      <c r="R185" s="167"/>
      <c r="S185" s="21">
        <v>900</v>
      </c>
      <c r="T185" s="21">
        <v>2120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2:33" x14ac:dyDescent="0.2">
      <c r="B186" s="20"/>
      <c r="C186" s="167" t="s">
        <v>343</v>
      </c>
      <c r="D186" s="21">
        <v>4</v>
      </c>
      <c r="E186" s="177" t="s">
        <v>387</v>
      </c>
      <c r="F186" s="22">
        <v>0</v>
      </c>
      <c r="G186" s="22">
        <v>2</v>
      </c>
      <c r="H186" s="167">
        <f>F186/G186</f>
        <v>0</v>
      </c>
      <c r="I186" s="178">
        <f>H186*D183</f>
        <v>0</v>
      </c>
      <c r="J186" s="178">
        <f>I186</f>
        <v>0</v>
      </c>
      <c r="K186" s="20"/>
      <c r="L186" s="167" t="s">
        <v>347</v>
      </c>
      <c r="M186" s="167"/>
      <c r="N186" s="168">
        <f>N185*N183</f>
        <v>890</v>
      </c>
      <c r="O186" s="168">
        <f>O185*O183</f>
        <v>1630</v>
      </c>
      <c r="P186" s="20"/>
      <c r="Q186" s="167" t="s">
        <v>343</v>
      </c>
      <c r="R186" s="167"/>
      <c r="S186" s="21">
        <v>2</v>
      </c>
      <c r="T186" s="174">
        <f>S186</f>
        <v>2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2:33" x14ac:dyDescent="0.2">
      <c r="B187" s="20"/>
      <c r="C187" s="167" t="s">
        <v>345</v>
      </c>
      <c r="D187" s="168">
        <f>D186*D185</f>
        <v>3600</v>
      </c>
      <c r="E187" s="167"/>
      <c r="F187" s="167"/>
      <c r="G187" s="167"/>
      <c r="H187" s="169" t="s">
        <v>388</v>
      </c>
      <c r="I187" s="167"/>
      <c r="J187" s="167">
        <f>J186</f>
        <v>0</v>
      </c>
      <c r="K187" s="20"/>
      <c r="L187" s="167"/>
      <c r="M187" s="167"/>
      <c r="N187" s="168"/>
      <c r="O187" s="168"/>
      <c r="P187" s="20"/>
      <c r="Q187" s="167" t="s">
        <v>345</v>
      </c>
      <c r="R187" s="167"/>
      <c r="S187" s="168">
        <f>S186*S185</f>
        <v>1800</v>
      </c>
      <c r="T187" s="168">
        <f>T186*T185</f>
        <v>4240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2:33" x14ac:dyDescent="0.2">
      <c r="B188" s="20"/>
      <c r="C188" s="167"/>
      <c r="D188" s="168"/>
      <c r="E188" s="177" t="s">
        <v>387</v>
      </c>
      <c r="F188" s="22">
        <v>0</v>
      </c>
      <c r="G188" s="22">
        <v>2</v>
      </c>
      <c r="H188" s="167">
        <f>F188/G188</f>
        <v>0</v>
      </c>
      <c r="I188" s="167">
        <f>H188*J187</f>
        <v>0</v>
      </c>
      <c r="J188" s="167">
        <f>I188</f>
        <v>0</v>
      </c>
      <c r="K188" s="20"/>
      <c r="L188" s="167"/>
      <c r="M188" s="167"/>
      <c r="N188" s="168"/>
      <c r="O188" s="168"/>
      <c r="P188" s="20"/>
      <c r="Q188" s="167"/>
      <c r="R188" s="167"/>
      <c r="S188" s="168"/>
      <c r="T188" s="168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2:33" x14ac:dyDescent="0.2">
      <c r="B189" s="20"/>
      <c r="C189" s="169" t="s">
        <v>348</v>
      </c>
      <c r="D189" s="170">
        <f>D187/D184</f>
        <v>14.4</v>
      </c>
      <c r="E189" s="177"/>
      <c r="F189" s="167"/>
      <c r="G189" s="167"/>
      <c r="H189" s="169" t="s">
        <v>388</v>
      </c>
      <c r="I189" s="167"/>
      <c r="J189" s="167">
        <f>J188</f>
        <v>0</v>
      </c>
      <c r="K189" s="20"/>
      <c r="L189" s="169" t="s">
        <v>348</v>
      </c>
      <c r="M189" s="169"/>
      <c r="N189" s="170">
        <f>N186/N184</f>
        <v>3.8695652173913042</v>
      </c>
      <c r="O189" s="170">
        <f>O186/O184</f>
        <v>7.0869565217391308</v>
      </c>
      <c r="P189" s="20"/>
      <c r="Q189" s="169" t="s">
        <v>348</v>
      </c>
      <c r="R189" s="169"/>
      <c r="S189" s="170">
        <f>S187/S184</f>
        <v>6.4285714285714288</v>
      </c>
      <c r="T189" s="170">
        <f>T187/T184</f>
        <v>15.142857142857142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2:33" x14ac:dyDescent="0.2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2:33" ht="15" x14ac:dyDescent="0.25">
      <c r="B191" s="20"/>
      <c r="C191" s="20"/>
      <c r="D191" s="180" t="s">
        <v>27</v>
      </c>
      <c r="E191" s="181"/>
      <c r="F191" s="181"/>
      <c r="G191" s="182"/>
      <c r="H191" s="20"/>
      <c r="I191" s="180" t="s">
        <v>393</v>
      </c>
      <c r="J191" s="181"/>
      <c r="K191" s="182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3" x14ac:dyDescent="0.2">
      <c r="B192" s="20"/>
      <c r="C192" s="20"/>
      <c r="D192" s="20" t="s">
        <v>28</v>
      </c>
      <c r="E192" s="127"/>
      <c r="F192" s="127"/>
      <c r="G192" s="21">
        <v>250</v>
      </c>
      <c r="H192" s="20"/>
      <c r="I192" s="20" t="s">
        <v>28</v>
      </c>
      <c r="J192" s="127"/>
      <c r="K192" s="21">
        <f>G192</f>
        <v>250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 t="s">
        <v>29</v>
      </c>
      <c r="E193" s="127"/>
      <c r="F193" s="127"/>
      <c r="G193" s="21">
        <v>3600</v>
      </c>
      <c r="H193" s="20"/>
      <c r="I193" s="20" t="s">
        <v>29</v>
      </c>
      <c r="J193" s="20"/>
      <c r="K193" s="21">
        <f>G193</f>
        <v>3600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 t="s">
        <v>30</v>
      </c>
      <c r="E194" s="20"/>
      <c r="F194" s="20"/>
      <c r="G194" s="22">
        <v>15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3" t="s">
        <v>31</v>
      </c>
      <c r="E195" s="3"/>
      <c r="F195" s="3"/>
      <c r="G195" s="3">
        <f>((G193/G192)^(1/G194))-1</f>
        <v>0.19460455436869295</v>
      </c>
      <c r="H195" s="20"/>
      <c r="I195" s="20" t="s">
        <v>394</v>
      </c>
      <c r="J195" s="20"/>
      <c r="K195" s="20">
        <f>(K193-K192)/K192</f>
        <v>13.4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20"/>
      <c r="D196" s="23" t="s">
        <v>32</v>
      </c>
      <c r="E196" s="165"/>
      <c r="F196" s="165"/>
      <c r="G196" s="24">
        <f>G194*12</f>
        <v>180</v>
      </c>
      <c r="H196" s="20"/>
      <c r="I196" s="20" t="s">
        <v>395</v>
      </c>
      <c r="J196" s="20"/>
      <c r="K196" s="20">
        <f>K193/K192</f>
        <v>14.4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0" t="s">
        <v>30</v>
      </c>
      <c r="E197" s="25"/>
      <c r="F197" s="25"/>
      <c r="G197" s="25">
        <f>G196/12</f>
        <v>15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20"/>
      <c r="D198" s="23" t="s">
        <v>33</v>
      </c>
      <c r="E198" s="3"/>
      <c r="F198" s="3"/>
      <c r="G198" s="3">
        <f>((G193/G192)^(1/G197))-1</f>
        <v>0.19460455436869295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</sheetData>
  <mergeCells count="7">
    <mergeCell ref="D191:G191"/>
    <mergeCell ref="I191:K191"/>
    <mergeCell ref="AD2:AE2"/>
    <mergeCell ref="AD3:AE3"/>
    <mergeCell ref="L180:N180"/>
    <mergeCell ref="Q180:S180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2" t="s">
        <v>27</v>
      </c>
      <c r="K5" s="192"/>
      <c r="M5" s="192" t="s">
        <v>65</v>
      </c>
      <c r="N5" s="19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2" t="s">
        <v>36</v>
      </c>
      <c r="K14" s="192"/>
      <c r="L14" s="19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2" t="s">
        <v>27</v>
      </c>
      <c r="S5" s="19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2" t="s">
        <v>36</v>
      </c>
      <c r="S14" s="192"/>
      <c r="T14" s="19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2" t="s">
        <v>27</v>
      </c>
      <c r="C2" s="192"/>
      <c r="E2" s="192" t="s">
        <v>65</v>
      </c>
      <c r="F2" s="192"/>
      <c r="H2" s="180" t="s">
        <v>36</v>
      </c>
      <c r="I2" s="18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93" t="s">
        <v>68</v>
      </c>
      <c r="E10" s="194"/>
      <c r="F10" s="194"/>
      <c r="G10" s="194"/>
      <c r="H10" s="195"/>
      <c r="I10" s="193" t="s">
        <v>72</v>
      </c>
      <c r="J10" s="194"/>
      <c r="K10" s="194"/>
      <c r="L10" s="19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2014-03-29T17:39:07Z</dcterms:modified>
</cp:coreProperties>
</file>
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Q146" i="18" l="1"/>
  <c r="Q147" i="18" s="1"/>
  <c r="Q143" i="18"/>
  <c r="K146" i="18"/>
  <c r="K143" i="18"/>
  <c r="K147" i="18" l="1"/>
  <c r="R9" i="18"/>
  <c r="R10" i="18"/>
  <c r="R12" i="18"/>
  <c r="R13" i="18"/>
  <c r="R14" i="18"/>
  <c r="R15" i="18"/>
  <c r="R17" i="18"/>
  <c r="R19" i="18"/>
  <c r="R20" i="18"/>
  <c r="R21" i="18"/>
  <c r="R22" i="18"/>
  <c r="R24" i="18"/>
  <c r="R26" i="18"/>
  <c r="R28" i="18"/>
  <c r="R30" i="18"/>
  <c r="R31" i="18"/>
  <c r="R32" i="18"/>
  <c r="R34" i="18"/>
  <c r="R36" i="18"/>
  <c r="R38" i="18"/>
  <c r="R7" i="18"/>
  <c r="R6" i="18"/>
  <c r="AD9" i="18"/>
  <c r="AD10" i="18"/>
  <c r="AD11" i="18"/>
  <c r="AD12" i="18"/>
  <c r="AD13" i="18"/>
  <c r="AD14" i="18"/>
  <c r="AD15" i="18"/>
  <c r="AD17" i="18"/>
  <c r="AD19" i="18"/>
  <c r="AD20" i="18"/>
  <c r="AD21" i="18"/>
  <c r="AD22" i="18"/>
  <c r="AD24" i="18"/>
  <c r="AD26" i="18"/>
  <c r="AD28" i="18"/>
  <c r="AD30" i="18"/>
  <c r="AD31" i="18"/>
  <c r="AD32" i="18"/>
  <c r="AD34" i="18"/>
  <c r="AD36" i="18"/>
  <c r="AD38" i="18"/>
  <c r="AD39" i="18"/>
  <c r="AD42" i="18"/>
  <c r="AD43" i="18"/>
  <c r="AD45" i="18"/>
  <c r="AD46" i="18"/>
  <c r="AD47" i="18"/>
  <c r="AD48" i="18"/>
  <c r="AD50" i="18"/>
  <c r="AD51" i="18"/>
  <c r="AD52" i="18"/>
  <c r="AD54" i="18"/>
  <c r="AD55" i="18"/>
  <c r="AD56" i="18"/>
  <c r="AD57" i="18"/>
  <c r="AD59" i="18"/>
  <c r="AD60" i="18"/>
  <c r="AD62" i="18"/>
  <c r="AD64" i="18"/>
  <c r="AD65" i="18"/>
  <c r="AD66" i="18"/>
  <c r="AD67" i="18"/>
  <c r="AD68" i="18"/>
  <c r="AD70" i="18"/>
  <c r="AD71" i="18"/>
  <c r="AD72" i="18"/>
  <c r="AD7" i="18"/>
  <c r="AD6" i="18"/>
  <c r="G82" i="18" l="1"/>
  <c r="F82" i="18"/>
  <c r="H82" i="18"/>
  <c r="I82" i="18"/>
  <c r="J82" i="18"/>
  <c r="K82" i="18"/>
  <c r="L82" i="18"/>
  <c r="M82" i="18"/>
  <c r="N82" i="18"/>
  <c r="O82" i="18"/>
  <c r="P82" i="18"/>
  <c r="Q82" i="18" l="1"/>
  <c r="H80" i="18"/>
  <c r="I80" i="18"/>
  <c r="J80" i="18"/>
  <c r="K80" i="18"/>
  <c r="L80" i="18"/>
  <c r="M80" i="18"/>
  <c r="N80" i="18"/>
  <c r="O80" i="18"/>
  <c r="P80" i="18"/>
  <c r="H81" i="18"/>
  <c r="I81" i="18"/>
  <c r="J81" i="18"/>
  <c r="K81" i="18"/>
  <c r="L81" i="18"/>
  <c r="M81" i="18"/>
  <c r="N81" i="18"/>
  <c r="O81" i="18"/>
  <c r="P81" i="18"/>
  <c r="G81" i="18"/>
  <c r="G80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Q28" i="18"/>
  <c r="P29" i="18"/>
  <c r="O29" i="18"/>
  <c r="N29" i="18"/>
  <c r="M29" i="18"/>
  <c r="L29" i="18"/>
  <c r="K29" i="18"/>
  <c r="J29" i="18"/>
  <c r="I29" i="18"/>
  <c r="H29" i="18"/>
  <c r="G29" i="18"/>
  <c r="Q79" i="18"/>
  <c r="Q81" i="18" l="1"/>
  <c r="Q80" i="18"/>
  <c r="AE28" i="18"/>
  <c r="AC28" i="18"/>
  <c r="AC79" i="18"/>
  <c r="H84" i="18"/>
  <c r="I84" i="18"/>
  <c r="J84" i="18"/>
  <c r="K84" i="18"/>
  <c r="L84" i="18"/>
  <c r="M84" i="18"/>
  <c r="N84" i="18"/>
  <c r="O84" i="18"/>
  <c r="P84" i="18"/>
  <c r="G84" i="18"/>
  <c r="H83" i="18"/>
  <c r="I83" i="18"/>
  <c r="J83" i="18"/>
  <c r="K83" i="18"/>
  <c r="L83" i="18"/>
  <c r="M83" i="18"/>
  <c r="N83" i="18"/>
  <c r="O83" i="18"/>
  <c r="P83" i="18"/>
  <c r="G83" i="18"/>
  <c r="Q83" i="18" l="1"/>
  <c r="Q84" i="18"/>
  <c r="AE59" i="18"/>
  <c r="C124" i="18" l="1"/>
  <c r="D124" i="18"/>
  <c r="E124" i="18"/>
  <c r="F124" i="18"/>
  <c r="G124" i="18"/>
  <c r="H124" i="18"/>
  <c r="I124" i="18"/>
  <c r="J124" i="18"/>
  <c r="K124" i="18"/>
  <c r="L124" i="18"/>
  <c r="M124" i="18"/>
  <c r="N124" i="18"/>
  <c r="O124" i="18"/>
  <c r="P124" i="18"/>
  <c r="C9" i="15"/>
  <c r="D60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C60" i="18"/>
  <c r="S39" i="18"/>
  <c r="S60" i="18" s="1"/>
  <c r="Q39" i="18"/>
  <c r="T39" i="18" l="1"/>
  <c r="U39" i="18" s="1"/>
  <c r="V39" i="18" s="1"/>
  <c r="W39" i="18" s="1"/>
  <c r="U60" i="18" l="1"/>
  <c r="X39" i="18"/>
  <c r="W60" i="18"/>
  <c r="V60" i="18"/>
  <c r="T60" i="18"/>
  <c r="U30" i="18"/>
  <c r="X30" i="18" s="1"/>
  <c r="AA30" i="18" s="1"/>
  <c r="S30" i="18"/>
  <c r="V30" i="18" s="1"/>
  <c r="Y30" i="18" s="1"/>
  <c r="AB30" i="18" s="1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P71" i="18"/>
  <c r="P70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C76" i="18"/>
  <c r="D76" i="18"/>
  <c r="E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F76" i="18"/>
  <c r="G76" i="18"/>
  <c r="H76" i="18"/>
  <c r="I76" i="18"/>
  <c r="J76" i="18"/>
  <c r="K76" i="18"/>
  <c r="L76" i="18"/>
  <c r="M76" i="18"/>
  <c r="N76" i="18"/>
  <c r="O76" i="18"/>
  <c r="P77" i="18"/>
  <c r="G37" i="18"/>
  <c r="G35" i="18"/>
  <c r="G27" i="18"/>
  <c r="G11" i="18"/>
  <c r="G8" i="18"/>
  <c r="G25" i="18"/>
  <c r="AC30" i="18" l="1"/>
  <c r="AE30" i="18"/>
  <c r="Q72" i="18"/>
  <c r="Y39" i="18"/>
  <c r="X60" i="18"/>
  <c r="Q70" i="18"/>
  <c r="Q71" i="18"/>
  <c r="Q77" i="18"/>
  <c r="Q78" i="18"/>
  <c r="P76" i="18"/>
  <c r="Q76" i="18" s="1"/>
  <c r="C133" i="18"/>
  <c r="D133" i="18"/>
  <c r="E133" i="18"/>
  <c r="F133" i="18"/>
  <c r="C134" i="18"/>
  <c r="D134" i="18"/>
  <c r="E134" i="18"/>
  <c r="F134" i="18"/>
  <c r="C135" i="18"/>
  <c r="D135" i="18"/>
  <c r="E135" i="18"/>
  <c r="F135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H133" i="18"/>
  <c r="I133" i="18"/>
  <c r="J133" i="18"/>
  <c r="K133" i="18"/>
  <c r="L133" i="18"/>
  <c r="M133" i="18"/>
  <c r="N133" i="18"/>
  <c r="O133" i="18"/>
  <c r="P133" i="18"/>
  <c r="G133" i="18"/>
  <c r="H43" i="18"/>
  <c r="I43" i="18"/>
  <c r="J43" i="18"/>
  <c r="K43" i="18"/>
  <c r="L43" i="18"/>
  <c r="M43" i="18"/>
  <c r="N43" i="18"/>
  <c r="O43" i="18"/>
  <c r="P43" i="18"/>
  <c r="C43" i="18"/>
  <c r="D43" i="18"/>
  <c r="E43" i="18"/>
  <c r="F43" i="18"/>
  <c r="G43" i="18"/>
  <c r="G45" i="18"/>
  <c r="G123" i="18" s="1"/>
  <c r="H42" i="18"/>
  <c r="I42" i="18"/>
  <c r="J42" i="18"/>
  <c r="K42" i="18"/>
  <c r="L42" i="18"/>
  <c r="M42" i="18"/>
  <c r="N42" i="18"/>
  <c r="O42" i="18"/>
  <c r="P42" i="18"/>
  <c r="C42" i="18"/>
  <c r="D42" i="18"/>
  <c r="E42" i="18"/>
  <c r="F42" i="18"/>
  <c r="G42" i="18"/>
  <c r="P37" i="18"/>
  <c r="O37" i="18"/>
  <c r="N37" i="18"/>
  <c r="M37" i="18"/>
  <c r="L37" i="18"/>
  <c r="K37" i="18"/>
  <c r="J37" i="18"/>
  <c r="I37" i="18"/>
  <c r="H37" i="18"/>
  <c r="P35" i="18"/>
  <c r="O35" i="18"/>
  <c r="N35" i="18"/>
  <c r="M35" i="18"/>
  <c r="L35" i="18"/>
  <c r="K35" i="18"/>
  <c r="J35" i="18"/>
  <c r="I35" i="18"/>
  <c r="H35" i="18"/>
  <c r="P27" i="18"/>
  <c r="O27" i="18"/>
  <c r="N27" i="18"/>
  <c r="M27" i="18"/>
  <c r="L27" i="18"/>
  <c r="K27" i="18"/>
  <c r="J27" i="18"/>
  <c r="I27" i="18"/>
  <c r="H27" i="18"/>
  <c r="P25" i="18"/>
  <c r="O25" i="18"/>
  <c r="N25" i="18"/>
  <c r="M25" i="18"/>
  <c r="L25" i="18"/>
  <c r="K25" i="18"/>
  <c r="J25" i="18"/>
  <c r="I25" i="18"/>
  <c r="H2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38" i="18"/>
  <c r="S34" i="18"/>
  <c r="Q34" i="18"/>
  <c r="Z39" i="18" l="1"/>
  <c r="Y60" i="18"/>
  <c r="T34" i="18"/>
  <c r="Q135" i="18"/>
  <c r="Q43" i="18"/>
  <c r="Q42" i="18"/>
  <c r="Q134" i="18"/>
  <c r="Q133" i="18"/>
  <c r="Q30" i="18"/>
  <c r="T30" i="18" s="1"/>
  <c r="W30" i="18" s="1"/>
  <c r="Z30" i="18" s="1"/>
  <c r="Q32" i="18"/>
  <c r="AA39" i="18" l="1"/>
  <c r="Z60" i="18"/>
  <c r="U34" i="18"/>
  <c r="I67" i="18"/>
  <c r="J67" i="18"/>
  <c r="K67" i="18"/>
  <c r="L67" i="18"/>
  <c r="M67" i="18"/>
  <c r="N67" i="18"/>
  <c r="O67" i="18"/>
  <c r="P67" i="18"/>
  <c r="I68" i="18"/>
  <c r="J68" i="18"/>
  <c r="K68" i="18"/>
  <c r="L68" i="18"/>
  <c r="M68" i="18"/>
  <c r="N68" i="18"/>
  <c r="O68" i="18"/>
  <c r="P68" i="18"/>
  <c r="I62" i="18"/>
  <c r="I64" i="18" s="1"/>
  <c r="J62" i="18"/>
  <c r="J64" i="18" s="1"/>
  <c r="K62" i="18"/>
  <c r="K64" i="18" s="1"/>
  <c r="L62" i="18"/>
  <c r="L64" i="18" s="1"/>
  <c r="M62" i="18"/>
  <c r="M64" i="18" s="1"/>
  <c r="N62" i="18"/>
  <c r="N64" i="18" s="1"/>
  <c r="O62" i="18"/>
  <c r="O64" i="18" s="1"/>
  <c r="P62" i="18"/>
  <c r="P64" i="18" s="1"/>
  <c r="I65" i="18"/>
  <c r="J65" i="18"/>
  <c r="K65" i="18"/>
  <c r="L65" i="18"/>
  <c r="M65" i="18"/>
  <c r="N65" i="18"/>
  <c r="O65" i="18"/>
  <c r="P65" i="18"/>
  <c r="I66" i="18"/>
  <c r="J66" i="18"/>
  <c r="K66" i="18"/>
  <c r="L66" i="18"/>
  <c r="M66" i="18"/>
  <c r="N66" i="18"/>
  <c r="O66" i="18"/>
  <c r="P66" i="18"/>
  <c r="C65" i="18"/>
  <c r="D65" i="18"/>
  <c r="E65" i="18"/>
  <c r="F65" i="18"/>
  <c r="G65" i="18"/>
  <c r="C66" i="18"/>
  <c r="D66" i="18"/>
  <c r="E66" i="18"/>
  <c r="F66" i="18"/>
  <c r="G66" i="18"/>
  <c r="C67" i="18"/>
  <c r="D67" i="18"/>
  <c r="E67" i="18"/>
  <c r="F67" i="18"/>
  <c r="G67" i="18"/>
  <c r="C68" i="18"/>
  <c r="D68" i="18"/>
  <c r="E68" i="18"/>
  <c r="F68" i="18"/>
  <c r="G68" i="18"/>
  <c r="H68" i="18"/>
  <c r="H67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AE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S20" i="18"/>
  <c r="Q19" i="18"/>
  <c r="C62" i="18"/>
  <c r="C64" i="18" s="1"/>
  <c r="D62" i="18"/>
  <c r="D64" i="18" s="1"/>
  <c r="E62" i="18"/>
  <c r="E64" i="18" s="1"/>
  <c r="F62" i="18"/>
  <c r="F64" i="18" s="1"/>
  <c r="G62" i="18"/>
  <c r="G64" i="18" s="1"/>
  <c r="H62" i="18"/>
  <c r="H64" i="18" s="1"/>
  <c r="H66" i="18"/>
  <c r="H65" i="18"/>
  <c r="AC21" i="18" l="1"/>
  <c r="AE21" i="18"/>
  <c r="AB39" i="18"/>
  <c r="AE39" i="18" s="1"/>
  <c r="AA60" i="18"/>
  <c r="V34" i="18"/>
  <c r="Q67" i="18"/>
  <c r="Q68" i="18"/>
  <c r="Q66" i="18"/>
  <c r="Q64" i="18"/>
  <c r="Q65" i="18"/>
  <c r="AC22" i="18"/>
  <c r="Q21" i="18"/>
  <c r="Q20" i="18"/>
  <c r="Q62" i="18"/>
  <c r="S19" i="18"/>
  <c r="T20" i="18"/>
  <c r="Q60" i="18"/>
  <c r="Q117" i="18"/>
  <c r="T19" i="18" l="1"/>
  <c r="T62" i="18" s="1"/>
  <c r="S62" i="18"/>
  <c r="AB60" i="18"/>
  <c r="AC39" i="18"/>
  <c r="U20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6" i="18"/>
  <c r="Q31" i="18"/>
  <c r="Q26" i="18"/>
  <c r="Q24" i="18"/>
  <c r="Q17" i="18"/>
  <c r="Q15" i="18"/>
  <c r="Q14" i="18"/>
  <c r="Q13" i="18"/>
  <c r="Q12" i="18"/>
  <c r="Q10" i="18"/>
  <c r="Q9" i="18"/>
  <c r="Q7" i="18"/>
  <c r="Q6" i="18"/>
  <c r="S17" i="18"/>
  <c r="S24" i="18"/>
  <c r="S80" i="18" s="1"/>
  <c r="S26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E31" i="18" s="1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E32" i="18" s="1"/>
  <c r="W34" i="18"/>
  <c r="O58" i="18"/>
  <c r="O121" i="18" s="1"/>
  <c r="O57" i="18"/>
  <c r="O55" i="18"/>
  <c r="O54" i="18"/>
  <c r="O52" i="18"/>
  <c r="O122" i="18" s="1"/>
  <c r="O51" i="18"/>
  <c r="O50" i="18"/>
  <c r="O48" i="18"/>
  <c r="O47" i="18"/>
  <c r="O119" i="18" s="1"/>
  <c r="O46" i="18"/>
  <c r="O45" i="18"/>
  <c r="T17" i="18" l="1"/>
  <c r="S105" i="18"/>
  <c r="AE60" i="18"/>
  <c r="O118" i="18"/>
  <c r="O123" i="18"/>
  <c r="U19" i="18"/>
  <c r="AC60" i="18"/>
  <c r="T105" i="18" s="1"/>
  <c r="T26" i="18"/>
  <c r="X34" i="18"/>
  <c r="T24" i="18"/>
  <c r="T80" i="18" s="1"/>
  <c r="S76" i="18"/>
  <c r="V20" i="18"/>
  <c r="AC31" i="18"/>
  <c r="AC32" i="18"/>
  <c r="AC9" i="18"/>
  <c r="O56" i="18"/>
  <c r="O120" i="18" s="1"/>
  <c r="D52" i="18"/>
  <c r="E52" i="18"/>
  <c r="F52" i="18"/>
  <c r="G52" i="18"/>
  <c r="G122" i="18" s="1"/>
  <c r="H52" i="18"/>
  <c r="H122" i="18" s="1"/>
  <c r="I52" i="18"/>
  <c r="I122" i="18" s="1"/>
  <c r="J52" i="18"/>
  <c r="J122" i="18" s="1"/>
  <c r="K52" i="18"/>
  <c r="K122" i="18" s="1"/>
  <c r="L52" i="18"/>
  <c r="L122" i="18" s="1"/>
  <c r="M52" i="18"/>
  <c r="M122" i="18" s="1"/>
  <c r="N52" i="18"/>
  <c r="N122" i="18" s="1"/>
  <c r="P52" i="18"/>
  <c r="C52" i="18"/>
  <c r="C51" i="18"/>
  <c r="U17" i="18" l="1"/>
  <c r="R105" i="18"/>
  <c r="P128" i="18" s="1"/>
  <c r="V19" i="18"/>
  <c r="U62" i="18"/>
  <c r="U26" i="18"/>
  <c r="U24" i="18"/>
  <c r="U80" i="18" s="1"/>
  <c r="T76" i="18"/>
  <c r="Y34" i="18"/>
  <c r="W20" i="18"/>
  <c r="P122" i="18"/>
  <c r="Q122" i="18" s="1"/>
  <c r="Q52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C50" i="18"/>
  <c r="V17" i="18" l="1"/>
  <c r="W19" i="18"/>
  <c r="V62" i="18"/>
  <c r="V26" i="18"/>
  <c r="V24" i="18"/>
  <c r="V80" i="18" s="1"/>
  <c r="U76" i="18"/>
  <c r="Z34" i="18"/>
  <c r="X20" i="18"/>
  <c r="Q50" i="18"/>
  <c r="Q51" i="18"/>
  <c r="C46" i="15"/>
  <c r="W17" i="18" l="1"/>
  <c r="X19" i="18"/>
  <c r="W62" i="18"/>
  <c r="W26" i="18"/>
  <c r="W24" i="18"/>
  <c r="W80" i="18" s="1"/>
  <c r="V76" i="18"/>
  <c r="AA34" i="18"/>
  <c r="Y20" i="18"/>
  <c r="S117" i="18"/>
  <c r="C45" i="18"/>
  <c r="D45" i="18"/>
  <c r="E45" i="18"/>
  <c r="F45" i="18"/>
  <c r="H45" i="18"/>
  <c r="H123" i="18" s="1"/>
  <c r="I45" i="18"/>
  <c r="J45" i="18"/>
  <c r="K45" i="18"/>
  <c r="L45" i="18"/>
  <c r="L123" i="18" s="1"/>
  <c r="M45" i="18"/>
  <c r="N45" i="18"/>
  <c r="N123" i="18" s="1"/>
  <c r="P45" i="18"/>
  <c r="D58" i="18"/>
  <c r="D121" i="18" s="1"/>
  <c r="E58" i="18"/>
  <c r="E121" i="18" s="1"/>
  <c r="F58" i="18"/>
  <c r="F121" i="18" s="1"/>
  <c r="G58" i="18"/>
  <c r="H58" i="18"/>
  <c r="H121" i="18" s="1"/>
  <c r="I58" i="18"/>
  <c r="I121" i="18" s="1"/>
  <c r="J58" i="18"/>
  <c r="J121" i="18" s="1"/>
  <c r="K58" i="18"/>
  <c r="K121" i="18" s="1"/>
  <c r="L58" i="18"/>
  <c r="L121" i="18" s="1"/>
  <c r="M58" i="18"/>
  <c r="M121" i="18" s="1"/>
  <c r="N58" i="18"/>
  <c r="P58" i="18"/>
  <c r="D57" i="18"/>
  <c r="E57" i="18"/>
  <c r="F57" i="18"/>
  <c r="G57" i="18"/>
  <c r="H57" i="18"/>
  <c r="I57" i="18"/>
  <c r="J57" i="18"/>
  <c r="K57" i="18"/>
  <c r="L57" i="18"/>
  <c r="M57" i="18"/>
  <c r="N57" i="18"/>
  <c r="P57" i="18"/>
  <c r="D55" i="18"/>
  <c r="E55" i="18"/>
  <c r="F55" i="18"/>
  <c r="G55" i="18"/>
  <c r="H55" i="18"/>
  <c r="I55" i="18"/>
  <c r="J55" i="18"/>
  <c r="K55" i="18"/>
  <c r="L55" i="18"/>
  <c r="M55" i="18"/>
  <c r="N55" i="18"/>
  <c r="P55" i="18"/>
  <c r="D54" i="18"/>
  <c r="D56" i="18" s="1"/>
  <c r="D120" i="18" s="1"/>
  <c r="E54" i="18"/>
  <c r="E56" i="18" s="1"/>
  <c r="E120" i="18" s="1"/>
  <c r="F54" i="18"/>
  <c r="G54" i="18"/>
  <c r="H54" i="18"/>
  <c r="I54" i="18"/>
  <c r="J54" i="18"/>
  <c r="K54" i="18"/>
  <c r="L54" i="18"/>
  <c r="M54" i="18"/>
  <c r="N54" i="18"/>
  <c r="P54" i="18"/>
  <c r="D48" i="18"/>
  <c r="E48" i="18"/>
  <c r="F48" i="18"/>
  <c r="G48" i="18"/>
  <c r="H48" i="18"/>
  <c r="I48" i="18"/>
  <c r="J48" i="18"/>
  <c r="K48" i="18"/>
  <c r="L48" i="18"/>
  <c r="M48" i="18"/>
  <c r="N48" i="18"/>
  <c r="P48" i="18"/>
  <c r="D47" i="18"/>
  <c r="D119" i="18" s="1"/>
  <c r="E47" i="18"/>
  <c r="E119" i="18" s="1"/>
  <c r="F47" i="18"/>
  <c r="F119" i="18" s="1"/>
  <c r="G47" i="18"/>
  <c r="H47" i="18"/>
  <c r="H119" i="18" s="1"/>
  <c r="I47" i="18"/>
  <c r="I119" i="18" s="1"/>
  <c r="J47" i="18"/>
  <c r="J119" i="18" s="1"/>
  <c r="K47" i="18"/>
  <c r="K119" i="18" s="1"/>
  <c r="L47" i="18"/>
  <c r="L119" i="18" s="1"/>
  <c r="M47" i="18"/>
  <c r="M119" i="18" s="1"/>
  <c r="N47" i="18"/>
  <c r="P47" i="18"/>
  <c r="C58" i="18"/>
  <c r="C121" i="18" s="1"/>
  <c r="C57" i="18"/>
  <c r="C55" i="18"/>
  <c r="C54" i="18"/>
  <c r="C48" i="18"/>
  <c r="C47" i="18"/>
  <c r="C119" i="18" s="1"/>
  <c r="D46" i="18"/>
  <c r="E46" i="18"/>
  <c r="F46" i="18"/>
  <c r="G46" i="18"/>
  <c r="H46" i="18"/>
  <c r="I46" i="18"/>
  <c r="J46" i="18"/>
  <c r="K46" i="18"/>
  <c r="L46" i="18"/>
  <c r="M46" i="18"/>
  <c r="N46" i="18"/>
  <c r="P46" i="18"/>
  <c r="C46" i="18"/>
  <c r="S14" i="18"/>
  <c r="S15" i="18"/>
  <c r="S36" i="18"/>
  <c r="S10" i="18"/>
  <c r="S12" i="18"/>
  <c r="S81" i="18" s="1"/>
  <c r="S13" i="18"/>
  <c r="S7" i="18"/>
  <c r="S6" i="18"/>
  <c r="S82" i="18" l="1"/>
  <c r="S84" i="18"/>
  <c r="S83" i="18"/>
  <c r="X17" i="18"/>
  <c r="D118" i="18"/>
  <c r="D122" i="18" s="1"/>
  <c r="D123" i="18"/>
  <c r="E118" i="18"/>
  <c r="E122" i="18" s="1"/>
  <c r="E123" i="18"/>
  <c r="C118" i="18"/>
  <c r="C122" i="18" s="1"/>
  <c r="C123" i="18"/>
  <c r="P118" i="18"/>
  <c r="P123" i="18"/>
  <c r="K118" i="18"/>
  <c r="K123" i="18"/>
  <c r="F118" i="18"/>
  <c r="F122" i="18" s="1"/>
  <c r="F123" i="18"/>
  <c r="J118" i="18"/>
  <c r="J123" i="18"/>
  <c r="M118" i="18"/>
  <c r="M123" i="18"/>
  <c r="I118" i="18"/>
  <c r="I123" i="18"/>
  <c r="H118" i="18"/>
  <c r="Q87" i="18"/>
  <c r="Y19" i="18"/>
  <c r="X62" i="18"/>
  <c r="H56" i="18"/>
  <c r="H120" i="18" s="1"/>
  <c r="X26" i="18"/>
  <c r="T12" i="18"/>
  <c r="T81" i="18" s="1"/>
  <c r="T14" i="18"/>
  <c r="T13" i="18"/>
  <c r="T10" i="18"/>
  <c r="T15" i="18"/>
  <c r="T6" i="18"/>
  <c r="T7" i="18"/>
  <c r="X24" i="18"/>
  <c r="X80" i="18" s="1"/>
  <c r="W76" i="18"/>
  <c r="T36" i="18"/>
  <c r="S78" i="18"/>
  <c r="S77" i="18"/>
  <c r="AB34" i="18"/>
  <c r="AE34" i="18" s="1"/>
  <c r="F56" i="18"/>
  <c r="F120" i="18" s="1"/>
  <c r="L56" i="18"/>
  <c r="L120" i="18" s="1"/>
  <c r="K56" i="18"/>
  <c r="K120" i="18" s="1"/>
  <c r="J56" i="18"/>
  <c r="J120" i="18" s="1"/>
  <c r="Z20" i="18"/>
  <c r="C56" i="18"/>
  <c r="C120" i="18" s="1"/>
  <c r="T117" i="18"/>
  <c r="I56" i="18"/>
  <c r="I120" i="18" s="1"/>
  <c r="Q46" i="18"/>
  <c r="G119" i="18"/>
  <c r="Q47" i="18"/>
  <c r="Q48" i="18"/>
  <c r="Q55" i="18"/>
  <c r="Q57" i="18"/>
  <c r="G118" i="18"/>
  <c r="Q45" i="18"/>
  <c r="G121" i="18"/>
  <c r="Q58" i="18"/>
  <c r="G56" i="18"/>
  <c r="Q54" i="18"/>
  <c r="N119" i="18"/>
  <c r="N118" i="18"/>
  <c r="N121" i="18"/>
  <c r="P119" i="18"/>
  <c r="L118" i="18"/>
  <c r="N56" i="18"/>
  <c r="M56" i="18"/>
  <c r="M120" i="18" s="1"/>
  <c r="P121" i="18"/>
  <c r="P56" i="18"/>
  <c r="S55" i="18"/>
  <c r="C6" i="12"/>
  <c r="C26" i="15"/>
  <c r="C58" i="15"/>
  <c r="C57" i="15"/>
  <c r="C54" i="15"/>
  <c r="C53" i="15"/>
  <c r="C50" i="15"/>
  <c r="C49" i="15"/>
  <c r="C45" i="15"/>
  <c r="T82" i="18" l="1"/>
  <c r="T83" i="18"/>
  <c r="T84" i="18"/>
  <c r="Y17" i="18"/>
  <c r="Z19" i="18"/>
  <c r="Y62" i="18"/>
  <c r="S54" i="18"/>
  <c r="S71" i="18"/>
  <c r="S50" i="18"/>
  <c r="S52" i="18"/>
  <c r="S122" i="18" s="1"/>
  <c r="S58" i="18"/>
  <c r="S121" i="18" s="1"/>
  <c r="S68" i="18"/>
  <c r="S70" i="18"/>
  <c r="S43" i="18"/>
  <c r="S42" i="18"/>
  <c r="S51" i="18"/>
  <c r="S47" i="18"/>
  <c r="S48" i="18"/>
  <c r="S57" i="18"/>
  <c r="S46" i="18"/>
  <c r="S72" i="18"/>
  <c r="S45" i="18"/>
  <c r="Y26" i="18"/>
  <c r="U14" i="18"/>
  <c r="U13" i="18"/>
  <c r="U12" i="18"/>
  <c r="U81" i="18" s="1"/>
  <c r="S56" i="18"/>
  <c r="U15" i="18"/>
  <c r="U10" i="18"/>
  <c r="U7" i="18"/>
  <c r="U6" i="18"/>
  <c r="AC34" i="18"/>
  <c r="Y24" i="18"/>
  <c r="Y80" i="18" s="1"/>
  <c r="X76" i="18"/>
  <c r="U36" i="18"/>
  <c r="T78" i="18"/>
  <c r="T77" i="18"/>
  <c r="T38" i="18"/>
  <c r="T54" i="18" s="1"/>
  <c r="S65" i="18"/>
  <c r="S66" i="18"/>
  <c r="S67" i="18"/>
  <c r="S64" i="18"/>
  <c r="AA20" i="18"/>
  <c r="U117" i="18"/>
  <c r="Q119" i="18"/>
  <c r="Q118" i="18"/>
  <c r="Q121" i="18"/>
  <c r="G120" i="18"/>
  <c r="Q56" i="18"/>
  <c r="N120" i="18"/>
  <c r="P120" i="18"/>
  <c r="C16" i="15"/>
  <c r="C21" i="15"/>
  <c r="C10" i="15"/>
  <c r="U82" i="18" l="1"/>
  <c r="U83" i="18"/>
  <c r="U84" i="18"/>
  <c r="T50" i="18"/>
  <c r="Z17" i="18"/>
  <c r="AA19" i="18"/>
  <c r="Z62" i="18"/>
  <c r="T52" i="18"/>
  <c r="T122" i="18" s="1"/>
  <c r="T58" i="18"/>
  <c r="T121" i="18" s="1"/>
  <c r="T68" i="18"/>
  <c r="T70" i="18"/>
  <c r="T42" i="18"/>
  <c r="T43" i="18"/>
  <c r="T47" i="18"/>
  <c r="T46" i="18"/>
  <c r="T57" i="18"/>
  <c r="T72" i="18"/>
  <c r="T51" i="18"/>
  <c r="T48" i="18"/>
  <c r="T45" i="18"/>
  <c r="T55" i="18"/>
  <c r="T56" i="18" s="1"/>
  <c r="T71" i="18"/>
  <c r="Z26" i="18"/>
  <c r="V13" i="18"/>
  <c r="V12" i="18"/>
  <c r="V81" i="18" s="1"/>
  <c r="V14" i="18"/>
  <c r="V10" i="18"/>
  <c r="V15" i="18"/>
  <c r="V6" i="18"/>
  <c r="V7" i="18"/>
  <c r="V36" i="18"/>
  <c r="U78" i="18"/>
  <c r="U77" i="18"/>
  <c r="Z24" i="18"/>
  <c r="Z80" i="18" s="1"/>
  <c r="Y76" i="18"/>
  <c r="U38" i="18"/>
  <c r="U54" i="18" s="1"/>
  <c r="T67" i="18"/>
  <c r="T66" i="18"/>
  <c r="T65" i="18"/>
  <c r="T64" i="18"/>
  <c r="AB20" i="18"/>
  <c r="AE20" i="18" s="1"/>
  <c r="S120" i="18"/>
  <c r="V117" i="18"/>
  <c r="S118" i="18"/>
  <c r="S119" i="18"/>
  <c r="Q120" i="18"/>
  <c r="D31" i="8"/>
  <c r="D29" i="8"/>
  <c r="D28" i="8"/>
  <c r="D13" i="8"/>
  <c r="D30" i="8" s="1"/>
  <c r="E14" i="8"/>
  <c r="F14" i="8" s="1"/>
  <c r="G14" i="8" s="1"/>
  <c r="H14" i="8" s="1"/>
  <c r="I14" i="8" s="1"/>
  <c r="V82" i="18" l="1"/>
  <c r="V84" i="18"/>
  <c r="V83" i="18"/>
  <c r="AA17" i="18"/>
  <c r="AB19" i="18"/>
  <c r="AE19" i="18" s="1"/>
  <c r="AA62" i="18"/>
  <c r="U72" i="18"/>
  <c r="U71" i="18"/>
  <c r="U50" i="18"/>
  <c r="U58" i="18"/>
  <c r="U121" i="18" s="1"/>
  <c r="U57" i="18"/>
  <c r="U52" i="18"/>
  <c r="U122" i="18" s="1"/>
  <c r="U55" i="18"/>
  <c r="U56" i="18" s="1"/>
  <c r="U46" i="18"/>
  <c r="U68" i="18"/>
  <c r="U70" i="18"/>
  <c r="U43" i="18"/>
  <c r="U42" i="18"/>
  <c r="U51" i="18"/>
  <c r="U47" i="18"/>
  <c r="U48" i="18"/>
  <c r="U45" i="18"/>
  <c r="AA26" i="18"/>
  <c r="W12" i="18"/>
  <c r="W81" i="18" s="1"/>
  <c r="W14" i="18"/>
  <c r="W13" i="18"/>
  <c r="W15" i="18"/>
  <c r="W10" i="18"/>
  <c r="W7" i="18"/>
  <c r="W6" i="18"/>
  <c r="AA24" i="18"/>
  <c r="AA80" i="18" s="1"/>
  <c r="Z76" i="18"/>
  <c r="W36" i="18"/>
  <c r="V77" i="18"/>
  <c r="V78" i="18"/>
  <c r="V38" i="18"/>
  <c r="V57" i="18" s="1"/>
  <c r="U67" i="18"/>
  <c r="U65" i="18"/>
  <c r="U66" i="18"/>
  <c r="U64" i="18"/>
  <c r="AC20" i="18"/>
  <c r="T120" i="18"/>
  <c r="W117" i="18"/>
  <c r="T118" i="18"/>
  <c r="T119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82" i="18" l="1"/>
  <c r="W84" i="18"/>
  <c r="W83" i="18"/>
  <c r="AB17" i="18"/>
  <c r="V72" i="18"/>
  <c r="V48" i="18"/>
  <c r="V55" i="18"/>
  <c r="AC19" i="18"/>
  <c r="AB62" i="18"/>
  <c r="V46" i="18"/>
  <c r="V54" i="18"/>
  <c r="V56" i="18" s="1"/>
  <c r="V51" i="18"/>
  <c r="V71" i="18"/>
  <c r="V47" i="18"/>
  <c r="V52" i="18"/>
  <c r="V122" i="18" s="1"/>
  <c r="V68" i="18"/>
  <c r="V70" i="18"/>
  <c r="V42" i="18"/>
  <c r="V43" i="18"/>
  <c r="V50" i="18"/>
  <c r="V58" i="18"/>
  <c r="V121" i="18" s="1"/>
  <c r="V45" i="18"/>
  <c r="AB26" i="18"/>
  <c r="AE26" i="18" s="1"/>
  <c r="X14" i="18"/>
  <c r="X13" i="18"/>
  <c r="X12" i="18"/>
  <c r="X81" i="18" s="1"/>
  <c r="X10" i="18"/>
  <c r="X15" i="18"/>
  <c r="X6" i="18"/>
  <c r="X7" i="18"/>
  <c r="X36" i="18"/>
  <c r="W78" i="18"/>
  <c r="W77" i="18"/>
  <c r="AB24" i="18"/>
  <c r="AB80" i="18" s="1"/>
  <c r="AC80" i="18" s="1"/>
  <c r="AA76" i="18"/>
  <c r="W38" i="18"/>
  <c r="W55" i="18" s="1"/>
  <c r="V67" i="18"/>
  <c r="V65" i="18"/>
  <c r="V66" i="18"/>
  <c r="V64" i="18"/>
  <c r="U120" i="18"/>
  <c r="X117" i="18"/>
  <c r="U118" i="18"/>
  <c r="U119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M45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82" i="18" l="1"/>
  <c r="X84" i="18"/>
  <c r="X83" i="18"/>
  <c r="AE24" i="18"/>
  <c r="AE17" i="18"/>
  <c r="AC17" i="18"/>
  <c r="S107" i="18"/>
  <c r="AE62" i="18"/>
  <c r="AC6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58" i="18"/>
  <c r="W121" i="18" s="1"/>
  <c r="W57" i="18"/>
  <c r="W52" i="18"/>
  <c r="W122" i="18" s="1"/>
  <c r="W54" i="18"/>
  <c r="W56" i="18" s="1"/>
  <c r="W51" i="18"/>
  <c r="W71" i="18"/>
  <c r="W50" i="18"/>
  <c r="W72" i="18"/>
  <c r="W68" i="18"/>
  <c r="W70" i="18"/>
  <c r="W43" i="18"/>
  <c r="W42" i="18"/>
  <c r="W46" i="18"/>
  <c r="W47" i="18"/>
  <c r="W48" i="18"/>
  <c r="W45" i="18"/>
  <c r="AC26" i="18"/>
  <c r="Y12" i="18"/>
  <c r="Y81" i="18" s="1"/>
  <c r="Y14" i="18"/>
  <c r="Y13" i="18"/>
  <c r="Y10" i="18"/>
  <c r="Y15" i="18"/>
  <c r="Y7" i="18"/>
  <c r="Y6" i="18"/>
  <c r="AC24" i="18"/>
  <c r="AB76" i="18"/>
  <c r="AC76" i="18" s="1"/>
  <c r="Y36" i="18"/>
  <c r="X78" i="18"/>
  <c r="X77" i="18"/>
  <c r="O31" i="9"/>
  <c r="O32" i="9" s="1"/>
  <c r="X38" i="18"/>
  <c r="X48" i="18" s="1"/>
  <c r="W67" i="18"/>
  <c r="W65" i="18"/>
  <c r="W66" i="18"/>
  <c r="W64" i="18"/>
  <c r="V120" i="18"/>
  <c r="Y117" i="18"/>
  <c r="V118" i="18"/>
  <c r="V119" i="18"/>
  <c r="P31" i="11"/>
  <c r="N32" i="11"/>
  <c r="T19" i="9"/>
  <c r="D22" i="9"/>
  <c r="Y82" i="18" l="1"/>
  <c r="Y83" i="18"/>
  <c r="Y84" i="18"/>
  <c r="T107" i="18"/>
  <c r="R107" i="18" s="1"/>
  <c r="X50" i="18"/>
  <c r="X57" i="18"/>
  <c r="X45" i="18"/>
  <c r="X52" i="18"/>
  <c r="X122" i="18" s="1"/>
  <c r="X47" i="18"/>
  <c r="X46" i="18"/>
  <c r="X68" i="18"/>
  <c r="X70" i="18"/>
  <c r="X43" i="18"/>
  <c r="X42" i="18"/>
  <c r="X72" i="18"/>
  <c r="X51" i="18"/>
  <c r="X58" i="18"/>
  <c r="X121" i="18" s="1"/>
  <c r="X55" i="18"/>
  <c r="X54" i="18"/>
  <c r="X71" i="18"/>
  <c r="Z13" i="18"/>
  <c r="Z12" i="18"/>
  <c r="Z81" i="18" s="1"/>
  <c r="Z14" i="18"/>
  <c r="Z10" i="18"/>
  <c r="Z15" i="18"/>
  <c r="Z6" i="18"/>
  <c r="Z7" i="18"/>
  <c r="Z36" i="18"/>
  <c r="Y78" i="18"/>
  <c r="Y77" i="18"/>
  <c r="Y38" i="18"/>
  <c r="X67" i="18"/>
  <c r="X65" i="18"/>
  <c r="X66" i="18"/>
  <c r="X64" i="18"/>
  <c r="W120" i="18"/>
  <c r="Z117" i="18"/>
  <c r="W118" i="18"/>
  <c r="W119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82" i="18" l="1"/>
  <c r="Z83" i="18"/>
  <c r="Z84" i="18"/>
  <c r="X56" i="18"/>
  <c r="X120" i="18" s="1"/>
  <c r="Y68" i="18"/>
  <c r="Y70" i="18"/>
  <c r="Y42" i="18"/>
  <c r="Y43" i="18"/>
  <c r="Y52" i="18"/>
  <c r="Y122" i="18" s="1"/>
  <c r="Y58" i="18"/>
  <c r="Y121" i="18" s="1"/>
  <c r="Y57" i="18"/>
  <c r="Y55" i="18"/>
  <c r="Y46" i="18"/>
  <c r="Y45" i="18"/>
  <c r="Y51" i="18"/>
  <c r="Y47" i="18"/>
  <c r="Y48" i="18"/>
  <c r="Y54" i="18"/>
  <c r="Y71" i="18"/>
  <c r="Y50" i="18"/>
  <c r="Y72" i="18"/>
  <c r="AA12" i="18"/>
  <c r="AA81" i="18" s="1"/>
  <c r="AA14" i="18"/>
  <c r="AA13" i="18"/>
  <c r="AA10" i="18"/>
  <c r="AA15" i="18"/>
  <c r="AA7" i="18"/>
  <c r="AA6" i="18"/>
  <c r="AA36" i="18"/>
  <c r="Z77" i="18"/>
  <c r="Z78" i="18"/>
  <c r="Z38" i="18"/>
  <c r="Y67" i="18"/>
  <c r="Y65" i="18"/>
  <c r="Y66" i="18"/>
  <c r="Y64" i="18"/>
  <c r="AA117" i="18"/>
  <c r="X118" i="18"/>
  <c r="X119" i="18"/>
  <c r="N34" i="11"/>
  <c r="O33" i="11"/>
  <c r="D25" i="8"/>
  <c r="D23" i="8"/>
  <c r="AA82" i="18" l="1"/>
  <c r="AA83" i="18"/>
  <c r="AA84" i="18"/>
  <c r="Y56" i="18"/>
  <c r="Y120" i="18" s="1"/>
  <c r="Z68" i="18"/>
  <c r="Z70" i="18"/>
  <c r="Z43" i="18"/>
  <c r="Z42" i="18"/>
  <c r="Z46" i="18"/>
  <c r="Z57" i="18"/>
  <c r="Z47" i="18"/>
  <c r="Z52" i="18"/>
  <c r="Z122" i="18" s="1"/>
  <c r="Z55" i="18"/>
  <c r="Z54" i="18"/>
  <c r="Z72" i="18"/>
  <c r="Z58" i="18"/>
  <c r="Z121" i="18" s="1"/>
  <c r="Z45" i="18"/>
  <c r="Z51" i="18"/>
  <c r="Z71" i="18"/>
  <c r="Z50" i="18"/>
  <c r="Z48" i="18"/>
  <c r="AB14" i="18"/>
  <c r="AE14" i="18" s="1"/>
  <c r="AB13" i="18"/>
  <c r="AE13" i="18" s="1"/>
  <c r="AB12" i="18"/>
  <c r="AB10" i="18"/>
  <c r="AB15" i="18"/>
  <c r="AE15" i="18" s="1"/>
  <c r="AB6" i="18"/>
  <c r="AE6" i="18" s="1"/>
  <c r="AB7" i="18"/>
  <c r="AE7" i="18" s="1"/>
  <c r="AB36" i="18"/>
  <c r="AA78" i="18"/>
  <c r="AA77" i="18"/>
  <c r="AA38" i="18"/>
  <c r="Z67" i="18"/>
  <c r="Z65" i="18"/>
  <c r="Z66" i="18"/>
  <c r="Z64" i="18"/>
  <c r="AB117" i="18"/>
  <c r="Y118" i="18"/>
  <c r="Y119" i="18"/>
  <c r="N35" i="11"/>
  <c r="O34" i="11"/>
  <c r="D35" i="8"/>
  <c r="E5" i="8"/>
  <c r="E18" i="8" s="1"/>
  <c r="D18" i="8"/>
  <c r="D19" i="8"/>
  <c r="D21" i="8"/>
  <c r="D20" i="8"/>
  <c r="AE10" i="18" l="1"/>
  <c r="AB82" i="18"/>
  <c r="AC82" i="18" s="1"/>
  <c r="AE12" i="18"/>
  <c r="AB81" i="18"/>
  <c r="AC81" i="18" s="1"/>
  <c r="AE36" i="18"/>
  <c r="AB83" i="18"/>
  <c r="AC83" i="18" s="1"/>
  <c r="AB84" i="18"/>
  <c r="AC84" i="18" s="1"/>
  <c r="Z56" i="18"/>
  <c r="Z120" i="18" s="1"/>
  <c r="AA68" i="18"/>
  <c r="AA70" i="18"/>
  <c r="AA42" i="18"/>
  <c r="AA43" i="18"/>
  <c r="AA50" i="18"/>
  <c r="AA58" i="18"/>
  <c r="AA121" i="18" s="1"/>
  <c r="AA45" i="18"/>
  <c r="AA52" i="18"/>
  <c r="AA122" i="18" s="1"/>
  <c r="AA55" i="18"/>
  <c r="AA71" i="18"/>
  <c r="AA46" i="18"/>
  <c r="AA47" i="18"/>
  <c r="AA48" i="18"/>
  <c r="AA51" i="18"/>
  <c r="AA72" i="18"/>
  <c r="AA54" i="18"/>
  <c r="AA57" i="18"/>
  <c r="AC14" i="18"/>
  <c r="AC13" i="18"/>
  <c r="S101" i="18"/>
  <c r="AC12" i="18"/>
  <c r="AC10" i="18"/>
  <c r="AC15" i="18"/>
  <c r="AC7" i="18"/>
  <c r="AC6" i="18"/>
  <c r="AB78" i="18"/>
  <c r="AC78" i="18" s="1"/>
  <c r="AB77" i="18"/>
  <c r="AC77" i="18" s="1"/>
  <c r="AC36" i="18"/>
  <c r="AB38" i="18"/>
  <c r="AE38" i="18" s="1"/>
  <c r="AA67" i="18"/>
  <c r="AA65" i="18"/>
  <c r="AA66" i="18"/>
  <c r="AA64" i="18"/>
  <c r="AC117" i="18"/>
  <c r="AE117" i="18" s="1"/>
  <c r="Z118" i="18"/>
  <c r="Z119" i="18"/>
  <c r="N36" i="11"/>
  <c r="O35" i="11"/>
  <c r="F5" i="8"/>
  <c r="G5" i="8" s="1"/>
  <c r="H5" i="8" s="1"/>
  <c r="I5" i="8" s="1"/>
  <c r="T101" i="18" l="1"/>
  <c r="T102" i="18" s="1"/>
  <c r="AA56" i="18"/>
  <c r="AA120" i="18" s="1"/>
  <c r="AB68" i="18"/>
  <c r="AB70" i="18"/>
  <c r="AE70" i="18" s="1"/>
  <c r="AB42" i="18"/>
  <c r="AB43" i="18"/>
  <c r="AB50" i="18"/>
  <c r="AB55" i="18"/>
  <c r="AB45" i="18"/>
  <c r="AE45" i="18" s="1"/>
  <c r="AB52" i="18"/>
  <c r="AB48" i="18"/>
  <c r="AB71" i="18"/>
  <c r="AB47" i="18"/>
  <c r="AE47" i="18" s="1"/>
  <c r="AB46" i="18"/>
  <c r="AB57" i="18"/>
  <c r="AB72" i="18"/>
  <c r="AB51" i="18"/>
  <c r="AB58" i="18"/>
  <c r="AB54" i="18"/>
  <c r="S102" i="18"/>
  <c r="AB67" i="18"/>
  <c r="AB65" i="18"/>
  <c r="AC38" i="18"/>
  <c r="AB66" i="18"/>
  <c r="AB64" i="18"/>
  <c r="AA118" i="18"/>
  <c r="AA119" i="18"/>
  <c r="N37" i="11"/>
  <c r="O36" i="11"/>
  <c r="F18" i="8"/>
  <c r="G18" i="8"/>
  <c r="R101" i="18" l="1"/>
  <c r="R102" i="18"/>
  <c r="AC71" i="18"/>
  <c r="AE71" i="18"/>
  <c r="AC43" i="18"/>
  <c r="AE43" i="18"/>
  <c r="S98" i="18"/>
  <c r="AE57" i="18"/>
  <c r="AB121" i="18"/>
  <c r="AC121" i="18" s="1"/>
  <c r="AE121" i="18" s="1"/>
  <c r="AE58" i="18"/>
  <c r="AC42" i="18"/>
  <c r="AE42" i="18"/>
  <c r="AC55" i="18"/>
  <c r="AE55" i="18"/>
  <c r="S92" i="18"/>
  <c r="AE54" i="18"/>
  <c r="S91" i="18"/>
  <c r="AE48" i="18"/>
  <c r="AB122" i="18"/>
  <c r="AC122" i="18" s="1"/>
  <c r="AE122" i="18" s="1"/>
  <c r="AE52" i="18"/>
  <c r="AC51" i="18"/>
  <c r="AE51" i="18"/>
  <c r="S89" i="18"/>
  <c r="AE46" i="18"/>
  <c r="S94" i="18"/>
  <c r="AE50" i="18"/>
  <c r="AC72" i="18"/>
  <c r="AE72" i="18"/>
  <c r="S114" i="18"/>
  <c r="AE68" i="18"/>
  <c r="S112" i="18"/>
  <c r="AE67" i="18"/>
  <c r="S111" i="18"/>
  <c r="AE66" i="18"/>
  <c r="S109" i="18"/>
  <c r="AE64" i="18"/>
  <c r="S110" i="18"/>
  <c r="AE65" i="18"/>
  <c r="AC57" i="18"/>
  <c r="S95" i="18"/>
  <c r="AC46" i="18"/>
  <c r="AC48" i="18"/>
  <c r="T91" i="18" s="1"/>
  <c r="AC50" i="18"/>
  <c r="S96" i="18"/>
  <c r="AC68" i="18"/>
  <c r="AC54" i="18"/>
  <c r="S99" i="18"/>
  <c r="AB56" i="18"/>
  <c r="AC52" i="18"/>
  <c r="AC58" i="18"/>
  <c r="AC70" i="18"/>
  <c r="AC66" i="18"/>
  <c r="AC65" i="18"/>
  <c r="AC64" i="18"/>
  <c r="AC67" i="18"/>
  <c r="S88" i="18"/>
  <c r="AC45" i="18"/>
  <c r="T88" i="18" s="1"/>
  <c r="AB118" i="18"/>
  <c r="AC47" i="18"/>
  <c r="T90" i="18" s="1"/>
  <c r="AB119" i="18"/>
  <c r="S90" i="18"/>
  <c r="N38" i="11"/>
  <c r="O37" i="11"/>
  <c r="H18" i="8"/>
  <c r="T99" i="18" l="1"/>
  <c r="R99" i="18" s="1"/>
  <c r="T89" i="18"/>
  <c r="R89" i="18" s="1"/>
  <c r="T98" i="18"/>
  <c r="R98" i="18" s="1"/>
  <c r="T94" i="18"/>
  <c r="R94" i="18" s="1"/>
  <c r="T96" i="18"/>
  <c r="R96" i="18" s="1"/>
  <c r="P129" i="18" s="1"/>
  <c r="T114" i="18"/>
  <c r="R114" i="18" s="1"/>
  <c r="T111" i="18"/>
  <c r="R111" i="18" s="1"/>
  <c r="AC56" i="18"/>
  <c r="AE56" i="18"/>
  <c r="T92" i="18"/>
  <c r="R92" i="18" s="1"/>
  <c r="R91" i="18"/>
  <c r="T95" i="18"/>
  <c r="R95" i="18" s="1"/>
  <c r="T109" i="18"/>
  <c r="R109" i="18" s="1"/>
  <c r="AB120" i="18"/>
  <c r="AC120" i="18" s="1"/>
  <c r="AE120" i="18" s="1"/>
  <c r="T112" i="18"/>
  <c r="R112" i="18" s="1"/>
  <c r="T110" i="18"/>
  <c r="R110" i="18" s="1"/>
  <c r="R88" i="18"/>
  <c r="P130" i="18" s="1"/>
  <c r="AC119" i="18"/>
  <c r="AE119" i="18" s="1"/>
  <c r="AC118" i="18"/>
  <c r="AE118" i="18" s="1"/>
  <c r="R90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<sst xmlns="http://schemas.openxmlformats.org/spreadsheetml/2006/main" count="497" uniqueCount="343">
  <si>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</si>
  <si>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</si>
  <si>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</si>
  <si>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</si>
  <si>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</si>
  <si>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</si>
  <si>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</si>
  <si>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</si>
  <si>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</si>
  <si>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</si>
  <si>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</si>
  <si>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</si>
  <si>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</si>
  <si>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</si>
  <si>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</si>
  <si>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</si>
  <si>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</si>
  <si>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</si>
  <si>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</si>
  <si>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</si>
  <si>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</si>
  <si>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</si>
  <si>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</si>
  <si>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</si>
  <si>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</si>
  <si>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</si>
  <si>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</si>
  <si>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</si>
  <si>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</si>
  <si>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</si>
  <si>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</si>
  <si>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</si>
  <si>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</si>
  <si>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</si>
  <si>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</si>
  <si>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</si>
  <si>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</si>
  <si>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</si>
  <si>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</si>
  <si>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</si>
  <si>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</si>
  <si>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</si>
  <si>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</si>
  <si>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</si>
  <si>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</si>
  <si>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</si>
  <si>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</si>
  <si>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</si>
  <si>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</si>
  <si>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</si>
  <si>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</si>
  <si>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</si>
  <si>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</si>
  <si>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</si>
  <si>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</si>
  <si>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</si>
  <si>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</si>
  <si>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</si>
  <si>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</si>
  <si>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</si>
  <si>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</si>
  <si>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</si>
  <si>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</si>
  <si>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</si>
  <si>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</si>
  <si>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</si>
  <si>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</si>
  <si>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</si>
  <si>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</si>
  <si>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</si>
  <si>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</si>
  <si>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</si>
  <si>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</si>
  <si>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</si>
  <si>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</si>
  <si>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</si>
  <si>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</si>
  <si>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</si>
  <si>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</si>
  <si>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</si>
  <si>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</si>
  <si>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</si>
  <si>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</si>
  <si>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</si>
  <si>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</si>
  <si>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</si>
  <si>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</si>
  <si>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</si>
  <si>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</si>
  <si>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</si>
  <si>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</si>
  <si>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</si>
  <si>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</si>
  <si>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</si>
  <si>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</si>
  <si>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</si>
  <si>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</si>
  <si>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</si>
  <si>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</si>
  <si>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</si>
  <si>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</si>
  <si>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</si>
  <si>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</si>
  <si>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</si>
  <si>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</si>
  <si>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</si>
  <si>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</si>
  <si>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</si>
  <si>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</si>
  <si>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</si>
  <si>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</si>
  <si>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</si>
  <si>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</si>
  <si>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</si>
  <si>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</si>
  <si>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</si>
  <si>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</si>
  <si>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</si>
  <si>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</si>
  <si>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</si>
  <si>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</si>
  <si>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</si>
  <si>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</si>
  <si>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</si>
  <si>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</si>
  <si>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</si>
  <si>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</si>
  <si>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</si>
  <si>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</si>
  <si>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</si>
  <si>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</si>
  <si>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</si>
  <si>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</si>
  <si>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</si>
  <si>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</si>
  <si>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</si>
  <si>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</si>
  <si>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</si>
  <si>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</si>
  <si>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</si>
  <si>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</si>
  <si>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</si>
  <si>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</si>
  <si>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</si>
  <si>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</si>
  <si>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</si>
  <si>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</si>
  <si>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</si>
  <si>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</si>
  <si>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</si>
  <si>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</si>
  <si>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</si>
  <si>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</si>
  <si>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</si>
  <si>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</si>
  <si>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</si>
  <si>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</si>
  <si>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</si>
  <si>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</si>
  <si>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</si>
  <si>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</si>
  <si>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</si>
  <si>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</si>
  <si>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</si>
  <si>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</si>
  <si>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</si>
  <si>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</si>
  <si>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</si>
  <si>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</si>
  <si>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</si>
  <si>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</si>
  <si>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</si>
  <si>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</si>
  <si>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</si>
  <si>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</si>
  <si>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</si>
  <si>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</si>
  <si>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</si>
  <si>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</si>
  <si>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</si>
  <si>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</si>
  <si>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</si>
  <si>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</si>
  <si>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</si>
  <si>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</si>
  <si>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</si>
  <si>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</si>
  <si>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</si>
  <si>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</si>
  <si>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</si>
  <si>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</si>
  <si>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</si>
  <si>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</si>
  <si>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</si>
  <si>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</si>
  <si>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</si>
  <si>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</si>
  <si>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</si>
  <si>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</si>
  <si>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</si>
  <si>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</si>
  <si>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</si>
  <si>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</si>
  <si>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</si>
  <si>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</si>
  <si>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</si>
  <si>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</si>
  <si>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</si>
  <si>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</si>
  <si>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</si>
  <si>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</si>
  <si>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</si>
  <si>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</si>
  <si>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</si>
  <si>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</si>
  <si>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</si>
  <si>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</si>
  <si>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</si>
  <si>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</si>
  <si>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</si>
  <si>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</si>
  <si>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</si>
  <si>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</si>
  <si>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</si>
  <si>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</si>
  <si>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</si>
  <si>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</si>
  <si>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</si>
  <si>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</si>
  <si>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</si>
  <si>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</si>
  <si>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</si>
  <si>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</si>
  <si>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</si>
  <si>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</si>
  <si>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</si>
  <si>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</si>
  <si>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</si>
  <si>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</si>
  <si>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</si>
  <si>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</si>
  <si>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</si>
  <si>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</si>
  <si>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</si>
  <si>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</si>
  <si>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</si>
  <si>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</si>
  <si>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</si>
  <si>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</si>
  <si>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</si>
  <si>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</si>
  <si>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</si>
  <si>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</si>
  <si>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</si>
  <si>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</si>
  <si>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</si>
  <si>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</si>
  <si>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</si>
  <si>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</si>
  <si>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</si>
  <si>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</si>
  <si>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</si>
  <si>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</si>
  <si>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</si>
  <si>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</si>
  <si>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</si>
  <si>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</si>
  <si>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</si>
  <si>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</si>
  <si>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</si>
  <si>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</si>
  <si>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</si>
  <si>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</si>
  <si>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</si>
  <si>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</si>
  <si>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</si>
  <si>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</si>
  <si>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</si>
  <si>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</si>
  <si>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</si>
  <si>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</si>
  <si>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</si>
  <si>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</si>
  <si>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</si>
  <si>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</si>
  <si>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</si>
  <si>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</si>
  <si>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</si>
  <si>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</si>
  <si>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</si>
  <si>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</si>
  <si>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</si>
  <si>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</si>
  <si>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</si>
  <si>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</si>
  <si>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</si>
  <si>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</si>
  <si>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</si>
  <si>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</si>
  <si>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</si>
  <si>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</si>
  <si>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</si>
  <si>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</si>
  <si>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</si>
  <si>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</si>
  <si>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</si>
  <si>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</si>
  <si>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</si>
  <si>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</si>
  <si>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</si>
  <si>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</si>
  <si>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</si>
  <si>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</si>
  <si>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</si>
  <si>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</si>
  <si>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</si>
  <si>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</si>
  <si>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</si>
  <si>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</si>
  <si>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</si>
  <si>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</si>
  <si>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</si>
  <si>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</si>
  <si>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</si>
  <si>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</si>
  <si>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</si>
  <si>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</si>
  <si>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</si>
  <si>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</si>
  <si>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</si>
  <si>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</si>
  <si>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</si>
  <si>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</si>
  <si>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</si>
  <si>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</si>
  <si>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Returns</t>
  </si>
  <si>
    <t>MoneyControl</t>
  </si>
  <si>
    <t>Desc</t>
  </si>
  <si>
    <t>Purch Price</t>
  </si>
  <si>
    <t>Qty</t>
  </si>
  <si>
    <t>Value</t>
  </si>
  <si>
    <t>Curr Price</t>
  </si>
  <si>
    <t>Returns - My 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</si>
</sst>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164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2" fontId="4" fillId="5" borderId="1" xfId="1" applyNumberFormat="1" applyFont="1" applyFill="1" applyBorder="1"/>
    <xf numFmtId="176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9" fontId="4" fillId="6" borderId="0" xfId="0" applyNumberFormat="1" applyFont="1" applyFill="1"/>
    <xf numFmtId="0" fontId="4" fillId="5" borderId="6" xfId="0" applyFont="1" applyFill="1" applyBorder="1"/>
    <xf numFmtId="164" fontId="0" fillId="6" borderId="1" xfId="2" applyNumberFormat="1" applyFont="1" applyFill="1" applyBorder="1"/>
    <xf numFmtId="164" fontId="0" fillId="0" borderId="1" xfId="2" applyNumberFormat="1" applyFont="1" applyBorder="1"/>
    <xf numFmtId="0" fontId="6" fillId="0" borderId="1" xfId="0" applyFont="1" applyBorder="1"/>
    <xf numFmtId="43" fontId="6" fillId="0" borderId="1" xfId="2" applyNumberFormat="1" applyFont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58240"/>
        <c:axId val="46859776"/>
      </c:lineChart>
      <c:catAx>
        <c:axId val="46858240"/>
        <c:scaling>
          <c:orientation val="minMax"/>
        </c:scaling>
        <c:delete val="0"/>
        <c:axPos val="b"/>
        <c:majorTickMark val="out"/>
        <c:minorTickMark val="none"/>
        <c:tickLblPos val="nextTo"/>
        <c:crossAx val="46859776"/>
        <c:crosses val="autoZero"/>
        <c:auto val="1"/>
        <c:lblAlgn val="ctr"/>
        <c:lblOffset val="100"/>
        <c:noMultiLvlLbl val="0"/>
      </c:catAx>
      <c:valAx>
        <c:axId val="46859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85824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323</v>
      </c>
      <c r="C9" s="153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47"/>
  <sheetViews>
    <sheetView tabSelected="1" zoomScale="80" zoomScaleNormal="80" workbookViewId="0">
      <pane xSplit="2" ySplit="3" topLeftCell="C22" activePane="bottomRight" state="frozen"/>
      <selection pane="topRight" activeCell="C1" sqref="C1"/>
      <selection pane="bottomLeft" activeCell="A5" sqref="A5"/>
      <selection pane="bottomRight" activeCell="Q36" sqref="Q36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333</v>
      </c>
      <c r="L1" s="168">
        <v>0.08</v>
      </c>
    </row>
    <row r="2" spans="2:31" x14ac:dyDescent="0.2">
      <c r="B2" s="154" t="s">
        <v>319</v>
      </c>
      <c r="C2" s="120"/>
      <c r="F2" s="104" t="s">
        <v>253</v>
      </c>
      <c r="H2" s="126">
        <v>2013</v>
      </c>
      <c r="J2" s="104" t="s">
        <v>334</v>
      </c>
      <c r="L2" s="168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4" t="s">
        <v>292</v>
      </c>
      <c r="AE2" s="175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6" t="s">
        <v>293</v>
      </c>
      <c r="AE3" s="177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 x14ac:dyDescent="0.2">
      <c r="B6" s="20" t="s">
        <v>16</v>
      </c>
      <c r="C6" s="141"/>
      <c r="D6" s="141"/>
      <c r="E6" s="147"/>
      <c r="F6" s="147"/>
      <c r="G6" s="147">
        <v>508</v>
      </c>
      <c r="H6" s="147">
        <v>470</v>
      </c>
      <c r="I6" s="147">
        <v>505</v>
      </c>
      <c r="J6" s="147">
        <v>549</v>
      </c>
      <c r="K6" s="147">
        <v>611</v>
      </c>
      <c r="L6" s="147">
        <v>565</v>
      </c>
      <c r="M6" s="147">
        <v>613</v>
      </c>
      <c r="N6" s="147">
        <v>687</v>
      </c>
      <c r="O6" s="147">
        <v>770</v>
      </c>
      <c r="P6" s="147">
        <v>893</v>
      </c>
      <c r="Q6" s="118">
        <f>((P6/G6)^(1/($H$2-$H$1) ))-1</f>
        <v>6.4684326459902852E-2</v>
      </c>
      <c r="R6" s="31">
        <f>$L$2</f>
        <v>0.15</v>
      </c>
      <c r="S6" s="155">
        <f>P6*(1+$R6)</f>
        <v>1026.9499999999998</v>
      </c>
      <c r="T6" s="155">
        <f>S6*(1+$R6)</f>
        <v>1180.9924999999996</v>
      </c>
      <c r="U6" s="155">
        <f t="shared" ref="U6:AB6" si="0">T6*(1+$R6)</f>
        <v>1358.1413749999995</v>
      </c>
      <c r="V6" s="155">
        <f t="shared" si="0"/>
        <v>1561.8625812499993</v>
      </c>
      <c r="W6" s="155">
        <f t="shared" si="0"/>
        <v>1796.1419684374989</v>
      </c>
      <c r="X6" s="155">
        <f t="shared" si="0"/>
        <v>2065.5632637031235</v>
      </c>
      <c r="Y6" s="155">
        <f t="shared" si="0"/>
        <v>2375.3977532585918</v>
      </c>
      <c r="Z6" s="155">
        <f t="shared" si="0"/>
        <v>2731.7074162473805</v>
      </c>
      <c r="AA6" s="155">
        <f t="shared" si="0"/>
        <v>3141.4635286844873</v>
      </c>
      <c r="AB6" s="155">
        <f t="shared" si="0"/>
        <v>3612.6830579871603</v>
      </c>
      <c r="AC6" s="138">
        <f>((AB6/G6)^(1/($AB$3-$H$1) ))-1</f>
        <v>0.10876708181758521</v>
      </c>
      <c r="AD6" s="31">
        <f>$L$1</f>
        <v>0.08</v>
      </c>
      <c r="AE6" s="146">
        <f t="shared" ref="AE6:AE39" si="1">(AB6*(1+AD6))/($C$1-AD6)</f>
        <v>27869.269304472378</v>
      </c>
    </row>
    <row r="7" spans="2:31" x14ac:dyDescent="0.2">
      <c r="B7" s="20" t="s">
        <v>240</v>
      </c>
      <c r="C7" s="141"/>
      <c r="D7" s="141"/>
      <c r="E7" s="147"/>
      <c r="F7" s="147"/>
      <c r="G7" s="147">
        <v>538</v>
      </c>
      <c r="H7" s="147">
        <v>500</v>
      </c>
      <c r="I7" s="147">
        <v>536</v>
      </c>
      <c r="J7" s="147">
        <v>580</v>
      </c>
      <c r="K7" s="147">
        <v>641</v>
      </c>
      <c r="L7" s="147">
        <v>596</v>
      </c>
      <c r="M7" s="147">
        <v>643</v>
      </c>
      <c r="N7" s="147">
        <v>718</v>
      </c>
      <c r="O7" s="147">
        <v>800</v>
      </c>
      <c r="P7" s="147">
        <v>924</v>
      </c>
      <c r="Q7" s="118">
        <f>((P7/G7)^(1/($H$2-$H$1) ))-1</f>
        <v>6.1937250173962566E-2</v>
      </c>
      <c r="R7" s="31">
        <f>$L$2</f>
        <v>0.15</v>
      </c>
      <c r="S7" s="155">
        <f t="shared" ref="S7:S15" si="2">P7*(1+$R7)</f>
        <v>1062.5999999999999</v>
      </c>
      <c r="T7" s="155">
        <f t="shared" ref="T7:AB7" si="3">S7*(1+$R7)</f>
        <v>1221.9899999999998</v>
      </c>
      <c r="U7" s="155">
        <f t="shared" si="3"/>
        <v>1405.2884999999997</v>
      </c>
      <c r="V7" s="155">
        <f t="shared" si="3"/>
        <v>1616.0817749999994</v>
      </c>
      <c r="W7" s="155">
        <f t="shared" si="3"/>
        <v>1858.4940412499991</v>
      </c>
      <c r="X7" s="155">
        <f t="shared" si="3"/>
        <v>2137.268147437499</v>
      </c>
      <c r="Y7" s="155">
        <f t="shared" si="3"/>
        <v>2457.8583695531238</v>
      </c>
      <c r="Z7" s="155">
        <f t="shared" si="3"/>
        <v>2826.5371249860923</v>
      </c>
      <c r="AA7" s="155">
        <f t="shared" si="3"/>
        <v>3250.5176937340057</v>
      </c>
      <c r="AB7" s="155">
        <f t="shared" si="3"/>
        <v>3738.0953477941061</v>
      </c>
      <c r="AC7" s="138">
        <f>((AB7/G7)^(1/($AB$3-$H$1) ))-1</f>
        <v>0.10741103631617821</v>
      </c>
      <c r="AD7" s="31">
        <f>$L$1</f>
        <v>0.08</v>
      </c>
      <c r="AE7" s="146">
        <f t="shared" si="1"/>
        <v>28836.735540125959</v>
      </c>
    </row>
    <row r="8" spans="2:31" x14ac:dyDescent="0.2">
      <c r="B8" s="20"/>
      <c r="C8" s="141"/>
      <c r="D8" s="141"/>
      <c r="E8" s="147"/>
      <c r="F8" s="147"/>
      <c r="G8" s="149">
        <f>(G7-F7)/G7</f>
        <v>1</v>
      </c>
      <c r="H8" s="152">
        <f>(H7-G7)/H7</f>
        <v>-7.5999999999999998E-2</v>
      </c>
      <c r="I8" s="152">
        <f t="shared" ref="I8:P8" si="4">(I7-H7)/I7</f>
        <v>6.7164179104477612E-2</v>
      </c>
      <c r="J8" s="152">
        <f t="shared" si="4"/>
        <v>7.586206896551724E-2</v>
      </c>
      <c r="K8" s="152">
        <f t="shared" si="4"/>
        <v>9.5163806552262087E-2</v>
      </c>
      <c r="L8" s="152">
        <f t="shared" si="4"/>
        <v>-7.5503355704697989E-2</v>
      </c>
      <c r="M8" s="152">
        <f t="shared" si="4"/>
        <v>7.3094867807153963E-2</v>
      </c>
      <c r="N8" s="152">
        <f t="shared" si="4"/>
        <v>0.10445682451253482</v>
      </c>
      <c r="O8" s="152">
        <f t="shared" si="4"/>
        <v>0.10249999999999999</v>
      </c>
      <c r="P8" s="152">
        <f t="shared" si="4"/>
        <v>0.13419913419913421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>
        <v>125</v>
      </c>
      <c r="H9" s="147">
        <v>72</v>
      </c>
      <c r="I9" s="147">
        <v>123</v>
      </c>
      <c r="J9" s="147">
        <v>129</v>
      </c>
      <c r="K9" s="147">
        <v>190</v>
      </c>
      <c r="L9" s="147">
        <v>195</v>
      </c>
      <c r="M9" s="147">
        <v>210</v>
      </c>
      <c r="N9" s="147">
        <v>221</v>
      </c>
      <c r="O9" s="147">
        <v>245</v>
      </c>
      <c r="P9" s="147">
        <v>237</v>
      </c>
      <c r="Q9" s="118">
        <f t="shared" ref="Q9:Q15" si="5">((P9/G9)^(1/($H$2-$H$1) ))-1</f>
        <v>7.3670265687381109E-2</v>
      </c>
      <c r="R9" s="31">
        <f t="shared" ref="R9:R38" si="6">$L$2</f>
        <v>0.15</v>
      </c>
      <c r="S9" s="155">
        <f t="shared" ref="S9" si="7">P9*(1+$R9)</f>
        <v>272.54999999999995</v>
      </c>
      <c r="T9" s="155">
        <f t="shared" ref="T9" si="8">S9*(1+$R9)</f>
        <v>313.43249999999995</v>
      </c>
      <c r="U9" s="155">
        <f t="shared" ref="U9" si="9">T9*(1+$R9)</f>
        <v>360.44737499999991</v>
      </c>
      <c r="V9" s="155">
        <f t="shared" ref="V9" si="10">U9*(1+$R9)</f>
        <v>414.51448124999985</v>
      </c>
      <c r="W9" s="155">
        <f t="shared" ref="W9" si="11">V9*(1+$R9)</f>
        <v>476.69165343749978</v>
      </c>
      <c r="X9" s="155">
        <f t="shared" ref="X9" si="12">W9*(1+$R9)</f>
        <v>548.19540145312476</v>
      </c>
      <c r="Y9" s="155">
        <f t="shared" ref="Y9" si="13">X9*(1+$R9)</f>
        <v>630.42471167109341</v>
      </c>
      <c r="Z9" s="155">
        <f t="shared" ref="Z9" si="14">Y9*(1+$R9)</f>
        <v>724.98841842175739</v>
      </c>
      <c r="AA9" s="155">
        <f t="shared" ref="AA9" si="15">Z9*(1+$R9)</f>
        <v>833.73668118502098</v>
      </c>
      <c r="AB9" s="155">
        <f t="shared" ref="AB9" si="16">AA9*(1+$R9)</f>
        <v>958.79718336277404</v>
      </c>
      <c r="AC9" s="138">
        <f>((AB9/G9)^(1/($AB$3-$H$1) ))-1</f>
        <v>0.11319001433975684</v>
      </c>
      <c r="AD9" s="31">
        <f t="shared" ref="AD9:AD71" si="17">$L$1</f>
        <v>0.08</v>
      </c>
      <c r="AE9" s="146">
        <f t="shared" si="1"/>
        <v>7396.4354145128282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188</v>
      </c>
      <c r="H10" s="147">
        <v>132</v>
      </c>
      <c r="I10" s="147">
        <v>234</v>
      </c>
      <c r="J10" s="147">
        <v>265</v>
      </c>
      <c r="K10" s="147">
        <v>287</v>
      </c>
      <c r="L10" s="147">
        <v>296</v>
      </c>
      <c r="M10" s="147">
        <v>275</v>
      </c>
      <c r="N10" s="147">
        <v>260</v>
      </c>
      <c r="O10" s="147">
        <v>155</v>
      </c>
      <c r="P10" s="147">
        <v>164</v>
      </c>
      <c r="Q10" s="118">
        <f t="shared" si="5"/>
        <v>-1.5060498452533766E-2</v>
      </c>
      <c r="R10" s="31">
        <f t="shared" si="6"/>
        <v>0.15</v>
      </c>
      <c r="S10" s="155">
        <f t="shared" si="2"/>
        <v>188.6</v>
      </c>
      <c r="T10" s="155">
        <f t="shared" ref="T10:AB10" si="18">S10*(1+$R10)</f>
        <v>216.89</v>
      </c>
      <c r="U10" s="155">
        <f t="shared" si="18"/>
        <v>249.42349999999996</v>
      </c>
      <c r="V10" s="155">
        <f t="shared" si="18"/>
        <v>286.83702499999993</v>
      </c>
      <c r="W10" s="155">
        <f t="shared" si="18"/>
        <v>329.8625787499999</v>
      </c>
      <c r="X10" s="155">
        <f t="shared" si="18"/>
        <v>379.34196556249987</v>
      </c>
      <c r="Y10" s="155">
        <f t="shared" si="18"/>
        <v>436.2432603968748</v>
      </c>
      <c r="Z10" s="155">
        <f t="shared" si="18"/>
        <v>501.679749456406</v>
      </c>
      <c r="AA10" s="155">
        <f t="shared" si="18"/>
        <v>576.93171187486689</v>
      </c>
      <c r="AB10" s="155">
        <f t="shared" si="18"/>
        <v>663.47146865609682</v>
      </c>
      <c r="AC10" s="138">
        <f t="shared" ref="AC10:AC38" si="19">((AB10/G10)^(1/($AB$3-$H$1) ))-1</f>
        <v>6.8622815329179909E-2</v>
      </c>
      <c r="AD10" s="31">
        <f t="shared" si="17"/>
        <v>0.08</v>
      </c>
      <c r="AE10" s="146">
        <f t="shared" si="1"/>
        <v>5118.2084724898896</v>
      </c>
    </row>
    <row r="11" spans="2:31" x14ac:dyDescent="0.2">
      <c r="B11" s="20"/>
      <c r="C11" s="141"/>
      <c r="D11" s="141"/>
      <c r="E11" s="147"/>
      <c r="F11" s="147"/>
      <c r="G11" s="149">
        <f>(G10-F10)/G10</f>
        <v>1</v>
      </c>
      <c r="H11" s="148">
        <f>(H10-G10)/H10</f>
        <v>-0.42424242424242425</v>
      </c>
      <c r="I11" s="148">
        <f t="shared" ref="I11" si="20">(I10-H10)/I10</f>
        <v>0.4358974358974359</v>
      </c>
      <c r="J11" s="148">
        <f t="shared" ref="J11" si="21">(J10-I10)/J10</f>
        <v>0.1169811320754717</v>
      </c>
      <c r="K11" s="148">
        <f t="shared" ref="K11" si="22">(K10-J10)/K10</f>
        <v>7.6655052264808357E-2</v>
      </c>
      <c r="L11" s="148">
        <f t="shared" ref="L11" si="23">(L10-K10)/L10</f>
        <v>3.0405405405405407E-2</v>
      </c>
      <c r="M11" s="148">
        <f t="shared" ref="M11" si="24">(M10-L10)/M10</f>
        <v>-7.636363636363637E-2</v>
      </c>
      <c r="N11" s="148">
        <f t="shared" ref="N11" si="25">(N10-M10)/N10</f>
        <v>-5.7692307692307696E-2</v>
      </c>
      <c r="O11" s="148">
        <f t="shared" ref="O11" si="26">(O10-N10)/O10</f>
        <v>-0.67741935483870963</v>
      </c>
      <c r="P11" s="148">
        <f t="shared" ref="P11" si="27">(P10-O10)/P10</f>
        <v>5.4878048780487805E-2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 x14ac:dyDescent="0.2">
      <c r="B12" s="20" t="s">
        <v>2</v>
      </c>
      <c r="C12" s="141"/>
      <c r="D12" s="141"/>
      <c r="E12" s="147"/>
      <c r="F12" s="147"/>
      <c r="G12" s="147">
        <v>7</v>
      </c>
      <c r="H12" s="147">
        <v>7</v>
      </c>
      <c r="I12" s="147">
        <v>59</v>
      </c>
      <c r="J12" s="147">
        <v>61</v>
      </c>
      <c r="K12" s="147">
        <v>21.4</v>
      </c>
      <c r="L12" s="147">
        <v>28</v>
      </c>
      <c r="M12" s="147">
        <v>27</v>
      </c>
      <c r="N12" s="147">
        <v>22</v>
      </c>
      <c r="O12" s="147">
        <v>48</v>
      </c>
      <c r="P12" s="147">
        <v>40</v>
      </c>
      <c r="Q12" s="118">
        <f t="shared" si="5"/>
        <v>0.21368751228970639</v>
      </c>
      <c r="R12" s="31">
        <f t="shared" si="6"/>
        <v>0.15</v>
      </c>
      <c r="S12" s="155">
        <f t="shared" si="2"/>
        <v>46</v>
      </c>
      <c r="T12" s="155">
        <f t="shared" ref="T12:AB12" si="28">S12*(1+$R12)</f>
        <v>52.9</v>
      </c>
      <c r="U12" s="155">
        <f t="shared" si="28"/>
        <v>60.834999999999994</v>
      </c>
      <c r="V12" s="155">
        <f t="shared" si="28"/>
        <v>69.960249999999988</v>
      </c>
      <c r="W12" s="155">
        <f t="shared" si="28"/>
        <v>80.454287499999978</v>
      </c>
      <c r="X12" s="155">
        <f t="shared" si="28"/>
        <v>92.52243062499997</v>
      </c>
      <c r="Y12" s="155">
        <f t="shared" si="28"/>
        <v>106.40079521874996</v>
      </c>
      <c r="Z12" s="155">
        <f t="shared" si="28"/>
        <v>122.36091450156245</v>
      </c>
      <c r="AA12" s="155">
        <f t="shared" si="28"/>
        <v>140.7150516767968</v>
      </c>
      <c r="AB12" s="155">
        <f t="shared" si="28"/>
        <v>161.82230942831632</v>
      </c>
      <c r="AC12" s="138">
        <f t="shared" si="19"/>
        <v>0.17974008070043301</v>
      </c>
      <c r="AD12" s="31">
        <f t="shared" si="17"/>
        <v>0.08</v>
      </c>
      <c r="AE12" s="146">
        <f t="shared" si="1"/>
        <v>1248.3435298755828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307</v>
      </c>
      <c r="H13" s="147">
        <v>249</v>
      </c>
      <c r="I13" s="147">
        <v>272</v>
      </c>
      <c r="J13" s="147">
        <v>283</v>
      </c>
      <c r="K13" s="147">
        <v>317</v>
      </c>
      <c r="L13" s="147">
        <v>314</v>
      </c>
      <c r="M13" s="147">
        <v>280</v>
      </c>
      <c r="N13" s="147">
        <v>245</v>
      </c>
      <c r="O13" s="147">
        <v>237</v>
      </c>
      <c r="P13" s="147">
        <v>324</v>
      </c>
      <c r="Q13" s="118">
        <f t="shared" si="5"/>
        <v>6.0063851142462266E-3</v>
      </c>
      <c r="R13" s="31">
        <f t="shared" si="6"/>
        <v>0.15</v>
      </c>
      <c r="S13" s="155">
        <f t="shared" si="2"/>
        <v>372.59999999999997</v>
      </c>
      <c r="T13" s="155">
        <f t="shared" ref="T13:AB13" si="29">S13*(1+$R13)</f>
        <v>428.48999999999995</v>
      </c>
      <c r="U13" s="155">
        <f t="shared" si="29"/>
        <v>492.76349999999991</v>
      </c>
      <c r="V13" s="155">
        <f t="shared" si="29"/>
        <v>566.67802499999982</v>
      </c>
      <c r="W13" s="155">
        <f t="shared" si="29"/>
        <v>651.67972874999975</v>
      </c>
      <c r="X13" s="155">
        <f t="shared" si="29"/>
        <v>749.43168806249969</v>
      </c>
      <c r="Y13" s="155">
        <f t="shared" si="29"/>
        <v>861.8464412718746</v>
      </c>
      <c r="Z13" s="155">
        <f t="shared" si="29"/>
        <v>991.12340746265568</v>
      </c>
      <c r="AA13" s="155">
        <f t="shared" si="29"/>
        <v>1139.791918582054</v>
      </c>
      <c r="AB13" s="155">
        <f t="shared" si="29"/>
        <v>1310.760706369362</v>
      </c>
      <c r="AC13" s="138">
        <f t="shared" si="19"/>
        <v>7.9389427562326365E-2</v>
      </c>
      <c r="AD13" s="31">
        <f t="shared" si="17"/>
        <v>0.08</v>
      </c>
      <c r="AE13" s="146">
        <f t="shared" si="1"/>
        <v>10111.582591992221</v>
      </c>
    </row>
    <row r="14" spans="2:31" x14ac:dyDescent="0.2">
      <c r="B14" s="20" t="s">
        <v>19</v>
      </c>
      <c r="C14" s="141"/>
      <c r="D14" s="141"/>
      <c r="E14" s="147"/>
      <c r="F14" s="147"/>
      <c r="G14" s="147">
        <v>161</v>
      </c>
      <c r="H14" s="147">
        <v>171</v>
      </c>
      <c r="I14" s="147">
        <v>344</v>
      </c>
      <c r="J14" s="147">
        <v>332</v>
      </c>
      <c r="K14" s="147">
        <v>365</v>
      </c>
      <c r="L14" s="147">
        <v>229</v>
      </c>
      <c r="M14" s="147">
        <v>318</v>
      </c>
      <c r="N14" s="147">
        <v>431</v>
      </c>
      <c r="O14" s="147">
        <v>428</v>
      </c>
      <c r="P14" s="147">
        <v>519</v>
      </c>
      <c r="Q14" s="118">
        <f t="shared" si="5"/>
        <v>0.13889159235460835</v>
      </c>
      <c r="R14" s="31">
        <f t="shared" si="6"/>
        <v>0.15</v>
      </c>
      <c r="S14" s="155">
        <f t="shared" si="2"/>
        <v>596.84999999999991</v>
      </c>
      <c r="T14" s="155">
        <f t="shared" ref="T14:AB14" si="30">S14*(1+$R14)</f>
        <v>686.37749999999983</v>
      </c>
      <c r="U14" s="155">
        <f t="shared" si="30"/>
        <v>789.33412499999974</v>
      </c>
      <c r="V14" s="155">
        <f t="shared" si="30"/>
        <v>907.73424374999968</v>
      </c>
      <c r="W14" s="155">
        <f t="shared" si="30"/>
        <v>1043.8943803124996</v>
      </c>
      <c r="X14" s="155">
        <f t="shared" si="30"/>
        <v>1200.4785373593745</v>
      </c>
      <c r="Y14" s="155">
        <f t="shared" si="30"/>
        <v>1380.5503179632806</v>
      </c>
      <c r="Z14" s="155">
        <f t="shared" si="30"/>
        <v>1587.6328656577725</v>
      </c>
      <c r="AA14" s="155">
        <f t="shared" si="30"/>
        <v>1825.7777955064382</v>
      </c>
      <c r="AB14" s="155">
        <f t="shared" si="30"/>
        <v>2099.6444648324036</v>
      </c>
      <c r="AC14" s="138">
        <f t="shared" si="19"/>
        <v>0.14472468102405012</v>
      </c>
      <c r="AD14" s="31">
        <f t="shared" si="17"/>
        <v>0.08</v>
      </c>
      <c r="AE14" s="146">
        <f t="shared" si="1"/>
        <v>16197.257300135683</v>
      </c>
    </row>
    <row r="15" spans="2:31" x14ac:dyDescent="0.2">
      <c r="B15" s="20" t="s">
        <v>23</v>
      </c>
      <c r="C15" s="141"/>
      <c r="D15" s="141"/>
      <c r="E15" s="147"/>
      <c r="F15" s="147"/>
      <c r="G15" s="147">
        <v>119</v>
      </c>
      <c r="H15" s="147">
        <v>172</v>
      </c>
      <c r="I15" s="147">
        <v>269</v>
      </c>
      <c r="J15" s="147">
        <v>254</v>
      </c>
      <c r="K15" s="147">
        <v>234</v>
      </c>
      <c r="L15" s="147">
        <v>123</v>
      </c>
      <c r="M15" s="147">
        <v>190</v>
      </c>
      <c r="N15" s="147">
        <v>298</v>
      </c>
      <c r="O15" s="147">
        <v>275</v>
      </c>
      <c r="P15" s="147">
        <v>316</v>
      </c>
      <c r="Q15" s="118">
        <f t="shared" si="5"/>
        <v>0.11461961157138334</v>
      </c>
      <c r="R15" s="31">
        <f t="shared" si="6"/>
        <v>0.15</v>
      </c>
      <c r="S15" s="155">
        <f t="shared" si="2"/>
        <v>363.4</v>
      </c>
      <c r="T15" s="155">
        <f t="shared" ref="T15:AB15" si="31">S15*(1+$R15)</f>
        <v>417.90999999999997</v>
      </c>
      <c r="U15" s="155">
        <f t="shared" si="31"/>
        <v>480.59649999999993</v>
      </c>
      <c r="V15" s="155">
        <f t="shared" si="31"/>
        <v>552.68597499999987</v>
      </c>
      <c r="W15" s="155">
        <f t="shared" si="31"/>
        <v>635.58887124999978</v>
      </c>
      <c r="X15" s="155">
        <f t="shared" si="31"/>
        <v>730.92720193749972</v>
      </c>
      <c r="Y15" s="155">
        <f t="shared" si="31"/>
        <v>840.56628222812458</v>
      </c>
      <c r="Z15" s="155">
        <f t="shared" si="31"/>
        <v>966.65122456234315</v>
      </c>
      <c r="AA15" s="155">
        <f t="shared" si="31"/>
        <v>1111.6489082466944</v>
      </c>
      <c r="AB15" s="155">
        <f t="shared" si="31"/>
        <v>1278.3962444836984</v>
      </c>
      <c r="AC15" s="138">
        <f t="shared" si="19"/>
        <v>0.13310301736246699</v>
      </c>
      <c r="AD15" s="31">
        <f t="shared" si="17"/>
        <v>0.08</v>
      </c>
      <c r="AE15" s="146">
        <f t="shared" si="1"/>
        <v>9861.9138860171006</v>
      </c>
    </row>
    <row r="16" spans="2:31" x14ac:dyDescent="0.2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 x14ac:dyDescent="0.2">
      <c r="B17" s="20" t="s">
        <v>278</v>
      </c>
      <c r="C17" s="141"/>
      <c r="D17" s="141"/>
      <c r="E17" s="147"/>
      <c r="F17" s="147"/>
      <c r="G17" s="147">
        <v>201</v>
      </c>
      <c r="H17" s="147">
        <v>204</v>
      </c>
      <c r="I17" s="147">
        <v>223</v>
      </c>
      <c r="J17" s="147">
        <v>203</v>
      </c>
      <c r="K17" s="147">
        <v>206</v>
      </c>
      <c r="L17" s="147">
        <v>415</v>
      </c>
      <c r="M17" s="147">
        <v>419</v>
      </c>
      <c r="N17" s="147">
        <v>403</v>
      </c>
      <c r="O17" s="147">
        <v>429</v>
      </c>
      <c r="P17" s="147">
        <v>412</v>
      </c>
      <c r="Q17" s="118">
        <f>((P17/G17)^(1/($H$2-$H$1) ))-1</f>
        <v>8.3012482142796884E-2</v>
      </c>
      <c r="R17" s="31">
        <f t="shared" si="6"/>
        <v>0.15</v>
      </c>
      <c r="S17" s="155">
        <f t="shared" ref="S17:S32" si="32">P17*(1+$R17)</f>
        <v>473.79999999999995</v>
      </c>
      <c r="T17" s="155">
        <f t="shared" ref="T17:T32" si="33">S17*(1+$R17)</f>
        <v>544.86999999999989</v>
      </c>
      <c r="U17" s="155">
        <f t="shared" ref="U17:U32" si="34">T17*(1+$R17)</f>
        <v>626.60049999999978</v>
      </c>
      <c r="V17" s="155">
        <f t="shared" ref="V17:V32" si="35">U17*(1+$R17)</f>
        <v>720.59057499999972</v>
      </c>
      <c r="W17" s="155">
        <f t="shared" ref="W17:W34" si="36">V17*(1+$R17)</f>
        <v>828.67916124999965</v>
      </c>
      <c r="X17" s="155">
        <f t="shared" ref="X17:X34" si="37">W17*(1+$R17)</f>
        <v>952.98103543749949</v>
      </c>
      <c r="Y17" s="155">
        <f t="shared" ref="Y17:Y34" si="38">X17*(1+$R17)</f>
        <v>1095.9281907531242</v>
      </c>
      <c r="Z17" s="155">
        <f t="shared" ref="Z17:Z34" si="39">Y17*(1+$R17)</f>
        <v>1260.3174193660927</v>
      </c>
      <c r="AA17" s="155">
        <f t="shared" ref="AA17:AA34" si="40">Z17*(1+$R17)</f>
        <v>1449.3650322710066</v>
      </c>
      <c r="AB17" s="155">
        <f t="shared" ref="AB17:AB34" si="41">AA17*(1+$R17)</f>
        <v>1666.7697871116575</v>
      </c>
      <c r="AC17" s="138">
        <f t="shared" si="19"/>
        <v>0.1177677005076454</v>
      </c>
      <c r="AD17" s="31">
        <f t="shared" si="17"/>
        <v>0.08</v>
      </c>
      <c r="AE17" s="146">
        <f t="shared" si="1"/>
        <v>12857.9383577185</v>
      </c>
    </row>
    <row r="18" spans="2:31" x14ac:dyDescent="0.2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 x14ac:dyDescent="0.2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f t="shared" si="6"/>
        <v>0.15</v>
      </c>
      <c r="S19" s="155">
        <f t="shared" ref="S19:S21" si="42">P19*(1+$R19)</f>
        <v>0</v>
      </c>
      <c r="T19" s="155">
        <f t="shared" ref="T19:T21" si="43">S19*(1+$R19)</f>
        <v>0</v>
      </c>
      <c r="U19" s="155">
        <f t="shared" ref="U19:U21" si="44">T19*(1+$R19)</f>
        <v>0</v>
      </c>
      <c r="V19" s="155">
        <f t="shared" ref="V19:V21" si="45">U19*(1+$R19)</f>
        <v>0</v>
      </c>
      <c r="W19" s="155">
        <f t="shared" ref="W19:W21" si="46">V19*(1+$R19)</f>
        <v>0</v>
      </c>
      <c r="X19" s="155">
        <f t="shared" ref="X19:X21" si="47">W19*(1+$R19)</f>
        <v>0</v>
      </c>
      <c r="Y19" s="155">
        <f t="shared" ref="Y19:Y21" si="48">X19*(1+$R19)</f>
        <v>0</v>
      </c>
      <c r="Z19" s="155">
        <f t="shared" ref="Z19:Z21" si="49">Y19*(1+$R19)</f>
        <v>0</v>
      </c>
      <c r="AA19" s="155">
        <f t="shared" ref="AA19:AA21" si="50">Z19*(1+$R19)</f>
        <v>0</v>
      </c>
      <c r="AB19" s="155">
        <f t="shared" ref="AB19:AB21" si="51">AA19*(1+$R19)</f>
        <v>0</v>
      </c>
      <c r="AC19" s="138" t="e">
        <f t="shared" ref="AC19:AC21" si="52">((AB19/G19)^(1/($AB$3-$H$1) ))-1</f>
        <v>#DIV/0!</v>
      </c>
      <c r="AD19" s="31">
        <f t="shared" si="17"/>
        <v>0.08</v>
      </c>
      <c r="AE19" s="146">
        <f t="shared" si="1"/>
        <v>0</v>
      </c>
    </row>
    <row r="20" spans="2:31" x14ac:dyDescent="0.2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0.15</v>
      </c>
      <c r="S20" s="155">
        <f t="shared" si="42"/>
        <v>0</v>
      </c>
      <c r="T20" s="155">
        <f t="shared" si="43"/>
        <v>0</v>
      </c>
      <c r="U20" s="155">
        <f t="shared" si="44"/>
        <v>0</v>
      </c>
      <c r="V20" s="155">
        <f t="shared" si="45"/>
        <v>0</v>
      </c>
      <c r="W20" s="155">
        <f t="shared" si="46"/>
        <v>0</v>
      </c>
      <c r="X20" s="155">
        <f t="shared" si="47"/>
        <v>0</v>
      </c>
      <c r="Y20" s="155">
        <f t="shared" si="48"/>
        <v>0</v>
      </c>
      <c r="Z20" s="155">
        <f t="shared" si="49"/>
        <v>0</v>
      </c>
      <c r="AA20" s="155">
        <f t="shared" si="50"/>
        <v>0</v>
      </c>
      <c r="AB20" s="155">
        <f t="shared" si="51"/>
        <v>0</v>
      </c>
      <c r="AC20" s="138" t="e">
        <f t="shared" si="52"/>
        <v>#DIV/0!</v>
      </c>
      <c r="AD20" s="31">
        <f t="shared" si="17"/>
        <v>0.08</v>
      </c>
      <c r="AE20" s="146">
        <f t="shared" si="1"/>
        <v>0</v>
      </c>
    </row>
    <row r="21" spans="2:31" x14ac:dyDescent="0.2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0.15</v>
      </c>
      <c r="S21" s="155">
        <f t="shared" si="42"/>
        <v>0</v>
      </c>
      <c r="T21" s="155">
        <f t="shared" si="43"/>
        <v>0</v>
      </c>
      <c r="U21" s="155">
        <f t="shared" si="44"/>
        <v>0</v>
      </c>
      <c r="V21" s="155">
        <f t="shared" si="45"/>
        <v>0</v>
      </c>
      <c r="W21" s="155">
        <f t="shared" si="46"/>
        <v>0</v>
      </c>
      <c r="X21" s="155">
        <f t="shared" si="47"/>
        <v>0</v>
      </c>
      <c r="Y21" s="155">
        <f t="shared" si="48"/>
        <v>0</v>
      </c>
      <c r="Z21" s="155">
        <f t="shared" si="49"/>
        <v>0</v>
      </c>
      <c r="AA21" s="155">
        <f t="shared" si="50"/>
        <v>0</v>
      </c>
      <c r="AB21" s="155">
        <f t="shared" si="51"/>
        <v>0</v>
      </c>
      <c r="AC21" s="138" t="e">
        <f t="shared" si="52"/>
        <v>#DIV/0!</v>
      </c>
      <c r="AD21" s="31">
        <f t="shared" si="17"/>
        <v>0.08</v>
      </c>
      <c r="AE21" s="146">
        <f t="shared" si="1"/>
        <v>0</v>
      </c>
    </row>
    <row r="22" spans="2:31" x14ac:dyDescent="0.2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0.15</v>
      </c>
      <c r="S22" s="155">
        <f t="shared" ref="S22" si="53">P22*(1+$R22)</f>
        <v>0</v>
      </c>
      <c r="T22" s="155">
        <f t="shared" ref="T22" si="54">S22*(1+$R22)</f>
        <v>0</v>
      </c>
      <c r="U22" s="155">
        <f t="shared" ref="U22" si="55">T22*(1+$R22)</f>
        <v>0</v>
      </c>
      <c r="V22" s="155">
        <f t="shared" ref="V22" si="56">U22*(1+$R22)</f>
        <v>0</v>
      </c>
      <c r="W22" s="155">
        <f t="shared" ref="W22" si="57">V22*(1+$R22)</f>
        <v>0</v>
      </c>
      <c r="X22" s="155">
        <f t="shared" ref="X22" si="58">W22*(1+$R22)</f>
        <v>0</v>
      </c>
      <c r="Y22" s="155">
        <f t="shared" ref="Y22" si="59">X22*(1+$R22)</f>
        <v>0</v>
      </c>
      <c r="Z22" s="155">
        <f t="shared" ref="Z22" si="60">Y22*(1+$R22)</f>
        <v>0</v>
      </c>
      <c r="AA22" s="155">
        <f t="shared" ref="AA22" si="61">Z22*(1+$R22)</f>
        <v>0</v>
      </c>
      <c r="AB22" s="155">
        <f t="shared" ref="AB22" si="62">AA22*(1+$R22)</f>
        <v>0</v>
      </c>
      <c r="AC22" s="138" t="e">
        <f t="shared" ref="AC22" si="63">((AB22/G22)^(1/($AB$3-$H$1) ))-1</f>
        <v>#DIV/0!</v>
      </c>
      <c r="AD22" s="31">
        <f t="shared" si="17"/>
        <v>0.08</v>
      </c>
      <c r="AE22" s="146">
        <f t="shared" si="1"/>
        <v>0</v>
      </c>
    </row>
    <row r="23" spans="2:31" x14ac:dyDescent="0.2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 x14ac:dyDescent="0.2">
      <c r="B24" s="20" t="s">
        <v>89</v>
      </c>
      <c r="C24" s="141"/>
      <c r="D24" s="141"/>
      <c r="E24" s="147"/>
      <c r="F24" s="147"/>
      <c r="G24" s="147">
        <v>527</v>
      </c>
      <c r="H24" s="147">
        <v>587</v>
      </c>
      <c r="I24" s="147">
        <v>818</v>
      </c>
      <c r="J24" s="147">
        <v>1040</v>
      </c>
      <c r="K24" s="147">
        <v>1437</v>
      </c>
      <c r="L24" s="147">
        <v>1214</v>
      </c>
      <c r="M24" s="147">
        <v>1630</v>
      </c>
      <c r="N24" s="147">
        <v>2088</v>
      </c>
      <c r="O24" s="147">
        <v>2034</v>
      </c>
      <c r="P24" s="147">
        <v>2301</v>
      </c>
      <c r="Q24" s="118">
        <f>((P24/G24)^(1/($H$2-$H$1) ))-1</f>
        <v>0.1779392395979198</v>
      </c>
      <c r="R24" s="31">
        <f t="shared" si="6"/>
        <v>0.15</v>
      </c>
      <c r="S24" s="155">
        <f t="shared" si="32"/>
        <v>2646.1499999999996</v>
      </c>
      <c r="T24" s="155">
        <f t="shared" si="33"/>
        <v>3043.0724999999993</v>
      </c>
      <c r="U24" s="155">
        <f t="shared" si="34"/>
        <v>3499.5333749999991</v>
      </c>
      <c r="V24" s="155">
        <f t="shared" si="35"/>
        <v>4024.4633812499987</v>
      </c>
      <c r="W24" s="155">
        <f t="shared" si="36"/>
        <v>4628.132888437498</v>
      </c>
      <c r="X24" s="155">
        <f t="shared" si="37"/>
        <v>5322.3528217031226</v>
      </c>
      <c r="Y24" s="155">
        <f t="shared" si="38"/>
        <v>6120.7057449585909</v>
      </c>
      <c r="Z24" s="155">
        <f t="shared" si="39"/>
        <v>7038.8116067023793</v>
      </c>
      <c r="AA24" s="155">
        <f t="shared" si="40"/>
        <v>8094.633347707736</v>
      </c>
      <c r="AB24" s="155">
        <f t="shared" si="41"/>
        <v>9308.8283498638957</v>
      </c>
      <c r="AC24" s="138">
        <f t="shared" si="19"/>
        <v>0.16315079383001652</v>
      </c>
      <c r="AD24" s="31">
        <f t="shared" si="17"/>
        <v>0.08</v>
      </c>
      <c r="AE24" s="146">
        <f t="shared" si="1"/>
        <v>71810.961556092894</v>
      </c>
    </row>
    <row r="25" spans="2:31" s="123" customFormat="1" x14ac:dyDescent="0.2">
      <c r="B25" s="23"/>
      <c r="C25" s="150"/>
      <c r="D25" s="150"/>
      <c r="E25" s="151"/>
      <c r="F25" s="151"/>
      <c r="G25" s="149">
        <f>(G24-F24)/G24</f>
        <v>1</v>
      </c>
      <c r="H25" s="149">
        <f>(H24-G24)/H24</f>
        <v>0.10221465076660988</v>
      </c>
      <c r="I25" s="149">
        <f t="shared" ref="I25" si="64">(I24-H24)/I24</f>
        <v>0.2823960880195599</v>
      </c>
      <c r="J25" s="149">
        <f t="shared" ref="J25" si="65">(J24-I24)/J24</f>
        <v>0.21346153846153845</v>
      </c>
      <c r="K25" s="149">
        <f t="shared" ref="K25" si="66">(K24-J24)/K24</f>
        <v>0.27627000695894222</v>
      </c>
      <c r="L25" s="149">
        <f t="shared" ref="L25" si="67">(L24-K24)/L24</f>
        <v>-0.18369028006589785</v>
      </c>
      <c r="M25" s="149">
        <f t="shared" ref="M25" si="68">(M24-L24)/M24</f>
        <v>0.25521472392638039</v>
      </c>
      <c r="N25" s="149">
        <f t="shared" ref="N25" si="69">(N24-M24)/N24</f>
        <v>0.21934865900383141</v>
      </c>
      <c r="O25" s="149">
        <f t="shared" ref="O25" si="70">(O24-N24)/O24</f>
        <v>-2.6548672566371681E-2</v>
      </c>
      <c r="P25" s="149">
        <f t="shared" ref="P25" si="71">(P24-O24)/P24</f>
        <v>0.11603650586701435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 x14ac:dyDescent="0.2">
      <c r="B26" s="20" t="s">
        <v>262</v>
      </c>
      <c r="C26" s="141"/>
      <c r="D26" s="141"/>
      <c r="E26" s="147"/>
      <c r="F26" s="147"/>
      <c r="G26" s="147">
        <v>451</v>
      </c>
      <c r="H26" s="147">
        <v>514</v>
      </c>
      <c r="I26" s="147">
        <v>720</v>
      </c>
      <c r="J26" s="147">
        <v>904</v>
      </c>
      <c r="K26" s="147">
        <v>1269</v>
      </c>
      <c r="L26" s="147">
        <v>1173</v>
      </c>
      <c r="M26" s="147">
        <v>1485</v>
      </c>
      <c r="N26" s="147">
        <v>1923</v>
      </c>
      <c r="O26" s="147">
        <v>1868</v>
      </c>
      <c r="P26" s="147">
        <v>2070</v>
      </c>
      <c r="Q26" s="118">
        <f>((P26/G26)^(1/($H$2-$H$1) ))-1</f>
        <v>0.18449339909028062</v>
      </c>
      <c r="R26" s="31">
        <f t="shared" si="6"/>
        <v>0.15</v>
      </c>
      <c r="S26" s="155">
        <f t="shared" si="32"/>
        <v>2380.5</v>
      </c>
      <c r="T26" s="155">
        <f t="shared" si="33"/>
        <v>2737.5749999999998</v>
      </c>
      <c r="U26" s="155">
        <f t="shared" si="34"/>
        <v>3148.2112499999994</v>
      </c>
      <c r="V26" s="155">
        <f t="shared" si="35"/>
        <v>3620.4429374999991</v>
      </c>
      <c r="W26" s="155">
        <f t="shared" si="36"/>
        <v>4163.5093781249989</v>
      </c>
      <c r="X26" s="155">
        <f t="shared" si="37"/>
        <v>4788.0357848437479</v>
      </c>
      <c r="Y26" s="155">
        <f t="shared" si="38"/>
        <v>5506.2411525703101</v>
      </c>
      <c r="Z26" s="155">
        <f t="shared" si="39"/>
        <v>6332.1773254558557</v>
      </c>
      <c r="AA26" s="155">
        <f t="shared" si="40"/>
        <v>7282.0039242742332</v>
      </c>
      <c r="AB26" s="155">
        <f t="shared" si="41"/>
        <v>8374.304512915367</v>
      </c>
      <c r="AC26" s="138">
        <f t="shared" si="19"/>
        <v>0.16621194282047913</v>
      </c>
      <c r="AD26" s="31">
        <f t="shared" si="17"/>
        <v>0.08</v>
      </c>
      <c r="AE26" s="146">
        <f t="shared" si="1"/>
        <v>64601.777671061398</v>
      </c>
    </row>
    <row r="27" spans="2:31" s="123" customFormat="1" x14ac:dyDescent="0.2">
      <c r="B27" s="23"/>
      <c r="C27" s="150"/>
      <c r="D27" s="150"/>
      <c r="E27" s="151"/>
      <c r="F27" s="151"/>
      <c r="G27" s="149">
        <f t="shared" ref="G27:P27" si="72">(G26-F26)/G26</f>
        <v>1</v>
      </c>
      <c r="H27" s="149">
        <f t="shared" si="72"/>
        <v>0.122568093385214</v>
      </c>
      <c r="I27" s="149">
        <f t="shared" si="72"/>
        <v>0.28611111111111109</v>
      </c>
      <c r="J27" s="149">
        <f t="shared" si="72"/>
        <v>0.20353982300884957</v>
      </c>
      <c r="K27" s="149">
        <f t="shared" si="72"/>
        <v>0.28762805358550042</v>
      </c>
      <c r="L27" s="149">
        <f t="shared" si="72"/>
        <v>-8.1841432225063945E-2</v>
      </c>
      <c r="M27" s="149">
        <f t="shared" si="72"/>
        <v>0.21010101010101009</v>
      </c>
      <c r="N27" s="149">
        <f t="shared" si="72"/>
        <v>0.22776911076443057</v>
      </c>
      <c r="O27" s="149">
        <f t="shared" si="72"/>
        <v>-2.9443254817987152E-2</v>
      </c>
      <c r="P27" s="149">
        <f t="shared" si="72"/>
        <v>9.7584541062801927E-2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 x14ac:dyDescent="0.2">
      <c r="B28" s="20" t="s">
        <v>330</v>
      </c>
      <c r="C28" s="150"/>
      <c r="D28" s="150"/>
      <c r="E28" s="151"/>
      <c r="F28" s="147"/>
      <c r="G28" s="147">
        <v>18</v>
      </c>
      <c r="H28" s="147">
        <v>10</v>
      </c>
      <c r="I28" s="147">
        <v>11</v>
      </c>
      <c r="J28" s="147">
        <v>15</v>
      </c>
      <c r="K28" s="147">
        <v>21</v>
      </c>
      <c r="L28" s="147">
        <v>32</v>
      </c>
      <c r="M28" s="147">
        <v>19</v>
      </c>
      <c r="N28" s="147">
        <v>19</v>
      </c>
      <c r="O28" s="147">
        <v>18</v>
      </c>
      <c r="P28" s="147">
        <v>14</v>
      </c>
      <c r="Q28" s="118">
        <f>((P28/G28)^(1/($H$2-$H$1) ))-1</f>
        <v>-2.7537559048141591E-2</v>
      </c>
      <c r="R28" s="31">
        <f t="shared" si="6"/>
        <v>0.15</v>
      </c>
      <c r="S28" s="155">
        <f t="shared" ref="S28" si="73">P28*(1+$R28)</f>
        <v>16.099999999999998</v>
      </c>
      <c r="T28" s="155">
        <f t="shared" ref="T28" si="74">S28*(1+$R28)</f>
        <v>18.514999999999997</v>
      </c>
      <c r="U28" s="155">
        <f t="shared" ref="U28" si="75">T28*(1+$R28)</f>
        <v>21.292249999999996</v>
      </c>
      <c r="V28" s="155">
        <f t="shared" ref="V28" si="76">U28*(1+$R28)</f>
        <v>24.486087499999993</v>
      </c>
      <c r="W28" s="155">
        <f t="shared" ref="W28" si="77">V28*(1+$R28)</f>
        <v>28.15900062499999</v>
      </c>
      <c r="X28" s="155">
        <f t="shared" ref="X28" si="78">W28*(1+$R28)</f>
        <v>32.382850718749985</v>
      </c>
      <c r="Y28" s="155">
        <f t="shared" ref="Y28" si="79">X28*(1+$R28)</f>
        <v>37.240278326562482</v>
      </c>
      <c r="Z28" s="155">
        <f t="shared" ref="Z28" si="80">Y28*(1+$R28)</f>
        <v>42.826320075546853</v>
      </c>
      <c r="AA28" s="155">
        <f t="shared" ref="AA28" si="81">Z28*(1+$R28)</f>
        <v>49.250268086878876</v>
      </c>
      <c r="AB28" s="155">
        <f t="shared" ref="AB28" si="82">AA28*(1+$R28)</f>
        <v>56.637808299910702</v>
      </c>
      <c r="AC28" s="138">
        <f t="shared" ref="AC28" si="83">((AB28/G28)^(1/($AB$3-$H$1) ))-1</f>
        <v>6.2188966837954274E-2</v>
      </c>
      <c r="AD28" s="31">
        <f t="shared" si="17"/>
        <v>0.08</v>
      </c>
      <c r="AE28" s="146">
        <f t="shared" ref="AE28" si="84">(AB28*(1+AD28))/($C$1-AD28)</f>
        <v>436.92023545645395</v>
      </c>
    </row>
    <row r="29" spans="2:31" s="123" customFormat="1" x14ac:dyDescent="0.2">
      <c r="B29" s="23"/>
      <c r="C29" s="150"/>
      <c r="D29" s="150"/>
      <c r="E29" s="151"/>
      <c r="F29" s="151"/>
      <c r="G29" s="149">
        <f t="shared" ref="G29:P29" si="85">(G28-F28)/G28</f>
        <v>1</v>
      </c>
      <c r="H29" s="149">
        <f t="shared" si="85"/>
        <v>-0.8</v>
      </c>
      <c r="I29" s="149">
        <f t="shared" si="85"/>
        <v>9.0909090909090912E-2</v>
      </c>
      <c r="J29" s="149">
        <f t="shared" si="85"/>
        <v>0.26666666666666666</v>
      </c>
      <c r="K29" s="149">
        <f t="shared" si="85"/>
        <v>0.2857142857142857</v>
      </c>
      <c r="L29" s="149">
        <f t="shared" si="85"/>
        <v>0.34375</v>
      </c>
      <c r="M29" s="149">
        <f t="shared" si="85"/>
        <v>-0.68421052631578949</v>
      </c>
      <c r="N29" s="149">
        <f t="shared" si="85"/>
        <v>0</v>
      </c>
      <c r="O29" s="149">
        <f t="shared" si="85"/>
        <v>-5.5555555555555552E-2</v>
      </c>
      <c r="P29" s="149">
        <f t="shared" si="85"/>
        <v>-0.2857142857142857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4"/>
      <c r="AD29" s="137"/>
      <c r="AE29" s="155"/>
    </row>
    <row r="30" spans="2:31" x14ac:dyDescent="0.2">
      <c r="B30" s="20" t="s">
        <v>300</v>
      </c>
      <c r="C30" s="141"/>
      <c r="D30" s="141"/>
      <c r="E30" s="147"/>
      <c r="F30" s="147"/>
      <c r="G30" s="147">
        <v>0</v>
      </c>
      <c r="H30" s="147">
        <v>0</v>
      </c>
      <c r="I30" s="147">
        <v>0</v>
      </c>
      <c r="J30" s="147">
        <v>0</v>
      </c>
      <c r="K30" s="147">
        <v>0</v>
      </c>
      <c r="L30" s="147">
        <v>0</v>
      </c>
      <c r="M30" s="147">
        <v>0</v>
      </c>
      <c r="N30" s="147">
        <v>0</v>
      </c>
      <c r="O30" s="147">
        <v>0</v>
      </c>
      <c r="P30" s="147">
        <v>0</v>
      </c>
      <c r="Q30" s="118" t="e">
        <f>((P30/G30)^(1/($H$2-$H$1) ))-1</f>
        <v>#DIV/0!</v>
      </c>
      <c r="R30" s="31">
        <f t="shared" si="6"/>
        <v>0.15</v>
      </c>
      <c r="S30" s="155">
        <f t="shared" si="32"/>
        <v>0</v>
      </c>
      <c r="T30" s="155" t="e">
        <f t="shared" ref="T30" si="86">Q30*(1+$R30)</f>
        <v>#DIV/0!</v>
      </c>
      <c r="U30" s="155">
        <f t="shared" ref="U30" si="87">R30*(1+$R30)</f>
        <v>0.17249999999999999</v>
      </c>
      <c r="V30" s="155">
        <f t="shared" ref="V30" si="88">S30*(1+$R30)</f>
        <v>0</v>
      </c>
      <c r="W30" s="155" t="e">
        <f t="shared" ref="W30" si="89">T30*(1+$R30)</f>
        <v>#DIV/0!</v>
      </c>
      <c r="X30" s="155">
        <f t="shared" ref="X30" si="90">U30*(1+$R30)</f>
        <v>0.19837499999999997</v>
      </c>
      <c r="Y30" s="155">
        <f t="shared" ref="Y30" si="91">V30*(1+$R30)</f>
        <v>0</v>
      </c>
      <c r="Z30" s="155" t="e">
        <f t="shared" ref="Z30" si="92">W30*(1+$R30)</f>
        <v>#DIV/0!</v>
      </c>
      <c r="AA30" s="155">
        <f t="shared" ref="AA30" si="93">X30*(1+$R30)</f>
        <v>0.22813124999999995</v>
      </c>
      <c r="AB30" s="155">
        <f t="shared" ref="AB30" si="94">Y30*(1+$R30)</f>
        <v>0</v>
      </c>
      <c r="AC30" s="138" t="e">
        <f t="shared" ref="AC30" si="95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 x14ac:dyDescent="0.2">
      <c r="B31" s="20" t="s">
        <v>320</v>
      </c>
      <c r="C31" s="141"/>
      <c r="D31" s="141"/>
      <c r="E31" s="147"/>
      <c r="F31" s="147"/>
      <c r="G31" s="147">
        <v>362</v>
      </c>
      <c r="H31" s="147">
        <v>420</v>
      </c>
      <c r="I31" s="147">
        <v>606</v>
      </c>
      <c r="J31" s="147">
        <v>771</v>
      </c>
      <c r="K31" s="147">
        <v>1106</v>
      </c>
      <c r="L31" s="147">
        <v>990</v>
      </c>
      <c r="M31" s="147">
        <v>1282</v>
      </c>
      <c r="N31" s="147">
        <v>1680</v>
      </c>
      <c r="O31" s="147">
        <v>1595</v>
      </c>
      <c r="P31" s="147">
        <v>1739</v>
      </c>
      <c r="Q31" s="118">
        <f>((P31/G31)^(1/($H$2-$H$1) ))-1</f>
        <v>0.19050804516499964</v>
      </c>
      <c r="R31" s="31">
        <f t="shared" si="6"/>
        <v>0.15</v>
      </c>
      <c r="S31" s="155">
        <f t="shared" si="32"/>
        <v>1999.85</v>
      </c>
      <c r="T31" s="155">
        <f t="shared" si="33"/>
        <v>2299.8274999999999</v>
      </c>
      <c r="U31" s="155">
        <f t="shared" si="34"/>
        <v>2644.8016249999996</v>
      </c>
      <c r="V31" s="155">
        <f t="shared" si="35"/>
        <v>3041.5218687499992</v>
      </c>
      <c r="W31" s="155">
        <f t="shared" si="36"/>
        <v>3497.7501490624986</v>
      </c>
      <c r="X31" s="155">
        <f t="shared" si="37"/>
        <v>4022.4126714218733</v>
      </c>
      <c r="Y31" s="155">
        <f t="shared" si="38"/>
        <v>4625.7745721351539</v>
      </c>
      <c r="Z31" s="155">
        <f t="shared" si="39"/>
        <v>5319.6407579554261</v>
      </c>
      <c r="AA31" s="155">
        <f t="shared" si="40"/>
        <v>6117.5868716487394</v>
      </c>
      <c r="AB31" s="155">
        <f t="shared" si="41"/>
        <v>7035.2249023960494</v>
      </c>
      <c r="AC31" s="138">
        <f t="shared" si="19"/>
        <v>0.16901327492998197</v>
      </c>
      <c r="AD31" s="31">
        <f t="shared" si="17"/>
        <v>0.08</v>
      </c>
      <c r="AE31" s="146">
        <f t="shared" si="1"/>
        <v>54271.734961340953</v>
      </c>
    </row>
    <row r="32" spans="2:31" x14ac:dyDescent="0.2">
      <c r="B32" s="20" t="s">
        <v>311</v>
      </c>
      <c r="C32" s="141"/>
      <c r="D32" s="141"/>
      <c r="E32" s="147"/>
      <c r="F32" s="147"/>
      <c r="G32" s="147">
        <v>29</v>
      </c>
      <c r="H32" s="147">
        <v>25</v>
      </c>
      <c r="I32" s="147">
        <v>32.5</v>
      </c>
      <c r="J32" s="147">
        <v>35.36</v>
      </c>
      <c r="K32" s="147">
        <v>49</v>
      </c>
      <c r="L32" s="147">
        <v>53</v>
      </c>
      <c r="M32" s="147">
        <v>59</v>
      </c>
      <c r="N32" s="147">
        <v>64</v>
      </c>
      <c r="O32" s="147">
        <v>69</v>
      </c>
      <c r="P32" s="147">
        <v>85</v>
      </c>
      <c r="Q32" s="118">
        <f>((P32/G32)^(1/($H$2-$H$1) ))-1</f>
        <v>0.12691514147048921</v>
      </c>
      <c r="R32" s="31">
        <f t="shared" si="6"/>
        <v>0.15</v>
      </c>
      <c r="S32" s="155">
        <f t="shared" si="32"/>
        <v>97.749999999999986</v>
      </c>
      <c r="T32" s="155">
        <f t="shared" si="33"/>
        <v>112.41249999999998</v>
      </c>
      <c r="U32" s="155">
        <f t="shared" si="34"/>
        <v>129.27437499999996</v>
      </c>
      <c r="V32" s="155">
        <f t="shared" si="35"/>
        <v>148.66553124999996</v>
      </c>
      <c r="W32" s="155">
        <f t="shared" si="36"/>
        <v>170.96536093749995</v>
      </c>
      <c r="X32" s="155">
        <f t="shared" si="37"/>
        <v>196.61016507812494</v>
      </c>
      <c r="Y32" s="155">
        <f t="shared" si="38"/>
        <v>226.10168983984366</v>
      </c>
      <c r="Z32" s="155">
        <f t="shared" si="39"/>
        <v>260.01694331582019</v>
      </c>
      <c r="AA32" s="155">
        <f t="shared" si="40"/>
        <v>299.01948481319317</v>
      </c>
      <c r="AB32" s="155">
        <f t="shared" si="41"/>
        <v>343.8724075351721</v>
      </c>
      <c r="AC32" s="138">
        <f t="shared" si="19"/>
        <v>0.13900670485830768</v>
      </c>
      <c r="AD32" s="31">
        <f t="shared" si="17"/>
        <v>0.08</v>
      </c>
      <c r="AE32" s="146">
        <f t="shared" si="1"/>
        <v>2652.7300009856131</v>
      </c>
    </row>
    <row r="33" spans="2:31" x14ac:dyDescent="0.2">
      <c r="B33" s="20"/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28"/>
      <c r="R33" s="20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39"/>
      <c r="AD33" s="137"/>
      <c r="AE33" s="155"/>
    </row>
    <row r="34" spans="2:31" x14ac:dyDescent="0.2">
      <c r="B34" s="20" t="s">
        <v>279</v>
      </c>
      <c r="C34" s="141"/>
      <c r="D34" s="141"/>
      <c r="E34" s="147"/>
      <c r="F34" s="147"/>
      <c r="G34" s="147">
        <v>29</v>
      </c>
      <c r="H34" s="147">
        <v>56</v>
      </c>
      <c r="I34" s="147">
        <v>81</v>
      </c>
      <c r="J34" s="147">
        <v>117</v>
      </c>
      <c r="K34" s="147">
        <v>146</v>
      </c>
      <c r="L34" s="147">
        <v>99</v>
      </c>
      <c r="M34" s="147">
        <v>195</v>
      </c>
      <c r="N34" s="147">
        <v>173</v>
      </c>
      <c r="O34" s="147">
        <v>180</v>
      </c>
      <c r="P34" s="147">
        <v>230</v>
      </c>
      <c r="Q34" s="118">
        <f>((P34/G34)^(1/($H$2-$H$1) ))-1</f>
        <v>0.25870957987612075</v>
      </c>
      <c r="R34" s="31">
        <f t="shared" si="6"/>
        <v>0.15</v>
      </c>
      <c r="S34" s="155">
        <f t="shared" ref="S34" si="96">P34*(1+$R34)</f>
        <v>264.5</v>
      </c>
      <c r="T34" s="155">
        <f t="shared" ref="T34" si="97">S34*(1+$R34)</f>
        <v>304.17499999999995</v>
      </c>
      <c r="U34" s="155">
        <f t="shared" ref="U34" si="98">T34*(1+$R34)</f>
        <v>349.80124999999992</v>
      </c>
      <c r="V34" s="155">
        <f t="shared" ref="V34" si="99">U34*(1+$R34)</f>
        <v>402.27143749999988</v>
      </c>
      <c r="W34" s="155">
        <f t="shared" si="36"/>
        <v>462.61215312499985</v>
      </c>
      <c r="X34" s="155">
        <f t="shared" si="37"/>
        <v>532.00397609374977</v>
      </c>
      <c r="Y34" s="155">
        <f t="shared" si="38"/>
        <v>611.80457250781217</v>
      </c>
      <c r="Z34" s="155">
        <f t="shared" si="39"/>
        <v>703.57525838398396</v>
      </c>
      <c r="AA34" s="155">
        <f t="shared" si="40"/>
        <v>809.11154714158147</v>
      </c>
      <c r="AB34" s="155">
        <f t="shared" si="41"/>
        <v>930.47827921281862</v>
      </c>
      <c r="AC34" s="138">
        <f t="shared" si="19"/>
        <v>0.200271187918454</v>
      </c>
      <c r="AD34" s="31">
        <f t="shared" si="17"/>
        <v>0.08</v>
      </c>
      <c r="AE34" s="146">
        <f t="shared" si="1"/>
        <v>7177.9752967846007</v>
      </c>
    </row>
    <row r="35" spans="2:31" s="123" customFormat="1" x14ac:dyDescent="0.2">
      <c r="B35" s="23"/>
      <c r="C35" s="150"/>
      <c r="D35" s="150"/>
      <c r="E35" s="151"/>
      <c r="F35" s="151"/>
      <c r="G35" s="149">
        <f>(G34-F34)/G34</f>
        <v>1</v>
      </c>
      <c r="H35" s="149">
        <f>(H34-G34)/H34</f>
        <v>0.48214285714285715</v>
      </c>
      <c r="I35" s="149">
        <f t="shared" ref="I35" si="100">(I34-H34)/I34</f>
        <v>0.30864197530864196</v>
      </c>
      <c r="J35" s="149">
        <f t="shared" ref="J35" si="101">(J34-I34)/J34</f>
        <v>0.30769230769230771</v>
      </c>
      <c r="K35" s="149">
        <f t="shared" ref="K35" si="102">(K34-J34)/K34</f>
        <v>0.19863013698630136</v>
      </c>
      <c r="L35" s="149">
        <f t="shared" ref="L35" si="103">(L34-K34)/L34</f>
        <v>-0.47474747474747475</v>
      </c>
      <c r="M35" s="149">
        <f t="shared" ref="M35" si="104">(M34-L34)/M34</f>
        <v>0.49230769230769234</v>
      </c>
      <c r="N35" s="149">
        <f t="shared" ref="N35" si="105">(N34-M34)/N34</f>
        <v>-0.12716763005780346</v>
      </c>
      <c r="O35" s="149">
        <f t="shared" ref="O35" si="106">(O34-N34)/O34</f>
        <v>3.888888888888889E-2</v>
      </c>
      <c r="P35" s="149">
        <f t="shared" ref="P35" si="107">(P34-O34)/P34</f>
        <v>0.21739130434782608</v>
      </c>
      <c r="Q35" s="128"/>
      <c r="R35" s="20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137"/>
      <c r="AE35" s="157"/>
    </row>
    <row r="36" spans="2:31" x14ac:dyDescent="0.2">
      <c r="B36" s="20" t="s">
        <v>257</v>
      </c>
      <c r="C36" s="141"/>
      <c r="D36" s="141"/>
      <c r="E36" s="147"/>
      <c r="F36" s="147"/>
      <c r="G36" s="147">
        <v>29.5</v>
      </c>
      <c r="H36" s="147">
        <v>31</v>
      </c>
      <c r="I36" s="147">
        <v>45</v>
      </c>
      <c r="J36" s="147">
        <v>69</v>
      </c>
      <c r="K36" s="147">
        <v>89</v>
      </c>
      <c r="L36" s="147">
        <v>-35</v>
      </c>
      <c r="M36" s="147">
        <v>58</v>
      </c>
      <c r="N36" s="147">
        <v>87</v>
      </c>
      <c r="O36" s="147">
        <v>98</v>
      </c>
      <c r="P36" s="147">
        <v>145</v>
      </c>
      <c r="Q36" s="118">
        <f>((P36/G36)^(1/($H$2-$H$1) ))-1</f>
        <v>0.19354402477067656</v>
      </c>
      <c r="R36" s="31">
        <f t="shared" si="6"/>
        <v>0.15</v>
      </c>
      <c r="S36" s="155">
        <f>P36*(1+$R36)</f>
        <v>166.75</v>
      </c>
      <c r="T36" s="155">
        <f t="shared" ref="T36:AB36" si="108">S36*(1+$R36)</f>
        <v>191.76249999999999</v>
      </c>
      <c r="U36" s="155">
        <f t="shared" si="108"/>
        <v>220.52687499999996</v>
      </c>
      <c r="V36" s="155">
        <f t="shared" si="108"/>
        <v>253.60590624999995</v>
      </c>
      <c r="W36" s="155">
        <f t="shared" si="108"/>
        <v>291.6467921874999</v>
      </c>
      <c r="X36" s="155">
        <f t="shared" si="108"/>
        <v>335.39381101562486</v>
      </c>
      <c r="Y36" s="155">
        <f t="shared" si="108"/>
        <v>385.70288266796854</v>
      </c>
      <c r="Z36" s="155">
        <f t="shared" si="108"/>
        <v>443.55831506816378</v>
      </c>
      <c r="AA36" s="155">
        <f t="shared" si="108"/>
        <v>510.09206232838829</v>
      </c>
      <c r="AB36" s="155">
        <f t="shared" si="108"/>
        <v>586.60587167764652</v>
      </c>
      <c r="AC36" s="138">
        <f t="shared" si="19"/>
        <v>0.17042445909456649</v>
      </c>
      <c r="AD36" s="31">
        <f t="shared" si="17"/>
        <v>0.08</v>
      </c>
      <c r="AE36" s="146">
        <f t="shared" si="1"/>
        <v>4525.2452957989872</v>
      </c>
    </row>
    <row r="37" spans="2:31" s="123" customFormat="1" x14ac:dyDescent="0.2">
      <c r="B37" s="23"/>
      <c r="C37" s="150"/>
      <c r="D37" s="150"/>
      <c r="E37" s="151"/>
      <c r="F37" s="151"/>
      <c r="G37" s="149">
        <f>(G36-F36)/G36</f>
        <v>1</v>
      </c>
      <c r="H37" s="149">
        <f>(H36-G36)/H36</f>
        <v>4.8387096774193547E-2</v>
      </c>
      <c r="I37" s="149">
        <f t="shared" ref="I37" si="109">(I36-H36)/I36</f>
        <v>0.31111111111111112</v>
      </c>
      <c r="J37" s="149">
        <f t="shared" ref="J37" si="110">(J36-I36)/J36</f>
        <v>0.34782608695652173</v>
      </c>
      <c r="K37" s="149">
        <f t="shared" ref="K37" si="111">(K36-J36)/K36</f>
        <v>0.2247191011235955</v>
      </c>
      <c r="L37" s="149">
        <f t="shared" ref="L37" si="112">(L36-K36)/L36</f>
        <v>3.5428571428571427</v>
      </c>
      <c r="M37" s="149">
        <f t="shared" ref="M37" si="113">(M36-L36)/M36</f>
        <v>1.603448275862069</v>
      </c>
      <c r="N37" s="149">
        <f t="shared" ref="N37" si="114">(N36-M36)/N36</f>
        <v>0.33333333333333331</v>
      </c>
      <c r="O37" s="149">
        <f t="shared" ref="O37" si="115">(O36-N36)/O36</f>
        <v>0.11224489795918367</v>
      </c>
      <c r="P37" s="149">
        <f t="shared" ref="P37" si="116">(P36-O36)/P36</f>
        <v>0.32413793103448274</v>
      </c>
      <c r="Q37" s="128"/>
      <c r="R37" s="20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39"/>
      <c r="AD37" s="137"/>
      <c r="AE37" s="157"/>
    </row>
    <row r="38" spans="2:31" x14ac:dyDescent="0.2">
      <c r="B38" s="20" t="s">
        <v>239</v>
      </c>
      <c r="C38" s="142">
        <v>1</v>
      </c>
      <c r="D38" s="142">
        <v>1</v>
      </c>
      <c r="E38" s="143">
        <v>1</v>
      </c>
      <c r="F38" s="147">
        <v>3.05</v>
      </c>
      <c r="G38" s="147">
        <v>3.05</v>
      </c>
      <c r="H38" s="147">
        <v>3.05</v>
      </c>
      <c r="I38" s="147">
        <v>3.05</v>
      </c>
      <c r="J38" s="147">
        <v>15.29</v>
      </c>
      <c r="K38" s="147">
        <v>15.29</v>
      </c>
      <c r="L38" s="147">
        <v>15.29</v>
      </c>
      <c r="M38" s="147">
        <v>15.29</v>
      </c>
      <c r="N38" s="147">
        <v>15.29</v>
      </c>
      <c r="O38" s="147">
        <v>15.29</v>
      </c>
      <c r="P38" s="147">
        <v>15.29</v>
      </c>
      <c r="Q38" s="118">
        <f>((P38/G38)^(1/($H$2-$H$1) ))-1</f>
        <v>0.19616127546829354</v>
      </c>
      <c r="R38" s="31">
        <f t="shared" si="6"/>
        <v>0.15</v>
      </c>
      <c r="S38" s="155">
        <v>100</v>
      </c>
      <c r="T38" s="155">
        <f t="shared" ref="T38:AB38" si="117">S38*(1+$R38)</f>
        <v>114.99999999999999</v>
      </c>
      <c r="U38" s="155">
        <f t="shared" si="117"/>
        <v>132.24999999999997</v>
      </c>
      <c r="V38" s="155">
        <f t="shared" si="117"/>
        <v>152.08749999999995</v>
      </c>
      <c r="W38" s="155">
        <f t="shared" si="117"/>
        <v>174.90062499999993</v>
      </c>
      <c r="X38" s="155">
        <f t="shared" si="117"/>
        <v>201.13571874999991</v>
      </c>
      <c r="Y38" s="155">
        <f t="shared" si="117"/>
        <v>231.30607656249987</v>
      </c>
      <c r="Z38" s="155">
        <f t="shared" si="117"/>
        <v>266.00198804687483</v>
      </c>
      <c r="AA38" s="155">
        <f t="shared" si="117"/>
        <v>305.90228625390603</v>
      </c>
      <c r="AB38" s="155">
        <f t="shared" si="117"/>
        <v>351.78762919199193</v>
      </c>
      <c r="AC38" s="138">
        <f t="shared" si="19"/>
        <v>0.28388256509844445</v>
      </c>
      <c r="AD38" s="31">
        <f t="shared" si="17"/>
        <v>0.08</v>
      </c>
      <c r="AE38" s="146">
        <f t="shared" si="1"/>
        <v>2713.7902823382237</v>
      </c>
    </row>
    <row r="39" spans="2:31" x14ac:dyDescent="0.2">
      <c r="B39" s="20" t="s">
        <v>283</v>
      </c>
      <c r="C39" s="145">
        <v>1</v>
      </c>
      <c r="D39" s="145">
        <v>1</v>
      </c>
      <c r="E39" s="145">
        <v>1</v>
      </c>
      <c r="F39" s="147">
        <v>4</v>
      </c>
      <c r="G39" s="147">
        <v>4</v>
      </c>
      <c r="H39" s="147">
        <v>4.5</v>
      </c>
      <c r="I39" s="147">
        <v>6</v>
      </c>
      <c r="J39" s="147">
        <v>1.4</v>
      </c>
      <c r="K39" s="147">
        <v>1.5</v>
      </c>
      <c r="L39" s="147">
        <v>0.2</v>
      </c>
      <c r="M39" s="147">
        <v>0.6</v>
      </c>
      <c r="N39" s="147">
        <v>0.7</v>
      </c>
      <c r="O39" s="147">
        <v>0.8</v>
      </c>
      <c r="P39" s="147">
        <v>1.2</v>
      </c>
      <c r="Q39" s="118">
        <f>((P39/G39)^(1/($H$2-$H$1) ))-1</f>
        <v>-0.12521291707606708</v>
      </c>
      <c r="R39" s="31">
        <v>0.05</v>
      </c>
      <c r="S39" s="155">
        <f t="shared" ref="S39" si="118">P39*(1+$R39)</f>
        <v>1.26</v>
      </c>
      <c r="T39" s="155">
        <f t="shared" ref="T39" si="119">S39*(1+$R39)</f>
        <v>1.3230000000000002</v>
      </c>
      <c r="U39" s="155">
        <f t="shared" ref="U39" si="120">T39*(1+$R39)</f>
        <v>1.3891500000000003</v>
      </c>
      <c r="V39" s="155">
        <f t="shared" ref="V39" si="121">U39*(1+$R39)</f>
        <v>1.4586075000000005</v>
      </c>
      <c r="W39" s="155">
        <f t="shared" ref="W39" si="122">V39*(1+$R39)</f>
        <v>1.5315378750000006</v>
      </c>
      <c r="X39" s="155">
        <f t="shared" ref="X39" si="123">W39*(1+$R39)</f>
        <v>1.6081147687500008</v>
      </c>
      <c r="Y39" s="155">
        <f t="shared" ref="Y39" si="124">X39*(1+$R39)</f>
        <v>1.6885205071875009</v>
      </c>
      <c r="Z39" s="155">
        <f t="shared" ref="Z39" si="125">Y39*(1+$R39)</f>
        <v>1.7729465325468761</v>
      </c>
      <c r="AA39" s="155">
        <f t="shared" ref="AA39" si="126">Z39*(1+$R39)</f>
        <v>1.86159385917422</v>
      </c>
      <c r="AB39" s="155">
        <f t="shared" ref="AB39" si="127">AA39*(1+$R39)</f>
        <v>1.954673552132931</v>
      </c>
      <c r="AC39" s="138">
        <f t="shared" ref="AC39" si="128">((AB39/G39)^(1/($AB$3-$H$1) ))-1</f>
        <v>-3.6986603367259674E-2</v>
      </c>
      <c r="AD39" s="31">
        <f t="shared" si="17"/>
        <v>0.08</v>
      </c>
      <c r="AE39" s="146">
        <f t="shared" si="1"/>
        <v>15.078910259311183</v>
      </c>
    </row>
    <row r="40" spans="2:31" x14ac:dyDescent="0.2">
      <c r="B40" s="20"/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137"/>
      <c r="AE40" s="155"/>
    </row>
    <row r="41" spans="2:31" x14ac:dyDescent="0.2">
      <c r="B41" s="108" t="s">
        <v>243</v>
      </c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 x14ac:dyDescent="0.2">
      <c r="B42" s="20" t="s">
        <v>306</v>
      </c>
      <c r="C42" s="133">
        <f t="shared" ref="C42:P42" si="129">C24/C38</f>
        <v>0</v>
      </c>
      <c r="D42" s="133">
        <f t="shared" si="129"/>
        <v>0</v>
      </c>
      <c r="E42" s="133">
        <f t="shared" si="129"/>
        <v>0</v>
      </c>
      <c r="F42" s="133">
        <f t="shared" si="129"/>
        <v>0</v>
      </c>
      <c r="G42" s="133">
        <f t="shared" si="129"/>
        <v>172.78688524590166</v>
      </c>
      <c r="H42" s="133">
        <f t="shared" si="129"/>
        <v>192.45901639344262</v>
      </c>
      <c r="I42" s="133">
        <f t="shared" si="129"/>
        <v>268.19672131147541</v>
      </c>
      <c r="J42" s="133">
        <f t="shared" si="129"/>
        <v>68.018312622629168</v>
      </c>
      <c r="K42" s="133">
        <f t="shared" si="129"/>
        <v>93.98299542184435</v>
      </c>
      <c r="L42" s="133">
        <f t="shared" si="129"/>
        <v>79.398299542184432</v>
      </c>
      <c r="M42" s="133">
        <f t="shared" si="129"/>
        <v>106.60562459123611</v>
      </c>
      <c r="N42" s="133">
        <f t="shared" si="129"/>
        <v>136.55984303466317</v>
      </c>
      <c r="O42" s="133">
        <f t="shared" si="129"/>
        <v>133.02812295618051</v>
      </c>
      <c r="P42" s="133">
        <f t="shared" si="129"/>
        <v>150.49051667756706</v>
      </c>
      <c r="Q42" s="118">
        <f>((P42/G42)^(1/($H$2-$H$1) ))-1</f>
        <v>-1.5233761737722062E-2</v>
      </c>
      <c r="R42" s="128"/>
      <c r="S42" s="159">
        <f t="shared" ref="S42:AB42" si="130">S24/S38</f>
        <v>26.461499999999997</v>
      </c>
      <c r="T42" s="159">
        <f t="shared" si="130"/>
        <v>26.461499999999997</v>
      </c>
      <c r="U42" s="159">
        <f t="shared" si="130"/>
        <v>26.461499999999997</v>
      </c>
      <c r="V42" s="159">
        <f t="shared" si="130"/>
        <v>26.461500000000001</v>
      </c>
      <c r="W42" s="159">
        <f t="shared" si="130"/>
        <v>26.461499999999997</v>
      </c>
      <c r="X42" s="159">
        <f t="shared" si="130"/>
        <v>26.461500000000001</v>
      </c>
      <c r="Y42" s="159">
        <f t="shared" si="130"/>
        <v>26.461500000000004</v>
      </c>
      <c r="Z42" s="159">
        <f t="shared" si="130"/>
        <v>26.461500000000004</v>
      </c>
      <c r="AA42" s="159">
        <f t="shared" si="130"/>
        <v>26.461500000000004</v>
      </c>
      <c r="AB42" s="159">
        <f t="shared" si="130"/>
        <v>26.461500000000004</v>
      </c>
      <c r="AC42" s="138">
        <f t="shared" ref="AC42" si="131">((AB42/G42)^(1/($AB$3-$H$1) ))-1</f>
        <v>-9.4036459837096187E-2</v>
      </c>
      <c r="AD42" s="31">
        <f t="shared" si="17"/>
        <v>0.08</v>
      </c>
      <c r="AE42" s="146">
        <f t="shared" ref="AE42:AE43" si="132">(AB42*(1+AD42))/($C$1-AD42)</f>
        <v>204.13157142857148</v>
      </c>
    </row>
    <row r="43" spans="2:31" x14ac:dyDescent="0.2">
      <c r="B43" s="20" t="s">
        <v>307</v>
      </c>
      <c r="C43" s="133">
        <f t="shared" ref="C43:P43" si="133">C26/C38</f>
        <v>0</v>
      </c>
      <c r="D43" s="133">
        <f t="shared" si="133"/>
        <v>0</v>
      </c>
      <c r="E43" s="133">
        <f t="shared" si="133"/>
        <v>0</v>
      </c>
      <c r="F43" s="133">
        <f t="shared" si="133"/>
        <v>0</v>
      </c>
      <c r="G43" s="133">
        <f t="shared" si="133"/>
        <v>147.86885245901641</v>
      </c>
      <c r="H43" s="133">
        <f t="shared" si="133"/>
        <v>168.52459016393445</v>
      </c>
      <c r="I43" s="133">
        <f t="shared" si="133"/>
        <v>236.06557377049182</v>
      </c>
      <c r="J43" s="133">
        <f t="shared" si="133"/>
        <v>59.123610202746896</v>
      </c>
      <c r="K43" s="133">
        <f t="shared" si="133"/>
        <v>82.995421844342715</v>
      </c>
      <c r="L43" s="133">
        <f t="shared" si="133"/>
        <v>76.716808371484632</v>
      </c>
      <c r="M43" s="133">
        <f t="shared" si="133"/>
        <v>97.122302158273385</v>
      </c>
      <c r="N43" s="133">
        <f t="shared" si="133"/>
        <v>125.76847612818837</v>
      </c>
      <c r="O43" s="133">
        <f t="shared" si="133"/>
        <v>122.17135382603009</v>
      </c>
      <c r="P43" s="133">
        <f t="shared" si="133"/>
        <v>135.38260300850229</v>
      </c>
      <c r="Q43" s="118">
        <f>((P43/G43)^(1/($H$2-$H$1) ))-1</f>
        <v>-9.7544341363542397E-3</v>
      </c>
      <c r="R43" s="128"/>
      <c r="S43" s="159">
        <f t="shared" ref="S43:AB43" si="134">S26/S38</f>
        <v>23.805</v>
      </c>
      <c r="T43" s="159">
        <f t="shared" si="134"/>
        <v>23.805</v>
      </c>
      <c r="U43" s="159">
        <f t="shared" si="134"/>
        <v>23.805</v>
      </c>
      <c r="V43" s="159">
        <f t="shared" si="134"/>
        <v>23.805000000000003</v>
      </c>
      <c r="W43" s="159">
        <f t="shared" si="134"/>
        <v>23.805000000000003</v>
      </c>
      <c r="X43" s="159">
        <f t="shared" si="134"/>
        <v>23.805</v>
      </c>
      <c r="Y43" s="159">
        <f t="shared" si="134"/>
        <v>23.805000000000003</v>
      </c>
      <c r="Z43" s="159">
        <f t="shared" si="134"/>
        <v>23.805</v>
      </c>
      <c r="AA43" s="159">
        <f t="shared" si="134"/>
        <v>23.805</v>
      </c>
      <c r="AB43" s="159">
        <f t="shared" si="134"/>
        <v>23.804999999999996</v>
      </c>
      <c r="AC43" s="138">
        <f t="shared" ref="AC43" si="135">((AB43/G43)^(1/($AB$3-$H$1) ))-1</f>
        <v>-9.1652169346923551E-2</v>
      </c>
      <c r="AD43" s="31">
        <f t="shared" si="17"/>
        <v>0.08</v>
      </c>
      <c r="AE43" s="146">
        <f t="shared" si="132"/>
        <v>183.6385714285714</v>
      </c>
    </row>
    <row r="44" spans="2:31" x14ac:dyDescent="0.2">
      <c r="B44" s="20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28"/>
      <c r="R44" s="128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19"/>
      <c r="AD44" s="137"/>
      <c r="AE44" s="146"/>
    </row>
    <row r="45" spans="2:31" x14ac:dyDescent="0.2">
      <c r="B45" s="20" t="s">
        <v>258</v>
      </c>
      <c r="C45" s="25">
        <f t="shared" ref="C45:P45" si="136">C36/C38</f>
        <v>0</v>
      </c>
      <c r="D45" s="25">
        <f t="shared" si="136"/>
        <v>0</v>
      </c>
      <c r="E45" s="25">
        <f t="shared" si="136"/>
        <v>0</v>
      </c>
      <c r="F45" s="133">
        <f t="shared" si="136"/>
        <v>0</v>
      </c>
      <c r="G45" s="133">
        <f t="shared" si="136"/>
        <v>9.6721311475409841</v>
      </c>
      <c r="H45" s="133">
        <f t="shared" si="136"/>
        <v>10.163934426229508</v>
      </c>
      <c r="I45" s="133">
        <f t="shared" si="136"/>
        <v>14.754098360655739</v>
      </c>
      <c r="J45" s="133">
        <f t="shared" si="136"/>
        <v>4.5127534336167434</v>
      </c>
      <c r="K45" s="133">
        <f t="shared" si="136"/>
        <v>5.8207979071288429</v>
      </c>
      <c r="L45" s="133">
        <f t="shared" si="136"/>
        <v>-2.2890778286461742</v>
      </c>
      <c r="M45" s="133">
        <f t="shared" si="136"/>
        <v>3.7933289731850883</v>
      </c>
      <c r="N45" s="133">
        <f t="shared" si="136"/>
        <v>5.6899934597776332</v>
      </c>
      <c r="O45" s="133">
        <f t="shared" si="136"/>
        <v>6.4094179202092878</v>
      </c>
      <c r="P45" s="133">
        <f t="shared" si="136"/>
        <v>9.483322432962721</v>
      </c>
      <c r="Q45" s="118">
        <f>((P45/G45)^(1/($H$2-$H$1) ))-1</f>
        <v>-2.188041655664108E-3</v>
      </c>
      <c r="R45" s="128"/>
      <c r="S45" s="159">
        <f t="shared" ref="S45:AB45" si="137">S36/S38</f>
        <v>1.6675</v>
      </c>
      <c r="T45" s="159">
        <f t="shared" si="137"/>
        <v>1.6675000000000002</v>
      </c>
      <c r="U45" s="159">
        <f t="shared" si="137"/>
        <v>1.6675</v>
      </c>
      <c r="V45" s="159">
        <f t="shared" si="137"/>
        <v>1.6675000000000002</v>
      </c>
      <c r="W45" s="159">
        <f t="shared" si="137"/>
        <v>1.6675</v>
      </c>
      <c r="X45" s="159">
        <f t="shared" si="137"/>
        <v>1.6675</v>
      </c>
      <c r="Y45" s="159">
        <f t="shared" si="137"/>
        <v>1.6675</v>
      </c>
      <c r="Z45" s="159">
        <f t="shared" si="137"/>
        <v>1.6675</v>
      </c>
      <c r="AA45" s="159">
        <f t="shared" si="137"/>
        <v>1.6675</v>
      </c>
      <c r="AB45" s="159">
        <f t="shared" si="137"/>
        <v>1.6675</v>
      </c>
      <c r="AC45" s="138">
        <f t="shared" ref="AC45:AC58" si="138">((AB45/G45)^(1/($AB$3-$H$1) ))-1</f>
        <v>-8.8371093344645768E-2</v>
      </c>
      <c r="AD45" s="31">
        <f t="shared" si="17"/>
        <v>0.08</v>
      </c>
      <c r="AE45" s="146">
        <f t="shared" ref="AE45:AE72" si="139">(AB45*(1+AD45))/($C$1-AD45)</f>
        <v>12.863571428571429</v>
      </c>
    </row>
    <row r="46" spans="2:31" x14ac:dyDescent="0.2">
      <c r="B46" s="20" t="s">
        <v>245</v>
      </c>
      <c r="C46" s="25">
        <f t="shared" ref="C46:P46" si="140">C7/C38</f>
        <v>0</v>
      </c>
      <c r="D46" s="25">
        <f t="shared" si="140"/>
        <v>0</v>
      </c>
      <c r="E46" s="25">
        <f t="shared" si="140"/>
        <v>0</v>
      </c>
      <c r="F46" s="133">
        <f t="shared" si="140"/>
        <v>0</v>
      </c>
      <c r="G46" s="133">
        <f t="shared" si="140"/>
        <v>176.39344262295083</v>
      </c>
      <c r="H46" s="133">
        <f t="shared" si="140"/>
        <v>163.9344262295082</v>
      </c>
      <c r="I46" s="133">
        <f t="shared" si="140"/>
        <v>175.73770491803279</v>
      </c>
      <c r="J46" s="133">
        <f t="shared" si="140"/>
        <v>37.933289731850884</v>
      </c>
      <c r="K46" s="133">
        <f t="shared" si="140"/>
        <v>41.922825376062789</v>
      </c>
      <c r="L46" s="133">
        <f t="shared" si="140"/>
        <v>38.979725310660562</v>
      </c>
      <c r="M46" s="133">
        <f t="shared" si="140"/>
        <v>42.053629823413999</v>
      </c>
      <c r="N46" s="133">
        <f t="shared" si="140"/>
        <v>46.958796599084373</v>
      </c>
      <c r="O46" s="133">
        <f t="shared" si="140"/>
        <v>52.321778940483981</v>
      </c>
      <c r="P46" s="133">
        <f t="shared" si="140"/>
        <v>60.431654676258994</v>
      </c>
      <c r="Q46" s="118">
        <f>((P46/G46)^(1/($H$2-$H$1) ))-1</f>
        <v>-0.11221231454912528</v>
      </c>
      <c r="R46" s="128"/>
      <c r="S46" s="159">
        <f t="shared" ref="S46:AB46" si="141">S7/S38</f>
        <v>10.625999999999999</v>
      </c>
      <c r="T46" s="159">
        <f t="shared" si="141"/>
        <v>10.625999999999999</v>
      </c>
      <c r="U46" s="159">
        <f t="shared" si="141"/>
        <v>10.625999999999999</v>
      </c>
      <c r="V46" s="159">
        <f t="shared" si="141"/>
        <v>10.625999999999999</v>
      </c>
      <c r="W46" s="159">
        <f t="shared" si="141"/>
        <v>10.625999999999999</v>
      </c>
      <c r="X46" s="159">
        <f t="shared" si="141"/>
        <v>10.625999999999999</v>
      </c>
      <c r="Y46" s="159">
        <f t="shared" si="141"/>
        <v>10.626000000000001</v>
      </c>
      <c r="Z46" s="159">
        <f t="shared" si="141"/>
        <v>10.626000000000001</v>
      </c>
      <c r="AA46" s="159">
        <f t="shared" si="141"/>
        <v>10.626000000000001</v>
      </c>
      <c r="AB46" s="159">
        <f t="shared" si="141"/>
        <v>10.625999999999999</v>
      </c>
      <c r="AC46" s="138">
        <f t="shared" si="138"/>
        <v>-0.13745145668267167</v>
      </c>
      <c r="AD46" s="31">
        <f t="shared" si="17"/>
        <v>0.08</v>
      </c>
      <c r="AE46" s="146">
        <f t="shared" si="139"/>
        <v>81.971999999999994</v>
      </c>
    </row>
    <row r="47" spans="2:31" x14ac:dyDescent="0.2">
      <c r="B47" s="20" t="s">
        <v>246</v>
      </c>
      <c r="C47" s="127">
        <f t="shared" ref="C47:P47" si="142">C6/C38</f>
        <v>0</v>
      </c>
      <c r="D47" s="127">
        <f t="shared" si="142"/>
        <v>0</v>
      </c>
      <c r="E47" s="127">
        <f t="shared" si="142"/>
        <v>0</v>
      </c>
      <c r="F47" s="144">
        <f t="shared" si="142"/>
        <v>0</v>
      </c>
      <c r="G47" s="144">
        <f t="shared" si="142"/>
        <v>166.55737704918033</v>
      </c>
      <c r="H47" s="144">
        <f t="shared" si="142"/>
        <v>154.09836065573771</v>
      </c>
      <c r="I47" s="144">
        <f t="shared" si="142"/>
        <v>165.57377049180329</v>
      </c>
      <c r="J47" s="144">
        <f t="shared" si="142"/>
        <v>35.905820797907133</v>
      </c>
      <c r="K47" s="144">
        <f t="shared" si="142"/>
        <v>39.960758665794643</v>
      </c>
      <c r="L47" s="144">
        <f t="shared" si="142"/>
        <v>36.952256376716811</v>
      </c>
      <c r="M47" s="144">
        <f t="shared" si="142"/>
        <v>40.091563113145853</v>
      </c>
      <c r="N47" s="144">
        <f t="shared" si="142"/>
        <v>44.931327665140614</v>
      </c>
      <c r="O47" s="144">
        <f t="shared" si="142"/>
        <v>50.359712230215827</v>
      </c>
      <c r="P47" s="144">
        <f t="shared" si="142"/>
        <v>58.404185742315242</v>
      </c>
      <c r="Q47" s="118">
        <f>((P47/G47)^(1/($H$2-$H$1) ))-1</f>
        <v>-0.10991573770595253</v>
      </c>
      <c r="R47" s="128"/>
      <c r="S47" s="158">
        <f t="shared" ref="S47:AB47" si="143">S6/S38</f>
        <v>10.269499999999999</v>
      </c>
      <c r="T47" s="158">
        <f t="shared" si="143"/>
        <v>10.269499999999997</v>
      </c>
      <c r="U47" s="158">
        <f t="shared" si="143"/>
        <v>10.269499999999999</v>
      </c>
      <c r="V47" s="158">
        <f t="shared" si="143"/>
        <v>10.269499999999999</v>
      </c>
      <c r="W47" s="158">
        <f t="shared" si="143"/>
        <v>10.269499999999997</v>
      </c>
      <c r="X47" s="158">
        <f t="shared" si="143"/>
        <v>10.269499999999997</v>
      </c>
      <c r="Y47" s="158">
        <f t="shared" si="143"/>
        <v>10.269499999999997</v>
      </c>
      <c r="Z47" s="158">
        <f t="shared" si="143"/>
        <v>10.269499999999997</v>
      </c>
      <c r="AA47" s="158">
        <f t="shared" si="143"/>
        <v>10.269499999999997</v>
      </c>
      <c r="AB47" s="158">
        <f t="shared" si="143"/>
        <v>10.269499999999997</v>
      </c>
      <c r="AC47" s="138">
        <f t="shared" si="138"/>
        <v>-0.13639524987819407</v>
      </c>
      <c r="AD47" s="31">
        <f t="shared" si="17"/>
        <v>0.08</v>
      </c>
      <c r="AE47" s="146">
        <f t="shared" si="139"/>
        <v>79.221857142857118</v>
      </c>
    </row>
    <row r="48" spans="2:31" x14ac:dyDescent="0.2">
      <c r="B48" s="20" t="s">
        <v>247</v>
      </c>
      <c r="C48" s="127">
        <f t="shared" ref="C48:P48" si="144">C10/C38</f>
        <v>0</v>
      </c>
      <c r="D48" s="127">
        <f t="shared" si="144"/>
        <v>0</v>
      </c>
      <c r="E48" s="127">
        <f t="shared" si="144"/>
        <v>0</v>
      </c>
      <c r="F48" s="144">
        <f t="shared" si="144"/>
        <v>0</v>
      </c>
      <c r="G48" s="144">
        <f t="shared" si="144"/>
        <v>61.639344262295083</v>
      </c>
      <c r="H48" s="144">
        <f t="shared" si="144"/>
        <v>43.278688524590166</v>
      </c>
      <c r="I48" s="144">
        <f t="shared" si="144"/>
        <v>76.721311475409834</v>
      </c>
      <c r="J48" s="144">
        <f t="shared" si="144"/>
        <v>17.33158927403532</v>
      </c>
      <c r="K48" s="144">
        <f t="shared" si="144"/>
        <v>18.770438194898627</v>
      </c>
      <c r="L48" s="144">
        <f t="shared" si="144"/>
        <v>19.359058207979071</v>
      </c>
      <c r="M48" s="144">
        <f t="shared" si="144"/>
        <v>17.985611510791369</v>
      </c>
      <c r="N48" s="144">
        <f t="shared" si="144"/>
        <v>17.004578155657292</v>
      </c>
      <c r="O48" s="144">
        <f t="shared" si="144"/>
        <v>10.137344669718772</v>
      </c>
      <c r="P48" s="144">
        <f t="shared" si="144"/>
        <v>10.725964682799216</v>
      </c>
      <c r="Q48" s="118">
        <f>((P48/G48)^(1/($H$2-$H$1) ))-1</f>
        <v>-0.17658302291899108</v>
      </c>
      <c r="R48" s="128"/>
      <c r="S48" s="158">
        <f t="shared" ref="S48:AB48" si="145">S10/S38</f>
        <v>1.8859999999999999</v>
      </c>
      <c r="T48" s="158">
        <f t="shared" si="145"/>
        <v>1.8860000000000001</v>
      </c>
      <c r="U48" s="158">
        <f t="shared" si="145"/>
        <v>1.8860000000000001</v>
      </c>
      <c r="V48" s="158">
        <f t="shared" si="145"/>
        <v>1.8860000000000001</v>
      </c>
      <c r="W48" s="158">
        <f t="shared" si="145"/>
        <v>1.8860000000000001</v>
      </c>
      <c r="X48" s="158">
        <f t="shared" si="145"/>
        <v>1.8860000000000001</v>
      </c>
      <c r="Y48" s="158">
        <f t="shared" si="145"/>
        <v>1.8860000000000001</v>
      </c>
      <c r="Z48" s="158">
        <f t="shared" si="145"/>
        <v>1.8860000000000003</v>
      </c>
      <c r="AA48" s="158">
        <f t="shared" si="145"/>
        <v>1.8860000000000003</v>
      </c>
      <c r="AB48" s="158">
        <f t="shared" si="145"/>
        <v>1.8860000000000001</v>
      </c>
      <c r="AC48" s="138">
        <f t="shared" si="138"/>
        <v>-0.16766311469675499</v>
      </c>
      <c r="AD48" s="31">
        <f t="shared" si="17"/>
        <v>0.08</v>
      </c>
      <c r="AE48" s="146">
        <f t="shared" si="139"/>
        <v>14.54914285714286</v>
      </c>
    </row>
    <row r="49" spans="2:31" x14ac:dyDescent="0.2">
      <c r="B49" s="20"/>
      <c r="C49" s="127"/>
      <c r="D49" s="127"/>
      <c r="E49" s="127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28"/>
      <c r="R49" s="12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39"/>
      <c r="AD49" s="137"/>
      <c r="AE49" s="146"/>
    </row>
    <row r="50" spans="2:31" x14ac:dyDescent="0.2">
      <c r="B50" s="20" t="s">
        <v>271</v>
      </c>
      <c r="C50" s="127">
        <f t="shared" ref="C50:P50" si="146">(C7-C10)/C38</f>
        <v>0</v>
      </c>
      <c r="D50" s="127">
        <f t="shared" si="146"/>
        <v>0</v>
      </c>
      <c r="E50" s="127">
        <f t="shared" si="146"/>
        <v>0</v>
      </c>
      <c r="F50" s="144">
        <f t="shared" si="146"/>
        <v>0</v>
      </c>
      <c r="G50" s="144">
        <f t="shared" si="146"/>
        <v>114.75409836065575</v>
      </c>
      <c r="H50" s="144">
        <f t="shared" si="146"/>
        <v>120.65573770491804</v>
      </c>
      <c r="I50" s="144">
        <f t="shared" si="146"/>
        <v>99.016393442622956</v>
      </c>
      <c r="J50" s="144">
        <f t="shared" si="146"/>
        <v>20.601700457815568</v>
      </c>
      <c r="K50" s="144">
        <f t="shared" si="146"/>
        <v>23.152387181164162</v>
      </c>
      <c r="L50" s="144">
        <f t="shared" si="146"/>
        <v>19.620667102681491</v>
      </c>
      <c r="M50" s="144">
        <f t="shared" si="146"/>
        <v>24.06801831262263</v>
      </c>
      <c r="N50" s="144">
        <f t="shared" si="146"/>
        <v>29.954218443427077</v>
      </c>
      <c r="O50" s="144">
        <f t="shared" si="146"/>
        <v>42.184434270765209</v>
      </c>
      <c r="P50" s="144">
        <f t="shared" si="146"/>
        <v>49.705689993459778</v>
      </c>
      <c r="Q50" s="118">
        <f>((P50/G50)^(1/($H$2-$H$1) ))-1</f>
        <v>-8.8773306398069463E-2</v>
      </c>
      <c r="R50" s="128"/>
      <c r="S50" s="158">
        <f t="shared" ref="S50:AB50" si="147">(S7-S10)/S38</f>
        <v>8.7399999999999984</v>
      </c>
      <c r="T50" s="158">
        <f t="shared" si="147"/>
        <v>8.7399999999999984</v>
      </c>
      <c r="U50" s="158">
        <f t="shared" si="147"/>
        <v>8.74</v>
      </c>
      <c r="V50" s="158">
        <f t="shared" si="147"/>
        <v>8.7399999999999984</v>
      </c>
      <c r="W50" s="158">
        <f t="shared" si="147"/>
        <v>8.7399999999999984</v>
      </c>
      <c r="X50" s="158">
        <f t="shared" si="147"/>
        <v>8.74</v>
      </c>
      <c r="Y50" s="158">
        <f t="shared" si="147"/>
        <v>8.74</v>
      </c>
      <c r="Z50" s="158">
        <f t="shared" si="147"/>
        <v>8.74</v>
      </c>
      <c r="AA50" s="158">
        <f t="shared" si="147"/>
        <v>8.74</v>
      </c>
      <c r="AB50" s="158">
        <f t="shared" si="147"/>
        <v>8.74</v>
      </c>
      <c r="AC50" s="138">
        <f t="shared" si="138"/>
        <v>-0.12673836563977181</v>
      </c>
      <c r="AD50" s="31">
        <f t="shared" si="17"/>
        <v>0.08</v>
      </c>
      <c r="AE50" s="146">
        <f t="shared" si="139"/>
        <v>67.42285714285714</v>
      </c>
    </row>
    <row r="51" spans="2:31" x14ac:dyDescent="0.2">
      <c r="B51" s="20" t="s">
        <v>272</v>
      </c>
      <c r="C51" s="127">
        <f t="shared" ref="C51:P51" si="148">(C7-C10-C9)/C38</f>
        <v>0</v>
      </c>
      <c r="D51" s="127">
        <f t="shared" si="148"/>
        <v>0</v>
      </c>
      <c r="E51" s="127">
        <f t="shared" si="148"/>
        <v>0</v>
      </c>
      <c r="F51" s="144">
        <f t="shared" si="148"/>
        <v>0</v>
      </c>
      <c r="G51" s="144">
        <f t="shared" si="148"/>
        <v>73.770491803278688</v>
      </c>
      <c r="H51" s="144">
        <f t="shared" si="148"/>
        <v>97.049180327868854</v>
      </c>
      <c r="I51" s="144">
        <f t="shared" si="148"/>
        <v>58.688524590163937</v>
      </c>
      <c r="J51" s="144">
        <f t="shared" si="148"/>
        <v>12.164813603662525</v>
      </c>
      <c r="K51" s="144">
        <f t="shared" si="148"/>
        <v>10.725964682799216</v>
      </c>
      <c r="L51" s="144">
        <f t="shared" si="148"/>
        <v>6.867233485938522</v>
      </c>
      <c r="M51" s="144">
        <f t="shared" si="148"/>
        <v>10.333551340745586</v>
      </c>
      <c r="N51" s="144">
        <f t="shared" si="148"/>
        <v>15.50032701111838</v>
      </c>
      <c r="O51" s="144">
        <f t="shared" si="148"/>
        <v>26.16088947024199</v>
      </c>
      <c r="P51" s="144">
        <f t="shared" si="148"/>
        <v>34.205362982341398</v>
      </c>
      <c r="Q51" s="118">
        <f>((P51/G51)^(1/($H$2-$H$1) ))-1</f>
        <v>-8.1852636138365797E-2</v>
      </c>
      <c r="R51" s="128"/>
      <c r="S51" s="158">
        <f t="shared" ref="S51:AB51" si="149">(S7-S10-S9)/S38</f>
        <v>6.0144999999999991</v>
      </c>
      <c r="T51" s="158">
        <f t="shared" si="149"/>
        <v>6.0144999999999991</v>
      </c>
      <c r="U51" s="158">
        <f t="shared" si="149"/>
        <v>6.0145</v>
      </c>
      <c r="V51" s="158">
        <f t="shared" si="149"/>
        <v>6.0144999999999991</v>
      </c>
      <c r="W51" s="158">
        <f t="shared" si="149"/>
        <v>6.0144999999999982</v>
      </c>
      <c r="X51" s="158">
        <f t="shared" si="149"/>
        <v>6.0145</v>
      </c>
      <c r="Y51" s="158">
        <f t="shared" si="149"/>
        <v>6.0145000000000008</v>
      </c>
      <c r="Z51" s="158">
        <f t="shared" si="149"/>
        <v>6.0145</v>
      </c>
      <c r="AA51" s="158">
        <f t="shared" si="149"/>
        <v>6.0145</v>
      </c>
      <c r="AB51" s="158">
        <f t="shared" si="149"/>
        <v>6.0145</v>
      </c>
      <c r="AC51" s="138">
        <f t="shared" si="138"/>
        <v>-0.1236029906950179</v>
      </c>
      <c r="AD51" s="31">
        <f t="shared" si="17"/>
        <v>0.08</v>
      </c>
      <c r="AE51" s="146">
        <f t="shared" si="139"/>
        <v>46.397571428571425</v>
      </c>
    </row>
    <row r="52" spans="2:31" x14ac:dyDescent="0.2">
      <c r="B52" s="20" t="s">
        <v>277</v>
      </c>
      <c r="C52" s="127">
        <f t="shared" ref="C52:P52" si="150">(C7+C14-C10-C9)/C38</f>
        <v>0</v>
      </c>
      <c r="D52" s="127">
        <f t="shared" si="150"/>
        <v>0</v>
      </c>
      <c r="E52" s="127">
        <f t="shared" si="150"/>
        <v>0</v>
      </c>
      <c r="F52" s="144">
        <f t="shared" si="150"/>
        <v>0</v>
      </c>
      <c r="G52" s="144">
        <f t="shared" si="150"/>
        <v>126.55737704918033</v>
      </c>
      <c r="H52" s="144">
        <f t="shared" si="150"/>
        <v>153.11475409836066</v>
      </c>
      <c r="I52" s="144">
        <f t="shared" si="150"/>
        <v>171.47540983606558</v>
      </c>
      <c r="J52" s="144">
        <f t="shared" si="150"/>
        <v>33.878351863963374</v>
      </c>
      <c r="K52" s="144">
        <f t="shared" si="150"/>
        <v>34.597776324395028</v>
      </c>
      <c r="L52" s="144">
        <f t="shared" si="150"/>
        <v>21.844342707652061</v>
      </c>
      <c r="M52" s="144">
        <f t="shared" si="150"/>
        <v>31.131458469587969</v>
      </c>
      <c r="N52" s="144">
        <f t="shared" si="150"/>
        <v>43.688685415304121</v>
      </c>
      <c r="O52" s="144">
        <f t="shared" si="150"/>
        <v>54.153041203400917</v>
      </c>
      <c r="P52" s="144">
        <f t="shared" si="150"/>
        <v>68.149117069980377</v>
      </c>
      <c r="Q52" s="118">
        <f>((P52/G52)^(1/($H$2-$H$1) ))-1</f>
        <v>-6.6465639563274226E-2</v>
      </c>
      <c r="R52" s="128"/>
      <c r="S52" s="158">
        <f t="shared" ref="S52:AB52" si="151">(S7+S14-S10-S9)/S38</f>
        <v>11.982999999999999</v>
      </c>
      <c r="T52" s="158">
        <f t="shared" si="151"/>
        <v>11.982999999999999</v>
      </c>
      <c r="U52" s="158">
        <f t="shared" si="151"/>
        <v>11.983000000000001</v>
      </c>
      <c r="V52" s="158">
        <f t="shared" si="151"/>
        <v>11.982999999999999</v>
      </c>
      <c r="W52" s="158">
        <f t="shared" si="151"/>
        <v>11.982999999999995</v>
      </c>
      <c r="X52" s="158">
        <f t="shared" si="151"/>
        <v>11.983000000000001</v>
      </c>
      <c r="Y52" s="158">
        <f t="shared" si="151"/>
        <v>11.982999999999999</v>
      </c>
      <c r="Z52" s="158">
        <f t="shared" si="151"/>
        <v>11.983000000000001</v>
      </c>
      <c r="AA52" s="158">
        <f t="shared" si="151"/>
        <v>11.983000000000001</v>
      </c>
      <c r="AB52" s="158">
        <f t="shared" si="151"/>
        <v>11.982999999999999</v>
      </c>
      <c r="AC52" s="138">
        <f t="shared" si="138"/>
        <v>-0.11667626591014291</v>
      </c>
      <c r="AD52" s="31">
        <f t="shared" si="17"/>
        <v>0.08</v>
      </c>
      <c r="AE52" s="146">
        <f t="shared" si="139"/>
        <v>92.440285714285707</v>
      </c>
    </row>
    <row r="53" spans="2:31" x14ac:dyDescent="0.2">
      <c r="B53" s="20"/>
      <c r="C53" s="127"/>
      <c r="D53" s="127"/>
      <c r="E53" s="127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28"/>
      <c r="R53" s="128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39"/>
      <c r="AD53" s="137"/>
      <c r="AE53" s="155"/>
    </row>
    <row r="54" spans="2:31" x14ac:dyDescent="0.2">
      <c r="B54" s="20" t="s">
        <v>248</v>
      </c>
      <c r="C54" s="127">
        <f t="shared" ref="C54:P54" si="152">C12/C38</f>
        <v>0</v>
      </c>
      <c r="D54" s="127">
        <f t="shared" si="152"/>
        <v>0</v>
      </c>
      <c r="E54" s="127">
        <f t="shared" si="152"/>
        <v>0</v>
      </c>
      <c r="F54" s="144">
        <f t="shared" si="152"/>
        <v>0</v>
      </c>
      <c r="G54" s="144">
        <f t="shared" si="152"/>
        <v>2.2950819672131151</v>
      </c>
      <c r="H54" s="144">
        <f t="shared" si="152"/>
        <v>2.2950819672131151</v>
      </c>
      <c r="I54" s="144">
        <f t="shared" si="152"/>
        <v>19.344262295081968</v>
      </c>
      <c r="J54" s="144">
        <f t="shared" si="152"/>
        <v>3.9895356442119034</v>
      </c>
      <c r="K54" s="144">
        <f t="shared" si="152"/>
        <v>1.3996075866579463</v>
      </c>
      <c r="L54" s="144">
        <f t="shared" si="152"/>
        <v>1.8312622629169393</v>
      </c>
      <c r="M54" s="144">
        <f t="shared" si="152"/>
        <v>1.7658600392413344</v>
      </c>
      <c r="N54" s="144">
        <f t="shared" si="152"/>
        <v>1.4388489208633095</v>
      </c>
      <c r="O54" s="144">
        <f t="shared" si="152"/>
        <v>3.1393067364290386</v>
      </c>
      <c r="P54" s="144">
        <f t="shared" si="152"/>
        <v>2.616088947024199</v>
      </c>
      <c r="Q54" s="118">
        <f>((P54/G54)^(1/($H$2-$H$1) ))-1</f>
        <v>1.465206839650568E-2</v>
      </c>
      <c r="R54" s="128"/>
      <c r="S54" s="158">
        <f t="shared" ref="S54:AB54" si="153">S12/S38</f>
        <v>0.46</v>
      </c>
      <c r="T54" s="158">
        <f t="shared" si="153"/>
        <v>0.46</v>
      </c>
      <c r="U54" s="158">
        <f t="shared" si="153"/>
        <v>0.46000000000000008</v>
      </c>
      <c r="V54" s="158">
        <f t="shared" si="153"/>
        <v>0.46000000000000008</v>
      </c>
      <c r="W54" s="158">
        <f t="shared" si="153"/>
        <v>0.46000000000000008</v>
      </c>
      <c r="X54" s="158">
        <f t="shared" si="153"/>
        <v>0.46000000000000008</v>
      </c>
      <c r="Y54" s="158">
        <f t="shared" si="153"/>
        <v>0.46000000000000008</v>
      </c>
      <c r="Z54" s="158">
        <f t="shared" si="153"/>
        <v>0.46000000000000008</v>
      </c>
      <c r="AA54" s="158">
        <f t="shared" si="153"/>
        <v>0.46000000000000013</v>
      </c>
      <c r="AB54" s="158">
        <f t="shared" si="153"/>
        <v>0.46000000000000008</v>
      </c>
      <c r="AC54" s="138">
        <f t="shared" si="138"/>
        <v>-8.111527271189789E-2</v>
      </c>
      <c r="AD54" s="31">
        <f t="shared" si="17"/>
        <v>0.08</v>
      </c>
      <c r="AE54" s="146">
        <f t="shared" si="139"/>
        <v>3.5485714285714294</v>
      </c>
    </row>
    <row r="55" spans="2:31" x14ac:dyDescent="0.2">
      <c r="B55" s="20" t="s">
        <v>255</v>
      </c>
      <c r="C55" s="127">
        <f t="shared" ref="C55:P55" si="154">C13/C38</f>
        <v>0</v>
      </c>
      <c r="D55" s="127">
        <f t="shared" si="154"/>
        <v>0</v>
      </c>
      <c r="E55" s="127">
        <f t="shared" si="154"/>
        <v>0</v>
      </c>
      <c r="F55" s="144">
        <f t="shared" si="154"/>
        <v>0</v>
      </c>
      <c r="G55" s="144">
        <f t="shared" si="154"/>
        <v>100.65573770491804</v>
      </c>
      <c r="H55" s="144">
        <f t="shared" si="154"/>
        <v>81.639344262295083</v>
      </c>
      <c r="I55" s="144">
        <f t="shared" si="154"/>
        <v>89.180327868852459</v>
      </c>
      <c r="J55" s="144">
        <f t="shared" si="154"/>
        <v>18.508829300196208</v>
      </c>
      <c r="K55" s="144">
        <f t="shared" si="154"/>
        <v>20.732504905166778</v>
      </c>
      <c r="L55" s="144">
        <f t="shared" si="154"/>
        <v>20.536298234139963</v>
      </c>
      <c r="M55" s="144">
        <f t="shared" si="154"/>
        <v>18.312622629169393</v>
      </c>
      <c r="N55" s="144">
        <f t="shared" si="154"/>
        <v>16.023544800523219</v>
      </c>
      <c r="O55" s="144">
        <f t="shared" si="154"/>
        <v>15.50032701111838</v>
      </c>
      <c r="P55" s="144">
        <f t="shared" si="154"/>
        <v>21.190320470896012</v>
      </c>
      <c r="Q55" s="118">
        <f>((P55/G55)^(1/($H$2-$H$1) ))-1</f>
        <v>-0.15897094668910938</v>
      </c>
      <c r="R55" s="128"/>
      <c r="S55" s="158">
        <f t="shared" ref="S55:AB55" si="155">S13/S38</f>
        <v>3.7259999999999995</v>
      </c>
      <c r="T55" s="158">
        <f t="shared" si="155"/>
        <v>3.726</v>
      </c>
      <c r="U55" s="158">
        <f t="shared" si="155"/>
        <v>3.726</v>
      </c>
      <c r="V55" s="158">
        <f t="shared" si="155"/>
        <v>3.726</v>
      </c>
      <c r="W55" s="158">
        <f t="shared" si="155"/>
        <v>3.726</v>
      </c>
      <c r="X55" s="158">
        <f t="shared" si="155"/>
        <v>3.726</v>
      </c>
      <c r="Y55" s="158">
        <f t="shared" si="155"/>
        <v>3.7260000000000004</v>
      </c>
      <c r="Z55" s="158">
        <f t="shared" si="155"/>
        <v>3.7260000000000004</v>
      </c>
      <c r="AA55" s="158">
        <f t="shared" si="155"/>
        <v>3.7260000000000004</v>
      </c>
      <c r="AB55" s="158">
        <f t="shared" si="155"/>
        <v>3.726</v>
      </c>
      <c r="AC55" s="138">
        <f t="shared" si="138"/>
        <v>-0.15927713569382262</v>
      </c>
      <c r="AD55" s="31">
        <f t="shared" si="17"/>
        <v>0.08</v>
      </c>
      <c r="AE55" s="146">
        <f t="shared" si="139"/>
        <v>28.743428571428574</v>
      </c>
    </row>
    <row r="56" spans="2:31" x14ac:dyDescent="0.2">
      <c r="B56" s="20" t="s">
        <v>256</v>
      </c>
      <c r="C56" s="127">
        <f>(C54+C55)</f>
        <v>0</v>
      </c>
      <c r="D56" s="127">
        <f t="shared" ref="D56:P56" si="156">(D54+D55)</f>
        <v>0</v>
      </c>
      <c r="E56" s="127">
        <f t="shared" si="156"/>
        <v>0</v>
      </c>
      <c r="F56" s="144">
        <f t="shared" si="156"/>
        <v>0</v>
      </c>
      <c r="G56" s="144">
        <f t="shared" si="156"/>
        <v>102.95081967213116</v>
      </c>
      <c r="H56" s="144">
        <f t="shared" si="156"/>
        <v>83.934426229508205</v>
      </c>
      <c r="I56" s="144">
        <f t="shared" si="156"/>
        <v>108.52459016393442</v>
      </c>
      <c r="J56" s="144">
        <f t="shared" si="156"/>
        <v>22.49836494440811</v>
      </c>
      <c r="K56" s="144">
        <f t="shared" si="156"/>
        <v>22.132112491824724</v>
      </c>
      <c r="L56" s="144">
        <f t="shared" si="156"/>
        <v>22.367560497056903</v>
      </c>
      <c r="M56" s="144">
        <f t="shared" si="156"/>
        <v>20.078482668410729</v>
      </c>
      <c r="N56" s="144">
        <f t="shared" si="156"/>
        <v>17.46239372138653</v>
      </c>
      <c r="O56" s="144">
        <f t="shared" ref="O56" si="157">(O54+O55)</f>
        <v>18.639633747547418</v>
      </c>
      <c r="P56" s="144">
        <f t="shared" si="156"/>
        <v>23.806409417920211</v>
      </c>
      <c r="Q56" s="118">
        <f>((P56/G56)^(1/($H$2-$H$1) ))-1</f>
        <v>-0.15015356999178486</v>
      </c>
      <c r="R56" s="128"/>
      <c r="S56" s="158">
        <f t="shared" ref="S56:AB56" si="158">(S54+S55)</f>
        <v>4.1859999999999999</v>
      </c>
      <c r="T56" s="158">
        <f t="shared" si="158"/>
        <v>4.1859999999999999</v>
      </c>
      <c r="U56" s="158">
        <f t="shared" si="158"/>
        <v>4.1859999999999999</v>
      </c>
      <c r="V56" s="158">
        <f t="shared" si="158"/>
        <v>4.1859999999999999</v>
      </c>
      <c r="W56" s="158">
        <f t="shared" si="158"/>
        <v>4.1859999999999999</v>
      </c>
      <c r="X56" s="158">
        <f t="shared" si="158"/>
        <v>4.1859999999999999</v>
      </c>
      <c r="Y56" s="158">
        <f t="shared" si="158"/>
        <v>4.1860000000000008</v>
      </c>
      <c r="Z56" s="158">
        <f t="shared" si="158"/>
        <v>4.1860000000000008</v>
      </c>
      <c r="AA56" s="158">
        <f t="shared" si="158"/>
        <v>4.1860000000000008</v>
      </c>
      <c r="AB56" s="158">
        <f t="shared" si="158"/>
        <v>4.1859999999999999</v>
      </c>
      <c r="AC56" s="138">
        <f t="shared" si="138"/>
        <v>-0.15511346211231236</v>
      </c>
      <c r="AD56" s="31">
        <f t="shared" si="17"/>
        <v>0.08</v>
      </c>
      <c r="AE56" s="146">
        <f t="shared" si="139"/>
        <v>32.291999999999994</v>
      </c>
    </row>
    <row r="57" spans="2:31" x14ac:dyDescent="0.2">
      <c r="B57" s="20" t="s">
        <v>249</v>
      </c>
      <c r="C57" s="127">
        <f t="shared" ref="C57:P57" si="159">C14/C38</f>
        <v>0</v>
      </c>
      <c r="D57" s="127">
        <f t="shared" si="159"/>
        <v>0</v>
      </c>
      <c r="E57" s="127">
        <f t="shared" si="159"/>
        <v>0</v>
      </c>
      <c r="F57" s="144">
        <f t="shared" si="159"/>
        <v>0</v>
      </c>
      <c r="G57" s="144">
        <f t="shared" si="159"/>
        <v>52.786885245901644</v>
      </c>
      <c r="H57" s="144">
        <f t="shared" si="159"/>
        <v>56.06557377049181</v>
      </c>
      <c r="I57" s="144">
        <f t="shared" si="159"/>
        <v>112.78688524590164</v>
      </c>
      <c r="J57" s="144">
        <f t="shared" si="159"/>
        <v>21.713538260300851</v>
      </c>
      <c r="K57" s="144">
        <f t="shared" si="159"/>
        <v>23.871811641595816</v>
      </c>
      <c r="L57" s="144">
        <f t="shared" si="159"/>
        <v>14.977109221713539</v>
      </c>
      <c r="M57" s="144">
        <f t="shared" si="159"/>
        <v>20.797907128842382</v>
      </c>
      <c r="N57" s="144">
        <f t="shared" si="159"/>
        <v>28.188358404185745</v>
      </c>
      <c r="O57" s="144">
        <f t="shared" si="159"/>
        <v>27.992151733158931</v>
      </c>
      <c r="P57" s="144">
        <f t="shared" si="159"/>
        <v>33.943754087638979</v>
      </c>
      <c r="Q57" s="118">
        <f>((P57/G57)^(1/($H$2-$H$1) ))-1</f>
        <v>-4.7877894300887069E-2</v>
      </c>
      <c r="R57" s="128"/>
      <c r="S57" s="158">
        <f t="shared" ref="S57:AB57" si="160">S14/S38</f>
        <v>5.9684999999999988</v>
      </c>
      <c r="T57" s="158">
        <f t="shared" si="160"/>
        <v>5.9684999999999988</v>
      </c>
      <c r="U57" s="158">
        <f t="shared" si="160"/>
        <v>5.9684999999999997</v>
      </c>
      <c r="V57" s="158">
        <f t="shared" si="160"/>
        <v>5.9684999999999997</v>
      </c>
      <c r="W57" s="158">
        <f t="shared" si="160"/>
        <v>5.9684999999999997</v>
      </c>
      <c r="X57" s="158">
        <f t="shared" si="160"/>
        <v>5.9685000000000006</v>
      </c>
      <c r="Y57" s="158">
        <f t="shared" si="160"/>
        <v>5.9685000000000006</v>
      </c>
      <c r="Z57" s="158">
        <f t="shared" si="160"/>
        <v>5.9685000000000006</v>
      </c>
      <c r="AA57" s="158">
        <f t="shared" si="160"/>
        <v>5.9685000000000006</v>
      </c>
      <c r="AB57" s="158">
        <f t="shared" si="160"/>
        <v>5.9684999999999997</v>
      </c>
      <c r="AC57" s="138">
        <f t="shared" si="138"/>
        <v>-0.1083883276066796</v>
      </c>
      <c r="AD57" s="31">
        <f t="shared" si="17"/>
        <v>0.08</v>
      </c>
      <c r="AE57" s="146">
        <f t="shared" si="139"/>
        <v>46.042714285714283</v>
      </c>
    </row>
    <row r="58" spans="2:31" x14ac:dyDescent="0.2">
      <c r="B58" s="20" t="s">
        <v>250</v>
      </c>
      <c r="C58" s="127">
        <f t="shared" ref="C58:P58" si="161">C15/C38</f>
        <v>0</v>
      </c>
      <c r="D58" s="127">
        <f t="shared" si="161"/>
        <v>0</v>
      </c>
      <c r="E58" s="127">
        <f t="shared" si="161"/>
        <v>0</v>
      </c>
      <c r="F58" s="144">
        <f t="shared" si="161"/>
        <v>0</v>
      </c>
      <c r="G58" s="144">
        <f t="shared" si="161"/>
        <v>39.016393442622956</v>
      </c>
      <c r="H58" s="144">
        <f t="shared" si="161"/>
        <v>56.393442622950822</v>
      </c>
      <c r="I58" s="144">
        <f t="shared" si="161"/>
        <v>88.196721311475414</v>
      </c>
      <c r="J58" s="144">
        <f t="shared" si="161"/>
        <v>16.612164813603663</v>
      </c>
      <c r="K58" s="144">
        <f t="shared" si="161"/>
        <v>15.304120340091563</v>
      </c>
      <c r="L58" s="144">
        <f t="shared" si="161"/>
        <v>8.0444735120994117</v>
      </c>
      <c r="M58" s="144">
        <f t="shared" si="161"/>
        <v>12.426422498364945</v>
      </c>
      <c r="N58" s="144">
        <f t="shared" si="161"/>
        <v>19.489862655330281</v>
      </c>
      <c r="O58" s="144">
        <f t="shared" si="161"/>
        <v>17.985611510791369</v>
      </c>
      <c r="P58" s="144">
        <f t="shared" si="161"/>
        <v>20.667102681491173</v>
      </c>
      <c r="Q58" s="118">
        <f>((P58/G58)^(1/($H$2-$H$1) ))-1</f>
        <v>-6.8169456384538751E-2</v>
      </c>
      <c r="R58" s="128"/>
      <c r="S58" s="158">
        <f t="shared" ref="S58:AB58" si="162">S15/S38</f>
        <v>3.6339999999999999</v>
      </c>
      <c r="T58" s="158">
        <f t="shared" si="162"/>
        <v>3.6340000000000003</v>
      </c>
      <c r="U58" s="158">
        <f t="shared" si="162"/>
        <v>3.6340000000000003</v>
      </c>
      <c r="V58" s="158">
        <f t="shared" si="162"/>
        <v>3.6340000000000003</v>
      </c>
      <c r="W58" s="158">
        <f t="shared" si="162"/>
        <v>3.6340000000000003</v>
      </c>
      <c r="X58" s="158">
        <f t="shared" si="162"/>
        <v>3.6340000000000003</v>
      </c>
      <c r="Y58" s="158">
        <f t="shared" si="162"/>
        <v>3.6340000000000003</v>
      </c>
      <c r="Z58" s="158">
        <f t="shared" si="162"/>
        <v>3.6339999999999999</v>
      </c>
      <c r="AA58" s="158">
        <f t="shared" si="162"/>
        <v>3.6339999999999999</v>
      </c>
      <c r="AB58" s="158">
        <f t="shared" si="162"/>
        <v>3.6339999999999995</v>
      </c>
      <c r="AC58" s="138">
        <f t="shared" si="138"/>
        <v>-0.11744029542485146</v>
      </c>
      <c r="AD58" s="137"/>
      <c r="AE58" s="146">
        <f t="shared" si="139"/>
        <v>16.518181818181816</v>
      </c>
    </row>
    <row r="59" spans="2:31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28"/>
      <c r="R59" s="128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39"/>
      <c r="AD59" s="31">
        <f t="shared" si="17"/>
        <v>0.08</v>
      </c>
      <c r="AE59" s="146">
        <f t="shared" si="139"/>
        <v>0</v>
      </c>
    </row>
    <row r="60" spans="2:31" x14ac:dyDescent="0.2">
      <c r="B60" s="20" t="s">
        <v>283</v>
      </c>
      <c r="C60" s="160">
        <f>C39</f>
        <v>1</v>
      </c>
      <c r="D60" s="160">
        <f t="shared" ref="D60:P60" si="163">D39</f>
        <v>1</v>
      </c>
      <c r="E60" s="160">
        <f t="shared" si="163"/>
        <v>1</v>
      </c>
      <c r="F60" s="160">
        <f t="shared" si="163"/>
        <v>4</v>
      </c>
      <c r="G60" s="160">
        <f t="shared" si="163"/>
        <v>4</v>
      </c>
      <c r="H60" s="160">
        <f t="shared" si="163"/>
        <v>4.5</v>
      </c>
      <c r="I60" s="160">
        <f t="shared" si="163"/>
        <v>6</v>
      </c>
      <c r="J60" s="160">
        <f t="shared" si="163"/>
        <v>1.4</v>
      </c>
      <c r="K60" s="160">
        <f t="shared" si="163"/>
        <v>1.5</v>
      </c>
      <c r="L60" s="160">
        <f t="shared" si="163"/>
        <v>0.2</v>
      </c>
      <c r="M60" s="160">
        <f t="shared" si="163"/>
        <v>0.6</v>
      </c>
      <c r="N60" s="160">
        <f t="shared" si="163"/>
        <v>0.7</v>
      </c>
      <c r="O60" s="160">
        <f t="shared" si="163"/>
        <v>0.8</v>
      </c>
      <c r="P60" s="160">
        <f t="shared" si="163"/>
        <v>1.2</v>
      </c>
      <c r="Q60" s="118">
        <f>((P60/G60)^(1/($H$2-$H$1) ))-1</f>
        <v>-0.12521291707606708</v>
      </c>
      <c r="R60" s="128"/>
      <c r="S60" s="161">
        <f t="shared" ref="S60:AB60" si="164">S39</f>
        <v>1.26</v>
      </c>
      <c r="T60" s="161">
        <f t="shared" si="164"/>
        <v>1.3230000000000002</v>
      </c>
      <c r="U60" s="161">
        <f t="shared" si="164"/>
        <v>1.3891500000000003</v>
      </c>
      <c r="V60" s="161">
        <f t="shared" si="164"/>
        <v>1.4586075000000005</v>
      </c>
      <c r="W60" s="161">
        <f t="shared" si="164"/>
        <v>1.5315378750000006</v>
      </c>
      <c r="X60" s="161">
        <f t="shared" si="164"/>
        <v>1.6081147687500008</v>
      </c>
      <c r="Y60" s="161">
        <f t="shared" si="164"/>
        <v>1.6885205071875009</v>
      </c>
      <c r="Z60" s="161">
        <f t="shared" si="164"/>
        <v>1.7729465325468761</v>
      </c>
      <c r="AA60" s="161">
        <f t="shared" si="164"/>
        <v>1.86159385917422</v>
      </c>
      <c r="AB60" s="161">
        <f t="shared" si="164"/>
        <v>1.954673552132931</v>
      </c>
      <c r="AC60" s="138">
        <f t="shared" ref="AC60" si="165">((AB60/G60)^(1/($AB$3-$H$1) ))-1</f>
        <v>-3.6986603367259674E-2</v>
      </c>
      <c r="AD60" s="31">
        <f t="shared" si="17"/>
        <v>0.08</v>
      </c>
      <c r="AE60" s="146">
        <f t="shared" si="139"/>
        <v>15.078910259311183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39"/>
      <c r="AD61" s="137"/>
      <c r="AE61" s="155"/>
    </row>
    <row r="62" spans="2:31" x14ac:dyDescent="0.2">
      <c r="B62" s="20" t="s">
        <v>321</v>
      </c>
      <c r="C62" s="127">
        <f t="shared" ref="C62:P62" si="166">C19+C20</f>
        <v>0</v>
      </c>
      <c r="D62" s="127">
        <f t="shared" si="166"/>
        <v>0</v>
      </c>
      <c r="E62" s="127">
        <f t="shared" si="166"/>
        <v>0</v>
      </c>
      <c r="F62" s="144">
        <f t="shared" si="166"/>
        <v>0</v>
      </c>
      <c r="G62" s="144">
        <f t="shared" si="166"/>
        <v>0</v>
      </c>
      <c r="H62" s="144">
        <f t="shared" si="166"/>
        <v>0</v>
      </c>
      <c r="I62" s="144">
        <f t="shared" si="166"/>
        <v>0</v>
      </c>
      <c r="J62" s="144">
        <f t="shared" si="166"/>
        <v>0</v>
      </c>
      <c r="K62" s="144">
        <f t="shared" si="166"/>
        <v>0</v>
      </c>
      <c r="L62" s="144">
        <f t="shared" si="166"/>
        <v>0</v>
      </c>
      <c r="M62" s="144">
        <f t="shared" si="166"/>
        <v>0</v>
      </c>
      <c r="N62" s="144">
        <f t="shared" si="166"/>
        <v>0</v>
      </c>
      <c r="O62" s="144">
        <f t="shared" si="166"/>
        <v>0</v>
      </c>
      <c r="P62" s="144">
        <f t="shared" si="166"/>
        <v>0</v>
      </c>
      <c r="Q62" s="118" t="e">
        <f>((P62/G62)^(1/($H$2-$H$1) ))-1</f>
        <v>#DIV/0!</v>
      </c>
      <c r="R62" s="128"/>
      <c r="S62" s="144">
        <f t="shared" ref="S62:AB62" si="167">S19+S20</f>
        <v>0</v>
      </c>
      <c r="T62" s="144">
        <f t="shared" si="167"/>
        <v>0</v>
      </c>
      <c r="U62" s="144">
        <f t="shared" si="167"/>
        <v>0</v>
      </c>
      <c r="V62" s="144">
        <f t="shared" si="167"/>
        <v>0</v>
      </c>
      <c r="W62" s="144">
        <f t="shared" si="167"/>
        <v>0</v>
      </c>
      <c r="X62" s="144">
        <f t="shared" si="167"/>
        <v>0</v>
      </c>
      <c r="Y62" s="144">
        <f t="shared" si="167"/>
        <v>0</v>
      </c>
      <c r="Z62" s="144">
        <f t="shared" si="167"/>
        <v>0</v>
      </c>
      <c r="AA62" s="144">
        <f t="shared" si="167"/>
        <v>0</v>
      </c>
      <c r="AB62" s="144">
        <f t="shared" si="167"/>
        <v>0</v>
      </c>
      <c r="AC62" s="138" t="e">
        <f t="shared" ref="AC62:AC67" si="168">((AB62/G62)^(1/($AB$3-$H$1) ))-1</f>
        <v>#DIV/0!</v>
      </c>
      <c r="AD62" s="31">
        <f t="shared" si="17"/>
        <v>0.08</v>
      </c>
      <c r="AE62" s="146">
        <f t="shared" si="139"/>
        <v>0</v>
      </c>
    </row>
    <row r="63" spans="2:31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39"/>
      <c r="AD63" s="137"/>
      <c r="AE63" s="146"/>
    </row>
    <row r="64" spans="2:31" x14ac:dyDescent="0.2">
      <c r="B64" s="20" t="s">
        <v>322</v>
      </c>
      <c r="C64" s="127">
        <f t="shared" ref="C64:P64" si="169">C62/C38</f>
        <v>0</v>
      </c>
      <c r="D64" s="127">
        <f t="shared" si="169"/>
        <v>0</v>
      </c>
      <c r="E64" s="127">
        <f t="shared" si="169"/>
        <v>0</v>
      </c>
      <c r="F64" s="144">
        <f t="shared" si="169"/>
        <v>0</v>
      </c>
      <c r="G64" s="144">
        <f t="shared" si="169"/>
        <v>0</v>
      </c>
      <c r="H64" s="144">
        <f t="shared" si="169"/>
        <v>0</v>
      </c>
      <c r="I64" s="144">
        <f t="shared" si="169"/>
        <v>0</v>
      </c>
      <c r="J64" s="144">
        <f t="shared" si="169"/>
        <v>0</v>
      </c>
      <c r="K64" s="144">
        <f t="shared" si="169"/>
        <v>0</v>
      </c>
      <c r="L64" s="144">
        <f t="shared" si="169"/>
        <v>0</v>
      </c>
      <c r="M64" s="144">
        <f t="shared" si="169"/>
        <v>0</v>
      </c>
      <c r="N64" s="144">
        <f t="shared" si="169"/>
        <v>0</v>
      </c>
      <c r="O64" s="144">
        <f t="shared" si="169"/>
        <v>0</v>
      </c>
      <c r="P64" s="144">
        <f t="shared" si="169"/>
        <v>0</v>
      </c>
      <c r="Q64" s="118" t="e">
        <f>((P64/G64)^(1/($H$2-$H$1) ))-1</f>
        <v>#DIV/0!</v>
      </c>
      <c r="R64" s="128"/>
      <c r="S64" s="146">
        <f t="shared" ref="S64:AB64" si="170">S62/S38</f>
        <v>0</v>
      </c>
      <c r="T64" s="146">
        <f t="shared" si="170"/>
        <v>0</v>
      </c>
      <c r="U64" s="146">
        <f t="shared" si="170"/>
        <v>0</v>
      </c>
      <c r="V64" s="146">
        <f t="shared" si="170"/>
        <v>0</v>
      </c>
      <c r="W64" s="146">
        <f t="shared" si="170"/>
        <v>0</v>
      </c>
      <c r="X64" s="146">
        <f t="shared" si="170"/>
        <v>0</v>
      </c>
      <c r="Y64" s="146">
        <f t="shared" si="170"/>
        <v>0</v>
      </c>
      <c r="Z64" s="146">
        <f t="shared" si="170"/>
        <v>0</v>
      </c>
      <c r="AA64" s="146">
        <f t="shared" si="170"/>
        <v>0</v>
      </c>
      <c r="AB64" s="146">
        <f t="shared" si="170"/>
        <v>0</v>
      </c>
      <c r="AC64" s="138" t="e">
        <f t="shared" si="168"/>
        <v>#DIV/0!</v>
      </c>
      <c r="AD64" s="31">
        <f t="shared" si="17"/>
        <v>0.08</v>
      </c>
      <c r="AE64" s="146">
        <f t="shared" si="139"/>
        <v>0</v>
      </c>
    </row>
    <row r="65" spans="2:31" x14ac:dyDescent="0.2">
      <c r="B65" s="20" t="s">
        <v>288</v>
      </c>
      <c r="C65" s="127">
        <f t="shared" ref="C65:P65" si="171">C19/C38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0</v>
      </c>
      <c r="H65" s="144">
        <f t="shared" si="171"/>
        <v>0</v>
      </c>
      <c r="I65" s="144">
        <f t="shared" si="171"/>
        <v>0</v>
      </c>
      <c r="J65" s="144">
        <f t="shared" si="171"/>
        <v>0</v>
      </c>
      <c r="K65" s="144">
        <f t="shared" si="171"/>
        <v>0</v>
      </c>
      <c r="L65" s="144">
        <f t="shared" si="171"/>
        <v>0</v>
      </c>
      <c r="M65" s="144">
        <f t="shared" si="171"/>
        <v>0</v>
      </c>
      <c r="N65" s="144">
        <f t="shared" si="171"/>
        <v>0</v>
      </c>
      <c r="O65" s="144">
        <f t="shared" si="171"/>
        <v>0</v>
      </c>
      <c r="P65" s="144">
        <f t="shared" si="171"/>
        <v>0</v>
      </c>
      <c r="Q65" s="118" t="e">
        <f>((P65/G65)^(1/($H$2-$H$1) ))-1</f>
        <v>#DIV/0!</v>
      </c>
      <c r="R65" s="128"/>
      <c r="S65" s="146">
        <f t="shared" ref="S65:AB65" si="172">S19/S38</f>
        <v>0</v>
      </c>
      <c r="T65" s="146">
        <f t="shared" si="172"/>
        <v>0</v>
      </c>
      <c r="U65" s="146">
        <f t="shared" si="172"/>
        <v>0</v>
      </c>
      <c r="V65" s="146">
        <f t="shared" si="172"/>
        <v>0</v>
      </c>
      <c r="W65" s="146">
        <f t="shared" si="172"/>
        <v>0</v>
      </c>
      <c r="X65" s="146">
        <f t="shared" si="172"/>
        <v>0</v>
      </c>
      <c r="Y65" s="146">
        <f t="shared" si="172"/>
        <v>0</v>
      </c>
      <c r="Z65" s="146">
        <f t="shared" si="172"/>
        <v>0</v>
      </c>
      <c r="AA65" s="146">
        <f t="shared" si="172"/>
        <v>0</v>
      </c>
      <c r="AB65" s="146">
        <f t="shared" si="172"/>
        <v>0</v>
      </c>
      <c r="AC65" s="138" t="e">
        <f t="shared" si="168"/>
        <v>#DIV/0!</v>
      </c>
      <c r="AD65" s="31">
        <f t="shared" si="17"/>
        <v>0.08</v>
      </c>
      <c r="AE65" s="146">
        <f t="shared" si="139"/>
        <v>0</v>
      </c>
    </row>
    <row r="66" spans="2:31" x14ac:dyDescent="0.2">
      <c r="B66" s="20" t="s">
        <v>289</v>
      </c>
      <c r="C66" s="127">
        <f t="shared" ref="C66:P66" si="173">C20/C38</f>
        <v>0</v>
      </c>
      <c r="D66" s="127">
        <f t="shared" si="173"/>
        <v>0</v>
      </c>
      <c r="E66" s="127">
        <f t="shared" si="173"/>
        <v>0</v>
      </c>
      <c r="F66" s="144">
        <f t="shared" si="173"/>
        <v>0</v>
      </c>
      <c r="G66" s="144">
        <f t="shared" si="173"/>
        <v>0</v>
      </c>
      <c r="H66" s="144">
        <f t="shared" si="173"/>
        <v>0</v>
      </c>
      <c r="I66" s="144">
        <f t="shared" si="173"/>
        <v>0</v>
      </c>
      <c r="J66" s="144">
        <f t="shared" si="173"/>
        <v>0</v>
      </c>
      <c r="K66" s="144">
        <f t="shared" si="173"/>
        <v>0</v>
      </c>
      <c r="L66" s="144">
        <f t="shared" si="173"/>
        <v>0</v>
      </c>
      <c r="M66" s="144">
        <f t="shared" si="173"/>
        <v>0</v>
      </c>
      <c r="N66" s="144">
        <f t="shared" si="173"/>
        <v>0</v>
      </c>
      <c r="O66" s="144">
        <f t="shared" si="173"/>
        <v>0</v>
      </c>
      <c r="P66" s="144">
        <f t="shared" si="173"/>
        <v>0</v>
      </c>
      <c r="Q66" s="118" t="e">
        <f>((P66/G66)^(1/($H$2-$H$1) ))-1</f>
        <v>#DIV/0!</v>
      </c>
      <c r="R66" s="128"/>
      <c r="S66" s="146">
        <f t="shared" ref="S66:AB66" si="174">S20/S38</f>
        <v>0</v>
      </c>
      <c r="T66" s="146">
        <f t="shared" si="174"/>
        <v>0</v>
      </c>
      <c r="U66" s="146">
        <f t="shared" si="174"/>
        <v>0</v>
      </c>
      <c r="V66" s="146">
        <f t="shared" si="174"/>
        <v>0</v>
      </c>
      <c r="W66" s="146">
        <f t="shared" si="174"/>
        <v>0</v>
      </c>
      <c r="X66" s="146">
        <f t="shared" si="174"/>
        <v>0</v>
      </c>
      <c r="Y66" s="146">
        <f t="shared" si="174"/>
        <v>0</v>
      </c>
      <c r="Z66" s="146">
        <f t="shared" si="174"/>
        <v>0</v>
      </c>
      <c r="AA66" s="146">
        <f t="shared" si="174"/>
        <v>0</v>
      </c>
      <c r="AB66" s="146">
        <f t="shared" si="174"/>
        <v>0</v>
      </c>
      <c r="AC66" s="138" t="e">
        <f t="shared" si="168"/>
        <v>#DIV/0!</v>
      </c>
      <c r="AD66" s="31">
        <f t="shared" si="17"/>
        <v>0.08</v>
      </c>
      <c r="AE66" s="146">
        <f t="shared" si="139"/>
        <v>0</v>
      </c>
    </row>
    <row r="67" spans="2:31" x14ac:dyDescent="0.2">
      <c r="B67" s="20" t="s">
        <v>290</v>
      </c>
      <c r="C67" s="127">
        <f t="shared" ref="C67:P67" si="175">C21/C38</f>
        <v>0</v>
      </c>
      <c r="D67" s="127">
        <f t="shared" si="175"/>
        <v>0</v>
      </c>
      <c r="E67" s="127">
        <f t="shared" si="175"/>
        <v>0</v>
      </c>
      <c r="F67" s="144">
        <f t="shared" si="175"/>
        <v>0</v>
      </c>
      <c r="G67" s="144">
        <f t="shared" si="175"/>
        <v>0</v>
      </c>
      <c r="H67" s="144">
        <f t="shared" si="175"/>
        <v>0</v>
      </c>
      <c r="I67" s="144">
        <f t="shared" si="175"/>
        <v>0</v>
      </c>
      <c r="J67" s="144">
        <f t="shared" si="175"/>
        <v>0</v>
      </c>
      <c r="K67" s="144">
        <f t="shared" si="175"/>
        <v>0</v>
      </c>
      <c r="L67" s="144">
        <f t="shared" si="175"/>
        <v>0</v>
      </c>
      <c r="M67" s="144">
        <f t="shared" si="175"/>
        <v>0</v>
      </c>
      <c r="N67" s="144">
        <f t="shared" si="175"/>
        <v>0</v>
      </c>
      <c r="O67" s="144">
        <f t="shared" si="175"/>
        <v>0</v>
      </c>
      <c r="P67" s="144">
        <f t="shared" si="175"/>
        <v>0</v>
      </c>
      <c r="Q67" s="118" t="e">
        <f>((P67/G67)^(1/($H$2-$H$1) ))-1</f>
        <v>#DIV/0!</v>
      </c>
      <c r="R67" s="128"/>
      <c r="S67" s="146">
        <f t="shared" ref="S67:AB67" si="176">S21/S38</f>
        <v>0</v>
      </c>
      <c r="T67" s="146">
        <f t="shared" si="176"/>
        <v>0</v>
      </c>
      <c r="U67" s="146">
        <f t="shared" si="176"/>
        <v>0</v>
      </c>
      <c r="V67" s="146">
        <f t="shared" si="176"/>
        <v>0</v>
      </c>
      <c r="W67" s="146">
        <f t="shared" si="176"/>
        <v>0</v>
      </c>
      <c r="X67" s="146">
        <f t="shared" si="176"/>
        <v>0</v>
      </c>
      <c r="Y67" s="146">
        <f t="shared" si="176"/>
        <v>0</v>
      </c>
      <c r="Z67" s="146">
        <f t="shared" si="176"/>
        <v>0</v>
      </c>
      <c r="AA67" s="146">
        <f t="shared" si="176"/>
        <v>0</v>
      </c>
      <c r="AB67" s="146">
        <f t="shared" si="176"/>
        <v>0</v>
      </c>
      <c r="AC67" s="138" t="e">
        <f t="shared" si="168"/>
        <v>#DIV/0!</v>
      </c>
      <c r="AD67" s="31">
        <f t="shared" si="17"/>
        <v>0.08</v>
      </c>
      <c r="AE67" s="146">
        <f t="shared" si="139"/>
        <v>0</v>
      </c>
    </row>
    <row r="68" spans="2:31" x14ac:dyDescent="0.2">
      <c r="B68" s="20" t="s">
        <v>297</v>
      </c>
      <c r="C68" s="127">
        <f t="shared" ref="C68:P68" si="177">C22/C38</f>
        <v>0</v>
      </c>
      <c r="D68" s="127">
        <f t="shared" si="177"/>
        <v>0</v>
      </c>
      <c r="E68" s="127">
        <f t="shared" si="177"/>
        <v>0</v>
      </c>
      <c r="F68" s="144">
        <f t="shared" si="177"/>
        <v>0</v>
      </c>
      <c r="G68" s="144">
        <f t="shared" si="177"/>
        <v>0</v>
      </c>
      <c r="H68" s="144">
        <f t="shared" si="177"/>
        <v>0</v>
      </c>
      <c r="I68" s="144">
        <f t="shared" si="177"/>
        <v>0</v>
      </c>
      <c r="J68" s="144">
        <f t="shared" si="177"/>
        <v>0</v>
      </c>
      <c r="K68" s="144">
        <f t="shared" si="177"/>
        <v>0</v>
      </c>
      <c r="L68" s="144">
        <f t="shared" si="177"/>
        <v>0</v>
      </c>
      <c r="M68" s="144">
        <f t="shared" si="177"/>
        <v>0</v>
      </c>
      <c r="N68" s="144">
        <f t="shared" si="177"/>
        <v>0</v>
      </c>
      <c r="O68" s="144">
        <f t="shared" si="177"/>
        <v>0</v>
      </c>
      <c r="P68" s="144">
        <f t="shared" si="177"/>
        <v>0</v>
      </c>
      <c r="Q68" s="118" t="e">
        <f>((P68/G68)^(1/($H$2-$H$1) ))-1</f>
        <v>#DIV/0!</v>
      </c>
      <c r="R68" s="128"/>
      <c r="S68" s="146">
        <f t="shared" ref="S68:AB68" si="178">S22/S38</f>
        <v>0</v>
      </c>
      <c r="T68" s="146">
        <f t="shared" si="178"/>
        <v>0</v>
      </c>
      <c r="U68" s="146">
        <f t="shared" si="178"/>
        <v>0</v>
      </c>
      <c r="V68" s="146">
        <f t="shared" si="178"/>
        <v>0</v>
      </c>
      <c r="W68" s="146">
        <f t="shared" si="178"/>
        <v>0</v>
      </c>
      <c r="X68" s="146">
        <f t="shared" si="178"/>
        <v>0</v>
      </c>
      <c r="Y68" s="146">
        <f t="shared" si="178"/>
        <v>0</v>
      </c>
      <c r="Z68" s="146">
        <f t="shared" si="178"/>
        <v>0</v>
      </c>
      <c r="AA68" s="146">
        <f t="shared" si="178"/>
        <v>0</v>
      </c>
      <c r="AB68" s="146">
        <f t="shared" si="178"/>
        <v>0</v>
      </c>
      <c r="AC68" s="138" t="e">
        <f t="shared" ref="AC68" si="179">((AB68/G68)^(1/($AB$3-$H$1) ))-1</f>
        <v>#DIV/0!</v>
      </c>
      <c r="AD68" s="31">
        <f t="shared" si="17"/>
        <v>0.08</v>
      </c>
      <c r="AE68" s="146">
        <f t="shared" si="139"/>
        <v>0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39"/>
      <c r="AD69" s="137"/>
      <c r="AE69" s="155"/>
    </row>
    <row r="70" spans="2:31" x14ac:dyDescent="0.2">
      <c r="B70" s="20" t="s">
        <v>315</v>
      </c>
      <c r="C70" s="144">
        <f t="shared" ref="C70:P70" si="180">C34/C38</f>
        <v>0</v>
      </c>
      <c r="D70" s="144">
        <f t="shared" si="180"/>
        <v>0</v>
      </c>
      <c r="E70" s="144">
        <f t="shared" si="180"/>
        <v>0</v>
      </c>
      <c r="F70" s="144">
        <f t="shared" si="180"/>
        <v>0</v>
      </c>
      <c r="G70" s="144">
        <f t="shared" si="180"/>
        <v>9.5081967213114762</v>
      </c>
      <c r="H70" s="144">
        <f t="shared" si="180"/>
        <v>18.360655737704921</v>
      </c>
      <c r="I70" s="144">
        <f t="shared" si="180"/>
        <v>26.557377049180328</v>
      </c>
      <c r="J70" s="144">
        <f t="shared" si="180"/>
        <v>7.6520601700457815</v>
      </c>
      <c r="K70" s="144">
        <f t="shared" si="180"/>
        <v>9.5487246566383259</v>
      </c>
      <c r="L70" s="144">
        <f t="shared" si="180"/>
        <v>6.4748201438848927</v>
      </c>
      <c r="M70" s="144">
        <f t="shared" si="180"/>
        <v>12.753433616742971</v>
      </c>
      <c r="N70" s="144">
        <f t="shared" si="180"/>
        <v>11.314584695879661</v>
      </c>
      <c r="O70" s="144">
        <f t="shared" si="180"/>
        <v>11.772400261608896</v>
      </c>
      <c r="P70" s="144">
        <f t="shared" si="180"/>
        <v>15.042511445389144</v>
      </c>
      <c r="Q70" s="118">
        <f>((P70/G70)^(1/($H$2-$H$1) ))-1</f>
        <v>5.229086218607093E-2</v>
      </c>
      <c r="R70" s="128"/>
      <c r="S70" s="144">
        <f t="shared" ref="S70:AB70" si="181">S34/S38</f>
        <v>2.645</v>
      </c>
      <c r="T70" s="144">
        <f t="shared" si="181"/>
        <v>2.645</v>
      </c>
      <c r="U70" s="144">
        <f t="shared" si="181"/>
        <v>2.645</v>
      </c>
      <c r="V70" s="144">
        <f t="shared" si="181"/>
        <v>2.645</v>
      </c>
      <c r="W70" s="144">
        <f t="shared" si="181"/>
        <v>2.645</v>
      </c>
      <c r="X70" s="144">
        <f t="shared" si="181"/>
        <v>2.645</v>
      </c>
      <c r="Y70" s="144">
        <f t="shared" si="181"/>
        <v>2.645</v>
      </c>
      <c r="Z70" s="144">
        <f t="shared" si="181"/>
        <v>2.645</v>
      </c>
      <c r="AA70" s="144">
        <f t="shared" si="181"/>
        <v>2.645</v>
      </c>
      <c r="AB70" s="144">
        <f t="shared" si="181"/>
        <v>2.645</v>
      </c>
      <c r="AC70" s="138">
        <f t="shared" ref="AC70:AC72" si="182">((AB70/G70)^(1/($AB$3-$H$1) ))-1</f>
        <v>-6.5123851240692976E-2</v>
      </c>
      <c r="AD70" s="31">
        <f t="shared" si="17"/>
        <v>0.08</v>
      </c>
      <c r="AE70" s="146">
        <f t="shared" si="139"/>
        <v>20.404285714285713</v>
      </c>
    </row>
    <row r="71" spans="2:31" x14ac:dyDescent="0.2">
      <c r="B71" s="20" t="s">
        <v>316</v>
      </c>
      <c r="C71" s="144">
        <f t="shared" ref="C71:P71" si="183">C36/C38</f>
        <v>0</v>
      </c>
      <c r="D71" s="144">
        <f t="shared" si="183"/>
        <v>0</v>
      </c>
      <c r="E71" s="144">
        <f t="shared" si="183"/>
        <v>0</v>
      </c>
      <c r="F71" s="144">
        <f t="shared" si="183"/>
        <v>0</v>
      </c>
      <c r="G71" s="144">
        <f t="shared" si="183"/>
        <v>9.6721311475409841</v>
      </c>
      <c r="H71" s="144">
        <f t="shared" si="183"/>
        <v>10.163934426229508</v>
      </c>
      <c r="I71" s="144">
        <f t="shared" si="183"/>
        <v>14.754098360655739</v>
      </c>
      <c r="J71" s="144">
        <f t="shared" si="183"/>
        <v>4.5127534336167434</v>
      </c>
      <c r="K71" s="144">
        <f t="shared" si="183"/>
        <v>5.8207979071288429</v>
      </c>
      <c r="L71" s="144">
        <f t="shared" si="183"/>
        <v>-2.2890778286461742</v>
      </c>
      <c r="M71" s="144">
        <f t="shared" si="183"/>
        <v>3.7933289731850883</v>
      </c>
      <c r="N71" s="144">
        <f t="shared" si="183"/>
        <v>5.6899934597776332</v>
      </c>
      <c r="O71" s="144">
        <f t="shared" si="183"/>
        <v>6.4094179202092878</v>
      </c>
      <c r="P71" s="144">
        <f t="shared" si="183"/>
        <v>9.483322432962721</v>
      </c>
      <c r="Q71" s="118">
        <f>((P71/G71)^(1/($H$2-$H$1) ))-1</f>
        <v>-2.188041655664108E-3</v>
      </c>
      <c r="R71" s="128"/>
      <c r="S71" s="144">
        <f t="shared" ref="S71:AB71" si="184">S36/S38</f>
        <v>1.6675</v>
      </c>
      <c r="T71" s="144">
        <f t="shared" si="184"/>
        <v>1.6675000000000002</v>
      </c>
      <c r="U71" s="144">
        <f t="shared" si="184"/>
        <v>1.6675</v>
      </c>
      <c r="V71" s="144">
        <f t="shared" si="184"/>
        <v>1.6675000000000002</v>
      </c>
      <c r="W71" s="144">
        <f t="shared" si="184"/>
        <v>1.6675</v>
      </c>
      <c r="X71" s="144">
        <f t="shared" si="184"/>
        <v>1.6675</v>
      </c>
      <c r="Y71" s="144">
        <f t="shared" si="184"/>
        <v>1.6675</v>
      </c>
      <c r="Z71" s="144">
        <f t="shared" si="184"/>
        <v>1.6675</v>
      </c>
      <c r="AA71" s="144">
        <f t="shared" si="184"/>
        <v>1.6675</v>
      </c>
      <c r="AB71" s="144">
        <f t="shared" si="184"/>
        <v>1.6675</v>
      </c>
      <c r="AC71" s="138">
        <f t="shared" si="182"/>
        <v>-8.8371093344645768E-2</v>
      </c>
      <c r="AD71" s="31">
        <f t="shared" si="17"/>
        <v>0.08</v>
      </c>
      <c r="AE71" s="146">
        <f t="shared" si="139"/>
        <v>12.863571428571429</v>
      </c>
    </row>
    <row r="72" spans="2:31" x14ac:dyDescent="0.2">
      <c r="B72" s="20" t="s">
        <v>317</v>
      </c>
      <c r="C72" s="144">
        <f t="shared" ref="C72:P72" si="185">C6/C38</f>
        <v>0</v>
      </c>
      <c r="D72" s="144">
        <f t="shared" si="185"/>
        <v>0</v>
      </c>
      <c r="E72" s="144">
        <f t="shared" si="185"/>
        <v>0</v>
      </c>
      <c r="F72" s="144">
        <f t="shared" si="185"/>
        <v>0</v>
      </c>
      <c r="G72" s="144">
        <f t="shared" si="185"/>
        <v>166.55737704918033</v>
      </c>
      <c r="H72" s="144">
        <f t="shared" si="185"/>
        <v>154.09836065573771</v>
      </c>
      <c r="I72" s="144">
        <f t="shared" si="185"/>
        <v>165.57377049180329</v>
      </c>
      <c r="J72" s="144">
        <f t="shared" si="185"/>
        <v>35.905820797907133</v>
      </c>
      <c r="K72" s="144">
        <f t="shared" si="185"/>
        <v>39.960758665794643</v>
      </c>
      <c r="L72" s="144">
        <f t="shared" si="185"/>
        <v>36.952256376716811</v>
      </c>
      <c r="M72" s="144">
        <f t="shared" si="185"/>
        <v>40.091563113145853</v>
      </c>
      <c r="N72" s="144">
        <f t="shared" si="185"/>
        <v>44.931327665140614</v>
      </c>
      <c r="O72" s="144">
        <f t="shared" si="185"/>
        <v>50.359712230215827</v>
      </c>
      <c r="P72" s="144">
        <f t="shared" si="185"/>
        <v>58.404185742315242</v>
      </c>
      <c r="Q72" s="118">
        <f>((P72/G72)^(1/($H$2-$H$1) ))-1</f>
        <v>-0.10991573770595253</v>
      </c>
      <c r="R72" s="128"/>
      <c r="S72" s="144">
        <f t="shared" ref="S72:AB72" si="186">S6/S38</f>
        <v>10.269499999999999</v>
      </c>
      <c r="T72" s="144">
        <f t="shared" si="186"/>
        <v>10.269499999999997</v>
      </c>
      <c r="U72" s="144">
        <f t="shared" si="186"/>
        <v>10.269499999999999</v>
      </c>
      <c r="V72" s="144">
        <f t="shared" si="186"/>
        <v>10.269499999999999</v>
      </c>
      <c r="W72" s="144">
        <f t="shared" si="186"/>
        <v>10.269499999999997</v>
      </c>
      <c r="X72" s="144">
        <f t="shared" si="186"/>
        <v>10.269499999999997</v>
      </c>
      <c r="Y72" s="144">
        <f t="shared" si="186"/>
        <v>10.269499999999997</v>
      </c>
      <c r="Z72" s="144">
        <f t="shared" si="186"/>
        <v>10.269499999999997</v>
      </c>
      <c r="AA72" s="144">
        <f t="shared" si="186"/>
        <v>10.269499999999997</v>
      </c>
      <c r="AB72" s="144">
        <f t="shared" si="186"/>
        <v>10.269499999999997</v>
      </c>
      <c r="AC72" s="138">
        <f t="shared" si="182"/>
        <v>-0.13639524987819407</v>
      </c>
      <c r="AD72" s="31">
        <f t="shared" ref="AD72" si="187">$L$1</f>
        <v>0.08</v>
      </c>
      <c r="AE72" s="146">
        <f t="shared" si="139"/>
        <v>79.221857142857118</v>
      </c>
    </row>
    <row r="73" spans="2:31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 x14ac:dyDescent="0.2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 x14ac:dyDescent="0.2">
      <c r="B75" s="108" t="s">
        <v>314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pans="2:31" x14ac:dyDescent="0.2">
      <c r="B76" s="20" t="s">
        <v>312</v>
      </c>
      <c r="C76" s="153" t="e">
        <f t="shared" ref="C76:P76" si="188">C34/C24</f>
        <v>#DIV/0!</v>
      </c>
      <c r="D76" s="153" t="e">
        <f t="shared" si="188"/>
        <v>#DIV/0!</v>
      </c>
      <c r="E76" s="153" t="e">
        <f t="shared" si="188"/>
        <v>#DIV/0!</v>
      </c>
      <c r="F76" s="153" t="e">
        <f t="shared" si="188"/>
        <v>#DIV/0!</v>
      </c>
      <c r="G76" s="153">
        <f t="shared" si="188"/>
        <v>5.5028462998102469E-2</v>
      </c>
      <c r="H76" s="153">
        <f t="shared" si="188"/>
        <v>9.540034071550256E-2</v>
      </c>
      <c r="I76" s="153">
        <f t="shared" si="188"/>
        <v>9.9022004889975548E-2</v>
      </c>
      <c r="J76" s="153">
        <f t="shared" si="188"/>
        <v>0.1125</v>
      </c>
      <c r="K76" s="153">
        <f t="shared" si="188"/>
        <v>0.10160055671537926</v>
      </c>
      <c r="L76" s="153">
        <f t="shared" si="188"/>
        <v>8.1548599670510702E-2</v>
      </c>
      <c r="M76" s="153">
        <f t="shared" si="188"/>
        <v>0.1196319018404908</v>
      </c>
      <c r="N76" s="153">
        <f t="shared" si="188"/>
        <v>8.2854406130268204E-2</v>
      </c>
      <c r="O76" s="153">
        <f t="shared" si="188"/>
        <v>8.8495575221238937E-2</v>
      </c>
      <c r="P76" s="153">
        <f t="shared" si="188"/>
        <v>9.9956540634506735E-2</v>
      </c>
      <c r="Q76" s="118">
        <f t="shared" ref="Q76:Q84" si="189">((P76/G76)^(1/($H$2-$H$1) ))-1</f>
        <v>6.8569190636497801E-2</v>
      </c>
      <c r="R76" s="153"/>
      <c r="S76" s="153">
        <f t="shared" ref="S76:AB76" si="190">S34/S24</f>
        <v>9.9956540634506749E-2</v>
      </c>
      <c r="T76" s="153">
        <f t="shared" si="190"/>
        <v>9.9956540634506749E-2</v>
      </c>
      <c r="U76" s="153">
        <f t="shared" si="190"/>
        <v>9.9956540634506735E-2</v>
      </c>
      <c r="V76" s="153">
        <f t="shared" si="190"/>
        <v>9.9956540634506735E-2</v>
      </c>
      <c r="W76" s="153">
        <f t="shared" si="190"/>
        <v>9.9956540634506749E-2</v>
      </c>
      <c r="X76" s="153">
        <f t="shared" si="190"/>
        <v>9.9956540634506735E-2</v>
      </c>
      <c r="Y76" s="153">
        <f t="shared" si="190"/>
        <v>9.9956540634506721E-2</v>
      </c>
      <c r="Z76" s="153">
        <f t="shared" si="190"/>
        <v>9.9956540634506721E-2</v>
      </c>
      <c r="AA76" s="153">
        <f t="shared" si="190"/>
        <v>9.9956540634506721E-2</v>
      </c>
      <c r="AB76" s="153">
        <f t="shared" si="190"/>
        <v>9.9956540634506721E-2</v>
      </c>
      <c r="AC76" s="138">
        <f t="shared" ref="AC76:AC84" si="191">((AB76/G76)^(1/($AB$3-$H$1) ))-1</f>
        <v>3.1913655809155728E-2</v>
      </c>
      <c r="AD76" s="146"/>
      <c r="AE76" s="146"/>
    </row>
    <row r="77" spans="2:31" x14ac:dyDescent="0.2">
      <c r="B77" s="20" t="s">
        <v>267</v>
      </c>
      <c r="C77" s="153" t="e">
        <f t="shared" ref="C77:P77" si="192">C36/C24</f>
        <v>#DIV/0!</v>
      </c>
      <c r="D77" s="153" t="e">
        <f t="shared" si="192"/>
        <v>#DIV/0!</v>
      </c>
      <c r="E77" s="153" t="e">
        <f t="shared" si="192"/>
        <v>#DIV/0!</v>
      </c>
      <c r="F77" s="153" t="e">
        <f t="shared" si="192"/>
        <v>#DIV/0!</v>
      </c>
      <c r="G77" s="153">
        <f t="shared" si="192"/>
        <v>5.5977229601518026E-2</v>
      </c>
      <c r="H77" s="153">
        <f t="shared" si="192"/>
        <v>5.2810902896081771E-2</v>
      </c>
      <c r="I77" s="153">
        <f t="shared" si="192"/>
        <v>5.5012224938875302E-2</v>
      </c>
      <c r="J77" s="153">
        <f t="shared" si="192"/>
        <v>6.6346153846153846E-2</v>
      </c>
      <c r="K77" s="153">
        <f t="shared" si="192"/>
        <v>6.1934585942936674E-2</v>
      </c>
      <c r="L77" s="153">
        <f t="shared" si="192"/>
        <v>-2.8830313014827018E-2</v>
      </c>
      <c r="M77" s="153">
        <f t="shared" si="192"/>
        <v>3.5582822085889573E-2</v>
      </c>
      <c r="N77" s="153">
        <f t="shared" si="192"/>
        <v>4.1666666666666664E-2</v>
      </c>
      <c r="O77" s="153">
        <f t="shared" si="192"/>
        <v>4.8180924287118974E-2</v>
      </c>
      <c r="P77" s="153">
        <f t="shared" si="192"/>
        <v>6.3016079965232508E-2</v>
      </c>
      <c r="Q77" s="118">
        <f t="shared" si="189"/>
        <v>1.3247529794561563E-2</v>
      </c>
      <c r="R77" s="153"/>
      <c r="S77" s="153">
        <f t="shared" ref="S77:AB77" si="193">S36/S24</f>
        <v>6.3016079965232522E-2</v>
      </c>
      <c r="T77" s="153">
        <f t="shared" si="193"/>
        <v>6.3016079965232522E-2</v>
      </c>
      <c r="U77" s="153">
        <f t="shared" si="193"/>
        <v>6.3016079965232508E-2</v>
      </c>
      <c r="V77" s="153">
        <f t="shared" si="193"/>
        <v>6.3016079965232508E-2</v>
      </c>
      <c r="W77" s="153">
        <f t="shared" si="193"/>
        <v>6.3016079965232508E-2</v>
      </c>
      <c r="X77" s="153">
        <f t="shared" si="193"/>
        <v>6.3016079965232508E-2</v>
      </c>
      <c r="Y77" s="153">
        <f t="shared" si="193"/>
        <v>6.3016079965232508E-2</v>
      </c>
      <c r="Z77" s="153">
        <f t="shared" si="193"/>
        <v>6.3016079965232494E-2</v>
      </c>
      <c r="AA77" s="153">
        <f t="shared" si="193"/>
        <v>6.3016079965232494E-2</v>
      </c>
      <c r="AB77" s="153">
        <f t="shared" si="193"/>
        <v>6.3016079965232494E-2</v>
      </c>
      <c r="AC77" s="138">
        <f t="shared" si="191"/>
        <v>6.2534155529390123E-3</v>
      </c>
      <c r="AD77" s="146"/>
      <c r="AE77" s="146"/>
    </row>
    <row r="78" spans="2:31" x14ac:dyDescent="0.2">
      <c r="B78" s="20" t="s">
        <v>313</v>
      </c>
      <c r="C78" s="153" t="e">
        <f t="shared" ref="C78:P78" si="194">C36/C7</f>
        <v>#DIV/0!</v>
      </c>
      <c r="D78" s="153" t="e">
        <f t="shared" si="194"/>
        <v>#DIV/0!</v>
      </c>
      <c r="E78" s="153" t="e">
        <f t="shared" si="194"/>
        <v>#DIV/0!</v>
      </c>
      <c r="F78" s="153" t="e">
        <f t="shared" si="194"/>
        <v>#DIV/0!</v>
      </c>
      <c r="G78" s="153">
        <f t="shared" si="194"/>
        <v>5.4832713754646843E-2</v>
      </c>
      <c r="H78" s="153">
        <f t="shared" si="194"/>
        <v>6.2E-2</v>
      </c>
      <c r="I78" s="153">
        <f t="shared" si="194"/>
        <v>8.3955223880597021E-2</v>
      </c>
      <c r="J78" s="153">
        <f t="shared" si="194"/>
        <v>0.11896551724137931</v>
      </c>
      <c r="K78" s="153">
        <f t="shared" si="194"/>
        <v>0.13884555382215288</v>
      </c>
      <c r="L78" s="153">
        <f t="shared" si="194"/>
        <v>-5.8724832214765099E-2</v>
      </c>
      <c r="M78" s="153">
        <f t="shared" si="194"/>
        <v>9.0202177293934677E-2</v>
      </c>
      <c r="N78" s="153">
        <f t="shared" si="194"/>
        <v>0.12116991643454039</v>
      </c>
      <c r="O78" s="153">
        <f t="shared" si="194"/>
        <v>0.1225</v>
      </c>
      <c r="P78" s="153">
        <f t="shared" si="194"/>
        <v>0.15692640692640691</v>
      </c>
      <c r="Q78" s="118">
        <f t="shared" si="189"/>
        <v>0.12393083920462789</v>
      </c>
      <c r="R78" s="20"/>
      <c r="S78" s="153">
        <f t="shared" ref="S78:AB78" si="195">S36/S7</f>
        <v>0.15692640692640694</v>
      </c>
      <c r="T78" s="153">
        <f t="shared" si="195"/>
        <v>0.15692640692640694</v>
      </c>
      <c r="U78" s="153">
        <f t="shared" si="195"/>
        <v>0.15692640692640694</v>
      </c>
      <c r="V78" s="153">
        <f t="shared" si="195"/>
        <v>0.15692640692640694</v>
      </c>
      <c r="W78" s="153">
        <f t="shared" si="195"/>
        <v>0.15692640692640694</v>
      </c>
      <c r="X78" s="153">
        <f t="shared" si="195"/>
        <v>0.15692640692640694</v>
      </c>
      <c r="Y78" s="153">
        <f t="shared" si="195"/>
        <v>0.15692640692640691</v>
      </c>
      <c r="Z78" s="153">
        <f t="shared" si="195"/>
        <v>0.15692640692640691</v>
      </c>
      <c r="AA78" s="153">
        <f t="shared" si="195"/>
        <v>0.15692640692640691</v>
      </c>
      <c r="AB78" s="153">
        <f t="shared" si="195"/>
        <v>0.15692640692640691</v>
      </c>
      <c r="AC78" s="138">
        <f t="shared" si="191"/>
        <v>5.6901566547506777E-2</v>
      </c>
      <c r="AD78" s="146"/>
      <c r="AE78" s="146"/>
    </row>
    <row r="79" spans="2:31" x14ac:dyDescent="0.2">
      <c r="B79" s="20" t="s">
        <v>324</v>
      </c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18" t="e">
        <f t="shared" si="189"/>
        <v>#DIV/0!</v>
      </c>
      <c r="R79" s="20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38" t="e">
        <f t="shared" si="191"/>
        <v>#DIV/0!</v>
      </c>
      <c r="AD79" s="146"/>
      <c r="AE79" s="146"/>
    </row>
    <row r="80" spans="2:31" x14ac:dyDescent="0.2">
      <c r="B80" s="20" t="s">
        <v>329</v>
      </c>
      <c r="C80" s="153"/>
      <c r="D80" s="153"/>
      <c r="E80" s="153"/>
      <c r="F80" s="153"/>
      <c r="G80" s="153">
        <f>G28/G24</f>
        <v>3.4155597722960153E-2</v>
      </c>
      <c r="H80" s="153">
        <f t="shared" ref="H80:P80" si="196">H28/H24</f>
        <v>1.7035775127768313E-2</v>
      </c>
      <c r="I80" s="153">
        <f t="shared" si="196"/>
        <v>1.3447432762836185E-2</v>
      </c>
      <c r="J80" s="153">
        <f t="shared" si="196"/>
        <v>1.4423076923076924E-2</v>
      </c>
      <c r="K80" s="153">
        <f t="shared" si="196"/>
        <v>1.4613778705636743E-2</v>
      </c>
      <c r="L80" s="153">
        <f t="shared" si="196"/>
        <v>2.6359143327841845E-2</v>
      </c>
      <c r="M80" s="153">
        <f t="shared" si="196"/>
        <v>1.1656441717791411E-2</v>
      </c>
      <c r="N80" s="153">
        <f t="shared" si="196"/>
        <v>9.0996168582375483E-3</v>
      </c>
      <c r="O80" s="153">
        <f t="shared" si="196"/>
        <v>8.8495575221238937E-3</v>
      </c>
      <c r="P80" s="153">
        <f t="shared" si="196"/>
        <v>6.0843111690569319E-3</v>
      </c>
      <c r="Q80" s="118">
        <f t="shared" si="189"/>
        <v>-0.17443751913400829</v>
      </c>
      <c r="R80" s="20"/>
      <c r="S80" s="153">
        <f t="shared" ref="S80:AB80" si="197">S28/S24</f>
        <v>6.0843111690569319E-3</v>
      </c>
      <c r="T80" s="153">
        <f t="shared" si="197"/>
        <v>6.0843111690569319E-3</v>
      </c>
      <c r="U80" s="153">
        <f t="shared" si="197"/>
        <v>6.0843111690569319E-3</v>
      </c>
      <c r="V80" s="153">
        <f t="shared" si="197"/>
        <v>6.0843111690569319E-3</v>
      </c>
      <c r="W80" s="153">
        <f t="shared" si="197"/>
        <v>6.0843111690569327E-3</v>
      </c>
      <c r="X80" s="153">
        <f t="shared" si="197"/>
        <v>6.0843111690569319E-3</v>
      </c>
      <c r="Y80" s="153">
        <f t="shared" si="197"/>
        <v>6.0843111690569319E-3</v>
      </c>
      <c r="Z80" s="153">
        <f t="shared" si="197"/>
        <v>6.0843111690569319E-3</v>
      </c>
      <c r="AA80" s="153">
        <f t="shared" si="197"/>
        <v>6.084311169056931E-3</v>
      </c>
      <c r="AB80" s="153">
        <f t="shared" si="197"/>
        <v>6.084311169056931E-3</v>
      </c>
      <c r="AC80" s="138">
        <f t="shared" si="191"/>
        <v>-8.6800290665336455E-2</v>
      </c>
      <c r="AD80" s="146"/>
      <c r="AE80" s="146"/>
    </row>
    <row r="81" spans="2:31" x14ac:dyDescent="0.2">
      <c r="B81" s="20" t="s">
        <v>331</v>
      </c>
      <c r="C81" s="153"/>
      <c r="D81" s="153"/>
      <c r="E81" s="153"/>
      <c r="F81" s="153"/>
      <c r="G81" s="165">
        <f>G28/G12</f>
        <v>2.5714285714285716</v>
      </c>
      <c r="H81" s="165">
        <f t="shared" ref="H81:P81" si="198">H28/H12</f>
        <v>1.4285714285714286</v>
      </c>
      <c r="I81" s="165">
        <f t="shared" si="198"/>
        <v>0.1864406779661017</v>
      </c>
      <c r="J81" s="165">
        <f t="shared" si="198"/>
        <v>0.24590163934426229</v>
      </c>
      <c r="K81" s="165">
        <f t="shared" si="198"/>
        <v>0.98130841121495338</v>
      </c>
      <c r="L81" s="165">
        <f t="shared" si="198"/>
        <v>1.1428571428571428</v>
      </c>
      <c r="M81" s="165">
        <f t="shared" si="198"/>
        <v>0.70370370370370372</v>
      </c>
      <c r="N81" s="165">
        <f t="shared" si="198"/>
        <v>0.86363636363636365</v>
      </c>
      <c r="O81" s="165">
        <f t="shared" si="198"/>
        <v>0.375</v>
      </c>
      <c r="P81" s="165">
        <f t="shared" si="198"/>
        <v>0.35</v>
      </c>
      <c r="Q81" s="118">
        <f t="shared" si="189"/>
        <v>-0.19875385459207706</v>
      </c>
      <c r="R81" s="20"/>
      <c r="S81" s="153">
        <f t="shared" ref="S81:AB81" si="199">S28/S12</f>
        <v>0.35</v>
      </c>
      <c r="T81" s="153">
        <f t="shared" si="199"/>
        <v>0.35</v>
      </c>
      <c r="U81" s="153">
        <f t="shared" si="199"/>
        <v>0.35</v>
      </c>
      <c r="V81" s="153">
        <f t="shared" si="199"/>
        <v>0.35</v>
      </c>
      <c r="W81" s="153">
        <f t="shared" si="199"/>
        <v>0.35</v>
      </c>
      <c r="X81" s="153">
        <f t="shared" si="199"/>
        <v>0.35</v>
      </c>
      <c r="Y81" s="153">
        <f t="shared" si="199"/>
        <v>0.35</v>
      </c>
      <c r="Z81" s="153">
        <f t="shared" si="199"/>
        <v>0.35</v>
      </c>
      <c r="AA81" s="153">
        <f t="shared" si="199"/>
        <v>0.35</v>
      </c>
      <c r="AB81" s="153">
        <f t="shared" si="199"/>
        <v>0.34999999999999992</v>
      </c>
      <c r="AC81" s="138">
        <f t="shared" si="191"/>
        <v>-9.9641536119283614E-2</v>
      </c>
      <c r="AD81" s="146"/>
      <c r="AE81" s="146"/>
    </row>
    <row r="82" spans="2:31" x14ac:dyDescent="0.2">
      <c r="B82" s="20" t="s">
        <v>332</v>
      </c>
      <c r="C82" s="153"/>
      <c r="D82" s="153"/>
      <c r="E82" s="153"/>
      <c r="F82" s="166">
        <f>F12+F13-F10</f>
        <v>0</v>
      </c>
      <c r="G82" s="166">
        <f>G12+G13-G10</f>
        <v>126</v>
      </c>
      <c r="H82" s="166">
        <f t="shared" ref="H82:P82" si="200">H12+H13-H10</f>
        <v>124</v>
      </c>
      <c r="I82" s="166">
        <f t="shared" si="200"/>
        <v>97</v>
      </c>
      <c r="J82" s="166">
        <f t="shared" si="200"/>
        <v>79</v>
      </c>
      <c r="K82" s="166">
        <f t="shared" si="200"/>
        <v>51.399999999999977</v>
      </c>
      <c r="L82" s="166">
        <f t="shared" si="200"/>
        <v>46</v>
      </c>
      <c r="M82" s="166">
        <f t="shared" si="200"/>
        <v>32</v>
      </c>
      <c r="N82" s="166">
        <f t="shared" si="200"/>
        <v>7</v>
      </c>
      <c r="O82" s="166">
        <f t="shared" si="200"/>
        <v>130</v>
      </c>
      <c r="P82" s="166">
        <f t="shared" si="200"/>
        <v>200</v>
      </c>
      <c r="Q82" s="118">
        <f t="shared" si="189"/>
        <v>5.2677873545307285E-2</v>
      </c>
      <c r="R82" s="20"/>
      <c r="S82" s="166">
        <f t="shared" ref="S82:AB82" si="201">S12+S13-S10</f>
        <v>229.99999999999997</v>
      </c>
      <c r="T82" s="166">
        <f t="shared" si="201"/>
        <v>264.49999999999994</v>
      </c>
      <c r="U82" s="166">
        <f t="shared" si="201"/>
        <v>304.17499999999995</v>
      </c>
      <c r="V82" s="166">
        <f t="shared" si="201"/>
        <v>349.80124999999987</v>
      </c>
      <c r="W82" s="166">
        <f t="shared" si="201"/>
        <v>402.27143749999982</v>
      </c>
      <c r="X82" s="166">
        <f t="shared" si="201"/>
        <v>462.61215312499979</v>
      </c>
      <c r="Y82" s="166">
        <f t="shared" si="201"/>
        <v>532.00397609374977</v>
      </c>
      <c r="Z82" s="166">
        <f t="shared" si="201"/>
        <v>611.80457250781228</v>
      </c>
      <c r="AA82" s="166">
        <f t="shared" si="201"/>
        <v>703.57525838398385</v>
      </c>
      <c r="AB82" s="166">
        <f t="shared" si="201"/>
        <v>809.11154714158158</v>
      </c>
      <c r="AC82" s="138">
        <f t="shared" si="191"/>
        <v>0.1028266579099093</v>
      </c>
      <c r="AD82" s="146"/>
      <c r="AE82" s="146"/>
    </row>
    <row r="83" spans="2:31" ht="12" customHeight="1" x14ac:dyDescent="0.2">
      <c r="B83" s="20" t="s">
        <v>327</v>
      </c>
      <c r="C83" s="20"/>
      <c r="D83" s="20"/>
      <c r="E83" s="20"/>
      <c r="F83" s="20"/>
      <c r="G83" s="153">
        <f t="shared" ref="G83:P83" si="202">G36/G17</f>
        <v>0.14676616915422885</v>
      </c>
      <c r="H83" s="153">
        <f t="shared" si="202"/>
        <v>0.15196078431372548</v>
      </c>
      <c r="I83" s="153">
        <f t="shared" si="202"/>
        <v>0.20179372197309417</v>
      </c>
      <c r="J83" s="153">
        <f t="shared" si="202"/>
        <v>0.33990147783251229</v>
      </c>
      <c r="K83" s="153">
        <f t="shared" si="202"/>
        <v>0.43203883495145629</v>
      </c>
      <c r="L83" s="153">
        <f t="shared" si="202"/>
        <v>-8.4337349397590355E-2</v>
      </c>
      <c r="M83" s="153">
        <f t="shared" si="202"/>
        <v>0.13842482100238662</v>
      </c>
      <c r="N83" s="153">
        <f t="shared" si="202"/>
        <v>0.21588089330024815</v>
      </c>
      <c r="O83" s="153">
        <f t="shared" si="202"/>
        <v>0.22843822843822845</v>
      </c>
      <c r="P83" s="153">
        <f t="shared" si="202"/>
        <v>0.35194174757281554</v>
      </c>
      <c r="Q83" s="118">
        <f t="shared" si="189"/>
        <v>0.10205934322122245</v>
      </c>
      <c r="R83" s="20"/>
      <c r="S83" s="153">
        <f t="shared" ref="S83:AB83" si="203">S36/S17</f>
        <v>0.35194174757281554</v>
      </c>
      <c r="T83" s="153">
        <f t="shared" si="203"/>
        <v>0.3519417475728156</v>
      </c>
      <c r="U83" s="153">
        <f t="shared" si="203"/>
        <v>0.3519417475728156</v>
      </c>
      <c r="V83" s="153">
        <f t="shared" si="203"/>
        <v>0.3519417475728156</v>
      </c>
      <c r="W83" s="153">
        <f t="shared" si="203"/>
        <v>0.35194174757281554</v>
      </c>
      <c r="X83" s="153">
        <f t="shared" si="203"/>
        <v>0.3519417475728156</v>
      </c>
      <c r="Y83" s="153">
        <f t="shared" si="203"/>
        <v>0.3519417475728156</v>
      </c>
      <c r="Z83" s="153">
        <f t="shared" si="203"/>
        <v>0.3519417475728156</v>
      </c>
      <c r="AA83" s="153">
        <f t="shared" si="203"/>
        <v>0.35194174757281554</v>
      </c>
      <c r="AB83" s="153">
        <f t="shared" si="203"/>
        <v>0.3519417475728156</v>
      </c>
      <c r="AC83" s="138">
        <f t="shared" si="191"/>
        <v>4.7108856842979607E-2</v>
      </c>
      <c r="AD83" s="20"/>
      <c r="AE83" s="20"/>
    </row>
    <row r="84" spans="2:31" x14ac:dyDescent="0.2">
      <c r="B84" s="20" t="s">
        <v>328</v>
      </c>
      <c r="C84" s="20"/>
      <c r="D84" s="20"/>
      <c r="E84" s="20"/>
      <c r="F84" s="20"/>
      <c r="G84" s="153">
        <f t="shared" ref="G84:P84" si="204">G36/G24</f>
        <v>5.5977229601518026E-2</v>
      </c>
      <c r="H84" s="153">
        <f t="shared" si="204"/>
        <v>5.2810902896081771E-2</v>
      </c>
      <c r="I84" s="153">
        <f t="shared" si="204"/>
        <v>5.5012224938875302E-2</v>
      </c>
      <c r="J84" s="153">
        <f t="shared" si="204"/>
        <v>6.6346153846153846E-2</v>
      </c>
      <c r="K84" s="153">
        <f t="shared" si="204"/>
        <v>6.1934585942936674E-2</v>
      </c>
      <c r="L84" s="153">
        <f t="shared" si="204"/>
        <v>-2.8830313014827018E-2</v>
      </c>
      <c r="M84" s="153">
        <f t="shared" si="204"/>
        <v>3.5582822085889573E-2</v>
      </c>
      <c r="N84" s="153">
        <f t="shared" si="204"/>
        <v>4.1666666666666664E-2</v>
      </c>
      <c r="O84" s="153">
        <f t="shared" si="204"/>
        <v>4.8180924287118974E-2</v>
      </c>
      <c r="P84" s="153">
        <f t="shared" si="204"/>
        <v>6.3016079965232508E-2</v>
      </c>
      <c r="Q84" s="118">
        <f t="shared" si="189"/>
        <v>1.3247529794561563E-2</v>
      </c>
      <c r="R84" s="20"/>
      <c r="S84" s="153">
        <f t="shared" ref="S84:AB84" si="205">S36/S24</f>
        <v>6.3016079965232522E-2</v>
      </c>
      <c r="T84" s="153">
        <f t="shared" si="205"/>
        <v>6.3016079965232522E-2</v>
      </c>
      <c r="U84" s="153">
        <f t="shared" si="205"/>
        <v>6.3016079965232508E-2</v>
      </c>
      <c r="V84" s="153">
        <f t="shared" si="205"/>
        <v>6.3016079965232508E-2</v>
      </c>
      <c r="W84" s="153">
        <f t="shared" si="205"/>
        <v>6.3016079965232508E-2</v>
      </c>
      <c r="X84" s="153">
        <f t="shared" si="205"/>
        <v>6.3016079965232508E-2</v>
      </c>
      <c r="Y84" s="153">
        <f t="shared" si="205"/>
        <v>6.3016079965232508E-2</v>
      </c>
      <c r="Z84" s="153">
        <f t="shared" si="205"/>
        <v>6.3016079965232494E-2</v>
      </c>
      <c r="AA84" s="153">
        <f t="shared" si="205"/>
        <v>6.3016079965232494E-2</v>
      </c>
      <c r="AB84" s="153">
        <f t="shared" si="205"/>
        <v>6.3016079965232494E-2</v>
      </c>
      <c r="AC84" s="138">
        <f t="shared" si="191"/>
        <v>6.2534155529390123E-3</v>
      </c>
      <c r="AD84" s="20"/>
      <c r="AE84" s="20"/>
    </row>
    <row r="85" spans="2:3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28"/>
      <c r="R85" s="128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39"/>
      <c r="AD85" s="20"/>
      <c r="AE85" s="20"/>
    </row>
    <row r="86" spans="2:31" x14ac:dyDescent="0.2">
      <c r="B86" s="108" t="s">
        <v>244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3"/>
      <c r="R86" s="23"/>
      <c r="S86" s="122" t="s">
        <v>66</v>
      </c>
      <c r="T86" s="20"/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3" t="s">
        <v>281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5"/>
      <c r="Q87" s="162">
        <f>AVERAGE(G45:P45)</f>
        <v>6.8010700232660373</v>
      </c>
      <c r="R87" s="23"/>
      <c r="S87" s="134"/>
      <c r="T87" s="20"/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 t="s">
        <v>25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>
        <f>S88+T88</f>
        <v>2.426940681142995</v>
      </c>
      <c r="S88" s="133">
        <f>PV($C$1, ($AB$3-$S$3), 0, -AB45)</f>
        <v>0.27850138963936005</v>
      </c>
      <c r="T88" s="133">
        <f>PV($C$1, ($AB$3-$S$3), 0, -AE45)</f>
        <v>2.1484392915036348</v>
      </c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273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ref="R89:R107" si="206">S89+T89</f>
        <v>15.465470271559496</v>
      </c>
      <c r="S89" s="133">
        <f>PV($C$1, ($AB$3-$S$3), 0, -AB46)</f>
        <v>1.7747260967363356</v>
      </c>
      <c r="T89" s="133">
        <f>PV($C$1, ($AB$3-$S$3), 0, -AE46)</f>
        <v>13.690744174823161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 t="s">
        <v>274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 t="shared" si="206"/>
        <v>14.94660709145306</v>
      </c>
      <c r="S90" s="133">
        <f>PV($C$1, ($AB$3-$S$3), 0, -AB47)</f>
        <v>1.715184420330679</v>
      </c>
      <c r="T90" s="133">
        <f>PV($C$1, ($AB$3-$S$3), 0, -AE47)</f>
        <v>13.231422671122381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0" t="s">
        <v>275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>
        <f t="shared" si="206"/>
        <v>2.744953597982422</v>
      </c>
      <c r="S91" s="133">
        <f>PV($C$1, ($AB$3-$S$3), 0, -AB48)</f>
        <v>0.3149946751783107</v>
      </c>
      <c r="T91" s="133">
        <f>PV($C$1, ($AB$3-$S$3), 0, -AE48)</f>
        <v>2.4299589228041114</v>
      </c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20" t="s">
        <v>276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 t="shared" si="206"/>
        <v>0.66950087755668841</v>
      </c>
      <c r="S92" s="133">
        <f>PV($C$1, ($AB$3-$S$3), 0, -AB54)</f>
        <v>7.6827969555685549E-2</v>
      </c>
      <c r="T92" s="133">
        <f>PV($C$1, ($AB$3-$S$3), 0, -AE54)</f>
        <v>0.59267290800100281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/>
      <c r="S93" s="133"/>
      <c r="T93" s="20"/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 t="s">
        <v>271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>
        <f t="shared" si="206"/>
        <v>12.720516673577077</v>
      </c>
      <c r="S94" s="133">
        <f>PV($C$1, ($AB$3-$S$3), 0, -AB50)</f>
        <v>1.4597314215580253</v>
      </c>
      <c r="T94" s="133">
        <f>PV($C$1, ($AB$3-$S$3), 0, -$AE$50)</f>
        <v>11.260785252019051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272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206"/>
        <v>8.753723974053699</v>
      </c>
      <c r="S95" s="133">
        <f>PV($C$1, ($AB$3-$S$3), 0, -AB51)</f>
        <v>1.0045257019405884</v>
      </c>
      <c r="T95" s="133">
        <f>PV($C$1, ($AB$3-$S$3), 0, -$AE$51)</f>
        <v>7.7491982721131096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277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>
        <f t="shared" si="206"/>
        <v>17.440497860351726</v>
      </c>
      <c r="S96" s="133">
        <f>PV($C$1, ($AB$3-$S$3), 0, -AB52)</f>
        <v>2.0013686069256078</v>
      </c>
      <c r="T96" s="133">
        <f>PV($C$1, ($AB$3-$S$3), 0, -$AE$52)</f>
        <v>15.439129253426119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33"/>
      <c r="T97" s="2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 t="s">
        <v>249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si="206"/>
        <v>8.6867738862980293</v>
      </c>
      <c r="S98" s="133">
        <f>PV($C$1, ($AB$3-$S$3), 0, -AB57)</f>
        <v>0.99684290498501971</v>
      </c>
      <c r="T98" s="133">
        <f>PV($C$1, ($AB$3-$S$3), 0, -AE57)</f>
        <v>7.689930981313009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250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206"/>
        <v>3.3657635026258959</v>
      </c>
      <c r="S99" s="133">
        <f>PV($C$1, ($AB$3-$S$3), 0, -AB58)</f>
        <v>0.60694095948991567</v>
      </c>
      <c r="T99" s="133">
        <f>PV($C$1, ($AB$3-$S$3), 0, -AE58)</f>
        <v>2.7588225431359801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133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 t="s">
        <v>294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ref="R101" si="207">S101+T101</f>
        <v>235.52212645762543</v>
      </c>
      <c r="S101" s="133">
        <f>PV($C$1, ($AB$3-$S$3), 0, -AB12)</f>
        <v>27.027129265629153</v>
      </c>
      <c r="T101" s="133">
        <f>PV($C$1, ($AB$3-$S$3), 0, -AE12)</f>
        <v>208.49499719199628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295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>S102+T102</f>
        <v>15.403670795135739</v>
      </c>
      <c r="S102" s="140">
        <f>S101/P38</f>
        <v>1.7676343535401671</v>
      </c>
      <c r="T102" s="140">
        <f>T101/P38</f>
        <v>13.636036441595571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/>
      <c r="S103" s="140"/>
      <c r="T103" s="140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108" t="s">
        <v>298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133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283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ref="R105" si="208">S105+T105</f>
        <v>11.874063736523604</v>
      </c>
      <c r="S105" s="133">
        <f>PV($C$1, ($AB$3-$S$3), 0, -AB60)+PV($C$1, ($AA$3-$S$3), 0, -AB60)+PV($C$1, ($Z$3-$S$3), 0, -AB60)+PV($C$1, ($Y$3-$S$3), 0, -AB60)+PV($C$1, ($X$3-$S$3), 0, -AB60)+PV($C$1, ($W$3-$S$3), 0, -AB60)+PV($C$1, ($V$3-$S$3), 0, -AB60)+PV($C$1, ($U$3-$S$3), 0, -AB60)+PV($C$1, ($T$3-$S$3), 0, -AB60)+PV($C$1, ($S$3-$S$3), 0, -AB60)</f>
        <v>9.3556244792730094</v>
      </c>
      <c r="T105" s="133">
        <f>PV($C$1, ($AB$3-$S$3), 0, -AE60)</f>
        <v>2.5184392572505954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/>
      <c r="S106" s="133"/>
      <c r="T106" s="133"/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0" t="s">
        <v>291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>
        <f t="shared" si="206"/>
        <v>0</v>
      </c>
      <c r="S107" s="133">
        <f>PV($C$1, ($AB$3-$S$3), 0, -AB62)+PV($C$1, ($AA$3-$S$3), 0, -AB62)+PV($C$1, ($Z$3-$S$3), 0, -AB62)+PV($C$1, ($Y$3-$S$3), 0, -AB62)+PV($C$1, ($X$3-$S$3), 0, -AB62)+PV($C$1, ($W$3-$S$3), 0, -AB62)+PV($C$1, ($V$3-$S$3), 0, -AB62)+PV($C$1, ($U$3-$S$3), 0, -AB62)+PV($C$1, ($T$3-$S$3), 0, -AB62)+PV($C$1, ($S$3-$S$3), 0, -AB62)</f>
        <v>0</v>
      </c>
      <c r="T107" s="133">
        <f>PV($C$1, ($AB$3-$S$3), 0, -AE62)</f>
        <v>0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 t="s">
        <v>287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>
        <f t="shared" ref="R109:R112" si="209">S109+T109</f>
        <v>0</v>
      </c>
      <c r="S109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09" s="133">
        <f>PV($C$1, ($AB$3-$S$3), 0, -AE64)</f>
        <v>0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0" t="s">
        <v>288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09"/>
        <v>0</v>
      </c>
      <c r="S110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10" s="133">
        <f>PV($C$1, ($AB$3-$S$3), 0, -AE65)</f>
        <v>0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 t="s">
        <v>289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209"/>
        <v>0</v>
      </c>
      <c r="S111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11" s="133">
        <f>PV($C$1, ($AB$3-$S$3), 0, -AE66)</f>
        <v>0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 t="s">
        <v>290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209"/>
        <v>0</v>
      </c>
      <c r="S112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12" s="133">
        <f>PV($C$1, ($AB$3-$S$3), 0, -AE67)</f>
        <v>0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/>
      <c r="S113" s="133"/>
      <c r="T113" s="133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 x14ac:dyDescent="0.2">
      <c r="B114" s="20" t="s">
        <v>299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>S114+T114</f>
        <v>0</v>
      </c>
      <c r="S114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14" s="133">
        <f>PV($C$1, ($AB$3-$S$3), 0, -AE68)</f>
        <v>0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 x14ac:dyDescent="0.2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121"/>
      <c r="T115" s="2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 x14ac:dyDescent="0.2">
      <c r="B116" s="108" t="s">
        <v>251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 x14ac:dyDescent="0.2">
      <c r="B117" s="20" t="s">
        <v>204</v>
      </c>
      <c r="C117" s="22">
        <v>14</v>
      </c>
      <c r="D117" s="22">
        <v>14</v>
      </c>
      <c r="E117" s="22">
        <v>14</v>
      </c>
      <c r="F117" s="22">
        <v>14</v>
      </c>
      <c r="G117" s="22">
        <v>14</v>
      </c>
      <c r="H117" s="22">
        <v>14250</v>
      </c>
      <c r="I117" s="22">
        <v>14</v>
      </c>
      <c r="J117" s="22">
        <v>14</v>
      </c>
      <c r="K117" s="22">
        <v>3000</v>
      </c>
      <c r="L117" s="22">
        <v>3000</v>
      </c>
      <c r="M117" s="22">
        <v>3000</v>
      </c>
      <c r="N117" s="22">
        <v>3000</v>
      </c>
      <c r="O117" s="22">
        <v>500</v>
      </c>
      <c r="P117" s="22">
        <v>70</v>
      </c>
      <c r="Q117" s="118">
        <f t="shared" ref="Q117:Q121" si="210">((P117/G117)^(1/($H$2-$H$1) ))-1</f>
        <v>0.19581317450040192</v>
      </c>
      <c r="R117" s="31">
        <v>0.1</v>
      </c>
      <c r="S117" s="119">
        <f t="shared" ref="S117" si="211">P117*(1+$R117)</f>
        <v>77</v>
      </c>
      <c r="T117" s="119">
        <f t="shared" ref="T117:AB117" si="212">S117*(1+$R117)</f>
        <v>84.7</v>
      </c>
      <c r="U117" s="119">
        <f t="shared" si="212"/>
        <v>93.170000000000016</v>
      </c>
      <c r="V117" s="119">
        <f t="shared" si="212"/>
        <v>102.48700000000002</v>
      </c>
      <c r="W117" s="119">
        <f t="shared" si="212"/>
        <v>112.73570000000004</v>
      </c>
      <c r="X117" s="119">
        <f t="shared" si="212"/>
        <v>124.00927000000006</v>
      </c>
      <c r="Y117" s="119">
        <f t="shared" si="212"/>
        <v>136.41019700000007</v>
      </c>
      <c r="Z117" s="119">
        <f t="shared" si="212"/>
        <v>150.05121670000008</v>
      </c>
      <c r="AA117" s="119">
        <f t="shared" si="212"/>
        <v>165.05633837000011</v>
      </c>
      <c r="AB117" s="119">
        <f t="shared" si="212"/>
        <v>181.56197220700014</v>
      </c>
      <c r="AC117" s="138">
        <f t="shared" ref="AC117:AC121" si="213">((AB117/G117)^(1/($AB$3-$H$1) ))-1</f>
        <v>0.14438858911166741</v>
      </c>
      <c r="AD117" s="31">
        <v>0.08</v>
      </c>
      <c r="AE117" s="127">
        <f t="shared" ref="AE117:AE122" si="214">(AB117*(1+AC117))/($C$1-AD117)</f>
        <v>1484.124637216433</v>
      </c>
    </row>
    <row r="118" spans="2:31" x14ac:dyDescent="0.2">
      <c r="B118" s="20" t="s">
        <v>42</v>
      </c>
      <c r="C118" s="25" t="e">
        <f t="shared" ref="C118:P118" si="215">C117/C45</f>
        <v>#DIV/0!</v>
      </c>
      <c r="D118" s="25" t="e">
        <f t="shared" si="215"/>
        <v>#DIV/0!</v>
      </c>
      <c r="E118" s="25" t="e">
        <f t="shared" si="215"/>
        <v>#DIV/0!</v>
      </c>
      <c r="F118" s="25" t="e">
        <f t="shared" si="215"/>
        <v>#DIV/0!</v>
      </c>
      <c r="G118" s="25">
        <f t="shared" si="215"/>
        <v>1.4474576271186439</v>
      </c>
      <c r="H118" s="25">
        <f t="shared" si="215"/>
        <v>1402.016129032258</v>
      </c>
      <c r="I118" s="25">
        <f t="shared" si="215"/>
        <v>0.94888888888888878</v>
      </c>
      <c r="J118" s="25">
        <f t="shared" si="215"/>
        <v>3.1023188405797097</v>
      </c>
      <c r="K118" s="25">
        <f t="shared" si="215"/>
        <v>515.39325842696621</v>
      </c>
      <c r="L118" s="25">
        <f t="shared" si="215"/>
        <v>-1310.5714285714284</v>
      </c>
      <c r="M118" s="25">
        <f t="shared" si="215"/>
        <v>790.86206896551721</v>
      </c>
      <c r="N118" s="25">
        <f t="shared" si="215"/>
        <v>527.24137931034477</v>
      </c>
      <c r="O118" s="25">
        <f t="shared" si="215"/>
        <v>78.010204081632651</v>
      </c>
      <c r="P118" s="25">
        <f t="shared" si="215"/>
        <v>7.3813793103448271</v>
      </c>
      <c r="Q118" s="118">
        <f t="shared" si="210"/>
        <v>0.19843540107958657</v>
      </c>
      <c r="R118" s="128"/>
      <c r="S118" s="119">
        <f t="shared" ref="S118:AB118" si="216">S117/S45</f>
        <v>46.176911544227885</v>
      </c>
      <c r="T118" s="119">
        <f t="shared" si="216"/>
        <v>50.794602698650671</v>
      </c>
      <c r="U118" s="119">
        <f t="shared" si="216"/>
        <v>55.874062968515751</v>
      </c>
      <c r="V118" s="119">
        <f t="shared" si="216"/>
        <v>61.46146926536732</v>
      </c>
      <c r="W118" s="119">
        <f t="shared" si="216"/>
        <v>67.607616191904071</v>
      </c>
      <c r="X118" s="119">
        <f t="shared" si="216"/>
        <v>74.36837781109449</v>
      </c>
      <c r="Y118" s="119">
        <f t="shared" si="216"/>
        <v>81.805215592203936</v>
      </c>
      <c r="Z118" s="119">
        <f t="shared" si="216"/>
        <v>89.985737151424345</v>
      </c>
      <c r="AA118" s="119">
        <f t="shared" si="216"/>
        <v>98.984310866566787</v>
      </c>
      <c r="AB118" s="119">
        <f t="shared" si="216"/>
        <v>108.88274195322347</v>
      </c>
      <c r="AC118" s="138">
        <f t="shared" si="213"/>
        <v>0.2553228410782602</v>
      </c>
      <c r="AD118" s="31">
        <v>0.08</v>
      </c>
      <c r="AE118" s="127">
        <f t="shared" si="214"/>
        <v>976.30709266508256</v>
      </c>
    </row>
    <row r="119" spans="2:31" x14ac:dyDescent="0.2">
      <c r="B119" s="20" t="s">
        <v>259</v>
      </c>
      <c r="C119" s="25" t="e">
        <f t="shared" ref="C119:P119" si="217">C117/C47</f>
        <v>#DIV/0!</v>
      </c>
      <c r="D119" s="25" t="e">
        <f t="shared" si="217"/>
        <v>#DIV/0!</v>
      </c>
      <c r="E119" s="25" t="e">
        <f t="shared" si="217"/>
        <v>#DIV/0!</v>
      </c>
      <c r="F119" s="25" t="e">
        <f t="shared" si="217"/>
        <v>#DIV/0!</v>
      </c>
      <c r="G119" s="25">
        <f t="shared" si="217"/>
        <v>8.4055118110236221E-2</v>
      </c>
      <c r="H119" s="25">
        <f t="shared" si="217"/>
        <v>92.473404255319153</v>
      </c>
      <c r="I119" s="25">
        <f t="shared" si="217"/>
        <v>8.4554455445544546E-2</v>
      </c>
      <c r="J119" s="25">
        <f t="shared" si="217"/>
        <v>0.38990892531876137</v>
      </c>
      <c r="K119" s="25">
        <f t="shared" si="217"/>
        <v>75.073649754500806</v>
      </c>
      <c r="L119" s="25">
        <f t="shared" si="217"/>
        <v>81.185840707964601</v>
      </c>
      <c r="M119" s="25">
        <f t="shared" si="217"/>
        <v>74.828711256117444</v>
      </c>
      <c r="N119" s="25">
        <f t="shared" si="217"/>
        <v>66.768558951965062</v>
      </c>
      <c r="O119" s="25">
        <f t="shared" si="217"/>
        <v>9.9285714285714288</v>
      </c>
      <c r="P119" s="25">
        <f t="shared" si="217"/>
        <v>1.1985442329227323</v>
      </c>
      <c r="Q119" s="118">
        <f t="shared" si="210"/>
        <v>0.34348311183301661</v>
      </c>
      <c r="R119" s="128"/>
      <c r="S119" s="119">
        <f t="shared" ref="S119:AB119" si="218">S117/S47</f>
        <v>7.4979307658600716</v>
      </c>
      <c r="T119" s="119">
        <f t="shared" si="218"/>
        <v>8.2477238424460815</v>
      </c>
      <c r="U119" s="119">
        <f t="shared" si="218"/>
        <v>9.0724962266906886</v>
      </c>
      <c r="V119" s="119">
        <f t="shared" si="218"/>
        <v>9.9797458493597571</v>
      </c>
      <c r="W119" s="119">
        <f t="shared" si="218"/>
        <v>10.977720434295737</v>
      </c>
      <c r="X119" s="119">
        <f t="shared" si="218"/>
        <v>12.075492477725312</v>
      </c>
      <c r="Y119" s="119">
        <f t="shared" si="218"/>
        <v>13.283041725497844</v>
      </c>
      <c r="Z119" s="119">
        <f t="shared" si="218"/>
        <v>14.611345898047629</v>
      </c>
      <c r="AA119" s="119">
        <f t="shared" si="218"/>
        <v>16.072480487852392</v>
      </c>
      <c r="AB119" s="119">
        <f t="shared" si="218"/>
        <v>17.679728536637633</v>
      </c>
      <c r="AC119" s="138">
        <f t="shared" si="213"/>
        <v>0.32513003078116309</v>
      </c>
      <c r="AD119" s="31">
        <v>0.08</v>
      </c>
      <c r="AE119" s="127">
        <f t="shared" si="214"/>
        <v>167.34242299969452</v>
      </c>
    </row>
    <row r="120" spans="2:31" x14ac:dyDescent="0.2">
      <c r="B120" s="20" t="s">
        <v>260</v>
      </c>
      <c r="C120" s="25" t="e">
        <f t="shared" ref="C120:P120" si="219">C117/C56</f>
        <v>#DIV/0!</v>
      </c>
      <c r="D120" s="25" t="e">
        <f t="shared" si="219"/>
        <v>#DIV/0!</v>
      </c>
      <c r="E120" s="25" t="e">
        <f t="shared" si="219"/>
        <v>#DIV/0!</v>
      </c>
      <c r="F120" s="25" t="e">
        <f t="shared" si="219"/>
        <v>#DIV/0!</v>
      </c>
      <c r="G120" s="25">
        <f t="shared" si="219"/>
        <v>0.13598726114649679</v>
      </c>
      <c r="H120" s="25">
        <f t="shared" si="219"/>
        <v>169.77539062499997</v>
      </c>
      <c r="I120" s="25">
        <f t="shared" si="219"/>
        <v>0.12900302114803627</v>
      </c>
      <c r="J120" s="25">
        <f t="shared" si="219"/>
        <v>0.62226744186046512</v>
      </c>
      <c r="K120" s="25">
        <f t="shared" si="219"/>
        <v>135.54964539007091</v>
      </c>
      <c r="L120" s="25">
        <f t="shared" si="219"/>
        <v>134.12280701754383</v>
      </c>
      <c r="M120" s="25">
        <f t="shared" si="219"/>
        <v>149.41368078175893</v>
      </c>
      <c r="N120" s="25">
        <f t="shared" si="219"/>
        <v>171.79775280898875</v>
      </c>
      <c r="O120" s="25">
        <f t="shared" si="219"/>
        <v>26.82456140350877</v>
      </c>
      <c r="P120" s="25">
        <f t="shared" si="219"/>
        <v>2.9403846153846152</v>
      </c>
      <c r="Q120" s="118">
        <f t="shared" si="210"/>
        <v>0.40709324917543332</v>
      </c>
      <c r="R120" s="128"/>
      <c r="S120" s="119">
        <f t="shared" ref="S120:AB120" si="220">S117/S56</f>
        <v>18.394648829431439</v>
      </c>
      <c r="T120" s="119">
        <f t="shared" si="220"/>
        <v>20.234113712374583</v>
      </c>
      <c r="U120" s="119">
        <f t="shared" si="220"/>
        <v>22.257525083612045</v>
      </c>
      <c r="V120" s="119">
        <f t="shared" si="220"/>
        <v>24.483277591973248</v>
      </c>
      <c r="W120" s="119">
        <f t="shared" si="220"/>
        <v>26.931605351170578</v>
      </c>
      <c r="X120" s="119">
        <f t="shared" si="220"/>
        <v>29.624765886287641</v>
      </c>
      <c r="Y120" s="119">
        <f t="shared" si="220"/>
        <v>32.587242474916401</v>
      </c>
      <c r="Z120" s="119">
        <f t="shared" si="220"/>
        <v>35.845966722408036</v>
      </c>
      <c r="AA120" s="119">
        <f t="shared" si="220"/>
        <v>39.43056339464885</v>
      </c>
      <c r="AB120" s="119">
        <f t="shared" si="220"/>
        <v>43.373619734113745</v>
      </c>
      <c r="AC120" s="138">
        <f t="shared" si="213"/>
        <v>0.3544878960585276</v>
      </c>
      <c r="AD120" s="31">
        <v>0.08</v>
      </c>
      <c r="AE120" s="127">
        <f t="shared" si="214"/>
        <v>419.63602098644543</v>
      </c>
    </row>
    <row r="121" spans="2:31" x14ac:dyDescent="0.2">
      <c r="B121" s="20" t="s">
        <v>261</v>
      </c>
      <c r="C121" s="25" t="e">
        <f t="shared" ref="C121:P121" si="221">C117/C58</f>
        <v>#DIV/0!</v>
      </c>
      <c r="D121" s="25" t="e">
        <f t="shared" si="221"/>
        <v>#DIV/0!</v>
      </c>
      <c r="E121" s="25" t="e">
        <f t="shared" si="221"/>
        <v>#DIV/0!</v>
      </c>
      <c r="F121" s="25" t="e">
        <f t="shared" si="221"/>
        <v>#DIV/0!</v>
      </c>
      <c r="G121" s="25">
        <f t="shared" si="221"/>
        <v>0.35882352941176465</v>
      </c>
      <c r="H121" s="25">
        <f t="shared" si="221"/>
        <v>252.68895348837208</v>
      </c>
      <c r="I121" s="25">
        <f t="shared" si="221"/>
        <v>0.15873605947955388</v>
      </c>
      <c r="J121" s="25">
        <f t="shared" si="221"/>
        <v>0.84275590551181101</v>
      </c>
      <c r="K121" s="25">
        <f t="shared" si="221"/>
        <v>196.02564102564102</v>
      </c>
      <c r="L121" s="25">
        <f t="shared" si="221"/>
        <v>372.92682926829269</v>
      </c>
      <c r="M121" s="25">
        <f t="shared" si="221"/>
        <v>241.42105263157896</v>
      </c>
      <c r="N121" s="25">
        <f t="shared" si="221"/>
        <v>153.92617449664431</v>
      </c>
      <c r="O121" s="25">
        <f t="shared" si="221"/>
        <v>27.799999999999997</v>
      </c>
      <c r="P121" s="25">
        <f t="shared" si="221"/>
        <v>3.3870253164556958</v>
      </c>
      <c r="Q121" s="118">
        <f t="shared" si="210"/>
        <v>0.28329467486727777</v>
      </c>
      <c r="R121" s="128"/>
      <c r="S121" s="119">
        <f t="shared" ref="S121:AB121" si="222">S117/S58</f>
        <v>21.188772702256468</v>
      </c>
      <c r="T121" s="119">
        <f t="shared" si="222"/>
        <v>23.30764997248211</v>
      </c>
      <c r="U121" s="119">
        <f t="shared" si="222"/>
        <v>25.638414969730327</v>
      </c>
      <c r="V121" s="119">
        <f t="shared" si="222"/>
        <v>28.202256466703361</v>
      </c>
      <c r="W121" s="119">
        <f t="shared" si="222"/>
        <v>31.022482113373702</v>
      </c>
      <c r="X121" s="119">
        <f t="shared" si="222"/>
        <v>34.124730324711074</v>
      </c>
      <c r="Y121" s="119">
        <f t="shared" si="222"/>
        <v>37.537203357182186</v>
      </c>
      <c r="Z121" s="119">
        <f t="shared" si="222"/>
        <v>41.290923692900407</v>
      </c>
      <c r="AA121" s="119">
        <f t="shared" si="222"/>
        <v>45.420016062190456</v>
      </c>
      <c r="AB121" s="119">
        <f t="shared" si="222"/>
        <v>49.962017668409509</v>
      </c>
      <c r="AC121" s="138">
        <f t="shared" si="213"/>
        <v>0.29666988327159061</v>
      </c>
      <c r="AD121" s="31">
        <v>0.08</v>
      </c>
      <c r="AE121" s="127">
        <f t="shared" si="214"/>
        <v>462.7445972722121</v>
      </c>
    </row>
    <row r="122" spans="2:31" x14ac:dyDescent="0.2">
      <c r="B122" s="20" t="s">
        <v>282</v>
      </c>
      <c r="C122" s="25" t="e">
        <f>C118/C85</f>
        <v>#DIV/0!</v>
      </c>
      <c r="D122" s="25" t="e">
        <f>D118/D85</f>
        <v>#DIV/0!</v>
      </c>
      <c r="E122" s="25" t="e">
        <f>E118/E85</f>
        <v>#DIV/0!</v>
      </c>
      <c r="F122" s="25" t="e">
        <f>F118/F85</f>
        <v>#DIV/0!</v>
      </c>
      <c r="G122" s="25">
        <f t="shared" ref="G122:P122" si="223">G117/G52</f>
        <v>0.11062176165803109</v>
      </c>
      <c r="H122" s="25">
        <f t="shared" si="223"/>
        <v>93.067451820128468</v>
      </c>
      <c r="I122" s="25">
        <f t="shared" si="223"/>
        <v>8.1644359464627142E-2</v>
      </c>
      <c r="J122" s="25">
        <f t="shared" si="223"/>
        <v>0.41324324324324324</v>
      </c>
      <c r="K122" s="25">
        <f t="shared" si="223"/>
        <v>86.710775047258977</v>
      </c>
      <c r="L122" s="25">
        <f t="shared" si="223"/>
        <v>137.33532934131736</v>
      </c>
      <c r="M122" s="25">
        <f t="shared" si="223"/>
        <v>96.365546218487381</v>
      </c>
      <c r="N122" s="25">
        <f t="shared" si="223"/>
        <v>68.667664670658681</v>
      </c>
      <c r="O122" s="25">
        <f t="shared" si="223"/>
        <v>9.2330917874396139</v>
      </c>
      <c r="P122" s="25">
        <f t="shared" si="223"/>
        <v>1.0271593090211133</v>
      </c>
      <c r="Q122" s="118">
        <f t="shared" ref="Q122" si="224">((P122/G122)^(1/($H$2-$H$1) ))-1</f>
        <v>0.28095250178148423</v>
      </c>
      <c r="R122" s="128"/>
      <c r="S122" s="135">
        <f t="shared" ref="S122:AB122" si="225">S117/S52</f>
        <v>6.4257698406075283</v>
      </c>
      <c r="T122" s="135">
        <f t="shared" si="225"/>
        <v>7.0683468246682812</v>
      </c>
      <c r="U122" s="135">
        <f t="shared" si="225"/>
        <v>7.7751815071351089</v>
      </c>
      <c r="V122" s="135">
        <f t="shared" si="225"/>
        <v>8.5526996578486223</v>
      </c>
      <c r="W122" s="135">
        <f t="shared" si="225"/>
        <v>9.4079696236334875</v>
      </c>
      <c r="X122" s="135">
        <f t="shared" si="225"/>
        <v>10.348766585996833</v>
      </c>
      <c r="Y122" s="135">
        <f t="shared" si="225"/>
        <v>11.383643244596518</v>
      </c>
      <c r="Z122" s="135">
        <f t="shared" si="225"/>
        <v>12.52200756905617</v>
      </c>
      <c r="AA122" s="135">
        <f t="shared" si="225"/>
        <v>13.774208325961787</v>
      </c>
      <c r="AB122" s="135">
        <f t="shared" si="225"/>
        <v>15.15162915855797</v>
      </c>
      <c r="AC122" s="138">
        <f t="shared" ref="AC122" si="226">((AB122/G122)^(1/($AB$3-$H$1) ))-1</f>
        <v>0.29554833063644725</v>
      </c>
      <c r="AD122" s="31">
        <v>0.08</v>
      </c>
      <c r="AE122" s="127">
        <f t="shared" si="214"/>
        <v>140.21191330565924</v>
      </c>
    </row>
    <row r="123" spans="2:31" x14ac:dyDescent="0.2">
      <c r="B123" s="20" t="s">
        <v>325</v>
      </c>
      <c r="C123" s="163">
        <f t="shared" ref="C123:O123" si="227">C45/C117</f>
        <v>0</v>
      </c>
      <c r="D123" s="163">
        <f t="shared" si="227"/>
        <v>0</v>
      </c>
      <c r="E123" s="163">
        <f t="shared" si="227"/>
        <v>0</v>
      </c>
      <c r="F123" s="163">
        <f t="shared" si="227"/>
        <v>0</v>
      </c>
      <c r="G123" s="163">
        <f t="shared" si="227"/>
        <v>0.69086651053864168</v>
      </c>
      <c r="H123" s="163">
        <f t="shared" si="227"/>
        <v>7.1325855622663217E-4</v>
      </c>
      <c r="I123" s="163">
        <f t="shared" si="227"/>
        <v>1.053864168618267</v>
      </c>
      <c r="J123" s="163">
        <f t="shared" si="227"/>
        <v>0.32233953097262452</v>
      </c>
      <c r="K123" s="163">
        <f t="shared" si="227"/>
        <v>1.9402659690429477E-3</v>
      </c>
      <c r="L123" s="163">
        <f t="shared" si="227"/>
        <v>-7.630259428820581E-4</v>
      </c>
      <c r="M123" s="163">
        <f t="shared" si="227"/>
        <v>1.2644429910616962E-3</v>
      </c>
      <c r="N123" s="163">
        <f t="shared" si="227"/>
        <v>1.8966644865925444E-3</v>
      </c>
      <c r="O123" s="163">
        <f t="shared" si="227"/>
        <v>1.2818835840418576E-2</v>
      </c>
      <c r="P123" s="163">
        <f>P45/P117</f>
        <v>0.1354760347566103</v>
      </c>
      <c r="Q123" s="128"/>
      <c r="R123" s="128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8"/>
      <c r="AD123" s="31"/>
      <c r="AE123" s="127"/>
    </row>
    <row r="124" spans="2:31" x14ac:dyDescent="0.2">
      <c r="B124" s="20" t="s">
        <v>326</v>
      </c>
      <c r="C124" s="153">
        <f t="shared" ref="C124:O124" si="228">C39/C117</f>
        <v>7.1428571428571425E-2</v>
      </c>
      <c r="D124" s="153">
        <f t="shared" si="228"/>
        <v>7.1428571428571425E-2</v>
      </c>
      <c r="E124" s="153">
        <f t="shared" si="228"/>
        <v>7.1428571428571425E-2</v>
      </c>
      <c r="F124" s="153">
        <f t="shared" si="228"/>
        <v>0.2857142857142857</v>
      </c>
      <c r="G124" s="153">
        <f t="shared" si="228"/>
        <v>0.2857142857142857</v>
      </c>
      <c r="H124" s="153">
        <f t="shared" si="228"/>
        <v>3.1578947368421053E-4</v>
      </c>
      <c r="I124" s="153">
        <f t="shared" si="228"/>
        <v>0.42857142857142855</v>
      </c>
      <c r="J124" s="153">
        <f t="shared" si="228"/>
        <v>9.9999999999999992E-2</v>
      </c>
      <c r="K124" s="153">
        <f t="shared" si="228"/>
        <v>5.0000000000000001E-4</v>
      </c>
      <c r="L124" s="153">
        <f t="shared" si="228"/>
        <v>6.666666666666667E-5</v>
      </c>
      <c r="M124" s="153">
        <f t="shared" si="228"/>
        <v>1.9999999999999998E-4</v>
      </c>
      <c r="N124" s="153">
        <f t="shared" si="228"/>
        <v>2.3333333333333333E-4</v>
      </c>
      <c r="O124" s="153">
        <f t="shared" si="228"/>
        <v>1.6000000000000001E-3</v>
      </c>
      <c r="P124" s="153">
        <f>P39/P117</f>
        <v>1.7142857142857144E-2</v>
      </c>
      <c r="Q124" s="128"/>
      <c r="R124" s="128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8"/>
      <c r="AD124" s="31"/>
      <c r="AE124" s="127"/>
    </row>
    <row r="125" spans="2:31" x14ac:dyDescent="0.2">
      <c r="B125" s="20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28"/>
      <c r="R125" s="128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8"/>
      <c r="AD125" s="31"/>
      <c r="AE125" s="127"/>
    </row>
    <row r="126" spans="2:31" x14ac:dyDescent="0.2">
      <c r="B126" s="20"/>
      <c r="C126" s="129"/>
      <c r="D126" s="129"/>
      <c r="E126" s="129"/>
      <c r="F126" s="129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28"/>
      <c r="R126" s="128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7"/>
      <c r="AD126" s="20"/>
      <c r="AE126" s="127"/>
    </row>
    <row r="127" spans="2:31" x14ac:dyDescent="0.2">
      <c r="B127" s="108" t="s">
        <v>304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301</v>
      </c>
      <c r="C128" s="20" t="s">
        <v>318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28">
        <f>(P117-R105)/P117</f>
        <v>0.83037051804966278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302</v>
      </c>
      <c r="C129" s="20" t="s">
        <v>318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28">
        <f>(P117-R96)/P117</f>
        <v>0.75085003056640387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303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5">
        <f>P117/R88</f>
        <v>28.842896962373516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 x14ac:dyDescent="0.2">
      <c r="B132" s="108" t="s">
        <v>305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 x14ac:dyDescent="0.2">
      <c r="B133" s="20" t="s">
        <v>308</v>
      </c>
      <c r="C133" s="25" t="e">
        <f t="shared" ref="C133:P133" si="229">C10/C7</f>
        <v>#DIV/0!</v>
      </c>
      <c r="D133" s="25" t="e">
        <f t="shared" si="229"/>
        <v>#DIV/0!</v>
      </c>
      <c r="E133" s="25" t="e">
        <f t="shared" si="229"/>
        <v>#DIV/0!</v>
      </c>
      <c r="F133" s="25" t="e">
        <f t="shared" si="229"/>
        <v>#DIV/0!</v>
      </c>
      <c r="G133" s="25">
        <f t="shared" si="229"/>
        <v>0.34944237918215615</v>
      </c>
      <c r="H133" s="25">
        <f t="shared" si="229"/>
        <v>0.26400000000000001</v>
      </c>
      <c r="I133" s="25">
        <f t="shared" si="229"/>
        <v>0.43656716417910446</v>
      </c>
      <c r="J133" s="25">
        <f t="shared" si="229"/>
        <v>0.45689655172413796</v>
      </c>
      <c r="K133" s="25">
        <f t="shared" si="229"/>
        <v>0.44773790951638065</v>
      </c>
      <c r="L133" s="25">
        <f t="shared" si="229"/>
        <v>0.49664429530201343</v>
      </c>
      <c r="M133" s="25">
        <f t="shared" si="229"/>
        <v>0.42768273716951788</v>
      </c>
      <c r="N133" s="25">
        <f t="shared" si="229"/>
        <v>0.36211699164345401</v>
      </c>
      <c r="O133" s="25">
        <f t="shared" si="229"/>
        <v>0.19375000000000001</v>
      </c>
      <c r="P133" s="25">
        <f t="shared" si="229"/>
        <v>0.1774891774891775</v>
      </c>
      <c r="Q133" s="118">
        <f t="shared" ref="Q133:Q135" si="230">((P133/G133)^(1/($H$2-$H$1) ))-1</f>
        <v>-7.2506872335331263E-2</v>
      </c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 x14ac:dyDescent="0.2">
      <c r="B134" s="20" t="s">
        <v>309</v>
      </c>
      <c r="C134" s="112" t="e">
        <f>C10/C12</f>
        <v>#DIV/0!</v>
      </c>
      <c r="D134" s="112" t="e">
        <f>D10/D12</f>
        <v>#DIV/0!</v>
      </c>
      <c r="E134" s="112" t="e">
        <f>E10/E12</f>
        <v>#DIV/0!</v>
      </c>
      <c r="F134" s="112" t="e">
        <f>F10/F12</f>
        <v>#DIV/0!</v>
      </c>
      <c r="G134" s="112">
        <f>G10/G12</f>
        <v>26.857142857142858</v>
      </c>
      <c r="H134" s="112">
        <f t="shared" ref="H134:P134" si="231">H10/H12</f>
        <v>18.857142857142858</v>
      </c>
      <c r="I134" s="112">
        <f t="shared" si="231"/>
        <v>3.9661016949152543</v>
      </c>
      <c r="J134" s="112">
        <f t="shared" si="231"/>
        <v>4.3442622950819674</v>
      </c>
      <c r="K134" s="112">
        <f t="shared" si="231"/>
        <v>13.411214953271029</v>
      </c>
      <c r="L134" s="112">
        <f t="shared" si="231"/>
        <v>10.571428571428571</v>
      </c>
      <c r="M134" s="112">
        <f t="shared" si="231"/>
        <v>10.185185185185185</v>
      </c>
      <c r="N134" s="112">
        <f t="shared" si="231"/>
        <v>11.818181818181818</v>
      </c>
      <c r="O134" s="112">
        <f t="shared" si="231"/>
        <v>3.2291666666666665</v>
      </c>
      <c r="P134" s="112">
        <f t="shared" si="231"/>
        <v>4.0999999999999996</v>
      </c>
      <c r="Q134" s="118">
        <f t="shared" si="230"/>
        <v>-0.18847356376823154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 x14ac:dyDescent="0.2">
      <c r="B135" s="20" t="s">
        <v>310</v>
      </c>
      <c r="C135" s="25" t="e">
        <f>C10/(C12+C13)</f>
        <v>#DIV/0!</v>
      </c>
      <c r="D135" s="25" t="e">
        <f>D10/(D12+D13)</f>
        <v>#DIV/0!</v>
      </c>
      <c r="E135" s="25" t="e">
        <f>E10/(E12+E13)</f>
        <v>#DIV/0!</v>
      </c>
      <c r="F135" s="25" t="e">
        <f>F10/(F12+F13)</f>
        <v>#DIV/0!</v>
      </c>
      <c r="G135" s="25">
        <f>G10/(G12+G13)</f>
        <v>0.59872611464968151</v>
      </c>
      <c r="H135" s="25">
        <f t="shared" ref="H135:P135" si="232">H10/(H12+H13)</f>
        <v>0.515625</v>
      </c>
      <c r="I135" s="25">
        <f t="shared" si="232"/>
        <v>0.70694864048338368</v>
      </c>
      <c r="J135" s="25">
        <f t="shared" si="232"/>
        <v>0.77034883720930236</v>
      </c>
      <c r="K135" s="25">
        <f t="shared" si="232"/>
        <v>0.84810874704491734</v>
      </c>
      <c r="L135" s="25">
        <f t="shared" si="232"/>
        <v>0.86549707602339176</v>
      </c>
      <c r="M135" s="25">
        <f t="shared" si="232"/>
        <v>0.89576547231270354</v>
      </c>
      <c r="N135" s="25">
        <f t="shared" si="232"/>
        <v>0.97378277153558057</v>
      </c>
      <c r="O135" s="25">
        <f t="shared" si="232"/>
        <v>0.54385964912280704</v>
      </c>
      <c r="P135" s="25">
        <f t="shared" si="232"/>
        <v>0.45054945054945056</v>
      </c>
      <c r="Q135" s="118">
        <f t="shared" si="230"/>
        <v>-3.1099092723082644E-2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 ht="15" x14ac:dyDescent="0.25">
      <c r="B139" s="20"/>
      <c r="C139" s="20"/>
      <c r="D139" s="20"/>
      <c r="E139" s="20"/>
      <c r="F139" s="20"/>
      <c r="G139" s="20"/>
      <c r="H139" s="20"/>
      <c r="I139" s="178" t="s">
        <v>336</v>
      </c>
      <c r="J139" s="179"/>
      <c r="K139" s="180"/>
      <c r="L139" s="20"/>
      <c r="M139" s="20"/>
      <c r="N139" s="20"/>
      <c r="O139" s="178" t="s">
        <v>342</v>
      </c>
      <c r="P139" s="179"/>
      <c r="Q139" s="18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 ht="15" x14ac:dyDescent="0.25">
      <c r="B140" s="20"/>
      <c r="C140" s="20"/>
      <c r="D140" s="20"/>
      <c r="E140" s="20"/>
      <c r="F140" s="20"/>
      <c r="G140" s="20"/>
      <c r="H140" s="20"/>
      <c r="I140" s="167" t="s">
        <v>337</v>
      </c>
      <c r="J140" s="167"/>
      <c r="K140" s="167" t="s">
        <v>0</v>
      </c>
      <c r="L140" s="20"/>
      <c r="M140" s="20"/>
      <c r="N140" s="137"/>
      <c r="O140" s="167" t="s">
        <v>337</v>
      </c>
      <c r="P140" s="167"/>
      <c r="Q140" s="167" t="s">
        <v>0</v>
      </c>
      <c r="R140" s="169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pans="2:31" ht="15" x14ac:dyDescent="0.25">
      <c r="B141" s="20"/>
      <c r="C141" s="20"/>
      <c r="D141" s="20"/>
      <c r="E141" s="20"/>
      <c r="F141" s="20"/>
      <c r="G141" s="20"/>
      <c r="H141" s="20"/>
      <c r="I141" s="20" t="s">
        <v>338</v>
      </c>
      <c r="J141" s="20"/>
      <c r="K141" s="170">
        <v>30</v>
      </c>
      <c r="L141" s="20"/>
      <c r="M141" s="20"/>
      <c r="N141" s="137"/>
      <c r="O141" s="20" t="s">
        <v>338</v>
      </c>
      <c r="P141" s="20"/>
      <c r="Q141" s="170">
        <v>30</v>
      </c>
      <c r="R141" s="169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spans="2:31" ht="15" x14ac:dyDescent="0.25">
      <c r="B142" s="20"/>
      <c r="C142" s="20"/>
      <c r="D142" s="20"/>
      <c r="E142" s="20"/>
      <c r="F142" s="20"/>
      <c r="G142" s="20"/>
      <c r="H142" s="20"/>
      <c r="I142" s="20" t="s">
        <v>339</v>
      </c>
      <c r="J142" s="20"/>
      <c r="K142" s="170">
        <v>1</v>
      </c>
      <c r="L142" s="20"/>
      <c r="M142" s="20"/>
      <c r="N142" s="137"/>
      <c r="O142" s="20" t="s">
        <v>339</v>
      </c>
      <c r="P142" s="20"/>
      <c r="Q142" s="170">
        <v>1</v>
      </c>
      <c r="R142" s="169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spans="2:31" ht="15" x14ac:dyDescent="0.25">
      <c r="B143" s="20"/>
      <c r="C143" s="20"/>
      <c r="D143" s="20"/>
      <c r="E143" s="20"/>
      <c r="F143" s="20"/>
      <c r="G143" s="20"/>
      <c r="H143" s="20"/>
      <c r="I143" s="20" t="s">
        <v>340</v>
      </c>
      <c r="J143" s="20"/>
      <c r="K143" s="171">
        <f>K141*K142</f>
        <v>30</v>
      </c>
      <c r="L143" s="20"/>
      <c r="M143" s="20"/>
      <c r="N143" s="137"/>
      <c r="O143" s="20" t="s">
        <v>340</v>
      </c>
      <c r="P143" s="20"/>
      <c r="Q143" s="171">
        <f>Q141*Q142</f>
        <v>30</v>
      </c>
      <c r="R143" s="169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spans="2:31" ht="15" x14ac:dyDescent="0.25">
      <c r="B144" s="20"/>
      <c r="C144" s="20"/>
      <c r="D144" s="20"/>
      <c r="E144" s="20"/>
      <c r="F144" s="20"/>
      <c r="G144" s="20"/>
      <c r="H144" s="20"/>
      <c r="I144" s="20" t="s">
        <v>341</v>
      </c>
      <c r="J144" s="20"/>
      <c r="K144" s="170">
        <v>500</v>
      </c>
      <c r="L144" s="20"/>
      <c r="M144" s="20"/>
      <c r="N144" s="137"/>
      <c r="O144" s="20" t="s">
        <v>341</v>
      </c>
      <c r="P144" s="20"/>
      <c r="Q144" s="170">
        <v>500</v>
      </c>
      <c r="R144" s="169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spans="2:31" ht="15" x14ac:dyDescent="0.25">
      <c r="B145" s="20"/>
      <c r="C145" s="20"/>
      <c r="D145" s="20"/>
      <c r="E145" s="20"/>
      <c r="F145" s="20"/>
      <c r="G145" s="20"/>
      <c r="H145" s="20"/>
      <c r="I145" s="20" t="s">
        <v>339</v>
      </c>
      <c r="J145" s="20"/>
      <c r="K145" s="170">
        <v>1</v>
      </c>
      <c r="L145" s="20"/>
      <c r="M145" s="20"/>
      <c r="N145" s="137"/>
      <c r="O145" s="20" t="s">
        <v>339</v>
      </c>
      <c r="P145" s="20"/>
      <c r="Q145" s="170">
        <v>1</v>
      </c>
      <c r="R145" s="169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2:31" ht="15" x14ac:dyDescent="0.25">
      <c r="B146" s="20"/>
      <c r="C146" s="20"/>
      <c r="D146" s="20"/>
      <c r="E146" s="20"/>
      <c r="F146" s="20"/>
      <c r="G146" s="20"/>
      <c r="H146" s="20"/>
      <c r="I146" s="20" t="s">
        <v>340</v>
      </c>
      <c r="J146" s="20"/>
      <c r="K146" s="171">
        <f>K145*K144</f>
        <v>500</v>
      </c>
      <c r="L146" s="20"/>
      <c r="M146" s="20"/>
      <c r="N146" s="137"/>
      <c r="O146" s="20" t="s">
        <v>340</v>
      </c>
      <c r="P146" s="20"/>
      <c r="Q146" s="171">
        <f>Q145*Q144</f>
        <v>500</v>
      </c>
      <c r="R146" s="169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2:31" ht="15" x14ac:dyDescent="0.25">
      <c r="B147" s="20"/>
      <c r="C147" s="20"/>
      <c r="D147" s="20"/>
      <c r="E147" s="20"/>
      <c r="F147" s="20"/>
      <c r="G147" s="20"/>
      <c r="H147" s="20"/>
      <c r="I147" s="172" t="s">
        <v>335</v>
      </c>
      <c r="J147" s="173"/>
      <c r="K147" s="173">
        <f>K146/K143</f>
        <v>16.666666666666668</v>
      </c>
      <c r="L147" s="20"/>
      <c r="M147" s="20"/>
      <c r="N147" s="137"/>
      <c r="O147" s="172" t="s">
        <v>335</v>
      </c>
      <c r="P147" s="20"/>
      <c r="Q147" s="173">
        <f>Q146/Q143</f>
        <v>16.666666666666668</v>
      </c>
      <c r="R147" s="169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</sheetData>
  <mergeCells count="4">
    <mergeCell ref="AD2:AE2"/>
    <mergeCell ref="AD3:AE3"/>
    <mergeCell ref="I139:K139"/>
    <mergeCell ref="O139:Q139"/>
  </mergeCells>
  <pageMargins left="0.7" right="0.7" top="0.75" bottom="0.75" header="0.3" footer="0.3"/>
  <pageSetup orientation="portrait" r:id="rId1"/>
  <ignoredErrors>
    <ignoredError sqref="C11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1" t="s">
        <v>27</v>
      </c>
      <c r="K5" s="181"/>
      <c r="M5" s="181" t="s">
        <v>65</v>
      </c>
      <c r="N5" s="18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1" t="s">
        <v>36</v>
      </c>
      <c r="K14" s="181"/>
      <c r="L14" s="18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81" t="s">
        <v>27</v>
      </c>
      <c r="S5" s="18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1" t="s">
        <v>36</v>
      </c>
      <c r="S14" s="181"/>
      <c r="T14" s="18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81" t="s">
        <v>27</v>
      </c>
      <c r="C2" s="181"/>
      <c r="E2" s="181" t="s">
        <v>65</v>
      </c>
      <c r="F2" s="181"/>
      <c r="H2" s="178" t="s">
        <v>36</v>
      </c>
      <c r="I2" s="17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82" t="s">
        <v>68</v>
      </c>
      <c r="E10" s="183"/>
      <c r="F10" s="183"/>
      <c r="G10" s="183"/>
      <c r="H10" s="184"/>
      <c r="I10" s="182" t="s">
        <v>72</v>
      </c>
      <c r="J10" s="183"/>
      <c r="K10" s="183"/>
      <c r="L10" s="18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2013-11-24T17:04:16Z</dcterms:modified>
</cp:coreProperties>
</file>
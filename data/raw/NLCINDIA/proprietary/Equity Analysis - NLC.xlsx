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</sheets>
  <calcPr calcId="125725"/>
</workbook>
</file>

<file path=xl/calcChain.xml><?xml version="1.0" encoding="utf-8"?>
<calcChain xmlns="http://schemas.openxmlformats.org/spreadsheetml/2006/main">
  <c r="K174" i="18"/>
  <c r="T190" l="1"/>
  <c r="T189"/>
  <c r="S40"/>
  <c r="D187"/>
  <c r="H187"/>
  <c r="L26"/>
  <c r="L91"/>
  <c r="J91"/>
  <c r="H91"/>
  <c r="F91"/>
  <c r="G91"/>
  <c r="I91"/>
  <c r="K91"/>
  <c r="M91"/>
  <c r="N91"/>
  <c r="O91"/>
  <c r="P91"/>
  <c r="H122"/>
  <c r="I122"/>
  <c r="J122"/>
  <c r="K122"/>
  <c r="L122"/>
  <c r="M122"/>
  <c r="N122"/>
  <c r="O122"/>
  <c r="P122"/>
  <c r="H121"/>
  <c r="I121"/>
  <c r="J121"/>
  <c r="K121"/>
  <c r="L121"/>
  <c r="M121"/>
  <c r="N121"/>
  <c r="O121"/>
  <c r="P121"/>
  <c r="R40"/>
  <c r="G201"/>
  <c r="G202" s="1"/>
  <c r="G203" s="1"/>
  <c r="G200"/>
  <c r="K198"/>
  <c r="K197"/>
  <c r="AD48"/>
  <c r="C48"/>
  <c r="D48"/>
  <c r="E48"/>
  <c r="F48"/>
  <c r="H48"/>
  <c r="I48"/>
  <c r="J48"/>
  <c r="K48"/>
  <c r="L48"/>
  <c r="M48"/>
  <c r="N48"/>
  <c r="O48"/>
  <c r="P48"/>
  <c r="G48"/>
  <c r="H192"/>
  <c r="D191"/>
  <c r="I190"/>
  <c r="J190" s="1"/>
  <c r="J191" s="1"/>
  <c r="H190"/>
  <c r="H188"/>
  <c r="H186"/>
  <c r="H185"/>
  <c r="I185" s="1"/>
  <c r="J185" s="1"/>
  <c r="D193" l="1"/>
  <c r="K201"/>
  <c r="Q48"/>
  <c r="K200"/>
  <c r="I186"/>
  <c r="J186" s="1"/>
  <c r="I192"/>
  <c r="J192" s="1"/>
  <c r="J193" s="1"/>
  <c r="H83"/>
  <c r="I83"/>
  <c r="J83"/>
  <c r="K83"/>
  <c r="L83"/>
  <c r="M83"/>
  <c r="N83"/>
  <c r="O83"/>
  <c r="P83"/>
  <c r="G83"/>
  <c r="H39"/>
  <c r="I39"/>
  <c r="J39"/>
  <c r="K39"/>
  <c r="L39"/>
  <c r="M39"/>
  <c r="N39"/>
  <c r="O39"/>
  <c r="P39"/>
  <c r="K37"/>
  <c r="L37"/>
  <c r="M37"/>
  <c r="J37"/>
  <c r="I37"/>
  <c r="H37"/>
  <c r="G37"/>
  <c r="P37"/>
  <c r="O37"/>
  <c r="N37"/>
  <c r="P30"/>
  <c r="O30"/>
  <c r="N30"/>
  <c r="M30"/>
  <c r="N28"/>
  <c r="O28"/>
  <c r="P28"/>
  <c r="N26"/>
  <c r="O26"/>
  <c r="P26"/>
  <c r="H11"/>
  <c r="I11"/>
  <c r="J11"/>
  <c r="K11"/>
  <c r="L11"/>
  <c r="M11"/>
  <c r="N11"/>
  <c r="O11"/>
  <c r="P11"/>
  <c r="G122"/>
  <c r="G121"/>
  <c r="AD14"/>
  <c r="R14"/>
  <c r="S14" s="1"/>
  <c r="T14" s="1"/>
  <c r="U14" s="1"/>
  <c r="V14" s="1"/>
  <c r="W14" s="1"/>
  <c r="X14" s="1"/>
  <c r="Y14" s="1"/>
  <c r="Z14" s="1"/>
  <c r="AA14" s="1"/>
  <c r="AB14" s="1"/>
  <c r="Q14"/>
  <c r="T186"/>
  <c r="T185"/>
  <c r="O186"/>
  <c r="O189" s="1"/>
  <c r="O185"/>
  <c r="H89"/>
  <c r="I89"/>
  <c r="J89"/>
  <c r="K89"/>
  <c r="L89"/>
  <c r="M89"/>
  <c r="N89"/>
  <c r="O89"/>
  <c r="P89"/>
  <c r="G89"/>
  <c r="H86"/>
  <c r="I86"/>
  <c r="J86"/>
  <c r="K86"/>
  <c r="L86"/>
  <c r="M86"/>
  <c r="N86"/>
  <c r="O86"/>
  <c r="P86"/>
  <c r="G86"/>
  <c r="H87"/>
  <c r="I87"/>
  <c r="J87"/>
  <c r="K87"/>
  <c r="L87"/>
  <c r="M87"/>
  <c r="N87"/>
  <c r="O87"/>
  <c r="P87"/>
  <c r="G87"/>
  <c r="H117"/>
  <c r="H118" s="1"/>
  <c r="I117"/>
  <c r="I118" s="1"/>
  <c r="J117"/>
  <c r="J118" s="1"/>
  <c r="K117"/>
  <c r="K118" s="1"/>
  <c r="L117"/>
  <c r="L118" s="1"/>
  <c r="M117"/>
  <c r="M118" s="1"/>
  <c r="N117"/>
  <c r="N118" s="1"/>
  <c r="O117"/>
  <c r="O118" s="1"/>
  <c r="P117"/>
  <c r="P118" s="1"/>
  <c r="G117"/>
  <c r="G118" s="1"/>
  <c r="I187" l="1"/>
  <c r="J187" s="1"/>
  <c r="I188" s="1"/>
  <c r="J188" s="1"/>
  <c r="J189" s="1"/>
  <c r="Q121"/>
  <c r="Q122"/>
  <c r="Q83"/>
  <c r="Q89"/>
  <c r="AC14"/>
  <c r="AE14"/>
  <c r="Q86"/>
  <c r="Q118"/>
  <c r="Q117"/>
  <c r="Q87"/>
  <c r="P82"/>
  <c r="P81"/>
  <c r="E82"/>
  <c r="F82"/>
  <c r="H82"/>
  <c r="I82"/>
  <c r="J82"/>
  <c r="K82"/>
  <c r="L82"/>
  <c r="M82"/>
  <c r="N82"/>
  <c r="O82"/>
  <c r="G82"/>
  <c r="G81"/>
  <c r="H115"/>
  <c r="I115"/>
  <c r="J115"/>
  <c r="K115"/>
  <c r="L115"/>
  <c r="M115"/>
  <c r="N115"/>
  <c r="O115"/>
  <c r="P115"/>
  <c r="G115"/>
  <c r="H114"/>
  <c r="I114"/>
  <c r="J114"/>
  <c r="K114"/>
  <c r="L114"/>
  <c r="M114"/>
  <c r="N114"/>
  <c r="O114"/>
  <c r="P114"/>
  <c r="G114"/>
  <c r="H111"/>
  <c r="I111"/>
  <c r="J111"/>
  <c r="K111"/>
  <c r="L111"/>
  <c r="M111"/>
  <c r="N111"/>
  <c r="O111"/>
  <c r="P111"/>
  <c r="G111"/>
  <c r="H112"/>
  <c r="I112"/>
  <c r="J112"/>
  <c r="K112"/>
  <c r="L112"/>
  <c r="M112"/>
  <c r="N112"/>
  <c r="O112"/>
  <c r="P112"/>
  <c r="G112"/>
  <c r="H110"/>
  <c r="I110"/>
  <c r="J110"/>
  <c r="K110"/>
  <c r="L110"/>
  <c r="M110"/>
  <c r="N110"/>
  <c r="O110"/>
  <c r="P110"/>
  <c r="G110"/>
  <c r="H109"/>
  <c r="I109"/>
  <c r="J109"/>
  <c r="K109"/>
  <c r="L109"/>
  <c r="M109"/>
  <c r="N109"/>
  <c r="O109"/>
  <c r="P109"/>
  <c r="G109"/>
  <c r="R155"/>
  <c r="H106"/>
  <c r="I106"/>
  <c r="J106"/>
  <c r="K106"/>
  <c r="L106"/>
  <c r="M106"/>
  <c r="N106"/>
  <c r="O106"/>
  <c r="P106"/>
  <c r="G106"/>
  <c r="H105"/>
  <c r="I105"/>
  <c r="J105"/>
  <c r="K105"/>
  <c r="L105"/>
  <c r="M105"/>
  <c r="N105"/>
  <c r="O105"/>
  <c r="P105"/>
  <c r="G105"/>
  <c r="H104"/>
  <c r="I104"/>
  <c r="J104"/>
  <c r="K104"/>
  <c r="L104"/>
  <c r="M104"/>
  <c r="N104"/>
  <c r="O104"/>
  <c r="P104"/>
  <c r="G104"/>
  <c r="B106"/>
  <c r="B105"/>
  <c r="K170"/>
  <c r="K169"/>
  <c r="K168"/>
  <c r="AD32"/>
  <c r="R32"/>
  <c r="S32" s="1"/>
  <c r="T32" s="1"/>
  <c r="U32" s="1"/>
  <c r="V32" s="1"/>
  <c r="W32" s="1"/>
  <c r="X32" s="1"/>
  <c r="Y32" s="1"/>
  <c r="Z32" s="1"/>
  <c r="AA32" s="1"/>
  <c r="AB32" s="1"/>
  <c r="Q32"/>
  <c r="G94"/>
  <c r="H94"/>
  <c r="I94"/>
  <c r="J94"/>
  <c r="K94"/>
  <c r="L94"/>
  <c r="M94"/>
  <c r="N94"/>
  <c r="O94"/>
  <c r="P94"/>
  <c r="S190"/>
  <c r="N189"/>
  <c r="S187"/>
  <c r="T187" s="1"/>
  <c r="T192" s="1"/>
  <c r="N187"/>
  <c r="O187" s="1"/>
  <c r="O192" s="1"/>
  <c r="F102"/>
  <c r="H102"/>
  <c r="I102"/>
  <c r="J102"/>
  <c r="K102"/>
  <c r="L102"/>
  <c r="M102"/>
  <c r="N102"/>
  <c r="O102"/>
  <c r="P102"/>
  <c r="G102"/>
  <c r="F101"/>
  <c r="H101"/>
  <c r="I101"/>
  <c r="J101"/>
  <c r="K101"/>
  <c r="L101"/>
  <c r="M101"/>
  <c r="N101"/>
  <c r="O101"/>
  <c r="P101"/>
  <c r="G101"/>
  <c r="Q112" l="1"/>
  <c r="Q82"/>
  <c r="Q109"/>
  <c r="Q115"/>
  <c r="Q114"/>
  <c r="Q110"/>
  <c r="Q111"/>
  <c r="Q104"/>
  <c r="Q105"/>
  <c r="Q106"/>
  <c r="Q94"/>
  <c r="AC32"/>
  <c r="AE32"/>
  <c r="N192"/>
  <c r="S192"/>
  <c r="Q102"/>
  <c r="Q101"/>
  <c r="R9"/>
  <c r="R10"/>
  <c r="R12"/>
  <c r="R13"/>
  <c r="R15"/>
  <c r="R16"/>
  <c r="R18"/>
  <c r="R20"/>
  <c r="R21"/>
  <c r="R22"/>
  <c r="R23"/>
  <c r="R25"/>
  <c r="R27"/>
  <c r="R29"/>
  <c r="R31"/>
  <c r="S31" s="1"/>
  <c r="T31" s="1"/>
  <c r="U31" s="1"/>
  <c r="V31" s="1"/>
  <c r="W31" s="1"/>
  <c r="X31" s="1"/>
  <c r="Y31" s="1"/>
  <c r="Z31" s="1"/>
  <c r="AA31" s="1"/>
  <c r="AB31" s="1"/>
  <c r="R33"/>
  <c r="R34"/>
  <c r="R36"/>
  <c r="R38"/>
  <c r="R7"/>
  <c r="R6"/>
  <c r="AD9"/>
  <c r="AD10"/>
  <c r="AD11"/>
  <c r="AD12"/>
  <c r="AD13"/>
  <c r="AD15"/>
  <c r="AD16"/>
  <c r="AD18"/>
  <c r="AD20"/>
  <c r="AD21"/>
  <c r="AD22"/>
  <c r="AD23"/>
  <c r="AD25"/>
  <c r="AD27"/>
  <c r="AD29"/>
  <c r="AD31"/>
  <c r="AD33"/>
  <c r="AD34"/>
  <c r="AD36"/>
  <c r="AD38"/>
  <c r="AD40"/>
  <c r="AD41"/>
  <c r="AD44"/>
  <c r="AD45"/>
  <c r="AD47"/>
  <c r="AD49"/>
  <c r="AD50"/>
  <c r="AD51"/>
  <c r="AD53"/>
  <c r="AD54"/>
  <c r="AD55"/>
  <c r="AD57"/>
  <c r="AD58"/>
  <c r="AD59"/>
  <c r="AD60"/>
  <c r="AD62"/>
  <c r="AD63"/>
  <c r="AD65"/>
  <c r="AD67"/>
  <c r="AD68"/>
  <c r="AD69"/>
  <c r="AD70"/>
  <c r="AD71"/>
  <c r="AD73"/>
  <c r="AD74"/>
  <c r="AD75"/>
  <c r="AD7"/>
  <c r="AD6"/>
  <c r="Q91" l="1"/>
  <c r="H85"/>
  <c r="I85"/>
  <c r="J85"/>
  <c r="K85"/>
  <c r="L85"/>
  <c r="M85"/>
  <c r="N85"/>
  <c r="O85"/>
  <c r="P85"/>
  <c r="H88"/>
  <c r="I88"/>
  <c r="J88"/>
  <c r="K88"/>
  <c r="L88"/>
  <c r="M88"/>
  <c r="N88"/>
  <c r="O88"/>
  <c r="P88"/>
  <c r="G88"/>
  <c r="G85"/>
  <c r="S29"/>
  <c r="Q29"/>
  <c r="L30"/>
  <c r="K30"/>
  <c r="J30"/>
  <c r="I30"/>
  <c r="H30"/>
  <c r="G30"/>
  <c r="T29" l="1"/>
  <c r="Q88"/>
  <c r="Q85"/>
  <c r="H93"/>
  <c r="I93"/>
  <c r="J93"/>
  <c r="K93"/>
  <c r="L93"/>
  <c r="M93"/>
  <c r="N93"/>
  <c r="O93"/>
  <c r="P93"/>
  <c r="G93"/>
  <c r="H92"/>
  <c r="I92"/>
  <c r="J92"/>
  <c r="K92"/>
  <c r="L92"/>
  <c r="M92"/>
  <c r="N92"/>
  <c r="O92"/>
  <c r="P92"/>
  <c r="G92"/>
  <c r="U29" l="1"/>
  <c r="Q92"/>
  <c r="Q93"/>
  <c r="AE62"/>
  <c r="V29" l="1"/>
  <c r="C163"/>
  <c r="D163"/>
  <c r="E163"/>
  <c r="F163"/>
  <c r="G163"/>
  <c r="H163"/>
  <c r="I163"/>
  <c r="J163"/>
  <c r="K163"/>
  <c r="L163"/>
  <c r="M163"/>
  <c r="N163"/>
  <c r="O163"/>
  <c r="P163"/>
  <c r="C9" i="15"/>
  <c r="D63" i="18"/>
  <c r="E63"/>
  <c r="E96" s="1"/>
  <c r="E97" s="1"/>
  <c r="F63"/>
  <c r="F96" s="1"/>
  <c r="F97" s="1"/>
  <c r="G63"/>
  <c r="G96" s="1"/>
  <c r="G97" s="1"/>
  <c r="H63"/>
  <c r="H96" s="1"/>
  <c r="H97" s="1"/>
  <c r="I63"/>
  <c r="I96" s="1"/>
  <c r="I97" s="1"/>
  <c r="J63"/>
  <c r="J96" s="1"/>
  <c r="J97" s="1"/>
  <c r="K63"/>
  <c r="K96" s="1"/>
  <c r="K97" s="1"/>
  <c r="L63"/>
  <c r="L96" s="1"/>
  <c r="L97" s="1"/>
  <c r="M63"/>
  <c r="M96" s="1"/>
  <c r="M97" s="1"/>
  <c r="N63"/>
  <c r="N96" s="1"/>
  <c r="N97" s="1"/>
  <c r="O63"/>
  <c r="O96" s="1"/>
  <c r="O97" s="1"/>
  <c r="P63"/>
  <c r="P96" s="1"/>
  <c r="C63"/>
  <c r="S41"/>
  <c r="Q41"/>
  <c r="S63" l="1"/>
  <c r="S96" s="1"/>
  <c r="S97" s="1"/>
  <c r="W29"/>
  <c r="Q163"/>
  <c r="N98"/>
  <c r="N99" s="1"/>
  <c r="J98"/>
  <c r="J99" s="1"/>
  <c r="L98"/>
  <c r="L99" s="1"/>
  <c r="H98"/>
  <c r="H99" s="1"/>
  <c r="M98"/>
  <c r="M99" s="1"/>
  <c r="I98"/>
  <c r="I99" s="1"/>
  <c r="F98"/>
  <c r="F99" s="1"/>
  <c r="O98"/>
  <c r="O99" s="1"/>
  <c r="K98"/>
  <c r="K99" s="1"/>
  <c r="G98"/>
  <c r="G99" s="1"/>
  <c r="P97"/>
  <c r="Q96"/>
  <c r="T41"/>
  <c r="U41" l="1"/>
  <c r="X29"/>
  <c r="P98"/>
  <c r="Q97"/>
  <c r="T63"/>
  <c r="C73"/>
  <c r="D73"/>
  <c r="E73"/>
  <c r="F73"/>
  <c r="G73"/>
  <c r="G119" s="1"/>
  <c r="H73"/>
  <c r="H119" s="1"/>
  <c r="I73"/>
  <c r="I119" s="1"/>
  <c r="J73"/>
  <c r="J119" s="1"/>
  <c r="K73"/>
  <c r="K119" s="1"/>
  <c r="L73"/>
  <c r="L119" s="1"/>
  <c r="M73"/>
  <c r="M119" s="1"/>
  <c r="N73"/>
  <c r="N119" s="1"/>
  <c r="O73"/>
  <c r="O119" s="1"/>
  <c r="C74"/>
  <c r="D74"/>
  <c r="E74"/>
  <c r="F74"/>
  <c r="G74"/>
  <c r="H74"/>
  <c r="I74"/>
  <c r="J74"/>
  <c r="K74"/>
  <c r="L74"/>
  <c r="M74"/>
  <c r="N74"/>
  <c r="O74"/>
  <c r="C75"/>
  <c r="D75"/>
  <c r="E75"/>
  <c r="F75"/>
  <c r="G75"/>
  <c r="H75"/>
  <c r="I75"/>
  <c r="J75"/>
  <c r="K75"/>
  <c r="L75"/>
  <c r="M75"/>
  <c r="N75"/>
  <c r="O75"/>
  <c r="P75"/>
  <c r="P74"/>
  <c r="P73"/>
  <c r="P119" s="1"/>
  <c r="E81"/>
  <c r="F81"/>
  <c r="H81"/>
  <c r="I81"/>
  <c r="J81"/>
  <c r="K81"/>
  <c r="L81"/>
  <c r="M81"/>
  <c r="N81"/>
  <c r="O81"/>
  <c r="E79"/>
  <c r="E80"/>
  <c r="F80"/>
  <c r="G80"/>
  <c r="H80"/>
  <c r="I80"/>
  <c r="J80"/>
  <c r="K80"/>
  <c r="L80"/>
  <c r="M80"/>
  <c r="N80"/>
  <c r="O80"/>
  <c r="F79"/>
  <c r="G79"/>
  <c r="H79"/>
  <c r="I79"/>
  <c r="J79"/>
  <c r="K79"/>
  <c r="L79"/>
  <c r="M79"/>
  <c r="N79"/>
  <c r="O79"/>
  <c r="P80"/>
  <c r="G39"/>
  <c r="G28"/>
  <c r="G11"/>
  <c r="G8"/>
  <c r="G26"/>
  <c r="V41" l="1"/>
  <c r="U63"/>
  <c r="Q119"/>
  <c r="Y29"/>
  <c r="Q75"/>
  <c r="Q73"/>
  <c r="Q74"/>
  <c r="Q80"/>
  <c r="Q81"/>
  <c r="P79"/>
  <c r="Q79" s="1"/>
  <c r="C178"/>
  <c r="D178"/>
  <c r="E178"/>
  <c r="F178"/>
  <c r="C179"/>
  <c r="D179"/>
  <c r="E179"/>
  <c r="F179"/>
  <c r="C180"/>
  <c r="D180"/>
  <c r="E180"/>
  <c r="F180"/>
  <c r="H180"/>
  <c r="I180"/>
  <c r="J180"/>
  <c r="K180"/>
  <c r="L180"/>
  <c r="M180"/>
  <c r="N180"/>
  <c r="O180"/>
  <c r="P180"/>
  <c r="G180"/>
  <c r="H179"/>
  <c r="I179"/>
  <c r="J179"/>
  <c r="K179"/>
  <c r="L179"/>
  <c r="M179"/>
  <c r="N179"/>
  <c r="O179"/>
  <c r="P179"/>
  <c r="G179"/>
  <c r="H178"/>
  <c r="I178"/>
  <c r="J178"/>
  <c r="K178"/>
  <c r="L178"/>
  <c r="M178"/>
  <c r="N178"/>
  <c r="O178"/>
  <c r="P178"/>
  <c r="G178"/>
  <c r="H45"/>
  <c r="I45"/>
  <c r="J45"/>
  <c r="K45"/>
  <c r="L45"/>
  <c r="M45"/>
  <c r="N45"/>
  <c r="O45"/>
  <c r="P45"/>
  <c r="C45"/>
  <c r="D45"/>
  <c r="E45"/>
  <c r="F45"/>
  <c r="G45"/>
  <c r="G47"/>
  <c r="G162" s="1"/>
  <c r="H44"/>
  <c r="H156" s="1"/>
  <c r="I44"/>
  <c r="I156" s="1"/>
  <c r="J44"/>
  <c r="J156" s="1"/>
  <c r="K44"/>
  <c r="K156" s="1"/>
  <c r="L44"/>
  <c r="L156" s="1"/>
  <c r="M44"/>
  <c r="M156" s="1"/>
  <c r="N44"/>
  <c r="N156" s="1"/>
  <c r="O44"/>
  <c r="O156" s="1"/>
  <c r="P44"/>
  <c r="P156" s="1"/>
  <c r="M171" s="1"/>
  <c r="C44"/>
  <c r="C156" s="1"/>
  <c r="D44"/>
  <c r="D156" s="1"/>
  <c r="E44"/>
  <c r="E156" s="1"/>
  <c r="F44"/>
  <c r="F156" s="1"/>
  <c r="G44"/>
  <c r="G156" s="1"/>
  <c r="M28"/>
  <c r="L28"/>
  <c r="K28"/>
  <c r="J28"/>
  <c r="I28"/>
  <c r="H28"/>
  <c r="M26"/>
  <c r="K26"/>
  <c r="J26"/>
  <c r="I26"/>
  <c r="H26"/>
  <c r="I8"/>
  <c r="J8"/>
  <c r="K8"/>
  <c r="L8"/>
  <c r="M8"/>
  <c r="N8"/>
  <c r="O8"/>
  <c r="P8"/>
  <c r="H8"/>
  <c r="Q40"/>
  <c r="S36"/>
  <c r="S86" s="1"/>
  <c r="Q36"/>
  <c r="W41" l="1"/>
  <c r="V63"/>
  <c r="Q156"/>
  <c r="Z29"/>
  <c r="T36"/>
  <c r="T86" s="1"/>
  <c r="Q180"/>
  <c r="Q45"/>
  <c r="Q44"/>
  <c r="Q179"/>
  <c r="Q178"/>
  <c r="Q31"/>
  <c r="Q34"/>
  <c r="X41" l="1"/>
  <c r="W63"/>
  <c r="AA29"/>
  <c r="U36"/>
  <c r="U86" s="1"/>
  <c r="I70"/>
  <c r="J70"/>
  <c r="K70"/>
  <c r="L70"/>
  <c r="M70"/>
  <c r="N70"/>
  <c r="O70"/>
  <c r="P70"/>
  <c r="I71"/>
  <c r="J71"/>
  <c r="K71"/>
  <c r="L71"/>
  <c r="M71"/>
  <c r="N71"/>
  <c r="O71"/>
  <c r="P71"/>
  <c r="I65"/>
  <c r="I67" s="1"/>
  <c r="J65"/>
  <c r="J67" s="1"/>
  <c r="K65"/>
  <c r="K67" s="1"/>
  <c r="L65"/>
  <c r="L67" s="1"/>
  <c r="M65"/>
  <c r="M67" s="1"/>
  <c r="N65"/>
  <c r="N67" s="1"/>
  <c r="O65"/>
  <c r="O67" s="1"/>
  <c r="P65"/>
  <c r="P67" s="1"/>
  <c r="I68"/>
  <c r="J68"/>
  <c r="K68"/>
  <c r="L68"/>
  <c r="M68"/>
  <c r="N68"/>
  <c r="O68"/>
  <c r="P68"/>
  <c r="I69"/>
  <c r="J69"/>
  <c r="K69"/>
  <c r="L69"/>
  <c r="M69"/>
  <c r="N69"/>
  <c r="O69"/>
  <c r="P69"/>
  <c r="C68"/>
  <c r="D68"/>
  <c r="E68"/>
  <c r="F68"/>
  <c r="G68"/>
  <c r="C69"/>
  <c r="D69"/>
  <c r="E69"/>
  <c r="F69"/>
  <c r="G69"/>
  <c r="C70"/>
  <c r="D70"/>
  <c r="E70"/>
  <c r="F70"/>
  <c r="G70"/>
  <c r="C71"/>
  <c r="D71"/>
  <c r="E71"/>
  <c r="F71"/>
  <c r="G71"/>
  <c r="H71"/>
  <c r="H70"/>
  <c r="S23"/>
  <c r="Q23"/>
  <c r="S22"/>
  <c r="T22" s="1"/>
  <c r="U22" s="1"/>
  <c r="V22" s="1"/>
  <c r="W22" s="1"/>
  <c r="X22" s="1"/>
  <c r="Y22" s="1"/>
  <c r="Z22" s="1"/>
  <c r="AA22" s="1"/>
  <c r="AB22" s="1"/>
  <c r="S21"/>
  <c r="Q20"/>
  <c r="C65"/>
  <c r="C67" s="1"/>
  <c r="D65"/>
  <c r="D67" s="1"/>
  <c r="E65"/>
  <c r="E67" s="1"/>
  <c r="F65"/>
  <c r="F67" s="1"/>
  <c r="G65"/>
  <c r="G67" s="1"/>
  <c r="H65"/>
  <c r="H67" s="1"/>
  <c r="H69"/>
  <c r="H68"/>
  <c r="Y41" l="1"/>
  <c r="X63"/>
  <c r="T23"/>
  <c r="S89"/>
  <c r="AB29"/>
  <c r="AE31"/>
  <c r="AC31"/>
  <c r="AC22"/>
  <c r="AE22"/>
  <c r="V36"/>
  <c r="V86" s="1"/>
  <c r="Q70"/>
  <c r="Q71"/>
  <c r="Q69"/>
  <c r="Q67"/>
  <c r="Q68"/>
  <c r="Q22"/>
  <c r="Q21"/>
  <c r="Q65"/>
  <c r="S20"/>
  <c r="S48" s="1"/>
  <c r="T21"/>
  <c r="Q63"/>
  <c r="Q155"/>
  <c r="Y63" l="1"/>
  <c r="Z41"/>
  <c r="U23"/>
  <c r="T89"/>
  <c r="AE29"/>
  <c r="AC29"/>
  <c r="T20"/>
  <c r="S65"/>
  <c r="U21"/>
  <c r="C19" i="15"/>
  <c r="S9" i="18"/>
  <c r="T9" s="1"/>
  <c r="U9" s="1"/>
  <c r="V9" s="1"/>
  <c r="W9" s="1"/>
  <c r="X9" s="1"/>
  <c r="Y9" s="1"/>
  <c r="Z9" s="1"/>
  <c r="AA9" s="1"/>
  <c r="AB9" s="1"/>
  <c r="AE9" s="1"/>
  <c r="Q38"/>
  <c r="Q33"/>
  <c r="Q27"/>
  <c r="Q25"/>
  <c r="Q18"/>
  <c r="Q16"/>
  <c r="Q15"/>
  <c r="Q13"/>
  <c r="Q12"/>
  <c r="Q10"/>
  <c r="Q9"/>
  <c r="Q7"/>
  <c r="Q6"/>
  <c r="S18"/>
  <c r="S25"/>
  <c r="S83" s="1"/>
  <c r="S27"/>
  <c r="S33"/>
  <c r="T33" s="1"/>
  <c r="U33" s="1"/>
  <c r="V33" s="1"/>
  <c r="W33" s="1"/>
  <c r="X33" s="1"/>
  <c r="Y33" s="1"/>
  <c r="Z33" s="1"/>
  <c r="AA33" s="1"/>
  <c r="AB33" s="1"/>
  <c r="AE33" s="1"/>
  <c r="S34"/>
  <c r="T34" s="1"/>
  <c r="U34" s="1"/>
  <c r="V34" s="1"/>
  <c r="W34" s="1"/>
  <c r="X34" s="1"/>
  <c r="Y34" s="1"/>
  <c r="Z34" s="1"/>
  <c r="AA34" s="1"/>
  <c r="AB34" s="1"/>
  <c r="AE34" s="1"/>
  <c r="W36"/>
  <c r="W86" s="1"/>
  <c r="O61"/>
  <c r="O160" s="1"/>
  <c r="O60"/>
  <c r="O58"/>
  <c r="O57"/>
  <c r="O55"/>
  <c r="O161" s="1"/>
  <c r="O54"/>
  <c r="O53"/>
  <c r="O51"/>
  <c r="O50"/>
  <c r="O158" s="1"/>
  <c r="O49"/>
  <c r="O47"/>
  <c r="Z63" l="1"/>
  <c r="AA41"/>
  <c r="T65"/>
  <c r="S111"/>
  <c r="S121"/>
  <c r="S112"/>
  <c r="S122"/>
  <c r="V23"/>
  <c r="U89"/>
  <c r="S105"/>
  <c r="S106"/>
  <c r="S104"/>
  <c r="S94"/>
  <c r="P99"/>
  <c r="Q99" s="1"/>
  <c r="Q98"/>
  <c r="S85"/>
  <c r="S102"/>
  <c r="S101"/>
  <c r="T18"/>
  <c r="O157"/>
  <c r="O162"/>
  <c r="U20"/>
  <c r="T27"/>
  <c r="X36"/>
  <c r="X86" s="1"/>
  <c r="T25"/>
  <c r="T83" s="1"/>
  <c r="S79"/>
  <c r="V21"/>
  <c r="AC33"/>
  <c r="AC34"/>
  <c r="AC9"/>
  <c r="O59"/>
  <c r="O159" s="1"/>
  <c r="D55"/>
  <c r="E55"/>
  <c r="F55"/>
  <c r="G55"/>
  <c r="G161" s="1"/>
  <c r="H55"/>
  <c r="H161" s="1"/>
  <c r="I55"/>
  <c r="I161" s="1"/>
  <c r="J55"/>
  <c r="J161" s="1"/>
  <c r="K55"/>
  <c r="K161" s="1"/>
  <c r="L55"/>
  <c r="L161" s="1"/>
  <c r="M55"/>
  <c r="M161" s="1"/>
  <c r="N55"/>
  <c r="N161" s="1"/>
  <c r="P55"/>
  <c r="C55"/>
  <c r="C54"/>
  <c r="AB41" l="1"/>
  <c r="AA63"/>
  <c r="T112"/>
  <c r="T122"/>
  <c r="T111"/>
  <c r="T121"/>
  <c r="W23"/>
  <c r="V89"/>
  <c r="T104"/>
  <c r="T106"/>
  <c r="T105"/>
  <c r="T94"/>
  <c r="T85"/>
  <c r="T102"/>
  <c r="T101"/>
  <c r="U18"/>
  <c r="V20"/>
  <c r="U65"/>
  <c r="U27"/>
  <c r="U25"/>
  <c r="T79"/>
  <c r="Y36"/>
  <c r="Y86" s="1"/>
  <c r="W21"/>
  <c r="P161"/>
  <c r="Q161" s="1"/>
  <c r="Q55"/>
  <c r="D54"/>
  <c r="E54"/>
  <c r="F54"/>
  <c r="G54"/>
  <c r="H54"/>
  <c r="I54"/>
  <c r="J54"/>
  <c r="K54"/>
  <c r="L54"/>
  <c r="M54"/>
  <c r="N54"/>
  <c r="P54"/>
  <c r="D53"/>
  <c r="E53"/>
  <c r="F53"/>
  <c r="G53"/>
  <c r="H53"/>
  <c r="I53"/>
  <c r="J53"/>
  <c r="K53"/>
  <c r="L53"/>
  <c r="M53"/>
  <c r="N53"/>
  <c r="P53"/>
  <c r="C53"/>
  <c r="AE41" l="1"/>
  <c r="AB63"/>
  <c r="AC41"/>
  <c r="U111"/>
  <c r="U121"/>
  <c r="U112"/>
  <c r="U122"/>
  <c r="U83"/>
  <c r="X23"/>
  <c r="W89"/>
  <c r="U106"/>
  <c r="U105"/>
  <c r="U104"/>
  <c r="U94"/>
  <c r="U85"/>
  <c r="U102"/>
  <c r="U101"/>
  <c r="V18"/>
  <c r="W20"/>
  <c r="V65"/>
  <c r="V27"/>
  <c r="V25"/>
  <c r="V83" s="1"/>
  <c r="U79"/>
  <c r="Z36"/>
  <c r="Z86" s="1"/>
  <c r="X21"/>
  <c r="Q53"/>
  <c r="Q54"/>
  <c r="C46" i="15"/>
  <c r="S143" i="18" l="1"/>
  <c r="AE63"/>
  <c r="T143" s="1"/>
  <c r="AC63"/>
  <c r="V112"/>
  <c r="V122"/>
  <c r="V111"/>
  <c r="V121"/>
  <c r="Y23"/>
  <c r="X89"/>
  <c r="V94"/>
  <c r="V106"/>
  <c r="V105"/>
  <c r="V104"/>
  <c r="V85"/>
  <c r="V102"/>
  <c r="V101"/>
  <c r="W18"/>
  <c r="X20"/>
  <c r="W65"/>
  <c r="W27"/>
  <c r="W25"/>
  <c r="V79"/>
  <c r="AA36"/>
  <c r="AA86" s="1"/>
  <c r="Y21"/>
  <c r="S155"/>
  <c r="S163" s="1"/>
  <c r="C47"/>
  <c r="D47"/>
  <c r="E47"/>
  <c r="F47"/>
  <c r="H47"/>
  <c r="I47"/>
  <c r="J47"/>
  <c r="K47"/>
  <c r="L47"/>
  <c r="L162" s="1"/>
  <c r="M47"/>
  <c r="N47"/>
  <c r="N162" s="1"/>
  <c r="P47"/>
  <c r="D61"/>
  <c r="D160" s="1"/>
  <c r="E61"/>
  <c r="E160" s="1"/>
  <c r="F61"/>
  <c r="F160" s="1"/>
  <c r="G61"/>
  <c r="H61"/>
  <c r="H160" s="1"/>
  <c r="I61"/>
  <c r="I160" s="1"/>
  <c r="J61"/>
  <c r="J160" s="1"/>
  <c r="K61"/>
  <c r="K160" s="1"/>
  <c r="L61"/>
  <c r="L160" s="1"/>
  <c r="M61"/>
  <c r="M160" s="1"/>
  <c r="N61"/>
  <c r="P61"/>
  <c r="D60"/>
  <c r="E60"/>
  <c r="F60"/>
  <c r="G60"/>
  <c r="H60"/>
  <c r="I60"/>
  <c r="J60"/>
  <c r="K60"/>
  <c r="L60"/>
  <c r="M60"/>
  <c r="N60"/>
  <c r="P60"/>
  <c r="D58"/>
  <c r="E58"/>
  <c r="F58"/>
  <c r="G58"/>
  <c r="H58"/>
  <c r="I58"/>
  <c r="J58"/>
  <c r="K58"/>
  <c r="L58"/>
  <c r="M58"/>
  <c r="N58"/>
  <c r="P58"/>
  <c r="D57"/>
  <c r="D59" s="1"/>
  <c r="D159" s="1"/>
  <c r="E57"/>
  <c r="E59" s="1"/>
  <c r="E159" s="1"/>
  <c r="F57"/>
  <c r="G57"/>
  <c r="H57"/>
  <c r="I57"/>
  <c r="J57"/>
  <c r="K57"/>
  <c r="L57"/>
  <c r="M57"/>
  <c r="N57"/>
  <c r="P57"/>
  <c r="D51"/>
  <c r="E51"/>
  <c r="F51"/>
  <c r="G51"/>
  <c r="H51"/>
  <c r="I51"/>
  <c r="J51"/>
  <c r="K51"/>
  <c r="L51"/>
  <c r="M51"/>
  <c r="N51"/>
  <c r="P51"/>
  <c r="D50"/>
  <c r="D158" s="1"/>
  <c r="E50"/>
  <c r="E158" s="1"/>
  <c r="F50"/>
  <c r="F158" s="1"/>
  <c r="G50"/>
  <c r="H50"/>
  <c r="H158" s="1"/>
  <c r="I50"/>
  <c r="I158" s="1"/>
  <c r="J50"/>
  <c r="J158" s="1"/>
  <c r="K50"/>
  <c r="K158" s="1"/>
  <c r="L50"/>
  <c r="L158" s="1"/>
  <c r="M50"/>
  <c r="M158" s="1"/>
  <c r="N50"/>
  <c r="P50"/>
  <c r="C61"/>
  <c r="C160" s="1"/>
  <c r="C60"/>
  <c r="C58"/>
  <c r="C57"/>
  <c r="C51"/>
  <c r="C50"/>
  <c r="C158" s="1"/>
  <c r="D49"/>
  <c r="E49"/>
  <c r="F49"/>
  <c r="G49"/>
  <c r="H49"/>
  <c r="I49"/>
  <c r="J49"/>
  <c r="K49"/>
  <c r="L49"/>
  <c r="M49"/>
  <c r="N49"/>
  <c r="P49"/>
  <c r="C49"/>
  <c r="S15"/>
  <c r="S109" s="1"/>
  <c r="S16"/>
  <c r="S117" s="1"/>
  <c r="S118" s="1"/>
  <c r="S38"/>
  <c r="S87" s="1"/>
  <c r="S10"/>
  <c r="S12"/>
  <c r="S13"/>
  <c r="S7"/>
  <c r="S6"/>
  <c r="P175" l="1"/>
  <c r="M175"/>
  <c r="S175"/>
  <c r="S91"/>
  <c r="R143"/>
  <c r="P167" s="1"/>
  <c r="W111"/>
  <c r="W121"/>
  <c r="W83"/>
  <c r="W112"/>
  <c r="W122"/>
  <c r="Z23"/>
  <c r="Y89"/>
  <c r="S81"/>
  <c r="S82"/>
  <c r="S115"/>
  <c r="S114"/>
  <c r="S88"/>
  <c r="S110"/>
  <c r="H162"/>
  <c r="H157"/>
  <c r="W94"/>
  <c r="W105"/>
  <c r="W104"/>
  <c r="W106"/>
  <c r="S93"/>
  <c r="S98"/>
  <c r="S99" s="1"/>
  <c r="W85"/>
  <c r="W102"/>
  <c r="W101"/>
  <c r="S92"/>
  <c r="X18"/>
  <c r="D157"/>
  <c r="D161" s="1"/>
  <c r="D162"/>
  <c r="E157"/>
  <c r="E161" s="1"/>
  <c r="E162"/>
  <c r="C157"/>
  <c r="C161" s="1"/>
  <c r="C162"/>
  <c r="P157"/>
  <c r="P162"/>
  <c r="Q162" s="1"/>
  <c r="K157"/>
  <c r="K162"/>
  <c r="F157"/>
  <c r="F161" s="1"/>
  <c r="F162"/>
  <c r="J157"/>
  <c r="J162"/>
  <c r="M157"/>
  <c r="M162"/>
  <c r="I157"/>
  <c r="I162"/>
  <c r="Q125"/>
  <c r="Y20"/>
  <c r="X65"/>
  <c r="H59"/>
  <c r="H159" s="1"/>
  <c r="X27"/>
  <c r="T12"/>
  <c r="T15"/>
  <c r="T109" s="1"/>
  <c r="T13"/>
  <c r="T10"/>
  <c r="T16"/>
  <c r="T117" s="1"/>
  <c r="T118" s="1"/>
  <c r="T6"/>
  <c r="T7"/>
  <c r="X25"/>
  <c r="X83" s="1"/>
  <c r="W79"/>
  <c r="T38"/>
  <c r="T87" s="1"/>
  <c r="S80"/>
  <c r="AB36"/>
  <c r="F59"/>
  <c r="F159" s="1"/>
  <c r="L59"/>
  <c r="L159" s="1"/>
  <c r="K59"/>
  <c r="K159" s="1"/>
  <c r="J59"/>
  <c r="J159" s="1"/>
  <c r="Z21"/>
  <c r="C59"/>
  <c r="C159" s="1"/>
  <c r="T155"/>
  <c r="T163" s="1"/>
  <c r="I59"/>
  <c r="I159" s="1"/>
  <c r="Q49"/>
  <c r="G158"/>
  <c r="Q50"/>
  <c r="Q51"/>
  <c r="Q58"/>
  <c r="Q60"/>
  <c r="G157"/>
  <c r="Q47"/>
  <c r="G160"/>
  <c r="Q61"/>
  <c r="G59"/>
  <c r="Q57"/>
  <c r="N158"/>
  <c r="N157"/>
  <c r="N160"/>
  <c r="P158"/>
  <c r="L157"/>
  <c r="N59"/>
  <c r="M59"/>
  <c r="M159" s="1"/>
  <c r="P160"/>
  <c r="P59"/>
  <c r="S58"/>
  <c r="C6" i="12"/>
  <c r="C26" i="15"/>
  <c r="C58"/>
  <c r="C57"/>
  <c r="C54"/>
  <c r="C53"/>
  <c r="C50"/>
  <c r="C49"/>
  <c r="C45"/>
  <c r="T175" i="18" l="1"/>
  <c r="U175" s="1"/>
  <c r="V175" s="1"/>
  <c r="W175" s="1"/>
  <c r="X175" s="1"/>
  <c r="Y175" s="1"/>
  <c r="Z175" s="1"/>
  <c r="AA175" s="1"/>
  <c r="AB175" s="1"/>
  <c r="S176"/>
  <c r="P174"/>
  <c r="S174"/>
  <c r="M174"/>
  <c r="T91"/>
  <c r="X111"/>
  <c r="X121"/>
  <c r="X112"/>
  <c r="X122"/>
  <c r="AE36"/>
  <c r="AB86"/>
  <c r="AC86" s="1"/>
  <c r="AA23"/>
  <c r="Z89"/>
  <c r="T115"/>
  <c r="T114"/>
  <c r="T88"/>
  <c r="T110"/>
  <c r="T82"/>
  <c r="X104"/>
  <c r="X105"/>
  <c r="X106"/>
  <c r="X94"/>
  <c r="X85"/>
  <c r="X102"/>
  <c r="X101"/>
  <c r="T92"/>
  <c r="T93"/>
  <c r="Y18"/>
  <c r="Z20"/>
  <c r="Y65"/>
  <c r="S57"/>
  <c r="S74"/>
  <c r="S53"/>
  <c r="S55"/>
  <c r="S161" s="1"/>
  <c r="S61"/>
  <c r="S160" s="1"/>
  <c r="S71"/>
  <c r="S73"/>
  <c r="S119" s="1"/>
  <c r="S45"/>
  <c r="S44"/>
  <c r="S156" s="1"/>
  <c r="S54"/>
  <c r="S50"/>
  <c r="S51"/>
  <c r="S60"/>
  <c r="S49"/>
  <c r="S75"/>
  <c r="S47"/>
  <c r="S162" s="1"/>
  <c r="Y27"/>
  <c r="U15"/>
  <c r="U109" s="1"/>
  <c r="U13"/>
  <c r="U12"/>
  <c r="S59"/>
  <c r="U16"/>
  <c r="U117" s="1"/>
  <c r="U118" s="1"/>
  <c r="U10"/>
  <c r="U7"/>
  <c r="U6"/>
  <c r="AC36"/>
  <c r="Y25"/>
  <c r="Y83" s="1"/>
  <c r="X79"/>
  <c r="U38"/>
  <c r="U87" s="1"/>
  <c r="T81"/>
  <c r="T80"/>
  <c r="T40"/>
  <c r="S68"/>
  <c r="S69"/>
  <c r="S70"/>
  <c r="S67"/>
  <c r="AA21"/>
  <c r="U155"/>
  <c r="U163" s="1"/>
  <c r="Q158"/>
  <c r="Q157"/>
  <c r="Q160"/>
  <c r="G159"/>
  <c r="Q59"/>
  <c r="N159"/>
  <c r="P159"/>
  <c r="C16" i="15"/>
  <c r="C21"/>
  <c r="C10"/>
  <c r="T176" i="18" l="1"/>
  <c r="U176" s="1"/>
  <c r="V176" s="1"/>
  <c r="W176" s="1"/>
  <c r="X176" s="1"/>
  <c r="Y176" s="1"/>
  <c r="Z176" s="1"/>
  <c r="AA176" s="1"/>
  <c r="AB176" s="1"/>
  <c r="S173"/>
  <c r="T174"/>
  <c r="U174" s="1"/>
  <c r="V174" s="1"/>
  <c r="W174" s="1"/>
  <c r="X174" s="1"/>
  <c r="Y174" s="1"/>
  <c r="Z174" s="1"/>
  <c r="AA174" s="1"/>
  <c r="AB174" s="1"/>
  <c r="U91"/>
  <c r="T96"/>
  <c r="T97" s="1"/>
  <c r="T98" s="1"/>
  <c r="T99" s="1"/>
  <c r="T48"/>
  <c r="Y111"/>
  <c r="Y121"/>
  <c r="Y112"/>
  <c r="Y122"/>
  <c r="AB23"/>
  <c r="AA89"/>
  <c r="U88"/>
  <c r="U110"/>
  <c r="U115"/>
  <c r="U114"/>
  <c r="U82"/>
  <c r="Y106"/>
  <c r="Y105"/>
  <c r="Y104"/>
  <c r="Y94"/>
  <c r="T57"/>
  <c r="Y85"/>
  <c r="Y102"/>
  <c r="Y101"/>
  <c r="U92"/>
  <c r="U93"/>
  <c r="T53"/>
  <c r="Z18"/>
  <c r="AA20"/>
  <c r="Z65"/>
  <c r="T55"/>
  <c r="T161" s="1"/>
  <c r="T61"/>
  <c r="T160" s="1"/>
  <c r="T71"/>
  <c r="T73"/>
  <c r="T119" s="1"/>
  <c r="T44"/>
  <c r="T156" s="1"/>
  <c r="T45"/>
  <c r="T50"/>
  <c r="T49"/>
  <c r="T60"/>
  <c r="T75"/>
  <c r="T54"/>
  <c r="T51"/>
  <c r="T47"/>
  <c r="T162" s="1"/>
  <c r="T58"/>
  <c r="T74"/>
  <c r="Z27"/>
  <c r="V13"/>
  <c r="V12"/>
  <c r="V15"/>
  <c r="V109" s="1"/>
  <c r="V10"/>
  <c r="V16"/>
  <c r="V117" s="1"/>
  <c r="V118" s="1"/>
  <c r="V6"/>
  <c r="V7"/>
  <c r="V38"/>
  <c r="V87" s="1"/>
  <c r="U81"/>
  <c r="U80"/>
  <c r="Z25"/>
  <c r="Z83" s="1"/>
  <c r="Y79"/>
  <c r="U40"/>
  <c r="T70"/>
  <c r="T69"/>
  <c r="T68"/>
  <c r="T67"/>
  <c r="AB21"/>
  <c r="AE21" s="1"/>
  <c r="S159"/>
  <c r="V155"/>
  <c r="V163" s="1"/>
  <c r="S157"/>
  <c r="S158"/>
  <c r="Q159"/>
  <c r="D31" i="8"/>
  <c r="D29"/>
  <c r="D28"/>
  <c r="D13"/>
  <c r="D30" s="1"/>
  <c r="E14"/>
  <c r="F14" s="1"/>
  <c r="G14" s="1"/>
  <c r="H14" s="1"/>
  <c r="I14" s="1"/>
  <c r="T173" i="18" l="1"/>
  <c r="U173" s="1"/>
  <c r="V173" s="1"/>
  <c r="W173" s="1"/>
  <c r="X173" s="1"/>
  <c r="Y173" s="1"/>
  <c r="Z173" s="1"/>
  <c r="AA173" s="1"/>
  <c r="AB173" s="1"/>
  <c r="V91"/>
  <c r="U96"/>
  <c r="U97" s="1"/>
  <c r="U98" s="1"/>
  <c r="U99" s="1"/>
  <c r="U48"/>
  <c r="Z111"/>
  <c r="Z121"/>
  <c r="Z112"/>
  <c r="Z122"/>
  <c r="AE23"/>
  <c r="AB89"/>
  <c r="AC89" s="1"/>
  <c r="AC23"/>
  <c r="V82"/>
  <c r="V114"/>
  <c r="V115"/>
  <c r="V88"/>
  <c r="V110"/>
  <c r="Z106"/>
  <c r="Z105"/>
  <c r="Z104"/>
  <c r="Z94"/>
  <c r="U57"/>
  <c r="T59"/>
  <c r="T159" s="1"/>
  <c r="Z85"/>
  <c r="Z102"/>
  <c r="Z101"/>
  <c r="V93"/>
  <c r="V92"/>
  <c r="AA18"/>
  <c r="AB20"/>
  <c r="AA65"/>
  <c r="U75"/>
  <c r="U74"/>
  <c r="U53"/>
  <c r="U61"/>
  <c r="U160" s="1"/>
  <c r="U60"/>
  <c r="U55"/>
  <c r="U161" s="1"/>
  <c r="U58"/>
  <c r="U49"/>
  <c r="U71"/>
  <c r="U73"/>
  <c r="U119" s="1"/>
  <c r="U45"/>
  <c r="U44"/>
  <c r="U156" s="1"/>
  <c r="U54"/>
  <c r="U50"/>
  <c r="U51"/>
  <c r="U47"/>
  <c r="U162" s="1"/>
  <c r="AA27"/>
  <c r="W12"/>
  <c r="W15"/>
  <c r="W109" s="1"/>
  <c r="W13"/>
  <c r="W16"/>
  <c r="W117" s="1"/>
  <c r="W118" s="1"/>
  <c r="W10"/>
  <c r="W7"/>
  <c r="W6"/>
  <c r="AA25"/>
  <c r="Z79"/>
  <c r="W38"/>
  <c r="W87" s="1"/>
  <c r="V80"/>
  <c r="V81"/>
  <c r="V40"/>
  <c r="U70"/>
  <c r="U68"/>
  <c r="U69"/>
  <c r="U67"/>
  <c r="AC21"/>
  <c r="W155"/>
  <c r="W163" s="1"/>
  <c r="T157"/>
  <c r="T158"/>
  <c r="I7" i="12"/>
  <c r="F7"/>
  <c r="H39"/>
  <c r="L25"/>
  <c r="L26" s="1"/>
  <c r="L27" s="1"/>
  <c r="L28" s="1"/>
  <c r="L29" s="1"/>
  <c r="L30" s="1"/>
  <c r="L31" s="1"/>
  <c r="L32" s="1"/>
  <c r="L33" s="1"/>
  <c r="L34" s="1"/>
  <c r="L39" s="1"/>
  <c r="I25"/>
  <c r="I26" s="1"/>
  <c r="I27" s="1"/>
  <c r="I28" s="1"/>
  <c r="I29" s="1"/>
  <c r="I30" s="1"/>
  <c r="I31" s="1"/>
  <c r="I32" s="1"/>
  <c r="I33" s="1"/>
  <c r="I34" s="1"/>
  <c r="F24"/>
  <c r="G24" s="1"/>
  <c r="K25" s="1"/>
  <c r="K26" s="1"/>
  <c r="K27" s="1"/>
  <c r="K28" s="1"/>
  <c r="K29" s="1"/>
  <c r="K30" s="1"/>
  <c r="K31" s="1"/>
  <c r="K32" s="1"/>
  <c r="K33" s="1"/>
  <c r="K34" s="1"/>
  <c r="K40" s="1"/>
  <c r="F23"/>
  <c r="G23" s="1"/>
  <c r="F22"/>
  <c r="G22" s="1"/>
  <c r="F21"/>
  <c r="G21" s="1"/>
  <c r="F20"/>
  <c r="G20" s="1"/>
  <c r="F19"/>
  <c r="G19" s="1"/>
  <c r="F18"/>
  <c r="G18" s="1"/>
  <c r="F17"/>
  <c r="G17" s="1"/>
  <c r="F16"/>
  <c r="G16" s="1"/>
  <c r="F15"/>
  <c r="G15" s="1"/>
  <c r="F14"/>
  <c r="G14" s="1"/>
  <c r="F13"/>
  <c r="G13" s="1"/>
  <c r="W91" i="18" l="1"/>
  <c r="V96"/>
  <c r="V97" s="1"/>
  <c r="V98" s="1"/>
  <c r="V99" s="1"/>
  <c r="V48"/>
  <c r="AA111"/>
  <c r="AA121"/>
  <c r="AA112"/>
  <c r="AA122"/>
  <c r="AE20"/>
  <c r="AA83"/>
  <c r="W115"/>
  <c r="W114"/>
  <c r="W88"/>
  <c r="W110"/>
  <c r="W82"/>
  <c r="AA105"/>
  <c r="AA104"/>
  <c r="AA106"/>
  <c r="AA94"/>
  <c r="U59"/>
  <c r="U159" s="1"/>
  <c r="AA85"/>
  <c r="AA102"/>
  <c r="AA101"/>
  <c r="V60"/>
  <c r="W93"/>
  <c r="W92"/>
  <c r="AB18"/>
  <c r="V75"/>
  <c r="V51"/>
  <c r="V58"/>
  <c r="AC20"/>
  <c r="AB65"/>
  <c r="V49"/>
  <c r="V57"/>
  <c r="V54"/>
  <c r="V74"/>
  <c r="V50"/>
  <c r="V55"/>
  <c r="V161" s="1"/>
  <c r="V71"/>
  <c r="V73"/>
  <c r="V119" s="1"/>
  <c r="V44"/>
  <c r="V156" s="1"/>
  <c r="V45"/>
  <c r="V53"/>
  <c r="V61"/>
  <c r="V160" s="1"/>
  <c r="V47"/>
  <c r="V162" s="1"/>
  <c r="AB27"/>
  <c r="AB122" s="1"/>
  <c r="AC122" s="1"/>
  <c r="X15"/>
  <c r="X109" s="1"/>
  <c r="X13"/>
  <c r="X12"/>
  <c r="X10"/>
  <c r="X16"/>
  <c r="X117" s="1"/>
  <c r="X118" s="1"/>
  <c r="X6"/>
  <c r="X7"/>
  <c r="X38"/>
  <c r="X87" s="1"/>
  <c r="W81"/>
  <c r="W80"/>
  <c r="AB25"/>
  <c r="AB83" s="1"/>
  <c r="AC83" s="1"/>
  <c r="AA79"/>
  <c r="W40"/>
  <c r="V70"/>
  <c r="V68"/>
  <c r="V69"/>
  <c r="V67"/>
  <c r="X155"/>
  <c r="X163" s="1"/>
  <c r="U157"/>
  <c r="U158"/>
  <c r="G40" i="12"/>
  <c r="J25"/>
  <c r="J26" s="1"/>
  <c r="J27" s="1"/>
  <c r="J28" s="1"/>
  <c r="J29" s="1"/>
  <c r="J30" s="1"/>
  <c r="J31" s="1"/>
  <c r="J32" s="1"/>
  <c r="J33" s="1"/>
  <c r="J34" s="1"/>
  <c r="K37" s="1"/>
  <c r="N10" i="11"/>
  <c r="H44"/>
  <c r="I41"/>
  <c r="F41"/>
  <c r="G41" s="1"/>
  <c r="K41" s="1"/>
  <c r="I40"/>
  <c r="F40"/>
  <c r="G40" s="1"/>
  <c r="K40" s="1"/>
  <c r="I39"/>
  <c r="F39"/>
  <c r="G39" s="1"/>
  <c r="K39" s="1"/>
  <c r="I38"/>
  <c r="F38"/>
  <c r="G38" s="1"/>
  <c r="K38" s="1"/>
  <c r="I37"/>
  <c r="F37"/>
  <c r="G37" s="1"/>
  <c r="K37" s="1"/>
  <c r="I36"/>
  <c r="F36"/>
  <c r="G36" s="1"/>
  <c r="K36" s="1"/>
  <c r="I35"/>
  <c r="F35"/>
  <c r="G35" s="1"/>
  <c r="K35" s="1"/>
  <c r="I34"/>
  <c r="F34"/>
  <c r="G34" s="1"/>
  <c r="K34" s="1"/>
  <c r="I33"/>
  <c r="F33"/>
  <c r="G33" s="1"/>
  <c r="K33" s="1"/>
  <c r="I32"/>
  <c r="F32"/>
  <c r="G32" s="1"/>
  <c r="K32" s="1"/>
  <c r="N31"/>
  <c r="Q31" s="1"/>
  <c r="I31"/>
  <c r="F31"/>
  <c r="G31" s="1"/>
  <c r="I30"/>
  <c r="F30"/>
  <c r="G30" s="1"/>
  <c r="K30" s="1"/>
  <c r="I29"/>
  <c r="D22"/>
  <c r="L19"/>
  <c r="K11"/>
  <c r="K12" s="1"/>
  <c r="K9"/>
  <c r="H44" i="9"/>
  <c r="N31"/>
  <c r="P31" s="1"/>
  <c r="I29"/>
  <c r="I30"/>
  <c r="I32"/>
  <c r="I33"/>
  <c r="I34"/>
  <c r="I35"/>
  <c r="I36"/>
  <c r="I37"/>
  <c r="I38"/>
  <c r="I39"/>
  <c r="I40"/>
  <c r="I41"/>
  <c r="I31"/>
  <c r="F31"/>
  <c r="G31" s="1"/>
  <c r="K31" s="1"/>
  <c r="L31" s="1"/>
  <c r="F32"/>
  <c r="G32" s="1"/>
  <c r="K32" s="1"/>
  <c r="F33"/>
  <c r="G33" s="1"/>
  <c r="K33" s="1"/>
  <c r="F34"/>
  <c r="G34" s="1"/>
  <c r="K34" s="1"/>
  <c r="F35"/>
  <c r="G35" s="1"/>
  <c r="K35" s="1"/>
  <c r="F36"/>
  <c r="G36" s="1"/>
  <c r="K36" s="1"/>
  <c r="F37"/>
  <c r="G37" s="1"/>
  <c r="K37" s="1"/>
  <c r="F38"/>
  <c r="G38" s="1"/>
  <c r="K38" s="1"/>
  <c r="F39"/>
  <c r="G39" s="1"/>
  <c r="K39" s="1"/>
  <c r="F40"/>
  <c r="G40" s="1"/>
  <c r="K40" s="1"/>
  <c r="F41"/>
  <c r="G41" s="1"/>
  <c r="K41" s="1"/>
  <c r="F30"/>
  <c r="G30" s="1"/>
  <c r="K30" s="1"/>
  <c r="X91" i="18" l="1"/>
  <c r="W96"/>
  <c r="W97" s="1"/>
  <c r="W98" s="1"/>
  <c r="W99" s="1"/>
  <c r="W48"/>
  <c r="AB111"/>
  <c r="AC111" s="1"/>
  <c r="AB121"/>
  <c r="AC121" s="1"/>
  <c r="X88"/>
  <c r="X110"/>
  <c r="X115"/>
  <c r="X114"/>
  <c r="AE27"/>
  <c r="AB112"/>
  <c r="AC112" s="1"/>
  <c r="X82"/>
  <c r="AB104"/>
  <c r="AC104" s="1"/>
  <c r="AB106"/>
  <c r="AC106" s="1"/>
  <c r="AB105"/>
  <c r="AC105" s="1"/>
  <c r="N32" i="9"/>
  <c r="N33" s="1"/>
  <c r="N34" s="1"/>
  <c r="N35" s="1"/>
  <c r="N36" s="1"/>
  <c r="N37" s="1"/>
  <c r="N38" s="1"/>
  <c r="N39" s="1"/>
  <c r="N40" s="1"/>
  <c r="N41" s="1"/>
  <c r="N42" s="1"/>
  <c r="M45"/>
  <c r="AB94" i="18"/>
  <c r="AC94" s="1"/>
  <c r="V59"/>
  <c r="V159" s="1"/>
  <c r="W58"/>
  <c r="AB85"/>
  <c r="AC85" s="1"/>
  <c r="AB102"/>
  <c r="AC102" s="1"/>
  <c r="AB101"/>
  <c r="AC101" s="1"/>
  <c r="X93"/>
  <c r="X92"/>
  <c r="AE25"/>
  <c r="AE18"/>
  <c r="AC18"/>
  <c r="S145"/>
  <c r="AE65"/>
  <c r="AC65"/>
  <c r="M32" i="9"/>
  <c r="M33" s="1"/>
  <c r="M34" s="1"/>
  <c r="M35" s="1"/>
  <c r="M36" s="1"/>
  <c r="M37" s="1"/>
  <c r="M38" s="1"/>
  <c r="M39" s="1"/>
  <c r="M40" s="1"/>
  <c r="M41" s="1"/>
  <c r="P32"/>
  <c r="W61" i="18"/>
  <c r="W160" s="1"/>
  <c r="W60"/>
  <c r="W55"/>
  <c r="W161" s="1"/>
  <c r="W57"/>
  <c r="W54"/>
  <c r="W74"/>
  <c r="W53"/>
  <c r="W75"/>
  <c r="W71"/>
  <c r="W73"/>
  <c r="W119" s="1"/>
  <c r="W45"/>
  <c r="W44"/>
  <c r="W156" s="1"/>
  <c r="W49"/>
  <c r="W50"/>
  <c r="W51"/>
  <c r="W47"/>
  <c r="W162" s="1"/>
  <c r="AC27"/>
  <c r="Y12"/>
  <c r="Y15"/>
  <c r="Y109" s="1"/>
  <c r="Y13"/>
  <c r="Y10"/>
  <c r="Y16"/>
  <c r="Y117" s="1"/>
  <c r="Y118" s="1"/>
  <c r="Y7"/>
  <c r="Y6"/>
  <c r="AC25"/>
  <c r="AB79"/>
  <c r="AC79" s="1"/>
  <c r="Y38"/>
  <c r="Y87" s="1"/>
  <c r="X81"/>
  <c r="X80"/>
  <c r="O31" i="9"/>
  <c r="O32" s="1"/>
  <c r="X40" i="18"/>
  <c r="W70"/>
  <c r="W68"/>
  <c r="W69"/>
  <c r="W67"/>
  <c r="Y155"/>
  <c r="Y163" s="1"/>
  <c r="V157"/>
  <c r="V158"/>
  <c r="P31" i="11"/>
  <c r="N32"/>
  <c r="T19" i="9"/>
  <c r="D22"/>
  <c r="Y91" i="18" l="1"/>
  <c r="X96"/>
  <c r="X97" s="1"/>
  <c r="X98" s="1"/>
  <c r="X99" s="1"/>
  <c r="X48"/>
  <c r="Y115"/>
  <c r="Y114"/>
  <c r="Y88"/>
  <c r="Y110"/>
  <c r="Y82"/>
  <c r="W59"/>
  <c r="W159" s="1"/>
  <c r="X51"/>
  <c r="Y92"/>
  <c r="Y93"/>
  <c r="T145"/>
  <c r="R145" s="1"/>
  <c r="X53"/>
  <c r="X60"/>
  <c r="X47"/>
  <c r="X162" s="1"/>
  <c r="X55"/>
  <c r="X161" s="1"/>
  <c r="X50"/>
  <c r="X49"/>
  <c r="X71"/>
  <c r="X73"/>
  <c r="X119" s="1"/>
  <c r="X45"/>
  <c r="X44"/>
  <c r="X156" s="1"/>
  <c r="X75"/>
  <c r="X54"/>
  <c r="X61"/>
  <c r="X160" s="1"/>
  <c r="X58"/>
  <c r="X57"/>
  <c r="X74"/>
  <c r="Z13"/>
  <c r="Z12"/>
  <c r="Z15"/>
  <c r="Z109" s="1"/>
  <c r="Z10"/>
  <c r="Z16"/>
  <c r="Z117" s="1"/>
  <c r="Z118" s="1"/>
  <c r="Z6"/>
  <c r="Z7"/>
  <c r="Z38"/>
  <c r="Z87" s="1"/>
  <c r="Y81"/>
  <c r="Y80"/>
  <c r="Y40"/>
  <c r="X70"/>
  <c r="X68"/>
  <c r="X69"/>
  <c r="X67"/>
  <c r="Z155"/>
  <c r="Z163" s="1"/>
  <c r="W157"/>
  <c r="W158"/>
  <c r="N33" i="11"/>
  <c r="O32"/>
  <c r="P32"/>
  <c r="M45"/>
  <c r="L31"/>
  <c r="M32" s="1"/>
  <c r="M33" s="1"/>
  <c r="M34" s="1"/>
  <c r="M35" s="1"/>
  <c r="M36" s="1"/>
  <c r="M37" s="1"/>
  <c r="M38" s="1"/>
  <c r="M39" s="1"/>
  <c r="M40" s="1"/>
  <c r="M41" s="1"/>
  <c r="Q32"/>
  <c r="S11" i="9"/>
  <c r="S12" s="1"/>
  <c r="S9"/>
  <c r="Z91" i="18" l="1"/>
  <c r="Y96"/>
  <c r="Y97" s="1"/>
  <c r="Y98" s="1"/>
  <c r="Y99" s="1"/>
  <c r="Y48"/>
  <c r="Z88"/>
  <c r="Z110"/>
  <c r="Z114"/>
  <c r="Z115"/>
  <c r="Z82"/>
  <c r="Z92"/>
  <c r="Z93"/>
  <c r="X59"/>
  <c r="X159" s="1"/>
  <c r="Y71"/>
  <c r="Y73"/>
  <c r="Y119" s="1"/>
  <c r="Y44"/>
  <c r="Y156" s="1"/>
  <c r="Y45"/>
  <c r="Y55"/>
  <c r="Y161" s="1"/>
  <c r="Y61"/>
  <c r="Y160" s="1"/>
  <c r="Y60"/>
  <c r="Y58"/>
  <c r="Y49"/>
  <c r="Y47"/>
  <c r="Y162" s="1"/>
  <c r="Y54"/>
  <c r="Y50"/>
  <c r="Y51"/>
  <c r="Y57"/>
  <c r="Y74"/>
  <c r="Y53"/>
  <c r="Y75"/>
  <c r="AA12"/>
  <c r="AA15"/>
  <c r="AA109" s="1"/>
  <c r="AA13"/>
  <c r="AA10"/>
  <c r="AA16"/>
  <c r="AA117" s="1"/>
  <c r="AA118" s="1"/>
  <c r="AA7"/>
  <c r="AA6"/>
  <c r="AA38"/>
  <c r="AA87" s="1"/>
  <c r="Z80"/>
  <c r="Z81"/>
  <c r="Z40"/>
  <c r="Y70"/>
  <c r="Y68"/>
  <c r="Y69"/>
  <c r="Y67"/>
  <c r="AA155"/>
  <c r="AA163" s="1"/>
  <c r="X157"/>
  <c r="X158"/>
  <c r="N34" i="11"/>
  <c r="O33"/>
  <c r="D25" i="8"/>
  <c r="D23"/>
  <c r="AA91" i="18" l="1"/>
  <c r="Z96"/>
  <c r="Z97" s="1"/>
  <c r="Z98" s="1"/>
  <c r="Z99" s="1"/>
  <c r="Z48"/>
  <c r="AA82"/>
  <c r="AA114"/>
  <c r="AA115"/>
  <c r="AA88"/>
  <c r="AA110"/>
  <c r="AA92"/>
  <c r="AA93"/>
  <c r="Y59"/>
  <c r="Y159" s="1"/>
  <c r="Z71"/>
  <c r="Z73"/>
  <c r="Z119" s="1"/>
  <c r="Z45"/>
  <c r="Z44"/>
  <c r="Z156" s="1"/>
  <c r="Z49"/>
  <c r="Z60"/>
  <c r="Z50"/>
  <c r="Z55"/>
  <c r="Z161" s="1"/>
  <c r="Z58"/>
  <c r="Z57"/>
  <c r="Z75"/>
  <c r="Z61"/>
  <c r="Z160" s="1"/>
  <c r="Z47"/>
  <c r="Z162" s="1"/>
  <c r="Z54"/>
  <c r="Z74"/>
  <c r="Z53"/>
  <c r="Z51"/>
  <c r="AB15"/>
  <c r="AB13"/>
  <c r="AE13" s="1"/>
  <c r="AB12"/>
  <c r="AB110" s="1"/>
  <c r="AC110" s="1"/>
  <c r="AB10"/>
  <c r="AB16"/>
  <c r="AB6"/>
  <c r="AE6" s="1"/>
  <c r="AB7"/>
  <c r="AE7" s="1"/>
  <c r="AB38"/>
  <c r="AB87" s="1"/>
  <c r="AC87" s="1"/>
  <c r="AA81"/>
  <c r="AA80"/>
  <c r="AA40"/>
  <c r="Z70"/>
  <c r="Z68"/>
  <c r="Z69"/>
  <c r="Z67"/>
  <c r="AB155"/>
  <c r="AB163" s="1"/>
  <c r="Y157"/>
  <c r="Y158"/>
  <c r="N35" i="11"/>
  <c r="O34"/>
  <c r="D35" i="8"/>
  <c r="E5"/>
  <c r="E18" s="1"/>
  <c r="D18"/>
  <c r="D19"/>
  <c r="D21"/>
  <c r="D20"/>
  <c r="AB91" i="18" l="1"/>
  <c r="AC163"/>
  <c r="AE163" s="1"/>
  <c r="AA96"/>
  <c r="AA97" s="1"/>
  <c r="AA98" s="1"/>
  <c r="AA99" s="1"/>
  <c r="AA48"/>
  <c r="AE16"/>
  <c r="AB117"/>
  <c r="AB115"/>
  <c r="AC115" s="1"/>
  <c r="AB114"/>
  <c r="AC114" s="1"/>
  <c r="AE15"/>
  <c r="AB109"/>
  <c r="AC109" s="1"/>
  <c r="AB82"/>
  <c r="AC82" s="1"/>
  <c r="AE10"/>
  <c r="AC91"/>
  <c r="AE12"/>
  <c r="AB88"/>
  <c r="AC88" s="1"/>
  <c r="AE38"/>
  <c r="AB92"/>
  <c r="AC92" s="1"/>
  <c r="AB93"/>
  <c r="AC93" s="1"/>
  <c r="Z59"/>
  <c r="Z159" s="1"/>
  <c r="AA71"/>
  <c r="AA73"/>
  <c r="AA119" s="1"/>
  <c r="AA44"/>
  <c r="AA156" s="1"/>
  <c r="AA45"/>
  <c r="AA53"/>
  <c r="AA61"/>
  <c r="AA160" s="1"/>
  <c r="AA47"/>
  <c r="AA162" s="1"/>
  <c r="AA55"/>
  <c r="AA161" s="1"/>
  <c r="AA58"/>
  <c r="AA74"/>
  <c r="AA49"/>
  <c r="AA50"/>
  <c r="AA51"/>
  <c r="AA54"/>
  <c r="AA75"/>
  <c r="AA57"/>
  <c r="AA60"/>
  <c r="AC15"/>
  <c r="AC13"/>
  <c r="S139"/>
  <c r="AC12"/>
  <c r="AC10"/>
  <c r="AC16"/>
  <c r="AC7"/>
  <c r="AC6"/>
  <c r="AB81"/>
  <c r="AC81" s="1"/>
  <c r="AB80"/>
  <c r="AC80" s="1"/>
  <c r="AC38"/>
  <c r="AB40"/>
  <c r="AA70"/>
  <c r="AA68"/>
  <c r="AA69"/>
  <c r="AA67"/>
  <c r="AC155"/>
  <c r="AE155" s="1"/>
  <c r="Z157"/>
  <c r="Z158"/>
  <c r="N36" i="11"/>
  <c r="O35"/>
  <c r="F5" i="8"/>
  <c r="G5" s="1"/>
  <c r="H5" s="1"/>
  <c r="I5" s="1"/>
  <c r="AB96" i="18" l="1"/>
  <c r="AB97" s="1"/>
  <c r="AB98" s="1"/>
  <c r="AB99" s="1"/>
  <c r="AB48"/>
  <c r="AC117"/>
  <c r="AB118"/>
  <c r="AC118" s="1"/>
  <c r="AE40"/>
  <c r="T139"/>
  <c r="T140" s="1"/>
  <c r="AA59"/>
  <c r="AA159" s="1"/>
  <c r="AB71"/>
  <c r="AB73"/>
  <c r="AB44"/>
  <c r="AB156" s="1"/>
  <c r="AC156" s="1"/>
  <c r="AE156" s="1"/>
  <c r="AB45"/>
  <c r="AB53"/>
  <c r="AB58"/>
  <c r="AB47"/>
  <c r="AB55"/>
  <c r="AB51"/>
  <c r="AB74"/>
  <c r="AB50"/>
  <c r="AE50" s="1"/>
  <c r="AB49"/>
  <c r="AB60"/>
  <c r="AB75"/>
  <c r="AB54"/>
  <c r="AB61"/>
  <c r="AB57"/>
  <c r="S140"/>
  <c r="AB70"/>
  <c r="AB68"/>
  <c r="AC40"/>
  <c r="AB69"/>
  <c r="AB67"/>
  <c r="AA157"/>
  <c r="AA158"/>
  <c r="N37" i="11"/>
  <c r="O36"/>
  <c r="F18" i="8"/>
  <c r="G18"/>
  <c r="AE47" i="18" l="1"/>
  <c r="AB162"/>
  <c r="AE48"/>
  <c r="AC48"/>
  <c r="AE73"/>
  <c r="AB119"/>
  <c r="AC119" s="1"/>
  <c r="AC96"/>
  <c r="R139"/>
  <c r="R140"/>
  <c r="AC74"/>
  <c r="AE74"/>
  <c r="AC45"/>
  <c r="AE45"/>
  <c r="S136"/>
  <c r="AE60"/>
  <c r="AB160"/>
  <c r="AC160" s="1"/>
  <c r="AE160" s="1"/>
  <c r="AE61"/>
  <c r="AC44"/>
  <c r="AE44"/>
  <c r="AC58"/>
  <c r="AE58"/>
  <c r="S130"/>
  <c r="AE57"/>
  <c r="S129"/>
  <c r="AE51"/>
  <c r="AB161"/>
  <c r="AC161" s="1"/>
  <c r="AE161" s="1"/>
  <c r="AE55"/>
  <c r="AC54"/>
  <c r="AE54"/>
  <c r="S127"/>
  <c r="AE49"/>
  <c r="S132"/>
  <c r="AE53"/>
  <c r="AC75"/>
  <c r="AE75"/>
  <c r="S152"/>
  <c r="AE71"/>
  <c r="S150"/>
  <c r="AE70"/>
  <c r="S149"/>
  <c r="AE69"/>
  <c r="S147"/>
  <c r="AE67"/>
  <c r="S148"/>
  <c r="AE68"/>
  <c r="AC60"/>
  <c r="S133"/>
  <c r="AC49"/>
  <c r="AC51"/>
  <c r="T129" s="1"/>
  <c r="AC53"/>
  <c r="S134"/>
  <c r="AC71"/>
  <c r="AC57"/>
  <c r="S137"/>
  <c r="AB59"/>
  <c r="AC55"/>
  <c r="AC61"/>
  <c r="AC73"/>
  <c r="AC69"/>
  <c r="AC68"/>
  <c r="AC67"/>
  <c r="AC70"/>
  <c r="S126"/>
  <c r="AC47"/>
  <c r="AB157"/>
  <c r="AC50"/>
  <c r="T128" s="1"/>
  <c r="AB158"/>
  <c r="S128"/>
  <c r="N38" i="11"/>
  <c r="O37"/>
  <c r="H18" i="8"/>
  <c r="AC162" i="18" l="1"/>
  <c r="AE162" s="1"/>
  <c r="T126"/>
  <c r="P170"/>
  <c r="M170"/>
  <c r="AC97"/>
  <c r="T137"/>
  <c r="R137" s="1"/>
  <c r="T127"/>
  <c r="R127" s="1"/>
  <c r="T136"/>
  <c r="R136" s="1"/>
  <c r="T132"/>
  <c r="R132" s="1"/>
  <c r="T134"/>
  <c r="R134" s="1"/>
  <c r="T152"/>
  <c r="R152" s="1"/>
  <c r="P171" s="1"/>
  <c r="T149"/>
  <c r="R149" s="1"/>
  <c r="AC59"/>
  <c r="AE59"/>
  <c r="T130"/>
  <c r="R130" s="1"/>
  <c r="R129"/>
  <c r="T133"/>
  <c r="R133" s="1"/>
  <c r="T147"/>
  <c r="R147" s="1"/>
  <c r="AB159"/>
  <c r="AC159" s="1"/>
  <c r="AE159" s="1"/>
  <c r="T150"/>
  <c r="R150" s="1"/>
  <c r="T148"/>
  <c r="R148" s="1"/>
  <c r="R126"/>
  <c r="P172" s="1"/>
  <c r="P173" s="1"/>
  <c r="AC158"/>
  <c r="AE158" s="1"/>
  <c r="AC157"/>
  <c r="AE157" s="1"/>
  <c r="R128"/>
  <c r="N39" i="11"/>
  <c r="O38"/>
  <c r="I18" i="8"/>
  <c r="P169" i="18" l="1"/>
  <c r="M169"/>
  <c r="P168"/>
  <c r="M168"/>
  <c r="AC99"/>
  <c r="AC98"/>
  <c r="N40" i="11"/>
  <c r="O39"/>
  <c r="N41" l="1"/>
  <c r="O40"/>
  <c r="N42" l="1"/>
  <c r="O41"/>
</calcChain>
</file>

<file path=xl/comments1.xml><?xml version="1.0" encoding="utf-8"?>
<comments xmlns="http://schemas.openxmlformats.org/spreadsheetml/2006/main">
  <authors>
    <author>Author</author>
  </authors>
  <commentList>
    <comment ref="B119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B157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</commentList>
</comments>
</file>

<file path=xl/sharedStrings.xml><?xml version="1.0" encoding="utf-8"?>
<sst xmlns="http://schemas.openxmlformats.org/spreadsheetml/2006/main" count="581" uniqueCount="402">
  <si>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</si>
  <si>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</si>
  <si>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</si>
  <si>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</si>
  <si>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</si>
  <si>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</si>
  <si>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</si>
  <si>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</si>
  <si>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</si>
  <si>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</si>
  <si>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</si>
  <si>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</si>
  <si>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</si>
  <si>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</si>
  <si>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</si>
  <si>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</si>
  <si>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</si>
  <si>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</si>
  <si>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</si>
  <si>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</si>
  <si>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</si>
  <si>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</si>
  <si>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</si>
  <si>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</si>
  <si>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</si>
  <si>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</si>
  <si>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</si>
  <si>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</si>
  <si>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</si>
  <si>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</si>
  <si>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</si>
  <si>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</si>
  <si>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</si>
  <si>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</si>
  <si>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</si>
  <si>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</si>
  <si>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</si>
  <si>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</si>
  <si>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</si>
  <si>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</si>
  <si>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</si>
  <si>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</si>
  <si>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</si>
  <si>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</si>
  <si>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</si>
  <si>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</si>
  <si>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</si>
  <si>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</si>
  <si>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</si>
  <si>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</si>
  <si>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</si>
  <si>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</si>
  <si>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</si>
  <si>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</si>
  <si>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</si>
  <si>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</si>
  <si>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</si>
  <si>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</si>
  <si>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</si>
  <si>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</si>
  <si>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</si>
  <si>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</si>
  <si>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</si>
  <si>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</si>
  <si>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</si>
  <si>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</si>
  <si>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</si>
  <si>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</si>
  <si>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</si>
  <si>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</si>
  <si>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</si>
  <si>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</si>
  <si>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</si>
  <si>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</si>
  <si>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</si>
  <si>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</si>
  <si>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</si>
  <si>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</si>
  <si>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</si>
  <si>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</si>
  <si>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</si>
  <si>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</si>
  <si>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</si>
  <si>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</si>
  <si>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</si>
  <si>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</si>
  <si>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</si>
  <si>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</si>
  <si>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</si>
  <si>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</si>
  <si>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</si>
  <si>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</si>
  <si>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</si>
  <si>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</si>
  <si>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</si>
  <si>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</si>
  <si>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</si>
  <si>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</si>
  <si>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</si>
  <si>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</si>
  <si>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</si>
  <si>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</si>
  <si>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</si>
  <si>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</si>
  <si>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</si>
  <si>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</si>
  <si>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</si>
  <si>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</si>
  <si>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</si>
  <si>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</si>
  <si>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</si>
  <si>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</si>
  <si>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</si>
  <si>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</si>
  <si>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</si>
  <si>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</si>
  <si>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</si>
  <si>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</si>
  <si>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</si>
  <si>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</si>
  <si>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</si>
  <si>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</si>
  <si>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</si>
  <si>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</si>
  <si>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</si>
  <si>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</si>
  <si>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</si>
  <si>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</si>
  <si>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</si>
  <si>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</si>
  <si>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</si>
  <si>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</si>
  <si>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</si>
  <si>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</si>
  <si>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</si>
  <si>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</si>
  <si>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</si>
  <si>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</si>
  <si>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</si>
  <si>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</si>
  <si>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</si>
  <si>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</si>
  <si>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</si>
  <si>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</si>
  <si>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</si>
  <si>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</si>
  <si>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</si>
  <si>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</si>
  <si>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</si>
  <si>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</si>
  <si>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</si>
  <si>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</si>
  <si>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</si>
  <si>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</si>
  <si>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</si>
  <si>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</si>
  <si>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</si>
  <si>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</si>
  <si>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</si>
  <si>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</si>
  <si>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</si>
  <si>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</si>
  <si>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</si>
  <si>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</si>
  <si>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</si>
  <si>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</si>
  <si>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</si>
  <si>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</si>
  <si>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</si>
  <si>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</si>
  <si>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</si>
  <si>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</si>
  <si>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</si>
  <si>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</si>
  <si>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</si>
  <si>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</si>
  <si>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</si>
  <si>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</si>
  <si>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</si>
  <si>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</si>
  <si>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</si>
  <si>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</si>
  <si>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</si>
  <si>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</si>
  <si>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</si>
  <si>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</si>
  <si>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</si>
  <si>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</si>
  <si>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</si>
  <si>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</si>
  <si>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</si>
  <si>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</si>
  <si>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</si>
  <si>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</si>
  <si>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</si>
  <si>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</si>
  <si>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</si>
  <si>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</si>
  <si>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</si>
  <si>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</si>
  <si>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</si>
  <si>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</si>
  <si>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</si>
  <si>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</si>
  <si>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</si>
  <si>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</si>
  <si>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</si>
  <si>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</si>
  <si>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</si>
  <si>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</si>
  <si>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</si>
  <si>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</si>
  <si>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</si>
  <si>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</si>
  <si>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</si>
  <si>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</si>
  <si>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</si>
  <si>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</si>
  <si>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</si>
  <si>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</si>
  <si>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</si>
  <si>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</si>
  <si>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</si>
  <si>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</si>
  <si>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</si>
  <si>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</si>
  <si>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</si>
  <si>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</si>
  <si>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</si>
  <si>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</si>
  <si>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</si>
  <si>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</si>
  <si>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</si>
  <si>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</si>
  <si>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</si>
  <si>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</si>
  <si>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</si>
  <si>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</si>
  <si>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</si>
  <si>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</si>
  <si>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</si>
  <si>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</si>
  <si>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</si>
  <si>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</si>
  <si>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</si>
  <si>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</si>
  <si>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</si>
  <si>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</si>
  <si>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</si>
  <si>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</si>
  <si>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</si>
  <si>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</si>
  <si>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</si>
  <si>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</si>
  <si>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</si>
  <si>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</si>
  <si>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</si>
  <si>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Net Earnings (Net Profit)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</si>
  <si>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</si>
  <si>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</si>
  <si>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</si>
  <si>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</si>
  <si>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</si>
  <si>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</si>
  <si>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</si>
  <si>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</si>
  <si>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</si>
  <si>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</si>
  <si>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</si>
  <si>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</si>
  <si>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</si>
  <si>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</si>
  <si>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</si>
  <si>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</si>
  <si>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</si>
  <si>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</si>
  <si>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</si>
  <si>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</si>
  <si>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</si>
  <si>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</si>
  <si>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</si>
  <si>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</si>
  <si>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</si>
  <si>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</si>
  <si>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</si>
  <si>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</si>
  <si>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</si>
  <si>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- Investments) per share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</si>
  <si>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</si>
  <si>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</si>
  <si>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</si>
  <si>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</si>
  <si>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</si>
  <si>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</si>
  <si>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</si>
  <si>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</si>
  <si>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</si>
  <si>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</si>
  <si>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</si>
  <si>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</si>
  <si>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</si>
  <si>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</si>
  <si>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</si>
  <si>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</si>
  <si>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</si>
  <si>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</si>
  <si>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</si>
  <si>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</si>
  <si>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</si>
  <si>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</si>
  <si>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</si>
  <si>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</si>
  <si>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</si>
  <si>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</si>
  <si>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</si>
  <si>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</si>
  <si>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</si>
  <si>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Top Expenses ( Raw material )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</si>
  <si>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</si>
  <si>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</si>
  <si>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</si>
  <si>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</si>
  <si>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</si>
  <si>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</si>
  <si>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</si>
  <si>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</si>
  <si>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</si>
  <si>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</si>
  <si>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</si>
  <si>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</si>
  <si>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</si>
  <si>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</si>
  <si>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</si>
  <si>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</si>
  <si>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</si>
  <si>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</si>
  <si>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</si>
  <si>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</si>
  <si>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</si>
  <si>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</si>
  <si>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</si>
  <si>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</si>
  <si>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</si>
  <si>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</si>
  <si>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</si>
  <si>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</si>
  <si>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</si>
  <si>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</si>
  <si>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</si>
  <si>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</si>
  <si>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</si>
  <si>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</si>
  <si>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</si>
  <si>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</si>
  <si>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</si>
  <si>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</si>
  <si>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</si>
  <si>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</si>
  <si>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</si>
  <si>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</si>
  <si>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</si>
  <si>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</si>
  <si>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</si>
  <si>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</si>
  <si>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</si>
  <si>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</si>
  <si>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</si>
  <si>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</si>
  <si>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</si>
  <si>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</si>
  <si>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</si>
  <si>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</si>
  <si>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</si>
  <si>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</si>
  <si>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</si>
  <si>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</si>
  <si>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</si>
  <si>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</si>
  <si>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</si>
  <si>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</si>
  <si>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</si>
  <si>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</si>
  <si>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</si>
  <si>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</si>
  <si>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</si>
  <si>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</si>
  <si>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</si>
  <si>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</si>
  <si>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</si>
  <si>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</si>
  <si>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</si>
  <si>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</si>
  <si>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</si>
  <si>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xxxx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</si>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</sst>
</file>

<file path=xl/styles.xml><?xml version="1.0" encoding="utf-8"?>
<styleSheet xmlns="http://schemas.openxmlformats.org/spreadsheetml/2006/main">
  <numFmts count="18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_(* #,##0.0_);_(* \(#,##0.0\);_(* &quot;-&quot;??_);_(@_)"/>
    <numFmt numFmtId="168" formatCode="[$₹-861]#,##0.00;[Red]\-[$₹-861]#,##0.00"/>
    <numFmt numFmtId="169" formatCode="[$₹-861]#,##0;[Red]\-[$₹-861]#,##0"/>
    <numFmt numFmtId="170" formatCode="0.0%"/>
    <numFmt numFmtId="171" formatCode="_-[$₹-861]* #,##0.00_-;\-[$₹-861]* #,##0.00_-;_-[$₹-861]* &quot;-&quot;??_-;_-@_-"/>
    <numFmt numFmtId="172" formatCode="_-[$₹-861]* #,##0_-;\-[$₹-861]* #,##0_-;_-[$₹-861]* &quot;-&quot;??_-;_-@_-"/>
    <numFmt numFmtId="173" formatCode="0.000"/>
    <numFmt numFmtId="174" formatCode="0.0"/>
    <numFmt numFmtId="175" formatCode="_(&quot;$&quot;* #,##0_);_(&quot;$&quot;* \(#,##0\);_(&quot;$&quot;* &quot;-&quot;??_);_(@_)"/>
    <numFmt numFmtId="176" formatCode="#,##0.00_ ;[Red]\-#,##0.00\ "/>
    <numFmt numFmtId="177" formatCode="#,##0_ ;[Red]\-#,##0\ "/>
    <numFmt numFmtId="178" formatCode="0_);[Red]\(0\)"/>
    <numFmt numFmtId="179" formatCode="0.00_);[Red]\(0.00\)"/>
    <numFmt numFmtId="180" formatCode="#,##0.0_ ;[Red]\-#,##0.0\ "/>
    <numFmt numFmtId="181" formatCode="#,##0.0;[Red]\-#,##0.0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06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6" fontId="2" fillId="6" borderId="0" xfId="2" applyNumberFormat="1" applyFont="1" applyFill="1"/>
    <xf numFmtId="166" fontId="2" fillId="5" borderId="0" xfId="2" applyNumberFormat="1" applyFont="1" applyFill="1"/>
    <xf numFmtId="1" fontId="2" fillId="5" borderId="0" xfId="2" applyNumberFormat="1" applyFont="1" applyFill="1"/>
    <xf numFmtId="166" fontId="2" fillId="6" borderId="1" xfId="2" applyNumberFormat="1" applyFont="1" applyFill="1" applyBorder="1"/>
    <xf numFmtId="167" fontId="2" fillId="5" borderId="1" xfId="0" applyNumberFormat="1" applyFont="1" applyFill="1" applyBorder="1"/>
    <xf numFmtId="165" fontId="2" fillId="5" borderId="0" xfId="0" applyNumberFormat="1" applyFont="1" applyFill="1"/>
    <xf numFmtId="165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6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8" fontId="4" fillId="5" borderId="1" xfId="0" applyNumberFormat="1" applyFont="1" applyFill="1" applyBorder="1"/>
    <xf numFmtId="168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9" fontId="4" fillId="6" borderId="1" xfId="0" applyNumberFormat="1" applyFont="1" applyFill="1" applyBorder="1"/>
    <xf numFmtId="168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70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70" fontId="2" fillId="8" borderId="1" xfId="0" applyNumberFormat="1" applyFont="1" applyFill="1" applyBorder="1"/>
    <xf numFmtId="2" fontId="2" fillId="8" borderId="1" xfId="1" applyNumberFormat="1" applyFont="1" applyFill="1" applyBorder="1"/>
    <xf numFmtId="170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9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6" fontId="2" fillId="5" borderId="1" xfId="2" applyNumberFormat="1" applyFont="1" applyFill="1" applyBorder="1"/>
    <xf numFmtId="166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2" fontId="2" fillId="5" borderId="1" xfId="2" applyNumberFormat="1" applyFont="1" applyFill="1" applyBorder="1" applyAlignment="1">
      <alignment horizontal="center"/>
    </xf>
    <xf numFmtId="171" fontId="0" fillId="5" borderId="1" xfId="2" applyNumberFormat="1" applyFont="1" applyFill="1" applyBorder="1"/>
    <xf numFmtId="171" fontId="0" fillId="5" borderId="1" xfId="0" applyNumberFormat="1" applyFill="1" applyBorder="1"/>
    <xf numFmtId="172" fontId="0" fillId="5" borderId="1" xfId="0" applyNumberFormat="1" applyFill="1" applyBorder="1"/>
    <xf numFmtId="166" fontId="2" fillId="5" borderId="10" xfId="2" applyNumberFormat="1" applyFont="1" applyFill="1" applyBorder="1"/>
    <xf numFmtId="166" fontId="2" fillId="5" borderId="11" xfId="2" applyNumberFormat="1" applyFont="1" applyFill="1" applyBorder="1"/>
    <xf numFmtId="172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2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6" fontId="0" fillId="5" borderId="10" xfId="2" applyNumberFormat="1" applyFont="1" applyFill="1" applyBorder="1"/>
    <xf numFmtId="166" fontId="0" fillId="5" borderId="11" xfId="2" applyNumberFormat="1" applyFont="1" applyFill="1" applyBorder="1"/>
    <xf numFmtId="171" fontId="0" fillId="5" borderId="11" xfId="2" applyNumberFormat="1" applyFont="1" applyFill="1" applyBorder="1"/>
    <xf numFmtId="171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6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3" fontId="4" fillId="5" borderId="1" xfId="0" applyNumberFormat="1" applyFont="1" applyFill="1" applyBorder="1"/>
    <xf numFmtId="9" fontId="4" fillId="6" borderId="1" xfId="0" applyNumberFormat="1" applyFont="1" applyFill="1" applyBorder="1"/>
    <xf numFmtId="174" fontId="4" fillId="5" borderId="1" xfId="0" applyNumberFormat="1" applyFont="1" applyFill="1" applyBorder="1"/>
    <xf numFmtId="175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71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6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2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165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6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165" fontId="8" fillId="5" borderId="1" xfId="2" applyNumberFormat="1" applyFont="1" applyFill="1" applyBorder="1"/>
    <xf numFmtId="177" fontId="4" fillId="5" borderId="1" xfId="2" applyNumberFormat="1" applyFont="1" applyFill="1" applyBorder="1"/>
    <xf numFmtId="177" fontId="8" fillId="5" borderId="1" xfId="2" applyNumberFormat="1" applyFont="1" applyFill="1" applyBorder="1"/>
    <xf numFmtId="9" fontId="9" fillId="5" borderId="1" xfId="1" applyFont="1" applyFill="1" applyBorder="1"/>
    <xf numFmtId="0" fontId="10" fillId="5" borderId="1" xfId="0" applyFont="1" applyFill="1" applyBorder="1"/>
    <xf numFmtId="177" fontId="10" fillId="5" borderId="1" xfId="2" applyNumberFormat="1" applyFont="1" applyFill="1" applyBorder="1"/>
    <xf numFmtId="9" fontId="9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7" fontId="4" fillId="5" borderId="1" xfId="0" applyNumberFormat="1" applyFont="1" applyFill="1" applyBorder="1"/>
    <xf numFmtId="177" fontId="5" fillId="5" borderId="1" xfId="0" applyNumberFormat="1" applyFont="1" applyFill="1" applyBorder="1"/>
    <xf numFmtId="177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165" fontId="11" fillId="5" borderId="1" xfId="2" applyNumberFormat="1" applyFont="1" applyFill="1" applyBorder="1"/>
    <xf numFmtId="40" fontId="5" fillId="5" borderId="1" xfId="0" applyNumberFormat="1" applyFont="1" applyFill="1" applyBorder="1"/>
    <xf numFmtId="170" fontId="4" fillId="5" borderId="1" xfId="1" applyNumberFormat="1" applyFont="1" applyFill="1" applyBorder="1"/>
    <xf numFmtId="1" fontId="4" fillId="5" borderId="4" xfId="0" applyNumberFormat="1" applyFont="1" applyFill="1" applyBorder="1"/>
    <xf numFmtId="178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6" fontId="4" fillId="0" borderId="1" xfId="2" applyNumberFormat="1" applyFont="1" applyBorder="1"/>
    <xf numFmtId="0" fontId="5" fillId="0" borderId="1" xfId="0" applyFont="1" applyBorder="1"/>
    <xf numFmtId="165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6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6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165" fontId="4" fillId="5" borderId="1" xfId="2" applyFont="1" applyFill="1" applyBorder="1"/>
    <xf numFmtId="2" fontId="4" fillId="5" borderId="1" xfId="1" applyNumberFormat="1" applyFont="1" applyFill="1" applyBorder="1"/>
    <xf numFmtId="179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80" fontId="4" fillId="5" borderId="1" xfId="0" applyNumberFormat="1" applyFont="1" applyFill="1" applyBorder="1"/>
    <xf numFmtId="181" fontId="4" fillId="5" borderId="1" xfId="0" applyNumberFormat="1" applyFont="1" applyFill="1" applyBorder="1"/>
    <xf numFmtId="176" fontId="8" fillId="5" borderId="1" xfId="2" applyNumberFormat="1" applyFont="1" applyFill="1" applyBorder="1"/>
    <xf numFmtId="0" fontId="14" fillId="2" borderId="4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lineChart>
        <c:grouping val="stacked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</c:ser>
        <c:marker val="1"/>
        <c:axId val="78387456"/>
        <c:axId val="78405632"/>
      </c:lineChart>
      <c:catAx>
        <c:axId val="78387456"/>
        <c:scaling>
          <c:orientation val="minMax"/>
        </c:scaling>
        <c:axPos val="b"/>
        <c:tickLblPos val="nextTo"/>
        <c:crossAx val="78405632"/>
        <c:crosses val="autoZero"/>
        <c:auto val="1"/>
        <c:lblAlgn val="ctr"/>
        <c:lblOffset val="100"/>
      </c:catAx>
      <c:valAx>
        <c:axId val="78405632"/>
        <c:scaling>
          <c:orientation val="minMax"/>
        </c:scaling>
        <c:axPos val="l"/>
        <c:majorGridlines/>
        <c:numFmt formatCode="General" sourceLinked="1"/>
        <c:tickLblPos val="nextTo"/>
        <c:crossAx val="78387456"/>
        <c:crosses val="autoZero"/>
        <c:crossBetween val="between"/>
      </c:valAx>
    </c:plotArea>
    <c:legend>
      <c:legendPos val="r"/>
    </c:legend>
    <c:plotVisOnly val="1"/>
    <c:dispBlanksAs val="zero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F108"/>
  <sheetViews>
    <sheetView zoomScale="80" zoomScaleNormal="80" workbookViewId="0">
      <selection activeCell="D21" sqref="D21"/>
    </sheetView>
  </sheetViews>
  <sheetFormatPr defaultRowHeight="12.75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>
      <c r="B4" s="103"/>
      <c r="C4" s="20"/>
      <c r="D4" s="20"/>
      <c r="E4" s="20"/>
      <c r="F4" s="20"/>
    </row>
    <row r="5" spans="2:6">
      <c r="B5" s="103"/>
      <c r="C5" s="108" t="s">
        <v>126</v>
      </c>
      <c r="D5" s="20"/>
      <c r="E5" s="20"/>
      <c r="F5" s="20"/>
    </row>
    <row r="6" spans="2:6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>
      <c r="B7" s="103"/>
      <c r="C7" s="20"/>
      <c r="D7" s="20" t="s">
        <v>129</v>
      </c>
      <c r="E7" s="20"/>
      <c r="F7" s="20"/>
    </row>
    <row r="8" spans="2:6">
      <c r="B8" s="103"/>
      <c r="C8" s="20"/>
      <c r="D8" s="20" t="s">
        <v>135</v>
      </c>
      <c r="E8" s="20"/>
      <c r="F8" s="20"/>
    </row>
    <row r="9" spans="2:6">
      <c r="B9" s="103"/>
      <c r="C9" s="20"/>
      <c r="D9" s="20"/>
      <c r="E9" s="20"/>
      <c r="F9" s="20"/>
    </row>
    <row r="10" spans="2:6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>
      <c r="B11" s="103"/>
      <c r="C11" s="20"/>
      <c r="D11" s="20" t="s">
        <v>131</v>
      </c>
      <c r="E11" s="20"/>
      <c r="F11" s="20"/>
    </row>
    <row r="12" spans="2:6">
      <c r="B12" s="103"/>
      <c r="C12" s="20"/>
      <c r="D12" s="20"/>
      <c r="E12" s="20"/>
      <c r="F12" s="20"/>
    </row>
    <row r="13" spans="2:6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>
      <c r="B14" s="103"/>
      <c r="C14" s="20"/>
      <c r="D14" s="20" t="s">
        <v>136</v>
      </c>
      <c r="E14" s="20" t="s">
        <v>139</v>
      </c>
      <c r="F14" s="20"/>
    </row>
    <row r="15" spans="2:6">
      <c r="B15" s="103"/>
      <c r="C15" s="20"/>
      <c r="D15" s="20"/>
      <c r="E15" s="20" t="s">
        <v>140</v>
      </c>
      <c r="F15" s="20"/>
    </row>
    <row r="16" spans="2:6">
      <c r="B16" s="103"/>
      <c r="C16" s="20"/>
      <c r="D16" s="20"/>
      <c r="E16" s="20"/>
      <c r="F16" s="20"/>
    </row>
    <row r="17" spans="2:6">
      <c r="B17" s="103">
        <v>4</v>
      </c>
      <c r="C17" s="20" t="s">
        <v>141</v>
      </c>
      <c r="D17" s="20" t="s">
        <v>142</v>
      </c>
      <c r="E17" s="20"/>
      <c r="F17" s="20"/>
    </row>
    <row r="18" spans="2:6">
      <c r="B18" s="103"/>
      <c r="C18" s="20"/>
      <c r="D18" s="20" t="s">
        <v>143</v>
      </c>
      <c r="E18" s="20"/>
      <c r="F18" s="20"/>
    </row>
    <row r="19" spans="2:6">
      <c r="B19" s="103"/>
      <c r="C19" s="20"/>
      <c r="D19" s="20" t="s">
        <v>144</v>
      </c>
      <c r="E19" s="20"/>
      <c r="F19" s="20"/>
    </row>
    <row r="20" spans="2:6">
      <c r="B20" s="103"/>
      <c r="C20" s="20"/>
      <c r="D20" s="20" t="s">
        <v>145</v>
      </c>
      <c r="E20" s="20"/>
      <c r="F20" s="20"/>
    </row>
    <row r="21" spans="2:6">
      <c r="B21" s="103"/>
      <c r="C21" s="20"/>
      <c r="D21" s="20"/>
      <c r="E21" s="20"/>
      <c r="F21" s="20"/>
    </row>
    <row r="22" spans="2:6">
      <c r="B22" s="103">
        <v>5</v>
      </c>
      <c r="C22" s="20" t="s">
        <v>146</v>
      </c>
      <c r="D22" s="20" t="s">
        <v>147</v>
      </c>
      <c r="E22" s="20"/>
      <c r="F22" s="20"/>
    </row>
    <row r="23" spans="2:6">
      <c r="B23" s="103"/>
      <c r="C23" s="20"/>
      <c r="D23" s="20" t="s">
        <v>148</v>
      </c>
      <c r="E23" s="20"/>
      <c r="F23" s="20"/>
    </row>
    <row r="24" spans="2:6" ht="25.5">
      <c r="B24" s="103"/>
      <c r="C24" s="20"/>
      <c r="D24" s="20" t="s">
        <v>149</v>
      </c>
      <c r="E24" s="106" t="s">
        <v>150</v>
      </c>
      <c r="F24" s="20"/>
    </row>
    <row r="25" spans="2:6">
      <c r="B25" s="103"/>
      <c r="C25" s="20"/>
      <c r="D25" s="20"/>
      <c r="E25" s="20"/>
      <c r="F25" s="20"/>
    </row>
    <row r="26" spans="2:6">
      <c r="B26" s="103"/>
      <c r="C26" s="20"/>
      <c r="D26" s="20"/>
      <c r="E26" s="20"/>
      <c r="F26" s="20"/>
    </row>
    <row r="27" spans="2:6">
      <c r="B27" s="103"/>
      <c r="C27" s="108" t="s">
        <v>88</v>
      </c>
      <c r="D27" s="20"/>
      <c r="E27" s="20"/>
      <c r="F27" s="20"/>
    </row>
    <row r="28" spans="2:6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>
      <c r="B29" s="103"/>
      <c r="C29" s="20"/>
      <c r="D29" s="20" t="s">
        <v>92</v>
      </c>
      <c r="E29" s="20" t="s">
        <v>94</v>
      </c>
      <c r="F29" s="20"/>
    </row>
    <row r="30" spans="2:6">
      <c r="B30" s="103"/>
      <c r="C30" s="20"/>
      <c r="D30" s="20"/>
      <c r="E30" s="20"/>
      <c r="F30" s="20"/>
    </row>
    <row r="31" spans="2:6">
      <c r="B31" s="103">
        <v>2</v>
      </c>
      <c r="C31" s="20" t="s">
        <v>98</v>
      </c>
      <c r="D31" s="20" t="s">
        <v>99</v>
      </c>
      <c r="E31" s="20"/>
      <c r="F31" s="20"/>
    </row>
    <row r="32" spans="2:6">
      <c r="B32" s="103"/>
      <c r="C32" s="20"/>
      <c r="D32" s="20" t="s">
        <v>25</v>
      </c>
      <c r="E32" s="20"/>
      <c r="F32" s="20"/>
    </row>
    <row r="33" spans="2:6">
      <c r="B33" s="103"/>
      <c r="C33" s="20"/>
      <c r="D33" s="20" t="s">
        <v>100</v>
      </c>
      <c r="E33" s="20"/>
      <c r="F33" s="20"/>
    </row>
    <row r="34" spans="2:6">
      <c r="B34" s="103"/>
      <c r="C34" s="20"/>
      <c r="D34" s="20"/>
      <c r="E34" s="20"/>
      <c r="F34" s="20"/>
    </row>
    <row r="35" spans="2:6">
      <c r="B35" s="103">
        <v>3</v>
      </c>
      <c r="C35" s="20" t="s">
        <v>101</v>
      </c>
      <c r="D35" s="20" t="s">
        <v>25</v>
      </c>
      <c r="E35" s="20"/>
      <c r="F35" s="20"/>
    </row>
    <row r="36" spans="2:6">
      <c r="B36" s="103"/>
      <c r="C36" s="20"/>
      <c r="D36" s="20" t="s">
        <v>102</v>
      </c>
      <c r="E36" s="20"/>
      <c r="F36" s="20"/>
    </row>
    <row r="37" spans="2:6">
      <c r="B37" s="103"/>
      <c r="C37" s="20"/>
      <c r="D37" s="20" t="s">
        <v>103</v>
      </c>
      <c r="E37" s="20"/>
      <c r="F37" s="20"/>
    </row>
    <row r="38" spans="2:6">
      <c r="B38" s="103"/>
      <c r="C38" s="20"/>
      <c r="D38" s="20" t="s">
        <v>104</v>
      </c>
      <c r="E38" s="20"/>
      <c r="F38" s="20"/>
    </row>
    <row r="39" spans="2:6">
      <c r="B39" s="103"/>
      <c r="C39" s="20"/>
      <c r="D39" s="20"/>
      <c r="E39" s="20"/>
      <c r="F39" s="20"/>
    </row>
    <row r="40" spans="2:6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>
      <c r="B41" s="103"/>
      <c r="C41" s="20"/>
      <c r="D41" s="20" t="s">
        <v>106</v>
      </c>
      <c r="E41" s="20"/>
      <c r="F41" s="20"/>
    </row>
    <row r="42" spans="2:6">
      <c r="B42" s="103"/>
      <c r="C42" s="20"/>
      <c r="D42" s="20" t="s">
        <v>110</v>
      </c>
      <c r="E42" s="20" t="s">
        <v>111</v>
      </c>
      <c r="F42" s="20" t="s">
        <v>108</v>
      </c>
    </row>
    <row r="43" spans="2:6">
      <c r="B43" s="103"/>
      <c r="C43" s="20"/>
      <c r="D43" s="20"/>
      <c r="E43" s="106" t="s">
        <v>125</v>
      </c>
      <c r="F43" s="20"/>
    </row>
    <row r="44" spans="2:6">
      <c r="B44" s="103"/>
      <c r="C44" s="20"/>
      <c r="D44" s="20"/>
      <c r="E44" s="20"/>
      <c r="F44" s="20"/>
    </row>
    <row r="45" spans="2:6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>
      <c r="B46" s="103"/>
      <c r="C46" s="20" t="s">
        <v>113</v>
      </c>
      <c r="D46" s="20" t="s">
        <v>115</v>
      </c>
      <c r="E46" s="20"/>
      <c r="F46" s="20"/>
    </row>
    <row r="47" spans="2:6">
      <c r="B47" s="103"/>
      <c r="C47" s="20"/>
      <c r="D47" s="20" t="s">
        <v>116</v>
      </c>
      <c r="E47" s="20"/>
      <c r="F47" s="20"/>
    </row>
    <row r="48" spans="2:6">
      <c r="B48" s="103"/>
      <c r="C48" s="20"/>
      <c r="D48" s="20"/>
      <c r="E48" s="20"/>
      <c r="F48" s="20"/>
    </row>
    <row r="49" spans="2:6">
      <c r="B49" s="103">
        <v>6</v>
      </c>
      <c r="C49" s="20" t="s">
        <v>119</v>
      </c>
      <c r="D49" s="20" t="s">
        <v>120</v>
      </c>
      <c r="E49" s="20"/>
      <c r="F49" s="20"/>
    </row>
    <row r="50" spans="2:6">
      <c r="B50" s="103"/>
      <c r="C50" s="20"/>
      <c r="D50" s="20" t="s">
        <v>121</v>
      </c>
      <c r="E50" s="20"/>
      <c r="F50" s="20"/>
    </row>
    <row r="51" spans="2:6">
      <c r="B51" s="103"/>
      <c r="C51" s="20"/>
      <c r="D51" s="20"/>
      <c r="E51" s="20"/>
      <c r="F51" s="20"/>
    </row>
    <row r="52" spans="2:6">
      <c r="B52" s="103">
        <v>7</v>
      </c>
      <c r="C52" s="20" t="s">
        <v>122</v>
      </c>
      <c r="D52" s="20" t="s">
        <v>124</v>
      </c>
      <c r="E52" s="20"/>
      <c r="F52" s="20"/>
    </row>
    <row r="53" spans="2:6" ht="25.5">
      <c r="B53" s="103"/>
      <c r="C53" s="20"/>
      <c r="D53" s="106" t="s">
        <v>123</v>
      </c>
      <c r="E53" s="20"/>
      <c r="F53" s="20"/>
    </row>
    <row r="54" spans="2:6">
      <c r="B54" s="103"/>
      <c r="C54" s="20"/>
      <c r="D54" s="20"/>
      <c r="E54" s="20"/>
      <c r="F54" s="20"/>
    </row>
    <row r="55" spans="2:6">
      <c r="B55" s="103"/>
      <c r="C55" s="20"/>
      <c r="D55" s="20"/>
      <c r="E55" s="20"/>
      <c r="F55" s="20"/>
    </row>
    <row r="56" spans="2:6">
      <c r="B56" s="103"/>
      <c r="C56" s="108" t="s">
        <v>151</v>
      </c>
      <c r="D56" s="20"/>
      <c r="E56" s="20"/>
      <c r="F56" s="20"/>
    </row>
    <row r="57" spans="2:6">
      <c r="B57" s="103">
        <v>1</v>
      </c>
      <c r="C57" s="20" t="s">
        <v>152</v>
      </c>
      <c r="D57" s="20" t="s">
        <v>153</v>
      </c>
      <c r="E57" s="20"/>
      <c r="F57" s="20"/>
    </row>
    <row r="58" spans="2:6">
      <c r="B58" s="103"/>
      <c r="C58" s="20"/>
      <c r="D58" s="20" t="s">
        <v>154</v>
      </c>
      <c r="E58" s="20"/>
      <c r="F58" s="20"/>
    </row>
    <row r="59" spans="2:6">
      <c r="B59" s="103"/>
      <c r="C59" s="20"/>
      <c r="D59" s="20" t="s">
        <v>155</v>
      </c>
      <c r="E59" s="20"/>
      <c r="F59" s="20"/>
    </row>
    <row r="60" spans="2:6">
      <c r="B60" s="103"/>
      <c r="C60" s="20"/>
      <c r="D60" s="20"/>
      <c r="E60" s="20"/>
      <c r="F60" s="20"/>
    </row>
    <row r="61" spans="2:6">
      <c r="B61" s="103">
        <v>2</v>
      </c>
      <c r="C61" s="20" t="s">
        <v>156</v>
      </c>
      <c r="D61" s="20" t="s">
        <v>157</v>
      </c>
      <c r="E61" s="20"/>
      <c r="F61" s="20"/>
    </row>
    <row r="62" spans="2:6">
      <c r="B62" s="103"/>
      <c r="C62" s="20"/>
      <c r="D62" s="20"/>
      <c r="E62" s="20"/>
      <c r="F62" s="20"/>
    </row>
    <row r="63" spans="2:6">
      <c r="B63" s="103">
        <v>3</v>
      </c>
      <c r="C63" s="20" t="s">
        <v>158</v>
      </c>
      <c r="D63" s="20" t="s">
        <v>159</v>
      </c>
      <c r="E63" s="20"/>
      <c r="F63" s="20"/>
    </row>
    <row r="64" spans="2:6">
      <c r="B64" s="103"/>
      <c r="C64" s="20"/>
      <c r="D64" s="20"/>
      <c r="E64" s="20"/>
      <c r="F64" s="20"/>
    </row>
    <row r="65" spans="2:6" ht="25.5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>
      <c r="B66" s="103"/>
      <c r="C66" s="20"/>
      <c r="D66" s="20" t="s">
        <v>162</v>
      </c>
      <c r="E66" s="20" t="s">
        <v>168</v>
      </c>
      <c r="F66" s="20"/>
    </row>
    <row r="67" spans="2:6">
      <c r="B67" s="103"/>
      <c r="C67" s="20"/>
      <c r="D67" s="20" t="s">
        <v>163</v>
      </c>
      <c r="E67" s="20"/>
      <c r="F67" s="20"/>
    </row>
    <row r="68" spans="2:6">
      <c r="B68" s="103"/>
      <c r="C68" s="20"/>
      <c r="D68" s="20" t="s">
        <v>164</v>
      </c>
      <c r="E68" s="20"/>
      <c r="F68" s="20"/>
    </row>
    <row r="69" spans="2:6">
      <c r="B69" s="103"/>
      <c r="C69" s="20"/>
      <c r="D69" s="20" t="s">
        <v>165</v>
      </c>
      <c r="E69" s="20"/>
      <c r="F69" s="20"/>
    </row>
    <row r="70" spans="2:6">
      <c r="B70" s="103"/>
      <c r="C70" s="20"/>
      <c r="D70" s="20"/>
      <c r="E70" s="20"/>
      <c r="F70" s="20"/>
    </row>
    <row r="71" spans="2:6">
      <c r="B71" s="103">
        <v>5</v>
      </c>
      <c r="C71" s="20" t="s">
        <v>169</v>
      </c>
      <c r="D71" s="20" t="s">
        <v>170</v>
      </c>
      <c r="E71" s="20"/>
      <c r="F71" s="20"/>
    </row>
    <row r="72" spans="2:6">
      <c r="B72" s="103"/>
      <c r="C72" s="20"/>
      <c r="D72" s="20" t="s">
        <v>171</v>
      </c>
      <c r="E72" s="20"/>
      <c r="F72" s="20"/>
    </row>
    <row r="73" spans="2:6">
      <c r="B73" s="103"/>
      <c r="C73" s="20"/>
      <c r="D73" s="20" t="s">
        <v>172</v>
      </c>
      <c r="E73" s="20" t="s">
        <v>173</v>
      </c>
      <c r="F73" s="20" t="s">
        <v>174</v>
      </c>
    </row>
    <row r="74" spans="2:6">
      <c r="B74" s="103"/>
      <c r="C74" s="20"/>
      <c r="D74" s="20" t="s">
        <v>175</v>
      </c>
      <c r="E74" s="20"/>
      <c r="F74" s="20"/>
    </row>
    <row r="75" spans="2:6">
      <c r="B75" s="103"/>
      <c r="C75" s="20"/>
      <c r="D75" s="20"/>
      <c r="E75" s="20"/>
      <c r="F75" s="20"/>
    </row>
    <row r="76" spans="2:6">
      <c r="B76" s="103">
        <v>6</v>
      </c>
      <c r="C76" s="20" t="s">
        <v>176</v>
      </c>
      <c r="D76" s="20" t="s">
        <v>177</v>
      </c>
      <c r="E76" s="20"/>
      <c r="F76" s="20"/>
    </row>
    <row r="77" spans="2:6">
      <c r="B77" s="103"/>
      <c r="C77" s="20"/>
      <c r="D77" s="20" t="s">
        <v>178</v>
      </c>
      <c r="E77" s="20"/>
      <c r="F77" s="20"/>
    </row>
    <row r="78" spans="2:6">
      <c r="B78" s="103"/>
      <c r="C78" s="20"/>
      <c r="D78" s="20"/>
      <c r="E78" s="20"/>
      <c r="F78" s="20"/>
    </row>
    <row r="79" spans="2:6">
      <c r="B79" s="103">
        <v>7</v>
      </c>
      <c r="C79" s="20" t="s">
        <v>179</v>
      </c>
      <c r="D79" s="20" t="s">
        <v>180</v>
      </c>
      <c r="E79" s="20"/>
      <c r="F79" s="20"/>
    </row>
    <row r="80" spans="2:6">
      <c r="B80" s="103"/>
      <c r="C80" s="20"/>
      <c r="D80" s="20" t="s">
        <v>181</v>
      </c>
      <c r="E80" s="20"/>
      <c r="F80" s="20"/>
    </row>
    <row r="81" spans="2:6">
      <c r="B81" s="103"/>
      <c r="C81" s="20"/>
      <c r="D81" s="20"/>
      <c r="E81" s="20"/>
      <c r="F81" s="20"/>
    </row>
    <row r="82" spans="2:6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>
      <c r="B83" s="103"/>
      <c r="C83" s="20"/>
      <c r="D83" s="20" t="s">
        <v>184</v>
      </c>
      <c r="E83" s="20" t="s">
        <v>186</v>
      </c>
      <c r="F83" s="20"/>
    </row>
    <row r="84" spans="2:6">
      <c r="B84" s="103"/>
      <c r="C84" s="20"/>
      <c r="D84" s="20"/>
      <c r="E84" s="20"/>
      <c r="F84" s="20"/>
    </row>
    <row r="85" spans="2:6">
      <c r="B85" s="103">
        <v>9</v>
      </c>
      <c r="C85" s="20" t="s">
        <v>187</v>
      </c>
      <c r="D85" s="20" t="s">
        <v>188</v>
      </c>
      <c r="E85" s="23"/>
      <c r="F85" s="20"/>
    </row>
    <row r="86" spans="2:6">
      <c r="B86" s="103"/>
      <c r="C86" s="20"/>
      <c r="D86" s="20" t="s">
        <v>189</v>
      </c>
      <c r="E86" s="20"/>
      <c r="F86" s="20"/>
    </row>
    <row r="87" spans="2:6">
      <c r="B87" s="103"/>
      <c r="C87" s="20"/>
      <c r="D87" s="20" t="s">
        <v>190</v>
      </c>
      <c r="E87" s="20"/>
      <c r="F87" s="20"/>
    </row>
    <row r="88" spans="2:6" ht="25.5">
      <c r="B88" s="103"/>
      <c r="C88" s="20"/>
      <c r="D88" s="109" t="s">
        <v>210</v>
      </c>
      <c r="E88" s="23" t="s">
        <v>211</v>
      </c>
      <c r="F88" s="20"/>
    </row>
    <row r="89" spans="2:6">
      <c r="B89" s="103"/>
      <c r="C89" s="20"/>
      <c r="D89" s="20" t="s">
        <v>191</v>
      </c>
      <c r="E89" s="20"/>
      <c r="F89" s="20"/>
    </row>
    <row r="90" spans="2:6">
      <c r="B90" s="103"/>
      <c r="C90" s="20"/>
      <c r="D90" s="20"/>
      <c r="E90" s="20"/>
      <c r="F90" s="20"/>
    </row>
    <row r="91" spans="2:6">
      <c r="B91" s="103">
        <v>10</v>
      </c>
      <c r="C91" s="20" t="s">
        <v>110</v>
      </c>
      <c r="D91" s="20" t="s">
        <v>192</v>
      </c>
      <c r="E91" s="20"/>
      <c r="F91" s="20"/>
    </row>
    <row r="92" spans="2:6">
      <c r="B92" s="103"/>
      <c r="C92" s="20"/>
      <c r="D92" s="20"/>
      <c r="E92" s="20"/>
      <c r="F92" s="20"/>
    </row>
    <row r="93" spans="2:6">
      <c r="B93" s="103">
        <v>11</v>
      </c>
      <c r="C93" s="20" t="s">
        <v>193</v>
      </c>
      <c r="D93" s="20" t="s">
        <v>194</v>
      </c>
      <c r="E93" s="20"/>
      <c r="F93" s="20"/>
    </row>
    <row r="94" spans="2:6">
      <c r="B94" s="103"/>
      <c r="C94" s="20"/>
      <c r="D94" s="20"/>
      <c r="E94" s="20"/>
      <c r="F94" s="20"/>
    </row>
    <row r="95" spans="2:6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>
      <c r="B96" s="103"/>
      <c r="C96" s="20"/>
      <c r="D96" s="20" t="s">
        <v>204</v>
      </c>
      <c r="E96" s="20" t="s">
        <v>207</v>
      </c>
      <c r="F96" s="20"/>
    </row>
    <row r="97" spans="2:6">
      <c r="B97" s="103"/>
      <c r="C97" s="20"/>
      <c r="D97" s="20"/>
      <c r="E97" s="20" t="s">
        <v>205</v>
      </c>
      <c r="F97" s="20"/>
    </row>
    <row r="98" spans="2:6">
      <c r="B98" s="103"/>
      <c r="C98" s="20"/>
      <c r="D98" s="20"/>
      <c r="E98" s="20"/>
      <c r="F98" s="20"/>
    </row>
    <row r="99" spans="2:6">
      <c r="B99" s="103">
        <v>13</v>
      </c>
      <c r="C99" s="20" t="s">
        <v>196</v>
      </c>
      <c r="D99" s="20" t="s">
        <v>197</v>
      </c>
      <c r="E99" s="20"/>
      <c r="F99" s="20"/>
    </row>
    <row r="100" spans="2:6">
      <c r="B100" s="103"/>
      <c r="C100" s="20"/>
      <c r="D100" s="20" t="s">
        <v>198</v>
      </c>
      <c r="E100" s="20"/>
      <c r="F100" s="20"/>
    </row>
    <row r="101" spans="2:6">
      <c r="B101" s="103"/>
      <c r="C101" s="20"/>
      <c r="D101" s="20" t="s">
        <v>199</v>
      </c>
      <c r="E101" s="20"/>
      <c r="F101" s="20"/>
    </row>
    <row r="102" spans="2:6">
      <c r="B102" s="103"/>
      <c r="C102" s="20"/>
      <c r="D102" s="20"/>
      <c r="E102" s="20"/>
      <c r="F102" s="20"/>
    </row>
    <row r="103" spans="2:6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>
      <c r="B104" s="103"/>
      <c r="C104" s="20"/>
      <c r="D104" s="20" t="s">
        <v>202</v>
      </c>
      <c r="E104" s="20"/>
      <c r="F104" s="20"/>
    </row>
    <row r="105" spans="2:6">
      <c r="B105" s="103"/>
      <c r="C105" s="20"/>
      <c r="D105" s="20"/>
      <c r="E105" s="20"/>
      <c r="F105" s="20"/>
    </row>
    <row r="106" spans="2:6">
      <c r="B106" s="103"/>
      <c r="C106" s="20"/>
      <c r="D106" s="20"/>
      <c r="E106" s="20"/>
      <c r="F106" s="20"/>
    </row>
    <row r="107" spans="2:6">
      <c r="B107" s="103"/>
      <c r="C107" s="20"/>
      <c r="D107" s="20"/>
      <c r="E107" s="20"/>
      <c r="F107" s="20"/>
    </row>
    <row r="108" spans="2:6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G64"/>
  <sheetViews>
    <sheetView zoomScale="80" zoomScaleNormal="80" workbookViewId="0">
      <selection activeCell="C9" sqref="C9"/>
    </sheetView>
  </sheetViews>
  <sheetFormatPr defaultRowHeight="12.75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>
      <c r="B2" s="125" t="s">
        <v>280</v>
      </c>
    </row>
    <row r="3" spans="2:7">
      <c r="B3" s="20"/>
      <c r="C3" s="20"/>
      <c r="D3" s="20"/>
      <c r="E3" s="20"/>
      <c r="F3" s="20"/>
      <c r="G3" s="20"/>
    </row>
    <row r="4" spans="2:7">
      <c r="B4" s="20" t="s">
        <v>114</v>
      </c>
      <c r="C4" s="113">
        <v>5</v>
      </c>
      <c r="D4" s="20"/>
      <c r="E4" s="20"/>
      <c r="F4" s="20"/>
      <c r="G4" s="20"/>
    </row>
    <row r="5" spans="2:7">
      <c r="B5" s="20"/>
      <c r="C5" s="20"/>
      <c r="D5" s="20"/>
      <c r="E5" s="20"/>
      <c r="F5" s="20"/>
      <c r="G5" s="20"/>
    </row>
    <row r="6" spans="2:7">
      <c r="B6" s="108" t="s">
        <v>98</v>
      </c>
      <c r="C6" s="20"/>
      <c r="D6" s="20"/>
      <c r="E6" s="20"/>
      <c r="F6" s="20"/>
      <c r="G6" s="20"/>
    </row>
    <row r="7" spans="2:7">
      <c r="B7" s="20" t="s">
        <v>99</v>
      </c>
      <c r="C7" s="130">
        <v>14</v>
      </c>
      <c r="D7" s="20"/>
      <c r="E7" s="20"/>
      <c r="F7" s="20"/>
      <c r="G7" s="20"/>
    </row>
    <row r="8" spans="2:7">
      <c r="B8" s="20" t="s">
        <v>25</v>
      </c>
      <c r="C8" s="130">
        <v>5</v>
      </c>
      <c r="D8" s="20"/>
      <c r="E8" s="20"/>
      <c r="F8" s="20"/>
      <c r="G8" s="20"/>
    </row>
    <row r="9" spans="2:7">
      <c r="B9" s="20" t="s">
        <v>320</v>
      </c>
      <c r="C9" s="152">
        <f>C8/C7</f>
        <v>0.35714285714285715</v>
      </c>
      <c r="D9" s="20"/>
      <c r="E9" s="20"/>
      <c r="F9" s="20"/>
      <c r="G9" s="20"/>
    </row>
    <row r="10" spans="2:7">
      <c r="B10" s="20" t="s">
        <v>100</v>
      </c>
      <c r="C10" s="110">
        <f>C7/C8</f>
        <v>2.8</v>
      </c>
      <c r="D10" s="20" t="s">
        <v>269</v>
      </c>
      <c r="E10" s="20"/>
      <c r="F10" s="20"/>
      <c r="G10" s="20"/>
    </row>
    <row r="11" spans="2:7">
      <c r="B11" s="20"/>
      <c r="C11" s="20"/>
      <c r="D11" s="20"/>
      <c r="E11" s="20"/>
      <c r="F11" s="20"/>
      <c r="G11" s="20"/>
    </row>
    <row r="12" spans="2:7">
      <c r="B12" s="108" t="s">
        <v>101</v>
      </c>
      <c r="C12" s="20"/>
      <c r="D12" s="20"/>
      <c r="E12" s="20"/>
      <c r="F12" s="20"/>
      <c r="G12" s="20"/>
    </row>
    <row r="13" spans="2:7">
      <c r="B13" s="20" t="s">
        <v>25</v>
      </c>
      <c r="C13" s="130">
        <v>-2.66</v>
      </c>
      <c r="D13" s="20"/>
      <c r="E13" s="20"/>
      <c r="F13" s="20"/>
      <c r="G13" s="20"/>
    </row>
    <row r="14" spans="2:7">
      <c r="B14" s="20" t="s">
        <v>102</v>
      </c>
      <c r="C14" s="130">
        <v>28</v>
      </c>
      <c r="D14" s="20"/>
      <c r="E14" s="20"/>
      <c r="F14" s="20"/>
      <c r="G14" s="20"/>
    </row>
    <row r="15" spans="2:7">
      <c r="B15" s="20" t="s">
        <v>103</v>
      </c>
      <c r="C15" s="130">
        <v>1000</v>
      </c>
      <c r="D15" s="20"/>
      <c r="E15" s="20"/>
      <c r="F15" s="20"/>
      <c r="G15" s="20"/>
    </row>
    <row r="16" spans="2:7">
      <c r="B16" s="20" t="s">
        <v>104</v>
      </c>
      <c r="C16" s="20">
        <f>C15*C13</f>
        <v>-2660</v>
      </c>
      <c r="D16" s="20" t="s">
        <v>269</v>
      </c>
      <c r="E16" s="20"/>
      <c r="F16" s="20"/>
      <c r="G16" s="20"/>
    </row>
    <row r="17" spans="2:7">
      <c r="B17" s="20"/>
      <c r="C17" s="20"/>
      <c r="D17" s="20"/>
      <c r="E17" s="20"/>
      <c r="F17" s="20"/>
      <c r="G17" s="20"/>
    </row>
    <row r="18" spans="2:7">
      <c r="B18" s="108" t="s">
        <v>112</v>
      </c>
      <c r="C18" s="20"/>
      <c r="D18" s="20"/>
      <c r="E18" s="20"/>
      <c r="F18" s="20"/>
      <c r="G18" s="20"/>
    </row>
    <row r="19" spans="2:7">
      <c r="B19" s="20" t="s">
        <v>114</v>
      </c>
      <c r="C19" s="130">
        <f>C4</f>
        <v>5</v>
      </c>
      <c r="D19" s="20"/>
      <c r="E19" s="20"/>
      <c r="F19" s="20"/>
      <c r="G19" s="20"/>
    </row>
    <row r="20" spans="2:7">
      <c r="B20" s="20" t="s">
        <v>115</v>
      </c>
      <c r="C20" s="111">
        <v>0.08</v>
      </c>
      <c r="D20" s="20"/>
      <c r="E20" s="20"/>
      <c r="F20" s="20"/>
      <c r="G20" s="20"/>
    </row>
    <row r="21" spans="2:7">
      <c r="B21" s="20" t="s">
        <v>116</v>
      </c>
      <c r="C21" s="112">
        <f>C19/C20</f>
        <v>62.5</v>
      </c>
      <c r="D21" s="20" t="s">
        <v>269</v>
      </c>
      <c r="E21" s="20"/>
      <c r="F21" s="20"/>
      <c r="G21" s="20"/>
    </row>
    <row r="22" spans="2:7">
      <c r="B22" s="20"/>
      <c r="C22" s="20"/>
      <c r="D22" s="20"/>
      <c r="E22" s="20"/>
      <c r="F22" s="20"/>
      <c r="G22" s="20"/>
    </row>
    <row r="23" spans="2:7">
      <c r="B23" s="108" t="s">
        <v>227</v>
      </c>
      <c r="C23" s="20"/>
      <c r="D23" s="20"/>
      <c r="E23" s="20"/>
      <c r="F23" s="20"/>
      <c r="G23" s="20"/>
    </row>
    <row r="24" spans="2:7">
      <c r="B24" s="20" t="s">
        <v>99</v>
      </c>
      <c r="C24" s="130">
        <v>14</v>
      </c>
      <c r="D24" s="20"/>
      <c r="E24" s="20"/>
      <c r="F24" s="20"/>
      <c r="G24" s="20"/>
    </row>
    <row r="25" spans="2:7">
      <c r="B25" s="20" t="s">
        <v>114</v>
      </c>
      <c r="C25" s="130">
        <v>-2.66</v>
      </c>
      <c r="D25" s="20"/>
      <c r="E25" s="20"/>
      <c r="F25" s="20"/>
      <c r="G25" s="20"/>
    </row>
    <row r="26" spans="2:7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>
      <c r="B27" s="20" t="s">
        <v>77</v>
      </c>
      <c r="C27" s="130">
        <v>15</v>
      </c>
      <c r="D27" s="20"/>
      <c r="E27" s="20"/>
      <c r="F27" s="20"/>
      <c r="G27" s="20"/>
    </row>
    <row r="28" spans="2:7">
      <c r="B28" s="20" t="s">
        <v>229</v>
      </c>
      <c r="C28" s="131">
        <v>1</v>
      </c>
      <c r="D28" s="20"/>
      <c r="E28" s="20"/>
      <c r="F28" s="20"/>
      <c r="G28" s="20"/>
    </row>
    <row r="29" spans="2:7">
      <c r="B29" s="20" t="s">
        <v>230</v>
      </c>
      <c r="C29" s="22">
        <v>139.13</v>
      </c>
      <c r="D29" s="20"/>
      <c r="E29" s="20"/>
      <c r="F29" s="20"/>
      <c r="G29" s="20"/>
    </row>
    <row r="30" spans="2:7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>
      <c r="B32" s="20" t="s">
        <v>233</v>
      </c>
      <c r="C32" s="132"/>
      <c r="D32" s="20"/>
      <c r="E32" s="20"/>
      <c r="F32" s="20"/>
      <c r="G32" s="20"/>
    </row>
    <row r="33" spans="2:7">
      <c r="B33" s="20" t="s">
        <v>268</v>
      </c>
      <c r="C33" s="132">
        <v>3.44E-2</v>
      </c>
      <c r="D33" s="20"/>
      <c r="E33" s="20"/>
      <c r="F33" s="20"/>
      <c r="G33" s="20"/>
    </row>
    <row r="34" spans="2:7">
      <c r="B34" s="20" t="s">
        <v>267</v>
      </c>
      <c r="C34" s="132">
        <v>0.1241</v>
      </c>
      <c r="D34" s="20"/>
      <c r="E34" s="20"/>
      <c r="F34" s="20"/>
      <c r="G34" s="20"/>
    </row>
    <row r="35" spans="2:7">
      <c r="B35" s="20"/>
      <c r="C35" s="20"/>
      <c r="D35" s="20"/>
      <c r="E35" s="20"/>
      <c r="F35" s="20"/>
      <c r="G35" s="20"/>
    </row>
    <row r="36" spans="2:7">
      <c r="B36" s="20"/>
      <c r="C36" s="20"/>
      <c r="D36" s="20"/>
      <c r="E36" s="20"/>
      <c r="F36" s="20"/>
      <c r="G36" s="20"/>
    </row>
    <row r="37" spans="2:7">
      <c r="B37" s="108" t="s">
        <v>187</v>
      </c>
      <c r="C37" s="20"/>
      <c r="D37" s="20"/>
      <c r="E37" s="20"/>
      <c r="F37" s="20"/>
      <c r="G37" s="20"/>
    </row>
    <row r="38" spans="2:7">
      <c r="B38" s="20" t="s">
        <v>215</v>
      </c>
      <c r="C38" s="130">
        <v>3141.2</v>
      </c>
      <c r="D38" s="20"/>
      <c r="E38" s="20"/>
      <c r="F38" s="20"/>
      <c r="G38" s="20"/>
    </row>
    <row r="39" spans="2:7">
      <c r="B39" s="20" t="s">
        <v>216</v>
      </c>
      <c r="C39" s="130">
        <v>3384.26</v>
      </c>
      <c r="D39" s="20"/>
      <c r="E39" s="20"/>
      <c r="F39" s="20"/>
      <c r="G39" s="20"/>
    </row>
    <row r="40" spans="2:7">
      <c r="B40" s="20" t="s">
        <v>34</v>
      </c>
      <c r="C40" s="130">
        <v>92.03</v>
      </c>
      <c r="D40" s="20"/>
      <c r="E40" s="20"/>
      <c r="F40" s="20"/>
      <c r="G40" s="20"/>
    </row>
    <row r="41" spans="2:7">
      <c r="B41" s="20" t="s">
        <v>217</v>
      </c>
      <c r="C41" s="130">
        <v>31.09</v>
      </c>
      <c r="D41" s="20"/>
      <c r="E41" s="20"/>
      <c r="F41" s="20"/>
      <c r="G41" s="20"/>
    </row>
    <row r="42" spans="2:7">
      <c r="B42" s="20" t="s">
        <v>218</v>
      </c>
      <c r="C42" s="130">
        <v>1005.03</v>
      </c>
      <c r="D42" s="20"/>
      <c r="E42" s="20"/>
      <c r="F42" s="20"/>
      <c r="G42" s="20"/>
    </row>
    <row r="43" spans="2:7">
      <c r="B43" s="20"/>
      <c r="C43" s="20"/>
      <c r="D43" s="20"/>
      <c r="E43" s="20"/>
      <c r="F43" s="20"/>
      <c r="G43" s="20"/>
    </row>
    <row r="44" spans="2:7">
      <c r="B44" s="23" t="s">
        <v>212</v>
      </c>
      <c r="C44" s="130">
        <v>281.95</v>
      </c>
      <c r="D44" s="20"/>
      <c r="E44" s="20"/>
      <c r="F44" s="20"/>
      <c r="G44" s="20"/>
    </row>
    <row r="45" spans="2:7">
      <c r="B45" s="20" t="s">
        <v>263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>
      <c r="B47" s="20"/>
      <c r="C47" s="25"/>
      <c r="D47" s="20"/>
      <c r="E47" s="20"/>
      <c r="F47" s="20"/>
      <c r="G47" s="20"/>
    </row>
    <row r="48" spans="2:7">
      <c r="B48" s="23" t="s">
        <v>213</v>
      </c>
      <c r="C48" s="130">
        <v>171.6</v>
      </c>
      <c r="D48" s="20"/>
      <c r="E48" s="20"/>
      <c r="F48" s="20"/>
      <c r="G48" s="20"/>
    </row>
    <row r="49" spans="2:7">
      <c r="B49" s="20" t="s">
        <v>264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>
      <c r="B51" s="20"/>
      <c r="C51" s="25"/>
      <c r="D51" s="20"/>
      <c r="E51" s="20"/>
      <c r="F51" s="20"/>
      <c r="G51" s="20"/>
    </row>
    <row r="52" spans="2:7">
      <c r="B52" s="23" t="s">
        <v>214</v>
      </c>
      <c r="C52" s="130">
        <v>110.33</v>
      </c>
      <c r="D52" s="20"/>
      <c r="E52" s="20"/>
      <c r="F52" s="20"/>
      <c r="G52" s="20"/>
    </row>
    <row r="53" spans="2:7">
      <c r="B53" s="20" t="s">
        <v>265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>
      <c r="B55" s="20"/>
      <c r="C55" s="20"/>
      <c r="D55" s="20"/>
      <c r="E55" s="20"/>
      <c r="F55" s="20"/>
      <c r="G55" s="20"/>
    </row>
    <row r="56" spans="2:7">
      <c r="B56" s="23" t="s">
        <v>219</v>
      </c>
      <c r="C56" s="130">
        <v>1320.99</v>
      </c>
      <c r="D56" s="20"/>
      <c r="E56" s="20"/>
      <c r="F56" s="20"/>
      <c r="G56" s="20"/>
    </row>
    <row r="57" spans="2:7">
      <c r="B57" s="20" t="s">
        <v>266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>
      <c r="B59" s="20"/>
      <c r="C59" s="20"/>
      <c r="D59" s="20"/>
      <c r="E59" s="20"/>
      <c r="F59" s="20"/>
      <c r="G59" s="20"/>
    </row>
    <row r="60" spans="2:7">
      <c r="B60" s="20"/>
      <c r="C60" s="25"/>
      <c r="D60" s="20"/>
      <c r="E60" s="20"/>
      <c r="F60" s="20"/>
      <c r="G60" s="20"/>
    </row>
    <row r="61" spans="2:7">
      <c r="B61" s="20"/>
      <c r="C61" s="25"/>
      <c r="D61" s="20"/>
      <c r="E61" s="20"/>
      <c r="F61" s="20"/>
      <c r="G61" s="20"/>
    </row>
    <row r="62" spans="2:7">
      <c r="B62" s="20"/>
      <c r="C62" s="20"/>
      <c r="D62" s="20"/>
      <c r="E62" s="20"/>
      <c r="F62" s="20"/>
      <c r="G62" s="20"/>
    </row>
    <row r="63" spans="2:7">
      <c r="B63" s="20"/>
      <c r="C63" s="20"/>
      <c r="D63" s="20"/>
      <c r="E63" s="20"/>
      <c r="F63" s="20"/>
      <c r="G63" s="20"/>
    </row>
    <row r="64" spans="2:7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AE205"/>
  <sheetViews>
    <sheetView tabSelected="1" zoomScale="80" zoomScaleNormal="80" workbookViewId="0">
      <pane xSplit="2" ySplit="3" topLeftCell="K148" activePane="bottomRight" state="frozen"/>
      <selection pane="topRight" activeCell="C1" sqref="C1"/>
      <selection pane="bottomLeft" activeCell="A5" sqref="A5"/>
      <selection pane="bottomRight" activeCell="K176" sqref="K176"/>
    </sheetView>
  </sheetViews>
  <sheetFormatPr defaultRowHeight="12.75"/>
  <cols>
    <col min="1" max="1" width="4.7109375" style="104" customWidth="1"/>
    <col min="2" max="2" width="46.7109375" style="104" bestFit="1" customWidth="1"/>
    <col min="3" max="3" width="7.85546875" style="104" customWidth="1"/>
    <col min="4" max="4" width="8.140625" style="104" customWidth="1"/>
    <col min="5" max="5" width="8.42578125" style="104" bestFit="1" customWidth="1"/>
    <col min="6" max="6" width="9" style="104" bestFit="1" customWidth="1"/>
    <col min="7" max="7" width="13.42578125" style="104" bestFit="1" customWidth="1"/>
    <col min="8" max="15" width="10.140625" style="104" bestFit="1" customWidth="1"/>
    <col min="16" max="16" width="10.7109375" style="104" bestFit="1" customWidth="1"/>
    <col min="17" max="17" width="9.42578125" style="104" bestFit="1" customWidth="1"/>
    <col min="18" max="18" width="10.85546875" style="104" bestFit="1" customWidth="1"/>
    <col min="19" max="20" width="9.7109375" style="104" bestFit="1" customWidth="1"/>
    <col min="21" max="27" width="8" style="104" bestFit="1" customWidth="1"/>
    <col min="28" max="28" width="11.28515625" style="104" bestFit="1" customWidth="1"/>
    <col min="29" max="29" width="9.28515625" style="104" bestFit="1" customWidth="1"/>
    <col min="30" max="30" width="9" style="104" customWidth="1"/>
    <col min="31" max="31" width="10.7109375" style="104" customWidth="1"/>
    <col min="32" max="16384" width="9.140625" style="104"/>
  </cols>
  <sheetData>
    <row r="1" spans="2:31">
      <c r="B1" s="123" t="s">
        <v>241</v>
      </c>
      <c r="C1" s="124">
        <v>0.22</v>
      </c>
      <c r="F1" s="104" t="s">
        <v>252</v>
      </c>
      <c r="H1" s="126">
        <v>2004</v>
      </c>
      <c r="J1" s="104" t="s">
        <v>328</v>
      </c>
      <c r="L1" s="164">
        <v>0.08</v>
      </c>
      <c r="N1" s="104" t="s">
        <v>400</v>
      </c>
      <c r="P1" s="164">
        <v>0.05</v>
      </c>
    </row>
    <row r="2" spans="2:31">
      <c r="B2" s="153" t="s">
        <v>316</v>
      </c>
      <c r="C2" s="120"/>
      <c r="F2" s="104" t="s">
        <v>253</v>
      </c>
      <c r="H2" s="126">
        <v>2013</v>
      </c>
      <c r="J2" s="104" t="s">
        <v>329</v>
      </c>
      <c r="L2" s="164">
        <v>0.12</v>
      </c>
      <c r="S2" s="115" t="s">
        <v>11</v>
      </c>
      <c r="T2" s="115" t="s">
        <v>12</v>
      </c>
      <c r="U2" s="115" t="s">
        <v>13</v>
      </c>
      <c r="V2" s="115" t="s">
        <v>14</v>
      </c>
      <c r="W2" s="115" t="s">
        <v>15</v>
      </c>
      <c r="X2" s="115" t="s">
        <v>234</v>
      </c>
      <c r="Y2" s="115" t="s">
        <v>235</v>
      </c>
      <c r="Z2" s="115" t="s">
        <v>236</v>
      </c>
      <c r="AA2" s="115" t="s">
        <v>237</v>
      </c>
      <c r="AB2" s="115" t="s">
        <v>238</v>
      </c>
      <c r="AD2" s="191" t="s">
        <v>292</v>
      </c>
      <c r="AE2" s="192"/>
    </row>
    <row r="3" spans="2:31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6" t="s">
        <v>1</v>
      </c>
      <c r="R3" s="116" t="s">
        <v>254</v>
      </c>
      <c r="S3" s="115">
        <v>2014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36" t="s">
        <v>1</v>
      </c>
      <c r="AD3" s="193" t="s">
        <v>293</v>
      </c>
      <c r="AE3" s="194"/>
    </row>
    <row r="4" spans="2:31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37"/>
      <c r="AD4" s="20"/>
      <c r="AE4" s="20"/>
    </row>
    <row r="5" spans="2:31">
      <c r="B5" s="108" t="s">
        <v>242</v>
      </c>
      <c r="C5" s="20"/>
      <c r="D5" s="20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20"/>
      <c r="R5" s="20"/>
      <c r="S5" s="154"/>
      <c r="T5" s="154"/>
      <c r="U5" s="154"/>
      <c r="V5" s="154"/>
      <c r="W5" s="154"/>
      <c r="X5" s="154"/>
      <c r="Y5" s="154"/>
      <c r="Z5" s="154"/>
      <c r="AA5" s="154"/>
      <c r="AB5" s="154"/>
      <c r="AC5" s="137"/>
      <c r="AD5" s="20"/>
      <c r="AE5" s="154"/>
    </row>
    <row r="6" spans="2:31">
      <c r="B6" s="20" t="s">
        <v>16</v>
      </c>
      <c r="C6" s="141"/>
      <c r="D6" s="141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18" t="e">
        <f>((P6/G6)^(1/($H$2-$H$1) ))-1</f>
        <v>#DIV/0!</v>
      </c>
      <c r="R6" s="31">
        <f>$L$2</f>
        <v>0.12</v>
      </c>
      <c r="S6" s="154">
        <f>P6*(1+$R6)</f>
        <v>0</v>
      </c>
      <c r="T6" s="154">
        <f>S6*(1+$R6)</f>
        <v>0</v>
      </c>
      <c r="U6" s="154">
        <f t="shared" ref="U6:AB6" si="0">T6*(1+$R6)</f>
        <v>0</v>
      </c>
      <c r="V6" s="154">
        <f t="shared" si="0"/>
        <v>0</v>
      </c>
      <c r="W6" s="154">
        <f t="shared" si="0"/>
        <v>0</v>
      </c>
      <c r="X6" s="154">
        <f t="shared" si="0"/>
        <v>0</v>
      </c>
      <c r="Y6" s="154">
        <f t="shared" si="0"/>
        <v>0</v>
      </c>
      <c r="Z6" s="154">
        <f t="shared" si="0"/>
        <v>0</v>
      </c>
      <c r="AA6" s="154">
        <f t="shared" si="0"/>
        <v>0</v>
      </c>
      <c r="AB6" s="154">
        <f t="shared" si="0"/>
        <v>0</v>
      </c>
      <c r="AC6" s="138" t="e">
        <f>((AB6/G6)^(1/($AB$3-$H$1) ))-1</f>
        <v>#DIV/0!</v>
      </c>
      <c r="AD6" s="31">
        <f>$L$1</f>
        <v>0.08</v>
      </c>
      <c r="AE6" s="146">
        <f t="shared" ref="AE6:AE41" si="1">(AB6*(1+AD6))/($C$1-AD6)</f>
        <v>0</v>
      </c>
    </row>
    <row r="7" spans="2:31">
      <c r="B7" s="20" t="s">
        <v>240</v>
      </c>
      <c r="C7" s="141"/>
      <c r="D7" s="141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18" t="e">
        <f>((P7/G7)^(1/($H$2-$H$1) ))-1</f>
        <v>#DIV/0!</v>
      </c>
      <c r="R7" s="31">
        <f>$L$2</f>
        <v>0.12</v>
      </c>
      <c r="S7" s="154">
        <f t="shared" ref="S7:S16" si="2">P7*(1+$R7)</f>
        <v>0</v>
      </c>
      <c r="T7" s="154">
        <f t="shared" ref="T7:AB7" si="3">S7*(1+$R7)</f>
        <v>0</v>
      </c>
      <c r="U7" s="154">
        <f t="shared" si="3"/>
        <v>0</v>
      </c>
      <c r="V7" s="154">
        <f t="shared" si="3"/>
        <v>0</v>
      </c>
      <c r="W7" s="154">
        <f t="shared" si="3"/>
        <v>0</v>
      </c>
      <c r="X7" s="154">
        <f t="shared" si="3"/>
        <v>0</v>
      </c>
      <c r="Y7" s="154">
        <f t="shared" si="3"/>
        <v>0</v>
      </c>
      <c r="Z7" s="154">
        <f t="shared" si="3"/>
        <v>0</v>
      </c>
      <c r="AA7" s="154">
        <f t="shared" si="3"/>
        <v>0</v>
      </c>
      <c r="AB7" s="154">
        <f t="shared" si="3"/>
        <v>0</v>
      </c>
      <c r="AC7" s="138" t="e">
        <f>((AB7/G7)^(1/($AB$3-$H$1) ))-1</f>
        <v>#DIV/0!</v>
      </c>
      <c r="AD7" s="31">
        <f>$L$1</f>
        <v>0.08</v>
      </c>
      <c r="AE7" s="146">
        <f t="shared" si="1"/>
        <v>0</v>
      </c>
    </row>
    <row r="8" spans="2:31">
      <c r="B8" s="20"/>
      <c r="C8" s="141"/>
      <c r="D8" s="141"/>
      <c r="E8" s="147"/>
      <c r="F8" s="147"/>
      <c r="G8" s="148" t="e">
        <f>(G7-F7)/G7</f>
        <v>#DIV/0!</v>
      </c>
      <c r="H8" s="151" t="e">
        <f>(H7-G7)/H7</f>
        <v>#DIV/0!</v>
      </c>
      <c r="I8" s="151" t="e">
        <f t="shared" ref="I8:P8" si="4">(I7-H7)/I7</f>
        <v>#DIV/0!</v>
      </c>
      <c r="J8" s="151" t="e">
        <f t="shared" si="4"/>
        <v>#DIV/0!</v>
      </c>
      <c r="K8" s="151" t="e">
        <f t="shared" si="4"/>
        <v>#DIV/0!</v>
      </c>
      <c r="L8" s="151" t="e">
        <f t="shared" si="4"/>
        <v>#DIV/0!</v>
      </c>
      <c r="M8" s="151" t="e">
        <f t="shared" si="4"/>
        <v>#DIV/0!</v>
      </c>
      <c r="N8" s="151" t="e">
        <f t="shared" si="4"/>
        <v>#DIV/0!</v>
      </c>
      <c r="O8" s="151" t="e">
        <f t="shared" si="4"/>
        <v>#DIV/0!</v>
      </c>
      <c r="P8" s="151" t="e">
        <f t="shared" si="4"/>
        <v>#DIV/0!</v>
      </c>
      <c r="Q8" s="128"/>
      <c r="R8" s="20"/>
      <c r="S8" s="154"/>
      <c r="T8" s="154"/>
      <c r="U8" s="154"/>
      <c r="V8" s="154"/>
      <c r="W8" s="154"/>
      <c r="X8" s="154"/>
      <c r="Y8" s="154"/>
      <c r="Z8" s="154"/>
      <c r="AA8" s="154"/>
      <c r="AB8" s="154"/>
      <c r="AC8" s="137"/>
      <c r="AD8" s="137"/>
      <c r="AE8" s="146"/>
    </row>
    <row r="9" spans="2:31">
      <c r="B9" s="20" t="s">
        <v>270</v>
      </c>
      <c r="C9" s="141"/>
      <c r="D9" s="141"/>
      <c r="E9" s="147"/>
      <c r="F9" s="147"/>
      <c r="G9" s="147"/>
      <c r="H9" s="147"/>
      <c r="I9" s="147"/>
      <c r="J9" s="147"/>
      <c r="K9" s="147"/>
      <c r="L9" s="147"/>
      <c r="M9" s="147"/>
      <c r="N9" s="147"/>
      <c r="O9" s="147"/>
      <c r="P9" s="147"/>
      <c r="Q9" s="118" t="e">
        <f t="shared" ref="Q9:Q16" si="5">((P9/G9)^(1/($H$2-$H$1) ))-1</f>
        <v>#DIV/0!</v>
      </c>
      <c r="R9" s="31">
        <f t="shared" ref="R9:R40" si="6">$L$2</f>
        <v>0.12</v>
      </c>
      <c r="S9" s="154">
        <f t="shared" ref="S9" si="7">P9*(1+$R9)</f>
        <v>0</v>
      </c>
      <c r="T9" s="154">
        <f t="shared" ref="T9" si="8">S9*(1+$R9)</f>
        <v>0</v>
      </c>
      <c r="U9" s="154">
        <f t="shared" ref="U9" si="9">T9*(1+$R9)</f>
        <v>0</v>
      </c>
      <c r="V9" s="154">
        <f t="shared" ref="V9" si="10">U9*(1+$R9)</f>
        <v>0</v>
      </c>
      <c r="W9" s="154">
        <f t="shared" ref="W9" si="11">V9*(1+$R9)</f>
        <v>0</v>
      </c>
      <c r="X9" s="154">
        <f t="shared" ref="X9" si="12">W9*(1+$R9)</f>
        <v>0</v>
      </c>
      <c r="Y9" s="154">
        <f t="shared" ref="Y9" si="13">X9*(1+$R9)</f>
        <v>0</v>
      </c>
      <c r="Z9" s="154">
        <f t="shared" ref="Z9" si="14">Y9*(1+$R9)</f>
        <v>0</v>
      </c>
      <c r="AA9" s="154">
        <f t="shared" ref="AA9" si="15">Z9*(1+$R9)</f>
        <v>0</v>
      </c>
      <c r="AB9" s="154">
        <f t="shared" ref="AB9" si="16">AA9*(1+$R9)</f>
        <v>0</v>
      </c>
      <c r="AC9" s="138" t="e">
        <f>((AB9/G9)^(1/($AB$3-$H$1) ))-1</f>
        <v>#DIV/0!</v>
      </c>
      <c r="AD9" s="31">
        <f t="shared" ref="AD9:AD74" si="17">$L$1</f>
        <v>0.08</v>
      </c>
      <c r="AE9" s="146">
        <f t="shared" si="1"/>
        <v>0</v>
      </c>
    </row>
    <row r="10" spans="2:31">
      <c r="B10" s="20" t="s">
        <v>4</v>
      </c>
      <c r="C10" s="141"/>
      <c r="D10" s="141"/>
      <c r="E10" s="147"/>
      <c r="F10" s="147"/>
      <c r="G10" s="147"/>
      <c r="H10" s="147"/>
      <c r="I10" s="147"/>
      <c r="J10" s="147"/>
      <c r="K10" s="147"/>
      <c r="L10" s="147"/>
      <c r="M10" s="147"/>
      <c r="N10" s="147"/>
      <c r="O10" s="147"/>
      <c r="P10" s="147"/>
      <c r="Q10" s="118" t="e">
        <f t="shared" si="5"/>
        <v>#DIV/0!</v>
      </c>
      <c r="R10" s="31">
        <f t="shared" si="6"/>
        <v>0.12</v>
      </c>
      <c r="S10" s="154">
        <f t="shared" si="2"/>
        <v>0</v>
      </c>
      <c r="T10" s="154">
        <f t="shared" ref="T10:AB10" si="18">S10*(1+$R10)</f>
        <v>0</v>
      </c>
      <c r="U10" s="154">
        <f t="shared" si="18"/>
        <v>0</v>
      </c>
      <c r="V10" s="154">
        <f t="shared" si="18"/>
        <v>0</v>
      </c>
      <c r="W10" s="154">
        <f t="shared" si="18"/>
        <v>0</v>
      </c>
      <c r="X10" s="154">
        <f t="shared" si="18"/>
        <v>0</v>
      </c>
      <c r="Y10" s="154">
        <f t="shared" si="18"/>
        <v>0</v>
      </c>
      <c r="Z10" s="154">
        <f t="shared" si="18"/>
        <v>0</v>
      </c>
      <c r="AA10" s="154">
        <f t="shared" si="18"/>
        <v>0</v>
      </c>
      <c r="AB10" s="154">
        <f t="shared" si="18"/>
        <v>0</v>
      </c>
      <c r="AC10" s="138" t="e">
        <f t="shared" ref="AC10:AC40" si="19">((AB10/G10)^(1/($AB$3-$H$1) ))-1</f>
        <v>#DIV/0!</v>
      </c>
      <c r="AD10" s="31">
        <f t="shared" si="17"/>
        <v>0.08</v>
      </c>
      <c r="AE10" s="146">
        <f t="shared" si="1"/>
        <v>0</v>
      </c>
    </row>
    <row r="11" spans="2:31">
      <c r="B11" s="20"/>
      <c r="C11" s="141"/>
      <c r="D11" s="141"/>
      <c r="E11" s="147"/>
      <c r="F11" s="147"/>
      <c r="G11" s="148" t="e">
        <f>(G10-F10)/G10</f>
        <v>#DIV/0!</v>
      </c>
      <c r="H11" s="148" t="e">
        <f t="shared" ref="H11:P11" si="20">(H10-G10)/H10</f>
        <v>#DIV/0!</v>
      </c>
      <c r="I11" s="148" t="e">
        <f t="shared" si="20"/>
        <v>#DIV/0!</v>
      </c>
      <c r="J11" s="148" t="e">
        <f t="shared" si="20"/>
        <v>#DIV/0!</v>
      </c>
      <c r="K11" s="148" t="e">
        <f t="shared" si="20"/>
        <v>#DIV/0!</v>
      </c>
      <c r="L11" s="148" t="e">
        <f t="shared" si="20"/>
        <v>#DIV/0!</v>
      </c>
      <c r="M11" s="148" t="e">
        <f t="shared" si="20"/>
        <v>#DIV/0!</v>
      </c>
      <c r="N11" s="148" t="e">
        <f t="shared" si="20"/>
        <v>#DIV/0!</v>
      </c>
      <c r="O11" s="148" t="e">
        <f t="shared" si="20"/>
        <v>#DIV/0!</v>
      </c>
      <c r="P11" s="148" t="e">
        <f t="shared" si="20"/>
        <v>#DIV/0!</v>
      </c>
      <c r="Q11" s="128"/>
      <c r="R11" s="20"/>
      <c r="S11" s="154"/>
      <c r="T11" s="154"/>
      <c r="U11" s="154"/>
      <c r="V11" s="154"/>
      <c r="W11" s="154"/>
      <c r="X11" s="154"/>
      <c r="Y11" s="154"/>
      <c r="Z11" s="154"/>
      <c r="AA11" s="154"/>
      <c r="AB11" s="154"/>
      <c r="AC11" s="119"/>
      <c r="AD11" s="31">
        <f t="shared" si="17"/>
        <v>0.08</v>
      </c>
      <c r="AE11" s="154"/>
    </row>
    <row r="12" spans="2:31">
      <c r="B12" s="20" t="s">
        <v>2</v>
      </c>
      <c r="C12" s="141"/>
      <c r="D12" s="141"/>
      <c r="E12" s="147"/>
      <c r="F12" s="147"/>
      <c r="G12" s="147"/>
      <c r="H12" s="147"/>
      <c r="I12" s="147"/>
      <c r="J12" s="147"/>
      <c r="K12" s="147"/>
      <c r="L12" s="147"/>
      <c r="M12" s="147"/>
      <c r="N12" s="147"/>
      <c r="O12" s="147"/>
      <c r="P12" s="147"/>
      <c r="Q12" s="118" t="e">
        <f t="shared" si="5"/>
        <v>#DIV/0!</v>
      </c>
      <c r="R12" s="31">
        <f t="shared" si="6"/>
        <v>0.12</v>
      </c>
      <c r="S12" s="154">
        <f t="shared" si="2"/>
        <v>0</v>
      </c>
      <c r="T12" s="154">
        <f t="shared" ref="T12:AB12" si="21">S12*(1+$R12)</f>
        <v>0</v>
      </c>
      <c r="U12" s="154">
        <f t="shared" si="21"/>
        <v>0</v>
      </c>
      <c r="V12" s="154">
        <f t="shared" si="21"/>
        <v>0</v>
      </c>
      <c r="W12" s="154">
        <f t="shared" si="21"/>
        <v>0</v>
      </c>
      <c r="X12" s="154">
        <f t="shared" si="21"/>
        <v>0</v>
      </c>
      <c r="Y12" s="154">
        <f t="shared" si="21"/>
        <v>0</v>
      </c>
      <c r="Z12" s="154">
        <f t="shared" si="21"/>
        <v>0</v>
      </c>
      <c r="AA12" s="154">
        <f t="shared" si="21"/>
        <v>0</v>
      </c>
      <c r="AB12" s="154">
        <f t="shared" si="21"/>
        <v>0</v>
      </c>
      <c r="AC12" s="138" t="e">
        <f t="shared" si="19"/>
        <v>#DIV/0!</v>
      </c>
      <c r="AD12" s="31">
        <f t="shared" si="17"/>
        <v>0.08</v>
      </c>
      <c r="AE12" s="146">
        <f t="shared" si="1"/>
        <v>0</v>
      </c>
    </row>
    <row r="13" spans="2:31">
      <c r="B13" s="20" t="s">
        <v>218</v>
      </c>
      <c r="C13" s="141"/>
      <c r="D13" s="141"/>
      <c r="E13" s="147"/>
      <c r="F13" s="147"/>
      <c r="G13" s="147"/>
      <c r="H13" s="147"/>
      <c r="I13" s="147"/>
      <c r="J13" s="147"/>
      <c r="K13" s="147"/>
      <c r="L13" s="147"/>
      <c r="M13" s="147"/>
      <c r="N13" s="147"/>
      <c r="O13" s="147"/>
      <c r="P13" s="147"/>
      <c r="Q13" s="118" t="e">
        <f t="shared" si="5"/>
        <v>#DIV/0!</v>
      </c>
      <c r="R13" s="31">
        <f t="shared" si="6"/>
        <v>0.12</v>
      </c>
      <c r="S13" s="154">
        <f t="shared" si="2"/>
        <v>0</v>
      </c>
      <c r="T13" s="154">
        <f t="shared" ref="T13:AB13" si="22">S13*(1+$R13)</f>
        <v>0</v>
      </c>
      <c r="U13" s="154">
        <f t="shared" si="22"/>
        <v>0</v>
      </c>
      <c r="V13" s="154">
        <f t="shared" si="22"/>
        <v>0</v>
      </c>
      <c r="W13" s="154">
        <f t="shared" si="22"/>
        <v>0</v>
      </c>
      <c r="X13" s="154">
        <f t="shared" si="22"/>
        <v>0</v>
      </c>
      <c r="Y13" s="154">
        <f t="shared" si="22"/>
        <v>0</v>
      </c>
      <c r="Z13" s="154">
        <f t="shared" si="22"/>
        <v>0</v>
      </c>
      <c r="AA13" s="154">
        <f t="shared" si="22"/>
        <v>0</v>
      </c>
      <c r="AB13" s="154">
        <f t="shared" si="22"/>
        <v>0</v>
      </c>
      <c r="AC13" s="138" t="e">
        <f t="shared" si="19"/>
        <v>#DIV/0!</v>
      </c>
      <c r="AD13" s="31">
        <f t="shared" si="17"/>
        <v>0.08</v>
      </c>
      <c r="AE13" s="146">
        <f t="shared" si="1"/>
        <v>0</v>
      </c>
    </row>
    <row r="14" spans="2:31">
      <c r="B14" s="20" t="s">
        <v>374</v>
      </c>
      <c r="C14" s="141"/>
      <c r="D14" s="141"/>
      <c r="E14" s="147"/>
      <c r="F14" s="147"/>
      <c r="G14" s="147"/>
      <c r="H14" s="147"/>
      <c r="I14" s="147"/>
      <c r="J14" s="147"/>
      <c r="K14" s="147"/>
      <c r="L14" s="147"/>
      <c r="M14" s="147"/>
      <c r="N14" s="147"/>
      <c r="O14" s="147"/>
      <c r="P14" s="147"/>
      <c r="Q14" s="118" t="e">
        <f t="shared" ref="Q14" si="23">((P14/G14)^(1/($H$2-$H$1) ))-1</f>
        <v>#DIV/0!</v>
      </c>
      <c r="R14" s="31">
        <f t="shared" si="6"/>
        <v>0.12</v>
      </c>
      <c r="S14" s="154">
        <f t="shared" ref="S14" si="24">P14*(1+$R14)</f>
        <v>0</v>
      </c>
      <c r="T14" s="154">
        <f t="shared" ref="T14" si="25">S14*(1+$R14)</f>
        <v>0</v>
      </c>
      <c r="U14" s="154">
        <f t="shared" ref="U14" si="26">T14*(1+$R14)</f>
        <v>0</v>
      </c>
      <c r="V14" s="154">
        <f t="shared" ref="V14" si="27">U14*(1+$R14)</f>
        <v>0</v>
      </c>
      <c r="W14" s="154">
        <f t="shared" ref="W14" si="28">V14*(1+$R14)</f>
        <v>0</v>
      </c>
      <c r="X14" s="154">
        <f t="shared" ref="X14" si="29">W14*(1+$R14)</f>
        <v>0</v>
      </c>
      <c r="Y14" s="154">
        <f t="shared" ref="Y14" si="30">X14*(1+$R14)</f>
        <v>0</v>
      </c>
      <c r="Z14" s="154">
        <f t="shared" ref="Z14" si="31">Y14*(1+$R14)</f>
        <v>0</v>
      </c>
      <c r="AA14" s="154">
        <f t="shared" ref="AA14" si="32">Z14*(1+$R14)</f>
        <v>0</v>
      </c>
      <c r="AB14" s="154">
        <f t="shared" ref="AB14" si="33">AA14*(1+$R14)</f>
        <v>0</v>
      </c>
      <c r="AC14" s="138" t="e">
        <f t="shared" ref="AC14" si="34">((AB14/G14)^(1/($AB$3-$H$1) ))-1</f>
        <v>#DIV/0!</v>
      </c>
      <c r="AD14" s="31">
        <f t="shared" si="17"/>
        <v>0.08</v>
      </c>
      <c r="AE14" s="146">
        <f t="shared" ref="AE14" si="35">(AB14*(1+AD14))/($C$1-AD14)</f>
        <v>0</v>
      </c>
    </row>
    <row r="15" spans="2:31">
      <c r="B15" s="20" t="s">
        <v>19</v>
      </c>
      <c r="C15" s="141"/>
      <c r="D15" s="141"/>
      <c r="E15" s="147"/>
      <c r="F15" s="147"/>
      <c r="G15" s="147"/>
      <c r="H15" s="147"/>
      <c r="I15" s="147"/>
      <c r="J15" s="147"/>
      <c r="K15" s="147"/>
      <c r="L15" s="147"/>
      <c r="M15" s="147"/>
      <c r="N15" s="147"/>
      <c r="O15" s="147"/>
      <c r="P15" s="147"/>
      <c r="Q15" s="118" t="e">
        <f t="shared" si="5"/>
        <v>#DIV/0!</v>
      </c>
      <c r="R15" s="31">
        <f t="shared" si="6"/>
        <v>0.12</v>
      </c>
      <c r="S15" s="154">
        <f t="shared" si="2"/>
        <v>0</v>
      </c>
      <c r="T15" s="154">
        <f t="shared" ref="T15:AB15" si="36">S15*(1+$R15)</f>
        <v>0</v>
      </c>
      <c r="U15" s="154">
        <f t="shared" si="36"/>
        <v>0</v>
      </c>
      <c r="V15" s="154">
        <f t="shared" si="36"/>
        <v>0</v>
      </c>
      <c r="W15" s="154">
        <f t="shared" si="36"/>
        <v>0</v>
      </c>
      <c r="X15" s="154">
        <f t="shared" si="36"/>
        <v>0</v>
      </c>
      <c r="Y15" s="154">
        <f t="shared" si="36"/>
        <v>0</v>
      </c>
      <c r="Z15" s="154">
        <f t="shared" si="36"/>
        <v>0</v>
      </c>
      <c r="AA15" s="154">
        <f t="shared" si="36"/>
        <v>0</v>
      </c>
      <c r="AB15" s="154">
        <f t="shared" si="36"/>
        <v>0</v>
      </c>
      <c r="AC15" s="138" t="e">
        <f t="shared" si="19"/>
        <v>#DIV/0!</v>
      </c>
      <c r="AD15" s="31">
        <f t="shared" si="17"/>
        <v>0.08</v>
      </c>
      <c r="AE15" s="146">
        <f t="shared" si="1"/>
        <v>0</v>
      </c>
    </row>
    <row r="16" spans="2:31">
      <c r="B16" s="20" t="s">
        <v>23</v>
      </c>
      <c r="C16" s="141"/>
      <c r="D16" s="141"/>
      <c r="E16" s="147"/>
      <c r="F16" s="147"/>
      <c r="G16" s="147"/>
      <c r="H16" s="147"/>
      <c r="I16" s="147"/>
      <c r="J16" s="147"/>
      <c r="K16" s="147"/>
      <c r="L16" s="147"/>
      <c r="M16" s="147"/>
      <c r="N16" s="147"/>
      <c r="O16" s="147"/>
      <c r="P16" s="147"/>
      <c r="Q16" s="118" t="e">
        <f t="shared" si="5"/>
        <v>#DIV/0!</v>
      </c>
      <c r="R16" s="31">
        <f t="shared" si="6"/>
        <v>0.12</v>
      </c>
      <c r="S16" s="154">
        <f t="shared" si="2"/>
        <v>0</v>
      </c>
      <c r="T16" s="154">
        <f t="shared" ref="T16:AB16" si="37">S16*(1+$R16)</f>
        <v>0</v>
      </c>
      <c r="U16" s="154">
        <f t="shared" si="37"/>
        <v>0</v>
      </c>
      <c r="V16" s="154">
        <f t="shared" si="37"/>
        <v>0</v>
      </c>
      <c r="W16" s="154">
        <f t="shared" si="37"/>
        <v>0</v>
      </c>
      <c r="X16" s="154">
        <f t="shared" si="37"/>
        <v>0</v>
      </c>
      <c r="Y16" s="154">
        <f t="shared" si="37"/>
        <v>0</v>
      </c>
      <c r="Z16" s="154">
        <f t="shared" si="37"/>
        <v>0</v>
      </c>
      <c r="AA16" s="154">
        <f t="shared" si="37"/>
        <v>0</v>
      </c>
      <c r="AB16" s="154">
        <f t="shared" si="37"/>
        <v>0</v>
      </c>
      <c r="AC16" s="138" t="e">
        <f t="shared" si="19"/>
        <v>#DIV/0!</v>
      </c>
      <c r="AD16" s="31">
        <f t="shared" si="17"/>
        <v>0.08</v>
      </c>
      <c r="AE16" s="146">
        <f t="shared" si="1"/>
        <v>0</v>
      </c>
    </row>
    <row r="17" spans="2:31">
      <c r="B17" s="20"/>
      <c r="C17" s="141"/>
      <c r="D17" s="141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28"/>
      <c r="R17" s="20"/>
      <c r="S17" s="154"/>
      <c r="T17" s="154"/>
      <c r="U17" s="154"/>
      <c r="V17" s="154"/>
      <c r="W17" s="154"/>
      <c r="X17" s="154"/>
      <c r="Y17" s="154"/>
      <c r="Z17" s="154"/>
      <c r="AA17" s="154"/>
      <c r="AB17" s="154"/>
      <c r="AC17" s="139"/>
      <c r="AD17" s="137"/>
      <c r="AE17" s="154"/>
    </row>
    <row r="18" spans="2:31">
      <c r="B18" s="20" t="s">
        <v>278</v>
      </c>
      <c r="C18" s="141"/>
      <c r="D18" s="141"/>
      <c r="E18" s="147"/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47"/>
      <c r="Q18" s="118" t="e">
        <f>((P18/G18)^(1/($H$2-$H$1) ))-1</f>
        <v>#DIV/0!</v>
      </c>
      <c r="R18" s="31">
        <f t="shared" si="6"/>
        <v>0.12</v>
      </c>
      <c r="S18" s="154">
        <f t="shared" ref="S18:S34" si="38">P18*(1+$R18)</f>
        <v>0</v>
      </c>
      <c r="T18" s="154">
        <f t="shared" ref="T18:T34" si="39">S18*(1+$R18)</f>
        <v>0</v>
      </c>
      <c r="U18" s="154">
        <f t="shared" ref="U18:U34" si="40">T18*(1+$R18)</f>
        <v>0</v>
      </c>
      <c r="V18" s="154">
        <f t="shared" ref="V18:V34" si="41">U18*(1+$R18)</f>
        <v>0</v>
      </c>
      <c r="W18" s="154">
        <f t="shared" ref="W18:W36" si="42">V18*(1+$R18)</f>
        <v>0</v>
      </c>
      <c r="X18" s="154">
        <f t="shared" ref="X18:X36" si="43">W18*(1+$R18)</f>
        <v>0</v>
      </c>
      <c r="Y18" s="154">
        <f t="shared" ref="Y18:Y36" si="44">X18*(1+$R18)</f>
        <v>0</v>
      </c>
      <c r="Z18" s="154">
        <f t="shared" ref="Z18:Z36" si="45">Y18*(1+$R18)</f>
        <v>0</v>
      </c>
      <c r="AA18" s="154">
        <f t="shared" ref="AA18:AA36" si="46">Z18*(1+$R18)</f>
        <v>0</v>
      </c>
      <c r="AB18" s="154">
        <f t="shared" ref="AB18:AB36" si="47">AA18*(1+$R18)</f>
        <v>0</v>
      </c>
      <c r="AC18" s="138" t="e">
        <f t="shared" si="19"/>
        <v>#DIV/0!</v>
      </c>
      <c r="AD18" s="31">
        <f t="shared" si="17"/>
        <v>0.08</v>
      </c>
      <c r="AE18" s="146">
        <f t="shared" si="1"/>
        <v>0</v>
      </c>
    </row>
    <row r="19" spans="2:31">
      <c r="B19" s="20"/>
      <c r="C19" s="141"/>
      <c r="D19" s="141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28"/>
      <c r="R19" s="20"/>
      <c r="S19" s="154"/>
      <c r="T19" s="154"/>
      <c r="U19" s="154"/>
      <c r="V19" s="154"/>
      <c r="W19" s="154"/>
      <c r="X19" s="154"/>
      <c r="Y19" s="154"/>
      <c r="Z19" s="154"/>
      <c r="AA19" s="154"/>
      <c r="AB19" s="154"/>
      <c r="AC19" s="139"/>
      <c r="AD19" s="137"/>
      <c r="AE19" s="154"/>
    </row>
    <row r="20" spans="2:31">
      <c r="B20" s="20" t="s">
        <v>284</v>
      </c>
      <c r="C20" s="141"/>
      <c r="D20" s="141"/>
      <c r="E20" s="147"/>
      <c r="F20" s="147"/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18" t="e">
        <f>((P20/G20)^(1/($H$2-$H$1) ))-1</f>
        <v>#DIV/0!</v>
      </c>
      <c r="R20" s="31">
        <f t="shared" si="6"/>
        <v>0.12</v>
      </c>
      <c r="S20" s="154">
        <f t="shared" ref="S20:S22" si="48">P20*(1+$R20)</f>
        <v>0</v>
      </c>
      <c r="T20" s="154">
        <f t="shared" ref="T20:T22" si="49">S20*(1+$R20)</f>
        <v>0</v>
      </c>
      <c r="U20" s="154">
        <f t="shared" ref="U20:U22" si="50">T20*(1+$R20)</f>
        <v>0</v>
      </c>
      <c r="V20" s="154">
        <f t="shared" ref="V20:V22" si="51">U20*(1+$R20)</f>
        <v>0</v>
      </c>
      <c r="W20" s="154">
        <f t="shared" ref="W20:W22" si="52">V20*(1+$R20)</f>
        <v>0</v>
      </c>
      <c r="X20" s="154">
        <f t="shared" ref="X20:X22" si="53">W20*(1+$R20)</f>
        <v>0</v>
      </c>
      <c r="Y20" s="154">
        <f t="shared" ref="Y20:Y22" si="54">X20*(1+$R20)</f>
        <v>0</v>
      </c>
      <c r="Z20" s="154">
        <f t="shared" ref="Z20:Z22" si="55">Y20*(1+$R20)</f>
        <v>0</v>
      </c>
      <c r="AA20" s="154">
        <f t="shared" ref="AA20:AA22" si="56">Z20*(1+$R20)</f>
        <v>0</v>
      </c>
      <c r="AB20" s="154">
        <f t="shared" ref="AB20:AB22" si="57">AA20*(1+$R20)</f>
        <v>0</v>
      </c>
      <c r="AC20" s="138" t="e">
        <f t="shared" ref="AC20:AC22" si="58">((AB20/G20)^(1/($AB$3-$H$1) ))-1</f>
        <v>#DIV/0!</v>
      </c>
      <c r="AD20" s="31">
        <f t="shared" si="17"/>
        <v>0.08</v>
      </c>
      <c r="AE20" s="146">
        <f t="shared" si="1"/>
        <v>0</v>
      </c>
    </row>
    <row r="21" spans="2:31">
      <c r="B21" s="20" t="s">
        <v>285</v>
      </c>
      <c r="C21" s="141"/>
      <c r="D21" s="141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18" t="e">
        <f>((P21/G21)^(1/($H$2-$H$1) ))-1</f>
        <v>#DIV/0!</v>
      </c>
      <c r="R21" s="31">
        <f t="shared" si="6"/>
        <v>0.12</v>
      </c>
      <c r="S21" s="154">
        <f t="shared" si="48"/>
        <v>0</v>
      </c>
      <c r="T21" s="154">
        <f t="shared" si="49"/>
        <v>0</v>
      </c>
      <c r="U21" s="154">
        <f t="shared" si="50"/>
        <v>0</v>
      </c>
      <c r="V21" s="154">
        <f t="shared" si="51"/>
        <v>0</v>
      </c>
      <c r="W21" s="154">
        <f t="shared" si="52"/>
        <v>0</v>
      </c>
      <c r="X21" s="154">
        <f t="shared" si="53"/>
        <v>0</v>
      </c>
      <c r="Y21" s="154">
        <f t="shared" si="54"/>
        <v>0</v>
      </c>
      <c r="Z21" s="154">
        <f t="shared" si="55"/>
        <v>0</v>
      </c>
      <c r="AA21" s="154">
        <f t="shared" si="56"/>
        <v>0</v>
      </c>
      <c r="AB21" s="154">
        <f t="shared" si="57"/>
        <v>0</v>
      </c>
      <c r="AC21" s="138" t="e">
        <f t="shared" si="58"/>
        <v>#DIV/0!</v>
      </c>
      <c r="AD21" s="31">
        <f t="shared" si="17"/>
        <v>0.08</v>
      </c>
      <c r="AE21" s="146">
        <f t="shared" si="1"/>
        <v>0</v>
      </c>
    </row>
    <row r="22" spans="2:31">
      <c r="B22" s="20" t="s">
        <v>286</v>
      </c>
      <c r="C22" s="141"/>
      <c r="D22" s="141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18" t="e">
        <f>((P22/G22)^(1/($H$2-$H$1) ))-1</f>
        <v>#DIV/0!</v>
      </c>
      <c r="R22" s="31">
        <f t="shared" si="6"/>
        <v>0.12</v>
      </c>
      <c r="S22" s="154">
        <f t="shared" si="48"/>
        <v>0</v>
      </c>
      <c r="T22" s="154">
        <f t="shared" si="49"/>
        <v>0</v>
      </c>
      <c r="U22" s="154">
        <f t="shared" si="50"/>
        <v>0</v>
      </c>
      <c r="V22" s="154">
        <f t="shared" si="51"/>
        <v>0</v>
      </c>
      <c r="W22" s="154">
        <f t="shared" si="52"/>
        <v>0</v>
      </c>
      <c r="X22" s="154">
        <f t="shared" si="53"/>
        <v>0</v>
      </c>
      <c r="Y22" s="154">
        <f t="shared" si="54"/>
        <v>0</v>
      </c>
      <c r="Z22" s="154">
        <f t="shared" si="55"/>
        <v>0</v>
      </c>
      <c r="AA22" s="154">
        <f t="shared" si="56"/>
        <v>0</v>
      </c>
      <c r="AB22" s="154">
        <f t="shared" si="57"/>
        <v>0</v>
      </c>
      <c r="AC22" s="138" t="e">
        <f t="shared" si="58"/>
        <v>#DIV/0!</v>
      </c>
      <c r="AD22" s="31">
        <f t="shared" si="17"/>
        <v>0.08</v>
      </c>
      <c r="AE22" s="146">
        <f t="shared" si="1"/>
        <v>0</v>
      </c>
    </row>
    <row r="23" spans="2:31">
      <c r="B23" s="20" t="s">
        <v>296</v>
      </c>
      <c r="C23" s="141"/>
      <c r="D23" s="141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18" t="e">
        <f>((P23/G23)^(1/($H$2-$H$1) ))-1</f>
        <v>#DIV/0!</v>
      </c>
      <c r="R23" s="31">
        <f t="shared" si="6"/>
        <v>0.12</v>
      </c>
      <c r="S23" s="154">
        <f t="shared" ref="S23" si="59">P23*(1+$R23)</f>
        <v>0</v>
      </c>
      <c r="T23" s="154">
        <f t="shared" ref="T23" si="60">S23*(1+$R23)</f>
        <v>0</v>
      </c>
      <c r="U23" s="154">
        <f t="shared" ref="U23" si="61">T23*(1+$R23)</f>
        <v>0</v>
      </c>
      <c r="V23" s="154">
        <f t="shared" ref="V23" si="62">U23*(1+$R23)</f>
        <v>0</v>
      </c>
      <c r="W23" s="154">
        <f t="shared" ref="W23" si="63">V23*(1+$R23)</f>
        <v>0</v>
      </c>
      <c r="X23" s="154">
        <f t="shared" ref="X23" si="64">W23*(1+$R23)</f>
        <v>0</v>
      </c>
      <c r="Y23" s="154">
        <f t="shared" ref="Y23" si="65">X23*(1+$R23)</f>
        <v>0</v>
      </c>
      <c r="Z23" s="154">
        <f t="shared" ref="Z23" si="66">Y23*(1+$R23)</f>
        <v>0</v>
      </c>
      <c r="AA23" s="154">
        <f t="shared" ref="AA23" si="67">Z23*(1+$R23)</f>
        <v>0</v>
      </c>
      <c r="AB23" s="154">
        <f t="shared" ref="AB23" si="68">AA23*(1+$R23)</f>
        <v>0</v>
      </c>
      <c r="AC23" s="138" t="e">
        <f t="shared" ref="AC23" si="69">((AB23/G23)^(1/($AB$3-$H$1) ))-1</f>
        <v>#DIV/0!</v>
      </c>
      <c r="AD23" s="31">
        <f t="shared" si="17"/>
        <v>0.08</v>
      </c>
      <c r="AE23" s="146">
        <f t="shared" si="1"/>
        <v>0</v>
      </c>
    </row>
    <row r="24" spans="2:31">
      <c r="B24" s="20"/>
      <c r="C24" s="141"/>
      <c r="D24" s="141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28"/>
      <c r="R24" s="20"/>
      <c r="S24" s="154"/>
      <c r="T24" s="154"/>
      <c r="U24" s="154"/>
      <c r="V24" s="154"/>
      <c r="W24" s="154"/>
      <c r="X24" s="154"/>
      <c r="Y24" s="154"/>
      <c r="Z24" s="154"/>
      <c r="AA24" s="154"/>
      <c r="AB24" s="154"/>
      <c r="AC24" s="119"/>
      <c r="AD24" s="137"/>
      <c r="AE24" s="154"/>
    </row>
    <row r="25" spans="2:31">
      <c r="B25" s="20" t="s">
        <v>89</v>
      </c>
      <c r="C25" s="141"/>
      <c r="D25" s="141"/>
      <c r="E25" s="147"/>
      <c r="F25" s="147"/>
      <c r="G25" s="147"/>
      <c r="H25" s="147"/>
      <c r="I25" s="147"/>
      <c r="J25" s="147"/>
      <c r="K25" s="147"/>
      <c r="L25" s="147"/>
      <c r="M25" s="147">
        <v>4698</v>
      </c>
      <c r="N25" s="147">
        <v>4535</v>
      </c>
      <c r="O25" s="147">
        <v>5777</v>
      </c>
      <c r="P25" s="147">
        <v>6406</v>
      </c>
      <c r="Q25" s="118" t="e">
        <f>((P25/G25)^(1/($H$2-$H$1) ))-1</f>
        <v>#DIV/0!</v>
      </c>
      <c r="R25" s="31">
        <f t="shared" si="6"/>
        <v>0.12</v>
      </c>
      <c r="S25" s="154">
        <f t="shared" si="38"/>
        <v>7174.72</v>
      </c>
      <c r="T25" s="154">
        <f t="shared" si="39"/>
        <v>8035.6864000000014</v>
      </c>
      <c r="U25" s="154">
        <f t="shared" si="40"/>
        <v>8999.9687680000025</v>
      </c>
      <c r="V25" s="154">
        <f t="shared" si="41"/>
        <v>10079.965020160003</v>
      </c>
      <c r="W25" s="154">
        <f t="shared" si="42"/>
        <v>11289.560822579206</v>
      </c>
      <c r="X25" s="154">
        <f t="shared" si="43"/>
        <v>12644.308121288712</v>
      </c>
      <c r="Y25" s="154">
        <f t="shared" si="44"/>
        <v>14161.625095843359</v>
      </c>
      <c r="Z25" s="154">
        <f t="shared" si="45"/>
        <v>15861.020107344564</v>
      </c>
      <c r="AA25" s="154">
        <f t="shared" si="46"/>
        <v>17764.342520225913</v>
      </c>
      <c r="AB25" s="154">
        <f t="shared" si="47"/>
        <v>19896.063622653026</v>
      </c>
      <c r="AC25" s="138" t="e">
        <f t="shared" si="19"/>
        <v>#DIV/0!</v>
      </c>
      <c r="AD25" s="31">
        <f t="shared" si="17"/>
        <v>0.08</v>
      </c>
      <c r="AE25" s="146">
        <f t="shared" si="1"/>
        <v>153483.91937475192</v>
      </c>
    </row>
    <row r="26" spans="2:31" s="123" customFormat="1">
      <c r="B26" s="23"/>
      <c r="C26" s="149"/>
      <c r="D26" s="149"/>
      <c r="E26" s="150"/>
      <c r="F26" s="150"/>
      <c r="G26" s="148" t="e">
        <f>(G25-F25)/G25</f>
        <v>#DIV/0!</v>
      </c>
      <c r="H26" s="148" t="e">
        <f>(H25-G25)/H25</f>
        <v>#DIV/0!</v>
      </c>
      <c r="I26" s="148" t="e">
        <f t="shared" ref="I26" si="70">(I25-H25)/I25</f>
        <v>#DIV/0!</v>
      </c>
      <c r="J26" s="148" t="e">
        <f t="shared" ref="J26" si="71">(J25-I25)/J25</f>
        <v>#DIV/0!</v>
      </c>
      <c r="K26" s="148" t="e">
        <f t="shared" ref="K26" si="72">(K25-J25)/K25</f>
        <v>#DIV/0!</v>
      </c>
      <c r="L26" s="148" t="e">
        <f t="shared" ref="L26" si="73">(L25-K25)/L25</f>
        <v>#DIV/0!</v>
      </c>
      <c r="M26" s="148">
        <f t="shared" ref="M26" si="74">(M25-L25)/M25</f>
        <v>1</v>
      </c>
      <c r="N26" s="148">
        <f t="shared" ref="N26" si="75">(N25-M25)/N25</f>
        <v>-3.5942668136714442E-2</v>
      </c>
      <c r="O26" s="148">
        <f t="shared" ref="O26" si="76">(O25-N25)/O25</f>
        <v>0.21499047948762334</v>
      </c>
      <c r="P26" s="148">
        <f t="shared" ref="P26" si="77">(P25-O25)/P25</f>
        <v>9.8189197627224473E-2</v>
      </c>
      <c r="Q26" s="128"/>
      <c r="R26" s="20"/>
      <c r="S26" s="155"/>
      <c r="T26" s="155"/>
      <c r="U26" s="155"/>
      <c r="V26" s="155"/>
      <c r="W26" s="155"/>
      <c r="X26" s="155"/>
      <c r="Y26" s="155"/>
      <c r="Z26" s="155"/>
      <c r="AA26" s="155"/>
      <c r="AB26" s="155"/>
      <c r="AC26" s="119"/>
      <c r="AD26" s="137"/>
      <c r="AE26" s="154"/>
    </row>
    <row r="27" spans="2:31">
      <c r="B27" s="20" t="s">
        <v>262</v>
      </c>
      <c r="C27" s="141"/>
      <c r="D27" s="141"/>
      <c r="E27" s="147"/>
      <c r="F27" s="147"/>
      <c r="G27" s="147"/>
      <c r="H27" s="147"/>
      <c r="I27" s="147"/>
      <c r="J27" s="147"/>
      <c r="K27" s="147"/>
      <c r="L27" s="147"/>
      <c r="M27" s="147">
        <v>2462</v>
      </c>
      <c r="N27" s="147">
        <v>2365</v>
      </c>
      <c r="O27" s="147">
        <v>3216</v>
      </c>
      <c r="P27" s="147">
        <v>3619</v>
      </c>
      <c r="Q27" s="118" t="e">
        <f>((P27/G27)^(1/($H$2-$H$1) ))-1</f>
        <v>#DIV/0!</v>
      </c>
      <c r="R27" s="31">
        <f t="shared" si="6"/>
        <v>0.12</v>
      </c>
      <c r="S27" s="154">
        <f t="shared" si="38"/>
        <v>4053.28</v>
      </c>
      <c r="T27" s="154">
        <f t="shared" si="39"/>
        <v>4539.673600000001</v>
      </c>
      <c r="U27" s="154">
        <f t="shared" si="40"/>
        <v>5084.4344320000018</v>
      </c>
      <c r="V27" s="154">
        <f t="shared" si="41"/>
        <v>5694.5665638400023</v>
      </c>
      <c r="W27" s="154">
        <f t="shared" si="42"/>
        <v>6377.9145515008031</v>
      </c>
      <c r="X27" s="154">
        <f t="shared" si="43"/>
        <v>7143.2642976809002</v>
      </c>
      <c r="Y27" s="154">
        <f t="shared" si="44"/>
        <v>8000.4560134026087</v>
      </c>
      <c r="Z27" s="154">
        <f t="shared" si="45"/>
        <v>8960.5107350109229</v>
      </c>
      <c r="AA27" s="154">
        <f t="shared" si="46"/>
        <v>10035.772023212234</v>
      </c>
      <c r="AB27" s="154">
        <f t="shared" si="47"/>
        <v>11240.064665997703</v>
      </c>
      <c r="AC27" s="138" t="e">
        <f t="shared" si="19"/>
        <v>#DIV/0!</v>
      </c>
      <c r="AD27" s="31">
        <f t="shared" si="17"/>
        <v>0.08</v>
      </c>
      <c r="AE27" s="146">
        <f t="shared" si="1"/>
        <v>86709.0702805537</v>
      </c>
    </row>
    <row r="28" spans="2:31" s="123" customFormat="1">
      <c r="B28" s="23"/>
      <c r="C28" s="149"/>
      <c r="D28" s="149"/>
      <c r="E28" s="150"/>
      <c r="F28" s="150"/>
      <c r="G28" s="148" t="e">
        <f t="shared" ref="G28:M28" si="78">(G27-F27)/G27</f>
        <v>#DIV/0!</v>
      </c>
      <c r="H28" s="148" t="e">
        <f t="shared" si="78"/>
        <v>#DIV/0!</v>
      </c>
      <c r="I28" s="148" t="e">
        <f t="shared" si="78"/>
        <v>#DIV/0!</v>
      </c>
      <c r="J28" s="148" t="e">
        <f t="shared" si="78"/>
        <v>#DIV/0!</v>
      </c>
      <c r="K28" s="148" t="e">
        <f t="shared" si="78"/>
        <v>#DIV/0!</v>
      </c>
      <c r="L28" s="148" t="e">
        <f t="shared" si="78"/>
        <v>#DIV/0!</v>
      </c>
      <c r="M28" s="148">
        <f t="shared" si="78"/>
        <v>1</v>
      </c>
      <c r="N28" s="148">
        <f t="shared" ref="N28" si="79">(N27-M27)/N27</f>
        <v>-4.1014799154334036E-2</v>
      </c>
      <c r="O28" s="148">
        <f t="shared" ref="O28" si="80">(O27-N27)/O27</f>
        <v>0.2646144278606965</v>
      </c>
      <c r="P28" s="148">
        <f t="shared" ref="P28" si="81">(P27-O27)/P27</f>
        <v>0.11135672837800498</v>
      </c>
      <c r="Q28" s="128"/>
      <c r="R28" s="20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19"/>
      <c r="AD28" s="137"/>
      <c r="AE28" s="154"/>
    </row>
    <row r="29" spans="2:31" s="123" customFormat="1">
      <c r="B29" s="20" t="s">
        <v>325</v>
      </c>
      <c r="C29" s="149"/>
      <c r="D29" s="149"/>
      <c r="E29" s="150"/>
      <c r="F29" s="147"/>
      <c r="G29" s="147"/>
      <c r="H29" s="147"/>
      <c r="I29" s="147"/>
      <c r="J29" s="147"/>
      <c r="K29" s="147"/>
      <c r="L29" s="147"/>
      <c r="M29" s="147">
        <v>315</v>
      </c>
      <c r="N29" s="147">
        <v>419</v>
      </c>
      <c r="O29" s="147">
        <v>149</v>
      </c>
      <c r="P29" s="147">
        <v>194</v>
      </c>
      <c r="Q29" s="118" t="e">
        <f>((P29/G29)^(1/($H$2-$H$1) ))-1</f>
        <v>#DIV/0!</v>
      </c>
      <c r="R29" s="31">
        <f t="shared" si="6"/>
        <v>0.12</v>
      </c>
      <c r="S29" s="154">
        <f t="shared" ref="S29" si="82">P29*(1+$R29)</f>
        <v>217.28000000000003</v>
      </c>
      <c r="T29" s="154">
        <f t="shared" ref="T29" si="83">S29*(1+$R29)</f>
        <v>243.35360000000006</v>
      </c>
      <c r="U29" s="154">
        <f t="shared" ref="U29" si="84">T29*(1+$R29)</f>
        <v>272.55603200000007</v>
      </c>
      <c r="V29" s="154">
        <f t="shared" ref="V29" si="85">U29*(1+$R29)</f>
        <v>305.26275584000012</v>
      </c>
      <c r="W29" s="154">
        <f t="shared" ref="W29" si="86">V29*(1+$R29)</f>
        <v>341.89428654080018</v>
      </c>
      <c r="X29" s="154">
        <f t="shared" ref="X29" si="87">W29*(1+$R29)</f>
        <v>382.92160092569623</v>
      </c>
      <c r="Y29" s="154">
        <f t="shared" ref="Y29" si="88">X29*(1+$R29)</f>
        <v>428.87219303677983</v>
      </c>
      <c r="Z29" s="154">
        <f t="shared" ref="Z29" si="89">Y29*(1+$R29)</f>
        <v>480.33685620119348</v>
      </c>
      <c r="AA29" s="154">
        <f t="shared" ref="AA29" si="90">Z29*(1+$R29)</f>
        <v>537.97727894533671</v>
      </c>
      <c r="AB29" s="154">
        <f t="shared" ref="AB29" si="91">AA29*(1+$R29)</f>
        <v>602.53455241877714</v>
      </c>
      <c r="AC29" s="138" t="e">
        <f t="shared" ref="AC29" si="92">((AB29/G29)^(1/($AB$3-$H$1) ))-1</f>
        <v>#DIV/0!</v>
      </c>
      <c r="AD29" s="31">
        <f t="shared" si="17"/>
        <v>0.08</v>
      </c>
      <c r="AE29" s="146">
        <f t="shared" ref="AE29" si="93">(AB29*(1+AD29))/($C$1-AD29)</f>
        <v>4648.1236900877093</v>
      </c>
    </row>
    <row r="30" spans="2:31" s="123" customFormat="1">
      <c r="B30" s="23"/>
      <c r="C30" s="149"/>
      <c r="D30" s="149"/>
      <c r="E30" s="150"/>
      <c r="F30" s="150"/>
      <c r="G30" s="148" t="e">
        <f t="shared" ref="G30:L30" si="94">(G29-F29)/G29</f>
        <v>#DIV/0!</v>
      </c>
      <c r="H30" s="148" t="e">
        <f t="shared" si="94"/>
        <v>#DIV/0!</v>
      </c>
      <c r="I30" s="148" t="e">
        <f t="shared" si="94"/>
        <v>#DIV/0!</v>
      </c>
      <c r="J30" s="148" t="e">
        <f t="shared" si="94"/>
        <v>#DIV/0!</v>
      </c>
      <c r="K30" s="148" t="e">
        <f t="shared" si="94"/>
        <v>#DIV/0!</v>
      </c>
      <c r="L30" s="148" t="e">
        <f t="shared" si="94"/>
        <v>#DIV/0!</v>
      </c>
      <c r="M30" s="148">
        <f t="shared" ref="M30" si="95">(M29-L29)/M29</f>
        <v>1</v>
      </c>
      <c r="N30" s="148">
        <f t="shared" ref="N30" si="96">(N29-M29)/N29</f>
        <v>0.24821002386634844</v>
      </c>
      <c r="O30" s="148">
        <f t="shared" ref="O30" si="97">(O29-N29)/O29</f>
        <v>-1.8120805369127517</v>
      </c>
      <c r="P30" s="148">
        <f t="shared" ref="P30" si="98">(P29-O29)/P29</f>
        <v>0.23195876288659795</v>
      </c>
      <c r="Q30" s="128"/>
      <c r="R30" s="20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62"/>
      <c r="AD30" s="137"/>
      <c r="AE30" s="154"/>
    </row>
    <row r="31" spans="2:31">
      <c r="B31" s="20" t="s">
        <v>333</v>
      </c>
      <c r="C31" s="141"/>
      <c r="D31" s="141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18" t="e">
        <f>((P31/G31)^(1/($H$2-$H$1) ))-1</f>
        <v>#DIV/0!</v>
      </c>
      <c r="R31" s="31">
        <f t="shared" si="6"/>
        <v>0.12</v>
      </c>
      <c r="S31" s="154">
        <f>P31*(1+$R31)</f>
        <v>0</v>
      </c>
      <c r="T31" s="154">
        <f>S31*(1+$R31)</f>
        <v>0</v>
      </c>
      <c r="U31" s="154">
        <f t="shared" ref="U31:AB32" si="99">T31*(1+$R31)</f>
        <v>0</v>
      </c>
      <c r="V31" s="154">
        <f t="shared" si="99"/>
        <v>0</v>
      </c>
      <c r="W31" s="154">
        <f t="shared" si="99"/>
        <v>0</v>
      </c>
      <c r="X31" s="154">
        <f t="shared" si="99"/>
        <v>0</v>
      </c>
      <c r="Y31" s="154">
        <f t="shared" si="99"/>
        <v>0</v>
      </c>
      <c r="Z31" s="154">
        <f t="shared" si="99"/>
        <v>0</v>
      </c>
      <c r="AA31" s="154">
        <f t="shared" si="99"/>
        <v>0</v>
      </c>
      <c r="AB31" s="154">
        <f t="shared" si="99"/>
        <v>0</v>
      </c>
      <c r="AC31" s="138" t="e">
        <f t="shared" ref="AC31" si="100">((AB31/G31)^(1/($AB$3-$H$1) ))-1</f>
        <v>#DIV/0!</v>
      </c>
      <c r="AD31" s="31">
        <f t="shared" si="17"/>
        <v>0.08</v>
      </c>
      <c r="AE31" s="146">
        <f t="shared" si="1"/>
        <v>0</v>
      </c>
    </row>
    <row r="32" spans="2:31">
      <c r="B32" s="20" t="s">
        <v>332</v>
      </c>
      <c r="C32" s="141"/>
      <c r="D32" s="141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18" t="e">
        <f>((P32/G32)^(1/($H$2-$H$1) ))-1</f>
        <v>#DIV/0!</v>
      </c>
      <c r="R32" s="31">
        <f t="shared" si="6"/>
        <v>0.12</v>
      </c>
      <c r="S32" s="154">
        <f>P32*(1+$R32)</f>
        <v>0</v>
      </c>
      <c r="T32" s="154">
        <f>S32*(1+$R32)</f>
        <v>0</v>
      </c>
      <c r="U32" s="154">
        <f t="shared" si="99"/>
        <v>0</v>
      </c>
      <c r="V32" s="154">
        <f t="shared" si="99"/>
        <v>0</v>
      </c>
      <c r="W32" s="154">
        <f t="shared" si="99"/>
        <v>0</v>
      </c>
      <c r="X32" s="154">
        <f t="shared" si="99"/>
        <v>0</v>
      </c>
      <c r="Y32" s="154">
        <f t="shared" si="99"/>
        <v>0</v>
      </c>
      <c r="Z32" s="154">
        <f t="shared" si="99"/>
        <v>0</v>
      </c>
      <c r="AA32" s="154">
        <f t="shared" si="99"/>
        <v>0</v>
      </c>
      <c r="AB32" s="154">
        <f t="shared" si="99"/>
        <v>0</v>
      </c>
      <c r="AC32" s="138" t="e">
        <f t="shared" ref="AC32" si="101">((AB32/G32)^(1/($AB$3-$H$1) ))-1</f>
        <v>#DIV/0!</v>
      </c>
      <c r="AD32" s="31">
        <f t="shared" si="17"/>
        <v>0.08</v>
      </c>
      <c r="AE32" s="146">
        <f t="shared" si="1"/>
        <v>0</v>
      </c>
    </row>
    <row r="33" spans="2:31">
      <c r="B33" s="20" t="s">
        <v>317</v>
      </c>
      <c r="C33" s="141"/>
      <c r="D33" s="141"/>
      <c r="E33" s="147"/>
      <c r="F33" s="147"/>
      <c r="G33" s="147"/>
      <c r="H33" s="147"/>
      <c r="I33" s="147"/>
      <c r="J33" s="147"/>
      <c r="K33" s="147"/>
      <c r="L33" s="147"/>
      <c r="M33" s="147">
        <v>465</v>
      </c>
      <c r="N33" s="147">
        <v>448</v>
      </c>
      <c r="O33" s="147">
        <v>502</v>
      </c>
      <c r="P33" s="147">
        <v>544</v>
      </c>
      <c r="Q33" s="118" t="e">
        <f>((P33/G33)^(1/($H$2-$H$1) ))-1</f>
        <v>#DIV/0!</v>
      </c>
      <c r="R33" s="31">
        <f t="shared" si="6"/>
        <v>0.12</v>
      </c>
      <c r="S33" s="154">
        <f t="shared" si="38"/>
        <v>609.28000000000009</v>
      </c>
      <c r="T33" s="154">
        <f t="shared" si="39"/>
        <v>682.39360000000011</v>
      </c>
      <c r="U33" s="154">
        <f t="shared" si="40"/>
        <v>764.28083200000015</v>
      </c>
      <c r="V33" s="154">
        <f t="shared" si="41"/>
        <v>855.99453184000026</v>
      </c>
      <c r="W33" s="154">
        <f t="shared" si="42"/>
        <v>958.71387566080034</v>
      </c>
      <c r="X33" s="154">
        <f t="shared" si="43"/>
        <v>1073.7595407400966</v>
      </c>
      <c r="Y33" s="154">
        <f t="shared" si="44"/>
        <v>1202.6106856289082</v>
      </c>
      <c r="Z33" s="154">
        <f t="shared" si="45"/>
        <v>1346.9239679043774</v>
      </c>
      <c r="AA33" s="154">
        <f t="shared" si="46"/>
        <v>1508.5548440529028</v>
      </c>
      <c r="AB33" s="154">
        <f t="shared" si="47"/>
        <v>1689.5814253392514</v>
      </c>
      <c r="AC33" s="138" t="e">
        <f t="shared" si="19"/>
        <v>#DIV/0!</v>
      </c>
      <c r="AD33" s="31">
        <f t="shared" si="17"/>
        <v>0.08</v>
      </c>
      <c r="AE33" s="146">
        <f t="shared" si="1"/>
        <v>13033.913852617081</v>
      </c>
    </row>
    <row r="34" spans="2:31">
      <c r="B34" s="20" t="s">
        <v>309</v>
      </c>
      <c r="C34" s="141"/>
      <c r="D34" s="141"/>
      <c r="E34" s="147"/>
      <c r="F34" s="147"/>
      <c r="G34" s="147"/>
      <c r="H34" s="147"/>
      <c r="I34" s="147"/>
      <c r="J34" s="147"/>
      <c r="K34" s="147"/>
      <c r="L34" s="147"/>
      <c r="M34" s="147">
        <v>1746</v>
      </c>
      <c r="N34" s="147">
        <v>1471</v>
      </c>
      <c r="O34" s="147">
        <v>1698</v>
      </c>
      <c r="P34" s="147">
        <v>1952</v>
      </c>
      <c r="Q34" s="118" t="e">
        <f>((P34/G34)^(1/($H$2-$H$1) ))-1</f>
        <v>#DIV/0!</v>
      </c>
      <c r="R34" s="31">
        <f t="shared" si="6"/>
        <v>0.12</v>
      </c>
      <c r="S34" s="154">
        <f t="shared" si="38"/>
        <v>2186.2400000000002</v>
      </c>
      <c r="T34" s="154">
        <f t="shared" si="39"/>
        <v>2448.5888000000004</v>
      </c>
      <c r="U34" s="154">
        <f t="shared" si="40"/>
        <v>2742.4194560000005</v>
      </c>
      <c r="V34" s="154">
        <f t="shared" si="41"/>
        <v>3071.5097907200011</v>
      </c>
      <c r="W34" s="154">
        <f t="shared" si="42"/>
        <v>3440.0909656064014</v>
      </c>
      <c r="X34" s="154">
        <f t="shared" si="43"/>
        <v>3852.9018814791698</v>
      </c>
      <c r="Y34" s="154">
        <f t="shared" si="44"/>
        <v>4315.2501072566702</v>
      </c>
      <c r="Z34" s="154">
        <f t="shared" si="45"/>
        <v>4833.0801201274708</v>
      </c>
      <c r="AA34" s="154">
        <f t="shared" si="46"/>
        <v>5413.0497345427675</v>
      </c>
      <c r="AB34" s="154">
        <f t="shared" si="47"/>
        <v>6062.6157026879</v>
      </c>
      <c r="AC34" s="138" t="e">
        <f t="shared" si="19"/>
        <v>#DIV/0!</v>
      </c>
      <c r="AD34" s="31">
        <f t="shared" si="17"/>
        <v>0.08</v>
      </c>
      <c r="AE34" s="146">
        <f t="shared" si="1"/>
        <v>46768.749706449511</v>
      </c>
    </row>
    <row r="35" spans="2:31">
      <c r="B35" s="20"/>
      <c r="C35" s="141"/>
      <c r="D35" s="141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28"/>
      <c r="R35" s="20"/>
      <c r="S35" s="154"/>
      <c r="T35" s="154"/>
      <c r="U35" s="154"/>
      <c r="V35" s="154"/>
      <c r="W35" s="154"/>
      <c r="X35" s="154"/>
      <c r="Y35" s="154"/>
      <c r="Z35" s="154"/>
      <c r="AA35" s="154"/>
      <c r="AB35" s="154"/>
      <c r="AC35" s="139"/>
      <c r="AD35" s="137"/>
      <c r="AE35" s="154"/>
    </row>
    <row r="36" spans="2:31">
      <c r="B36" s="20" t="s">
        <v>279</v>
      </c>
      <c r="C36" s="141"/>
      <c r="D36" s="141"/>
      <c r="E36" s="147"/>
      <c r="F36" s="147"/>
      <c r="G36" s="147"/>
      <c r="H36" s="147"/>
      <c r="I36" s="147"/>
      <c r="J36" s="147"/>
      <c r="K36" s="147"/>
      <c r="L36" s="147"/>
      <c r="M36" s="147">
        <v>1637</v>
      </c>
      <c r="N36" s="147">
        <v>1586</v>
      </c>
      <c r="O36" s="147">
        <v>1734</v>
      </c>
      <c r="P36" s="147">
        <v>2042</v>
      </c>
      <c r="Q36" s="118" t="e">
        <f>((P36/G36)^(1/($H$2-$H$1) ))-1</f>
        <v>#DIV/0!</v>
      </c>
      <c r="R36" s="31">
        <f t="shared" si="6"/>
        <v>0.12</v>
      </c>
      <c r="S36" s="154">
        <f t="shared" ref="S36" si="102">P36*(1+$R36)</f>
        <v>2287.0400000000004</v>
      </c>
      <c r="T36" s="154">
        <f t="shared" ref="T36" si="103">S36*(1+$R36)</f>
        <v>2561.4848000000006</v>
      </c>
      <c r="U36" s="154">
        <f t="shared" ref="U36" si="104">T36*(1+$R36)</f>
        <v>2868.8629760000008</v>
      </c>
      <c r="V36" s="154">
        <f t="shared" ref="V36" si="105">U36*(1+$R36)</f>
        <v>3213.1265331200011</v>
      </c>
      <c r="W36" s="154">
        <f t="shared" si="42"/>
        <v>3598.7017170944014</v>
      </c>
      <c r="X36" s="154">
        <f t="shared" si="43"/>
        <v>4030.5459231457298</v>
      </c>
      <c r="Y36" s="154">
        <f t="shared" si="44"/>
        <v>4514.2114339232176</v>
      </c>
      <c r="Z36" s="154">
        <f t="shared" si="45"/>
        <v>5055.9168059940039</v>
      </c>
      <c r="AA36" s="154">
        <f t="shared" si="46"/>
        <v>5662.626822713285</v>
      </c>
      <c r="AB36" s="154">
        <f t="shared" si="47"/>
        <v>6342.1420414388795</v>
      </c>
      <c r="AC36" s="138" t="e">
        <f t="shared" si="19"/>
        <v>#DIV/0!</v>
      </c>
      <c r="AD36" s="31">
        <f t="shared" si="17"/>
        <v>0.08</v>
      </c>
      <c r="AE36" s="146">
        <f t="shared" si="1"/>
        <v>48925.095748242784</v>
      </c>
    </row>
    <row r="37" spans="2:31" s="123" customFormat="1">
      <c r="B37" s="23"/>
      <c r="C37" s="149"/>
      <c r="D37" s="149"/>
      <c r="E37" s="150"/>
      <c r="F37" s="150"/>
      <c r="G37" s="148" t="e">
        <f t="shared" ref="G37" si="106">(G36-F36)/G36</f>
        <v>#DIV/0!</v>
      </c>
      <c r="H37" s="148" t="e">
        <f t="shared" ref="H37" si="107">(H36-G36)/H36</f>
        <v>#DIV/0!</v>
      </c>
      <c r="I37" s="148" t="e">
        <f t="shared" ref="I37" si="108">(I36-H36)/I36</f>
        <v>#DIV/0!</v>
      </c>
      <c r="J37" s="148" t="e">
        <f t="shared" ref="J37" si="109">(J36-I36)/J36</f>
        <v>#DIV/0!</v>
      </c>
      <c r="K37" s="148" t="e">
        <f t="shared" ref="K37" si="110">(K36-J36)/K36</f>
        <v>#DIV/0!</v>
      </c>
      <c r="L37" s="148" t="e">
        <f t="shared" ref="L37" si="111">(L36-K36)/L36</f>
        <v>#DIV/0!</v>
      </c>
      <c r="M37" s="148">
        <f t="shared" ref="M37" si="112">(M36-L36)/M36</f>
        <v>1</v>
      </c>
      <c r="N37" s="148">
        <f t="shared" ref="N37" si="113">(N36-M36)/N36</f>
        <v>-3.215636822194199E-2</v>
      </c>
      <c r="O37" s="148">
        <f t="shared" ref="O37" si="114">(O36-N36)/O36</f>
        <v>8.5351787773933097E-2</v>
      </c>
      <c r="P37" s="148">
        <f t="shared" ref="P37" si="115">(P36-O36)/P36</f>
        <v>0.15083251714005877</v>
      </c>
      <c r="Q37" s="128"/>
      <c r="R37" s="20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39"/>
      <c r="AD37" s="137"/>
      <c r="AE37" s="156"/>
    </row>
    <row r="38" spans="2:31">
      <c r="B38" s="20" t="s">
        <v>257</v>
      </c>
      <c r="C38" s="141"/>
      <c r="D38" s="141"/>
      <c r="E38" s="147"/>
      <c r="F38" s="147"/>
      <c r="G38" s="147"/>
      <c r="H38" s="147"/>
      <c r="I38" s="147"/>
      <c r="J38" s="147"/>
      <c r="K38" s="147"/>
      <c r="L38" s="147"/>
      <c r="M38" s="147">
        <v>1247</v>
      </c>
      <c r="N38" s="147">
        <v>1298</v>
      </c>
      <c r="O38" s="147">
        <v>1411</v>
      </c>
      <c r="P38" s="147">
        <v>1457</v>
      </c>
      <c r="Q38" s="118" t="e">
        <f>((P38/G38)^(1/($H$2-$H$1) ))-1</f>
        <v>#DIV/0!</v>
      </c>
      <c r="R38" s="31">
        <f t="shared" si="6"/>
        <v>0.12</v>
      </c>
      <c r="S38" s="154">
        <f>P38*(1+$R38)</f>
        <v>1631.8400000000001</v>
      </c>
      <c r="T38" s="154">
        <f t="shared" ref="T38:AB38" si="116">S38*(1+$R38)</f>
        <v>1827.6608000000003</v>
      </c>
      <c r="U38" s="154">
        <f t="shared" si="116"/>
        <v>2046.9800960000005</v>
      </c>
      <c r="V38" s="154">
        <f t="shared" si="116"/>
        <v>2292.6177075200007</v>
      </c>
      <c r="W38" s="154">
        <f t="shared" si="116"/>
        <v>2567.7318324224011</v>
      </c>
      <c r="X38" s="154">
        <f t="shared" si="116"/>
        <v>2875.8596523130896</v>
      </c>
      <c r="Y38" s="154">
        <f t="shared" si="116"/>
        <v>3220.9628105906604</v>
      </c>
      <c r="Z38" s="154">
        <f t="shared" si="116"/>
        <v>3607.47834786154</v>
      </c>
      <c r="AA38" s="154">
        <f t="shared" si="116"/>
        <v>4040.3757496049252</v>
      </c>
      <c r="AB38" s="154">
        <f t="shared" si="116"/>
        <v>4525.2208395575162</v>
      </c>
      <c r="AC38" s="138" t="e">
        <f t="shared" si="19"/>
        <v>#DIV/0!</v>
      </c>
      <c r="AD38" s="31">
        <f t="shared" si="17"/>
        <v>0.08</v>
      </c>
      <c r="AE38" s="146">
        <f t="shared" si="1"/>
        <v>34908.84647658655</v>
      </c>
    </row>
    <row r="39" spans="2:31" s="123" customFormat="1">
      <c r="B39" s="23"/>
      <c r="C39" s="149"/>
      <c r="D39" s="149"/>
      <c r="E39" s="150"/>
      <c r="F39" s="150"/>
      <c r="G39" s="148" t="e">
        <f>(G38-F38)/G38</f>
        <v>#DIV/0!</v>
      </c>
      <c r="H39" s="148" t="e">
        <f t="shared" ref="H39:P39" si="117">(H38-G38)/H38</f>
        <v>#DIV/0!</v>
      </c>
      <c r="I39" s="148" t="e">
        <f t="shared" si="117"/>
        <v>#DIV/0!</v>
      </c>
      <c r="J39" s="148" t="e">
        <f t="shared" si="117"/>
        <v>#DIV/0!</v>
      </c>
      <c r="K39" s="148" t="e">
        <f t="shared" si="117"/>
        <v>#DIV/0!</v>
      </c>
      <c r="L39" s="148" t="e">
        <f t="shared" si="117"/>
        <v>#DIV/0!</v>
      </c>
      <c r="M39" s="148">
        <f t="shared" si="117"/>
        <v>1</v>
      </c>
      <c r="N39" s="148">
        <f t="shared" si="117"/>
        <v>3.9291217257318954E-2</v>
      </c>
      <c r="O39" s="148">
        <f t="shared" si="117"/>
        <v>8.0085046066619425E-2</v>
      </c>
      <c r="P39" s="148">
        <f t="shared" si="117"/>
        <v>3.1571722717913524E-2</v>
      </c>
      <c r="Q39" s="128"/>
      <c r="R39" s="20"/>
      <c r="S39" s="155"/>
      <c r="T39" s="155"/>
      <c r="U39" s="155"/>
      <c r="V39" s="155"/>
      <c r="W39" s="155"/>
      <c r="X39" s="155"/>
      <c r="Y39" s="155"/>
      <c r="Z39" s="155"/>
      <c r="AA39" s="155"/>
      <c r="AB39" s="155"/>
      <c r="AC39" s="139"/>
      <c r="AD39" s="137"/>
      <c r="AE39" s="156"/>
    </row>
    <row r="40" spans="2:31">
      <c r="B40" s="20" t="s">
        <v>239</v>
      </c>
      <c r="C40" s="142">
        <v>1</v>
      </c>
      <c r="D40" s="142">
        <v>1</v>
      </c>
      <c r="E40" s="143">
        <v>1</v>
      </c>
      <c r="F40" s="147">
        <v>1</v>
      </c>
      <c r="G40" s="147"/>
      <c r="H40" s="147"/>
      <c r="I40" s="147"/>
      <c r="J40" s="147"/>
      <c r="K40" s="147"/>
      <c r="L40" s="147"/>
      <c r="M40" s="147">
        <v>167.77</v>
      </c>
      <c r="N40" s="147">
        <v>167.77</v>
      </c>
      <c r="O40" s="147">
        <v>167.77</v>
      </c>
      <c r="P40" s="147">
        <v>167.77</v>
      </c>
      <c r="Q40" s="118" t="e">
        <f>((P40/G40)^(1/($H$2-$H$1) ))-1</f>
        <v>#DIV/0!</v>
      </c>
      <c r="R40" s="31">
        <f t="shared" si="6"/>
        <v>0.12</v>
      </c>
      <c r="S40" s="154">
        <f>P40*(1.5)</f>
        <v>251.65500000000003</v>
      </c>
      <c r="T40" s="154">
        <f t="shared" ref="T40:AB40" si="118">S40*(1+$R40)</f>
        <v>281.85360000000009</v>
      </c>
      <c r="U40" s="154">
        <f t="shared" si="118"/>
        <v>315.67603200000013</v>
      </c>
      <c r="V40" s="154">
        <f t="shared" si="118"/>
        <v>353.55715584000018</v>
      </c>
      <c r="W40" s="154">
        <f t="shared" si="118"/>
        <v>395.98401454080022</v>
      </c>
      <c r="X40" s="154">
        <f t="shared" si="118"/>
        <v>443.50209628569627</v>
      </c>
      <c r="Y40" s="154">
        <f t="shared" si="118"/>
        <v>496.72234783997988</v>
      </c>
      <c r="Z40" s="154">
        <f t="shared" si="118"/>
        <v>556.3290295807775</v>
      </c>
      <c r="AA40" s="154">
        <f t="shared" si="118"/>
        <v>623.08851313047091</v>
      </c>
      <c r="AB40" s="154">
        <f t="shared" si="118"/>
        <v>697.85913470612752</v>
      </c>
      <c r="AC40" s="138" t="e">
        <f t="shared" si="19"/>
        <v>#DIV/0!</v>
      </c>
      <c r="AD40" s="31">
        <f t="shared" si="17"/>
        <v>0.08</v>
      </c>
      <c r="AE40" s="146">
        <f t="shared" si="1"/>
        <v>5383.4847534472692</v>
      </c>
    </row>
    <row r="41" spans="2:31">
      <c r="B41" s="20" t="s">
        <v>283</v>
      </c>
      <c r="C41" s="145"/>
      <c r="D41" s="187"/>
      <c r="E41" s="187"/>
      <c r="F41" s="187"/>
      <c r="G41" s="187"/>
      <c r="H41" s="187"/>
      <c r="I41" s="187"/>
      <c r="J41" s="187"/>
      <c r="K41" s="187"/>
      <c r="L41" s="187"/>
      <c r="M41" s="187">
        <v>2</v>
      </c>
      <c r="N41" s="187">
        <v>2</v>
      </c>
      <c r="O41" s="187">
        <v>2.2999999999999998</v>
      </c>
      <c r="P41" s="187">
        <v>2.8</v>
      </c>
      <c r="Q41" s="118" t="e">
        <f>((P41/G41)^(1/($H$2-$H$1) ))-1</f>
        <v>#DIV/0!</v>
      </c>
      <c r="R41" s="31">
        <v>0.05</v>
      </c>
      <c r="S41" s="154">
        <f t="shared" ref="S41" si="119">P41*(1+$R41)</f>
        <v>2.94</v>
      </c>
      <c r="T41" s="154">
        <f t="shared" ref="T41" si="120">S41*(1+$R41)</f>
        <v>3.0870000000000002</v>
      </c>
      <c r="U41" s="154">
        <f t="shared" ref="U41" si="121">T41*(1+$R41)</f>
        <v>3.2413500000000002</v>
      </c>
      <c r="V41" s="154">
        <f t="shared" ref="V41" si="122">U41*(1+$R41)</f>
        <v>3.4034175000000002</v>
      </c>
      <c r="W41" s="154">
        <f t="shared" ref="W41" si="123">V41*(1+$R41)</f>
        <v>3.5735883750000004</v>
      </c>
      <c r="X41" s="154">
        <f t="shared" ref="X41" si="124">W41*(1+$R41)</f>
        <v>3.7522677937500006</v>
      </c>
      <c r="Y41" s="154">
        <f t="shared" ref="Y41" si="125">X41*(1+$R41)</f>
        <v>3.9398811834375009</v>
      </c>
      <c r="Z41" s="154">
        <f t="shared" ref="Z41" si="126">Y41*(1+$R41)</f>
        <v>4.136875242609376</v>
      </c>
      <c r="AA41" s="154">
        <f t="shared" ref="AA41" si="127">Z41*(1+$R41)</f>
        <v>4.3437190047398451</v>
      </c>
      <c r="AB41" s="154">
        <f t="shared" ref="AB41" si="128">AA41*(1+$R41)</f>
        <v>4.5609049549768379</v>
      </c>
      <c r="AC41" s="138" t="e">
        <f t="shared" ref="AC41" si="129">((AB41/G41)^(1/($AB$3-$H$1) ))-1</f>
        <v>#DIV/0!</v>
      </c>
      <c r="AD41" s="31">
        <f t="shared" si="17"/>
        <v>0.08</v>
      </c>
      <c r="AE41" s="146">
        <f t="shared" si="1"/>
        <v>35.184123938392744</v>
      </c>
    </row>
    <row r="42" spans="2:31">
      <c r="B42" s="20"/>
      <c r="C42" s="20"/>
      <c r="D42" s="20"/>
      <c r="E42" s="127"/>
      <c r="F42" s="127"/>
      <c r="G42" s="127"/>
      <c r="H42" s="20"/>
      <c r="I42" s="20"/>
      <c r="J42" s="20"/>
      <c r="K42" s="20"/>
      <c r="L42" s="20"/>
      <c r="M42" s="20"/>
      <c r="N42" s="20"/>
      <c r="O42" s="20"/>
      <c r="P42" s="20"/>
      <c r="Q42" s="128"/>
      <c r="R42" s="128"/>
      <c r="S42" s="154"/>
      <c r="T42" s="154"/>
      <c r="U42" s="154"/>
      <c r="V42" s="154"/>
      <c r="W42" s="154"/>
      <c r="X42" s="154"/>
      <c r="Y42" s="154"/>
      <c r="Z42" s="154"/>
      <c r="AA42" s="154"/>
      <c r="AB42" s="154"/>
      <c r="AC42" s="139"/>
      <c r="AD42" s="137"/>
      <c r="AE42" s="154"/>
    </row>
    <row r="43" spans="2:31">
      <c r="B43" s="108" t="s">
        <v>243</v>
      </c>
      <c r="C43" s="20"/>
      <c r="D43" s="20"/>
      <c r="E43" s="127"/>
      <c r="F43" s="127"/>
      <c r="G43" s="127"/>
      <c r="H43" s="20"/>
      <c r="I43" s="20"/>
      <c r="J43" s="20"/>
      <c r="K43" s="20"/>
      <c r="L43" s="20"/>
      <c r="M43" s="20"/>
      <c r="N43" s="20"/>
      <c r="O43" s="20"/>
      <c r="P43" s="20"/>
      <c r="Q43" s="128"/>
      <c r="R43" s="128"/>
      <c r="S43" s="154"/>
      <c r="T43" s="154"/>
      <c r="U43" s="154"/>
      <c r="V43" s="154"/>
      <c r="W43" s="154"/>
      <c r="X43" s="154"/>
      <c r="Y43" s="154"/>
      <c r="Z43" s="154"/>
      <c r="AA43" s="154"/>
      <c r="AB43" s="154"/>
      <c r="AC43" s="139"/>
      <c r="AD43" s="137"/>
      <c r="AE43" s="154"/>
    </row>
    <row r="44" spans="2:31">
      <c r="B44" s="20" t="s">
        <v>304</v>
      </c>
      <c r="C44" s="133">
        <f t="shared" ref="C44:P44" si="130">C25/C40</f>
        <v>0</v>
      </c>
      <c r="D44" s="133">
        <f t="shared" si="130"/>
        <v>0</v>
      </c>
      <c r="E44" s="133">
        <f t="shared" si="130"/>
        <v>0</v>
      </c>
      <c r="F44" s="133">
        <f t="shared" si="130"/>
        <v>0</v>
      </c>
      <c r="G44" s="133" t="e">
        <f t="shared" si="130"/>
        <v>#DIV/0!</v>
      </c>
      <c r="H44" s="133" t="e">
        <f t="shared" si="130"/>
        <v>#DIV/0!</v>
      </c>
      <c r="I44" s="133" t="e">
        <f t="shared" si="130"/>
        <v>#DIV/0!</v>
      </c>
      <c r="J44" s="133" t="e">
        <f t="shared" si="130"/>
        <v>#DIV/0!</v>
      </c>
      <c r="K44" s="133" t="e">
        <f t="shared" si="130"/>
        <v>#DIV/0!</v>
      </c>
      <c r="L44" s="133" t="e">
        <f t="shared" si="130"/>
        <v>#DIV/0!</v>
      </c>
      <c r="M44" s="133">
        <f t="shared" si="130"/>
        <v>28.002622638135541</v>
      </c>
      <c r="N44" s="133">
        <f t="shared" si="130"/>
        <v>27.031054419741309</v>
      </c>
      <c r="O44" s="133">
        <f t="shared" si="130"/>
        <v>34.434046611432315</v>
      </c>
      <c r="P44" s="133">
        <f t="shared" si="130"/>
        <v>38.183227037014959</v>
      </c>
      <c r="Q44" s="118" t="e">
        <f>((P44/G44)^(1/($H$2-$H$1) ))-1</f>
        <v>#DIV/0!</v>
      </c>
      <c r="R44" s="128"/>
      <c r="S44" s="158">
        <f t="shared" ref="S44:AB44" si="131">S25/S40</f>
        <v>28.510142854304501</v>
      </c>
      <c r="T44" s="158">
        <f t="shared" si="131"/>
        <v>28.510142854304501</v>
      </c>
      <c r="U44" s="158">
        <f t="shared" si="131"/>
        <v>28.510142854304501</v>
      </c>
      <c r="V44" s="158">
        <f t="shared" si="131"/>
        <v>28.510142854304501</v>
      </c>
      <c r="W44" s="158">
        <f t="shared" si="131"/>
        <v>28.510142854304505</v>
      </c>
      <c r="X44" s="158">
        <f t="shared" si="131"/>
        <v>28.510142854304505</v>
      </c>
      <c r="Y44" s="158">
        <f t="shared" si="131"/>
        <v>28.510142854304505</v>
      </c>
      <c r="Z44" s="158">
        <f t="shared" si="131"/>
        <v>28.510142854304508</v>
      </c>
      <c r="AA44" s="158">
        <f t="shared" si="131"/>
        <v>28.510142854304505</v>
      </c>
      <c r="AB44" s="158">
        <f t="shared" si="131"/>
        <v>28.510142854304505</v>
      </c>
      <c r="AC44" s="138" t="e">
        <f t="shared" ref="AC44" si="132">((AB44/G44)^(1/($AB$3-$H$1) ))-1</f>
        <v>#DIV/0!</v>
      </c>
      <c r="AD44" s="31">
        <f t="shared" si="17"/>
        <v>0.08</v>
      </c>
      <c r="AE44" s="146">
        <f t="shared" ref="AE44:AE45" si="133">(AB44*(1+AD44))/($C$1-AD44)</f>
        <v>219.93538773320617</v>
      </c>
    </row>
    <row r="45" spans="2:31">
      <c r="B45" s="20" t="s">
        <v>305</v>
      </c>
      <c r="C45" s="133">
        <f t="shared" ref="C45:P45" si="134">C27/C40</f>
        <v>0</v>
      </c>
      <c r="D45" s="133">
        <f t="shared" si="134"/>
        <v>0</v>
      </c>
      <c r="E45" s="133">
        <f t="shared" si="134"/>
        <v>0</v>
      </c>
      <c r="F45" s="133">
        <f t="shared" si="134"/>
        <v>0</v>
      </c>
      <c r="G45" s="133" t="e">
        <f t="shared" si="134"/>
        <v>#DIV/0!</v>
      </c>
      <c r="H45" s="133" t="e">
        <f t="shared" si="134"/>
        <v>#DIV/0!</v>
      </c>
      <c r="I45" s="133" t="e">
        <f t="shared" si="134"/>
        <v>#DIV/0!</v>
      </c>
      <c r="J45" s="133" t="e">
        <f t="shared" si="134"/>
        <v>#DIV/0!</v>
      </c>
      <c r="K45" s="133" t="e">
        <f t="shared" si="134"/>
        <v>#DIV/0!</v>
      </c>
      <c r="L45" s="133" t="e">
        <f t="shared" si="134"/>
        <v>#DIV/0!</v>
      </c>
      <c r="M45" s="133">
        <f t="shared" si="134"/>
        <v>14.674852476604874</v>
      </c>
      <c r="N45" s="133">
        <f t="shared" si="134"/>
        <v>14.096679978542051</v>
      </c>
      <c r="O45" s="133">
        <f t="shared" si="134"/>
        <v>19.169100554330331</v>
      </c>
      <c r="P45" s="133">
        <f t="shared" si="134"/>
        <v>21.571198664838764</v>
      </c>
      <c r="Q45" s="118" t="e">
        <f>((P45/G45)^(1/($H$2-$H$1) ))-1</f>
        <v>#DIV/0!</v>
      </c>
      <c r="R45" s="128"/>
      <c r="S45" s="158">
        <f t="shared" ref="S45:AB45" si="135">S27/S40</f>
        <v>16.106495003079612</v>
      </c>
      <c r="T45" s="158">
        <f t="shared" si="135"/>
        <v>16.106495003079612</v>
      </c>
      <c r="U45" s="158">
        <f t="shared" si="135"/>
        <v>16.106495003079612</v>
      </c>
      <c r="V45" s="158">
        <f t="shared" si="135"/>
        <v>16.106495003079612</v>
      </c>
      <c r="W45" s="158">
        <f t="shared" si="135"/>
        <v>16.106495003079612</v>
      </c>
      <c r="X45" s="158">
        <f t="shared" si="135"/>
        <v>16.106495003079612</v>
      </c>
      <c r="Y45" s="158">
        <f t="shared" si="135"/>
        <v>16.106495003079612</v>
      </c>
      <c r="Z45" s="158">
        <f t="shared" si="135"/>
        <v>16.106495003079612</v>
      </c>
      <c r="AA45" s="158">
        <f t="shared" si="135"/>
        <v>16.106495003079608</v>
      </c>
      <c r="AB45" s="158">
        <f t="shared" si="135"/>
        <v>16.106495003079608</v>
      </c>
      <c r="AC45" s="138" t="e">
        <f t="shared" ref="AC45" si="136">((AB45/G45)^(1/($AB$3-$H$1) ))-1</f>
        <v>#DIV/0!</v>
      </c>
      <c r="AD45" s="31">
        <f t="shared" si="17"/>
        <v>0.08</v>
      </c>
      <c r="AE45" s="146">
        <f t="shared" si="133"/>
        <v>124.25010430947127</v>
      </c>
    </row>
    <row r="46" spans="2:31">
      <c r="B46" s="20"/>
      <c r="C46" s="133"/>
      <c r="D46" s="133"/>
      <c r="E46" s="133"/>
      <c r="F46" s="133"/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28"/>
      <c r="R46" s="128"/>
      <c r="S46" s="158"/>
      <c r="T46" s="158"/>
      <c r="U46" s="158"/>
      <c r="V46" s="158"/>
      <c r="W46" s="158"/>
      <c r="X46" s="158"/>
      <c r="Y46" s="158"/>
      <c r="Z46" s="158"/>
      <c r="AA46" s="158"/>
      <c r="AB46" s="158"/>
      <c r="AC46" s="119"/>
      <c r="AD46" s="137"/>
      <c r="AE46" s="146"/>
    </row>
    <row r="47" spans="2:31">
      <c r="B47" s="20" t="s">
        <v>258</v>
      </c>
      <c r="C47" s="25">
        <f t="shared" ref="C47:P47" si="137">C38/C40</f>
        <v>0</v>
      </c>
      <c r="D47" s="25">
        <f t="shared" si="137"/>
        <v>0</v>
      </c>
      <c r="E47" s="25">
        <f t="shared" si="137"/>
        <v>0</v>
      </c>
      <c r="F47" s="133">
        <f t="shared" si="137"/>
        <v>0</v>
      </c>
      <c r="G47" s="133" t="e">
        <f t="shared" si="137"/>
        <v>#DIV/0!</v>
      </c>
      <c r="H47" s="133" t="e">
        <f t="shared" si="137"/>
        <v>#DIV/0!</v>
      </c>
      <c r="I47" s="133" t="e">
        <f t="shared" si="137"/>
        <v>#DIV/0!</v>
      </c>
      <c r="J47" s="133" t="e">
        <f t="shared" si="137"/>
        <v>#DIV/0!</v>
      </c>
      <c r="K47" s="133" t="e">
        <f t="shared" si="137"/>
        <v>#DIV/0!</v>
      </c>
      <c r="L47" s="133" t="e">
        <f t="shared" si="137"/>
        <v>#DIV/0!</v>
      </c>
      <c r="M47" s="133">
        <f t="shared" si="137"/>
        <v>7.4327948977767173</v>
      </c>
      <c r="N47" s="133">
        <f t="shared" si="137"/>
        <v>7.7367824998509862</v>
      </c>
      <c r="O47" s="133">
        <f t="shared" si="137"/>
        <v>8.4103236573880906</v>
      </c>
      <c r="P47" s="133">
        <f t="shared" si="137"/>
        <v>8.6845085533766468</v>
      </c>
      <c r="Q47" s="118" t="e">
        <f>((P47/G47)^(1/($H$2-$H$1) ))-1</f>
        <v>#DIV/0!</v>
      </c>
      <c r="R47" s="128"/>
      <c r="S47" s="158">
        <f t="shared" ref="S47:AB47" si="138">S38/S40</f>
        <v>6.484433053187896</v>
      </c>
      <c r="T47" s="158">
        <f t="shared" si="138"/>
        <v>6.4844330531878951</v>
      </c>
      <c r="U47" s="158">
        <f t="shared" si="138"/>
        <v>6.4844330531878951</v>
      </c>
      <c r="V47" s="158">
        <f t="shared" si="138"/>
        <v>6.4844330531878951</v>
      </c>
      <c r="W47" s="158">
        <f t="shared" si="138"/>
        <v>6.4844330531878951</v>
      </c>
      <c r="X47" s="158">
        <f t="shared" si="138"/>
        <v>6.484433053187896</v>
      </c>
      <c r="Y47" s="158">
        <f t="shared" si="138"/>
        <v>6.4844330531878951</v>
      </c>
      <c r="Z47" s="158">
        <f t="shared" si="138"/>
        <v>6.4844330531878951</v>
      </c>
      <c r="AA47" s="158">
        <f t="shared" si="138"/>
        <v>6.4844330531878951</v>
      </c>
      <c r="AB47" s="158">
        <f t="shared" si="138"/>
        <v>6.4844330531878942</v>
      </c>
      <c r="AC47" s="138" t="e">
        <f t="shared" ref="AC47:AC61" si="139">((AB47/G47)^(1/($AB$3-$H$1) ))-1</f>
        <v>#DIV/0!</v>
      </c>
      <c r="AD47" s="31">
        <f t="shared" si="17"/>
        <v>0.08</v>
      </c>
      <c r="AE47" s="146">
        <f t="shared" ref="AE47:AE75" si="140">(AB47*(1+AD47))/($C$1-AD47)</f>
        <v>50.022769267449469</v>
      </c>
    </row>
    <row r="48" spans="2:31">
      <c r="B48" s="20" t="s">
        <v>389</v>
      </c>
      <c r="C48" s="133">
        <f t="shared" ref="C48:F48" si="141">C20/C40</f>
        <v>0</v>
      </c>
      <c r="D48" s="133">
        <f t="shared" si="141"/>
        <v>0</v>
      </c>
      <c r="E48" s="133">
        <f t="shared" si="141"/>
        <v>0</v>
      </c>
      <c r="F48" s="133">
        <f t="shared" si="141"/>
        <v>0</v>
      </c>
      <c r="G48" s="133" t="e">
        <f>G20/G40</f>
        <v>#DIV/0!</v>
      </c>
      <c r="H48" s="133" t="e">
        <f t="shared" ref="H48:P48" si="142">H20/H40</f>
        <v>#DIV/0!</v>
      </c>
      <c r="I48" s="133" t="e">
        <f t="shared" si="142"/>
        <v>#DIV/0!</v>
      </c>
      <c r="J48" s="133" t="e">
        <f t="shared" si="142"/>
        <v>#DIV/0!</v>
      </c>
      <c r="K48" s="133" t="e">
        <f t="shared" si="142"/>
        <v>#DIV/0!</v>
      </c>
      <c r="L48" s="133" t="e">
        <f t="shared" si="142"/>
        <v>#DIV/0!</v>
      </c>
      <c r="M48" s="133">
        <f t="shared" si="142"/>
        <v>0</v>
      </c>
      <c r="N48" s="133">
        <f t="shared" si="142"/>
        <v>0</v>
      </c>
      <c r="O48" s="133">
        <f t="shared" si="142"/>
        <v>0</v>
      </c>
      <c r="P48" s="133">
        <f t="shared" si="142"/>
        <v>0</v>
      </c>
      <c r="Q48" s="118" t="e">
        <f>((P48/G48)^(1/($H$2-$H$1) ))-1</f>
        <v>#DIV/0!</v>
      </c>
      <c r="R48" s="128"/>
      <c r="S48" s="133">
        <f t="shared" ref="S48:AB48" si="143">S20/S40</f>
        <v>0</v>
      </c>
      <c r="T48" s="133">
        <f t="shared" si="143"/>
        <v>0</v>
      </c>
      <c r="U48" s="133">
        <f t="shared" si="143"/>
        <v>0</v>
      </c>
      <c r="V48" s="133">
        <f t="shared" si="143"/>
        <v>0</v>
      </c>
      <c r="W48" s="133">
        <f t="shared" si="143"/>
        <v>0</v>
      </c>
      <c r="X48" s="133">
        <f t="shared" si="143"/>
        <v>0</v>
      </c>
      <c r="Y48" s="133">
        <f t="shared" si="143"/>
        <v>0</v>
      </c>
      <c r="Z48" s="133">
        <f t="shared" si="143"/>
        <v>0</v>
      </c>
      <c r="AA48" s="133">
        <f t="shared" si="143"/>
        <v>0</v>
      </c>
      <c r="AB48" s="133">
        <f t="shared" si="143"/>
        <v>0</v>
      </c>
      <c r="AC48" s="138" t="e">
        <f t="shared" ref="AC48" si="144">((AB48/G48)^(1/($AB$3-$H$1) ))-1</f>
        <v>#DIV/0!</v>
      </c>
      <c r="AD48" s="31">
        <f t="shared" si="17"/>
        <v>0.08</v>
      </c>
      <c r="AE48" s="146">
        <f t="shared" si="140"/>
        <v>0</v>
      </c>
    </row>
    <row r="49" spans="2:31">
      <c r="B49" s="20" t="s">
        <v>245</v>
      </c>
      <c r="C49" s="25">
        <f t="shared" ref="C49:P49" si="145">C7/C40</f>
        <v>0</v>
      </c>
      <c r="D49" s="25">
        <f t="shared" si="145"/>
        <v>0</v>
      </c>
      <c r="E49" s="25">
        <f t="shared" si="145"/>
        <v>0</v>
      </c>
      <c r="F49" s="133">
        <f t="shared" si="145"/>
        <v>0</v>
      </c>
      <c r="G49" s="133" t="e">
        <f t="shared" si="145"/>
        <v>#DIV/0!</v>
      </c>
      <c r="H49" s="133" t="e">
        <f t="shared" si="145"/>
        <v>#DIV/0!</v>
      </c>
      <c r="I49" s="133" t="e">
        <f t="shared" si="145"/>
        <v>#DIV/0!</v>
      </c>
      <c r="J49" s="133" t="e">
        <f t="shared" si="145"/>
        <v>#DIV/0!</v>
      </c>
      <c r="K49" s="133" t="e">
        <f t="shared" si="145"/>
        <v>#DIV/0!</v>
      </c>
      <c r="L49" s="133" t="e">
        <f t="shared" si="145"/>
        <v>#DIV/0!</v>
      </c>
      <c r="M49" s="133">
        <f t="shared" si="145"/>
        <v>0</v>
      </c>
      <c r="N49" s="133">
        <f t="shared" si="145"/>
        <v>0</v>
      </c>
      <c r="O49" s="133">
        <f t="shared" si="145"/>
        <v>0</v>
      </c>
      <c r="P49" s="133">
        <f t="shared" si="145"/>
        <v>0</v>
      </c>
      <c r="Q49" s="118" t="e">
        <f>((P49/G49)^(1/($H$2-$H$1) ))-1</f>
        <v>#DIV/0!</v>
      </c>
      <c r="R49" s="128"/>
      <c r="S49" s="158">
        <f t="shared" ref="S49:AB49" si="146">S7/S40</f>
        <v>0</v>
      </c>
      <c r="T49" s="158">
        <f t="shared" si="146"/>
        <v>0</v>
      </c>
      <c r="U49" s="158">
        <f t="shared" si="146"/>
        <v>0</v>
      </c>
      <c r="V49" s="158">
        <f t="shared" si="146"/>
        <v>0</v>
      </c>
      <c r="W49" s="158">
        <f t="shared" si="146"/>
        <v>0</v>
      </c>
      <c r="X49" s="158">
        <f t="shared" si="146"/>
        <v>0</v>
      </c>
      <c r="Y49" s="158">
        <f t="shared" si="146"/>
        <v>0</v>
      </c>
      <c r="Z49" s="158">
        <f t="shared" si="146"/>
        <v>0</v>
      </c>
      <c r="AA49" s="158">
        <f t="shared" si="146"/>
        <v>0</v>
      </c>
      <c r="AB49" s="158">
        <f t="shared" si="146"/>
        <v>0</v>
      </c>
      <c r="AC49" s="138" t="e">
        <f t="shared" si="139"/>
        <v>#DIV/0!</v>
      </c>
      <c r="AD49" s="31">
        <f t="shared" si="17"/>
        <v>0.08</v>
      </c>
      <c r="AE49" s="146">
        <f t="shared" si="140"/>
        <v>0</v>
      </c>
    </row>
    <row r="50" spans="2:31">
      <c r="B50" s="20" t="s">
        <v>246</v>
      </c>
      <c r="C50" s="127">
        <f t="shared" ref="C50:P50" si="147">C6/C40</f>
        <v>0</v>
      </c>
      <c r="D50" s="127">
        <f t="shared" si="147"/>
        <v>0</v>
      </c>
      <c r="E50" s="127">
        <f t="shared" si="147"/>
        <v>0</v>
      </c>
      <c r="F50" s="144">
        <f t="shared" si="147"/>
        <v>0</v>
      </c>
      <c r="G50" s="144" t="e">
        <f t="shared" si="147"/>
        <v>#DIV/0!</v>
      </c>
      <c r="H50" s="144" t="e">
        <f t="shared" si="147"/>
        <v>#DIV/0!</v>
      </c>
      <c r="I50" s="144" t="e">
        <f t="shared" si="147"/>
        <v>#DIV/0!</v>
      </c>
      <c r="J50" s="144" t="e">
        <f t="shared" si="147"/>
        <v>#DIV/0!</v>
      </c>
      <c r="K50" s="144" t="e">
        <f t="shared" si="147"/>
        <v>#DIV/0!</v>
      </c>
      <c r="L50" s="144" t="e">
        <f t="shared" si="147"/>
        <v>#DIV/0!</v>
      </c>
      <c r="M50" s="144">
        <f t="shared" si="147"/>
        <v>0</v>
      </c>
      <c r="N50" s="144">
        <f t="shared" si="147"/>
        <v>0</v>
      </c>
      <c r="O50" s="144">
        <f t="shared" si="147"/>
        <v>0</v>
      </c>
      <c r="P50" s="144">
        <f t="shared" si="147"/>
        <v>0</v>
      </c>
      <c r="Q50" s="118" t="e">
        <f>((P50/G50)^(1/($H$2-$H$1) ))-1</f>
        <v>#DIV/0!</v>
      </c>
      <c r="R50" s="128"/>
      <c r="S50" s="157">
        <f t="shared" ref="S50:AB50" si="148">S6/S40</f>
        <v>0</v>
      </c>
      <c r="T50" s="157">
        <f t="shared" si="148"/>
        <v>0</v>
      </c>
      <c r="U50" s="157">
        <f t="shared" si="148"/>
        <v>0</v>
      </c>
      <c r="V50" s="157">
        <f t="shared" si="148"/>
        <v>0</v>
      </c>
      <c r="W50" s="157">
        <f t="shared" si="148"/>
        <v>0</v>
      </c>
      <c r="X50" s="157">
        <f t="shared" si="148"/>
        <v>0</v>
      </c>
      <c r="Y50" s="157">
        <f t="shared" si="148"/>
        <v>0</v>
      </c>
      <c r="Z50" s="157">
        <f t="shared" si="148"/>
        <v>0</v>
      </c>
      <c r="AA50" s="157">
        <f t="shared" si="148"/>
        <v>0</v>
      </c>
      <c r="AB50" s="157">
        <f t="shared" si="148"/>
        <v>0</v>
      </c>
      <c r="AC50" s="138" t="e">
        <f t="shared" si="139"/>
        <v>#DIV/0!</v>
      </c>
      <c r="AD50" s="31">
        <f t="shared" si="17"/>
        <v>0.08</v>
      </c>
      <c r="AE50" s="146">
        <f t="shared" si="140"/>
        <v>0</v>
      </c>
    </row>
    <row r="51" spans="2:31">
      <c r="B51" s="20" t="s">
        <v>247</v>
      </c>
      <c r="C51" s="127">
        <f t="shared" ref="C51:P51" si="149">C10/C40</f>
        <v>0</v>
      </c>
      <c r="D51" s="127">
        <f t="shared" si="149"/>
        <v>0</v>
      </c>
      <c r="E51" s="127">
        <f t="shared" si="149"/>
        <v>0</v>
      </c>
      <c r="F51" s="144">
        <f t="shared" si="149"/>
        <v>0</v>
      </c>
      <c r="G51" s="144" t="e">
        <f t="shared" si="149"/>
        <v>#DIV/0!</v>
      </c>
      <c r="H51" s="144" t="e">
        <f t="shared" si="149"/>
        <v>#DIV/0!</v>
      </c>
      <c r="I51" s="144" t="e">
        <f t="shared" si="149"/>
        <v>#DIV/0!</v>
      </c>
      <c r="J51" s="144" t="e">
        <f t="shared" si="149"/>
        <v>#DIV/0!</v>
      </c>
      <c r="K51" s="144" t="e">
        <f t="shared" si="149"/>
        <v>#DIV/0!</v>
      </c>
      <c r="L51" s="144" t="e">
        <f t="shared" si="149"/>
        <v>#DIV/0!</v>
      </c>
      <c r="M51" s="144">
        <f t="shared" si="149"/>
        <v>0</v>
      </c>
      <c r="N51" s="144">
        <f t="shared" si="149"/>
        <v>0</v>
      </c>
      <c r="O51" s="144">
        <f t="shared" si="149"/>
        <v>0</v>
      </c>
      <c r="P51" s="144">
        <f t="shared" si="149"/>
        <v>0</v>
      </c>
      <c r="Q51" s="118" t="e">
        <f>((P51/G51)^(1/($H$2-$H$1) ))-1</f>
        <v>#DIV/0!</v>
      </c>
      <c r="R51" s="128"/>
      <c r="S51" s="157">
        <f t="shared" ref="S51:AB51" si="150">S10/S40</f>
        <v>0</v>
      </c>
      <c r="T51" s="157">
        <f t="shared" si="150"/>
        <v>0</v>
      </c>
      <c r="U51" s="157">
        <f t="shared" si="150"/>
        <v>0</v>
      </c>
      <c r="V51" s="157">
        <f t="shared" si="150"/>
        <v>0</v>
      </c>
      <c r="W51" s="157">
        <f t="shared" si="150"/>
        <v>0</v>
      </c>
      <c r="X51" s="157">
        <f t="shared" si="150"/>
        <v>0</v>
      </c>
      <c r="Y51" s="157">
        <f t="shared" si="150"/>
        <v>0</v>
      </c>
      <c r="Z51" s="157">
        <f t="shared" si="150"/>
        <v>0</v>
      </c>
      <c r="AA51" s="157">
        <f t="shared" si="150"/>
        <v>0</v>
      </c>
      <c r="AB51" s="157">
        <f t="shared" si="150"/>
        <v>0</v>
      </c>
      <c r="AC51" s="138" t="e">
        <f t="shared" si="139"/>
        <v>#DIV/0!</v>
      </c>
      <c r="AD51" s="31">
        <f t="shared" si="17"/>
        <v>0.08</v>
      </c>
      <c r="AE51" s="146">
        <f t="shared" si="140"/>
        <v>0</v>
      </c>
    </row>
    <row r="52" spans="2:31">
      <c r="B52" s="20"/>
      <c r="C52" s="127"/>
      <c r="D52" s="127"/>
      <c r="E52" s="127"/>
      <c r="F52" s="144"/>
      <c r="G52" s="144"/>
      <c r="H52" s="144"/>
      <c r="I52" s="144"/>
      <c r="J52" s="144"/>
      <c r="K52" s="144"/>
      <c r="L52" s="144"/>
      <c r="M52" s="144"/>
      <c r="N52" s="144"/>
      <c r="O52" s="144"/>
      <c r="P52" s="144"/>
      <c r="Q52" s="128"/>
      <c r="R52" s="128"/>
      <c r="S52" s="157"/>
      <c r="T52" s="157"/>
      <c r="U52" s="157"/>
      <c r="V52" s="157"/>
      <c r="W52" s="157"/>
      <c r="X52" s="157"/>
      <c r="Y52" s="157"/>
      <c r="Z52" s="157"/>
      <c r="AA52" s="157"/>
      <c r="AB52" s="157"/>
      <c r="AC52" s="139"/>
      <c r="AD52" s="137"/>
      <c r="AE52" s="146"/>
    </row>
    <row r="53" spans="2:31">
      <c r="B53" s="20" t="s">
        <v>271</v>
      </c>
      <c r="C53" s="127">
        <f t="shared" ref="C53:P53" si="151">(C7-C10)/C40</f>
        <v>0</v>
      </c>
      <c r="D53" s="127">
        <f t="shared" si="151"/>
        <v>0</v>
      </c>
      <c r="E53" s="127">
        <f t="shared" si="151"/>
        <v>0</v>
      </c>
      <c r="F53" s="144">
        <f t="shared" si="151"/>
        <v>0</v>
      </c>
      <c r="G53" s="144" t="e">
        <f t="shared" si="151"/>
        <v>#DIV/0!</v>
      </c>
      <c r="H53" s="144" t="e">
        <f t="shared" si="151"/>
        <v>#DIV/0!</v>
      </c>
      <c r="I53" s="144" t="e">
        <f t="shared" si="151"/>
        <v>#DIV/0!</v>
      </c>
      <c r="J53" s="144" t="e">
        <f t="shared" si="151"/>
        <v>#DIV/0!</v>
      </c>
      <c r="K53" s="144" t="e">
        <f t="shared" si="151"/>
        <v>#DIV/0!</v>
      </c>
      <c r="L53" s="144" t="e">
        <f t="shared" si="151"/>
        <v>#DIV/0!</v>
      </c>
      <c r="M53" s="144">
        <f t="shared" si="151"/>
        <v>0</v>
      </c>
      <c r="N53" s="144">
        <f t="shared" si="151"/>
        <v>0</v>
      </c>
      <c r="O53" s="144">
        <f t="shared" si="151"/>
        <v>0</v>
      </c>
      <c r="P53" s="144">
        <f t="shared" si="151"/>
        <v>0</v>
      </c>
      <c r="Q53" s="118" t="e">
        <f>((P53/G53)^(1/($H$2-$H$1) ))-1</f>
        <v>#DIV/0!</v>
      </c>
      <c r="R53" s="128"/>
      <c r="S53" s="157">
        <f t="shared" ref="S53:AB53" si="152">(S7-S10)/S40</f>
        <v>0</v>
      </c>
      <c r="T53" s="157">
        <f t="shared" si="152"/>
        <v>0</v>
      </c>
      <c r="U53" s="157">
        <f t="shared" si="152"/>
        <v>0</v>
      </c>
      <c r="V53" s="157">
        <f t="shared" si="152"/>
        <v>0</v>
      </c>
      <c r="W53" s="157">
        <f t="shared" si="152"/>
        <v>0</v>
      </c>
      <c r="X53" s="157">
        <f t="shared" si="152"/>
        <v>0</v>
      </c>
      <c r="Y53" s="157">
        <f t="shared" si="152"/>
        <v>0</v>
      </c>
      <c r="Z53" s="157">
        <f t="shared" si="152"/>
        <v>0</v>
      </c>
      <c r="AA53" s="157">
        <f t="shared" si="152"/>
        <v>0</v>
      </c>
      <c r="AB53" s="157">
        <f t="shared" si="152"/>
        <v>0</v>
      </c>
      <c r="AC53" s="138" t="e">
        <f t="shared" si="139"/>
        <v>#DIV/0!</v>
      </c>
      <c r="AD53" s="31">
        <f t="shared" si="17"/>
        <v>0.08</v>
      </c>
      <c r="AE53" s="146">
        <f t="shared" si="140"/>
        <v>0</v>
      </c>
    </row>
    <row r="54" spans="2:31">
      <c r="B54" s="20" t="s">
        <v>272</v>
      </c>
      <c r="C54" s="127">
        <f t="shared" ref="C54:P54" si="153">(C7-C10-C9)/C40</f>
        <v>0</v>
      </c>
      <c r="D54" s="127">
        <f t="shared" si="153"/>
        <v>0</v>
      </c>
      <c r="E54" s="127">
        <f t="shared" si="153"/>
        <v>0</v>
      </c>
      <c r="F54" s="144">
        <f t="shared" si="153"/>
        <v>0</v>
      </c>
      <c r="G54" s="144" t="e">
        <f t="shared" si="153"/>
        <v>#DIV/0!</v>
      </c>
      <c r="H54" s="144" t="e">
        <f t="shared" si="153"/>
        <v>#DIV/0!</v>
      </c>
      <c r="I54" s="144" t="e">
        <f t="shared" si="153"/>
        <v>#DIV/0!</v>
      </c>
      <c r="J54" s="144" t="e">
        <f t="shared" si="153"/>
        <v>#DIV/0!</v>
      </c>
      <c r="K54" s="144" t="e">
        <f t="shared" si="153"/>
        <v>#DIV/0!</v>
      </c>
      <c r="L54" s="144" t="e">
        <f t="shared" si="153"/>
        <v>#DIV/0!</v>
      </c>
      <c r="M54" s="144">
        <f t="shared" si="153"/>
        <v>0</v>
      </c>
      <c r="N54" s="144">
        <f t="shared" si="153"/>
        <v>0</v>
      </c>
      <c r="O54" s="144">
        <f t="shared" si="153"/>
        <v>0</v>
      </c>
      <c r="P54" s="144">
        <f t="shared" si="153"/>
        <v>0</v>
      </c>
      <c r="Q54" s="118" t="e">
        <f>((P54/G54)^(1/($H$2-$H$1) ))-1</f>
        <v>#DIV/0!</v>
      </c>
      <c r="R54" s="128"/>
      <c r="S54" s="157">
        <f t="shared" ref="S54:AB54" si="154">(S7-S10-S9)/S40</f>
        <v>0</v>
      </c>
      <c r="T54" s="157">
        <f t="shared" si="154"/>
        <v>0</v>
      </c>
      <c r="U54" s="157">
        <f t="shared" si="154"/>
        <v>0</v>
      </c>
      <c r="V54" s="157">
        <f t="shared" si="154"/>
        <v>0</v>
      </c>
      <c r="W54" s="157">
        <f t="shared" si="154"/>
        <v>0</v>
      </c>
      <c r="X54" s="157">
        <f t="shared" si="154"/>
        <v>0</v>
      </c>
      <c r="Y54" s="157">
        <f t="shared" si="154"/>
        <v>0</v>
      </c>
      <c r="Z54" s="157">
        <f t="shared" si="154"/>
        <v>0</v>
      </c>
      <c r="AA54" s="157">
        <f t="shared" si="154"/>
        <v>0</v>
      </c>
      <c r="AB54" s="157">
        <f t="shared" si="154"/>
        <v>0</v>
      </c>
      <c r="AC54" s="138" t="e">
        <f t="shared" si="139"/>
        <v>#DIV/0!</v>
      </c>
      <c r="AD54" s="31">
        <f t="shared" si="17"/>
        <v>0.08</v>
      </c>
      <c r="AE54" s="146">
        <f t="shared" si="140"/>
        <v>0</v>
      </c>
    </row>
    <row r="55" spans="2:31">
      <c r="B55" s="20" t="s">
        <v>277</v>
      </c>
      <c r="C55" s="127">
        <f t="shared" ref="C55:P55" si="155">(C7+C15-C10-C9)/C40</f>
        <v>0</v>
      </c>
      <c r="D55" s="127">
        <f t="shared" si="155"/>
        <v>0</v>
      </c>
      <c r="E55" s="127">
        <f t="shared" si="155"/>
        <v>0</v>
      </c>
      <c r="F55" s="144">
        <f t="shared" si="155"/>
        <v>0</v>
      </c>
      <c r="G55" s="144" t="e">
        <f t="shared" si="155"/>
        <v>#DIV/0!</v>
      </c>
      <c r="H55" s="144" t="e">
        <f t="shared" si="155"/>
        <v>#DIV/0!</v>
      </c>
      <c r="I55" s="144" t="e">
        <f t="shared" si="155"/>
        <v>#DIV/0!</v>
      </c>
      <c r="J55" s="144" t="e">
        <f t="shared" si="155"/>
        <v>#DIV/0!</v>
      </c>
      <c r="K55" s="144" t="e">
        <f t="shared" si="155"/>
        <v>#DIV/0!</v>
      </c>
      <c r="L55" s="144" t="e">
        <f t="shared" si="155"/>
        <v>#DIV/0!</v>
      </c>
      <c r="M55" s="144">
        <f t="shared" si="155"/>
        <v>0</v>
      </c>
      <c r="N55" s="144">
        <f t="shared" si="155"/>
        <v>0</v>
      </c>
      <c r="O55" s="144">
        <f t="shared" si="155"/>
        <v>0</v>
      </c>
      <c r="P55" s="144">
        <f t="shared" si="155"/>
        <v>0</v>
      </c>
      <c r="Q55" s="118" t="e">
        <f>((P55/G55)^(1/($H$2-$H$1) ))-1</f>
        <v>#DIV/0!</v>
      </c>
      <c r="R55" s="128"/>
      <c r="S55" s="157">
        <f t="shared" ref="S55:AB55" si="156">(S7+S15-S10-S9)/S40</f>
        <v>0</v>
      </c>
      <c r="T55" s="157">
        <f t="shared" si="156"/>
        <v>0</v>
      </c>
      <c r="U55" s="157">
        <f t="shared" si="156"/>
        <v>0</v>
      </c>
      <c r="V55" s="157">
        <f t="shared" si="156"/>
        <v>0</v>
      </c>
      <c r="W55" s="157">
        <f t="shared" si="156"/>
        <v>0</v>
      </c>
      <c r="X55" s="157">
        <f t="shared" si="156"/>
        <v>0</v>
      </c>
      <c r="Y55" s="157">
        <f t="shared" si="156"/>
        <v>0</v>
      </c>
      <c r="Z55" s="157">
        <f t="shared" si="156"/>
        <v>0</v>
      </c>
      <c r="AA55" s="157">
        <f t="shared" si="156"/>
        <v>0</v>
      </c>
      <c r="AB55" s="157">
        <f t="shared" si="156"/>
        <v>0</v>
      </c>
      <c r="AC55" s="138" t="e">
        <f t="shared" si="139"/>
        <v>#DIV/0!</v>
      </c>
      <c r="AD55" s="31">
        <f t="shared" si="17"/>
        <v>0.08</v>
      </c>
      <c r="AE55" s="146">
        <f t="shared" si="140"/>
        <v>0</v>
      </c>
    </row>
    <row r="56" spans="2:31">
      <c r="B56" s="20"/>
      <c r="C56" s="127"/>
      <c r="D56" s="127"/>
      <c r="E56" s="127"/>
      <c r="F56" s="144"/>
      <c r="G56" s="144"/>
      <c r="H56" s="144"/>
      <c r="I56" s="144"/>
      <c r="J56" s="144"/>
      <c r="K56" s="144"/>
      <c r="L56" s="144"/>
      <c r="M56" s="144"/>
      <c r="N56" s="144"/>
      <c r="O56" s="144"/>
      <c r="P56" s="144"/>
      <c r="Q56" s="128"/>
      <c r="R56" s="128"/>
      <c r="S56" s="154"/>
      <c r="T56" s="154"/>
      <c r="U56" s="154"/>
      <c r="V56" s="154"/>
      <c r="W56" s="154"/>
      <c r="X56" s="154"/>
      <c r="Y56" s="154"/>
      <c r="Z56" s="154"/>
      <c r="AA56" s="154"/>
      <c r="AB56" s="154"/>
      <c r="AC56" s="139"/>
      <c r="AD56" s="137"/>
      <c r="AE56" s="154"/>
    </row>
    <row r="57" spans="2:31">
      <c r="B57" s="20" t="s">
        <v>248</v>
      </c>
      <c r="C57" s="127">
        <f t="shared" ref="C57:P57" si="157">C12/C40</f>
        <v>0</v>
      </c>
      <c r="D57" s="127">
        <f t="shared" si="157"/>
        <v>0</v>
      </c>
      <c r="E57" s="127">
        <f t="shared" si="157"/>
        <v>0</v>
      </c>
      <c r="F57" s="144">
        <f t="shared" si="157"/>
        <v>0</v>
      </c>
      <c r="G57" s="144" t="e">
        <f t="shared" si="157"/>
        <v>#DIV/0!</v>
      </c>
      <c r="H57" s="144" t="e">
        <f t="shared" si="157"/>
        <v>#DIV/0!</v>
      </c>
      <c r="I57" s="144" t="e">
        <f t="shared" si="157"/>
        <v>#DIV/0!</v>
      </c>
      <c r="J57" s="144" t="e">
        <f t="shared" si="157"/>
        <v>#DIV/0!</v>
      </c>
      <c r="K57" s="144" t="e">
        <f t="shared" si="157"/>
        <v>#DIV/0!</v>
      </c>
      <c r="L57" s="144" t="e">
        <f t="shared" si="157"/>
        <v>#DIV/0!</v>
      </c>
      <c r="M57" s="144">
        <f t="shared" si="157"/>
        <v>0</v>
      </c>
      <c r="N57" s="144">
        <f t="shared" si="157"/>
        <v>0</v>
      </c>
      <c r="O57" s="144">
        <f t="shared" si="157"/>
        <v>0</v>
      </c>
      <c r="P57" s="144">
        <f t="shared" si="157"/>
        <v>0</v>
      </c>
      <c r="Q57" s="118" t="e">
        <f>((P57/G57)^(1/($H$2-$H$1) ))-1</f>
        <v>#DIV/0!</v>
      </c>
      <c r="R57" s="128"/>
      <c r="S57" s="157">
        <f t="shared" ref="S57:AB57" si="158">S12/S40</f>
        <v>0</v>
      </c>
      <c r="T57" s="157">
        <f t="shared" si="158"/>
        <v>0</v>
      </c>
      <c r="U57" s="157">
        <f t="shared" si="158"/>
        <v>0</v>
      </c>
      <c r="V57" s="157">
        <f t="shared" si="158"/>
        <v>0</v>
      </c>
      <c r="W57" s="157">
        <f t="shared" si="158"/>
        <v>0</v>
      </c>
      <c r="X57" s="157">
        <f t="shared" si="158"/>
        <v>0</v>
      </c>
      <c r="Y57" s="157">
        <f t="shared" si="158"/>
        <v>0</v>
      </c>
      <c r="Z57" s="157">
        <f t="shared" si="158"/>
        <v>0</v>
      </c>
      <c r="AA57" s="157">
        <f t="shared" si="158"/>
        <v>0</v>
      </c>
      <c r="AB57" s="157">
        <f t="shared" si="158"/>
        <v>0</v>
      </c>
      <c r="AC57" s="138" t="e">
        <f t="shared" si="139"/>
        <v>#DIV/0!</v>
      </c>
      <c r="AD57" s="31">
        <f t="shared" si="17"/>
        <v>0.08</v>
      </c>
      <c r="AE57" s="146">
        <f t="shared" si="140"/>
        <v>0</v>
      </c>
    </row>
    <row r="58" spans="2:31">
      <c r="B58" s="20" t="s">
        <v>255</v>
      </c>
      <c r="C58" s="127">
        <f t="shared" ref="C58:P58" si="159">C13/C40</f>
        <v>0</v>
      </c>
      <c r="D58" s="127">
        <f t="shared" si="159"/>
        <v>0</v>
      </c>
      <c r="E58" s="127">
        <f t="shared" si="159"/>
        <v>0</v>
      </c>
      <c r="F58" s="144">
        <f t="shared" si="159"/>
        <v>0</v>
      </c>
      <c r="G58" s="144" t="e">
        <f t="shared" si="159"/>
        <v>#DIV/0!</v>
      </c>
      <c r="H58" s="144" t="e">
        <f t="shared" si="159"/>
        <v>#DIV/0!</v>
      </c>
      <c r="I58" s="144" t="e">
        <f t="shared" si="159"/>
        <v>#DIV/0!</v>
      </c>
      <c r="J58" s="144" t="e">
        <f t="shared" si="159"/>
        <v>#DIV/0!</v>
      </c>
      <c r="K58" s="144" t="e">
        <f t="shared" si="159"/>
        <v>#DIV/0!</v>
      </c>
      <c r="L58" s="144" t="e">
        <f t="shared" si="159"/>
        <v>#DIV/0!</v>
      </c>
      <c r="M58" s="144">
        <f t="shared" si="159"/>
        <v>0</v>
      </c>
      <c r="N58" s="144">
        <f t="shared" si="159"/>
        <v>0</v>
      </c>
      <c r="O58" s="144">
        <f t="shared" si="159"/>
        <v>0</v>
      </c>
      <c r="P58" s="144">
        <f t="shared" si="159"/>
        <v>0</v>
      </c>
      <c r="Q58" s="118" t="e">
        <f>((P58/G58)^(1/($H$2-$H$1) ))-1</f>
        <v>#DIV/0!</v>
      </c>
      <c r="R58" s="128"/>
      <c r="S58" s="157">
        <f t="shared" ref="S58:AB58" si="160">S13/S40</f>
        <v>0</v>
      </c>
      <c r="T58" s="157">
        <f t="shared" si="160"/>
        <v>0</v>
      </c>
      <c r="U58" s="157">
        <f t="shared" si="160"/>
        <v>0</v>
      </c>
      <c r="V58" s="157">
        <f t="shared" si="160"/>
        <v>0</v>
      </c>
      <c r="W58" s="157">
        <f t="shared" si="160"/>
        <v>0</v>
      </c>
      <c r="X58" s="157">
        <f t="shared" si="160"/>
        <v>0</v>
      </c>
      <c r="Y58" s="157">
        <f t="shared" si="160"/>
        <v>0</v>
      </c>
      <c r="Z58" s="157">
        <f t="shared" si="160"/>
        <v>0</v>
      </c>
      <c r="AA58" s="157">
        <f t="shared" si="160"/>
        <v>0</v>
      </c>
      <c r="AB58" s="157">
        <f t="shared" si="160"/>
        <v>0</v>
      </c>
      <c r="AC58" s="138" t="e">
        <f t="shared" si="139"/>
        <v>#DIV/0!</v>
      </c>
      <c r="AD58" s="31">
        <f t="shared" si="17"/>
        <v>0.08</v>
      </c>
      <c r="AE58" s="146">
        <f t="shared" si="140"/>
        <v>0</v>
      </c>
    </row>
    <row r="59" spans="2:31">
      <c r="B59" s="20" t="s">
        <v>256</v>
      </c>
      <c r="C59" s="127">
        <f>(C57+C58)</f>
        <v>0</v>
      </c>
      <c r="D59" s="127">
        <f t="shared" ref="D59:P59" si="161">(D57+D58)</f>
        <v>0</v>
      </c>
      <c r="E59" s="127">
        <f t="shared" si="161"/>
        <v>0</v>
      </c>
      <c r="F59" s="144">
        <f t="shared" si="161"/>
        <v>0</v>
      </c>
      <c r="G59" s="144" t="e">
        <f t="shared" si="161"/>
        <v>#DIV/0!</v>
      </c>
      <c r="H59" s="144" t="e">
        <f t="shared" si="161"/>
        <v>#DIV/0!</v>
      </c>
      <c r="I59" s="144" t="e">
        <f t="shared" si="161"/>
        <v>#DIV/0!</v>
      </c>
      <c r="J59" s="144" t="e">
        <f t="shared" si="161"/>
        <v>#DIV/0!</v>
      </c>
      <c r="K59" s="144" t="e">
        <f t="shared" si="161"/>
        <v>#DIV/0!</v>
      </c>
      <c r="L59" s="144" t="e">
        <f t="shared" si="161"/>
        <v>#DIV/0!</v>
      </c>
      <c r="M59" s="144">
        <f t="shared" si="161"/>
        <v>0</v>
      </c>
      <c r="N59" s="144">
        <f t="shared" si="161"/>
        <v>0</v>
      </c>
      <c r="O59" s="144">
        <f t="shared" ref="O59" si="162">(O57+O58)</f>
        <v>0</v>
      </c>
      <c r="P59" s="144">
        <f t="shared" si="161"/>
        <v>0</v>
      </c>
      <c r="Q59" s="118" t="e">
        <f>((P59/G59)^(1/($H$2-$H$1) ))-1</f>
        <v>#DIV/0!</v>
      </c>
      <c r="R59" s="128"/>
      <c r="S59" s="157">
        <f t="shared" ref="S59:AB59" si="163">(S57+S58)</f>
        <v>0</v>
      </c>
      <c r="T59" s="157">
        <f t="shared" si="163"/>
        <v>0</v>
      </c>
      <c r="U59" s="157">
        <f t="shared" si="163"/>
        <v>0</v>
      </c>
      <c r="V59" s="157">
        <f t="shared" si="163"/>
        <v>0</v>
      </c>
      <c r="W59" s="157">
        <f t="shared" si="163"/>
        <v>0</v>
      </c>
      <c r="X59" s="157">
        <f t="shared" si="163"/>
        <v>0</v>
      </c>
      <c r="Y59" s="157">
        <f t="shared" si="163"/>
        <v>0</v>
      </c>
      <c r="Z59" s="157">
        <f t="shared" si="163"/>
        <v>0</v>
      </c>
      <c r="AA59" s="157">
        <f t="shared" si="163"/>
        <v>0</v>
      </c>
      <c r="AB59" s="157">
        <f t="shared" si="163"/>
        <v>0</v>
      </c>
      <c r="AC59" s="138" t="e">
        <f t="shared" si="139"/>
        <v>#DIV/0!</v>
      </c>
      <c r="AD59" s="31">
        <f t="shared" si="17"/>
        <v>0.08</v>
      </c>
      <c r="AE59" s="146">
        <f t="shared" si="140"/>
        <v>0</v>
      </c>
    </row>
    <row r="60" spans="2:31">
      <c r="B60" s="20" t="s">
        <v>249</v>
      </c>
      <c r="C60" s="127">
        <f t="shared" ref="C60:P60" si="164">C15/C40</f>
        <v>0</v>
      </c>
      <c r="D60" s="127">
        <f t="shared" si="164"/>
        <v>0</v>
      </c>
      <c r="E60" s="127">
        <f t="shared" si="164"/>
        <v>0</v>
      </c>
      <c r="F60" s="144">
        <f t="shared" si="164"/>
        <v>0</v>
      </c>
      <c r="G60" s="144" t="e">
        <f t="shared" si="164"/>
        <v>#DIV/0!</v>
      </c>
      <c r="H60" s="144" t="e">
        <f t="shared" si="164"/>
        <v>#DIV/0!</v>
      </c>
      <c r="I60" s="144" t="e">
        <f t="shared" si="164"/>
        <v>#DIV/0!</v>
      </c>
      <c r="J60" s="144" t="e">
        <f t="shared" si="164"/>
        <v>#DIV/0!</v>
      </c>
      <c r="K60" s="144" t="e">
        <f t="shared" si="164"/>
        <v>#DIV/0!</v>
      </c>
      <c r="L60" s="144" t="e">
        <f t="shared" si="164"/>
        <v>#DIV/0!</v>
      </c>
      <c r="M60" s="144">
        <f t="shared" si="164"/>
        <v>0</v>
      </c>
      <c r="N60" s="144">
        <f t="shared" si="164"/>
        <v>0</v>
      </c>
      <c r="O60" s="144">
        <f t="shared" si="164"/>
        <v>0</v>
      </c>
      <c r="P60" s="144">
        <f t="shared" si="164"/>
        <v>0</v>
      </c>
      <c r="Q60" s="118" t="e">
        <f>((P60/G60)^(1/($H$2-$H$1) ))-1</f>
        <v>#DIV/0!</v>
      </c>
      <c r="R60" s="128"/>
      <c r="S60" s="157">
        <f t="shared" ref="S60:AB60" si="165">S15/S40</f>
        <v>0</v>
      </c>
      <c r="T60" s="157">
        <f t="shared" si="165"/>
        <v>0</v>
      </c>
      <c r="U60" s="157">
        <f t="shared" si="165"/>
        <v>0</v>
      </c>
      <c r="V60" s="157">
        <f t="shared" si="165"/>
        <v>0</v>
      </c>
      <c r="W60" s="157">
        <f t="shared" si="165"/>
        <v>0</v>
      </c>
      <c r="X60" s="157">
        <f t="shared" si="165"/>
        <v>0</v>
      </c>
      <c r="Y60" s="157">
        <f t="shared" si="165"/>
        <v>0</v>
      </c>
      <c r="Z60" s="157">
        <f t="shared" si="165"/>
        <v>0</v>
      </c>
      <c r="AA60" s="157">
        <f t="shared" si="165"/>
        <v>0</v>
      </c>
      <c r="AB60" s="157">
        <f t="shared" si="165"/>
        <v>0</v>
      </c>
      <c r="AC60" s="138" t="e">
        <f t="shared" si="139"/>
        <v>#DIV/0!</v>
      </c>
      <c r="AD60" s="31">
        <f t="shared" si="17"/>
        <v>0.08</v>
      </c>
      <c r="AE60" s="146">
        <f t="shared" si="140"/>
        <v>0</v>
      </c>
    </row>
    <row r="61" spans="2:31">
      <c r="B61" s="20" t="s">
        <v>250</v>
      </c>
      <c r="C61" s="127">
        <f t="shared" ref="C61:P61" si="166">C16/C40</f>
        <v>0</v>
      </c>
      <c r="D61" s="127">
        <f t="shared" si="166"/>
        <v>0</v>
      </c>
      <c r="E61" s="127">
        <f t="shared" si="166"/>
        <v>0</v>
      </c>
      <c r="F61" s="144">
        <f t="shared" si="166"/>
        <v>0</v>
      </c>
      <c r="G61" s="144" t="e">
        <f t="shared" si="166"/>
        <v>#DIV/0!</v>
      </c>
      <c r="H61" s="144" t="e">
        <f t="shared" si="166"/>
        <v>#DIV/0!</v>
      </c>
      <c r="I61" s="144" t="e">
        <f t="shared" si="166"/>
        <v>#DIV/0!</v>
      </c>
      <c r="J61" s="144" t="e">
        <f t="shared" si="166"/>
        <v>#DIV/0!</v>
      </c>
      <c r="K61" s="144" t="e">
        <f t="shared" si="166"/>
        <v>#DIV/0!</v>
      </c>
      <c r="L61" s="144" t="e">
        <f t="shared" si="166"/>
        <v>#DIV/0!</v>
      </c>
      <c r="M61" s="144">
        <f t="shared" si="166"/>
        <v>0</v>
      </c>
      <c r="N61" s="144">
        <f t="shared" si="166"/>
        <v>0</v>
      </c>
      <c r="O61" s="144">
        <f t="shared" si="166"/>
        <v>0</v>
      </c>
      <c r="P61" s="144">
        <f t="shared" si="166"/>
        <v>0</v>
      </c>
      <c r="Q61" s="118" t="e">
        <f>((P61/G61)^(1/($H$2-$H$1) ))-1</f>
        <v>#DIV/0!</v>
      </c>
      <c r="R61" s="128"/>
      <c r="S61" s="157">
        <f t="shared" ref="S61:AB61" si="167">S16/S40</f>
        <v>0</v>
      </c>
      <c r="T61" s="157">
        <f t="shared" si="167"/>
        <v>0</v>
      </c>
      <c r="U61" s="157">
        <f t="shared" si="167"/>
        <v>0</v>
      </c>
      <c r="V61" s="157">
        <f t="shared" si="167"/>
        <v>0</v>
      </c>
      <c r="W61" s="157">
        <f t="shared" si="167"/>
        <v>0</v>
      </c>
      <c r="X61" s="157">
        <f t="shared" si="167"/>
        <v>0</v>
      </c>
      <c r="Y61" s="157">
        <f t="shared" si="167"/>
        <v>0</v>
      </c>
      <c r="Z61" s="157">
        <f t="shared" si="167"/>
        <v>0</v>
      </c>
      <c r="AA61" s="157">
        <f t="shared" si="167"/>
        <v>0</v>
      </c>
      <c r="AB61" s="157">
        <f t="shared" si="167"/>
        <v>0</v>
      </c>
      <c r="AC61" s="138" t="e">
        <f t="shared" si="139"/>
        <v>#DIV/0!</v>
      </c>
      <c r="AD61" s="137"/>
      <c r="AE61" s="146">
        <f t="shared" si="140"/>
        <v>0</v>
      </c>
    </row>
    <row r="62" spans="2:31">
      <c r="B62" s="20"/>
      <c r="C62" s="127"/>
      <c r="D62" s="127"/>
      <c r="E62" s="127"/>
      <c r="F62" s="144"/>
      <c r="G62" s="144"/>
      <c r="H62" s="144"/>
      <c r="I62" s="144"/>
      <c r="J62" s="144"/>
      <c r="K62" s="144"/>
      <c r="L62" s="144"/>
      <c r="M62" s="144"/>
      <c r="N62" s="144"/>
      <c r="O62" s="144"/>
      <c r="P62" s="144"/>
      <c r="Q62" s="128"/>
      <c r="R62" s="128"/>
      <c r="S62" s="154"/>
      <c r="T62" s="154"/>
      <c r="U62" s="154"/>
      <c r="V62" s="154"/>
      <c r="W62" s="154"/>
      <c r="X62" s="154"/>
      <c r="Y62" s="154"/>
      <c r="Z62" s="154"/>
      <c r="AA62" s="154"/>
      <c r="AB62" s="154"/>
      <c r="AC62" s="139"/>
      <c r="AD62" s="31">
        <f t="shared" si="17"/>
        <v>0.08</v>
      </c>
      <c r="AE62" s="146">
        <f t="shared" si="140"/>
        <v>0</v>
      </c>
    </row>
    <row r="63" spans="2:31">
      <c r="B63" s="20" t="s">
        <v>283</v>
      </c>
      <c r="C63" s="159">
        <f>C41</f>
        <v>0</v>
      </c>
      <c r="D63" s="159">
        <f t="shared" ref="D63:P63" si="168">D41</f>
        <v>0</v>
      </c>
      <c r="E63" s="159">
        <f t="shared" si="168"/>
        <v>0</v>
      </c>
      <c r="F63" s="159">
        <f t="shared" si="168"/>
        <v>0</v>
      </c>
      <c r="G63" s="159">
        <f t="shared" si="168"/>
        <v>0</v>
      </c>
      <c r="H63" s="159">
        <f t="shared" si="168"/>
        <v>0</v>
      </c>
      <c r="I63" s="159">
        <f t="shared" si="168"/>
        <v>0</v>
      </c>
      <c r="J63" s="159">
        <f t="shared" si="168"/>
        <v>0</v>
      </c>
      <c r="K63" s="159">
        <f t="shared" si="168"/>
        <v>0</v>
      </c>
      <c r="L63" s="159">
        <f t="shared" si="168"/>
        <v>0</v>
      </c>
      <c r="M63" s="159">
        <f t="shared" si="168"/>
        <v>2</v>
      </c>
      <c r="N63" s="159">
        <f t="shared" si="168"/>
        <v>2</v>
      </c>
      <c r="O63" s="159">
        <f t="shared" si="168"/>
        <v>2.2999999999999998</v>
      </c>
      <c r="P63" s="159">
        <f t="shared" si="168"/>
        <v>2.8</v>
      </c>
      <c r="Q63" s="118" t="e">
        <f>((P63/G63)^(1/($H$2-$H$1) ))-1</f>
        <v>#DIV/0!</v>
      </c>
      <c r="R63" s="128"/>
      <c r="S63" s="159">
        <f t="shared" ref="S63:AB63" si="169">S41</f>
        <v>2.94</v>
      </c>
      <c r="T63" s="159">
        <f t="shared" si="169"/>
        <v>3.0870000000000002</v>
      </c>
      <c r="U63" s="159">
        <f t="shared" si="169"/>
        <v>3.2413500000000002</v>
      </c>
      <c r="V63" s="159">
        <f t="shared" si="169"/>
        <v>3.4034175000000002</v>
      </c>
      <c r="W63" s="159">
        <f t="shared" si="169"/>
        <v>3.5735883750000004</v>
      </c>
      <c r="X63" s="159">
        <f t="shared" si="169"/>
        <v>3.7522677937500006</v>
      </c>
      <c r="Y63" s="159">
        <f t="shared" si="169"/>
        <v>3.9398811834375009</v>
      </c>
      <c r="Z63" s="159">
        <f t="shared" si="169"/>
        <v>4.136875242609376</v>
      </c>
      <c r="AA63" s="159">
        <f t="shared" si="169"/>
        <v>4.3437190047398451</v>
      </c>
      <c r="AB63" s="159">
        <f t="shared" si="169"/>
        <v>4.5609049549768379</v>
      </c>
      <c r="AC63" s="138" t="e">
        <f t="shared" ref="AC63" si="170">((AB63/G63)^(1/($AB$3-$H$1) ))-1</f>
        <v>#DIV/0!</v>
      </c>
      <c r="AD63" s="31">
        <f t="shared" si="17"/>
        <v>0.08</v>
      </c>
      <c r="AE63" s="146">
        <f t="shared" si="140"/>
        <v>35.184123938392744</v>
      </c>
    </row>
    <row r="64" spans="2:31">
      <c r="B64" s="20"/>
      <c r="C64" s="127"/>
      <c r="D64" s="127"/>
      <c r="E64" s="127"/>
      <c r="F64" s="144"/>
      <c r="G64" s="144"/>
      <c r="H64" s="144"/>
      <c r="I64" s="144"/>
      <c r="J64" s="144"/>
      <c r="K64" s="144"/>
      <c r="L64" s="144"/>
      <c r="M64" s="144"/>
      <c r="N64" s="144"/>
      <c r="O64" s="144"/>
      <c r="P64" s="144"/>
      <c r="Q64" s="128"/>
      <c r="R64" s="128"/>
      <c r="S64" s="154"/>
      <c r="T64" s="154"/>
      <c r="U64" s="154"/>
      <c r="V64" s="154"/>
      <c r="W64" s="154"/>
      <c r="X64" s="154"/>
      <c r="Y64" s="154"/>
      <c r="Z64" s="154"/>
      <c r="AA64" s="154"/>
      <c r="AB64" s="154"/>
      <c r="AC64" s="139"/>
      <c r="AD64" s="137"/>
      <c r="AE64" s="154"/>
    </row>
    <row r="65" spans="2:31">
      <c r="B65" s="20" t="s">
        <v>318</v>
      </c>
      <c r="C65" s="127">
        <f t="shared" ref="C65:P65" si="171">C20+C21</f>
        <v>0</v>
      </c>
      <c r="D65" s="127">
        <f t="shared" si="171"/>
        <v>0</v>
      </c>
      <c r="E65" s="127">
        <f t="shared" si="171"/>
        <v>0</v>
      </c>
      <c r="F65" s="144">
        <f t="shared" si="171"/>
        <v>0</v>
      </c>
      <c r="G65" s="144">
        <f t="shared" si="171"/>
        <v>0</v>
      </c>
      <c r="H65" s="144">
        <f t="shared" si="171"/>
        <v>0</v>
      </c>
      <c r="I65" s="144">
        <f t="shared" si="171"/>
        <v>0</v>
      </c>
      <c r="J65" s="144">
        <f t="shared" si="171"/>
        <v>0</v>
      </c>
      <c r="K65" s="144">
        <f t="shared" si="171"/>
        <v>0</v>
      </c>
      <c r="L65" s="144">
        <f t="shared" si="171"/>
        <v>0</v>
      </c>
      <c r="M65" s="144">
        <f t="shared" si="171"/>
        <v>0</v>
      </c>
      <c r="N65" s="144">
        <f t="shared" si="171"/>
        <v>0</v>
      </c>
      <c r="O65" s="144">
        <f t="shared" si="171"/>
        <v>0</v>
      </c>
      <c r="P65" s="144">
        <f t="shared" si="171"/>
        <v>0</v>
      </c>
      <c r="Q65" s="118" t="e">
        <f>((P65/G65)^(1/($H$2-$H$1) ))-1</f>
        <v>#DIV/0!</v>
      </c>
      <c r="R65" s="128"/>
      <c r="S65" s="144">
        <f t="shared" ref="S65:AB65" si="172">S20+S21</f>
        <v>0</v>
      </c>
      <c r="T65" s="144">
        <f t="shared" si="172"/>
        <v>0</v>
      </c>
      <c r="U65" s="144">
        <f t="shared" si="172"/>
        <v>0</v>
      </c>
      <c r="V65" s="144">
        <f t="shared" si="172"/>
        <v>0</v>
      </c>
      <c r="W65" s="144">
        <f t="shared" si="172"/>
        <v>0</v>
      </c>
      <c r="X65" s="144">
        <f t="shared" si="172"/>
        <v>0</v>
      </c>
      <c r="Y65" s="144">
        <f t="shared" si="172"/>
        <v>0</v>
      </c>
      <c r="Z65" s="144">
        <f t="shared" si="172"/>
        <v>0</v>
      </c>
      <c r="AA65" s="144">
        <f t="shared" si="172"/>
        <v>0</v>
      </c>
      <c r="AB65" s="144">
        <f t="shared" si="172"/>
        <v>0</v>
      </c>
      <c r="AC65" s="138" t="e">
        <f t="shared" ref="AC65:AC70" si="173">((AB65/G65)^(1/($AB$3-$H$1) ))-1</f>
        <v>#DIV/0!</v>
      </c>
      <c r="AD65" s="31">
        <f t="shared" si="17"/>
        <v>0.08</v>
      </c>
      <c r="AE65" s="146">
        <f t="shared" si="140"/>
        <v>0</v>
      </c>
    </row>
    <row r="66" spans="2:31">
      <c r="B66" s="20"/>
      <c r="C66" s="127"/>
      <c r="D66" s="127"/>
      <c r="E66" s="127"/>
      <c r="F66" s="144"/>
      <c r="G66" s="144"/>
      <c r="H66" s="144"/>
      <c r="I66" s="144"/>
      <c r="J66" s="144"/>
      <c r="K66" s="144"/>
      <c r="L66" s="144"/>
      <c r="M66" s="144"/>
      <c r="N66" s="144"/>
      <c r="O66" s="144"/>
      <c r="P66" s="144"/>
      <c r="Q66" s="128"/>
      <c r="R66" s="128"/>
      <c r="S66" s="146"/>
      <c r="T66" s="146"/>
      <c r="U66" s="146"/>
      <c r="V66" s="146"/>
      <c r="W66" s="146"/>
      <c r="X66" s="146"/>
      <c r="Y66" s="146"/>
      <c r="Z66" s="146"/>
      <c r="AA66" s="146"/>
      <c r="AB66" s="146"/>
      <c r="AC66" s="139"/>
      <c r="AD66" s="137"/>
      <c r="AE66" s="146"/>
    </row>
    <row r="67" spans="2:31">
      <c r="B67" s="20" t="s">
        <v>319</v>
      </c>
      <c r="C67" s="127">
        <f t="shared" ref="C67:P67" si="174">C65/C40</f>
        <v>0</v>
      </c>
      <c r="D67" s="127">
        <f t="shared" si="174"/>
        <v>0</v>
      </c>
      <c r="E67" s="127">
        <f t="shared" si="174"/>
        <v>0</v>
      </c>
      <c r="F67" s="144">
        <f t="shared" si="174"/>
        <v>0</v>
      </c>
      <c r="G67" s="144" t="e">
        <f t="shared" si="174"/>
        <v>#DIV/0!</v>
      </c>
      <c r="H67" s="144" t="e">
        <f t="shared" si="174"/>
        <v>#DIV/0!</v>
      </c>
      <c r="I67" s="144" t="e">
        <f t="shared" si="174"/>
        <v>#DIV/0!</v>
      </c>
      <c r="J67" s="144" t="e">
        <f t="shared" si="174"/>
        <v>#DIV/0!</v>
      </c>
      <c r="K67" s="144" t="e">
        <f t="shared" si="174"/>
        <v>#DIV/0!</v>
      </c>
      <c r="L67" s="144" t="e">
        <f t="shared" si="174"/>
        <v>#DIV/0!</v>
      </c>
      <c r="M67" s="144">
        <f t="shared" si="174"/>
        <v>0</v>
      </c>
      <c r="N67" s="144">
        <f t="shared" si="174"/>
        <v>0</v>
      </c>
      <c r="O67" s="144">
        <f t="shared" si="174"/>
        <v>0</v>
      </c>
      <c r="P67" s="144">
        <f t="shared" si="174"/>
        <v>0</v>
      </c>
      <c r="Q67" s="118" t="e">
        <f>((P67/G67)^(1/($H$2-$H$1) ))-1</f>
        <v>#DIV/0!</v>
      </c>
      <c r="R67" s="128"/>
      <c r="S67" s="146">
        <f t="shared" ref="S67:AB67" si="175">S65/S40</f>
        <v>0</v>
      </c>
      <c r="T67" s="146">
        <f t="shared" si="175"/>
        <v>0</v>
      </c>
      <c r="U67" s="146">
        <f t="shared" si="175"/>
        <v>0</v>
      </c>
      <c r="V67" s="146">
        <f t="shared" si="175"/>
        <v>0</v>
      </c>
      <c r="W67" s="146">
        <f t="shared" si="175"/>
        <v>0</v>
      </c>
      <c r="X67" s="146">
        <f t="shared" si="175"/>
        <v>0</v>
      </c>
      <c r="Y67" s="146">
        <f t="shared" si="175"/>
        <v>0</v>
      </c>
      <c r="Z67" s="146">
        <f t="shared" si="175"/>
        <v>0</v>
      </c>
      <c r="AA67" s="146">
        <f t="shared" si="175"/>
        <v>0</v>
      </c>
      <c r="AB67" s="146">
        <f t="shared" si="175"/>
        <v>0</v>
      </c>
      <c r="AC67" s="138" t="e">
        <f t="shared" si="173"/>
        <v>#DIV/0!</v>
      </c>
      <c r="AD67" s="31">
        <f t="shared" si="17"/>
        <v>0.08</v>
      </c>
      <c r="AE67" s="146">
        <f t="shared" si="140"/>
        <v>0</v>
      </c>
    </row>
    <row r="68" spans="2:31">
      <c r="B68" s="20" t="s">
        <v>288</v>
      </c>
      <c r="C68" s="127">
        <f t="shared" ref="C68:P68" si="176">C20/C40</f>
        <v>0</v>
      </c>
      <c r="D68" s="127">
        <f t="shared" si="176"/>
        <v>0</v>
      </c>
      <c r="E68" s="127">
        <f t="shared" si="176"/>
        <v>0</v>
      </c>
      <c r="F68" s="144">
        <f t="shared" si="176"/>
        <v>0</v>
      </c>
      <c r="G68" s="144" t="e">
        <f t="shared" si="176"/>
        <v>#DIV/0!</v>
      </c>
      <c r="H68" s="144" t="e">
        <f t="shared" si="176"/>
        <v>#DIV/0!</v>
      </c>
      <c r="I68" s="144" t="e">
        <f t="shared" si="176"/>
        <v>#DIV/0!</v>
      </c>
      <c r="J68" s="144" t="e">
        <f t="shared" si="176"/>
        <v>#DIV/0!</v>
      </c>
      <c r="K68" s="144" t="e">
        <f t="shared" si="176"/>
        <v>#DIV/0!</v>
      </c>
      <c r="L68" s="144" t="e">
        <f t="shared" si="176"/>
        <v>#DIV/0!</v>
      </c>
      <c r="M68" s="144">
        <f t="shared" si="176"/>
        <v>0</v>
      </c>
      <c r="N68" s="144">
        <f t="shared" si="176"/>
        <v>0</v>
      </c>
      <c r="O68" s="144">
        <f t="shared" si="176"/>
        <v>0</v>
      </c>
      <c r="P68" s="144">
        <f t="shared" si="176"/>
        <v>0</v>
      </c>
      <c r="Q68" s="118" t="e">
        <f>((P68/G68)^(1/($H$2-$H$1) ))-1</f>
        <v>#DIV/0!</v>
      </c>
      <c r="R68" s="128"/>
      <c r="S68" s="146">
        <f t="shared" ref="S68:AB68" si="177">S20/S40</f>
        <v>0</v>
      </c>
      <c r="T68" s="146">
        <f t="shared" si="177"/>
        <v>0</v>
      </c>
      <c r="U68" s="146">
        <f t="shared" si="177"/>
        <v>0</v>
      </c>
      <c r="V68" s="146">
        <f t="shared" si="177"/>
        <v>0</v>
      </c>
      <c r="W68" s="146">
        <f t="shared" si="177"/>
        <v>0</v>
      </c>
      <c r="X68" s="146">
        <f t="shared" si="177"/>
        <v>0</v>
      </c>
      <c r="Y68" s="146">
        <f t="shared" si="177"/>
        <v>0</v>
      </c>
      <c r="Z68" s="146">
        <f t="shared" si="177"/>
        <v>0</v>
      </c>
      <c r="AA68" s="146">
        <f t="shared" si="177"/>
        <v>0</v>
      </c>
      <c r="AB68" s="146">
        <f t="shared" si="177"/>
        <v>0</v>
      </c>
      <c r="AC68" s="138" t="e">
        <f t="shared" si="173"/>
        <v>#DIV/0!</v>
      </c>
      <c r="AD68" s="31">
        <f t="shared" si="17"/>
        <v>0.08</v>
      </c>
      <c r="AE68" s="146">
        <f t="shared" si="140"/>
        <v>0</v>
      </c>
    </row>
    <row r="69" spans="2:31">
      <c r="B69" s="20" t="s">
        <v>289</v>
      </c>
      <c r="C69" s="127">
        <f t="shared" ref="C69:P69" si="178">C21/C40</f>
        <v>0</v>
      </c>
      <c r="D69" s="127">
        <f t="shared" si="178"/>
        <v>0</v>
      </c>
      <c r="E69" s="127">
        <f t="shared" si="178"/>
        <v>0</v>
      </c>
      <c r="F69" s="144">
        <f t="shared" si="178"/>
        <v>0</v>
      </c>
      <c r="G69" s="144" t="e">
        <f t="shared" si="178"/>
        <v>#DIV/0!</v>
      </c>
      <c r="H69" s="144" t="e">
        <f t="shared" si="178"/>
        <v>#DIV/0!</v>
      </c>
      <c r="I69" s="144" t="e">
        <f t="shared" si="178"/>
        <v>#DIV/0!</v>
      </c>
      <c r="J69" s="144" t="e">
        <f t="shared" si="178"/>
        <v>#DIV/0!</v>
      </c>
      <c r="K69" s="144" t="e">
        <f t="shared" si="178"/>
        <v>#DIV/0!</v>
      </c>
      <c r="L69" s="144" t="e">
        <f t="shared" si="178"/>
        <v>#DIV/0!</v>
      </c>
      <c r="M69" s="144">
        <f t="shared" si="178"/>
        <v>0</v>
      </c>
      <c r="N69" s="144">
        <f t="shared" si="178"/>
        <v>0</v>
      </c>
      <c r="O69" s="144">
        <f t="shared" si="178"/>
        <v>0</v>
      </c>
      <c r="P69" s="144">
        <f t="shared" si="178"/>
        <v>0</v>
      </c>
      <c r="Q69" s="118" t="e">
        <f>((P69/G69)^(1/($H$2-$H$1) ))-1</f>
        <v>#DIV/0!</v>
      </c>
      <c r="R69" s="128"/>
      <c r="S69" s="146">
        <f t="shared" ref="S69:AB69" si="179">S21/S40</f>
        <v>0</v>
      </c>
      <c r="T69" s="146">
        <f t="shared" si="179"/>
        <v>0</v>
      </c>
      <c r="U69" s="146">
        <f t="shared" si="179"/>
        <v>0</v>
      </c>
      <c r="V69" s="146">
        <f t="shared" si="179"/>
        <v>0</v>
      </c>
      <c r="W69" s="146">
        <f t="shared" si="179"/>
        <v>0</v>
      </c>
      <c r="X69" s="146">
        <f t="shared" si="179"/>
        <v>0</v>
      </c>
      <c r="Y69" s="146">
        <f t="shared" si="179"/>
        <v>0</v>
      </c>
      <c r="Z69" s="146">
        <f t="shared" si="179"/>
        <v>0</v>
      </c>
      <c r="AA69" s="146">
        <f t="shared" si="179"/>
        <v>0</v>
      </c>
      <c r="AB69" s="146">
        <f t="shared" si="179"/>
        <v>0</v>
      </c>
      <c r="AC69" s="138" t="e">
        <f t="shared" si="173"/>
        <v>#DIV/0!</v>
      </c>
      <c r="AD69" s="31">
        <f t="shared" si="17"/>
        <v>0.08</v>
      </c>
      <c r="AE69" s="146">
        <f t="shared" si="140"/>
        <v>0</v>
      </c>
    </row>
    <row r="70" spans="2:31">
      <c r="B70" s="20" t="s">
        <v>290</v>
      </c>
      <c r="C70" s="127">
        <f t="shared" ref="C70:P70" si="180">C22/C40</f>
        <v>0</v>
      </c>
      <c r="D70" s="127">
        <f t="shared" si="180"/>
        <v>0</v>
      </c>
      <c r="E70" s="127">
        <f t="shared" si="180"/>
        <v>0</v>
      </c>
      <c r="F70" s="144">
        <f t="shared" si="180"/>
        <v>0</v>
      </c>
      <c r="G70" s="144" t="e">
        <f t="shared" si="180"/>
        <v>#DIV/0!</v>
      </c>
      <c r="H70" s="144" t="e">
        <f t="shared" si="180"/>
        <v>#DIV/0!</v>
      </c>
      <c r="I70" s="144" t="e">
        <f t="shared" si="180"/>
        <v>#DIV/0!</v>
      </c>
      <c r="J70" s="144" t="e">
        <f t="shared" si="180"/>
        <v>#DIV/0!</v>
      </c>
      <c r="K70" s="144" t="e">
        <f t="shared" si="180"/>
        <v>#DIV/0!</v>
      </c>
      <c r="L70" s="144" t="e">
        <f t="shared" si="180"/>
        <v>#DIV/0!</v>
      </c>
      <c r="M70" s="144">
        <f t="shared" si="180"/>
        <v>0</v>
      </c>
      <c r="N70" s="144">
        <f t="shared" si="180"/>
        <v>0</v>
      </c>
      <c r="O70" s="144">
        <f t="shared" si="180"/>
        <v>0</v>
      </c>
      <c r="P70" s="144">
        <f t="shared" si="180"/>
        <v>0</v>
      </c>
      <c r="Q70" s="118" t="e">
        <f>((P70/G70)^(1/($H$2-$H$1) ))-1</f>
        <v>#DIV/0!</v>
      </c>
      <c r="R70" s="128"/>
      <c r="S70" s="146">
        <f t="shared" ref="S70:AB70" si="181">S22/S40</f>
        <v>0</v>
      </c>
      <c r="T70" s="146">
        <f t="shared" si="181"/>
        <v>0</v>
      </c>
      <c r="U70" s="146">
        <f t="shared" si="181"/>
        <v>0</v>
      </c>
      <c r="V70" s="146">
        <f t="shared" si="181"/>
        <v>0</v>
      </c>
      <c r="W70" s="146">
        <f t="shared" si="181"/>
        <v>0</v>
      </c>
      <c r="X70" s="146">
        <f t="shared" si="181"/>
        <v>0</v>
      </c>
      <c r="Y70" s="146">
        <f t="shared" si="181"/>
        <v>0</v>
      </c>
      <c r="Z70" s="146">
        <f t="shared" si="181"/>
        <v>0</v>
      </c>
      <c r="AA70" s="146">
        <f t="shared" si="181"/>
        <v>0</v>
      </c>
      <c r="AB70" s="146">
        <f t="shared" si="181"/>
        <v>0</v>
      </c>
      <c r="AC70" s="138" t="e">
        <f t="shared" si="173"/>
        <v>#DIV/0!</v>
      </c>
      <c r="AD70" s="31">
        <f t="shared" si="17"/>
        <v>0.08</v>
      </c>
      <c r="AE70" s="146">
        <f t="shared" si="140"/>
        <v>0</v>
      </c>
    </row>
    <row r="71" spans="2:31">
      <c r="B71" s="20" t="s">
        <v>297</v>
      </c>
      <c r="C71" s="127">
        <f t="shared" ref="C71:P71" si="182">C23/C40</f>
        <v>0</v>
      </c>
      <c r="D71" s="127">
        <f t="shared" si="182"/>
        <v>0</v>
      </c>
      <c r="E71" s="127">
        <f t="shared" si="182"/>
        <v>0</v>
      </c>
      <c r="F71" s="144">
        <f t="shared" si="182"/>
        <v>0</v>
      </c>
      <c r="G71" s="144" t="e">
        <f t="shared" si="182"/>
        <v>#DIV/0!</v>
      </c>
      <c r="H71" s="144" t="e">
        <f t="shared" si="182"/>
        <v>#DIV/0!</v>
      </c>
      <c r="I71" s="144" t="e">
        <f t="shared" si="182"/>
        <v>#DIV/0!</v>
      </c>
      <c r="J71" s="144" t="e">
        <f t="shared" si="182"/>
        <v>#DIV/0!</v>
      </c>
      <c r="K71" s="144" t="e">
        <f t="shared" si="182"/>
        <v>#DIV/0!</v>
      </c>
      <c r="L71" s="144" t="e">
        <f t="shared" si="182"/>
        <v>#DIV/0!</v>
      </c>
      <c r="M71" s="144">
        <f t="shared" si="182"/>
        <v>0</v>
      </c>
      <c r="N71" s="144">
        <f t="shared" si="182"/>
        <v>0</v>
      </c>
      <c r="O71" s="144">
        <f t="shared" si="182"/>
        <v>0</v>
      </c>
      <c r="P71" s="144">
        <f t="shared" si="182"/>
        <v>0</v>
      </c>
      <c r="Q71" s="118" t="e">
        <f>((P71/G71)^(1/($H$2-$H$1) ))-1</f>
        <v>#DIV/0!</v>
      </c>
      <c r="R71" s="128"/>
      <c r="S71" s="146">
        <f t="shared" ref="S71:AB71" si="183">S23/S40</f>
        <v>0</v>
      </c>
      <c r="T71" s="146">
        <f t="shared" si="183"/>
        <v>0</v>
      </c>
      <c r="U71" s="146">
        <f t="shared" si="183"/>
        <v>0</v>
      </c>
      <c r="V71" s="146">
        <f t="shared" si="183"/>
        <v>0</v>
      </c>
      <c r="W71" s="146">
        <f t="shared" si="183"/>
        <v>0</v>
      </c>
      <c r="X71" s="146">
        <f t="shared" si="183"/>
        <v>0</v>
      </c>
      <c r="Y71" s="146">
        <f t="shared" si="183"/>
        <v>0</v>
      </c>
      <c r="Z71" s="146">
        <f t="shared" si="183"/>
        <v>0</v>
      </c>
      <c r="AA71" s="146">
        <f t="shared" si="183"/>
        <v>0</v>
      </c>
      <c r="AB71" s="146">
        <f t="shared" si="183"/>
        <v>0</v>
      </c>
      <c r="AC71" s="138" t="e">
        <f t="shared" ref="AC71" si="184">((AB71/G71)^(1/($AB$3-$H$1) ))-1</f>
        <v>#DIV/0!</v>
      </c>
      <c r="AD71" s="31">
        <f t="shared" si="17"/>
        <v>0.08</v>
      </c>
      <c r="AE71" s="146">
        <f t="shared" si="140"/>
        <v>0</v>
      </c>
    </row>
    <row r="72" spans="2:31">
      <c r="B72" s="20"/>
      <c r="C72" s="127"/>
      <c r="D72" s="127"/>
      <c r="E72" s="127"/>
      <c r="F72" s="144"/>
      <c r="G72" s="144"/>
      <c r="H72" s="144"/>
      <c r="I72" s="144"/>
      <c r="J72" s="144"/>
      <c r="K72" s="144"/>
      <c r="L72" s="144"/>
      <c r="M72" s="144"/>
      <c r="N72" s="144"/>
      <c r="O72" s="144"/>
      <c r="P72" s="144"/>
      <c r="Q72" s="128"/>
      <c r="R72" s="128"/>
      <c r="S72" s="119"/>
      <c r="T72" s="119"/>
      <c r="U72" s="119"/>
      <c r="V72" s="119"/>
      <c r="W72" s="119"/>
      <c r="X72" s="119"/>
      <c r="Y72" s="119"/>
      <c r="Z72" s="119"/>
      <c r="AA72" s="119"/>
      <c r="AB72" s="119"/>
      <c r="AC72" s="139"/>
      <c r="AD72" s="137"/>
      <c r="AE72" s="154"/>
    </row>
    <row r="73" spans="2:31">
      <c r="B73" s="20" t="s">
        <v>312</v>
      </c>
      <c r="C73" s="144">
        <f t="shared" ref="C73:P73" si="185">C36/C40</f>
        <v>0</v>
      </c>
      <c r="D73" s="144">
        <f t="shared" si="185"/>
        <v>0</v>
      </c>
      <c r="E73" s="144">
        <f t="shared" si="185"/>
        <v>0</v>
      </c>
      <c r="F73" s="144">
        <f t="shared" si="185"/>
        <v>0</v>
      </c>
      <c r="G73" s="144" t="e">
        <f t="shared" si="185"/>
        <v>#DIV/0!</v>
      </c>
      <c r="H73" s="144" t="e">
        <f t="shared" si="185"/>
        <v>#DIV/0!</v>
      </c>
      <c r="I73" s="144" t="e">
        <f t="shared" si="185"/>
        <v>#DIV/0!</v>
      </c>
      <c r="J73" s="144" t="e">
        <f t="shared" si="185"/>
        <v>#DIV/0!</v>
      </c>
      <c r="K73" s="144" t="e">
        <f t="shared" si="185"/>
        <v>#DIV/0!</v>
      </c>
      <c r="L73" s="144" t="e">
        <f t="shared" si="185"/>
        <v>#DIV/0!</v>
      </c>
      <c r="M73" s="144">
        <f t="shared" si="185"/>
        <v>9.7574059724622995</v>
      </c>
      <c r="N73" s="144">
        <f t="shared" si="185"/>
        <v>9.4534183703880306</v>
      </c>
      <c r="O73" s="144">
        <f t="shared" si="185"/>
        <v>10.335578470525123</v>
      </c>
      <c r="P73" s="144">
        <f t="shared" si="185"/>
        <v>12.171425165405019</v>
      </c>
      <c r="Q73" s="118" t="e">
        <f>((P73/G73)^(1/($H$2-$H$1) ))-1</f>
        <v>#DIV/0!</v>
      </c>
      <c r="R73" s="128"/>
      <c r="S73" s="144">
        <f t="shared" ref="S73:AB73" si="186">S36/S40</f>
        <v>9.0879974568357476</v>
      </c>
      <c r="T73" s="144">
        <f t="shared" si="186"/>
        <v>9.0879974568357476</v>
      </c>
      <c r="U73" s="144">
        <f t="shared" si="186"/>
        <v>9.0879974568357458</v>
      </c>
      <c r="V73" s="144">
        <f t="shared" si="186"/>
        <v>9.0879974568357458</v>
      </c>
      <c r="W73" s="144">
        <f t="shared" si="186"/>
        <v>9.0879974568357458</v>
      </c>
      <c r="X73" s="144">
        <f t="shared" si="186"/>
        <v>9.0879974568357458</v>
      </c>
      <c r="Y73" s="144">
        <f t="shared" si="186"/>
        <v>9.0879974568357458</v>
      </c>
      <c r="Z73" s="144">
        <f t="shared" si="186"/>
        <v>9.0879974568357458</v>
      </c>
      <c r="AA73" s="144">
        <f t="shared" si="186"/>
        <v>9.087997456835744</v>
      </c>
      <c r="AB73" s="144">
        <f t="shared" si="186"/>
        <v>9.087997456835744</v>
      </c>
      <c r="AC73" s="138" t="e">
        <f t="shared" ref="AC73:AC75" si="187">((AB73/G73)^(1/($AB$3-$H$1) ))-1</f>
        <v>#DIV/0!</v>
      </c>
      <c r="AD73" s="31">
        <f t="shared" si="17"/>
        <v>0.08</v>
      </c>
      <c r="AE73" s="146">
        <f t="shared" si="140"/>
        <v>70.107408952732882</v>
      </c>
    </row>
    <row r="74" spans="2:31">
      <c r="B74" s="20" t="s">
        <v>313</v>
      </c>
      <c r="C74" s="144">
        <f t="shared" ref="C74:P74" si="188">C38/C40</f>
        <v>0</v>
      </c>
      <c r="D74" s="144">
        <f t="shared" si="188"/>
        <v>0</v>
      </c>
      <c r="E74" s="144">
        <f t="shared" si="188"/>
        <v>0</v>
      </c>
      <c r="F74" s="144">
        <f t="shared" si="188"/>
        <v>0</v>
      </c>
      <c r="G74" s="144" t="e">
        <f t="shared" si="188"/>
        <v>#DIV/0!</v>
      </c>
      <c r="H74" s="144" t="e">
        <f t="shared" si="188"/>
        <v>#DIV/0!</v>
      </c>
      <c r="I74" s="144" t="e">
        <f t="shared" si="188"/>
        <v>#DIV/0!</v>
      </c>
      <c r="J74" s="144" t="e">
        <f t="shared" si="188"/>
        <v>#DIV/0!</v>
      </c>
      <c r="K74" s="144" t="e">
        <f t="shared" si="188"/>
        <v>#DIV/0!</v>
      </c>
      <c r="L74" s="144" t="e">
        <f t="shared" si="188"/>
        <v>#DIV/0!</v>
      </c>
      <c r="M74" s="144">
        <f t="shared" si="188"/>
        <v>7.4327948977767173</v>
      </c>
      <c r="N74" s="144">
        <f t="shared" si="188"/>
        <v>7.7367824998509862</v>
      </c>
      <c r="O74" s="144">
        <f t="shared" si="188"/>
        <v>8.4103236573880906</v>
      </c>
      <c r="P74" s="144">
        <f t="shared" si="188"/>
        <v>8.6845085533766468</v>
      </c>
      <c r="Q74" s="118" t="e">
        <f>((P74/G74)^(1/($H$2-$H$1) ))-1</f>
        <v>#DIV/0!</v>
      </c>
      <c r="R74" s="128"/>
      <c r="S74" s="144">
        <f t="shared" ref="S74:AB74" si="189">S38/S40</f>
        <v>6.484433053187896</v>
      </c>
      <c r="T74" s="144">
        <f t="shared" si="189"/>
        <v>6.4844330531878951</v>
      </c>
      <c r="U74" s="144">
        <f t="shared" si="189"/>
        <v>6.4844330531878951</v>
      </c>
      <c r="V74" s="144">
        <f t="shared" si="189"/>
        <v>6.4844330531878951</v>
      </c>
      <c r="W74" s="144">
        <f t="shared" si="189"/>
        <v>6.4844330531878951</v>
      </c>
      <c r="X74" s="144">
        <f t="shared" si="189"/>
        <v>6.484433053187896</v>
      </c>
      <c r="Y74" s="144">
        <f t="shared" si="189"/>
        <v>6.4844330531878951</v>
      </c>
      <c r="Z74" s="144">
        <f t="shared" si="189"/>
        <v>6.4844330531878951</v>
      </c>
      <c r="AA74" s="144">
        <f t="shared" si="189"/>
        <v>6.4844330531878951</v>
      </c>
      <c r="AB74" s="144">
        <f t="shared" si="189"/>
        <v>6.4844330531878942</v>
      </c>
      <c r="AC74" s="138" t="e">
        <f t="shared" si="187"/>
        <v>#DIV/0!</v>
      </c>
      <c r="AD74" s="31">
        <f t="shared" si="17"/>
        <v>0.08</v>
      </c>
      <c r="AE74" s="146">
        <f t="shared" si="140"/>
        <v>50.022769267449469</v>
      </c>
    </row>
    <row r="75" spans="2:31">
      <c r="B75" s="20" t="s">
        <v>314</v>
      </c>
      <c r="C75" s="144">
        <f t="shared" ref="C75:P75" si="190">C6/C40</f>
        <v>0</v>
      </c>
      <c r="D75" s="144">
        <f t="shared" si="190"/>
        <v>0</v>
      </c>
      <c r="E75" s="144">
        <f t="shared" si="190"/>
        <v>0</v>
      </c>
      <c r="F75" s="144">
        <f t="shared" si="190"/>
        <v>0</v>
      </c>
      <c r="G75" s="144" t="e">
        <f t="shared" si="190"/>
        <v>#DIV/0!</v>
      </c>
      <c r="H75" s="144" t="e">
        <f t="shared" si="190"/>
        <v>#DIV/0!</v>
      </c>
      <c r="I75" s="144" t="e">
        <f t="shared" si="190"/>
        <v>#DIV/0!</v>
      </c>
      <c r="J75" s="144" t="e">
        <f t="shared" si="190"/>
        <v>#DIV/0!</v>
      </c>
      <c r="K75" s="144" t="e">
        <f t="shared" si="190"/>
        <v>#DIV/0!</v>
      </c>
      <c r="L75" s="144" t="e">
        <f t="shared" si="190"/>
        <v>#DIV/0!</v>
      </c>
      <c r="M75" s="144">
        <f t="shared" si="190"/>
        <v>0</v>
      </c>
      <c r="N75" s="144">
        <f t="shared" si="190"/>
        <v>0</v>
      </c>
      <c r="O75" s="144">
        <f t="shared" si="190"/>
        <v>0</v>
      </c>
      <c r="P75" s="144">
        <f t="shared" si="190"/>
        <v>0</v>
      </c>
      <c r="Q75" s="118" t="e">
        <f>((P75/G75)^(1/($H$2-$H$1) ))-1</f>
        <v>#DIV/0!</v>
      </c>
      <c r="R75" s="128"/>
      <c r="S75" s="144">
        <f t="shared" ref="S75:AB75" si="191">S6/S40</f>
        <v>0</v>
      </c>
      <c r="T75" s="144">
        <f t="shared" si="191"/>
        <v>0</v>
      </c>
      <c r="U75" s="144">
        <f t="shared" si="191"/>
        <v>0</v>
      </c>
      <c r="V75" s="144">
        <f t="shared" si="191"/>
        <v>0</v>
      </c>
      <c r="W75" s="144">
        <f t="shared" si="191"/>
        <v>0</v>
      </c>
      <c r="X75" s="144">
        <f t="shared" si="191"/>
        <v>0</v>
      </c>
      <c r="Y75" s="144">
        <f t="shared" si="191"/>
        <v>0</v>
      </c>
      <c r="Z75" s="144">
        <f t="shared" si="191"/>
        <v>0</v>
      </c>
      <c r="AA75" s="144">
        <f t="shared" si="191"/>
        <v>0</v>
      </c>
      <c r="AB75" s="144">
        <f t="shared" si="191"/>
        <v>0</v>
      </c>
      <c r="AC75" s="138" t="e">
        <f t="shared" si="187"/>
        <v>#DIV/0!</v>
      </c>
      <c r="AD75" s="31">
        <f t="shared" ref="AD75" si="192">$L$1</f>
        <v>0.08</v>
      </c>
      <c r="AE75" s="146">
        <f t="shared" si="140"/>
        <v>0</v>
      </c>
    </row>
    <row r="76" spans="2:31">
      <c r="B76" s="20"/>
      <c r="C76" s="127"/>
      <c r="D76" s="127"/>
      <c r="E76" s="127"/>
      <c r="F76" s="144"/>
      <c r="G76" s="144"/>
      <c r="H76" s="144"/>
      <c r="I76" s="144"/>
      <c r="J76" s="144"/>
      <c r="K76" s="144"/>
      <c r="L76" s="144"/>
      <c r="M76" s="144"/>
      <c r="N76" s="144"/>
      <c r="O76" s="144"/>
      <c r="P76" s="144"/>
      <c r="Q76" s="128"/>
      <c r="R76" s="128"/>
      <c r="S76" s="119"/>
      <c r="T76" s="119"/>
      <c r="U76" s="119"/>
      <c r="V76" s="119"/>
      <c r="W76" s="119"/>
      <c r="X76" s="119"/>
      <c r="Y76" s="119"/>
      <c r="Z76" s="119"/>
      <c r="AA76" s="119"/>
      <c r="AB76" s="119"/>
      <c r="AC76" s="139"/>
      <c r="AD76" s="20"/>
      <c r="AE76" s="154"/>
    </row>
    <row r="77" spans="2:31">
      <c r="B77" s="20"/>
      <c r="C77" s="127"/>
      <c r="D77" s="127"/>
      <c r="E77" s="127"/>
      <c r="F77" s="144"/>
      <c r="G77" s="144"/>
      <c r="H77" s="144"/>
      <c r="I77" s="144"/>
      <c r="J77" s="144"/>
      <c r="K77" s="144"/>
      <c r="L77" s="144"/>
      <c r="M77" s="144"/>
      <c r="N77" s="144"/>
      <c r="O77" s="144"/>
      <c r="P77" s="144"/>
      <c r="Q77" s="128"/>
      <c r="R77" s="128"/>
      <c r="S77" s="119"/>
      <c r="T77" s="119"/>
      <c r="U77" s="119"/>
      <c r="V77" s="119"/>
      <c r="W77" s="119"/>
      <c r="X77" s="119"/>
      <c r="Y77" s="119"/>
      <c r="Z77" s="119"/>
      <c r="AA77" s="119"/>
      <c r="AB77" s="119"/>
      <c r="AC77" s="139"/>
      <c r="AD77" s="20"/>
      <c r="AE77" s="154"/>
    </row>
    <row r="78" spans="2:31">
      <c r="B78" s="108" t="s">
        <v>311</v>
      </c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</row>
    <row r="79" spans="2:31">
      <c r="B79" s="20" t="s">
        <v>310</v>
      </c>
      <c r="C79" s="152"/>
      <c r="D79" s="152"/>
      <c r="E79" s="152" t="e">
        <f t="shared" ref="E79:P79" si="193">E36/E25</f>
        <v>#DIV/0!</v>
      </c>
      <c r="F79" s="152" t="e">
        <f t="shared" si="193"/>
        <v>#DIV/0!</v>
      </c>
      <c r="G79" s="152" t="e">
        <f t="shared" si="193"/>
        <v>#DIV/0!</v>
      </c>
      <c r="H79" s="152" t="e">
        <f t="shared" si="193"/>
        <v>#DIV/0!</v>
      </c>
      <c r="I79" s="152" t="e">
        <f t="shared" si="193"/>
        <v>#DIV/0!</v>
      </c>
      <c r="J79" s="152" t="e">
        <f t="shared" si="193"/>
        <v>#DIV/0!</v>
      </c>
      <c r="K79" s="152" t="e">
        <f t="shared" si="193"/>
        <v>#DIV/0!</v>
      </c>
      <c r="L79" s="152" t="e">
        <f t="shared" si="193"/>
        <v>#DIV/0!</v>
      </c>
      <c r="M79" s="152">
        <f t="shared" si="193"/>
        <v>0.34844614729672202</v>
      </c>
      <c r="N79" s="152">
        <f t="shared" si="193"/>
        <v>0.34972436604189638</v>
      </c>
      <c r="O79" s="152">
        <f t="shared" si="193"/>
        <v>0.30015579020252725</v>
      </c>
      <c r="P79" s="152">
        <f t="shared" si="193"/>
        <v>0.31876365906962223</v>
      </c>
      <c r="Q79" s="118" t="e">
        <f t="shared" ref="Q79:Q122" si="194">((P79/G79)^(1/($H$2-$H$1) ))-1</f>
        <v>#DIV/0!</v>
      </c>
      <c r="R79" s="152"/>
      <c r="S79" s="152">
        <f t="shared" ref="S79:AB79" si="195">S36/S25</f>
        <v>0.31876365906962228</v>
      </c>
      <c r="T79" s="152">
        <f t="shared" si="195"/>
        <v>0.31876365906962223</v>
      </c>
      <c r="U79" s="152">
        <f t="shared" si="195"/>
        <v>0.31876365906962223</v>
      </c>
      <c r="V79" s="152">
        <f t="shared" si="195"/>
        <v>0.31876365906962223</v>
      </c>
      <c r="W79" s="152">
        <f t="shared" si="195"/>
        <v>0.31876365906962217</v>
      </c>
      <c r="X79" s="152">
        <f t="shared" si="195"/>
        <v>0.31876365906962217</v>
      </c>
      <c r="Y79" s="152">
        <f t="shared" si="195"/>
        <v>0.31876365906962212</v>
      </c>
      <c r="Z79" s="152">
        <f t="shared" si="195"/>
        <v>0.31876365906962212</v>
      </c>
      <c r="AA79" s="152">
        <f t="shared" si="195"/>
        <v>0.31876365906962212</v>
      </c>
      <c r="AB79" s="152">
        <f t="shared" si="195"/>
        <v>0.31876365906962212</v>
      </c>
      <c r="AC79" s="138" t="e">
        <f t="shared" ref="AC79:AC109" si="196">((AB79/G79)^(1/($AB$3-$H$1) ))-1</f>
        <v>#DIV/0!</v>
      </c>
      <c r="AD79" s="146"/>
      <c r="AE79" s="146"/>
    </row>
    <row r="80" spans="2:31">
      <c r="B80" s="20" t="s">
        <v>267</v>
      </c>
      <c r="C80" s="152"/>
      <c r="D80" s="152"/>
      <c r="E80" s="152" t="e">
        <f t="shared" ref="E80:P80" si="197">E38/E25</f>
        <v>#DIV/0!</v>
      </c>
      <c r="F80" s="152" t="e">
        <f t="shared" si="197"/>
        <v>#DIV/0!</v>
      </c>
      <c r="G80" s="152" t="e">
        <f t="shared" si="197"/>
        <v>#DIV/0!</v>
      </c>
      <c r="H80" s="152" t="e">
        <f t="shared" si="197"/>
        <v>#DIV/0!</v>
      </c>
      <c r="I80" s="152" t="e">
        <f t="shared" si="197"/>
        <v>#DIV/0!</v>
      </c>
      <c r="J80" s="152" t="e">
        <f t="shared" si="197"/>
        <v>#DIV/0!</v>
      </c>
      <c r="K80" s="152" t="e">
        <f t="shared" si="197"/>
        <v>#DIV/0!</v>
      </c>
      <c r="L80" s="152" t="e">
        <f t="shared" si="197"/>
        <v>#DIV/0!</v>
      </c>
      <c r="M80" s="152">
        <f t="shared" si="197"/>
        <v>0.26543209876543211</v>
      </c>
      <c r="N80" s="152">
        <f t="shared" si="197"/>
        <v>0.28621830209481808</v>
      </c>
      <c r="O80" s="152">
        <f t="shared" si="197"/>
        <v>0.24424441751774278</v>
      </c>
      <c r="P80" s="152">
        <f t="shared" si="197"/>
        <v>0.22744302216671869</v>
      </c>
      <c r="Q80" s="118" t="e">
        <f t="shared" si="194"/>
        <v>#DIV/0!</v>
      </c>
      <c r="R80" s="152"/>
      <c r="S80" s="152">
        <f t="shared" ref="S80:AB80" si="198">S38/S25</f>
        <v>0.22744302216671872</v>
      </c>
      <c r="T80" s="152">
        <f t="shared" si="198"/>
        <v>0.22744302216671872</v>
      </c>
      <c r="U80" s="152">
        <f t="shared" si="198"/>
        <v>0.22744302216671869</v>
      </c>
      <c r="V80" s="152">
        <f t="shared" si="198"/>
        <v>0.22744302216671869</v>
      </c>
      <c r="W80" s="152">
        <f t="shared" si="198"/>
        <v>0.22744302216671869</v>
      </c>
      <c r="X80" s="152">
        <f t="shared" si="198"/>
        <v>0.22744302216671869</v>
      </c>
      <c r="Y80" s="152">
        <f t="shared" si="198"/>
        <v>0.22744302216671866</v>
      </c>
      <c r="Z80" s="152">
        <f t="shared" si="198"/>
        <v>0.22744302216671866</v>
      </c>
      <c r="AA80" s="152">
        <f t="shared" si="198"/>
        <v>0.22744302216671866</v>
      </c>
      <c r="AB80" s="152">
        <f t="shared" si="198"/>
        <v>0.22744302216671863</v>
      </c>
      <c r="AC80" s="138" t="e">
        <f t="shared" si="196"/>
        <v>#DIV/0!</v>
      </c>
      <c r="AD80" s="146"/>
      <c r="AE80" s="146"/>
    </row>
    <row r="81" spans="2:31">
      <c r="B81" s="20" t="s">
        <v>360</v>
      </c>
      <c r="C81" s="152"/>
      <c r="D81" s="152"/>
      <c r="E81" s="152" t="e">
        <f t="shared" ref="E81:O81" si="199">E38/E7</f>
        <v>#DIV/0!</v>
      </c>
      <c r="F81" s="152" t="e">
        <f t="shared" si="199"/>
        <v>#DIV/0!</v>
      </c>
      <c r="G81" s="152" t="e">
        <f>G38/G7</f>
        <v>#DIV/0!</v>
      </c>
      <c r="H81" s="152" t="e">
        <f t="shared" si="199"/>
        <v>#DIV/0!</v>
      </c>
      <c r="I81" s="152" t="e">
        <f t="shared" si="199"/>
        <v>#DIV/0!</v>
      </c>
      <c r="J81" s="152" t="e">
        <f t="shared" si="199"/>
        <v>#DIV/0!</v>
      </c>
      <c r="K81" s="152" t="e">
        <f t="shared" si="199"/>
        <v>#DIV/0!</v>
      </c>
      <c r="L81" s="152" t="e">
        <f t="shared" si="199"/>
        <v>#DIV/0!</v>
      </c>
      <c r="M81" s="152" t="e">
        <f t="shared" si="199"/>
        <v>#DIV/0!</v>
      </c>
      <c r="N81" s="152" t="e">
        <f t="shared" si="199"/>
        <v>#DIV/0!</v>
      </c>
      <c r="O81" s="152" t="e">
        <f t="shared" si="199"/>
        <v>#DIV/0!</v>
      </c>
      <c r="P81" s="152" t="e">
        <f t="shared" ref="P81" si="200">P38/P7</f>
        <v>#DIV/0!</v>
      </c>
      <c r="Q81" s="118" t="e">
        <f t="shared" si="194"/>
        <v>#DIV/0!</v>
      </c>
      <c r="R81" s="20"/>
      <c r="S81" s="152" t="e">
        <f t="shared" ref="S81" si="201">S38/S7</f>
        <v>#DIV/0!</v>
      </c>
      <c r="T81" s="152" t="e">
        <f t="shared" ref="T81:AB81" si="202">T38/T7</f>
        <v>#DIV/0!</v>
      </c>
      <c r="U81" s="152" t="e">
        <f t="shared" si="202"/>
        <v>#DIV/0!</v>
      </c>
      <c r="V81" s="152" t="e">
        <f t="shared" si="202"/>
        <v>#DIV/0!</v>
      </c>
      <c r="W81" s="152" t="e">
        <f t="shared" si="202"/>
        <v>#DIV/0!</v>
      </c>
      <c r="X81" s="152" t="e">
        <f t="shared" si="202"/>
        <v>#DIV/0!</v>
      </c>
      <c r="Y81" s="152" t="e">
        <f t="shared" si="202"/>
        <v>#DIV/0!</v>
      </c>
      <c r="Z81" s="152" t="e">
        <f t="shared" si="202"/>
        <v>#DIV/0!</v>
      </c>
      <c r="AA81" s="152" t="e">
        <f t="shared" si="202"/>
        <v>#DIV/0!</v>
      </c>
      <c r="AB81" s="152" t="e">
        <f t="shared" si="202"/>
        <v>#DIV/0!</v>
      </c>
      <c r="AC81" s="138" t="e">
        <f t="shared" si="196"/>
        <v>#DIV/0!</v>
      </c>
      <c r="AD81" s="146"/>
      <c r="AE81" s="146"/>
    </row>
    <row r="82" spans="2:31">
      <c r="B82" s="20" t="s">
        <v>361</v>
      </c>
      <c r="C82" s="152"/>
      <c r="D82" s="152"/>
      <c r="E82" s="152" t="e">
        <f t="shared" ref="E82:F82" si="203">(E38)/(E7+E10)</f>
        <v>#DIV/0!</v>
      </c>
      <c r="F82" s="152" t="e">
        <f t="shared" si="203"/>
        <v>#DIV/0!</v>
      </c>
      <c r="G82" s="152" t="e">
        <f>(G38)/(G7+G10)</f>
        <v>#DIV/0!</v>
      </c>
      <c r="H82" s="152" t="e">
        <f t="shared" ref="H82:O82" si="204">(H38)/(H7+H10)</f>
        <v>#DIV/0!</v>
      </c>
      <c r="I82" s="152" t="e">
        <f t="shared" si="204"/>
        <v>#DIV/0!</v>
      </c>
      <c r="J82" s="152" t="e">
        <f t="shared" si="204"/>
        <v>#DIV/0!</v>
      </c>
      <c r="K82" s="152" t="e">
        <f t="shared" si="204"/>
        <v>#DIV/0!</v>
      </c>
      <c r="L82" s="152" t="e">
        <f t="shared" si="204"/>
        <v>#DIV/0!</v>
      </c>
      <c r="M82" s="152" t="e">
        <f t="shared" si="204"/>
        <v>#DIV/0!</v>
      </c>
      <c r="N82" s="152" t="e">
        <f t="shared" si="204"/>
        <v>#DIV/0!</v>
      </c>
      <c r="O82" s="152" t="e">
        <f t="shared" si="204"/>
        <v>#DIV/0!</v>
      </c>
      <c r="P82" s="152" t="e">
        <f t="shared" ref="P82" si="205">(P38)/(P7+P10)</f>
        <v>#DIV/0!</v>
      </c>
      <c r="Q82" s="118" t="e">
        <f t="shared" si="194"/>
        <v>#DIV/0!</v>
      </c>
      <c r="R82" s="20"/>
      <c r="S82" s="152" t="e">
        <f t="shared" ref="S82:AB82" si="206">(S38)/(S7+S10)</f>
        <v>#DIV/0!</v>
      </c>
      <c r="T82" s="152" t="e">
        <f t="shared" si="206"/>
        <v>#DIV/0!</v>
      </c>
      <c r="U82" s="152" t="e">
        <f t="shared" si="206"/>
        <v>#DIV/0!</v>
      </c>
      <c r="V82" s="152" t="e">
        <f t="shared" si="206"/>
        <v>#DIV/0!</v>
      </c>
      <c r="W82" s="152" t="e">
        <f t="shared" si="206"/>
        <v>#DIV/0!</v>
      </c>
      <c r="X82" s="152" t="e">
        <f t="shared" si="206"/>
        <v>#DIV/0!</v>
      </c>
      <c r="Y82" s="152" t="e">
        <f t="shared" si="206"/>
        <v>#DIV/0!</v>
      </c>
      <c r="Z82" s="152" t="e">
        <f t="shared" si="206"/>
        <v>#DIV/0!</v>
      </c>
      <c r="AA82" s="152" t="e">
        <f t="shared" si="206"/>
        <v>#DIV/0!</v>
      </c>
      <c r="AB82" s="152" t="e">
        <f t="shared" si="206"/>
        <v>#DIV/0!</v>
      </c>
      <c r="AC82" s="138" t="e">
        <f t="shared" si="196"/>
        <v>#DIV/0!</v>
      </c>
      <c r="AD82" s="146"/>
      <c r="AE82" s="146"/>
    </row>
    <row r="83" spans="2:31">
      <c r="B83" s="20" t="s">
        <v>377</v>
      </c>
      <c r="C83" s="152"/>
      <c r="D83" s="152"/>
      <c r="E83" s="152"/>
      <c r="F83" s="152"/>
      <c r="G83" s="152" t="e">
        <f>G20/G25</f>
        <v>#DIV/0!</v>
      </c>
      <c r="H83" s="152" t="e">
        <f t="shared" ref="H83:P83" si="207">H20/H25</f>
        <v>#DIV/0!</v>
      </c>
      <c r="I83" s="152" t="e">
        <f t="shared" si="207"/>
        <v>#DIV/0!</v>
      </c>
      <c r="J83" s="152" t="e">
        <f t="shared" si="207"/>
        <v>#DIV/0!</v>
      </c>
      <c r="K83" s="152" t="e">
        <f t="shared" si="207"/>
        <v>#DIV/0!</v>
      </c>
      <c r="L83" s="152" t="e">
        <f t="shared" si="207"/>
        <v>#DIV/0!</v>
      </c>
      <c r="M83" s="152">
        <f t="shared" si="207"/>
        <v>0</v>
      </c>
      <c r="N83" s="152">
        <f t="shared" si="207"/>
        <v>0</v>
      </c>
      <c r="O83" s="152">
        <f t="shared" si="207"/>
        <v>0</v>
      </c>
      <c r="P83" s="152">
        <f t="shared" si="207"/>
        <v>0</v>
      </c>
      <c r="Q83" s="118" t="e">
        <f t="shared" si="194"/>
        <v>#DIV/0!</v>
      </c>
      <c r="R83" s="20"/>
      <c r="S83" s="152">
        <f t="shared" ref="S83:AB83" si="208">S20/S25</f>
        <v>0</v>
      </c>
      <c r="T83" s="152">
        <f t="shared" si="208"/>
        <v>0</v>
      </c>
      <c r="U83" s="152">
        <f t="shared" si="208"/>
        <v>0</v>
      </c>
      <c r="V83" s="152">
        <f t="shared" si="208"/>
        <v>0</v>
      </c>
      <c r="W83" s="152">
        <f t="shared" si="208"/>
        <v>0</v>
      </c>
      <c r="X83" s="152">
        <f t="shared" si="208"/>
        <v>0</v>
      </c>
      <c r="Y83" s="152">
        <f t="shared" si="208"/>
        <v>0</v>
      </c>
      <c r="Z83" s="152">
        <f t="shared" si="208"/>
        <v>0</v>
      </c>
      <c r="AA83" s="152">
        <f t="shared" si="208"/>
        <v>0</v>
      </c>
      <c r="AB83" s="152">
        <f t="shared" si="208"/>
        <v>0</v>
      </c>
      <c r="AC83" s="138" t="e">
        <f t="shared" si="196"/>
        <v>#DIV/0!</v>
      </c>
      <c r="AD83" s="146"/>
      <c r="AE83" s="146"/>
    </row>
    <row r="84" spans="2:31">
      <c r="B84" s="20"/>
      <c r="C84" s="152"/>
      <c r="D84" s="152"/>
      <c r="E84" s="152"/>
      <c r="F84" s="152"/>
      <c r="G84" s="152"/>
      <c r="H84" s="152"/>
      <c r="I84" s="152"/>
      <c r="J84" s="152"/>
      <c r="K84" s="152"/>
      <c r="L84" s="152"/>
      <c r="M84" s="152"/>
      <c r="N84" s="152"/>
      <c r="O84" s="152"/>
      <c r="P84" s="152"/>
      <c r="Q84" s="152"/>
      <c r="R84" s="20"/>
      <c r="S84" s="152"/>
      <c r="T84" s="152"/>
      <c r="U84" s="152"/>
      <c r="V84" s="152"/>
      <c r="W84" s="152"/>
      <c r="X84" s="152"/>
      <c r="Y84" s="152"/>
      <c r="Z84" s="152"/>
      <c r="AA84" s="152"/>
      <c r="AB84" s="152"/>
      <c r="AC84" s="3"/>
      <c r="AD84" s="146"/>
      <c r="AE84" s="146"/>
    </row>
    <row r="85" spans="2:31">
      <c r="B85" s="20" t="s">
        <v>324</v>
      </c>
      <c r="C85" s="152"/>
      <c r="D85" s="152"/>
      <c r="E85" s="152"/>
      <c r="F85" s="152"/>
      <c r="G85" s="152" t="e">
        <f>G29/G25</f>
        <v>#DIV/0!</v>
      </c>
      <c r="H85" s="152" t="e">
        <f t="shared" ref="H85:P85" si="209">H29/H25</f>
        <v>#DIV/0!</v>
      </c>
      <c r="I85" s="152" t="e">
        <f t="shared" si="209"/>
        <v>#DIV/0!</v>
      </c>
      <c r="J85" s="152" t="e">
        <f t="shared" si="209"/>
        <v>#DIV/0!</v>
      </c>
      <c r="K85" s="152" t="e">
        <f t="shared" si="209"/>
        <v>#DIV/0!</v>
      </c>
      <c r="L85" s="152" t="e">
        <f t="shared" si="209"/>
        <v>#DIV/0!</v>
      </c>
      <c r="M85" s="152">
        <f t="shared" si="209"/>
        <v>6.7049808429118771E-2</v>
      </c>
      <c r="N85" s="152">
        <f t="shared" si="209"/>
        <v>9.2392502756339576E-2</v>
      </c>
      <c r="O85" s="152">
        <f t="shared" si="209"/>
        <v>2.5791933529513589E-2</v>
      </c>
      <c r="P85" s="152">
        <f t="shared" si="209"/>
        <v>3.0284108648142367E-2</v>
      </c>
      <c r="Q85" s="118" t="e">
        <f t="shared" si="194"/>
        <v>#DIV/0!</v>
      </c>
      <c r="R85" s="20"/>
      <c r="S85" s="152">
        <f t="shared" ref="S85:AB85" si="210">S29/S25</f>
        <v>3.028410864814237E-2</v>
      </c>
      <c r="T85" s="152">
        <f t="shared" si="210"/>
        <v>3.0284108648142367E-2</v>
      </c>
      <c r="U85" s="152">
        <f t="shared" si="210"/>
        <v>3.0284108648142367E-2</v>
      </c>
      <c r="V85" s="152">
        <f t="shared" si="210"/>
        <v>3.028410864814237E-2</v>
      </c>
      <c r="W85" s="152">
        <f t="shared" si="210"/>
        <v>3.0284108648142367E-2</v>
      </c>
      <c r="X85" s="152">
        <f t="shared" si="210"/>
        <v>3.0284108648142367E-2</v>
      </c>
      <c r="Y85" s="152">
        <f t="shared" si="210"/>
        <v>3.0284108648142367E-2</v>
      </c>
      <c r="Z85" s="152">
        <f t="shared" si="210"/>
        <v>3.0284108648142367E-2</v>
      </c>
      <c r="AA85" s="152">
        <f t="shared" si="210"/>
        <v>3.0284108648142363E-2</v>
      </c>
      <c r="AB85" s="152">
        <f t="shared" si="210"/>
        <v>3.028410864814236E-2</v>
      </c>
      <c r="AC85" s="138" t="e">
        <f t="shared" si="196"/>
        <v>#DIV/0!</v>
      </c>
      <c r="AD85" s="146"/>
      <c r="AE85" s="146"/>
    </row>
    <row r="86" spans="2:31">
      <c r="B86" s="20" t="s">
        <v>370</v>
      </c>
      <c r="C86" s="152"/>
      <c r="D86" s="152"/>
      <c r="E86" s="152"/>
      <c r="F86" s="152"/>
      <c r="G86" s="152" t="e">
        <f>G29/G36</f>
        <v>#DIV/0!</v>
      </c>
      <c r="H86" s="152" t="e">
        <f t="shared" ref="H86:P86" si="211">H29/H36</f>
        <v>#DIV/0!</v>
      </c>
      <c r="I86" s="152" t="e">
        <f t="shared" si="211"/>
        <v>#DIV/0!</v>
      </c>
      <c r="J86" s="152" t="e">
        <f t="shared" si="211"/>
        <v>#DIV/0!</v>
      </c>
      <c r="K86" s="152" t="e">
        <f t="shared" si="211"/>
        <v>#DIV/0!</v>
      </c>
      <c r="L86" s="152" t="e">
        <f t="shared" si="211"/>
        <v>#DIV/0!</v>
      </c>
      <c r="M86" s="152">
        <f t="shared" si="211"/>
        <v>0.19242516799022602</v>
      </c>
      <c r="N86" s="152">
        <f t="shared" si="211"/>
        <v>0.26418663303909207</v>
      </c>
      <c r="O86" s="152">
        <f t="shared" si="211"/>
        <v>8.5928489042675887E-2</v>
      </c>
      <c r="P86" s="152">
        <f t="shared" si="211"/>
        <v>9.5004897159647411E-2</v>
      </c>
      <c r="Q86" s="118" t="e">
        <f t="shared" ref="Q86" si="212">((P86/G86)^(1/($H$2-$H$1) ))-1</f>
        <v>#DIV/0!</v>
      </c>
      <c r="R86" s="20"/>
      <c r="S86" s="152">
        <f t="shared" ref="S86:AB86" si="213">S29/S36</f>
        <v>9.5004897159647397E-2</v>
      </c>
      <c r="T86" s="152">
        <f t="shared" si="213"/>
        <v>9.5004897159647397E-2</v>
      </c>
      <c r="U86" s="152">
        <f t="shared" si="213"/>
        <v>9.5004897159647397E-2</v>
      </c>
      <c r="V86" s="152">
        <f t="shared" si="213"/>
        <v>9.5004897159647411E-2</v>
      </c>
      <c r="W86" s="152">
        <f t="shared" si="213"/>
        <v>9.5004897159647425E-2</v>
      </c>
      <c r="X86" s="152">
        <f t="shared" si="213"/>
        <v>9.5004897159647411E-2</v>
      </c>
      <c r="Y86" s="152">
        <f t="shared" si="213"/>
        <v>9.5004897159647425E-2</v>
      </c>
      <c r="Z86" s="152">
        <f t="shared" si="213"/>
        <v>9.5004897159647439E-2</v>
      </c>
      <c r="AA86" s="152">
        <f t="shared" si="213"/>
        <v>9.5004897159647425E-2</v>
      </c>
      <c r="AB86" s="152">
        <f t="shared" si="213"/>
        <v>9.5004897159647425E-2</v>
      </c>
      <c r="AC86" s="138" t="e">
        <f t="shared" ref="AC86" si="214">((AB86/G86)^(1/($AB$3-$H$1) ))-1</f>
        <v>#DIV/0!</v>
      </c>
      <c r="AD86" s="146"/>
      <c r="AE86" s="146"/>
    </row>
    <row r="87" spans="2:31" ht="12" customHeight="1">
      <c r="B87" s="20" t="s">
        <v>369</v>
      </c>
      <c r="C87" s="152"/>
      <c r="D87" s="152"/>
      <c r="E87" s="152"/>
      <c r="F87" s="152"/>
      <c r="G87" s="171" t="e">
        <f t="shared" ref="G87:P87" si="215">G29/G38</f>
        <v>#DIV/0!</v>
      </c>
      <c r="H87" s="171" t="e">
        <f t="shared" si="215"/>
        <v>#DIV/0!</v>
      </c>
      <c r="I87" s="171" t="e">
        <f t="shared" si="215"/>
        <v>#DIV/0!</v>
      </c>
      <c r="J87" s="171" t="e">
        <f t="shared" si="215"/>
        <v>#DIV/0!</v>
      </c>
      <c r="K87" s="171" t="e">
        <f t="shared" si="215"/>
        <v>#DIV/0!</v>
      </c>
      <c r="L87" s="171" t="e">
        <f t="shared" si="215"/>
        <v>#DIV/0!</v>
      </c>
      <c r="M87" s="171">
        <f t="shared" si="215"/>
        <v>0.25260625501202888</v>
      </c>
      <c r="N87" s="171">
        <f t="shared" si="215"/>
        <v>0.32280431432973805</v>
      </c>
      <c r="O87" s="171">
        <f t="shared" si="215"/>
        <v>0.10559886605244508</v>
      </c>
      <c r="P87" s="171">
        <f t="shared" si="215"/>
        <v>0.13315030885380919</v>
      </c>
      <c r="Q87" s="118" t="e">
        <f t="shared" ref="Q87" si="216">((P87/G87)^(1/($H$2-$H$1) ))-1</f>
        <v>#DIV/0!</v>
      </c>
      <c r="R87" s="20"/>
      <c r="S87" s="171">
        <f t="shared" ref="S87:AB87" si="217">S29/S38</f>
        <v>0.13315030885380921</v>
      </c>
      <c r="T87" s="171">
        <f t="shared" si="217"/>
        <v>0.13315030885380921</v>
      </c>
      <c r="U87" s="171">
        <f t="shared" si="217"/>
        <v>0.13315030885380921</v>
      </c>
      <c r="V87" s="171">
        <f t="shared" si="217"/>
        <v>0.13315030885380921</v>
      </c>
      <c r="W87" s="171">
        <f t="shared" si="217"/>
        <v>0.13315030885380921</v>
      </c>
      <c r="X87" s="171">
        <f t="shared" si="217"/>
        <v>0.13315030885380921</v>
      </c>
      <c r="Y87" s="171">
        <f t="shared" si="217"/>
        <v>0.13315030885380921</v>
      </c>
      <c r="Z87" s="171">
        <f t="shared" si="217"/>
        <v>0.13315030885380921</v>
      </c>
      <c r="AA87" s="171">
        <f t="shared" si="217"/>
        <v>0.13315030885380921</v>
      </c>
      <c r="AB87" s="171">
        <f t="shared" si="217"/>
        <v>0.13315030885380921</v>
      </c>
      <c r="AC87" s="138" t="e">
        <f t="shared" ref="AC87" si="218">((AB87/G87)^(1/($AB$3-$H$1) ))-1</f>
        <v>#DIV/0!</v>
      </c>
      <c r="AD87" s="146"/>
      <c r="AE87" s="146"/>
    </row>
    <row r="88" spans="2:31" ht="12" customHeight="1">
      <c r="B88" s="20" t="s">
        <v>326</v>
      </c>
      <c r="C88" s="152"/>
      <c r="D88" s="152"/>
      <c r="E88" s="152"/>
      <c r="F88" s="152"/>
      <c r="G88" s="171" t="e">
        <f t="shared" ref="G88:P88" si="219">G29/G12</f>
        <v>#DIV/0!</v>
      </c>
      <c r="H88" s="171" t="e">
        <f t="shared" si="219"/>
        <v>#DIV/0!</v>
      </c>
      <c r="I88" s="171" t="e">
        <f t="shared" si="219"/>
        <v>#DIV/0!</v>
      </c>
      <c r="J88" s="171" t="e">
        <f t="shared" si="219"/>
        <v>#DIV/0!</v>
      </c>
      <c r="K88" s="171" t="e">
        <f t="shared" si="219"/>
        <v>#DIV/0!</v>
      </c>
      <c r="L88" s="171" t="e">
        <f t="shared" si="219"/>
        <v>#DIV/0!</v>
      </c>
      <c r="M88" s="171" t="e">
        <f t="shared" si="219"/>
        <v>#DIV/0!</v>
      </c>
      <c r="N88" s="171" t="e">
        <f t="shared" si="219"/>
        <v>#DIV/0!</v>
      </c>
      <c r="O88" s="171" t="e">
        <f t="shared" si="219"/>
        <v>#DIV/0!</v>
      </c>
      <c r="P88" s="171" t="e">
        <f t="shared" si="219"/>
        <v>#DIV/0!</v>
      </c>
      <c r="Q88" s="118" t="e">
        <f t="shared" si="194"/>
        <v>#DIV/0!</v>
      </c>
      <c r="R88" s="20"/>
      <c r="S88" s="152" t="e">
        <f t="shared" ref="S88:AB88" si="220">S29/S12</f>
        <v>#DIV/0!</v>
      </c>
      <c r="T88" s="152" t="e">
        <f t="shared" si="220"/>
        <v>#DIV/0!</v>
      </c>
      <c r="U88" s="152" t="e">
        <f t="shared" si="220"/>
        <v>#DIV/0!</v>
      </c>
      <c r="V88" s="152" t="e">
        <f t="shared" si="220"/>
        <v>#DIV/0!</v>
      </c>
      <c r="W88" s="152" t="e">
        <f t="shared" si="220"/>
        <v>#DIV/0!</v>
      </c>
      <c r="X88" s="152" t="e">
        <f t="shared" si="220"/>
        <v>#DIV/0!</v>
      </c>
      <c r="Y88" s="152" t="e">
        <f t="shared" si="220"/>
        <v>#DIV/0!</v>
      </c>
      <c r="Z88" s="152" t="e">
        <f t="shared" si="220"/>
        <v>#DIV/0!</v>
      </c>
      <c r="AA88" s="152" t="e">
        <f t="shared" si="220"/>
        <v>#DIV/0!</v>
      </c>
      <c r="AB88" s="152" t="e">
        <f t="shared" si="220"/>
        <v>#DIV/0!</v>
      </c>
      <c r="AC88" s="138" t="e">
        <f t="shared" si="196"/>
        <v>#DIV/0!</v>
      </c>
      <c r="AD88" s="146"/>
      <c r="AE88" s="146"/>
    </row>
    <row r="89" spans="2:31" ht="12" customHeight="1">
      <c r="B89" s="20" t="s">
        <v>371</v>
      </c>
      <c r="C89" s="152"/>
      <c r="D89" s="152"/>
      <c r="E89" s="152"/>
      <c r="F89" s="152"/>
      <c r="G89" s="171" t="e">
        <f>G29/G23</f>
        <v>#DIV/0!</v>
      </c>
      <c r="H89" s="171" t="e">
        <f t="shared" ref="H89:P89" si="221">H29/H23</f>
        <v>#DIV/0!</v>
      </c>
      <c r="I89" s="171" t="e">
        <f t="shared" si="221"/>
        <v>#DIV/0!</v>
      </c>
      <c r="J89" s="171" t="e">
        <f t="shared" si="221"/>
        <v>#DIV/0!</v>
      </c>
      <c r="K89" s="171" t="e">
        <f t="shared" si="221"/>
        <v>#DIV/0!</v>
      </c>
      <c r="L89" s="171" t="e">
        <f t="shared" si="221"/>
        <v>#DIV/0!</v>
      </c>
      <c r="M89" s="171" t="e">
        <f t="shared" si="221"/>
        <v>#DIV/0!</v>
      </c>
      <c r="N89" s="171" t="e">
        <f t="shared" si="221"/>
        <v>#DIV/0!</v>
      </c>
      <c r="O89" s="171" t="e">
        <f t="shared" si="221"/>
        <v>#DIV/0!</v>
      </c>
      <c r="P89" s="171" t="e">
        <f t="shared" si="221"/>
        <v>#DIV/0!</v>
      </c>
      <c r="Q89" s="118" t="e">
        <f t="shared" ref="Q89" si="222">((P89/G89)^(1/($H$2-$H$1) ))-1</f>
        <v>#DIV/0!</v>
      </c>
      <c r="R89" s="20"/>
      <c r="S89" s="171" t="e">
        <f t="shared" ref="S89:AB89" si="223">S29/S23</f>
        <v>#DIV/0!</v>
      </c>
      <c r="T89" s="171" t="e">
        <f t="shared" si="223"/>
        <v>#DIV/0!</v>
      </c>
      <c r="U89" s="171" t="e">
        <f t="shared" si="223"/>
        <v>#DIV/0!</v>
      </c>
      <c r="V89" s="171" t="e">
        <f t="shared" si="223"/>
        <v>#DIV/0!</v>
      </c>
      <c r="W89" s="171" t="e">
        <f t="shared" si="223"/>
        <v>#DIV/0!</v>
      </c>
      <c r="X89" s="171" t="e">
        <f t="shared" si="223"/>
        <v>#DIV/0!</v>
      </c>
      <c r="Y89" s="171" t="e">
        <f t="shared" si="223"/>
        <v>#DIV/0!</v>
      </c>
      <c r="Z89" s="171" t="e">
        <f t="shared" si="223"/>
        <v>#DIV/0!</v>
      </c>
      <c r="AA89" s="171" t="e">
        <f t="shared" si="223"/>
        <v>#DIV/0!</v>
      </c>
      <c r="AB89" s="171" t="e">
        <f t="shared" si="223"/>
        <v>#DIV/0!</v>
      </c>
      <c r="AC89" s="138" t="e">
        <f t="shared" ref="AC89" si="224">((AB89/G89)^(1/($AB$3-$H$1) ))-1</f>
        <v>#DIV/0!</v>
      </c>
      <c r="AD89" s="146"/>
      <c r="AE89" s="146"/>
    </row>
    <row r="90" spans="2:31" ht="12" customHeight="1">
      <c r="B90" s="20"/>
      <c r="C90" s="152"/>
      <c r="D90" s="152"/>
      <c r="E90" s="152"/>
      <c r="F90" s="152"/>
      <c r="G90" s="171"/>
      <c r="H90" s="171"/>
      <c r="I90" s="171"/>
      <c r="J90" s="171"/>
      <c r="K90" s="171"/>
      <c r="L90" s="171"/>
      <c r="M90" s="171"/>
      <c r="N90" s="171"/>
      <c r="O90" s="171"/>
      <c r="P90" s="171"/>
      <c r="Q90" s="171"/>
      <c r="R90" s="20"/>
      <c r="S90" s="152"/>
      <c r="T90" s="152"/>
      <c r="U90" s="152"/>
      <c r="V90" s="152"/>
      <c r="W90" s="152"/>
      <c r="X90" s="152"/>
      <c r="Y90" s="152"/>
      <c r="Z90" s="152"/>
      <c r="AA90" s="152"/>
      <c r="AB90" s="152"/>
      <c r="AC90" s="138"/>
      <c r="AD90" s="146"/>
      <c r="AE90" s="146"/>
    </row>
    <row r="91" spans="2:31">
      <c r="B91" s="20" t="s">
        <v>327</v>
      </c>
      <c r="C91" s="152"/>
      <c r="D91" s="152"/>
      <c r="E91" s="152"/>
      <c r="F91" s="163">
        <f t="shared" ref="F91:O91" si="225">F10-(F12+F13)</f>
        <v>0</v>
      </c>
      <c r="G91" s="163">
        <f t="shared" si="225"/>
        <v>0</v>
      </c>
      <c r="H91" s="163">
        <f t="shared" si="225"/>
        <v>0</v>
      </c>
      <c r="I91" s="163">
        <f t="shared" si="225"/>
        <v>0</v>
      </c>
      <c r="J91" s="163">
        <f t="shared" si="225"/>
        <v>0</v>
      </c>
      <c r="K91" s="163">
        <f t="shared" si="225"/>
        <v>0</v>
      </c>
      <c r="L91" s="163">
        <f t="shared" si="225"/>
        <v>0</v>
      </c>
      <c r="M91" s="163">
        <f t="shared" si="225"/>
        <v>0</v>
      </c>
      <c r="N91" s="163">
        <f t="shared" si="225"/>
        <v>0</v>
      </c>
      <c r="O91" s="163">
        <f t="shared" si="225"/>
        <v>0</v>
      </c>
      <c r="P91" s="163">
        <f>P10-(P12+P13)</f>
        <v>0</v>
      </c>
      <c r="Q91" s="118" t="e">
        <f t="shared" si="194"/>
        <v>#DIV/0!</v>
      </c>
      <c r="R91" s="20"/>
      <c r="S91" s="163">
        <f>S10-(S12+S13)</f>
        <v>0</v>
      </c>
      <c r="T91" s="163">
        <f t="shared" ref="T91:AB91" si="226">T10-(T12+T13)</f>
        <v>0</v>
      </c>
      <c r="U91" s="163">
        <f t="shared" si="226"/>
        <v>0</v>
      </c>
      <c r="V91" s="163">
        <f t="shared" si="226"/>
        <v>0</v>
      </c>
      <c r="W91" s="163">
        <f t="shared" si="226"/>
        <v>0</v>
      </c>
      <c r="X91" s="163">
        <f t="shared" si="226"/>
        <v>0</v>
      </c>
      <c r="Y91" s="163">
        <f t="shared" si="226"/>
        <v>0</v>
      </c>
      <c r="Z91" s="163">
        <f t="shared" si="226"/>
        <v>0</v>
      </c>
      <c r="AA91" s="163">
        <f t="shared" si="226"/>
        <v>0</v>
      </c>
      <c r="AB91" s="163">
        <f t="shared" si="226"/>
        <v>0</v>
      </c>
      <c r="AC91" s="138" t="e">
        <f t="shared" si="196"/>
        <v>#DIV/0!</v>
      </c>
      <c r="AD91" s="146"/>
      <c r="AE91" s="146"/>
    </row>
    <row r="92" spans="2:31" ht="12" customHeight="1">
      <c r="B92" s="20" t="s">
        <v>322</v>
      </c>
      <c r="C92" s="20"/>
      <c r="D92" s="20"/>
      <c r="E92" s="20"/>
      <c r="F92" s="20"/>
      <c r="G92" s="152" t="e">
        <f t="shared" ref="G92:P92" si="227">G38/G18</f>
        <v>#DIV/0!</v>
      </c>
      <c r="H92" s="152" t="e">
        <f t="shared" si="227"/>
        <v>#DIV/0!</v>
      </c>
      <c r="I92" s="152" t="e">
        <f t="shared" si="227"/>
        <v>#DIV/0!</v>
      </c>
      <c r="J92" s="152" t="e">
        <f t="shared" si="227"/>
        <v>#DIV/0!</v>
      </c>
      <c r="K92" s="152" t="e">
        <f t="shared" si="227"/>
        <v>#DIV/0!</v>
      </c>
      <c r="L92" s="152" t="e">
        <f t="shared" si="227"/>
        <v>#DIV/0!</v>
      </c>
      <c r="M92" s="152" t="e">
        <f t="shared" si="227"/>
        <v>#DIV/0!</v>
      </c>
      <c r="N92" s="152" t="e">
        <f t="shared" si="227"/>
        <v>#DIV/0!</v>
      </c>
      <c r="O92" s="152" t="e">
        <f t="shared" si="227"/>
        <v>#DIV/0!</v>
      </c>
      <c r="P92" s="152" t="e">
        <f t="shared" si="227"/>
        <v>#DIV/0!</v>
      </c>
      <c r="Q92" s="118" t="e">
        <f t="shared" si="194"/>
        <v>#DIV/0!</v>
      </c>
      <c r="R92" s="20"/>
      <c r="S92" s="152" t="e">
        <f t="shared" ref="S92:AB92" si="228">S38/S18</f>
        <v>#DIV/0!</v>
      </c>
      <c r="T92" s="152" t="e">
        <f t="shared" si="228"/>
        <v>#DIV/0!</v>
      </c>
      <c r="U92" s="152" t="e">
        <f t="shared" si="228"/>
        <v>#DIV/0!</v>
      </c>
      <c r="V92" s="152" t="e">
        <f t="shared" si="228"/>
        <v>#DIV/0!</v>
      </c>
      <c r="W92" s="152" t="e">
        <f t="shared" si="228"/>
        <v>#DIV/0!</v>
      </c>
      <c r="X92" s="152" t="e">
        <f t="shared" si="228"/>
        <v>#DIV/0!</v>
      </c>
      <c r="Y92" s="152" t="e">
        <f t="shared" si="228"/>
        <v>#DIV/0!</v>
      </c>
      <c r="Z92" s="152" t="e">
        <f t="shared" si="228"/>
        <v>#DIV/0!</v>
      </c>
      <c r="AA92" s="152" t="e">
        <f t="shared" si="228"/>
        <v>#DIV/0!</v>
      </c>
      <c r="AB92" s="152" t="e">
        <f t="shared" si="228"/>
        <v>#DIV/0!</v>
      </c>
      <c r="AC92" s="138" t="e">
        <f t="shared" si="196"/>
        <v>#DIV/0!</v>
      </c>
      <c r="AD92" s="20"/>
      <c r="AE92" s="20"/>
    </row>
    <row r="93" spans="2:31">
      <c r="B93" s="20" t="s">
        <v>323</v>
      </c>
      <c r="C93" s="20"/>
      <c r="D93" s="20"/>
      <c r="E93" s="20"/>
      <c r="F93" s="20"/>
      <c r="G93" s="152" t="e">
        <f t="shared" ref="G93:P93" si="229">G38/G25</f>
        <v>#DIV/0!</v>
      </c>
      <c r="H93" s="152" t="e">
        <f t="shared" si="229"/>
        <v>#DIV/0!</v>
      </c>
      <c r="I93" s="152" t="e">
        <f t="shared" si="229"/>
        <v>#DIV/0!</v>
      </c>
      <c r="J93" s="152" t="e">
        <f t="shared" si="229"/>
        <v>#DIV/0!</v>
      </c>
      <c r="K93" s="152" t="e">
        <f t="shared" si="229"/>
        <v>#DIV/0!</v>
      </c>
      <c r="L93" s="152" t="e">
        <f t="shared" si="229"/>
        <v>#DIV/0!</v>
      </c>
      <c r="M93" s="152">
        <f t="shared" si="229"/>
        <v>0.26543209876543211</v>
      </c>
      <c r="N93" s="152">
        <f t="shared" si="229"/>
        <v>0.28621830209481808</v>
      </c>
      <c r="O93" s="152">
        <f t="shared" si="229"/>
        <v>0.24424441751774278</v>
      </c>
      <c r="P93" s="152">
        <f t="shared" si="229"/>
        <v>0.22744302216671869</v>
      </c>
      <c r="Q93" s="118" t="e">
        <f t="shared" si="194"/>
        <v>#DIV/0!</v>
      </c>
      <c r="R93" s="20"/>
      <c r="S93" s="152">
        <f t="shared" ref="S93:AB93" si="230">S38/S25</f>
        <v>0.22744302216671872</v>
      </c>
      <c r="T93" s="152">
        <f t="shared" si="230"/>
        <v>0.22744302216671872</v>
      </c>
      <c r="U93" s="152">
        <f t="shared" si="230"/>
        <v>0.22744302216671869</v>
      </c>
      <c r="V93" s="152">
        <f t="shared" si="230"/>
        <v>0.22744302216671869</v>
      </c>
      <c r="W93" s="152">
        <f t="shared" si="230"/>
        <v>0.22744302216671869</v>
      </c>
      <c r="X93" s="152">
        <f t="shared" si="230"/>
        <v>0.22744302216671869</v>
      </c>
      <c r="Y93" s="152">
        <f t="shared" si="230"/>
        <v>0.22744302216671866</v>
      </c>
      <c r="Z93" s="152">
        <f t="shared" si="230"/>
        <v>0.22744302216671866</v>
      </c>
      <c r="AA93" s="152">
        <f t="shared" si="230"/>
        <v>0.22744302216671866</v>
      </c>
      <c r="AB93" s="152">
        <f t="shared" si="230"/>
        <v>0.22744302216671863</v>
      </c>
      <c r="AC93" s="138" t="e">
        <f t="shared" si="196"/>
        <v>#DIV/0!</v>
      </c>
      <c r="AD93" s="20"/>
      <c r="AE93" s="20"/>
    </row>
    <row r="94" spans="2:31">
      <c r="B94" s="20" t="s">
        <v>349</v>
      </c>
      <c r="C94" s="20"/>
      <c r="D94" s="20"/>
      <c r="E94" s="152"/>
      <c r="F94" s="152"/>
      <c r="G94" s="152" t="e">
        <f t="shared" ref="G94:O94" si="231">G25/G18</f>
        <v>#DIV/0!</v>
      </c>
      <c r="H94" s="152" t="e">
        <f t="shared" si="231"/>
        <v>#DIV/0!</v>
      </c>
      <c r="I94" s="152" t="e">
        <f t="shared" si="231"/>
        <v>#DIV/0!</v>
      </c>
      <c r="J94" s="152" t="e">
        <f t="shared" si="231"/>
        <v>#DIV/0!</v>
      </c>
      <c r="K94" s="152" t="e">
        <f t="shared" si="231"/>
        <v>#DIV/0!</v>
      </c>
      <c r="L94" s="152" t="e">
        <f t="shared" si="231"/>
        <v>#DIV/0!</v>
      </c>
      <c r="M94" s="152" t="e">
        <f t="shared" si="231"/>
        <v>#DIV/0!</v>
      </c>
      <c r="N94" s="152" t="e">
        <f t="shared" si="231"/>
        <v>#DIV/0!</v>
      </c>
      <c r="O94" s="152" t="e">
        <f t="shared" si="231"/>
        <v>#DIV/0!</v>
      </c>
      <c r="P94" s="152" t="e">
        <f>P25/P18</f>
        <v>#DIV/0!</v>
      </c>
      <c r="Q94" s="118" t="e">
        <f t="shared" si="194"/>
        <v>#DIV/0!</v>
      </c>
      <c r="R94" s="20"/>
      <c r="S94" s="152" t="e">
        <f>S25/S18</f>
        <v>#DIV/0!</v>
      </c>
      <c r="T94" s="152" t="e">
        <f t="shared" ref="T94:AB94" si="232">T25/T18</f>
        <v>#DIV/0!</v>
      </c>
      <c r="U94" s="152" t="e">
        <f t="shared" si="232"/>
        <v>#DIV/0!</v>
      </c>
      <c r="V94" s="152" t="e">
        <f t="shared" si="232"/>
        <v>#DIV/0!</v>
      </c>
      <c r="W94" s="152" t="e">
        <f t="shared" si="232"/>
        <v>#DIV/0!</v>
      </c>
      <c r="X94" s="152" t="e">
        <f t="shared" si="232"/>
        <v>#DIV/0!</v>
      </c>
      <c r="Y94" s="152" t="e">
        <f t="shared" si="232"/>
        <v>#DIV/0!</v>
      </c>
      <c r="Z94" s="152" t="e">
        <f t="shared" si="232"/>
        <v>#DIV/0!</v>
      </c>
      <c r="AA94" s="152" t="e">
        <f t="shared" si="232"/>
        <v>#DIV/0!</v>
      </c>
      <c r="AB94" s="152" t="e">
        <f t="shared" si="232"/>
        <v>#DIV/0!</v>
      </c>
      <c r="AC94" s="138" t="e">
        <f t="shared" si="196"/>
        <v>#DIV/0!</v>
      </c>
      <c r="AD94" s="20"/>
      <c r="AE94" s="20"/>
    </row>
    <row r="95" spans="2:31">
      <c r="B95" s="20"/>
      <c r="C95" s="20"/>
      <c r="D95" s="20"/>
      <c r="E95" s="20"/>
      <c r="F95" s="20"/>
      <c r="G95" s="152"/>
      <c r="H95" s="152"/>
      <c r="I95" s="152"/>
      <c r="J95" s="152"/>
      <c r="K95" s="152"/>
      <c r="L95" s="152"/>
      <c r="M95" s="152"/>
      <c r="N95" s="152"/>
      <c r="O95" s="152"/>
      <c r="P95" s="152"/>
      <c r="Q95" s="128"/>
      <c r="R95" s="20"/>
      <c r="S95" s="152"/>
      <c r="T95" s="152"/>
      <c r="U95" s="152"/>
      <c r="V95" s="152"/>
      <c r="W95" s="152"/>
      <c r="X95" s="152"/>
      <c r="Y95" s="152"/>
      <c r="Z95" s="152"/>
      <c r="AA95" s="152"/>
      <c r="AB95" s="152"/>
      <c r="AC95" s="128"/>
      <c r="AD95" s="20"/>
      <c r="AE95" s="20"/>
    </row>
    <row r="96" spans="2:31">
      <c r="B96" s="20" t="s">
        <v>335</v>
      </c>
      <c r="C96" s="20"/>
      <c r="D96" s="20"/>
      <c r="E96" s="165">
        <f t="shared" ref="E96:F96" si="233">E63*E40</f>
        <v>0</v>
      </c>
      <c r="F96" s="165">
        <f t="shared" si="233"/>
        <v>0</v>
      </c>
      <c r="G96" s="165">
        <f>G63*G40</f>
        <v>0</v>
      </c>
      <c r="H96" s="165">
        <f t="shared" ref="H96:P96" si="234">H63*H40</f>
        <v>0</v>
      </c>
      <c r="I96" s="165">
        <f t="shared" si="234"/>
        <v>0</v>
      </c>
      <c r="J96" s="165">
        <f t="shared" si="234"/>
        <v>0</v>
      </c>
      <c r="K96" s="165">
        <f t="shared" si="234"/>
        <v>0</v>
      </c>
      <c r="L96" s="165">
        <f t="shared" si="234"/>
        <v>0</v>
      </c>
      <c r="M96" s="165">
        <f t="shared" si="234"/>
        <v>335.54</v>
      </c>
      <c r="N96" s="165">
        <f t="shared" si="234"/>
        <v>335.54</v>
      </c>
      <c r="O96" s="165">
        <f t="shared" si="234"/>
        <v>385.87099999999998</v>
      </c>
      <c r="P96" s="165">
        <f t="shared" si="234"/>
        <v>469.75599999999997</v>
      </c>
      <c r="Q96" s="118" t="e">
        <f t="shared" si="194"/>
        <v>#DIV/0!</v>
      </c>
      <c r="R96" s="20"/>
      <c r="S96" s="165">
        <f t="shared" ref="S96:AB96" si="235">S63*S40</f>
        <v>739.86570000000006</v>
      </c>
      <c r="T96" s="165">
        <f t="shared" si="235"/>
        <v>870.08206320000033</v>
      </c>
      <c r="U96" s="165">
        <f t="shared" si="235"/>
        <v>1023.2165063232005</v>
      </c>
      <c r="V96" s="165">
        <f t="shared" si="235"/>
        <v>1203.3026114360839</v>
      </c>
      <c r="W96" s="165">
        <f t="shared" si="235"/>
        <v>1415.0838710488347</v>
      </c>
      <c r="X96" s="165">
        <f t="shared" si="235"/>
        <v>1664.1386323534298</v>
      </c>
      <c r="Y96" s="165">
        <f t="shared" si="235"/>
        <v>1957.027031647634</v>
      </c>
      <c r="Z96" s="165">
        <f t="shared" si="235"/>
        <v>2301.4637892176174</v>
      </c>
      <c r="AA96" s="165">
        <f t="shared" si="235"/>
        <v>2706.5214161199192</v>
      </c>
      <c r="AB96" s="165">
        <f t="shared" si="235"/>
        <v>3182.8691853570258</v>
      </c>
      <c r="AC96" s="138" t="e">
        <f t="shared" si="196"/>
        <v>#DIV/0!</v>
      </c>
      <c r="AD96" s="20"/>
      <c r="AE96" s="20"/>
    </row>
    <row r="97" spans="2:31">
      <c r="B97" s="20" t="s">
        <v>336</v>
      </c>
      <c r="C97" s="20"/>
      <c r="D97" s="20"/>
      <c r="E97" s="165">
        <f>(E96*0.17)+E96</f>
        <v>0</v>
      </c>
      <c r="F97" s="165">
        <f>(F96*0.17)+F96</f>
        <v>0</v>
      </c>
      <c r="G97" s="165">
        <f t="shared" ref="G97:P97" si="236">(G96*0.17)+G96</f>
        <v>0</v>
      </c>
      <c r="H97" s="165">
        <f t="shared" si="236"/>
        <v>0</v>
      </c>
      <c r="I97" s="165">
        <f t="shared" si="236"/>
        <v>0</v>
      </c>
      <c r="J97" s="165">
        <f t="shared" si="236"/>
        <v>0</v>
      </c>
      <c r="K97" s="165">
        <f t="shared" si="236"/>
        <v>0</v>
      </c>
      <c r="L97" s="165">
        <f t="shared" si="236"/>
        <v>0</v>
      </c>
      <c r="M97" s="165">
        <f t="shared" si="236"/>
        <v>392.58180000000004</v>
      </c>
      <c r="N97" s="165">
        <f t="shared" si="236"/>
        <v>392.58180000000004</v>
      </c>
      <c r="O97" s="165">
        <f t="shared" si="236"/>
        <v>451.46906999999999</v>
      </c>
      <c r="P97" s="165">
        <f t="shared" si="236"/>
        <v>549.61451999999997</v>
      </c>
      <c r="Q97" s="118" t="e">
        <f t="shared" si="194"/>
        <v>#DIV/0!</v>
      </c>
      <c r="R97" s="20"/>
      <c r="S97" s="165">
        <f t="shared" ref="S97:AB97" si="237">(S96*0.17)+S96</f>
        <v>865.64286900000002</v>
      </c>
      <c r="T97" s="165">
        <f t="shared" si="237"/>
        <v>1017.9960139440004</v>
      </c>
      <c r="U97" s="165">
        <f t="shared" si="237"/>
        <v>1197.1633123981446</v>
      </c>
      <c r="V97" s="165">
        <f t="shared" si="237"/>
        <v>1407.8640553802181</v>
      </c>
      <c r="W97" s="165">
        <f t="shared" si="237"/>
        <v>1655.6481291271366</v>
      </c>
      <c r="X97" s="165">
        <f t="shared" si="237"/>
        <v>1947.0421998535128</v>
      </c>
      <c r="Y97" s="165">
        <f t="shared" si="237"/>
        <v>2289.7216270277318</v>
      </c>
      <c r="Z97" s="165">
        <f t="shared" si="237"/>
        <v>2692.7126333846127</v>
      </c>
      <c r="AA97" s="165">
        <f t="shared" si="237"/>
        <v>3166.6300568603056</v>
      </c>
      <c r="AB97" s="165">
        <f t="shared" si="237"/>
        <v>3723.95694686772</v>
      </c>
      <c r="AC97" s="138" t="e">
        <f t="shared" si="196"/>
        <v>#DIV/0!</v>
      </c>
      <c r="AD97" s="20"/>
      <c r="AE97" s="20"/>
    </row>
    <row r="98" spans="2:31">
      <c r="B98" s="20" t="s">
        <v>337</v>
      </c>
      <c r="C98" s="20"/>
      <c r="D98" s="20"/>
      <c r="E98" s="20"/>
      <c r="F98" s="152" t="e">
        <f t="shared" ref="F98:P98" si="238">F97/F38</f>
        <v>#DIV/0!</v>
      </c>
      <c r="G98" s="152" t="e">
        <f t="shared" si="238"/>
        <v>#DIV/0!</v>
      </c>
      <c r="H98" s="152" t="e">
        <f t="shared" si="238"/>
        <v>#DIV/0!</v>
      </c>
      <c r="I98" s="152" t="e">
        <f t="shared" si="238"/>
        <v>#DIV/0!</v>
      </c>
      <c r="J98" s="152" t="e">
        <f t="shared" si="238"/>
        <v>#DIV/0!</v>
      </c>
      <c r="K98" s="152" t="e">
        <f t="shared" si="238"/>
        <v>#DIV/0!</v>
      </c>
      <c r="L98" s="152" t="e">
        <f t="shared" si="238"/>
        <v>#DIV/0!</v>
      </c>
      <c r="M98" s="152">
        <f t="shared" si="238"/>
        <v>0.31482101042502009</v>
      </c>
      <c r="N98" s="152">
        <f t="shared" si="238"/>
        <v>0.30245130970724193</v>
      </c>
      <c r="O98" s="152">
        <f t="shared" si="238"/>
        <v>0.31996390503189226</v>
      </c>
      <c r="P98" s="152">
        <f t="shared" si="238"/>
        <v>0.37722341798215508</v>
      </c>
      <c r="Q98" s="118" t="e">
        <f t="shared" si="194"/>
        <v>#DIV/0!</v>
      </c>
      <c r="R98" s="20"/>
      <c r="S98" s="152">
        <f t="shared" ref="S98:AB98" si="239">S97/S38</f>
        <v>0.53047043153740558</v>
      </c>
      <c r="T98" s="152">
        <f t="shared" si="239"/>
        <v>0.55699395311427602</v>
      </c>
      <c r="U98" s="152">
        <f t="shared" si="239"/>
        <v>0.5848436507699899</v>
      </c>
      <c r="V98" s="152">
        <f t="shared" si="239"/>
        <v>0.61408583330848932</v>
      </c>
      <c r="W98" s="152">
        <f t="shared" si="239"/>
        <v>0.64479012497391375</v>
      </c>
      <c r="X98" s="152">
        <f t="shared" si="239"/>
        <v>0.6770296312226094</v>
      </c>
      <c r="Y98" s="152">
        <f t="shared" si="239"/>
        <v>0.71088111278374011</v>
      </c>
      <c r="Z98" s="152">
        <f t="shared" si="239"/>
        <v>0.74642516842292705</v>
      </c>
      <c r="AA98" s="152">
        <f t="shared" si="239"/>
        <v>0.78374642684407358</v>
      </c>
      <c r="AB98" s="152">
        <f t="shared" si="239"/>
        <v>0.8229337481862774</v>
      </c>
      <c r="AC98" s="138" t="e">
        <f t="shared" si="196"/>
        <v>#DIV/0!</v>
      </c>
      <c r="AD98" s="20"/>
      <c r="AE98" s="20"/>
    </row>
    <row r="99" spans="2:31">
      <c r="B99" s="20" t="s">
        <v>330</v>
      </c>
      <c r="C99" s="20"/>
      <c r="D99" s="20"/>
      <c r="E99" s="20"/>
      <c r="F99" s="152" t="e">
        <f>1-F98</f>
        <v>#DIV/0!</v>
      </c>
      <c r="G99" s="152" t="e">
        <f>1-G98</f>
        <v>#DIV/0!</v>
      </c>
      <c r="H99" s="152" t="e">
        <f t="shared" ref="H99:P99" si="240">1-H98</f>
        <v>#DIV/0!</v>
      </c>
      <c r="I99" s="152" t="e">
        <f t="shared" si="240"/>
        <v>#DIV/0!</v>
      </c>
      <c r="J99" s="152" t="e">
        <f t="shared" si="240"/>
        <v>#DIV/0!</v>
      </c>
      <c r="K99" s="152" t="e">
        <f t="shared" si="240"/>
        <v>#DIV/0!</v>
      </c>
      <c r="L99" s="152" t="e">
        <f t="shared" si="240"/>
        <v>#DIV/0!</v>
      </c>
      <c r="M99" s="152">
        <f t="shared" si="240"/>
        <v>0.68517898957497991</v>
      </c>
      <c r="N99" s="152">
        <f t="shared" si="240"/>
        <v>0.69754869029275812</v>
      </c>
      <c r="O99" s="152">
        <f t="shared" si="240"/>
        <v>0.68003609496810768</v>
      </c>
      <c r="P99" s="152">
        <f t="shared" si="240"/>
        <v>0.62277658201784492</v>
      </c>
      <c r="Q99" s="118" t="e">
        <f t="shared" si="194"/>
        <v>#DIV/0!</v>
      </c>
      <c r="R99" s="20"/>
      <c r="S99" s="152">
        <f t="shared" ref="S99:AB99" si="241">1-S98</f>
        <v>0.46952956846259442</v>
      </c>
      <c r="T99" s="152">
        <f t="shared" si="241"/>
        <v>0.44300604688572398</v>
      </c>
      <c r="U99" s="152">
        <f t="shared" si="241"/>
        <v>0.4151563492300101</v>
      </c>
      <c r="V99" s="152">
        <f t="shared" si="241"/>
        <v>0.38591416669151068</v>
      </c>
      <c r="W99" s="152">
        <f t="shared" si="241"/>
        <v>0.35520987502608625</v>
      </c>
      <c r="X99" s="152">
        <f t="shared" si="241"/>
        <v>0.3229703687773906</v>
      </c>
      <c r="Y99" s="152">
        <f t="shared" si="241"/>
        <v>0.28911888721625989</v>
      </c>
      <c r="Z99" s="152">
        <f t="shared" si="241"/>
        <v>0.25357483157707295</v>
      </c>
      <c r="AA99" s="152">
        <f t="shared" si="241"/>
        <v>0.21625357315592642</v>
      </c>
      <c r="AB99" s="152">
        <f t="shared" si="241"/>
        <v>0.1770662518137226</v>
      </c>
      <c r="AC99" s="138" t="e">
        <f t="shared" si="196"/>
        <v>#DIV/0!</v>
      </c>
      <c r="AD99" s="20"/>
      <c r="AE99" s="20"/>
    </row>
    <row r="100" spans="2:31">
      <c r="B100" s="20"/>
      <c r="C100" s="20"/>
      <c r="D100" s="20"/>
      <c r="E100" s="20"/>
      <c r="F100" s="20"/>
      <c r="G100" s="152"/>
      <c r="H100" s="152"/>
      <c r="I100" s="152"/>
      <c r="J100" s="152"/>
      <c r="K100" s="152"/>
      <c r="L100" s="152"/>
      <c r="M100" s="152"/>
      <c r="N100" s="152"/>
      <c r="O100" s="152"/>
      <c r="P100" s="152"/>
      <c r="Q100" s="128"/>
      <c r="R100" s="20"/>
      <c r="S100" s="152"/>
      <c r="T100" s="152"/>
      <c r="U100" s="152"/>
      <c r="V100" s="152"/>
      <c r="W100" s="152"/>
      <c r="X100" s="152"/>
      <c r="Y100" s="152"/>
      <c r="Z100" s="152"/>
      <c r="AA100" s="152"/>
      <c r="AB100" s="152"/>
      <c r="AC100" s="128"/>
      <c r="AD100" s="20"/>
      <c r="AE100" s="20"/>
    </row>
    <row r="101" spans="2:31">
      <c r="B101" s="20" t="s">
        <v>334</v>
      </c>
      <c r="C101" s="152"/>
      <c r="D101" s="152"/>
      <c r="E101" s="152"/>
      <c r="F101" s="152" t="e">
        <f>F31/F25</f>
        <v>#DIV/0!</v>
      </c>
      <c r="G101" s="152" t="e">
        <f>G31/G25</f>
        <v>#DIV/0!</v>
      </c>
      <c r="H101" s="152" t="e">
        <f t="shared" ref="H101:P101" si="242">H31/H25</f>
        <v>#DIV/0!</v>
      </c>
      <c r="I101" s="152" t="e">
        <f t="shared" si="242"/>
        <v>#DIV/0!</v>
      </c>
      <c r="J101" s="152" t="e">
        <f t="shared" si="242"/>
        <v>#DIV/0!</v>
      </c>
      <c r="K101" s="152" t="e">
        <f t="shared" si="242"/>
        <v>#DIV/0!</v>
      </c>
      <c r="L101" s="152" t="e">
        <f t="shared" si="242"/>
        <v>#DIV/0!</v>
      </c>
      <c r="M101" s="152">
        <f t="shared" si="242"/>
        <v>0</v>
      </c>
      <c r="N101" s="152">
        <f t="shared" si="242"/>
        <v>0</v>
      </c>
      <c r="O101" s="152">
        <f t="shared" si="242"/>
        <v>0</v>
      </c>
      <c r="P101" s="152">
        <f t="shared" si="242"/>
        <v>0</v>
      </c>
      <c r="Q101" s="118" t="e">
        <f t="shared" si="194"/>
        <v>#DIV/0!</v>
      </c>
      <c r="R101" s="20"/>
      <c r="S101" s="152">
        <f t="shared" ref="S101:AB101" si="243">S31/S25</f>
        <v>0</v>
      </c>
      <c r="T101" s="152">
        <f t="shared" si="243"/>
        <v>0</v>
      </c>
      <c r="U101" s="152">
        <f t="shared" si="243"/>
        <v>0</v>
      </c>
      <c r="V101" s="152">
        <f t="shared" si="243"/>
        <v>0</v>
      </c>
      <c r="W101" s="152">
        <f t="shared" si="243"/>
        <v>0</v>
      </c>
      <c r="X101" s="152">
        <f t="shared" si="243"/>
        <v>0</v>
      </c>
      <c r="Y101" s="152">
        <f t="shared" si="243"/>
        <v>0</v>
      </c>
      <c r="Z101" s="152">
        <f t="shared" si="243"/>
        <v>0</v>
      </c>
      <c r="AA101" s="152">
        <f t="shared" si="243"/>
        <v>0</v>
      </c>
      <c r="AB101" s="152">
        <f t="shared" si="243"/>
        <v>0</v>
      </c>
      <c r="AC101" s="138" t="e">
        <f t="shared" si="196"/>
        <v>#DIV/0!</v>
      </c>
      <c r="AD101" s="20"/>
      <c r="AE101" s="20"/>
    </row>
    <row r="102" spans="2:31">
      <c r="B102" s="20" t="s">
        <v>331</v>
      </c>
      <c r="C102" s="152"/>
      <c r="D102" s="152"/>
      <c r="E102" s="152"/>
      <c r="F102" s="152" t="e">
        <f>F32/F25</f>
        <v>#DIV/0!</v>
      </c>
      <c r="G102" s="152" t="e">
        <f>G32/G25</f>
        <v>#DIV/0!</v>
      </c>
      <c r="H102" s="152" t="e">
        <f t="shared" ref="H102:P102" si="244">H32/H25</f>
        <v>#DIV/0!</v>
      </c>
      <c r="I102" s="152" t="e">
        <f t="shared" si="244"/>
        <v>#DIV/0!</v>
      </c>
      <c r="J102" s="152" t="e">
        <f t="shared" si="244"/>
        <v>#DIV/0!</v>
      </c>
      <c r="K102" s="152" t="e">
        <f t="shared" si="244"/>
        <v>#DIV/0!</v>
      </c>
      <c r="L102" s="152" t="e">
        <f t="shared" si="244"/>
        <v>#DIV/0!</v>
      </c>
      <c r="M102" s="152">
        <f t="shared" si="244"/>
        <v>0</v>
      </c>
      <c r="N102" s="152">
        <f t="shared" si="244"/>
        <v>0</v>
      </c>
      <c r="O102" s="152">
        <f t="shared" si="244"/>
        <v>0</v>
      </c>
      <c r="P102" s="152">
        <f t="shared" si="244"/>
        <v>0</v>
      </c>
      <c r="Q102" s="118" t="e">
        <f t="shared" si="194"/>
        <v>#DIV/0!</v>
      </c>
      <c r="R102" s="20"/>
      <c r="S102" s="152">
        <f t="shared" ref="S102:AB102" si="245">S32/S25</f>
        <v>0</v>
      </c>
      <c r="T102" s="152">
        <f t="shared" si="245"/>
        <v>0</v>
      </c>
      <c r="U102" s="152">
        <f t="shared" si="245"/>
        <v>0</v>
      </c>
      <c r="V102" s="152">
        <f t="shared" si="245"/>
        <v>0</v>
      </c>
      <c r="W102" s="152">
        <f t="shared" si="245"/>
        <v>0</v>
      </c>
      <c r="X102" s="152">
        <f t="shared" si="245"/>
        <v>0</v>
      </c>
      <c r="Y102" s="152">
        <f t="shared" si="245"/>
        <v>0</v>
      </c>
      <c r="Z102" s="152">
        <f t="shared" si="245"/>
        <v>0</v>
      </c>
      <c r="AA102" s="152">
        <f t="shared" si="245"/>
        <v>0</v>
      </c>
      <c r="AB102" s="152">
        <f t="shared" si="245"/>
        <v>0</v>
      </c>
      <c r="AC102" s="138" t="e">
        <f t="shared" si="196"/>
        <v>#DIV/0!</v>
      </c>
      <c r="AD102" s="20"/>
      <c r="AE102" s="20"/>
    </row>
    <row r="103" spans="2:31">
      <c r="B103" s="20"/>
      <c r="C103" s="20"/>
      <c r="D103" s="20"/>
      <c r="E103" s="20"/>
      <c r="F103" s="20"/>
      <c r="G103" s="152"/>
      <c r="H103" s="152"/>
      <c r="I103" s="152"/>
      <c r="J103" s="152"/>
      <c r="K103" s="152"/>
      <c r="L103" s="152"/>
      <c r="M103" s="152"/>
      <c r="N103" s="152"/>
      <c r="O103" s="152"/>
      <c r="P103" s="152"/>
      <c r="Q103" s="128"/>
      <c r="R103" s="20"/>
      <c r="S103" s="152"/>
      <c r="T103" s="152"/>
      <c r="U103" s="152"/>
      <c r="V103" s="152"/>
      <c r="W103" s="152"/>
      <c r="X103" s="152"/>
      <c r="Y103" s="152"/>
      <c r="Z103" s="152"/>
      <c r="AA103" s="152"/>
      <c r="AB103" s="152"/>
      <c r="AC103" s="128"/>
      <c r="AD103" s="20"/>
      <c r="AE103" s="20"/>
    </row>
    <row r="104" spans="2:31">
      <c r="B104" s="20" t="s">
        <v>355</v>
      </c>
      <c r="C104" s="20"/>
      <c r="D104" s="20"/>
      <c r="E104" s="20"/>
      <c r="F104" s="20"/>
      <c r="G104" s="152" t="e">
        <f>G27/G25</f>
        <v>#DIV/0!</v>
      </c>
      <c r="H104" s="152" t="e">
        <f t="shared" ref="H104:P104" si="246">H27/H25</f>
        <v>#DIV/0!</v>
      </c>
      <c r="I104" s="152" t="e">
        <f t="shared" si="246"/>
        <v>#DIV/0!</v>
      </c>
      <c r="J104" s="152" t="e">
        <f t="shared" si="246"/>
        <v>#DIV/0!</v>
      </c>
      <c r="K104" s="152" t="e">
        <f t="shared" si="246"/>
        <v>#DIV/0!</v>
      </c>
      <c r="L104" s="152" t="e">
        <f t="shared" si="246"/>
        <v>#DIV/0!</v>
      </c>
      <c r="M104" s="152">
        <f t="shared" si="246"/>
        <v>0.52405278842060454</v>
      </c>
      <c r="N104" s="152">
        <f t="shared" si="246"/>
        <v>0.52149944873208376</v>
      </c>
      <c r="O104" s="152">
        <f t="shared" si="246"/>
        <v>0.55669032369742077</v>
      </c>
      <c r="P104" s="152">
        <f t="shared" si="246"/>
        <v>0.56493911957539811</v>
      </c>
      <c r="Q104" s="118" t="e">
        <f t="shared" si="194"/>
        <v>#DIV/0!</v>
      </c>
      <c r="R104" s="20"/>
      <c r="S104" s="152">
        <f t="shared" ref="S104:AB104" si="247">S27/S25</f>
        <v>0.56493911957539811</v>
      </c>
      <c r="T104" s="152">
        <f t="shared" si="247"/>
        <v>0.56493911957539811</v>
      </c>
      <c r="U104" s="152">
        <f t="shared" si="247"/>
        <v>0.56493911957539811</v>
      </c>
      <c r="V104" s="152">
        <f t="shared" si="247"/>
        <v>0.56493911957539811</v>
      </c>
      <c r="W104" s="152">
        <f t="shared" si="247"/>
        <v>0.56493911957539811</v>
      </c>
      <c r="X104" s="152">
        <f t="shared" si="247"/>
        <v>0.564939119575398</v>
      </c>
      <c r="Y104" s="152">
        <f t="shared" si="247"/>
        <v>0.564939119575398</v>
      </c>
      <c r="Z104" s="152">
        <f t="shared" si="247"/>
        <v>0.564939119575398</v>
      </c>
      <c r="AA104" s="152">
        <f t="shared" si="247"/>
        <v>0.564939119575398</v>
      </c>
      <c r="AB104" s="152">
        <f t="shared" si="247"/>
        <v>0.56493911957539789</v>
      </c>
      <c r="AC104" s="138" t="e">
        <f t="shared" si="196"/>
        <v>#DIV/0!</v>
      </c>
      <c r="AD104" s="20"/>
      <c r="AE104" s="20"/>
    </row>
    <row r="105" spans="2:31">
      <c r="B105" s="20" t="str">
        <f>B33</f>
        <v>Top Expenses ( Raw material )</v>
      </c>
      <c r="C105" s="20"/>
      <c r="D105" s="20"/>
      <c r="E105" s="20"/>
      <c r="F105" s="20"/>
      <c r="G105" s="152" t="e">
        <f>G33/G25</f>
        <v>#DIV/0!</v>
      </c>
      <c r="H105" s="152" t="e">
        <f t="shared" ref="H105:P105" si="248">H33/H25</f>
        <v>#DIV/0!</v>
      </c>
      <c r="I105" s="152" t="e">
        <f t="shared" si="248"/>
        <v>#DIV/0!</v>
      </c>
      <c r="J105" s="152" t="e">
        <f t="shared" si="248"/>
        <v>#DIV/0!</v>
      </c>
      <c r="K105" s="152" t="e">
        <f t="shared" si="248"/>
        <v>#DIV/0!</v>
      </c>
      <c r="L105" s="152" t="e">
        <f t="shared" si="248"/>
        <v>#DIV/0!</v>
      </c>
      <c r="M105" s="152">
        <f t="shared" si="248"/>
        <v>9.8978288633461045E-2</v>
      </c>
      <c r="N105" s="152">
        <f t="shared" si="248"/>
        <v>9.878721058434399E-2</v>
      </c>
      <c r="O105" s="152">
        <f t="shared" si="248"/>
        <v>8.6896312965206848E-2</v>
      </c>
      <c r="P105" s="152">
        <f t="shared" si="248"/>
        <v>8.4920387137059003E-2</v>
      </c>
      <c r="Q105" s="118" t="e">
        <f t="shared" si="194"/>
        <v>#DIV/0!</v>
      </c>
      <c r="R105" s="20"/>
      <c r="S105" s="152">
        <f t="shared" ref="S105:AB105" si="249">S33/S25</f>
        <v>8.4920387137059017E-2</v>
      </c>
      <c r="T105" s="152">
        <f t="shared" si="249"/>
        <v>8.4920387137059003E-2</v>
      </c>
      <c r="U105" s="152">
        <f t="shared" si="249"/>
        <v>8.4920387137059003E-2</v>
      </c>
      <c r="V105" s="152">
        <f t="shared" si="249"/>
        <v>8.4920387137059003E-2</v>
      </c>
      <c r="W105" s="152">
        <f t="shared" si="249"/>
        <v>8.4920387137058989E-2</v>
      </c>
      <c r="X105" s="152">
        <f t="shared" si="249"/>
        <v>8.4920387137059003E-2</v>
      </c>
      <c r="Y105" s="152">
        <f t="shared" si="249"/>
        <v>8.4920387137058989E-2</v>
      </c>
      <c r="Z105" s="152">
        <f t="shared" si="249"/>
        <v>8.4920387137058989E-2</v>
      </c>
      <c r="AA105" s="152">
        <f t="shared" si="249"/>
        <v>8.4920387137058989E-2</v>
      </c>
      <c r="AB105" s="152">
        <f t="shared" si="249"/>
        <v>8.4920387137058989E-2</v>
      </c>
      <c r="AC105" s="138" t="e">
        <f t="shared" si="196"/>
        <v>#DIV/0!</v>
      </c>
      <c r="AD105" s="20"/>
      <c r="AE105" s="20"/>
    </row>
    <row r="106" spans="2:31">
      <c r="B106" s="20" t="str">
        <f>B34</f>
        <v>2nd highest Expenses Comp. ( Empl )</v>
      </c>
      <c r="C106" s="20"/>
      <c r="D106" s="20"/>
      <c r="E106" s="20"/>
      <c r="F106" s="20"/>
      <c r="G106" s="152" t="e">
        <f>G34/G25</f>
        <v>#DIV/0!</v>
      </c>
      <c r="H106" s="152" t="e">
        <f t="shared" ref="H106:P106" si="250">H34/H25</f>
        <v>#DIV/0!</v>
      </c>
      <c r="I106" s="152" t="e">
        <f t="shared" si="250"/>
        <v>#DIV/0!</v>
      </c>
      <c r="J106" s="152" t="e">
        <f t="shared" si="250"/>
        <v>#DIV/0!</v>
      </c>
      <c r="K106" s="152" t="e">
        <f t="shared" si="250"/>
        <v>#DIV/0!</v>
      </c>
      <c r="L106" s="152" t="e">
        <f t="shared" si="250"/>
        <v>#DIV/0!</v>
      </c>
      <c r="M106" s="152">
        <f t="shared" si="250"/>
        <v>0.37164750957854409</v>
      </c>
      <c r="N106" s="152">
        <f t="shared" si="250"/>
        <v>0.32436604189636165</v>
      </c>
      <c r="O106" s="152">
        <f t="shared" si="250"/>
        <v>0.29392418210143673</v>
      </c>
      <c r="P106" s="152">
        <f t="shared" si="250"/>
        <v>0.30471433031532935</v>
      </c>
      <c r="Q106" s="118" t="e">
        <f t="shared" si="194"/>
        <v>#DIV/0!</v>
      </c>
      <c r="R106" s="20"/>
      <c r="S106" s="152">
        <f t="shared" ref="S106:AB106" si="251">S34/S25</f>
        <v>0.30471433031532941</v>
      </c>
      <c r="T106" s="152">
        <f t="shared" si="251"/>
        <v>0.30471433031532941</v>
      </c>
      <c r="U106" s="152">
        <f t="shared" si="251"/>
        <v>0.30471433031532935</v>
      </c>
      <c r="V106" s="152">
        <f t="shared" si="251"/>
        <v>0.30471433031532941</v>
      </c>
      <c r="W106" s="152">
        <f t="shared" si="251"/>
        <v>0.30471433031532935</v>
      </c>
      <c r="X106" s="152">
        <f t="shared" si="251"/>
        <v>0.30471433031532935</v>
      </c>
      <c r="Y106" s="152">
        <f t="shared" si="251"/>
        <v>0.3047143303153293</v>
      </c>
      <c r="Z106" s="152">
        <f t="shared" si="251"/>
        <v>0.30471433031532924</v>
      </c>
      <c r="AA106" s="152">
        <f t="shared" si="251"/>
        <v>0.30471433031532924</v>
      </c>
      <c r="AB106" s="152">
        <f t="shared" si="251"/>
        <v>0.30471433031532924</v>
      </c>
      <c r="AC106" s="138" t="e">
        <f t="shared" si="196"/>
        <v>#DIV/0!</v>
      </c>
      <c r="AD106" s="20"/>
      <c r="AE106" s="20"/>
    </row>
    <row r="107" spans="2:31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128"/>
      <c r="R107" s="128"/>
      <c r="S107" s="119"/>
      <c r="T107" s="119"/>
      <c r="U107" s="119"/>
      <c r="V107" s="119"/>
      <c r="W107" s="119"/>
      <c r="X107" s="119"/>
      <c r="Y107" s="119"/>
      <c r="Z107" s="119"/>
      <c r="AA107" s="119"/>
      <c r="AB107" s="119"/>
      <c r="AC107" s="139"/>
      <c r="AD107" s="20"/>
      <c r="AE107" s="20"/>
    </row>
    <row r="108" spans="2:31">
      <c r="B108" s="108" t="s">
        <v>363</v>
      </c>
      <c r="C108" s="20"/>
      <c r="D108" s="20"/>
      <c r="E108" s="20"/>
      <c r="F108" s="20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118"/>
      <c r="R108" s="128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138"/>
      <c r="AD108" s="20"/>
      <c r="AE108" s="20"/>
    </row>
    <row r="109" spans="2:31">
      <c r="B109" s="20" t="s">
        <v>366</v>
      </c>
      <c r="C109" s="20"/>
      <c r="D109" s="20"/>
      <c r="E109" s="20"/>
      <c r="F109" s="20"/>
      <c r="G109" s="25" t="e">
        <f>G15/G9</f>
        <v>#DIV/0!</v>
      </c>
      <c r="H109" s="25" t="e">
        <f t="shared" ref="H109:AB109" si="252">H15/H9</f>
        <v>#DIV/0!</v>
      </c>
      <c r="I109" s="25" t="e">
        <f t="shared" si="252"/>
        <v>#DIV/0!</v>
      </c>
      <c r="J109" s="25" t="e">
        <f t="shared" si="252"/>
        <v>#DIV/0!</v>
      </c>
      <c r="K109" s="25" t="e">
        <f t="shared" si="252"/>
        <v>#DIV/0!</v>
      </c>
      <c r="L109" s="25" t="e">
        <f t="shared" si="252"/>
        <v>#DIV/0!</v>
      </c>
      <c r="M109" s="25" t="e">
        <f t="shared" si="252"/>
        <v>#DIV/0!</v>
      </c>
      <c r="N109" s="25" t="e">
        <f t="shared" si="252"/>
        <v>#DIV/0!</v>
      </c>
      <c r="O109" s="25" t="e">
        <f t="shared" si="252"/>
        <v>#DIV/0!</v>
      </c>
      <c r="P109" s="25" t="e">
        <f t="shared" si="252"/>
        <v>#DIV/0!</v>
      </c>
      <c r="Q109" s="118" t="e">
        <f t="shared" si="194"/>
        <v>#DIV/0!</v>
      </c>
      <c r="R109" s="20"/>
      <c r="S109" s="20" t="e">
        <f t="shared" si="252"/>
        <v>#DIV/0!</v>
      </c>
      <c r="T109" s="20" t="e">
        <f t="shared" si="252"/>
        <v>#DIV/0!</v>
      </c>
      <c r="U109" s="20" t="e">
        <f t="shared" si="252"/>
        <v>#DIV/0!</v>
      </c>
      <c r="V109" s="20" t="e">
        <f t="shared" si="252"/>
        <v>#DIV/0!</v>
      </c>
      <c r="W109" s="20" t="e">
        <f t="shared" si="252"/>
        <v>#DIV/0!</v>
      </c>
      <c r="X109" s="20" t="e">
        <f t="shared" si="252"/>
        <v>#DIV/0!</v>
      </c>
      <c r="Y109" s="20" t="e">
        <f t="shared" si="252"/>
        <v>#DIV/0!</v>
      </c>
      <c r="Z109" s="20" t="e">
        <f t="shared" si="252"/>
        <v>#DIV/0!</v>
      </c>
      <c r="AA109" s="20" t="e">
        <f t="shared" si="252"/>
        <v>#DIV/0!</v>
      </c>
      <c r="AB109" s="20" t="e">
        <f t="shared" si="252"/>
        <v>#DIV/0!</v>
      </c>
      <c r="AC109" s="138" t="e">
        <f t="shared" si="196"/>
        <v>#DIV/0!</v>
      </c>
      <c r="AD109" s="20"/>
      <c r="AE109" s="20"/>
    </row>
    <row r="110" spans="2:31">
      <c r="B110" s="20" t="s">
        <v>356</v>
      </c>
      <c r="C110" s="20"/>
      <c r="D110" s="20"/>
      <c r="E110" s="20"/>
      <c r="F110" s="20"/>
      <c r="G110" s="25" t="e">
        <f>G12/G9</f>
        <v>#DIV/0!</v>
      </c>
      <c r="H110" s="25" t="e">
        <f t="shared" ref="H110:P110" si="253">H12/H9</f>
        <v>#DIV/0!</v>
      </c>
      <c r="I110" s="25" t="e">
        <f t="shared" si="253"/>
        <v>#DIV/0!</v>
      </c>
      <c r="J110" s="25" t="e">
        <f t="shared" si="253"/>
        <v>#DIV/0!</v>
      </c>
      <c r="K110" s="25" t="e">
        <f t="shared" si="253"/>
        <v>#DIV/0!</v>
      </c>
      <c r="L110" s="25" t="e">
        <f t="shared" si="253"/>
        <v>#DIV/0!</v>
      </c>
      <c r="M110" s="25" t="e">
        <f t="shared" si="253"/>
        <v>#DIV/0!</v>
      </c>
      <c r="N110" s="25" t="e">
        <f t="shared" si="253"/>
        <v>#DIV/0!</v>
      </c>
      <c r="O110" s="25" t="e">
        <f t="shared" si="253"/>
        <v>#DIV/0!</v>
      </c>
      <c r="P110" s="25" t="e">
        <f t="shared" si="253"/>
        <v>#DIV/0!</v>
      </c>
      <c r="Q110" s="118" t="e">
        <f t="shared" si="194"/>
        <v>#DIV/0!</v>
      </c>
      <c r="R110" s="128"/>
      <c r="S110" s="20" t="e">
        <f t="shared" ref="S110:AB110" si="254">S12/S9</f>
        <v>#DIV/0!</v>
      </c>
      <c r="T110" s="20" t="e">
        <f t="shared" si="254"/>
        <v>#DIV/0!</v>
      </c>
      <c r="U110" s="20" t="e">
        <f t="shared" si="254"/>
        <v>#DIV/0!</v>
      </c>
      <c r="V110" s="20" t="e">
        <f t="shared" si="254"/>
        <v>#DIV/0!</v>
      </c>
      <c r="W110" s="20" t="e">
        <f t="shared" si="254"/>
        <v>#DIV/0!</v>
      </c>
      <c r="X110" s="20" t="e">
        <f t="shared" si="254"/>
        <v>#DIV/0!</v>
      </c>
      <c r="Y110" s="20" t="e">
        <f t="shared" si="254"/>
        <v>#DIV/0!</v>
      </c>
      <c r="Z110" s="20" t="e">
        <f t="shared" si="254"/>
        <v>#DIV/0!</v>
      </c>
      <c r="AA110" s="20" t="e">
        <f t="shared" si="254"/>
        <v>#DIV/0!</v>
      </c>
      <c r="AB110" s="20" t="e">
        <f t="shared" si="254"/>
        <v>#DIV/0!</v>
      </c>
      <c r="AC110" s="118" t="e">
        <f t="shared" ref="AC110" si="255">((AB110/S110)^(1/($H$2-$H$1) ))-1</f>
        <v>#DIV/0!</v>
      </c>
      <c r="AD110" s="20"/>
      <c r="AE110" s="20"/>
    </row>
    <row r="111" spans="2:31">
      <c r="B111" s="20" t="s">
        <v>358</v>
      </c>
      <c r="C111" s="20"/>
      <c r="D111" s="20"/>
      <c r="E111" s="20"/>
      <c r="F111" s="20"/>
      <c r="G111" s="25">
        <f>G25/360</f>
        <v>0</v>
      </c>
      <c r="H111" s="25">
        <f t="shared" ref="H111:P111" si="256">H25/360</f>
        <v>0</v>
      </c>
      <c r="I111" s="25">
        <f t="shared" si="256"/>
        <v>0</v>
      </c>
      <c r="J111" s="25">
        <f t="shared" si="256"/>
        <v>0</v>
      </c>
      <c r="K111" s="25">
        <f t="shared" si="256"/>
        <v>0</v>
      </c>
      <c r="L111" s="25">
        <f t="shared" si="256"/>
        <v>0</v>
      </c>
      <c r="M111" s="25">
        <f t="shared" si="256"/>
        <v>13.05</v>
      </c>
      <c r="N111" s="25">
        <f t="shared" si="256"/>
        <v>12.597222222222221</v>
      </c>
      <c r="O111" s="25">
        <f t="shared" si="256"/>
        <v>16.047222222222221</v>
      </c>
      <c r="P111" s="25">
        <f t="shared" si="256"/>
        <v>17.794444444444444</v>
      </c>
      <c r="Q111" s="118" t="e">
        <f t="shared" si="194"/>
        <v>#DIV/0!</v>
      </c>
      <c r="R111" s="128"/>
      <c r="S111" s="25">
        <f t="shared" ref="S111:AB111" si="257">S25/360</f>
        <v>19.92977777777778</v>
      </c>
      <c r="T111" s="25">
        <f t="shared" si="257"/>
        <v>22.321351111111117</v>
      </c>
      <c r="U111" s="25">
        <f t="shared" si="257"/>
        <v>24.99991324444445</v>
      </c>
      <c r="V111" s="25">
        <f t="shared" si="257"/>
        <v>27.999902833777789</v>
      </c>
      <c r="W111" s="25">
        <f t="shared" si="257"/>
        <v>31.359891173831127</v>
      </c>
      <c r="X111" s="25">
        <f t="shared" si="257"/>
        <v>35.12307811469087</v>
      </c>
      <c r="Y111" s="25">
        <f t="shared" si="257"/>
        <v>39.337847488453775</v>
      </c>
      <c r="Z111" s="25">
        <f t="shared" si="257"/>
        <v>44.058389187068236</v>
      </c>
      <c r="AA111" s="25">
        <f t="shared" si="257"/>
        <v>49.345395889516425</v>
      </c>
      <c r="AB111" s="25">
        <f t="shared" si="257"/>
        <v>55.266843396258409</v>
      </c>
      <c r="AC111" s="118">
        <f t="shared" ref="AC111:AC122" si="258">((AB111/S111)^(1/($H$2-$H$1) ))-1</f>
        <v>0.12000000000000011</v>
      </c>
      <c r="AD111" s="20"/>
      <c r="AE111" s="20"/>
    </row>
    <row r="112" spans="2:31">
      <c r="B112" s="20" t="s">
        <v>357</v>
      </c>
      <c r="C112" s="20"/>
      <c r="D112" s="20"/>
      <c r="E112" s="20"/>
      <c r="F112" s="20"/>
      <c r="G112" s="25">
        <f>G27/360</f>
        <v>0</v>
      </c>
      <c r="H112" s="25">
        <f t="shared" ref="H112:P112" si="259">H27/360</f>
        <v>0</v>
      </c>
      <c r="I112" s="25">
        <f t="shared" si="259"/>
        <v>0</v>
      </c>
      <c r="J112" s="25">
        <f t="shared" si="259"/>
        <v>0</v>
      </c>
      <c r="K112" s="25">
        <f t="shared" si="259"/>
        <v>0</v>
      </c>
      <c r="L112" s="25">
        <f t="shared" si="259"/>
        <v>0</v>
      </c>
      <c r="M112" s="25">
        <f t="shared" si="259"/>
        <v>6.8388888888888886</v>
      </c>
      <c r="N112" s="25">
        <f t="shared" si="259"/>
        <v>6.5694444444444446</v>
      </c>
      <c r="O112" s="25">
        <f t="shared" si="259"/>
        <v>8.9333333333333336</v>
      </c>
      <c r="P112" s="25">
        <f t="shared" si="259"/>
        <v>10.052777777777777</v>
      </c>
      <c r="Q112" s="118" t="e">
        <f t="shared" si="194"/>
        <v>#DIV/0!</v>
      </c>
      <c r="R112" s="128"/>
      <c r="S112" s="25">
        <f t="shared" ref="S112:AB112" si="260">S27/360</f>
        <v>11.259111111111112</v>
      </c>
      <c r="T112" s="25">
        <f t="shared" si="260"/>
        <v>12.610204444444447</v>
      </c>
      <c r="U112" s="25">
        <f t="shared" si="260"/>
        <v>14.123428977777783</v>
      </c>
      <c r="V112" s="25">
        <f t="shared" si="260"/>
        <v>15.818240455111118</v>
      </c>
      <c r="W112" s="25">
        <f t="shared" si="260"/>
        <v>17.716429309724454</v>
      </c>
      <c r="X112" s="25">
        <f t="shared" si="260"/>
        <v>19.842400826891389</v>
      </c>
      <c r="Y112" s="25">
        <f t="shared" si="260"/>
        <v>22.223488926118357</v>
      </c>
      <c r="Z112" s="25">
        <f t="shared" si="260"/>
        <v>24.890307597252562</v>
      </c>
      <c r="AA112" s="25">
        <f t="shared" si="260"/>
        <v>27.877144508922871</v>
      </c>
      <c r="AB112" s="25">
        <f t="shared" si="260"/>
        <v>31.22240184999362</v>
      </c>
      <c r="AC112" s="118">
        <f t="shared" si="258"/>
        <v>0.12000000000000011</v>
      </c>
      <c r="AD112" s="20"/>
      <c r="AE112" s="20"/>
    </row>
    <row r="113" spans="2:31">
      <c r="B113" s="20"/>
      <c r="C113" s="20"/>
      <c r="D113" s="20"/>
      <c r="E113" s="20"/>
      <c r="F113" s="20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128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128"/>
      <c r="AD113" s="20"/>
      <c r="AE113" s="20"/>
    </row>
    <row r="114" spans="2:31">
      <c r="B114" s="20" t="s">
        <v>367</v>
      </c>
      <c r="C114" s="20"/>
      <c r="D114" s="20"/>
      <c r="E114" s="20"/>
      <c r="F114" s="20"/>
      <c r="G114" s="25" t="e">
        <f>G10/G7</f>
        <v>#DIV/0!</v>
      </c>
      <c r="H114" s="25" t="e">
        <f t="shared" ref="H114:P114" si="261">H10/H7</f>
        <v>#DIV/0!</v>
      </c>
      <c r="I114" s="25" t="e">
        <f t="shared" si="261"/>
        <v>#DIV/0!</v>
      </c>
      <c r="J114" s="25" t="e">
        <f t="shared" si="261"/>
        <v>#DIV/0!</v>
      </c>
      <c r="K114" s="25" t="e">
        <f t="shared" si="261"/>
        <v>#DIV/0!</v>
      </c>
      <c r="L114" s="25" t="e">
        <f t="shared" si="261"/>
        <v>#DIV/0!</v>
      </c>
      <c r="M114" s="25" t="e">
        <f t="shared" si="261"/>
        <v>#DIV/0!</v>
      </c>
      <c r="N114" s="25" t="e">
        <f t="shared" si="261"/>
        <v>#DIV/0!</v>
      </c>
      <c r="O114" s="25" t="e">
        <f t="shared" si="261"/>
        <v>#DIV/0!</v>
      </c>
      <c r="P114" s="25" t="e">
        <f t="shared" si="261"/>
        <v>#DIV/0!</v>
      </c>
      <c r="Q114" s="118" t="e">
        <f t="shared" si="194"/>
        <v>#DIV/0!</v>
      </c>
      <c r="R114" s="128"/>
      <c r="S114" s="25" t="e">
        <f t="shared" ref="S114:AB114" si="262">S10/S7</f>
        <v>#DIV/0!</v>
      </c>
      <c r="T114" s="25" t="e">
        <f t="shared" si="262"/>
        <v>#DIV/0!</v>
      </c>
      <c r="U114" s="25" t="e">
        <f t="shared" si="262"/>
        <v>#DIV/0!</v>
      </c>
      <c r="V114" s="25" t="e">
        <f t="shared" si="262"/>
        <v>#DIV/0!</v>
      </c>
      <c r="W114" s="25" t="e">
        <f t="shared" si="262"/>
        <v>#DIV/0!</v>
      </c>
      <c r="X114" s="25" t="e">
        <f t="shared" si="262"/>
        <v>#DIV/0!</v>
      </c>
      <c r="Y114" s="25" t="e">
        <f t="shared" si="262"/>
        <v>#DIV/0!</v>
      </c>
      <c r="Z114" s="25" t="e">
        <f t="shared" si="262"/>
        <v>#DIV/0!</v>
      </c>
      <c r="AA114" s="25" t="e">
        <f t="shared" si="262"/>
        <v>#DIV/0!</v>
      </c>
      <c r="AB114" s="25" t="e">
        <f t="shared" si="262"/>
        <v>#DIV/0!</v>
      </c>
      <c r="AC114" s="118" t="e">
        <f t="shared" si="258"/>
        <v>#DIV/0!</v>
      </c>
      <c r="AD114" s="20"/>
      <c r="AE114" s="20"/>
    </row>
    <row r="115" spans="2:31">
      <c r="B115" s="20" t="s">
        <v>359</v>
      </c>
      <c r="C115" s="20"/>
      <c r="D115" s="20"/>
      <c r="E115" s="20"/>
      <c r="F115" s="20"/>
      <c r="G115" s="25" t="e">
        <f>G10/(G10+G7)</f>
        <v>#DIV/0!</v>
      </c>
      <c r="H115" s="25" t="e">
        <f t="shared" ref="H115:P115" si="263">H10/(H10+H7)</f>
        <v>#DIV/0!</v>
      </c>
      <c r="I115" s="25" t="e">
        <f t="shared" si="263"/>
        <v>#DIV/0!</v>
      </c>
      <c r="J115" s="25" t="e">
        <f t="shared" si="263"/>
        <v>#DIV/0!</v>
      </c>
      <c r="K115" s="25" t="e">
        <f t="shared" si="263"/>
        <v>#DIV/0!</v>
      </c>
      <c r="L115" s="25" t="e">
        <f t="shared" si="263"/>
        <v>#DIV/0!</v>
      </c>
      <c r="M115" s="25" t="e">
        <f t="shared" si="263"/>
        <v>#DIV/0!</v>
      </c>
      <c r="N115" s="25" t="e">
        <f t="shared" si="263"/>
        <v>#DIV/0!</v>
      </c>
      <c r="O115" s="25" t="e">
        <f t="shared" si="263"/>
        <v>#DIV/0!</v>
      </c>
      <c r="P115" s="25" t="e">
        <f t="shared" si="263"/>
        <v>#DIV/0!</v>
      </c>
      <c r="Q115" s="118" t="e">
        <f t="shared" si="194"/>
        <v>#DIV/0!</v>
      </c>
      <c r="R115" s="128"/>
      <c r="S115" s="25" t="e">
        <f t="shared" ref="S115:AB115" si="264">S10/(S10+S7)</f>
        <v>#DIV/0!</v>
      </c>
      <c r="T115" s="25" t="e">
        <f t="shared" si="264"/>
        <v>#DIV/0!</v>
      </c>
      <c r="U115" s="25" t="e">
        <f t="shared" si="264"/>
        <v>#DIV/0!</v>
      </c>
      <c r="V115" s="25" t="e">
        <f t="shared" si="264"/>
        <v>#DIV/0!</v>
      </c>
      <c r="W115" s="25" t="e">
        <f t="shared" si="264"/>
        <v>#DIV/0!</v>
      </c>
      <c r="X115" s="25" t="e">
        <f t="shared" si="264"/>
        <v>#DIV/0!</v>
      </c>
      <c r="Y115" s="25" t="e">
        <f t="shared" si="264"/>
        <v>#DIV/0!</v>
      </c>
      <c r="Z115" s="25" t="e">
        <f t="shared" si="264"/>
        <v>#DIV/0!</v>
      </c>
      <c r="AA115" s="25" t="e">
        <f t="shared" si="264"/>
        <v>#DIV/0!</v>
      </c>
      <c r="AB115" s="25" t="e">
        <f t="shared" si="264"/>
        <v>#DIV/0!</v>
      </c>
      <c r="AC115" s="118" t="e">
        <f t="shared" si="258"/>
        <v>#DIV/0!</v>
      </c>
      <c r="AD115" s="20"/>
      <c r="AE115" s="20"/>
    </row>
    <row r="116" spans="2:31">
      <c r="B116" s="20"/>
      <c r="C116" s="20"/>
      <c r="D116" s="20"/>
      <c r="E116" s="20"/>
      <c r="F116" s="20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128"/>
      <c r="R116" s="128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137"/>
      <c r="AD116" s="20"/>
      <c r="AE116" s="20"/>
    </row>
    <row r="117" spans="2:31">
      <c r="B117" s="20" t="s">
        <v>364</v>
      </c>
      <c r="C117" s="20"/>
      <c r="D117" s="20"/>
      <c r="E117" s="20"/>
      <c r="F117" s="20"/>
      <c r="G117" s="25">
        <f>G16</f>
        <v>0</v>
      </c>
      <c r="H117" s="25">
        <f t="shared" ref="H117:P117" si="265">H16</f>
        <v>0</v>
      </c>
      <c r="I117" s="25">
        <f t="shared" si="265"/>
        <v>0</v>
      </c>
      <c r="J117" s="25">
        <f t="shared" si="265"/>
        <v>0</v>
      </c>
      <c r="K117" s="25">
        <f t="shared" si="265"/>
        <v>0</v>
      </c>
      <c r="L117" s="25">
        <f t="shared" si="265"/>
        <v>0</v>
      </c>
      <c r="M117" s="25">
        <f t="shared" si="265"/>
        <v>0</v>
      </c>
      <c r="N117" s="25">
        <f t="shared" si="265"/>
        <v>0</v>
      </c>
      <c r="O117" s="25">
        <f t="shared" si="265"/>
        <v>0</v>
      </c>
      <c r="P117" s="25">
        <f t="shared" si="265"/>
        <v>0</v>
      </c>
      <c r="Q117" s="118" t="e">
        <f t="shared" si="194"/>
        <v>#DIV/0!</v>
      </c>
      <c r="R117" s="128"/>
      <c r="S117" s="25">
        <f t="shared" ref="S117:AB117" si="266">S16</f>
        <v>0</v>
      </c>
      <c r="T117" s="25">
        <f t="shared" si="266"/>
        <v>0</v>
      </c>
      <c r="U117" s="25">
        <f t="shared" si="266"/>
        <v>0</v>
      </c>
      <c r="V117" s="25">
        <f t="shared" si="266"/>
        <v>0</v>
      </c>
      <c r="W117" s="25">
        <f t="shared" si="266"/>
        <v>0</v>
      </c>
      <c r="X117" s="25">
        <f t="shared" si="266"/>
        <v>0</v>
      </c>
      <c r="Y117" s="25">
        <f t="shared" si="266"/>
        <v>0</v>
      </c>
      <c r="Z117" s="25">
        <f t="shared" si="266"/>
        <v>0</v>
      </c>
      <c r="AA117" s="25">
        <f t="shared" si="266"/>
        <v>0</v>
      </c>
      <c r="AB117" s="25">
        <f t="shared" si="266"/>
        <v>0</v>
      </c>
      <c r="AC117" s="118" t="e">
        <f t="shared" si="258"/>
        <v>#DIV/0!</v>
      </c>
      <c r="AD117" s="20"/>
      <c r="AE117" s="20"/>
    </row>
    <row r="118" spans="2:31">
      <c r="B118" s="20" t="s">
        <v>365</v>
      </c>
      <c r="C118" s="20"/>
      <c r="D118" s="20"/>
      <c r="E118" s="20"/>
      <c r="F118" s="20"/>
      <c r="G118" s="119" t="e">
        <f t="shared" ref="G118:P118" si="267">G117*365/G25</f>
        <v>#DIV/0!</v>
      </c>
      <c r="H118" s="119" t="e">
        <f t="shared" si="267"/>
        <v>#DIV/0!</v>
      </c>
      <c r="I118" s="119" t="e">
        <f t="shared" si="267"/>
        <v>#DIV/0!</v>
      </c>
      <c r="J118" s="119" t="e">
        <f t="shared" si="267"/>
        <v>#DIV/0!</v>
      </c>
      <c r="K118" s="119" t="e">
        <f t="shared" si="267"/>
        <v>#DIV/0!</v>
      </c>
      <c r="L118" s="119" t="e">
        <f t="shared" si="267"/>
        <v>#DIV/0!</v>
      </c>
      <c r="M118" s="119">
        <f t="shared" si="267"/>
        <v>0</v>
      </c>
      <c r="N118" s="119">
        <f t="shared" si="267"/>
        <v>0</v>
      </c>
      <c r="O118" s="119">
        <f t="shared" si="267"/>
        <v>0</v>
      </c>
      <c r="P118" s="119">
        <f t="shared" si="267"/>
        <v>0</v>
      </c>
      <c r="Q118" s="118" t="e">
        <f t="shared" si="194"/>
        <v>#DIV/0!</v>
      </c>
      <c r="R118" s="128"/>
      <c r="S118" s="119">
        <f t="shared" ref="S118:AB118" si="268">S117*365/S25</f>
        <v>0</v>
      </c>
      <c r="T118" s="119">
        <f t="shared" si="268"/>
        <v>0</v>
      </c>
      <c r="U118" s="119">
        <f t="shared" si="268"/>
        <v>0</v>
      </c>
      <c r="V118" s="119">
        <f t="shared" si="268"/>
        <v>0</v>
      </c>
      <c r="W118" s="119">
        <f t="shared" si="268"/>
        <v>0</v>
      </c>
      <c r="X118" s="119">
        <f t="shared" si="268"/>
        <v>0</v>
      </c>
      <c r="Y118" s="119">
        <f t="shared" si="268"/>
        <v>0</v>
      </c>
      <c r="Z118" s="119">
        <f t="shared" si="268"/>
        <v>0</v>
      </c>
      <c r="AA118" s="119">
        <f t="shared" si="268"/>
        <v>0</v>
      </c>
      <c r="AB118" s="119">
        <f t="shared" si="268"/>
        <v>0</v>
      </c>
      <c r="AC118" s="118" t="e">
        <f t="shared" si="258"/>
        <v>#DIV/0!</v>
      </c>
      <c r="AD118" s="20"/>
      <c r="AE118" s="20"/>
    </row>
    <row r="119" spans="2:31">
      <c r="B119" s="20" t="s">
        <v>368</v>
      </c>
      <c r="C119" s="20"/>
      <c r="D119" s="20"/>
      <c r="E119" s="20"/>
      <c r="F119" s="20"/>
      <c r="G119" s="133" t="e">
        <f>G73/G29</f>
        <v>#DIV/0!</v>
      </c>
      <c r="H119" s="133" t="e">
        <f t="shared" ref="H119:P119" si="269">H73/H29</f>
        <v>#DIV/0!</v>
      </c>
      <c r="I119" s="133" t="e">
        <f t="shared" si="269"/>
        <v>#DIV/0!</v>
      </c>
      <c r="J119" s="133" t="e">
        <f t="shared" si="269"/>
        <v>#DIV/0!</v>
      </c>
      <c r="K119" s="133" t="e">
        <f t="shared" si="269"/>
        <v>#DIV/0!</v>
      </c>
      <c r="L119" s="133" t="e">
        <f t="shared" si="269"/>
        <v>#DIV/0!</v>
      </c>
      <c r="M119" s="133">
        <f t="shared" si="269"/>
        <v>3.0975891976070792E-2</v>
      </c>
      <c r="N119" s="133">
        <f t="shared" si="269"/>
        <v>2.2561857685890287E-2</v>
      </c>
      <c r="O119" s="133">
        <f t="shared" si="269"/>
        <v>6.9366298459900153E-2</v>
      </c>
      <c r="P119" s="133">
        <f t="shared" si="269"/>
        <v>6.2739304976314525E-2</v>
      </c>
      <c r="Q119" s="118" t="e">
        <f t="shared" si="194"/>
        <v>#DIV/0!</v>
      </c>
      <c r="R119" s="128"/>
      <c r="S119" s="133">
        <f t="shared" ref="S119:AB119" si="270">S73/S29</f>
        <v>4.1826203317543012E-2</v>
      </c>
      <c r="T119" s="133">
        <f t="shared" si="270"/>
        <v>3.7344824390663403E-2</v>
      </c>
      <c r="U119" s="133">
        <f t="shared" si="270"/>
        <v>3.3343593205949457E-2</v>
      </c>
      <c r="V119" s="133">
        <f t="shared" si="270"/>
        <v>2.9771065362454871E-2</v>
      </c>
      <c r="W119" s="133">
        <f t="shared" si="270"/>
        <v>2.6581308359334702E-2</v>
      </c>
      <c r="X119" s="133">
        <f t="shared" si="270"/>
        <v>2.3733311035120268E-2</v>
      </c>
      <c r="Y119" s="133">
        <f t="shared" si="270"/>
        <v>2.1190456281357378E-2</v>
      </c>
      <c r="Z119" s="133">
        <f t="shared" si="270"/>
        <v>1.8920050251211944E-2</v>
      </c>
      <c r="AA119" s="133">
        <f t="shared" si="270"/>
        <v>1.689290201001066E-2</v>
      </c>
      <c r="AB119" s="133">
        <f t="shared" si="270"/>
        <v>1.5082948223223803E-2</v>
      </c>
      <c r="AC119" s="118">
        <f t="shared" si="258"/>
        <v>-0.10714285714285721</v>
      </c>
      <c r="AD119" s="20"/>
      <c r="AE119" s="20"/>
    </row>
    <row r="120" spans="2:31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128"/>
      <c r="R120" s="128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137"/>
      <c r="AD120" s="20"/>
      <c r="AE120" s="20"/>
    </row>
    <row r="121" spans="2:31">
      <c r="B121" s="20" t="s">
        <v>375</v>
      </c>
      <c r="C121" s="20"/>
      <c r="D121" s="20"/>
      <c r="E121" s="20"/>
      <c r="F121" s="20"/>
      <c r="G121" s="180" t="e">
        <f>G25/G14</f>
        <v>#DIV/0!</v>
      </c>
      <c r="H121" s="180" t="e">
        <f t="shared" ref="H121:P121" si="271">H25/H14</f>
        <v>#DIV/0!</v>
      </c>
      <c r="I121" s="180" t="e">
        <f t="shared" si="271"/>
        <v>#DIV/0!</v>
      </c>
      <c r="J121" s="180" t="e">
        <f t="shared" si="271"/>
        <v>#DIV/0!</v>
      </c>
      <c r="K121" s="180" t="e">
        <f t="shared" si="271"/>
        <v>#DIV/0!</v>
      </c>
      <c r="L121" s="180" t="e">
        <f t="shared" si="271"/>
        <v>#DIV/0!</v>
      </c>
      <c r="M121" s="180" t="e">
        <f t="shared" si="271"/>
        <v>#DIV/0!</v>
      </c>
      <c r="N121" s="180" t="e">
        <f t="shared" si="271"/>
        <v>#DIV/0!</v>
      </c>
      <c r="O121" s="180" t="e">
        <f t="shared" si="271"/>
        <v>#DIV/0!</v>
      </c>
      <c r="P121" s="180" t="e">
        <f t="shared" si="271"/>
        <v>#DIV/0!</v>
      </c>
      <c r="Q121" s="118" t="e">
        <f t="shared" si="194"/>
        <v>#DIV/0!</v>
      </c>
      <c r="R121" s="128"/>
      <c r="S121" s="20" t="e">
        <f t="shared" ref="S121" si="272">S25/S14</f>
        <v>#DIV/0!</v>
      </c>
      <c r="T121" s="20" t="e">
        <f t="shared" ref="T121:AB121" si="273">T25/T14</f>
        <v>#DIV/0!</v>
      </c>
      <c r="U121" s="20" t="e">
        <f t="shared" si="273"/>
        <v>#DIV/0!</v>
      </c>
      <c r="V121" s="20" t="e">
        <f t="shared" si="273"/>
        <v>#DIV/0!</v>
      </c>
      <c r="W121" s="20" t="e">
        <f t="shared" si="273"/>
        <v>#DIV/0!</v>
      </c>
      <c r="X121" s="20" t="e">
        <f t="shared" si="273"/>
        <v>#DIV/0!</v>
      </c>
      <c r="Y121" s="20" t="e">
        <f t="shared" si="273"/>
        <v>#DIV/0!</v>
      </c>
      <c r="Z121" s="20" t="e">
        <f t="shared" si="273"/>
        <v>#DIV/0!</v>
      </c>
      <c r="AA121" s="20" t="e">
        <f t="shared" si="273"/>
        <v>#DIV/0!</v>
      </c>
      <c r="AB121" s="20" t="e">
        <f t="shared" si="273"/>
        <v>#DIV/0!</v>
      </c>
      <c r="AC121" s="118" t="e">
        <f t="shared" si="258"/>
        <v>#DIV/0!</v>
      </c>
      <c r="AD121" s="20"/>
      <c r="AE121" s="20"/>
    </row>
    <row r="122" spans="2:31">
      <c r="B122" s="20" t="s">
        <v>376</v>
      </c>
      <c r="C122" s="20"/>
      <c r="D122" s="20"/>
      <c r="E122" s="20"/>
      <c r="F122" s="20"/>
      <c r="G122" s="180" t="e">
        <f>G27/G14</f>
        <v>#DIV/0!</v>
      </c>
      <c r="H122" s="180" t="e">
        <f t="shared" ref="H122:P122" si="274">H27/H14</f>
        <v>#DIV/0!</v>
      </c>
      <c r="I122" s="180" t="e">
        <f t="shared" si="274"/>
        <v>#DIV/0!</v>
      </c>
      <c r="J122" s="180" t="e">
        <f t="shared" si="274"/>
        <v>#DIV/0!</v>
      </c>
      <c r="K122" s="180" t="e">
        <f t="shared" si="274"/>
        <v>#DIV/0!</v>
      </c>
      <c r="L122" s="180" t="e">
        <f t="shared" si="274"/>
        <v>#DIV/0!</v>
      </c>
      <c r="M122" s="180" t="e">
        <f t="shared" si="274"/>
        <v>#DIV/0!</v>
      </c>
      <c r="N122" s="180" t="e">
        <f t="shared" si="274"/>
        <v>#DIV/0!</v>
      </c>
      <c r="O122" s="180" t="e">
        <f t="shared" si="274"/>
        <v>#DIV/0!</v>
      </c>
      <c r="P122" s="180" t="e">
        <f t="shared" si="274"/>
        <v>#DIV/0!</v>
      </c>
      <c r="Q122" s="118" t="e">
        <f t="shared" si="194"/>
        <v>#DIV/0!</v>
      </c>
      <c r="R122" s="128"/>
      <c r="S122" s="20" t="e">
        <f t="shared" ref="S122:AB122" si="275">S27/S14</f>
        <v>#DIV/0!</v>
      </c>
      <c r="T122" s="20" t="e">
        <f t="shared" si="275"/>
        <v>#DIV/0!</v>
      </c>
      <c r="U122" s="20" t="e">
        <f t="shared" si="275"/>
        <v>#DIV/0!</v>
      </c>
      <c r="V122" s="20" t="e">
        <f t="shared" si="275"/>
        <v>#DIV/0!</v>
      </c>
      <c r="W122" s="20" t="e">
        <f t="shared" si="275"/>
        <v>#DIV/0!</v>
      </c>
      <c r="X122" s="20" t="e">
        <f t="shared" si="275"/>
        <v>#DIV/0!</v>
      </c>
      <c r="Y122" s="20" t="e">
        <f t="shared" si="275"/>
        <v>#DIV/0!</v>
      </c>
      <c r="Z122" s="20" t="e">
        <f t="shared" si="275"/>
        <v>#DIV/0!</v>
      </c>
      <c r="AA122" s="20" t="e">
        <f t="shared" si="275"/>
        <v>#DIV/0!</v>
      </c>
      <c r="AB122" s="20" t="e">
        <f t="shared" si="275"/>
        <v>#DIV/0!</v>
      </c>
      <c r="AC122" s="118" t="e">
        <f t="shared" si="258"/>
        <v>#DIV/0!</v>
      </c>
      <c r="AD122" s="20"/>
      <c r="AE122" s="20"/>
    </row>
    <row r="123" spans="2:31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128"/>
      <c r="R123" s="128"/>
      <c r="S123" s="119"/>
      <c r="T123" s="119"/>
      <c r="U123" s="119"/>
      <c r="V123" s="119"/>
      <c r="W123" s="119"/>
      <c r="X123" s="119"/>
      <c r="Y123" s="119"/>
      <c r="Z123" s="119"/>
      <c r="AA123" s="119"/>
      <c r="AB123" s="119"/>
      <c r="AC123" s="137"/>
      <c r="AD123" s="20"/>
      <c r="AE123" s="20"/>
    </row>
    <row r="124" spans="2:31">
      <c r="B124" s="108" t="s">
        <v>244</v>
      </c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3"/>
      <c r="R124" s="23"/>
      <c r="S124" s="122" t="s">
        <v>66</v>
      </c>
      <c r="T124" s="20"/>
      <c r="U124" s="20"/>
      <c r="V124" s="20"/>
      <c r="W124" s="20"/>
      <c r="X124" s="20"/>
      <c r="Y124" s="20"/>
      <c r="Z124" s="20"/>
      <c r="AA124" s="20"/>
      <c r="AB124" s="20"/>
      <c r="AC124" s="137"/>
      <c r="AD124" s="20"/>
      <c r="AE124" s="20"/>
    </row>
    <row r="125" spans="2:31">
      <c r="B125" s="23" t="s">
        <v>281</v>
      </c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5"/>
      <c r="Q125" s="160" t="e">
        <f>AVERAGE(G47:P47)</f>
        <v>#DIV/0!</v>
      </c>
      <c r="R125" s="23"/>
      <c r="S125" s="134"/>
      <c r="T125" s="20"/>
      <c r="U125" s="20"/>
      <c r="V125" s="20"/>
      <c r="W125" s="20"/>
      <c r="X125" s="20"/>
      <c r="Y125" s="20"/>
      <c r="Z125" s="20"/>
      <c r="AA125" s="20"/>
      <c r="AB125" s="20"/>
      <c r="AC125" s="137"/>
      <c r="AD125" s="20"/>
      <c r="AE125" s="20"/>
    </row>
    <row r="126" spans="2:31">
      <c r="B126" s="20" t="s">
        <v>25</v>
      </c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140">
        <f>S126+T126</f>
        <v>9.4376817816671519</v>
      </c>
      <c r="S126" s="133">
        <f>PV($C$1, ($AB$3-$S$3), 0, -AB47)</f>
        <v>1.0830126634700012</v>
      </c>
      <c r="T126" s="133">
        <f>PV($C$1, ($AB$3-$S$3), 0, -AE47)</f>
        <v>8.3546691181971511</v>
      </c>
      <c r="U126" s="20"/>
      <c r="V126" s="20"/>
      <c r="W126" s="20"/>
      <c r="X126" s="20"/>
      <c r="Y126" s="20"/>
      <c r="Z126" s="20"/>
      <c r="AA126" s="20"/>
      <c r="AB126" s="20"/>
      <c r="AC126" s="137"/>
      <c r="AD126" s="20"/>
      <c r="AE126" s="20"/>
    </row>
    <row r="127" spans="2:31">
      <c r="B127" s="20" t="s">
        <v>273</v>
      </c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140">
        <f t="shared" ref="R127:R145" si="276">S127+T127</f>
        <v>0</v>
      </c>
      <c r="S127" s="133">
        <f>PV($C$1, ($AB$3-$S$3), 0, -AB49)</f>
        <v>0</v>
      </c>
      <c r="T127" s="133">
        <f>PV($C$1, ($AB$3-$S$3), 0, -AE49)</f>
        <v>0</v>
      </c>
      <c r="U127" s="20"/>
      <c r="V127" s="20"/>
      <c r="W127" s="20"/>
      <c r="X127" s="20"/>
      <c r="Y127" s="20"/>
      <c r="Z127" s="20"/>
      <c r="AA127" s="20"/>
      <c r="AB127" s="20"/>
      <c r="AC127" s="137"/>
      <c r="AD127" s="20"/>
      <c r="AE127" s="20"/>
    </row>
    <row r="128" spans="2:31">
      <c r="B128" s="20" t="s">
        <v>274</v>
      </c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140">
        <f t="shared" si="276"/>
        <v>0</v>
      </c>
      <c r="S128" s="133">
        <f>PV($C$1, ($AB$3-$S$3), 0, -AB50)</f>
        <v>0</v>
      </c>
      <c r="T128" s="133">
        <f>PV($C$1, ($AB$3-$S$3), 0, -AE50)</f>
        <v>0</v>
      </c>
      <c r="U128" s="20"/>
      <c r="V128" s="20"/>
      <c r="W128" s="20"/>
      <c r="X128" s="20"/>
      <c r="Y128" s="20"/>
      <c r="Z128" s="20"/>
      <c r="AA128" s="20"/>
      <c r="AB128" s="20"/>
      <c r="AC128" s="137"/>
      <c r="AD128" s="20"/>
      <c r="AE128" s="20"/>
    </row>
    <row r="129" spans="2:31">
      <c r="B129" s="20" t="s">
        <v>275</v>
      </c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140">
        <f t="shared" si="276"/>
        <v>0</v>
      </c>
      <c r="S129" s="133">
        <f>PV($C$1, ($AB$3-$S$3), 0, -AB51)</f>
        <v>0</v>
      </c>
      <c r="T129" s="133">
        <f>PV($C$1, ($AB$3-$S$3), 0, -AE51)</f>
        <v>0</v>
      </c>
      <c r="U129" s="20"/>
      <c r="V129" s="20"/>
      <c r="W129" s="20"/>
      <c r="X129" s="20"/>
      <c r="Y129" s="20"/>
      <c r="Z129" s="20"/>
      <c r="AA129" s="20"/>
      <c r="AB129" s="20"/>
      <c r="AC129" s="137"/>
      <c r="AD129" s="20"/>
      <c r="AE129" s="20"/>
    </row>
    <row r="130" spans="2:31">
      <c r="B130" s="20" t="s">
        <v>276</v>
      </c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140">
        <f t="shared" si="276"/>
        <v>0</v>
      </c>
      <c r="S130" s="133">
        <f>PV($C$1, ($AB$3-$S$3), 0, -AB57)</f>
        <v>0</v>
      </c>
      <c r="T130" s="133">
        <f>PV($C$1, ($AB$3-$S$3), 0, -AE57)</f>
        <v>0</v>
      </c>
      <c r="U130" s="20"/>
      <c r="V130" s="20"/>
      <c r="W130" s="20"/>
      <c r="X130" s="20"/>
      <c r="Y130" s="20"/>
      <c r="Z130" s="20"/>
      <c r="AA130" s="20"/>
      <c r="AB130" s="20"/>
      <c r="AC130" s="137"/>
      <c r="AD130" s="20"/>
      <c r="AE130" s="20"/>
    </row>
    <row r="131" spans="2:31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140"/>
      <c r="S131" s="133"/>
      <c r="T131" s="20"/>
      <c r="U131" s="20"/>
      <c r="V131" s="20"/>
      <c r="W131" s="20"/>
      <c r="X131" s="20"/>
      <c r="Y131" s="20"/>
      <c r="Z131" s="20"/>
      <c r="AA131" s="20"/>
      <c r="AB131" s="20"/>
      <c r="AC131" s="137"/>
      <c r="AD131" s="20"/>
      <c r="AE131" s="20"/>
    </row>
    <row r="132" spans="2:31">
      <c r="B132" s="20" t="s">
        <v>271</v>
      </c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140">
        <f t="shared" si="276"/>
        <v>0</v>
      </c>
      <c r="S132" s="133">
        <f>PV($C$1, ($AB$3-$S$3), 0, -AB53)</f>
        <v>0</v>
      </c>
      <c r="T132" s="133">
        <f>PV($C$1, ($AB$3-$S$3), 0, -$AE$53)</f>
        <v>0</v>
      </c>
      <c r="U132" s="20"/>
      <c r="V132" s="20"/>
      <c r="W132" s="20"/>
      <c r="X132" s="20"/>
      <c r="Y132" s="20"/>
      <c r="Z132" s="20"/>
      <c r="AA132" s="20"/>
      <c r="AB132" s="20"/>
      <c r="AC132" s="137"/>
      <c r="AD132" s="20"/>
      <c r="AE132" s="20"/>
    </row>
    <row r="133" spans="2:31">
      <c r="B133" s="20" t="s">
        <v>272</v>
      </c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140">
        <f t="shared" si="276"/>
        <v>0</v>
      </c>
      <c r="S133" s="133">
        <f>PV($C$1, ($AB$3-$S$3), 0, -AB54)</f>
        <v>0</v>
      </c>
      <c r="T133" s="133">
        <f>PV($C$1, ($AB$3-$S$3), 0, -$AE$54)</f>
        <v>0</v>
      </c>
      <c r="U133" s="20"/>
      <c r="V133" s="20"/>
      <c r="W133" s="20"/>
      <c r="X133" s="20"/>
      <c r="Y133" s="20"/>
      <c r="Z133" s="20"/>
      <c r="AA133" s="20"/>
      <c r="AB133" s="20"/>
      <c r="AC133" s="137"/>
      <c r="AD133" s="20"/>
      <c r="AE133" s="20"/>
    </row>
    <row r="134" spans="2:31">
      <c r="B134" s="20" t="s">
        <v>277</v>
      </c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140">
        <f t="shared" si="276"/>
        <v>0</v>
      </c>
      <c r="S134" s="133">
        <f>PV($C$1, ($AB$3-$S$3), 0, -AB55)</f>
        <v>0</v>
      </c>
      <c r="T134" s="133">
        <f>PV($C$1, ($AB$3-$S$3), 0, -$AE$55)</f>
        <v>0</v>
      </c>
      <c r="U134" s="20"/>
      <c r="V134" s="20"/>
      <c r="W134" s="20"/>
      <c r="X134" s="20"/>
      <c r="Y134" s="20"/>
      <c r="Z134" s="20"/>
      <c r="AA134" s="20"/>
      <c r="AB134" s="20"/>
      <c r="AC134" s="137"/>
      <c r="AD134" s="20"/>
      <c r="AE134" s="20"/>
    </row>
    <row r="135" spans="2:31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140"/>
      <c r="S135" s="133"/>
      <c r="T135" s="20"/>
      <c r="U135" s="20"/>
      <c r="V135" s="20"/>
      <c r="W135" s="20"/>
      <c r="X135" s="20"/>
      <c r="Y135" s="20"/>
      <c r="Z135" s="20"/>
      <c r="AA135" s="20"/>
      <c r="AB135" s="20"/>
      <c r="AC135" s="137"/>
      <c r="AD135" s="20"/>
      <c r="AE135" s="20"/>
    </row>
    <row r="136" spans="2:31">
      <c r="B136" s="20" t="s">
        <v>249</v>
      </c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140">
        <f t="shared" si="276"/>
        <v>0</v>
      </c>
      <c r="S136" s="133">
        <f>PV($C$1, ($AB$3-$S$3), 0, -AB60)</f>
        <v>0</v>
      </c>
      <c r="T136" s="133">
        <f>PV($C$1, ($AB$3-$S$3), 0, -AE60)</f>
        <v>0</v>
      </c>
      <c r="U136" s="20"/>
      <c r="V136" s="20"/>
      <c r="W136" s="20"/>
      <c r="X136" s="20"/>
      <c r="Y136" s="20"/>
      <c r="Z136" s="20"/>
      <c r="AA136" s="20"/>
      <c r="AB136" s="20"/>
      <c r="AC136" s="137"/>
      <c r="AD136" s="20"/>
      <c r="AE136" s="20"/>
    </row>
    <row r="137" spans="2:31">
      <c r="B137" s="20" t="s">
        <v>250</v>
      </c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140">
        <f t="shared" si="276"/>
        <v>0</v>
      </c>
      <c r="S137" s="133">
        <f>PV($C$1, ($AB$3-$S$3), 0, -AB61)</f>
        <v>0</v>
      </c>
      <c r="T137" s="133">
        <f>PV($C$1, ($AB$3-$S$3), 0, -AE61)</f>
        <v>0</v>
      </c>
      <c r="U137" s="20"/>
      <c r="V137" s="20"/>
      <c r="W137" s="20"/>
      <c r="X137" s="20"/>
      <c r="Y137" s="20"/>
      <c r="Z137" s="20"/>
      <c r="AA137" s="20"/>
      <c r="AB137" s="20"/>
      <c r="AC137" s="137"/>
      <c r="AD137" s="20"/>
      <c r="AE137" s="20"/>
    </row>
    <row r="138" spans="2:31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140"/>
      <c r="S138" s="133"/>
      <c r="T138" s="133"/>
      <c r="U138" s="20"/>
      <c r="V138" s="20"/>
      <c r="W138" s="20"/>
      <c r="X138" s="20"/>
      <c r="Y138" s="20"/>
      <c r="Z138" s="20"/>
      <c r="AA138" s="20"/>
      <c r="AB138" s="20"/>
      <c r="AC138" s="137"/>
      <c r="AD138" s="20"/>
      <c r="AE138" s="20"/>
    </row>
    <row r="139" spans="2:31">
      <c r="B139" s="20" t="s">
        <v>294</v>
      </c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140">
        <f t="shared" ref="R139" si="277">S139+T139</f>
        <v>0</v>
      </c>
      <c r="S139" s="133">
        <f>PV($C$1, ($AB$3-$S$3), 0, -AB12)</f>
        <v>0</v>
      </c>
      <c r="T139" s="133">
        <f>PV($C$1, ($AB$3-$S$3), 0, -AE12)</f>
        <v>0</v>
      </c>
      <c r="U139" s="20"/>
      <c r="V139" s="20"/>
      <c r="W139" s="20"/>
      <c r="X139" s="20"/>
      <c r="Y139" s="20"/>
      <c r="Z139" s="20"/>
      <c r="AA139" s="20"/>
      <c r="AB139" s="20"/>
      <c r="AC139" s="137"/>
      <c r="AD139" s="20"/>
      <c r="AE139" s="20"/>
    </row>
    <row r="140" spans="2:31">
      <c r="B140" s="20" t="s">
        <v>295</v>
      </c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140">
        <f>S140+T140</f>
        <v>0</v>
      </c>
      <c r="S140" s="140">
        <f>S139/P40</f>
        <v>0</v>
      </c>
      <c r="T140" s="140">
        <f>T139/P40</f>
        <v>0</v>
      </c>
      <c r="U140" s="20"/>
      <c r="V140" s="20"/>
      <c r="W140" s="20"/>
      <c r="X140" s="20"/>
      <c r="Y140" s="20"/>
      <c r="Z140" s="20"/>
      <c r="AA140" s="20"/>
      <c r="AB140" s="20"/>
      <c r="AC140" s="137"/>
      <c r="AD140" s="20"/>
      <c r="AE140" s="20"/>
    </row>
    <row r="141" spans="2:31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140"/>
      <c r="S141" s="140"/>
      <c r="T141" s="140"/>
      <c r="U141" s="20"/>
      <c r="V141" s="20"/>
      <c r="W141" s="20"/>
      <c r="X141" s="20"/>
      <c r="Y141" s="20"/>
      <c r="Z141" s="20"/>
      <c r="AA141" s="20"/>
      <c r="AB141" s="20"/>
      <c r="AC141" s="137"/>
      <c r="AD141" s="20"/>
      <c r="AE141" s="20"/>
    </row>
    <row r="142" spans="2:31">
      <c r="B142" s="108" t="s">
        <v>298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140"/>
      <c r="S142" s="133"/>
      <c r="T142" s="133"/>
      <c r="U142" s="20"/>
      <c r="V142" s="20"/>
      <c r="W142" s="20"/>
      <c r="X142" s="20"/>
      <c r="Y142" s="20"/>
      <c r="Z142" s="20"/>
      <c r="AA142" s="20"/>
      <c r="AB142" s="20"/>
      <c r="AC142" s="137"/>
      <c r="AD142" s="20"/>
      <c r="AE142" s="20"/>
    </row>
    <row r="143" spans="2:31">
      <c r="B143" s="20" t="s">
        <v>283</v>
      </c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140">
        <f t="shared" ref="R143" si="278">S143+T143</f>
        <v>27.70614871855507</v>
      </c>
      <c r="S143" s="133">
        <f>PV($C$1, ($AB$3-$S$3), 0, -AB63)+PV($C$1, ($AA$3-$S$3), 0, -AB63)+PV($C$1, ($Z$3-$S$3), 0, -AB63)+PV($C$1, ($Y$3-$S$3), 0, -AB63)+PV($C$1, ($X$3-$S$3), 0, -AB63)+PV($C$1, ($W$3-$S$3), 0, -AB63)+PV($C$1, ($V$3-$S$3), 0, -AB63)+PV($C$1, ($U$3-$S$3), 0, -AB63)+PV($C$1, ($T$3-$S$3), 0, -AB63)+PV($C$1, ($S$3-$S$3), 0, -AB63)</f>
        <v>21.829790451637017</v>
      </c>
      <c r="T143" s="133">
        <f>PV($C$1, ($AB$3-$S$3), 0, -AE63)</f>
        <v>5.8763582669180527</v>
      </c>
      <c r="U143" s="20"/>
      <c r="V143" s="20"/>
      <c r="W143" s="20"/>
      <c r="X143" s="20"/>
      <c r="Y143" s="20"/>
      <c r="Z143" s="20"/>
      <c r="AA143" s="20"/>
      <c r="AB143" s="20"/>
      <c r="AC143" s="137"/>
      <c r="AD143" s="20"/>
      <c r="AE143" s="20"/>
    </row>
    <row r="144" spans="2:31">
      <c r="B144" s="23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140"/>
      <c r="S144" s="133"/>
      <c r="T144" s="133"/>
      <c r="U144" s="20"/>
      <c r="V144" s="20"/>
      <c r="W144" s="20"/>
      <c r="X144" s="20"/>
      <c r="Y144" s="20"/>
      <c r="Z144" s="20"/>
      <c r="AA144" s="20"/>
      <c r="AB144" s="20"/>
      <c r="AC144" s="137"/>
      <c r="AD144" s="20"/>
      <c r="AE144" s="20"/>
    </row>
    <row r="145" spans="2:31">
      <c r="B145" s="20" t="s">
        <v>291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140">
        <f t="shared" si="276"/>
        <v>0</v>
      </c>
      <c r="S145" s="133">
        <f>PV($C$1, ($AB$3-$S$3), 0, -AB65)+PV($C$1, ($AA$3-$S$3), 0, -AB65)+PV($C$1, ($Z$3-$S$3), 0, -AB65)+PV($C$1, ($Y$3-$S$3), 0, -AB65)+PV($C$1, ($X$3-$S$3), 0, -AB65)+PV($C$1, ($W$3-$S$3), 0, -AB65)+PV($C$1, ($V$3-$S$3), 0, -AB65)+PV($C$1, ($U$3-$S$3), 0, -AB65)+PV($C$1, ($T$3-$S$3), 0, -AB65)+PV($C$1, ($S$3-$S$3), 0, -AB65)</f>
        <v>0</v>
      </c>
      <c r="T145" s="133">
        <f>PV($C$1, ($AB$3-$S$3), 0, -AE65)</f>
        <v>0</v>
      </c>
      <c r="U145" s="20"/>
      <c r="V145" s="20"/>
      <c r="W145" s="20"/>
      <c r="X145" s="20"/>
      <c r="Y145" s="20"/>
      <c r="Z145" s="20"/>
      <c r="AA145" s="20"/>
      <c r="AB145" s="20"/>
      <c r="AC145" s="137"/>
      <c r="AD145" s="20"/>
      <c r="AE145" s="20"/>
    </row>
    <row r="146" spans="2:31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140"/>
      <c r="S146" s="133"/>
      <c r="T146" s="133"/>
      <c r="U146" s="20"/>
      <c r="V146" s="20"/>
      <c r="W146" s="20"/>
      <c r="X146" s="20"/>
      <c r="Y146" s="20"/>
      <c r="Z146" s="20"/>
      <c r="AA146" s="20"/>
      <c r="AB146" s="20"/>
      <c r="AC146" s="137"/>
      <c r="AD146" s="20"/>
      <c r="AE146" s="20"/>
    </row>
    <row r="147" spans="2:31">
      <c r="B147" s="20" t="s">
        <v>287</v>
      </c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140">
        <f t="shared" ref="R147:R150" si="279">S147+T147</f>
        <v>0</v>
      </c>
      <c r="S147" s="133">
        <f>PV($C$1, ($AB$3-$S$3), 0, -AB67)+PV($C$1, ($AA$3-$S$3), 0, -AB67)+PV($C$1, ($Z$3-$S$3), 0, -AB67)+PV($C$1, ($Y$3-$S$3), 0, -AB67)+PV($C$1, ($X$3-$S$3), 0, -AB67)+PV($C$1, ($W$3-$S$3), 0, -AB67)+PV($C$1, ($V$3-$S$3), 0, -AB67)+PV($C$1, ($U$3-$S$3), 0, -AB67)+PV($C$1, ($T$3-$S$3), 0, -AB67)+PV($C$1, ($S$3-$S$3), 0, -AB67)</f>
        <v>0</v>
      </c>
      <c r="T147" s="133">
        <f>PV($C$1, ($AB$3-$S$3), 0, -AE67)</f>
        <v>0</v>
      </c>
      <c r="U147" s="20"/>
      <c r="V147" s="20"/>
      <c r="W147" s="20"/>
      <c r="X147" s="20"/>
      <c r="Y147" s="20"/>
      <c r="Z147" s="20"/>
      <c r="AA147" s="20"/>
      <c r="AB147" s="20"/>
      <c r="AC147" s="137"/>
      <c r="AD147" s="20"/>
      <c r="AE147" s="20"/>
    </row>
    <row r="148" spans="2:31">
      <c r="B148" s="20" t="s">
        <v>288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140">
        <f t="shared" si="279"/>
        <v>0</v>
      </c>
      <c r="S148" s="133">
        <f>PV($C$1, ($AB$3-$S$3), 0, -AB68)+PV($C$1, ($AA$3-$S$3), 0, -AB68)+PV($C$1, ($Z$3-$S$3), 0, -AB68)+PV($C$1, ($Y$3-$S$3), 0, -AB68)+PV($C$1, ($X$3-$S$3), 0, -AB68)+PV($C$1, ($W$3-$S$3), 0, -AB68)+PV($C$1, ($V$3-$S$3), 0, -AB68)+PV($C$1, ($U$3-$S$3), 0, -AB68)+PV($C$1, ($T$3-$S$3), 0, -AB68)+PV($C$1, ($S$3-$S$3), 0, -AB68)</f>
        <v>0</v>
      </c>
      <c r="T148" s="133">
        <f>PV($C$1, ($AB$3-$S$3), 0, -AE68)</f>
        <v>0</v>
      </c>
      <c r="U148" s="20"/>
      <c r="V148" s="20"/>
      <c r="W148" s="20"/>
      <c r="X148" s="20"/>
      <c r="Y148" s="20"/>
      <c r="Z148" s="20"/>
      <c r="AA148" s="20"/>
      <c r="AB148" s="20"/>
      <c r="AC148" s="137"/>
      <c r="AD148" s="20"/>
      <c r="AE148" s="20"/>
    </row>
    <row r="149" spans="2:31">
      <c r="B149" s="20" t="s">
        <v>289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140">
        <f t="shared" si="279"/>
        <v>0</v>
      </c>
      <c r="S149" s="133">
        <f>PV($C$1, ($AB$3-$S$3), 0, -AB69)+PV($C$1, ($AA$3-$S$3), 0, -AB69)+PV($C$1, ($Z$3-$S$3), 0, -AB69)+PV($C$1, ($Y$3-$S$3), 0, -AB69)+PV($C$1, ($X$3-$S$3), 0, -AB69)+PV($C$1, ($W$3-$S$3), 0, -AB69)+PV($C$1, ($V$3-$S$3), 0, -AB69)+PV($C$1, ($U$3-$S$3), 0, -AB69)+PV($C$1, ($T$3-$S$3), 0, -AB69)+PV($C$1, ($S$3-$S$3), 0, -AB69)</f>
        <v>0</v>
      </c>
      <c r="T149" s="133">
        <f>PV($C$1, ($AB$3-$S$3), 0, -AE69)</f>
        <v>0</v>
      </c>
      <c r="U149" s="20"/>
      <c r="V149" s="20"/>
      <c r="W149" s="20"/>
      <c r="X149" s="20"/>
      <c r="Y149" s="20"/>
      <c r="Z149" s="20"/>
      <c r="AA149" s="20"/>
      <c r="AB149" s="20"/>
      <c r="AC149" s="137"/>
      <c r="AD149" s="20"/>
      <c r="AE149" s="20"/>
    </row>
    <row r="150" spans="2:31">
      <c r="B150" s="20" t="s">
        <v>290</v>
      </c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140">
        <f t="shared" si="279"/>
        <v>0</v>
      </c>
      <c r="S150" s="133">
        <f>PV($C$1, ($AB$3-$S$3), 0, -AB70)+PV($C$1, ($AA$3-$S$3), 0, -AB70)+PV($C$1, ($Z$3-$S$3), 0, -AB70)+PV($C$1, ($Y$3-$S$3), 0, -AB70)+PV($C$1, ($X$3-$S$3), 0, -AB70)+PV($C$1, ($W$3-$S$3), 0, -AB70)+PV($C$1, ($V$3-$S$3), 0, -AB70)+PV($C$1, ($U$3-$S$3), 0, -AB70)+PV($C$1, ($T$3-$S$3), 0, -AB70)+PV($C$1, ($S$3-$S$3), 0, -AB70)</f>
        <v>0</v>
      </c>
      <c r="T150" s="133">
        <f>PV($C$1, ($AB$3-$S$3), 0, -AE70)</f>
        <v>0</v>
      </c>
      <c r="U150" s="20"/>
      <c r="V150" s="20"/>
      <c r="W150" s="20"/>
      <c r="X150" s="20"/>
      <c r="Y150" s="20"/>
      <c r="Z150" s="20"/>
      <c r="AA150" s="20"/>
      <c r="AB150" s="20"/>
      <c r="AC150" s="137"/>
      <c r="AD150" s="20"/>
      <c r="AE150" s="20"/>
    </row>
    <row r="151" spans="2:31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140"/>
      <c r="S151" s="133"/>
      <c r="T151" s="133"/>
      <c r="U151" s="20"/>
      <c r="V151" s="20"/>
      <c r="W151" s="20"/>
      <c r="X151" s="20"/>
      <c r="Y151" s="20"/>
      <c r="Z151" s="20"/>
      <c r="AA151" s="20"/>
      <c r="AB151" s="20"/>
      <c r="AC151" s="137"/>
      <c r="AD151" s="20"/>
      <c r="AE151" s="20"/>
    </row>
    <row r="152" spans="2:31">
      <c r="B152" s="20" t="s">
        <v>299</v>
      </c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140">
        <f>S152+T152</f>
        <v>0</v>
      </c>
      <c r="S152" s="133">
        <f>PV($C$1, ($AB$3-$S$3), 0, -AB71)+PV($C$1, ($AA$3-$S$3), 0, -AB71)+PV($C$1, ($Z$3-$S$3), 0, -AB71)+PV($C$1, ($Y$3-$S$3), 0, -AB71)+PV($C$1, ($X$3-$S$3), 0, -AB71)+PV($C$1, ($W$3-$S$3), 0, -AB71)+PV($C$1, ($V$3-$S$3), 0, -AB71)+PV($C$1, ($U$3-$S$3), 0, -AB71)+PV($C$1, ($T$3-$S$3), 0, -AB71)+PV($C$1, ($S$3-$S$3), 0, -AB71)</f>
        <v>0</v>
      </c>
      <c r="T152" s="133">
        <f>PV($C$1, ($AB$3-$S$3), 0, -AE71)</f>
        <v>0</v>
      </c>
      <c r="U152" s="20"/>
      <c r="V152" s="20"/>
      <c r="W152" s="20"/>
      <c r="X152" s="20"/>
      <c r="Y152" s="20"/>
      <c r="Z152" s="20"/>
      <c r="AA152" s="20"/>
      <c r="AB152" s="20"/>
      <c r="AC152" s="137"/>
      <c r="AD152" s="20"/>
      <c r="AE152" s="20"/>
    </row>
    <row r="153" spans="2:31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183">
        <v>41729</v>
      </c>
      <c r="P153" s="20">
        <v>0</v>
      </c>
      <c r="Q153" s="20"/>
      <c r="R153" s="20"/>
      <c r="S153" s="121"/>
      <c r="T153" s="20"/>
      <c r="U153" s="20"/>
      <c r="V153" s="20"/>
      <c r="W153" s="20"/>
      <c r="X153" s="20"/>
      <c r="Y153" s="20"/>
      <c r="Z153" s="20"/>
      <c r="AA153" s="20"/>
      <c r="AB153" s="20"/>
      <c r="AC153" s="137"/>
      <c r="AD153" s="20"/>
      <c r="AE153" s="20"/>
    </row>
    <row r="154" spans="2:31">
      <c r="B154" s="108" t="s">
        <v>251</v>
      </c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3" t="s">
        <v>391</v>
      </c>
      <c r="P154" s="20">
        <v>58</v>
      </c>
      <c r="Q154" s="20" t="s">
        <v>393</v>
      </c>
      <c r="R154" s="23" t="s">
        <v>392</v>
      </c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137"/>
      <c r="AD154" s="20"/>
      <c r="AE154" s="20"/>
    </row>
    <row r="155" spans="2:31">
      <c r="B155" s="20" t="s">
        <v>204</v>
      </c>
      <c r="C155" s="22">
        <v>0</v>
      </c>
      <c r="D155" s="22">
        <v>0</v>
      </c>
      <c r="E155" s="22">
        <v>0</v>
      </c>
      <c r="F155" s="22">
        <v>0</v>
      </c>
      <c r="G155" s="22">
        <v>0</v>
      </c>
      <c r="H155" s="22">
        <v>0</v>
      </c>
      <c r="I155" s="22">
        <v>0</v>
      </c>
      <c r="J155" s="22">
        <v>0</v>
      </c>
      <c r="K155" s="22">
        <v>0</v>
      </c>
      <c r="L155" s="22">
        <v>0</v>
      </c>
      <c r="M155" s="22">
        <v>0</v>
      </c>
      <c r="N155" s="22">
        <v>0</v>
      </c>
      <c r="O155" s="22">
        <v>0</v>
      </c>
      <c r="P155" s="22">
        <v>58</v>
      </c>
      <c r="Q155" s="118" t="e">
        <f t="shared" ref="Q155:Q160" si="280">((P155/G155)^(1/($H$2-$H$1) ))-1</f>
        <v>#DIV/0!</v>
      </c>
      <c r="R155" s="31">
        <f>L2-3%</f>
        <v>0.09</v>
      </c>
      <c r="S155" s="119">
        <f t="shared" ref="S155" si="281">P155*(1+$R155)</f>
        <v>63.220000000000006</v>
      </c>
      <c r="T155" s="119">
        <f t="shared" ref="T155:AB155" si="282">S155*(1+$R155)</f>
        <v>68.909800000000018</v>
      </c>
      <c r="U155" s="119">
        <f t="shared" si="282"/>
        <v>75.11168200000003</v>
      </c>
      <c r="V155" s="119">
        <f t="shared" si="282"/>
        <v>81.871733380000038</v>
      </c>
      <c r="W155" s="119">
        <f t="shared" si="282"/>
        <v>89.24018938420005</v>
      </c>
      <c r="X155" s="119">
        <f t="shared" si="282"/>
        <v>97.271806428778063</v>
      </c>
      <c r="Y155" s="119">
        <f t="shared" si="282"/>
        <v>106.0262690073681</v>
      </c>
      <c r="Z155" s="119">
        <f t="shared" si="282"/>
        <v>115.56863321803124</v>
      </c>
      <c r="AA155" s="119">
        <f t="shared" si="282"/>
        <v>125.96981020765406</v>
      </c>
      <c r="AB155" s="119">
        <f t="shared" si="282"/>
        <v>137.30709312634295</v>
      </c>
      <c r="AC155" s="138" t="e">
        <f t="shared" ref="AC155:AC160" si="283">((AB155/G155)^(1/($AB$3-$H$1) ))-1</f>
        <v>#DIV/0!</v>
      </c>
      <c r="AD155" s="31">
        <v>0.08</v>
      </c>
      <c r="AE155" s="127" t="e">
        <f t="shared" ref="AE155:AE163" si="284">(AB155*(1+AC155))/($C$1-AD155)</f>
        <v>#DIV/0!</v>
      </c>
    </row>
    <row r="156" spans="2:31">
      <c r="B156" s="20" t="s">
        <v>362</v>
      </c>
      <c r="C156" s="25" t="e">
        <f t="shared" ref="C156:P156" si="285">C155/C44</f>
        <v>#DIV/0!</v>
      </c>
      <c r="D156" s="25" t="e">
        <f t="shared" si="285"/>
        <v>#DIV/0!</v>
      </c>
      <c r="E156" s="25" t="e">
        <f t="shared" si="285"/>
        <v>#DIV/0!</v>
      </c>
      <c r="F156" s="25" t="e">
        <f t="shared" si="285"/>
        <v>#DIV/0!</v>
      </c>
      <c r="G156" s="25" t="e">
        <f t="shared" si="285"/>
        <v>#DIV/0!</v>
      </c>
      <c r="H156" s="25" t="e">
        <f t="shared" si="285"/>
        <v>#DIV/0!</v>
      </c>
      <c r="I156" s="25" t="e">
        <f t="shared" si="285"/>
        <v>#DIV/0!</v>
      </c>
      <c r="J156" s="25" t="e">
        <f t="shared" si="285"/>
        <v>#DIV/0!</v>
      </c>
      <c r="K156" s="25" t="e">
        <f t="shared" si="285"/>
        <v>#DIV/0!</v>
      </c>
      <c r="L156" s="25" t="e">
        <f t="shared" si="285"/>
        <v>#DIV/0!</v>
      </c>
      <c r="M156" s="25">
        <f t="shared" si="285"/>
        <v>0</v>
      </c>
      <c r="N156" s="25">
        <f t="shared" si="285"/>
        <v>0</v>
      </c>
      <c r="O156" s="25">
        <f t="shared" si="285"/>
        <v>0</v>
      </c>
      <c r="P156" s="25">
        <f t="shared" si="285"/>
        <v>1.5189915704027475</v>
      </c>
      <c r="Q156" s="118" t="e">
        <f t="shared" ref="Q156" si="286">((P156/G156)^(1/($H$2-$H$1) ))-1</f>
        <v>#DIV/0!</v>
      </c>
      <c r="R156" s="128"/>
      <c r="S156" s="25">
        <f t="shared" ref="S156:AB156" si="287">S155/S44</f>
        <v>2.2174564442932971</v>
      </c>
      <c r="T156" s="25">
        <f t="shared" si="287"/>
        <v>2.4170275242796939</v>
      </c>
      <c r="U156" s="25">
        <f t="shared" si="287"/>
        <v>2.6345600014648669</v>
      </c>
      <c r="V156" s="25">
        <f t="shared" si="287"/>
        <v>2.8716704015967052</v>
      </c>
      <c r="W156" s="25">
        <f t="shared" si="287"/>
        <v>3.1301207377404086</v>
      </c>
      <c r="X156" s="25">
        <f t="shared" si="287"/>
        <v>3.4118316041370456</v>
      </c>
      <c r="Y156" s="25">
        <f t="shared" si="287"/>
        <v>3.7188964485093798</v>
      </c>
      <c r="Z156" s="25">
        <f t="shared" si="287"/>
        <v>4.0535971288752242</v>
      </c>
      <c r="AA156" s="25">
        <f t="shared" si="287"/>
        <v>4.4184208704739953</v>
      </c>
      <c r="AB156" s="25">
        <f t="shared" si="287"/>
        <v>4.8160787488166559</v>
      </c>
      <c r="AC156" s="138" t="e">
        <f t="shared" ref="AC156" si="288">((AB156/G156)^(1/($AB$3-$H$1) ))-1</f>
        <v>#DIV/0!</v>
      </c>
      <c r="AD156" s="31">
        <v>0.08</v>
      </c>
      <c r="AE156" s="127" t="e">
        <f t="shared" ref="AE156" si="289">(AB156*(1+AC156))/($C$1-AD156)</f>
        <v>#DIV/0!</v>
      </c>
    </row>
    <row r="157" spans="2:31">
      <c r="B157" s="20" t="s">
        <v>390</v>
      </c>
      <c r="C157" s="25" t="e">
        <f t="shared" ref="C157:P157" si="290">C155/C47</f>
        <v>#DIV/0!</v>
      </c>
      <c r="D157" s="25" t="e">
        <f t="shared" si="290"/>
        <v>#DIV/0!</v>
      </c>
      <c r="E157" s="25" t="e">
        <f t="shared" si="290"/>
        <v>#DIV/0!</v>
      </c>
      <c r="F157" s="25" t="e">
        <f t="shared" si="290"/>
        <v>#DIV/0!</v>
      </c>
      <c r="G157" s="25" t="e">
        <f t="shared" si="290"/>
        <v>#DIV/0!</v>
      </c>
      <c r="H157" s="25" t="e">
        <f t="shared" si="290"/>
        <v>#DIV/0!</v>
      </c>
      <c r="I157" s="25" t="e">
        <f t="shared" si="290"/>
        <v>#DIV/0!</v>
      </c>
      <c r="J157" s="25" t="e">
        <f t="shared" si="290"/>
        <v>#DIV/0!</v>
      </c>
      <c r="K157" s="25" t="e">
        <f t="shared" si="290"/>
        <v>#DIV/0!</v>
      </c>
      <c r="L157" s="25" t="e">
        <f t="shared" si="290"/>
        <v>#DIV/0!</v>
      </c>
      <c r="M157" s="25">
        <f t="shared" si="290"/>
        <v>0</v>
      </c>
      <c r="N157" s="25">
        <f t="shared" si="290"/>
        <v>0</v>
      </c>
      <c r="O157" s="25">
        <f t="shared" si="290"/>
        <v>0</v>
      </c>
      <c r="P157" s="25">
        <f t="shared" si="290"/>
        <v>6.6785586822237475</v>
      </c>
      <c r="Q157" s="118" t="e">
        <f t="shared" si="280"/>
        <v>#DIV/0!</v>
      </c>
      <c r="R157" s="128"/>
      <c r="S157" s="119">
        <f t="shared" ref="S157:AB157" si="291">S155/S47</f>
        <v>9.7495030762819894</v>
      </c>
      <c r="T157" s="119">
        <f t="shared" si="291"/>
        <v>10.626958353147373</v>
      </c>
      <c r="U157" s="119">
        <f t="shared" si="291"/>
        <v>11.583384604930638</v>
      </c>
      <c r="V157" s="119">
        <f t="shared" si="291"/>
        <v>12.625889219374395</v>
      </c>
      <c r="W157" s="119">
        <f t="shared" si="291"/>
        <v>13.762219249118091</v>
      </c>
      <c r="X157" s="119">
        <f t="shared" si="291"/>
        <v>15.000818981538719</v>
      </c>
      <c r="Y157" s="119">
        <f t="shared" si="291"/>
        <v>16.35089268987721</v>
      </c>
      <c r="Z157" s="119">
        <f t="shared" si="291"/>
        <v>17.822473031966158</v>
      </c>
      <c r="AA157" s="119">
        <f t="shared" si="291"/>
        <v>19.426495604843115</v>
      </c>
      <c r="AB157" s="119">
        <f t="shared" si="291"/>
        <v>21.174880209278999</v>
      </c>
      <c r="AC157" s="138" t="e">
        <f t="shared" si="283"/>
        <v>#DIV/0!</v>
      </c>
      <c r="AD157" s="31">
        <v>0.08</v>
      </c>
      <c r="AE157" s="127" t="e">
        <f t="shared" si="284"/>
        <v>#DIV/0!</v>
      </c>
    </row>
    <row r="158" spans="2:31">
      <c r="B158" s="20" t="s">
        <v>259</v>
      </c>
      <c r="C158" s="25" t="e">
        <f t="shared" ref="C158:P158" si="292">C155/C50</f>
        <v>#DIV/0!</v>
      </c>
      <c r="D158" s="25" t="e">
        <f t="shared" si="292"/>
        <v>#DIV/0!</v>
      </c>
      <c r="E158" s="25" t="e">
        <f t="shared" si="292"/>
        <v>#DIV/0!</v>
      </c>
      <c r="F158" s="25" t="e">
        <f t="shared" si="292"/>
        <v>#DIV/0!</v>
      </c>
      <c r="G158" s="25" t="e">
        <f t="shared" si="292"/>
        <v>#DIV/0!</v>
      </c>
      <c r="H158" s="25" t="e">
        <f t="shared" si="292"/>
        <v>#DIV/0!</v>
      </c>
      <c r="I158" s="25" t="e">
        <f t="shared" si="292"/>
        <v>#DIV/0!</v>
      </c>
      <c r="J158" s="25" t="e">
        <f t="shared" si="292"/>
        <v>#DIV/0!</v>
      </c>
      <c r="K158" s="25" t="e">
        <f t="shared" si="292"/>
        <v>#DIV/0!</v>
      </c>
      <c r="L158" s="25" t="e">
        <f t="shared" si="292"/>
        <v>#DIV/0!</v>
      </c>
      <c r="M158" s="25" t="e">
        <f t="shared" si="292"/>
        <v>#DIV/0!</v>
      </c>
      <c r="N158" s="25" t="e">
        <f t="shared" si="292"/>
        <v>#DIV/0!</v>
      </c>
      <c r="O158" s="25" t="e">
        <f t="shared" si="292"/>
        <v>#DIV/0!</v>
      </c>
      <c r="P158" s="25" t="e">
        <f t="shared" si="292"/>
        <v>#DIV/0!</v>
      </c>
      <c r="Q158" s="118" t="e">
        <f t="shared" si="280"/>
        <v>#DIV/0!</v>
      </c>
      <c r="R158" s="128"/>
      <c r="S158" s="119" t="e">
        <f t="shared" ref="S158:AB158" si="293">S155/S50</f>
        <v>#DIV/0!</v>
      </c>
      <c r="T158" s="119" t="e">
        <f t="shared" si="293"/>
        <v>#DIV/0!</v>
      </c>
      <c r="U158" s="119" t="e">
        <f t="shared" si="293"/>
        <v>#DIV/0!</v>
      </c>
      <c r="V158" s="119" t="e">
        <f t="shared" si="293"/>
        <v>#DIV/0!</v>
      </c>
      <c r="W158" s="119" t="e">
        <f t="shared" si="293"/>
        <v>#DIV/0!</v>
      </c>
      <c r="X158" s="119" t="e">
        <f t="shared" si="293"/>
        <v>#DIV/0!</v>
      </c>
      <c r="Y158" s="119" t="e">
        <f t="shared" si="293"/>
        <v>#DIV/0!</v>
      </c>
      <c r="Z158" s="119" t="e">
        <f t="shared" si="293"/>
        <v>#DIV/0!</v>
      </c>
      <c r="AA158" s="119" t="e">
        <f t="shared" si="293"/>
        <v>#DIV/0!</v>
      </c>
      <c r="AB158" s="119" t="e">
        <f t="shared" si="293"/>
        <v>#DIV/0!</v>
      </c>
      <c r="AC158" s="138" t="e">
        <f t="shared" si="283"/>
        <v>#DIV/0!</v>
      </c>
      <c r="AD158" s="31">
        <v>0.08</v>
      </c>
      <c r="AE158" s="127" t="e">
        <f t="shared" si="284"/>
        <v>#DIV/0!</v>
      </c>
    </row>
    <row r="159" spans="2:31">
      <c r="B159" s="20" t="s">
        <v>260</v>
      </c>
      <c r="C159" s="25" t="e">
        <f t="shared" ref="C159:P159" si="294">C155/C59</f>
        <v>#DIV/0!</v>
      </c>
      <c r="D159" s="25" t="e">
        <f t="shared" si="294"/>
        <v>#DIV/0!</v>
      </c>
      <c r="E159" s="25" t="e">
        <f t="shared" si="294"/>
        <v>#DIV/0!</v>
      </c>
      <c r="F159" s="25" t="e">
        <f t="shared" si="294"/>
        <v>#DIV/0!</v>
      </c>
      <c r="G159" s="25" t="e">
        <f t="shared" si="294"/>
        <v>#DIV/0!</v>
      </c>
      <c r="H159" s="25" t="e">
        <f t="shared" si="294"/>
        <v>#DIV/0!</v>
      </c>
      <c r="I159" s="25" t="e">
        <f t="shared" si="294"/>
        <v>#DIV/0!</v>
      </c>
      <c r="J159" s="25" t="e">
        <f t="shared" si="294"/>
        <v>#DIV/0!</v>
      </c>
      <c r="K159" s="25" t="e">
        <f t="shared" si="294"/>
        <v>#DIV/0!</v>
      </c>
      <c r="L159" s="25" t="e">
        <f t="shared" si="294"/>
        <v>#DIV/0!</v>
      </c>
      <c r="M159" s="25" t="e">
        <f t="shared" si="294"/>
        <v>#DIV/0!</v>
      </c>
      <c r="N159" s="25" t="e">
        <f t="shared" si="294"/>
        <v>#DIV/0!</v>
      </c>
      <c r="O159" s="25" t="e">
        <f t="shared" si="294"/>
        <v>#DIV/0!</v>
      </c>
      <c r="P159" s="25" t="e">
        <f t="shared" si="294"/>
        <v>#DIV/0!</v>
      </c>
      <c r="Q159" s="118" t="e">
        <f t="shared" si="280"/>
        <v>#DIV/0!</v>
      </c>
      <c r="R159" s="128"/>
      <c r="S159" s="119" t="e">
        <f t="shared" ref="S159:AB159" si="295">S155/S59</f>
        <v>#DIV/0!</v>
      </c>
      <c r="T159" s="119" t="e">
        <f t="shared" si="295"/>
        <v>#DIV/0!</v>
      </c>
      <c r="U159" s="119" t="e">
        <f t="shared" si="295"/>
        <v>#DIV/0!</v>
      </c>
      <c r="V159" s="119" t="e">
        <f t="shared" si="295"/>
        <v>#DIV/0!</v>
      </c>
      <c r="W159" s="119" t="e">
        <f t="shared" si="295"/>
        <v>#DIV/0!</v>
      </c>
      <c r="X159" s="119" t="e">
        <f t="shared" si="295"/>
        <v>#DIV/0!</v>
      </c>
      <c r="Y159" s="119" t="e">
        <f t="shared" si="295"/>
        <v>#DIV/0!</v>
      </c>
      <c r="Z159" s="119" t="e">
        <f t="shared" si="295"/>
        <v>#DIV/0!</v>
      </c>
      <c r="AA159" s="119" t="e">
        <f t="shared" si="295"/>
        <v>#DIV/0!</v>
      </c>
      <c r="AB159" s="119" t="e">
        <f t="shared" si="295"/>
        <v>#DIV/0!</v>
      </c>
      <c r="AC159" s="138" t="e">
        <f t="shared" si="283"/>
        <v>#DIV/0!</v>
      </c>
      <c r="AD159" s="31">
        <v>0.08</v>
      </c>
      <c r="AE159" s="127" t="e">
        <f t="shared" si="284"/>
        <v>#DIV/0!</v>
      </c>
    </row>
    <row r="160" spans="2:31">
      <c r="B160" s="20" t="s">
        <v>261</v>
      </c>
      <c r="C160" s="25" t="e">
        <f t="shared" ref="C160:P160" si="296">C155/C61</f>
        <v>#DIV/0!</v>
      </c>
      <c r="D160" s="25" t="e">
        <f t="shared" si="296"/>
        <v>#DIV/0!</v>
      </c>
      <c r="E160" s="25" t="e">
        <f t="shared" si="296"/>
        <v>#DIV/0!</v>
      </c>
      <c r="F160" s="25" t="e">
        <f t="shared" si="296"/>
        <v>#DIV/0!</v>
      </c>
      <c r="G160" s="25" t="e">
        <f t="shared" si="296"/>
        <v>#DIV/0!</v>
      </c>
      <c r="H160" s="25" t="e">
        <f t="shared" si="296"/>
        <v>#DIV/0!</v>
      </c>
      <c r="I160" s="25" t="e">
        <f t="shared" si="296"/>
        <v>#DIV/0!</v>
      </c>
      <c r="J160" s="25" t="e">
        <f t="shared" si="296"/>
        <v>#DIV/0!</v>
      </c>
      <c r="K160" s="25" t="e">
        <f t="shared" si="296"/>
        <v>#DIV/0!</v>
      </c>
      <c r="L160" s="25" t="e">
        <f t="shared" si="296"/>
        <v>#DIV/0!</v>
      </c>
      <c r="M160" s="25" t="e">
        <f t="shared" si="296"/>
        <v>#DIV/0!</v>
      </c>
      <c r="N160" s="25" t="e">
        <f t="shared" si="296"/>
        <v>#DIV/0!</v>
      </c>
      <c r="O160" s="25" t="e">
        <f t="shared" si="296"/>
        <v>#DIV/0!</v>
      </c>
      <c r="P160" s="25" t="e">
        <f t="shared" si="296"/>
        <v>#DIV/0!</v>
      </c>
      <c r="Q160" s="118" t="e">
        <f t="shared" si="280"/>
        <v>#DIV/0!</v>
      </c>
      <c r="R160" s="128"/>
      <c r="S160" s="119" t="e">
        <f t="shared" ref="S160:AB160" si="297">S155/S61</f>
        <v>#DIV/0!</v>
      </c>
      <c r="T160" s="119" t="e">
        <f t="shared" si="297"/>
        <v>#DIV/0!</v>
      </c>
      <c r="U160" s="119" t="e">
        <f t="shared" si="297"/>
        <v>#DIV/0!</v>
      </c>
      <c r="V160" s="119" t="e">
        <f t="shared" si="297"/>
        <v>#DIV/0!</v>
      </c>
      <c r="W160" s="119" t="e">
        <f t="shared" si="297"/>
        <v>#DIV/0!</v>
      </c>
      <c r="X160" s="119" t="e">
        <f t="shared" si="297"/>
        <v>#DIV/0!</v>
      </c>
      <c r="Y160" s="119" t="e">
        <f t="shared" si="297"/>
        <v>#DIV/0!</v>
      </c>
      <c r="Z160" s="119" t="e">
        <f t="shared" si="297"/>
        <v>#DIV/0!</v>
      </c>
      <c r="AA160" s="119" t="e">
        <f t="shared" si="297"/>
        <v>#DIV/0!</v>
      </c>
      <c r="AB160" s="119" t="e">
        <f t="shared" si="297"/>
        <v>#DIV/0!</v>
      </c>
      <c r="AC160" s="138" t="e">
        <f t="shared" si="283"/>
        <v>#DIV/0!</v>
      </c>
      <c r="AD160" s="31">
        <v>0.08</v>
      </c>
      <c r="AE160" s="127" t="e">
        <f t="shared" si="284"/>
        <v>#DIV/0!</v>
      </c>
    </row>
    <row r="161" spans="2:31">
      <c r="B161" s="20" t="s">
        <v>282</v>
      </c>
      <c r="C161" s="25" t="e">
        <f>C157/C107</f>
        <v>#DIV/0!</v>
      </c>
      <c r="D161" s="25" t="e">
        <f>D157/D107</f>
        <v>#DIV/0!</v>
      </c>
      <c r="E161" s="25" t="e">
        <f>E157/E107</f>
        <v>#DIV/0!</v>
      </c>
      <c r="F161" s="25" t="e">
        <f>F157/F107</f>
        <v>#DIV/0!</v>
      </c>
      <c r="G161" s="182" t="e">
        <f t="shared" ref="G161:P161" si="298">G155/G55</f>
        <v>#DIV/0!</v>
      </c>
      <c r="H161" s="182" t="e">
        <f t="shared" si="298"/>
        <v>#DIV/0!</v>
      </c>
      <c r="I161" s="182" t="e">
        <f t="shared" si="298"/>
        <v>#DIV/0!</v>
      </c>
      <c r="J161" s="182" t="e">
        <f t="shared" si="298"/>
        <v>#DIV/0!</v>
      </c>
      <c r="K161" s="182" t="e">
        <f t="shared" si="298"/>
        <v>#DIV/0!</v>
      </c>
      <c r="L161" s="182" t="e">
        <f t="shared" si="298"/>
        <v>#DIV/0!</v>
      </c>
      <c r="M161" s="182" t="e">
        <f t="shared" si="298"/>
        <v>#DIV/0!</v>
      </c>
      <c r="N161" s="182" t="e">
        <f t="shared" si="298"/>
        <v>#DIV/0!</v>
      </c>
      <c r="O161" s="182" t="e">
        <f t="shared" si="298"/>
        <v>#DIV/0!</v>
      </c>
      <c r="P161" s="182" t="e">
        <f t="shared" si="298"/>
        <v>#DIV/0!</v>
      </c>
      <c r="Q161" s="118" t="e">
        <f t="shared" ref="Q161:Q163" si="299">((P161/G161)^(1/($H$2-$H$1) ))-1</f>
        <v>#DIV/0!</v>
      </c>
      <c r="R161" s="128"/>
      <c r="S161" s="135" t="e">
        <f t="shared" ref="S161:AB161" si="300">S155/S55</f>
        <v>#DIV/0!</v>
      </c>
      <c r="T161" s="135" t="e">
        <f t="shared" si="300"/>
        <v>#DIV/0!</v>
      </c>
      <c r="U161" s="135" t="e">
        <f t="shared" si="300"/>
        <v>#DIV/0!</v>
      </c>
      <c r="V161" s="135" t="e">
        <f t="shared" si="300"/>
        <v>#DIV/0!</v>
      </c>
      <c r="W161" s="135" t="e">
        <f t="shared" si="300"/>
        <v>#DIV/0!</v>
      </c>
      <c r="X161" s="135" t="e">
        <f t="shared" si="300"/>
        <v>#DIV/0!</v>
      </c>
      <c r="Y161" s="135" t="e">
        <f t="shared" si="300"/>
        <v>#DIV/0!</v>
      </c>
      <c r="Z161" s="135" t="e">
        <f t="shared" si="300"/>
        <v>#DIV/0!</v>
      </c>
      <c r="AA161" s="135" t="e">
        <f t="shared" si="300"/>
        <v>#DIV/0!</v>
      </c>
      <c r="AB161" s="135" t="e">
        <f t="shared" si="300"/>
        <v>#DIV/0!</v>
      </c>
      <c r="AC161" s="138" t="e">
        <f t="shared" ref="AC161" si="301">((AB161/G161)^(1/($AB$3-$H$1) ))-1</f>
        <v>#DIV/0!</v>
      </c>
      <c r="AD161" s="31">
        <v>0.08</v>
      </c>
      <c r="AE161" s="127" t="e">
        <f t="shared" si="284"/>
        <v>#DIV/0!</v>
      </c>
    </row>
    <row r="162" spans="2:31">
      <c r="B162" s="20" t="s">
        <v>372</v>
      </c>
      <c r="C162" s="161" t="e">
        <f t="shared" ref="C162:P162" si="302">C47/C155</f>
        <v>#DIV/0!</v>
      </c>
      <c r="D162" s="161" t="e">
        <f t="shared" si="302"/>
        <v>#DIV/0!</v>
      </c>
      <c r="E162" s="161" t="e">
        <f t="shared" si="302"/>
        <v>#DIV/0!</v>
      </c>
      <c r="F162" s="161" t="e">
        <f t="shared" si="302"/>
        <v>#DIV/0!</v>
      </c>
      <c r="G162" s="161" t="e">
        <f t="shared" si="302"/>
        <v>#DIV/0!</v>
      </c>
      <c r="H162" s="161" t="e">
        <f t="shared" si="302"/>
        <v>#DIV/0!</v>
      </c>
      <c r="I162" s="161" t="e">
        <f t="shared" si="302"/>
        <v>#DIV/0!</v>
      </c>
      <c r="J162" s="161" t="e">
        <f t="shared" si="302"/>
        <v>#DIV/0!</v>
      </c>
      <c r="K162" s="161" t="e">
        <f t="shared" si="302"/>
        <v>#DIV/0!</v>
      </c>
      <c r="L162" s="161" t="e">
        <f t="shared" si="302"/>
        <v>#DIV/0!</v>
      </c>
      <c r="M162" s="161" t="e">
        <f t="shared" si="302"/>
        <v>#DIV/0!</v>
      </c>
      <c r="N162" s="161" t="e">
        <f t="shared" si="302"/>
        <v>#DIV/0!</v>
      </c>
      <c r="O162" s="161" t="e">
        <f t="shared" si="302"/>
        <v>#DIV/0!</v>
      </c>
      <c r="P162" s="161">
        <f t="shared" si="302"/>
        <v>0.14973290609270082</v>
      </c>
      <c r="Q162" s="118" t="e">
        <f t="shared" si="299"/>
        <v>#DIV/0!</v>
      </c>
      <c r="R162" s="128"/>
      <c r="S162" s="161">
        <f t="shared" ref="S162:AB162" si="303">S47/S155</f>
        <v>0.10256933016747699</v>
      </c>
      <c r="T162" s="161">
        <f t="shared" si="303"/>
        <v>9.4100302905942165E-2</v>
      </c>
      <c r="U162" s="161">
        <f t="shared" si="303"/>
        <v>8.6330553124717574E-2</v>
      </c>
      <c r="V162" s="161">
        <f t="shared" si="303"/>
        <v>7.9202342316254642E-2</v>
      </c>
      <c r="W162" s="161">
        <f t="shared" si="303"/>
        <v>7.2662699372710679E-2</v>
      </c>
      <c r="X162" s="161">
        <f t="shared" si="303"/>
        <v>6.6663026947440987E-2</v>
      </c>
      <c r="Y162" s="161">
        <f t="shared" si="303"/>
        <v>6.1158740318753187E-2</v>
      </c>
      <c r="Z162" s="161">
        <f t="shared" si="303"/>
        <v>5.6108936072250627E-2</v>
      </c>
      <c r="AA162" s="161">
        <f t="shared" si="303"/>
        <v>5.1476088139679473E-2</v>
      </c>
      <c r="AB162" s="161">
        <f t="shared" si="303"/>
        <v>4.7225768935485739E-2</v>
      </c>
      <c r="AC162" s="138" t="e">
        <f t="shared" ref="AC162:AC163" si="304">((AB162/G162)^(1/($AB$3-$H$1) ))-1</f>
        <v>#DIV/0!</v>
      </c>
      <c r="AD162" s="31">
        <v>0.08</v>
      </c>
      <c r="AE162" s="127" t="e">
        <f t="shared" si="284"/>
        <v>#DIV/0!</v>
      </c>
    </row>
    <row r="163" spans="2:31">
      <c r="B163" s="20" t="s">
        <v>321</v>
      </c>
      <c r="C163" s="152" t="e">
        <f t="shared" ref="C163:P163" si="305">C41/C155</f>
        <v>#DIV/0!</v>
      </c>
      <c r="D163" s="152" t="e">
        <f t="shared" si="305"/>
        <v>#DIV/0!</v>
      </c>
      <c r="E163" s="152" t="e">
        <f t="shared" si="305"/>
        <v>#DIV/0!</v>
      </c>
      <c r="F163" s="152" t="e">
        <f t="shared" si="305"/>
        <v>#DIV/0!</v>
      </c>
      <c r="G163" s="152" t="e">
        <f t="shared" si="305"/>
        <v>#DIV/0!</v>
      </c>
      <c r="H163" s="152" t="e">
        <f t="shared" si="305"/>
        <v>#DIV/0!</v>
      </c>
      <c r="I163" s="152" t="e">
        <f t="shared" si="305"/>
        <v>#DIV/0!</v>
      </c>
      <c r="J163" s="152" t="e">
        <f t="shared" si="305"/>
        <v>#DIV/0!</v>
      </c>
      <c r="K163" s="152" t="e">
        <f t="shared" si="305"/>
        <v>#DIV/0!</v>
      </c>
      <c r="L163" s="152" t="e">
        <f t="shared" si="305"/>
        <v>#DIV/0!</v>
      </c>
      <c r="M163" s="152" t="e">
        <f t="shared" si="305"/>
        <v>#DIV/0!</v>
      </c>
      <c r="N163" s="152" t="e">
        <f t="shared" si="305"/>
        <v>#DIV/0!</v>
      </c>
      <c r="O163" s="152" t="e">
        <f t="shared" si="305"/>
        <v>#DIV/0!</v>
      </c>
      <c r="P163" s="152">
        <f t="shared" si="305"/>
        <v>4.8275862068965517E-2</v>
      </c>
      <c r="Q163" s="118" t="e">
        <f t="shared" si="299"/>
        <v>#DIV/0!</v>
      </c>
      <c r="R163" s="128"/>
      <c r="S163" s="152">
        <f t="shared" ref="S163:AB163" si="306">S41/S155</f>
        <v>4.6504270800379624E-2</v>
      </c>
      <c r="T163" s="152">
        <f t="shared" si="306"/>
        <v>4.4797692055411557E-2</v>
      </c>
      <c r="U163" s="152">
        <f t="shared" si="306"/>
        <v>4.3153740053378097E-2</v>
      </c>
      <c r="V163" s="152">
        <f t="shared" si="306"/>
        <v>4.157011656518074E-2</v>
      </c>
      <c r="W163" s="152">
        <f t="shared" si="306"/>
        <v>4.004460770040346E-2</v>
      </c>
      <c r="X163" s="152">
        <f t="shared" si="306"/>
        <v>3.8575080812315261E-2</v>
      </c>
      <c r="Y163" s="152">
        <f t="shared" si="306"/>
        <v>3.7159481516450474E-2</v>
      </c>
      <c r="Z163" s="152">
        <f t="shared" si="306"/>
        <v>3.5795830818599078E-2</v>
      </c>
      <c r="AA163" s="152">
        <f t="shared" si="306"/>
        <v>3.4482222348191774E-2</v>
      </c>
      <c r="AB163" s="152">
        <f t="shared" si="306"/>
        <v>3.321681969321226E-2</v>
      </c>
      <c r="AC163" s="138" t="e">
        <f t="shared" si="304"/>
        <v>#DIV/0!</v>
      </c>
      <c r="AD163" s="31">
        <v>0.08</v>
      </c>
      <c r="AE163" s="127" t="e">
        <f t="shared" si="284"/>
        <v>#DIV/0!</v>
      </c>
    </row>
    <row r="164" spans="2:31">
      <c r="B164" s="20"/>
      <c r="C164" s="152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28"/>
      <c r="R164" s="128"/>
      <c r="S164" s="135"/>
      <c r="T164" s="135"/>
      <c r="U164" s="135"/>
      <c r="V164" s="135"/>
      <c r="W164" s="135"/>
      <c r="X164" s="135"/>
      <c r="Y164" s="135"/>
      <c r="Z164" s="135"/>
      <c r="AA164" s="135"/>
      <c r="AB164" s="135"/>
      <c r="AC164" s="137"/>
      <c r="AD164" s="20"/>
      <c r="AE164" s="127"/>
    </row>
    <row r="165" spans="2:31">
      <c r="B165" s="20"/>
      <c r="C165" s="129"/>
      <c r="D165" s="129"/>
      <c r="E165" s="129"/>
      <c r="F165" s="129"/>
      <c r="G165" s="135"/>
      <c r="H165" s="135"/>
      <c r="I165" s="135"/>
      <c r="J165" s="135"/>
      <c r="K165" s="135"/>
      <c r="L165" s="135"/>
      <c r="M165" s="135"/>
      <c r="N165" s="135"/>
      <c r="O165" s="135"/>
      <c r="P165" s="135"/>
      <c r="Q165" s="128"/>
      <c r="R165" s="128"/>
      <c r="S165" s="135"/>
      <c r="T165" s="135"/>
      <c r="U165" s="135"/>
      <c r="V165" s="135"/>
      <c r="W165" s="135"/>
      <c r="X165" s="135"/>
      <c r="Y165" s="135"/>
      <c r="Z165" s="135"/>
      <c r="AA165" s="135"/>
      <c r="AB165" s="135"/>
      <c r="AC165" s="137"/>
      <c r="AD165" s="20"/>
      <c r="AE165" s="20"/>
    </row>
    <row r="166" spans="2:31">
      <c r="B166" s="108" t="s">
        <v>302</v>
      </c>
      <c r="C166" s="20"/>
      <c r="D166" s="20"/>
      <c r="E166" s="20"/>
      <c r="F166" s="20"/>
      <c r="G166" s="20"/>
      <c r="H166" s="20"/>
      <c r="I166" s="20"/>
      <c r="J166" s="20"/>
      <c r="K166" s="198" t="s">
        <v>352</v>
      </c>
      <c r="L166" s="199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137"/>
      <c r="AD166" s="20"/>
      <c r="AE166" s="20"/>
    </row>
    <row r="167" spans="2:31">
      <c r="B167" s="20" t="s">
        <v>300</v>
      </c>
      <c r="C167" s="20" t="s">
        <v>315</v>
      </c>
      <c r="D167" s="20"/>
      <c r="E167" s="20"/>
      <c r="F167" s="20"/>
      <c r="G167" s="20"/>
      <c r="H167" s="20"/>
      <c r="I167" s="20"/>
      <c r="J167" s="20"/>
      <c r="K167" s="20" t="s">
        <v>353</v>
      </c>
      <c r="L167" s="22">
        <v>1</v>
      </c>
      <c r="M167" s="20"/>
      <c r="N167" s="20"/>
      <c r="O167" s="20"/>
      <c r="P167" s="128">
        <f>(P155-R143)/P155</f>
        <v>0.52230778071456774</v>
      </c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137"/>
      <c r="AD167" s="20"/>
      <c r="AE167" s="20"/>
    </row>
    <row r="168" spans="2:31">
      <c r="B168" s="20" t="s">
        <v>350</v>
      </c>
      <c r="C168" s="20" t="s">
        <v>315</v>
      </c>
      <c r="D168" s="20"/>
      <c r="E168" s="20"/>
      <c r="F168" s="20"/>
      <c r="G168" s="20"/>
      <c r="H168" s="20"/>
      <c r="I168" s="20"/>
      <c r="J168" s="20"/>
      <c r="K168" s="172">
        <f>L167</f>
        <v>1</v>
      </c>
      <c r="L168" s="20"/>
      <c r="M168" s="128">
        <f>(P155-(K168*R134))/P155</f>
        <v>1</v>
      </c>
      <c r="N168" s="20"/>
      <c r="O168" s="20"/>
      <c r="P168" s="128">
        <f>(P155-R134)/P155</f>
        <v>1</v>
      </c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137"/>
      <c r="AD168" s="20"/>
      <c r="AE168" s="20"/>
    </row>
    <row r="169" spans="2:31">
      <c r="B169" s="20" t="s">
        <v>351</v>
      </c>
      <c r="C169" s="20" t="s">
        <v>315</v>
      </c>
      <c r="D169" s="20"/>
      <c r="E169" s="20"/>
      <c r="F169" s="20"/>
      <c r="G169" s="20"/>
      <c r="H169" s="20"/>
      <c r="I169" s="20"/>
      <c r="J169" s="20"/>
      <c r="K169" s="172">
        <f>L167</f>
        <v>1</v>
      </c>
      <c r="L169" s="20"/>
      <c r="M169" s="128">
        <f>(P155-(K168*R127))/P155</f>
        <v>1</v>
      </c>
      <c r="N169" s="20"/>
      <c r="O169" s="20"/>
      <c r="P169" s="128">
        <f>(P155-R127)/P155</f>
        <v>1</v>
      </c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137"/>
      <c r="AD169" s="20"/>
      <c r="AE169" s="20"/>
    </row>
    <row r="170" spans="2:31">
      <c r="B170" s="20" t="s">
        <v>354</v>
      </c>
      <c r="C170" s="20" t="s">
        <v>315</v>
      </c>
      <c r="D170" s="20"/>
      <c r="E170" s="20"/>
      <c r="F170" s="20"/>
      <c r="G170" s="20"/>
      <c r="H170" s="20"/>
      <c r="I170" s="20"/>
      <c r="J170" s="20"/>
      <c r="K170" s="172">
        <f>L167</f>
        <v>1</v>
      </c>
      <c r="L170" s="20"/>
      <c r="M170" s="128">
        <f>(P155-(K168*R140))/P155</f>
        <v>1</v>
      </c>
      <c r="N170" s="20"/>
      <c r="O170" s="20"/>
      <c r="P170" s="128">
        <f>(P155-R140)/P155</f>
        <v>1</v>
      </c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137"/>
      <c r="AD170" s="20"/>
      <c r="AE170" s="20"/>
    </row>
    <row r="171" spans="2:31">
      <c r="B171" s="20" t="s">
        <v>401</v>
      </c>
      <c r="C171" s="20" t="s">
        <v>315</v>
      </c>
      <c r="D171" s="20"/>
      <c r="E171" s="20"/>
      <c r="F171" s="20"/>
      <c r="G171" s="20"/>
      <c r="H171" s="20"/>
      <c r="I171" s="20"/>
      <c r="J171" s="20"/>
      <c r="K171" s="172">
        <v>1</v>
      </c>
      <c r="L171" s="20"/>
      <c r="M171" s="128">
        <f>(P156-(K169*R141))/P156</f>
        <v>1</v>
      </c>
      <c r="N171" s="20"/>
      <c r="O171" s="20"/>
      <c r="P171" s="128">
        <f>(P155-R152)/P155</f>
        <v>1</v>
      </c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137"/>
      <c r="AD171" s="20"/>
      <c r="AE171" s="20"/>
    </row>
    <row r="172" spans="2:31">
      <c r="B172" s="20" t="s">
        <v>301</v>
      </c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5">
        <f>P155/R126</f>
        <v>6.145576990386127</v>
      </c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137"/>
      <c r="AD172" s="20"/>
      <c r="AE172" s="20"/>
    </row>
    <row r="173" spans="2:31">
      <c r="B173" s="20" t="s">
        <v>372</v>
      </c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152">
        <f>1/P172</f>
        <v>0.16271865140805436</v>
      </c>
      <c r="Q173" s="20"/>
      <c r="R173" s="20"/>
      <c r="S173" s="185" t="e">
        <f>P155-S174</f>
        <v>#DIV/0!</v>
      </c>
      <c r="T173" s="185" t="e">
        <f>S173-T174</f>
        <v>#DIV/0!</v>
      </c>
      <c r="U173" s="185" t="e">
        <f t="shared" ref="U173:W173" si="307">T173-U174</f>
        <v>#DIV/0!</v>
      </c>
      <c r="V173" s="185" t="e">
        <f t="shared" si="307"/>
        <v>#DIV/0!</v>
      </c>
      <c r="W173" s="185" t="e">
        <f t="shared" si="307"/>
        <v>#DIV/0!</v>
      </c>
      <c r="X173" s="185" t="e">
        <f>W173-X174</f>
        <v>#DIV/0!</v>
      </c>
      <c r="Y173" s="185" t="e">
        <f t="shared" ref="Y173:AB173" si="308">X173-Y174</f>
        <v>#DIV/0!</v>
      </c>
      <c r="Z173" s="185" t="e">
        <f t="shared" si="308"/>
        <v>#DIV/0!</v>
      </c>
      <c r="AA173" s="185" t="e">
        <f t="shared" si="308"/>
        <v>#DIV/0!</v>
      </c>
      <c r="AB173" s="185" t="e">
        <f t="shared" si="308"/>
        <v>#DIV/0!</v>
      </c>
      <c r="AC173" s="137"/>
      <c r="AD173" s="20"/>
      <c r="AE173" s="20"/>
    </row>
    <row r="174" spans="2:31">
      <c r="B174" s="20" t="s">
        <v>398</v>
      </c>
      <c r="C174" s="20"/>
      <c r="D174" s="20"/>
      <c r="E174" s="20"/>
      <c r="F174" s="20"/>
      <c r="G174" s="20"/>
      <c r="H174" s="20"/>
      <c r="I174" s="20"/>
      <c r="J174" s="20"/>
      <c r="K174" s="184">
        <f>P1</f>
        <v>0.05</v>
      </c>
      <c r="L174" s="20"/>
      <c r="M174" s="181" t="e">
        <f>P155/(Q125*(1+K174)^L174)</f>
        <v>#DIV/0!</v>
      </c>
      <c r="N174" s="20"/>
      <c r="O174" s="20"/>
      <c r="P174" s="181" t="e">
        <f>P155/Q125</f>
        <v>#DIV/0!</v>
      </c>
      <c r="Q174" s="20"/>
      <c r="R174" s="20"/>
      <c r="S174" s="186" t="e">
        <f>Q125*(1+$K$174)</f>
        <v>#DIV/0!</v>
      </c>
      <c r="T174" s="186" t="e">
        <f>S174*(1+$K$174)</f>
        <v>#DIV/0!</v>
      </c>
      <c r="U174" s="186" t="e">
        <f t="shared" ref="U174:AB174" si="309">T174*(1+$K$174)</f>
        <v>#DIV/0!</v>
      </c>
      <c r="V174" s="186" t="e">
        <f t="shared" si="309"/>
        <v>#DIV/0!</v>
      </c>
      <c r="W174" s="186" t="e">
        <f t="shared" si="309"/>
        <v>#DIV/0!</v>
      </c>
      <c r="X174" s="186" t="e">
        <f t="shared" si="309"/>
        <v>#DIV/0!</v>
      </c>
      <c r="Y174" s="186" t="e">
        <f t="shared" si="309"/>
        <v>#DIV/0!</v>
      </c>
      <c r="Z174" s="186" t="e">
        <f t="shared" si="309"/>
        <v>#DIV/0!</v>
      </c>
      <c r="AA174" s="186" t="e">
        <f t="shared" si="309"/>
        <v>#DIV/0!</v>
      </c>
      <c r="AB174" s="186" t="e">
        <f t="shared" si="309"/>
        <v>#DIV/0!</v>
      </c>
      <c r="AC174" s="137"/>
      <c r="AD174" s="20"/>
      <c r="AE174" s="20"/>
    </row>
    <row r="175" spans="2:31">
      <c r="B175" s="20" t="s">
        <v>397</v>
      </c>
      <c r="C175" s="20"/>
      <c r="D175" s="20"/>
      <c r="E175" s="20"/>
      <c r="F175" s="20"/>
      <c r="G175" s="20"/>
      <c r="H175" s="20"/>
      <c r="I175" s="20"/>
      <c r="J175" s="20"/>
      <c r="K175" s="184">
        <v>0.05</v>
      </c>
      <c r="L175" s="20"/>
      <c r="M175" s="181">
        <f>P155/(P47*(1+K175)^L175)</f>
        <v>6.6785586822237475</v>
      </c>
      <c r="N175" s="20"/>
      <c r="O175" s="20"/>
      <c r="P175" s="181">
        <f>P155/P47</f>
        <v>6.6785586822237475</v>
      </c>
      <c r="Q175" s="20"/>
      <c r="R175" s="20"/>
      <c r="S175" s="186">
        <f>P47*(1+$K$175)</f>
        <v>9.1187339810454802</v>
      </c>
      <c r="T175" s="186">
        <f>S175*(1+$K$175)</f>
        <v>9.5746706800977552</v>
      </c>
      <c r="U175" s="186">
        <f t="shared" ref="U175:AB175" si="310">T175*(1+$K$175)</f>
        <v>10.053404214102644</v>
      </c>
      <c r="V175" s="186">
        <f t="shared" si="310"/>
        <v>10.556074424807777</v>
      </c>
      <c r="W175" s="186">
        <f t="shared" si="310"/>
        <v>11.083878146048166</v>
      </c>
      <c r="X175" s="186">
        <f t="shared" si="310"/>
        <v>11.638072053350575</v>
      </c>
      <c r="Y175" s="186">
        <f t="shared" si="310"/>
        <v>12.219975656018104</v>
      </c>
      <c r="Z175" s="186">
        <f t="shared" si="310"/>
        <v>12.830974438819009</v>
      </c>
      <c r="AA175" s="186">
        <f t="shared" si="310"/>
        <v>13.472523160759961</v>
      </c>
      <c r="AB175" s="186">
        <f t="shared" si="310"/>
        <v>14.14614931879796</v>
      </c>
      <c r="AC175" s="137"/>
      <c r="AD175" s="20"/>
      <c r="AE175" s="20"/>
    </row>
    <row r="176" spans="2:31"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185">
        <f>P155-S175</f>
        <v>48.88126601895452</v>
      </c>
      <c r="T176" s="185">
        <f>S176-T175</f>
        <v>39.306595338856766</v>
      </c>
      <c r="U176" s="185">
        <f t="shared" ref="U176:Z176" si="311">T176-U175</f>
        <v>29.253191124754125</v>
      </c>
      <c r="V176" s="185">
        <f t="shared" si="311"/>
        <v>18.697116699946349</v>
      </c>
      <c r="W176" s="185">
        <f t="shared" si="311"/>
        <v>7.6132385538981833</v>
      </c>
      <c r="X176" s="185">
        <f t="shared" si="311"/>
        <v>-4.0248334994523915</v>
      </c>
      <c r="Y176" s="185">
        <f t="shared" si="311"/>
        <v>-16.244809155470495</v>
      </c>
      <c r="Z176" s="185">
        <f t="shared" si="311"/>
        <v>-29.075783594289504</v>
      </c>
      <c r="AA176" s="185">
        <f>Z176-AA175</f>
        <v>-42.548306755049467</v>
      </c>
      <c r="AB176" s="185">
        <f t="shared" ref="AB176" si="312">AA176-AB175</f>
        <v>-56.694456073847427</v>
      </c>
      <c r="AC176" s="20"/>
      <c r="AD176" s="20"/>
      <c r="AE176" s="20"/>
    </row>
    <row r="177" spans="2:31">
      <c r="B177" s="108" t="s">
        <v>303</v>
      </c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</row>
    <row r="178" spans="2:31">
      <c r="B178" s="20" t="s">
        <v>306</v>
      </c>
      <c r="C178" s="25" t="e">
        <f t="shared" ref="C178:P178" si="313">C10/C7</f>
        <v>#DIV/0!</v>
      </c>
      <c r="D178" s="25" t="e">
        <f t="shared" si="313"/>
        <v>#DIV/0!</v>
      </c>
      <c r="E178" s="25" t="e">
        <f t="shared" si="313"/>
        <v>#DIV/0!</v>
      </c>
      <c r="F178" s="25" t="e">
        <f t="shared" si="313"/>
        <v>#DIV/0!</v>
      </c>
      <c r="G178" s="25" t="e">
        <f t="shared" si="313"/>
        <v>#DIV/0!</v>
      </c>
      <c r="H178" s="25" t="e">
        <f t="shared" si="313"/>
        <v>#DIV/0!</v>
      </c>
      <c r="I178" s="25" t="e">
        <f t="shared" si="313"/>
        <v>#DIV/0!</v>
      </c>
      <c r="J178" s="25" t="e">
        <f t="shared" si="313"/>
        <v>#DIV/0!</v>
      </c>
      <c r="K178" s="25" t="e">
        <f t="shared" si="313"/>
        <v>#DIV/0!</v>
      </c>
      <c r="L178" s="25" t="e">
        <f t="shared" si="313"/>
        <v>#DIV/0!</v>
      </c>
      <c r="M178" s="25" t="e">
        <f t="shared" si="313"/>
        <v>#DIV/0!</v>
      </c>
      <c r="N178" s="25" t="e">
        <f t="shared" si="313"/>
        <v>#DIV/0!</v>
      </c>
      <c r="O178" s="25" t="e">
        <f t="shared" si="313"/>
        <v>#DIV/0!</v>
      </c>
      <c r="P178" s="25" t="e">
        <f t="shared" si="313"/>
        <v>#DIV/0!</v>
      </c>
      <c r="Q178" s="118" t="e">
        <f t="shared" ref="Q178:Q180" si="314">((P178/G178)^(1/($H$2-$H$1) ))-1</f>
        <v>#DIV/0!</v>
      </c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</row>
    <row r="179" spans="2:31">
      <c r="B179" s="20" t="s">
        <v>307</v>
      </c>
      <c r="C179" s="112" t="e">
        <f>C10/C12</f>
        <v>#DIV/0!</v>
      </c>
      <c r="D179" s="112" t="e">
        <f>D10/D12</f>
        <v>#DIV/0!</v>
      </c>
      <c r="E179" s="112" t="e">
        <f>E10/E12</f>
        <v>#DIV/0!</v>
      </c>
      <c r="F179" s="112" t="e">
        <f>F10/F12</f>
        <v>#DIV/0!</v>
      </c>
      <c r="G179" s="112" t="e">
        <f>G10/G12</f>
        <v>#DIV/0!</v>
      </c>
      <c r="H179" s="112" t="e">
        <f t="shared" ref="H179:P179" si="315">H10/H12</f>
        <v>#DIV/0!</v>
      </c>
      <c r="I179" s="112" t="e">
        <f t="shared" si="315"/>
        <v>#DIV/0!</v>
      </c>
      <c r="J179" s="112" t="e">
        <f t="shared" si="315"/>
        <v>#DIV/0!</v>
      </c>
      <c r="K179" s="112" t="e">
        <f t="shared" si="315"/>
        <v>#DIV/0!</v>
      </c>
      <c r="L179" s="112" t="e">
        <f t="shared" si="315"/>
        <v>#DIV/0!</v>
      </c>
      <c r="M179" s="112" t="e">
        <f t="shared" si="315"/>
        <v>#DIV/0!</v>
      </c>
      <c r="N179" s="112" t="e">
        <f t="shared" si="315"/>
        <v>#DIV/0!</v>
      </c>
      <c r="O179" s="112" t="e">
        <f t="shared" si="315"/>
        <v>#DIV/0!</v>
      </c>
      <c r="P179" s="112" t="e">
        <f t="shared" si="315"/>
        <v>#DIV/0!</v>
      </c>
      <c r="Q179" s="118" t="e">
        <f t="shared" si="314"/>
        <v>#DIV/0!</v>
      </c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</row>
    <row r="180" spans="2:31">
      <c r="B180" s="20" t="s">
        <v>308</v>
      </c>
      <c r="C180" s="25" t="e">
        <f>C10/(C12+C13)</f>
        <v>#DIV/0!</v>
      </c>
      <c r="D180" s="25" t="e">
        <f>D10/(D12+D13)</f>
        <v>#DIV/0!</v>
      </c>
      <c r="E180" s="25" t="e">
        <f>E10/(E12+E13)</f>
        <v>#DIV/0!</v>
      </c>
      <c r="F180" s="25" t="e">
        <f>F10/(F12+F13)</f>
        <v>#DIV/0!</v>
      </c>
      <c r="G180" s="25" t="e">
        <f>G10/(G12+G13)</f>
        <v>#DIV/0!</v>
      </c>
      <c r="H180" s="25" t="e">
        <f t="shared" ref="H180:P180" si="316">H10/(H12+H13)</f>
        <v>#DIV/0!</v>
      </c>
      <c r="I180" s="25" t="e">
        <f t="shared" si="316"/>
        <v>#DIV/0!</v>
      </c>
      <c r="J180" s="25" t="e">
        <f t="shared" si="316"/>
        <v>#DIV/0!</v>
      </c>
      <c r="K180" s="25" t="e">
        <f t="shared" si="316"/>
        <v>#DIV/0!</v>
      </c>
      <c r="L180" s="25" t="e">
        <f t="shared" si="316"/>
        <v>#DIV/0!</v>
      </c>
      <c r="M180" s="25" t="e">
        <f t="shared" si="316"/>
        <v>#DIV/0!</v>
      </c>
      <c r="N180" s="25" t="e">
        <f t="shared" si="316"/>
        <v>#DIV/0!</v>
      </c>
      <c r="O180" s="25" t="e">
        <f t="shared" si="316"/>
        <v>#DIV/0!</v>
      </c>
      <c r="P180" s="25" t="e">
        <f t="shared" si="316"/>
        <v>#DIV/0!</v>
      </c>
      <c r="Q180" s="118" t="e">
        <f t="shared" si="314"/>
        <v>#DIV/0!</v>
      </c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</row>
    <row r="181" spans="2:31"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</row>
    <row r="182" spans="2:31"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</row>
    <row r="183" spans="2:31">
      <c r="B183" s="20"/>
      <c r="C183" s="174" t="s">
        <v>378</v>
      </c>
      <c r="D183" s="175"/>
      <c r="E183" s="175"/>
      <c r="F183" s="175"/>
      <c r="G183" s="175"/>
      <c r="H183" s="175"/>
      <c r="I183" s="175"/>
      <c r="J183" s="175"/>
      <c r="K183" s="20"/>
      <c r="L183" s="195" t="s">
        <v>338</v>
      </c>
      <c r="M183" s="196"/>
      <c r="N183" s="197"/>
      <c r="O183" s="23" t="s">
        <v>341</v>
      </c>
      <c r="P183" s="20"/>
      <c r="Q183" s="195" t="s">
        <v>339</v>
      </c>
      <c r="R183" s="196"/>
      <c r="S183" s="197"/>
      <c r="T183" s="23" t="s">
        <v>341</v>
      </c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</row>
    <row r="184" spans="2:31">
      <c r="B184" s="20"/>
      <c r="C184" s="166" t="s">
        <v>340</v>
      </c>
      <c r="D184" s="166" t="s">
        <v>0</v>
      </c>
      <c r="E184" s="166" t="s">
        <v>379</v>
      </c>
      <c r="F184" s="166" t="s">
        <v>380</v>
      </c>
      <c r="G184" s="166" t="s">
        <v>381</v>
      </c>
      <c r="H184" s="166" t="s">
        <v>382</v>
      </c>
      <c r="I184" s="166" t="s">
        <v>383</v>
      </c>
      <c r="J184" s="166" t="s">
        <v>384</v>
      </c>
      <c r="K184" s="20"/>
      <c r="L184" s="166" t="s">
        <v>340</v>
      </c>
      <c r="M184" s="166"/>
      <c r="N184" s="166" t="s">
        <v>0</v>
      </c>
      <c r="O184" s="166" t="s">
        <v>373</v>
      </c>
      <c r="P184" s="20"/>
      <c r="Q184" s="166" t="s">
        <v>340</v>
      </c>
      <c r="R184" s="166"/>
      <c r="S184" s="166" t="s">
        <v>0</v>
      </c>
      <c r="T184" s="166" t="s">
        <v>373</v>
      </c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</row>
    <row r="185" spans="2:31">
      <c r="B185" s="20"/>
      <c r="C185" s="167" t="s">
        <v>342</v>
      </c>
      <c r="D185" s="21">
        <v>0</v>
      </c>
      <c r="E185" s="176" t="s">
        <v>385</v>
      </c>
      <c r="F185" s="22">
        <v>1</v>
      </c>
      <c r="G185" s="22">
        <v>1</v>
      </c>
      <c r="H185" s="167">
        <f>F185/G185</f>
        <v>1</v>
      </c>
      <c r="I185" s="167">
        <f>H185*D186</f>
        <v>0</v>
      </c>
      <c r="J185" s="177">
        <f>I185+D186</f>
        <v>0</v>
      </c>
      <c r="K185" s="20"/>
      <c r="L185" s="167" t="s">
        <v>342</v>
      </c>
      <c r="M185" s="167"/>
      <c r="N185" s="21">
        <v>25</v>
      </c>
      <c r="O185" s="173">
        <f>N185</f>
        <v>25</v>
      </c>
      <c r="P185" s="20"/>
      <c r="Q185" s="167" t="s">
        <v>342</v>
      </c>
      <c r="R185" s="167"/>
      <c r="S185" s="21">
        <v>1</v>
      </c>
      <c r="T185" s="173">
        <f>S185</f>
        <v>1</v>
      </c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</row>
    <row r="186" spans="2:31">
      <c r="B186" s="20"/>
      <c r="C186" s="167" t="s">
        <v>343</v>
      </c>
      <c r="D186" s="21">
        <v>0</v>
      </c>
      <c r="E186" s="176" t="s">
        <v>386</v>
      </c>
      <c r="F186" s="22">
        <v>1</v>
      </c>
      <c r="G186" s="22">
        <v>1</v>
      </c>
      <c r="H186" s="167">
        <f>F186/G186</f>
        <v>1</v>
      </c>
      <c r="I186" s="167">
        <f>H186*J185</f>
        <v>0</v>
      </c>
      <c r="J186" s="167">
        <f>I186+J185</f>
        <v>0</v>
      </c>
      <c r="K186" s="20"/>
      <c r="L186" s="167" t="s">
        <v>343</v>
      </c>
      <c r="M186" s="167"/>
      <c r="N186" s="21">
        <v>1</v>
      </c>
      <c r="O186" s="173">
        <f>N186</f>
        <v>1</v>
      </c>
      <c r="P186" s="20"/>
      <c r="Q186" s="167" t="s">
        <v>343</v>
      </c>
      <c r="R186" s="167"/>
      <c r="S186" s="21">
        <v>1</v>
      </c>
      <c r="T186" s="173">
        <f>S186</f>
        <v>1</v>
      </c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</row>
    <row r="187" spans="2:31">
      <c r="B187" s="20"/>
      <c r="C187" s="167" t="s">
        <v>345</v>
      </c>
      <c r="D187" s="168">
        <f>D185*D186</f>
        <v>0</v>
      </c>
      <c r="E187" s="176" t="s">
        <v>399</v>
      </c>
      <c r="F187" s="22">
        <v>0</v>
      </c>
      <c r="G187" s="22">
        <v>2</v>
      </c>
      <c r="H187" s="167">
        <f>F187/G187</f>
        <v>0</v>
      </c>
      <c r="I187" s="167">
        <f>H187*J186</f>
        <v>0</v>
      </c>
      <c r="J187" s="167">
        <f>I187+J186</f>
        <v>0</v>
      </c>
      <c r="K187" s="20"/>
      <c r="L187" s="167" t="s">
        <v>344</v>
      </c>
      <c r="M187" s="167"/>
      <c r="N187" s="168">
        <f>N185*N186</f>
        <v>25</v>
      </c>
      <c r="O187" s="173">
        <f>N187</f>
        <v>25</v>
      </c>
      <c r="P187" s="20"/>
      <c r="Q187" s="167" t="s">
        <v>345</v>
      </c>
      <c r="R187" s="167"/>
      <c r="S187" s="168">
        <f>S185*S186</f>
        <v>1</v>
      </c>
      <c r="T187" s="173">
        <f>S187</f>
        <v>1</v>
      </c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</row>
    <row r="188" spans="2:31">
      <c r="B188" s="20"/>
      <c r="C188" s="167"/>
      <c r="D188" s="168"/>
      <c r="E188" s="176" t="s">
        <v>387</v>
      </c>
      <c r="F188" s="22">
        <v>10</v>
      </c>
      <c r="G188" s="22">
        <v>2</v>
      </c>
      <c r="H188" s="167">
        <f>F188/G188</f>
        <v>5</v>
      </c>
      <c r="I188" s="167">
        <f>H188*J187</f>
        <v>0</v>
      </c>
      <c r="J188" s="167">
        <f>I188</f>
        <v>0</v>
      </c>
      <c r="K188" s="20"/>
      <c r="L188" s="167" t="s">
        <v>346</v>
      </c>
      <c r="M188" s="167"/>
      <c r="N188" s="21">
        <v>58</v>
      </c>
      <c r="O188" s="21">
        <v>278</v>
      </c>
      <c r="P188" s="20"/>
      <c r="Q188" s="167" t="s">
        <v>346</v>
      </c>
      <c r="R188" s="167"/>
      <c r="S188" s="21">
        <v>1</v>
      </c>
      <c r="T188" s="21">
        <v>1</v>
      </c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</row>
    <row r="189" spans="2:31">
      <c r="B189" s="20"/>
      <c r="C189" s="167" t="s">
        <v>346</v>
      </c>
      <c r="D189" s="21">
        <v>1</v>
      </c>
      <c r="E189" s="176"/>
      <c r="F189" s="167"/>
      <c r="G189" s="167"/>
      <c r="H189" s="169" t="s">
        <v>388</v>
      </c>
      <c r="I189" s="167"/>
      <c r="J189" s="167">
        <f>J188</f>
        <v>0</v>
      </c>
      <c r="K189" s="20"/>
      <c r="L189" s="167" t="s">
        <v>347</v>
      </c>
      <c r="M189" s="167"/>
      <c r="N189" s="168">
        <f>N188*N186</f>
        <v>58</v>
      </c>
      <c r="O189" s="168">
        <f>O188*O186</f>
        <v>278</v>
      </c>
      <c r="P189" s="20"/>
      <c r="Q189" s="167" t="s">
        <v>343</v>
      </c>
      <c r="R189" s="167"/>
      <c r="S189" s="21">
        <v>1</v>
      </c>
      <c r="T189" s="127">
        <f>S189</f>
        <v>1</v>
      </c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</row>
    <row r="190" spans="2:31">
      <c r="B190" s="20"/>
      <c r="C190" s="167" t="s">
        <v>343</v>
      </c>
      <c r="D190" s="21">
        <v>1</v>
      </c>
      <c r="E190" s="176" t="s">
        <v>387</v>
      </c>
      <c r="F190" s="22">
        <v>10</v>
      </c>
      <c r="G190" s="22">
        <v>2</v>
      </c>
      <c r="H190" s="167">
        <f>F190/G190</f>
        <v>5</v>
      </c>
      <c r="I190" s="177">
        <f>H190*D186</f>
        <v>0</v>
      </c>
      <c r="J190" s="177">
        <f>I190</f>
        <v>0</v>
      </c>
      <c r="K190" s="20"/>
      <c r="L190" s="167"/>
      <c r="M190" s="167"/>
      <c r="N190" s="168"/>
      <c r="O190" s="168"/>
      <c r="P190" s="20"/>
      <c r="Q190" s="167" t="s">
        <v>345</v>
      </c>
      <c r="R190" s="167"/>
      <c r="S190" s="168">
        <f>S189*S188</f>
        <v>1</v>
      </c>
      <c r="T190" s="168">
        <f>T189*T188</f>
        <v>1</v>
      </c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</row>
    <row r="191" spans="2:31">
      <c r="B191" s="20"/>
      <c r="C191" s="167" t="s">
        <v>345</v>
      </c>
      <c r="D191" s="168">
        <f>D190*D189</f>
        <v>1</v>
      </c>
      <c r="E191" s="167"/>
      <c r="F191" s="167"/>
      <c r="G191" s="167"/>
      <c r="H191" s="169" t="s">
        <v>388</v>
      </c>
      <c r="I191" s="167"/>
      <c r="J191" s="167">
        <f>J190</f>
        <v>0</v>
      </c>
      <c r="K191" s="20"/>
      <c r="L191" s="167"/>
      <c r="M191" s="167"/>
      <c r="N191" s="168"/>
      <c r="O191" s="168"/>
      <c r="P191" s="20"/>
      <c r="Q191" s="167"/>
      <c r="R191" s="167"/>
      <c r="S191" s="168"/>
      <c r="T191" s="168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</row>
    <row r="192" spans="2:31">
      <c r="B192" s="20"/>
      <c r="C192" s="167"/>
      <c r="D192" s="168"/>
      <c r="E192" s="176" t="s">
        <v>387</v>
      </c>
      <c r="F192" s="22">
        <v>10</v>
      </c>
      <c r="G192" s="22">
        <v>2</v>
      </c>
      <c r="H192" s="167">
        <f>F192/G192</f>
        <v>5</v>
      </c>
      <c r="I192" s="167">
        <f>H192*J191</f>
        <v>0</v>
      </c>
      <c r="J192" s="167">
        <f>I192</f>
        <v>0</v>
      </c>
      <c r="K192" s="20"/>
      <c r="L192" s="169" t="s">
        <v>348</v>
      </c>
      <c r="M192" s="169"/>
      <c r="N192" s="170">
        <f>N189/N187</f>
        <v>2.3199999999999998</v>
      </c>
      <c r="O192" s="170">
        <f>O189/O187</f>
        <v>11.12</v>
      </c>
      <c r="P192" s="20"/>
      <c r="Q192" s="169" t="s">
        <v>348</v>
      </c>
      <c r="R192" s="169"/>
      <c r="S192" s="170">
        <f>S190/S187</f>
        <v>1</v>
      </c>
      <c r="T192" s="170">
        <f>T190/T187</f>
        <v>1</v>
      </c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</row>
    <row r="193" spans="2:31">
      <c r="B193" s="20"/>
      <c r="C193" s="169" t="s">
        <v>348</v>
      </c>
      <c r="D193" s="170" t="e">
        <f>D191/D187</f>
        <v>#DIV/0!</v>
      </c>
      <c r="E193" s="176"/>
      <c r="F193" s="167"/>
      <c r="G193" s="167"/>
      <c r="H193" s="169" t="s">
        <v>388</v>
      </c>
      <c r="I193" s="167"/>
      <c r="J193" s="167">
        <f>J192</f>
        <v>0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</row>
    <row r="194" spans="2:31"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</row>
    <row r="195" spans="2:31">
      <c r="B195" s="20"/>
      <c r="C195" s="20"/>
      <c r="D195" s="137"/>
      <c r="E195" s="178"/>
      <c r="F195" s="178"/>
      <c r="G195" s="179"/>
      <c r="H195" s="20"/>
      <c r="I195" s="137"/>
      <c r="J195" s="178"/>
      <c r="K195" s="179"/>
      <c r="L195" s="20"/>
      <c r="M195" s="20">
        <v>8</v>
      </c>
      <c r="N195" s="20">
        <v>12</v>
      </c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</row>
    <row r="196" spans="2:31" ht="14.25">
      <c r="B196" s="20"/>
      <c r="C196" s="20"/>
      <c r="D196" s="188" t="s">
        <v>27</v>
      </c>
      <c r="E196" s="189"/>
      <c r="F196" s="189"/>
      <c r="G196" s="190"/>
      <c r="H196" s="20"/>
      <c r="I196" s="188" t="s">
        <v>394</v>
      </c>
      <c r="J196" s="189"/>
      <c r="K196" s="19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</row>
    <row r="197" spans="2:31">
      <c r="B197" s="20"/>
      <c r="C197" s="20"/>
      <c r="D197" s="20" t="s">
        <v>28</v>
      </c>
      <c r="E197" s="127"/>
      <c r="F197" s="127"/>
      <c r="G197" s="21">
        <v>1</v>
      </c>
      <c r="H197" s="20"/>
      <c r="I197" s="20" t="s">
        <v>28</v>
      </c>
      <c r="J197" s="127"/>
      <c r="K197" s="21">
        <f>G197</f>
        <v>1</v>
      </c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</row>
    <row r="198" spans="2:31">
      <c r="B198" s="20"/>
      <c r="C198" s="20"/>
      <c r="D198" s="20" t="s">
        <v>29</v>
      </c>
      <c r="E198" s="127"/>
      <c r="F198" s="127"/>
      <c r="G198" s="21">
        <v>1</v>
      </c>
      <c r="H198" s="20"/>
      <c r="I198" s="20" t="s">
        <v>29</v>
      </c>
      <c r="J198" s="20"/>
      <c r="K198" s="21">
        <f>G198</f>
        <v>1</v>
      </c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</row>
    <row r="199" spans="2:31">
      <c r="B199" s="20"/>
      <c r="C199" s="20"/>
      <c r="D199" s="20" t="s">
        <v>30</v>
      </c>
      <c r="E199" s="20"/>
      <c r="F199" s="20"/>
      <c r="G199" s="22">
        <v>1</v>
      </c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</row>
    <row r="200" spans="2:31">
      <c r="B200" s="20"/>
      <c r="C200" s="20"/>
      <c r="D200" s="23" t="s">
        <v>31</v>
      </c>
      <c r="E200" s="3"/>
      <c r="F200" s="3"/>
      <c r="G200" s="3">
        <f>((G198/G197)^(1/G199))-1</f>
        <v>0</v>
      </c>
      <c r="H200" s="20"/>
      <c r="I200" s="23" t="s">
        <v>395</v>
      </c>
      <c r="J200" s="23"/>
      <c r="K200" s="23">
        <f>(K198-K197)/K197</f>
        <v>0</v>
      </c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</row>
    <row r="201" spans="2:31">
      <c r="B201" s="20"/>
      <c r="C201" s="20"/>
      <c r="D201" s="23" t="s">
        <v>32</v>
      </c>
      <c r="E201" s="165"/>
      <c r="F201" s="165"/>
      <c r="G201" s="24">
        <f>G199*12</f>
        <v>12</v>
      </c>
      <c r="H201" s="20"/>
      <c r="I201" s="23" t="s">
        <v>396</v>
      </c>
      <c r="J201" s="23"/>
      <c r="K201" s="23">
        <f>K198/K197</f>
        <v>1</v>
      </c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</row>
    <row r="202" spans="2:31">
      <c r="B202" s="20"/>
      <c r="C202" s="20"/>
      <c r="D202" s="20" t="s">
        <v>30</v>
      </c>
      <c r="E202" s="25"/>
      <c r="F202" s="25"/>
      <c r="G202" s="25">
        <f>G201/12</f>
        <v>1</v>
      </c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</row>
    <row r="203" spans="2:31">
      <c r="B203" s="20"/>
      <c r="C203" s="20"/>
      <c r="D203" s="23" t="s">
        <v>33</v>
      </c>
      <c r="E203" s="3"/>
      <c r="F203" s="3"/>
      <c r="G203" s="3">
        <f>((G198/G197)^(1/G202))-1</f>
        <v>0</v>
      </c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</row>
    <row r="204" spans="2:31"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</row>
    <row r="205" spans="2:31">
      <c r="C205" s="20"/>
      <c r="D205" s="20"/>
      <c r="E205" s="20"/>
      <c r="F205" s="20"/>
      <c r="G205" s="20"/>
      <c r="H205" s="20"/>
      <c r="I205" s="20"/>
      <c r="J205" s="20"/>
      <c r="K205" s="20"/>
    </row>
  </sheetData>
  <mergeCells count="7">
    <mergeCell ref="D196:G196"/>
    <mergeCell ref="I196:K196"/>
    <mergeCell ref="AD2:AE2"/>
    <mergeCell ref="AD3:AE3"/>
    <mergeCell ref="L183:N183"/>
    <mergeCell ref="Q183:S183"/>
    <mergeCell ref="K166:L166"/>
  </mergeCells>
  <pageMargins left="0.7" right="0.7" top="0.75" bottom="0.75" header="0.3" footer="0.3"/>
  <pageSetup orientation="portrait" r:id="rId1"/>
  <ignoredErrors>
    <ignoredError sqref="C157" evalError="1"/>
    <ignoredError sqref="T31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C3:J36"/>
  <sheetViews>
    <sheetView topLeftCell="A5" zoomScale="80" zoomScaleNormal="80" workbookViewId="0">
      <selection activeCell="F26" sqref="F26"/>
    </sheetView>
  </sheetViews>
  <sheetFormatPr defaultRowHeight="15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>
      <c r="C6" s="6" t="s">
        <v>17</v>
      </c>
      <c r="D6" s="8">
        <v>10910.34</v>
      </c>
      <c r="E6" s="9"/>
      <c r="F6" s="9"/>
      <c r="G6" s="9"/>
      <c r="H6" s="9"/>
      <c r="I6" s="9"/>
    </row>
    <row r="7" spans="3:9">
      <c r="C7" s="6" t="s">
        <v>4</v>
      </c>
      <c r="D7" s="8">
        <v>141489.62</v>
      </c>
      <c r="E7" s="9"/>
      <c r="F7" s="9"/>
      <c r="G7" s="9"/>
      <c r="H7" s="9"/>
      <c r="I7" s="9"/>
    </row>
    <row r="8" spans="3:9">
      <c r="C8" s="6" t="s">
        <v>2</v>
      </c>
      <c r="D8" s="8">
        <v>0</v>
      </c>
      <c r="E8" s="9"/>
      <c r="F8" s="9"/>
      <c r="G8" s="9"/>
      <c r="H8" s="9"/>
      <c r="I8" s="9"/>
    </row>
    <row r="9" spans="3:9">
      <c r="C9" s="6" t="s">
        <v>19</v>
      </c>
      <c r="D9" s="8">
        <v>0</v>
      </c>
      <c r="E9" s="9"/>
      <c r="F9" s="9"/>
      <c r="G9" s="9"/>
      <c r="H9" s="9"/>
      <c r="I9" s="9"/>
    </row>
    <row r="10" spans="3:9">
      <c r="C10" s="6" t="s">
        <v>23</v>
      </c>
      <c r="D10" s="15">
        <v>0</v>
      </c>
      <c r="E10" s="9"/>
      <c r="F10" s="9"/>
      <c r="G10" s="9"/>
      <c r="H10" s="9"/>
      <c r="I10" s="9"/>
    </row>
    <row r="11" spans="3:9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>
      <c r="D15" s="9"/>
      <c r="E15" s="9"/>
      <c r="F15" s="9"/>
      <c r="G15" s="9"/>
      <c r="H15" s="9"/>
      <c r="I15" s="9"/>
    </row>
    <row r="16" spans="3:9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>
      <c r="D17" s="9"/>
      <c r="E17" s="9"/>
      <c r="F17" s="9"/>
      <c r="G17" s="9"/>
      <c r="H17" s="9"/>
      <c r="I17" s="9"/>
    </row>
    <row r="18" spans="3:10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>
      <c r="C23" s="6" t="s">
        <v>22</v>
      </c>
      <c r="D23" s="13">
        <f>(D9*D16)/D14</f>
        <v>0</v>
      </c>
    </row>
    <row r="25" spans="3:10">
      <c r="C25" s="6" t="s">
        <v>24</v>
      </c>
      <c r="D25" s="16">
        <f>(D10*D16)/D14</f>
        <v>0</v>
      </c>
    </row>
    <row r="27" spans="3:10">
      <c r="C27" s="99" t="s">
        <v>83</v>
      </c>
    </row>
    <row r="28" spans="3:10">
      <c r="C28" s="6" t="s">
        <v>82</v>
      </c>
      <c r="D28" s="100">
        <f>(D11*D16)/D14</f>
        <v>2922.2274705074806</v>
      </c>
    </row>
    <row r="29" spans="3:10">
      <c r="C29" s="6" t="s">
        <v>84</v>
      </c>
      <c r="D29" s="100">
        <f>(D12*D16)/D14</f>
        <v>2101.8309793610538</v>
      </c>
    </row>
    <row r="30" spans="3:10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>
      <c r="C31" s="6" t="s">
        <v>81</v>
      </c>
      <c r="D31" s="98">
        <f>D12/D11</f>
        <v>0.71925645781299996</v>
      </c>
    </row>
    <row r="34" spans="3:4">
      <c r="C34" s="1" t="s">
        <v>20</v>
      </c>
      <c r="D34" s="1" t="s">
        <v>21</v>
      </c>
    </row>
    <row r="35" spans="3:4">
      <c r="C35" s="11">
        <v>1</v>
      </c>
      <c r="D35" s="12">
        <f>C35/10</f>
        <v>0.1</v>
      </c>
    </row>
    <row r="36" spans="3:4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2:Q45"/>
  <sheetViews>
    <sheetView topLeftCell="A25" zoomScale="80" zoomScaleNormal="80" workbookViewId="0">
      <selection activeCell="M5" sqref="M5:N10"/>
    </sheetView>
  </sheetViews>
  <sheetFormatPr defaultRowHeight="15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>
      <c r="D2" s="6" t="s">
        <v>64</v>
      </c>
    </row>
    <row r="3" spans="2:14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200" t="s">
        <v>27</v>
      </c>
      <c r="K5" s="200"/>
      <c r="M5" s="200" t="s">
        <v>65</v>
      </c>
      <c r="N5" s="200"/>
    </row>
    <row r="6" spans="2:14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200" t="s">
        <v>36</v>
      </c>
      <c r="K14" s="200"/>
      <c r="L14" s="200"/>
    </row>
    <row r="15" spans="2:14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>
      <c r="B23" s="18" t="s">
        <v>46</v>
      </c>
      <c r="C23" s="1"/>
      <c r="D23" s="4">
        <v>0.1125</v>
      </c>
      <c r="E23" s="4"/>
      <c r="F23" s="1"/>
      <c r="G23" s="1"/>
    </row>
    <row r="27" spans="1:17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2:T45"/>
  <sheetViews>
    <sheetView zoomScale="80" zoomScaleNormal="80" workbookViewId="0">
      <selection activeCell="B17" sqref="B17"/>
    </sheetView>
  </sheetViews>
  <sheetFormatPr defaultRowHeight="15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>
      <c r="D2" s="6" t="s">
        <v>47</v>
      </c>
    </row>
    <row r="3" spans="2:20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>
      <c r="B5" s="18">
        <v>1</v>
      </c>
      <c r="C5" s="1">
        <v>2001</v>
      </c>
      <c r="D5" s="1"/>
      <c r="E5" s="1"/>
      <c r="F5" s="1"/>
      <c r="G5" s="1">
        <v>115.93</v>
      </c>
      <c r="R5" s="200" t="s">
        <v>27</v>
      </c>
      <c r="S5" s="200"/>
    </row>
    <row r="6" spans="2:20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200" t="s">
        <v>36</v>
      </c>
      <c r="S14" s="200"/>
      <c r="T14" s="200"/>
    </row>
    <row r="15" spans="2:20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>
      <c r="B23" s="18" t="s">
        <v>46</v>
      </c>
      <c r="C23" s="1"/>
      <c r="D23" s="4">
        <v>0.1125</v>
      </c>
      <c r="E23" s="4"/>
      <c r="F23" s="1"/>
      <c r="G23" s="1"/>
    </row>
    <row r="27" spans="1:20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B2:L48"/>
  <sheetViews>
    <sheetView topLeftCell="A25" zoomScale="90" zoomScaleNormal="90" workbookViewId="0">
      <selection activeCell="G25" sqref="G25"/>
    </sheetView>
  </sheetViews>
  <sheetFormatPr defaultRowHeight="1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>
      <c r="B2" s="200" t="s">
        <v>27</v>
      </c>
      <c r="C2" s="200"/>
      <c r="E2" s="200" t="s">
        <v>65</v>
      </c>
      <c r="F2" s="200"/>
      <c r="H2" s="204" t="s">
        <v>36</v>
      </c>
      <c r="I2" s="205"/>
    </row>
    <row r="3" spans="2:12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/>
    <row r="10" spans="2:12" ht="16.5" thickBot="1">
      <c r="B10" s="86"/>
      <c r="C10" s="87"/>
      <c r="D10" s="201" t="s">
        <v>68</v>
      </c>
      <c r="E10" s="202"/>
      <c r="F10" s="202"/>
      <c r="G10" s="202"/>
      <c r="H10" s="203"/>
      <c r="I10" s="201" t="s">
        <v>72</v>
      </c>
      <c r="J10" s="202"/>
      <c r="K10" s="202"/>
      <c r="L10" s="203"/>
    </row>
    <row r="11" spans="2:12" ht="4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2014-01-24T17:37:36Z</dcterms:modified>
</cp:coreProperties>
</file>
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S42" i="18" l="1"/>
  <c r="G44" i="18" l="1"/>
  <c r="G42" i="18"/>
  <c r="G40" i="18"/>
  <c r="G38" i="18"/>
  <c r="G36" i="18"/>
  <c r="G34" i="18"/>
  <c r="G29" i="18"/>
  <c r="G27" i="18"/>
  <c r="G25" i="18"/>
  <c r="Q25" i="18" l="1"/>
  <c r="Q23" i="18"/>
  <c r="Q22" i="18"/>
  <c r="Q21" i="18"/>
  <c r="Q20" i="18"/>
  <c r="Q42" i="18"/>
  <c r="J28" i="18"/>
  <c r="Q34" i="18"/>
  <c r="Q18" i="18" l="1"/>
  <c r="Q16" i="18"/>
  <c r="Q15" i="18"/>
  <c r="Q13" i="18"/>
  <c r="Q12" i="18"/>
  <c r="Q9" i="18"/>
  <c r="F115" i="18" l="1"/>
  <c r="M180" i="18" l="1"/>
  <c r="M181" i="18" s="1"/>
  <c r="L180" i="18"/>
  <c r="L181" i="18" s="1"/>
  <c r="K180" i="18"/>
  <c r="K181" i="18" s="1"/>
  <c r="I180" i="18"/>
  <c r="I181" i="18" s="1"/>
  <c r="H180" i="18"/>
  <c r="H181" i="18" s="1"/>
  <c r="F180" i="18"/>
  <c r="E180" i="18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111" i="18" s="1"/>
  <c r="Q112" i="18" s="1"/>
  <c r="Q72" i="18"/>
  <c r="Q74" i="18" s="1"/>
  <c r="Q75" i="18"/>
  <c r="Q76" i="18"/>
  <c r="Q77" i="18"/>
  <c r="Q78" i="18"/>
  <c r="Q80" i="18"/>
  <c r="Q135" i="18" s="1"/>
  <c r="Q81" i="18"/>
  <c r="Q82" i="18"/>
  <c r="Q86" i="18"/>
  <c r="Q87" i="18"/>
  <c r="Q88" i="18"/>
  <c r="Q89" i="18"/>
  <c r="Q90" i="18"/>
  <c r="Q93" i="18"/>
  <c r="Q99" i="18" s="1"/>
  <c r="Q94" i="18"/>
  <c r="Q100" i="18" s="1"/>
  <c r="Q95" i="18"/>
  <c r="Q101" i="18" s="1"/>
  <c r="Q96" i="18"/>
  <c r="Q102" i="18" s="1"/>
  <c r="Q97" i="18"/>
  <c r="Q103" i="18" s="1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 s="1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13" i="18" l="1"/>
  <c r="Q114" i="18" s="1"/>
  <c r="Q115" i="18"/>
  <c r="Q178" i="18"/>
  <c r="Q173" i="18"/>
  <c r="T192" i="18"/>
  <c r="T193" i="18" s="1"/>
  <c r="Q192" i="18"/>
  <c r="Q66" i="18"/>
  <c r="Q175" i="18" s="1"/>
  <c r="H91" i="18"/>
  <c r="K91" i="18"/>
  <c r="L91" i="18"/>
  <c r="AE52" i="18"/>
  <c r="H52" i="18"/>
  <c r="I52" i="18"/>
  <c r="I91" i="18" s="1"/>
  <c r="J52" i="18"/>
  <c r="J91" i="18" s="1"/>
  <c r="K52" i="18"/>
  <c r="L52" i="18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52" i="18" l="1"/>
  <c r="H192" i="18"/>
  <c r="Q180" i="18"/>
  <c r="Q181" i="18" s="1"/>
  <c r="P91" i="18"/>
  <c r="R91" i="18" s="1"/>
  <c r="G215" i="18"/>
  <c r="G214" i="18"/>
  <c r="G217" i="18" l="1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G220" i="18" s="1"/>
  <c r="K215" i="18"/>
  <c r="K214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H207" i="18"/>
  <c r="I207" i="18" s="1"/>
  <c r="J207" i="18" s="1"/>
  <c r="J208" i="18" s="1"/>
  <c r="H205" i="18"/>
  <c r="H203" i="18"/>
  <c r="H202" i="18"/>
  <c r="I202" i="18" s="1"/>
  <c r="J202" i="18" s="1"/>
  <c r="Y38" i="18" l="1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0" i="18" l="1"/>
  <c r="R103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R141" i="18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Q191" i="18" l="1"/>
  <c r="T191" i="18"/>
  <c r="T190" i="18" s="1"/>
  <c r="P191" i="18"/>
  <c r="Y44" i="18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T106" i="18" l="1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78" i="18"/>
  <c r="F173" i="18"/>
  <c r="F177" i="18" s="1"/>
  <c r="F178" i="18"/>
  <c r="J173" i="18"/>
  <c r="J180" i="18" s="1"/>
  <c r="J181" i="18" s="1"/>
  <c r="J178" i="18"/>
  <c r="M173" i="18"/>
  <c r="M178" i="18"/>
  <c r="I173" i="18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P181" i="18" l="1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81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81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81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81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81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81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81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06" i="18" s="1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81" i="18" s="1"/>
  <c r="AA174" i="18"/>
  <c r="N36" i="11"/>
  <c r="O35" i="11"/>
  <c r="F5" i="8"/>
  <c r="G5" i="8" s="1"/>
  <c r="H5" i="8" s="1"/>
  <c r="I5" i="8" s="1"/>
  <c r="AB113" i="18" l="1"/>
  <c r="AB114" i="18" s="1"/>
  <c r="AB115" i="18"/>
  <c r="AD9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81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57" i="18"/>
  <c r="U144" i="18" s="1"/>
  <c r="AC174" i="18"/>
  <c r="T144" i="18"/>
  <c r="N38" i="11"/>
  <c r="O37" i="11"/>
  <c r="H18" i="8"/>
  <c r="AD180" i="18" l="1"/>
  <c r="AC181" i="18"/>
  <c r="M187" i="18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<sst xmlns="http://schemas.openxmlformats.org/spreadsheetml/2006/main" count="647" uniqueCount="455">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</sst>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5" fontId="16" fillId="5" borderId="1" xfId="2" applyNumberFormat="1" applyFont="1" applyFill="1" applyBorder="1"/>
    <xf numFmtId="0" fontId="16" fillId="5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5" fontId="4" fillId="13" borderId="1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61664"/>
        <c:axId val="108355968"/>
      </c:lineChart>
      <c:catAx>
        <c:axId val="108161664"/>
        <c:scaling>
          <c:orientation val="minMax"/>
        </c:scaling>
        <c:delete val="0"/>
        <c:axPos val="b"/>
        <c:majorTickMark val="out"/>
        <c:minorTickMark val="none"/>
        <c:tickLblPos val="nextTo"/>
        <c:crossAx val="108355968"/>
        <c:crosses val="autoZero"/>
        <c:auto val="1"/>
        <c:lblAlgn val="ctr"/>
        <c:lblOffset val="100"/>
        <c:noMultiLvlLbl val="0"/>
      </c:catAx>
      <c:valAx>
        <c:axId val="108355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16166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M153" activePane="bottomRight" state="frozen"/>
      <selection pane="topRight" activeCell="C1" sqref="C1"/>
      <selection pane="bottomLeft" activeCell="A5" sqref="A5"/>
      <selection pane="bottomRight" activeCell="O180" sqref="O180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0.15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0.15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8" t="s">
        <v>291</v>
      </c>
      <c r="AF2" s="199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0" t="s">
        <v>292</v>
      </c>
      <c r="AF3" s="201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93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-3</v>
      </c>
      <c r="H6" s="147"/>
      <c r="I6" s="147"/>
      <c r="J6" s="147">
        <v>253</v>
      </c>
      <c r="K6" s="147">
        <v>319</v>
      </c>
      <c r="L6" s="147">
        <v>453</v>
      </c>
      <c r="M6" s="147">
        <v>656</v>
      </c>
      <c r="N6" s="147">
        <v>795</v>
      </c>
      <c r="O6" s="147">
        <v>946</v>
      </c>
      <c r="P6" s="147">
        <v>1105</v>
      </c>
      <c r="Q6" s="147">
        <v>1094</v>
      </c>
      <c r="R6" s="118">
        <f>((Q6/G6)^(1/($H$2-$H$1) ))-1</f>
        <v>-2.9259948370280284</v>
      </c>
      <c r="S6" s="31">
        <f>$L$2</f>
        <v>0.15</v>
      </c>
      <c r="T6" s="154">
        <f>Q6*(1+$S6)</f>
        <v>1258.0999999999999</v>
      </c>
      <c r="U6" s="154">
        <f>T6*(1+$S6)</f>
        <v>1446.8149999999998</v>
      </c>
      <c r="V6" s="154">
        <f t="shared" ref="V6:AC6" si="0">U6*(1+$S6)</f>
        <v>1663.8372499999996</v>
      </c>
      <c r="W6" s="154">
        <f t="shared" si="0"/>
        <v>1913.4128374999993</v>
      </c>
      <c r="X6" s="154">
        <f t="shared" si="0"/>
        <v>2200.4247631249991</v>
      </c>
      <c r="Y6" s="154">
        <f t="shared" si="0"/>
        <v>2530.4884775937489</v>
      </c>
      <c r="Z6" s="154">
        <f t="shared" si="0"/>
        <v>2910.0617492328111</v>
      </c>
      <c r="AA6" s="154">
        <f t="shared" si="0"/>
        <v>3346.5710116177324</v>
      </c>
      <c r="AB6" s="154">
        <f t="shared" si="0"/>
        <v>3848.5566633603921</v>
      </c>
      <c r="AC6" s="154">
        <f t="shared" si="0"/>
        <v>4425.8401628644506</v>
      </c>
      <c r="AD6" s="138" t="e">
        <f>((AC6/G6)^(1/($AC$3-$H$1) ))-1</f>
        <v>#NUM!</v>
      </c>
      <c r="AE6" s="31">
        <f>$L$1</f>
        <v>0.05</v>
      </c>
      <c r="AF6" s="146">
        <f t="shared" ref="AF6:AF44" si="1">(AC6*(1+AE6))/($C$1-AE6)</f>
        <v>46471.321710076743</v>
      </c>
    </row>
    <row r="7" spans="2:32" x14ac:dyDescent="0.2">
      <c r="B7" s="20" t="s">
        <v>240</v>
      </c>
      <c r="C7" s="141"/>
      <c r="D7" s="141"/>
      <c r="E7" s="147"/>
      <c r="F7" s="147"/>
      <c r="G7" s="147">
        <v>12</v>
      </c>
      <c r="H7" s="147"/>
      <c r="I7" s="147"/>
      <c r="J7" s="147"/>
      <c r="K7" s="147"/>
      <c r="L7" s="147"/>
      <c r="M7" s="147"/>
      <c r="N7" s="147">
        <v>845</v>
      </c>
      <c r="O7" s="147">
        <v>997</v>
      </c>
      <c r="P7" s="147">
        <v>1156</v>
      </c>
      <c r="Q7" s="147">
        <v>1145</v>
      </c>
      <c r="R7" s="118">
        <f>((Q7/G7)^(1/($H$2-$H$1) ))-1</f>
        <v>0.65942737017902497</v>
      </c>
      <c r="S7" s="31">
        <f>$L$2</f>
        <v>0.15</v>
      </c>
      <c r="T7" s="154">
        <f t="shared" ref="T7:T44" si="2">Q7*(1+$S7)</f>
        <v>1316.75</v>
      </c>
      <c r="U7" s="154">
        <f t="shared" ref="U7:AC7" si="3">T7*(1+$S7)</f>
        <v>1514.2624999999998</v>
      </c>
      <c r="V7" s="154">
        <f t="shared" si="3"/>
        <v>1741.4018749999996</v>
      </c>
      <c r="W7" s="154">
        <f t="shared" si="3"/>
        <v>2002.6121562499993</v>
      </c>
      <c r="X7" s="154">
        <f t="shared" si="3"/>
        <v>2303.0039796874989</v>
      </c>
      <c r="Y7" s="154">
        <f t="shared" si="3"/>
        <v>2648.4545766406236</v>
      </c>
      <c r="Z7" s="154">
        <f t="shared" si="3"/>
        <v>3045.7227631367168</v>
      </c>
      <c r="AA7" s="154">
        <f t="shared" si="3"/>
        <v>3502.5811776072242</v>
      </c>
      <c r="AB7" s="154">
        <f t="shared" si="3"/>
        <v>4027.9683542483076</v>
      </c>
      <c r="AC7" s="154">
        <f t="shared" si="3"/>
        <v>4632.1636073855534</v>
      </c>
      <c r="AD7" s="138">
        <f>((AC7/G7)^(1/($AC$3-$H$1) ))-1</f>
        <v>0.34688380884400738</v>
      </c>
      <c r="AE7" s="31">
        <f>$L$1</f>
        <v>0.05</v>
      </c>
      <c r="AF7" s="146">
        <f t="shared" si="1"/>
        <v>48637.717877548319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 t="e">
        <f>(H7-G7)/H7</f>
        <v>#DIV/0!</v>
      </c>
      <c r="I8" s="151" t="e">
        <f t="shared" ref="I8:Q8" si="4">(I7-H7)/I7</f>
        <v>#DIV/0!</v>
      </c>
      <c r="J8" s="151" t="e">
        <f t="shared" si="4"/>
        <v>#DIV/0!</v>
      </c>
      <c r="K8" s="151" t="e">
        <f t="shared" si="4"/>
        <v>#DIV/0!</v>
      </c>
      <c r="L8" s="151" t="e">
        <f t="shared" si="4"/>
        <v>#DIV/0!</v>
      </c>
      <c r="M8" s="151" t="e">
        <f t="shared" si="4"/>
        <v>#DIV/0!</v>
      </c>
      <c r="N8" s="151">
        <f t="shared" si="4"/>
        <v>1</v>
      </c>
      <c r="O8" s="151">
        <f t="shared" si="4"/>
        <v>0.15245737211634905</v>
      </c>
      <c r="P8" s="151">
        <f t="shared" si="4"/>
        <v>0.13754325259515571</v>
      </c>
      <c r="Q8" s="151">
        <f t="shared" si="4"/>
        <v>-9.6069868995633193E-3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/>
      <c r="H9" s="147"/>
      <c r="I9" s="147"/>
      <c r="J9" s="147"/>
      <c r="K9" s="147"/>
      <c r="L9" s="147"/>
      <c r="M9" s="147"/>
      <c r="N9" s="147">
        <v>617</v>
      </c>
      <c r="O9" s="147">
        <v>722</v>
      </c>
      <c r="P9" s="147">
        <v>536</v>
      </c>
      <c r="Q9" s="147">
        <f>P9</f>
        <v>536</v>
      </c>
      <c r="R9" s="118" t="e">
        <f>((Q9/G9)^(1/($H$2-$H$1) ))-1</f>
        <v>#DIV/0!</v>
      </c>
      <c r="S9" s="31">
        <f t="shared" ref="S9:S40" si="5">$L$2</f>
        <v>0.15</v>
      </c>
      <c r="T9" s="154">
        <f t="shared" si="2"/>
        <v>616.4</v>
      </c>
      <c r="U9" s="154">
        <f t="shared" ref="U9" si="6">T9*(1+$S9)</f>
        <v>708.8599999999999</v>
      </c>
      <c r="V9" s="154">
        <f t="shared" ref="V9" si="7">U9*(1+$S9)</f>
        <v>815.18899999999985</v>
      </c>
      <c r="W9" s="154">
        <f t="shared" ref="W9" si="8">V9*(1+$S9)</f>
        <v>937.46734999999978</v>
      </c>
      <c r="X9" s="154">
        <f t="shared" ref="X9" si="9">W9*(1+$S9)</f>
        <v>1078.0874524999997</v>
      </c>
      <c r="Y9" s="154">
        <f t="shared" ref="Y9" si="10">X9*(1+$S9)</f>
        <v>1239.8005703749996</v>
      </c>
      <c r="Z9" s="154">
        <f t="shared" ref="Z9" si="11">Y9*(1+$S9)</f>
        <v>1425.7706559312494</v>
      </c>
      <c r="AA9" s="154">
        <f t="shared" ref="AA9" si="12">Z9*(1+$S9)</f>
        <v>1639.6362543209366</v>
      </c>
      <c r="AB9" s="154">
        <f t="shared" ref="AB9" si="13">AA9*(1+$S9)</f>
        <v>1885.5816924690769</v>
      </c>
      <c r="AC9" s="154">
        <f t="shared" ref="AC9" si="14">AB9*(1+$S9)</f>
        <v>2168.4189463394382</v>
      </c>
      <c r="AD9" s="138" t="e">
        <f>((AC9/G9)^(1/($AC$3-$H$1) ))-1</f>
        <v>#DIV/0!</v>
      </c>
      <c r="AE9" s="31">
        <f t="shared" ref="AE9:AE81" si="15">$L$1</f>
        <v>0.05</v>
      </c>
      <c r="AF9" s="146">
        <f t="shared" si="1"/>
        <v>22768.398936564106</v>
      </c>
    </row>
    <row r="10" spans="2:32" x14ac:dyDescent="0.2">
      <c r="B10" s="20" t="s">
        <v>4</v>
      </c>
      <c r="C10" s="141"/>
      <c r="D10" s="141"/>
      <c r="E10" s="147"/>
      <c r="F10" s="147"/>
      <c r="G10" s="147"/>
      <c r="H10" s="147"/>
      <c r="I10" s="147"/>
      <c r="J10" s="147"/>
      <c r="K10" s="147"/>
      <c r="L10" s="147"/>
      <c r="M10" s="147"/>
      <c r="N10" s="147">
        <v>0</v>
      </c>
      <c r="O10" s="147">
        <v>0</v>
      </c>
      <c r="P10" s="147">
        <v>0</v>
      </c>
      <c r="Q10" s="147">
        <v>0</v>
      </c>
      <c r="R10" s="118" t="e">
        <f>((Q10/G10)^(1/($H$2-$H$1) ))-1</f>
        <v>#DIV/0!</v>
      </c>
      <c r="S10" s="31">
        <f t="shared" si="5"/>
        <v>0.15</v>
      </c>
      <c r="T10" s="154">
        <f t="shared" si="2"/>
        <v>0</v>
      </c>
      <c r="U10" s="154">
        <f t="shared" ref="U10:AC10" si="16">T10*(1+$S10)</f>
        <v>0</v>
      </c>
      <c r="V10" s="154">
        <f t="shared" si="16"/>
        <v>0</v>
      </c>
      <c r="W10" s="154">
        <f t="shared" si="16"/>
        <v>0</v>
      </c>
      <c r="X10" s="154">
        <f t="shared" si="16"/>
        <v>0</v>
      </c>
      <c r="Y10" s="154">
        <f t="shared" si="16"/>
        <v>0</v>
      </c>
      <c r="Z10" s="154">
        <f t="shared" si="16"/>
        <v>0</v>
      </c>
      <c r="AA10" s="154">
        <f t="shared" si="16"/>
        <v>0</v>
      </c>
      <c r="AB10" s="154">
        <f t="shared" si="16"/>
        <v>0</v>
      </c>
      <c r="AC10" s="154">
        <f t="shared" si="16"/>
        <v>0</v>
      </c>
      <c r="AD10" s="138" t="e">
        <f t="shared" ref="AD10:AD42" si="17">((AC10/G10)^(1/($AC$3-$H$1) ))-1</f>
        <v>#DIV/0!</v>
      </c>
      <c r="AE10" s="31">
        <f t="shared" si="15"/>
        <v>0.05</v>
      </c>
      <c r="AF10" s="146">
        <f t="shared" si="1"/>
        <v>0</v>
      </c>
    </row>
    <row r="11" spans="2:32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Q11" si="18">(H10-G10)/H10</f>
        <v>#DIV/0!</v>
      </c>
      <c r="I11" s="148" t="e">
        <f t="shared" si="18"/>
        <v>#DIV/0!</v>
      </c>
      <c r="J11" s="148" t="e">
        <f t="shared" si="18"/>
        <v>#DIV/0!</v>
      </c>
      <c r="K11" s="148" t="e">
        <f t="shared" si="18"/>
        <v>#DIV/0!</v>
      </c>
      <c r="L11" s="148" t="e">
        <f t="shared" si="18"/>
        <v>#DIV/0!</v>
      </c>
      <c r="M11" s="148" t="e">
        <f t="shared" si="18"/>
        <v>#DIV/0!</v>
      </c>
      <c r="N11" s="148" t="e">
        <f t="shared" si="18"/>
        <v>#DIV/0!</v>
      </c>
      <c r="O11" s="148" t="e">
        <f t="shared" si="18"/>
        <v>#DIV/0!</v>
      </c>
      <c r="P11" s="148" t="e">
        <f t="shared" si="18"/>
        <v>#DIV/0!</v>
      </c>
      <c r="Q11" s="148" t="e">
        <f t="shared" si="18"/>
        <v>#DIV/0!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/>
      <c r="H12" s="147"/>
      <c r="I12" s="147"/>
      <c r="J12" s="147"/>
      <c r="K12" s="147"/>
      <c r="L12" s="147"/>
      <c r="M12" s="147"/>
      <c r="N12" s="147">
        <v>325</v>
      </c>
      <c r="O12" s="147">
        <v>312</v>
      </c>
      <c r="P12" s="147">
        <v>347</v>
      </c>
      <c r="Q12" s="147">
        <f>P12</f>
        <v>347</v>
      </c>
      <c r="R12" s="118" t="e">
        <f>((Q12/G12)^(1/($H$2-$H$1) ))-1</f>
        <v>#DIV/0!</v>
      </c>
      <c r="S12" s="31">
        <f t="shared" si="5"/>
        <v>0.15</v>
      </c>
      <c r="T12" s="154">
        <f t="shared" si="2"/>
        <v>399.04999999999995</v>
      </c>
      <c r="U12" s="154">
        <f t="shared" ref="U12:AC12" si="19">T12*(1+$S12)</f>
        <v>458.90749999999991</v>
      </c>
      <c r="V12" s="154">
        <f t="shared" si="19"/>
        <v>527.74362499999984</v>
      </c>
      <c r="W12" s="154">
        <f t="shared" si="19"/>
        <v>606.9051687499998</v>
      </c>
      <c r="X12" s="154">
        <f t="shared" si="19"/>
        <v>697.94094406249974</v>
      </c>
      <c r="Y12" s="154">
        <f t="shared" si="19"/>
        <v>802.63208567187462</v>
      </c>
      <c r="Z12" s="154">
        <f t="shared" si="19"/>
        <v>923.02689852265576</v>
      </c>
      <c r="AA12" s="154">
        <f t="shared" si="19"/>
        <v>1061.4809333010539</v>
      </c>
      <c r="AB12" s="154">
        <f t="shared" si="19"/>
        <v>1220.7030732962119</v>
      </c>
      <c r="AC12" s="154">
        <f t="shared" si="19"/>
        <v>1403.8085342906436</v>
      </c>
      <c r="AD12" s="138" t="e">
        <f t="shared" si="17"/>
        <v>#DIV/0!</v>
      </c>
      <c r="AE12" s="31">
        <f t="shared" si="15"/>
        <v>0.05</v>
      </c>
      <c r="AF12" s="146">
        <f t="shared" si="1"/>
        <v>14739.98961005176</v>
      </c>
    </row>
    <row r="13" spans="2:32" x14ac:dyDescent="0.2">
      <c r="B13" s="20" t="s">
        <v>218</v>
      </c>
      <c r="C13" s="141"/>
      <c r="D13" s="141"/>
      <c r="E13" s="147"/>
      <c r="F13" s="147"/>
      <c r="G13" s="147"/>
      <c r="H13" s="147"/>
      <c r="I13" s="147"/>
      <c r="J13" s="147"/>
      <c r="K13" s="147"/>
      <c r="L13" s="147"/>
      <c r="M13" s="147"/>
      <c r="N13" s="147">
        <v>823</v>
      </c>
      <c r="O13" s="147">
        <v>1150</v>
      </c>
      <c r="P13" s="147">
        <v>1068</v>
      </c>
      <c r="Q13" s="147">
        <f>P13</f>
        <v>1068</v>
      </c>
      <c r="R13" s="118" t="e">
        <f>((Q13/G13)^(1/($H$2-$H$1) ))-1</f>
        <v>#DIV/0!</v>
      </c>
      <c r="S13" s="31">
        <f t="shared" si="5"/>
        <v>0.15</v>
      </c>
      <c r="T13" s="154">
        <f t="shared" si="2"/>
        <v>1228.1999999999998</v>
      </c>
      <c r="U13" s="154">
        <f t="shared" ref="U13:AC13" si="20">T13*(1+$S13)</f>
        <v>1412.4299999999996</v>
      </c>
      <c r="V13" s="154">
        <f t="shared" si="20"/>
        <v>1624.2944999999995</v>
      </c>
      <c r="W13" s="154">
        <f t="shared" si="20"/>
        <v>1867.9386749999992</v>
      </c>
      <c r="X13" s="154">
        <f t="shared" si="20"/>
        <v>2148.1294762499988</v>
      </c>
      <c r="Y13" s="154">
        <f t="shared" si="20"/>
        <v>2470.3488976874983</v>
      </c>
      <c r="Z13" s="154">
        <f t="shared" si="20"/>
        <v>2840.9012323406228</v>
      </c>
      <c r="AA13" s="154">
        <f t="shared" si="20"/>
        <v>3267.0364171917158</v>
      </c>
      <c r="AB13" s="154">
        <f t="shared" si="20"/>
        <v>3757.091879770473</v>
      </c>
      <c r="AC13" s="154">
        <f t="shared" si="20"/>
        <v>4320.6556617360438</v>
      </c>
      <c r="AD13" s="138" t="e">
        <f t="shared" si="17"/>
        <v>#DIV/0!</v>
      </c>
      <c r="AE13" s="31">
        <f t="shared" si="15"/>
        <v>0.05</v>
      </c>
      <c r="AF13" s="146">
        <f t="shared" si="1"/>
        <v>45366.884448228469</v>
      </c>
    </row>
    <row r="14" spans="2:32" x14ac:dyDescent="0.2">
      <c r="B14" s="20" t="s">
        <v>373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>
        <v>0</v>
      </c>
      <c r="O14" s="147">
        <v>0</v>
      </c>
      <c r="P14" s="147">
        <v>0</v>
      </c>
      <c r="Q14" s="147">
        <v>0</v>
      </c>
      <c r="R14" s="118" t="e">
        <f>((Q14/G14)^(1/($H$2-$H$1) ))-1</f>
        <v>#DIV/0!</v>
      </c>
      <c r="S14" s="31">
        <f t="shared" si="5"/>
        <v>0.15</v>
      </c>
      <c r="T14" s="154">
        <f t="shared" si="2"/>
        <v>0</v>
      </c>
      <c r="U14" s="154">
        <f t="shared" ref="U14" si="21">T14*(1+$S14)</f>
        <v>0</v>
      </c>
      <c r="V14" s="154">
        <f t="shared" ref="V14" si="22">U14*(1+$S14)</f>
        <v>0</v>
      </c>
      <c r="W14" s="154">
        <f t="shared" ref="W14" si="23">V14*(1+$S14)</f>
        <v>0</v>
      </c>
      <c r="X14" s="154">
        <f t="shared" ref="X14" si="24">W14*(1+$S14)</f>
        <v>0</v>
      </c>
      <c r="Y14" s="154">
        <f t="shared" ref="Y14" si="25">X14*(1+$S14)</f>
        <v>0</v>
      </c>
      <c r="Z14" s="154">
        <f t="shared" ref="Z14" si="26">Y14*(1+$S14)</f>
        <v>0</v>
      </c>
      <c r="AA14" s="154">
        <f t="shared" ref="AA14" si="27">Z14*(1+$S14)</f>
        <v>0</v>
      </c>
      <c r="AB14" s="154">
        <f t="shared" ref="AB14" si="28">AA14*(1+$S14)</f>
        <v>0</v>
      </c>
      <c r="AC14" s="154">
        <f t="shared" ref="AC14" si="29">AB14*(1+$S14)</f>
        <v>0</v>
      </c>
      <c r="AD14" s="138" t="e">
        <f t="shared" ref="AD14" si="30">((AC14/G14)^(1/($AC$3-$H$1) ))-1</f>
        <v>#DIV/0!</v>
      </c>
      <c r="AE14" s="31">
        <f t="shared" si="15"/>
        <v>0.05</v>
      </c>
      <c r="AF14" s="146">
        <f t="shared" ref="AF14" si="31">(AC14*(1+AE14))/($C$1-AE14)</f>
        <v>0</v>
      </c>
    </row>
    <row r="15" spans="2:32" x14ac:dyDescent="0.2">
      <c r="B15" s="20" t="s">
        <v>19</v>
      </c>
      <c r="C15" s="141"/>
      <c r="D15" s="141"/>
      <c r="E15" s="147"/>
      <c r="F15" s="147"/>
      <c r="G15" s="147"/>
      <c r="H15" s="147"/>
      <c r="I15" s="147"/>
      <c r="J15" s="147"/>
      <c r="K15" s="147"/>
      <c r="L15" s="147"/>
      <c r="M15" s="147"/>
      <c r="N15" s="147">
        <v>374</v>
      </c>
      <c r="O15" s="147">
        <v>364</v>
      </c>
      <c r="P15" s="147">
        <v>354</v>
      </c>
      <c r="Q15" s="147">
        <f>P15</f>
        <v>354</v>
      </c>
      <c r="R15" s="118" t="e">
        <f>((Q15/G15)^(1/($H$2-$H$1) ))-1</f>
        <v>#DIV/0!</v>
      </c>
      <c r="S15" s="31">
        <f t="shared" si="5"/>
        <v>0.15</v>
      </c>
      <c r="T15" s="154">
        <f t="shared" si="2"/>
        <v>407.09999999999997</v>
      </c>
      <c r="U15" s="154">
        <f t="shared" ref="U15:AC15" si="32">T15*(1+$S15)</f>
        <v>468.16499999999991</v>
      </c>
      <c r="V15" s="154">
        <f t="shared" si="32"/>
        <v>538.38974999999982</v>
      </c>
      <c r="W15" s="154">
        <f t="shared" si="32"/>
        <v>619.14821249999977</v>
      </c>
      <c r="X15" s="154">
        <f t="shared" si="32"/>
        <v>712.02044437499967</v>
      </c>
      <c r="Y15" s="154">
        <f t="shared" si="32"/>
        <v>818.82351103124961</v>
      </c>
      <c r="Z15" s="154">
        <f t="shared" si="32"/>
        <v>941.64703768593699</v>
      </c>
      <c r="AA15" s="154">
        <f t="shared" si="32"/>
        <v>1082.8940933388274</v>
      </c>
      <c r="AB15" s="154">
        <f t="shared" si="32"/>
        <v>1245.3282073396513</v>
      </c>
      <c r="AC15" s="154">
        <f t="shared" si="32"/>
        <v>1432.1274384405988</v>
      </c>
      <c r="AD15" s="138" t="e">
        <f t="shared" si="17"/>
        <v>#DIV/0!</v>
      </c>
      <c r="AE15" s="31">
        <f t="shared" si="15"/>
        <v>0.05</v>
      </c>
      <c r="AF15" s="146">
        <f t="shared" si="1"/>
        <v>15037.338103626287</v>
      </c>
    </row>
    <row r="16" spans="2:32" x14ac:dyDescent="0.2">
      <c r="B16" s="20" t="s">
        <v>23</v>
      </c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>
        <v>-173</v>
      </c>
      <c r="O16" s="147">
        <v>-341</v>
      </c>
      <c r="P16" s="147">
        <v>-116</v>
      </c>
      <c r="Q16" s="147">
        <f>P16</f>
        <v>-116</v>
      </c>
      <c r="R16" s="118" t="e">
        <f>((Q16/G16)^(1/($H$2-$H$1) ))-1</f>
        <v>#DIV/0!</v>
      </c>
      <c r="S16" s="31">
        <f t="shared" si="5"/>
        <v>0.15</v>
      </c>
      <c r="T16" s="154">
        <f t="shared" si="2"/>
        <v>-133.39999999999998</v>
      </c>
      <c r="U16" s="154">
        <f t="shared" ref="U16:AC16" si="33">T16*(1+$S16)</f>
        <v>-153.40999999999997</v>
      </c>
      <c r="V16" s="154">
        <f t="shared" si="33"/>
        <v>-176.42149999999995</v>
      </c>
      <c r="W16" s="154">
        <f t="shared" si="33"/>
        <v>-202.88472499999992</v>
      </c>
      <c r="X16" s="154">
        <f t="shared" si="33"/>
        <v>-233.31743374999988</v>
      </c>
      <c r="Y16" s="154">
        <f t="shared" si="33"/>
        <v>-268.31504881249987</v>
      </c>
      <c r="Z16" s="154">
        <f t="shared" si="33"/>
        <v>-308.56230613437481</v>
      </c>
      <c r="AA16" s="154">
        <f t="shared" si="33"/>
        <v>-354.84665205453098</v>
      </c>
      <c r="AB16" s="154">
        <f t="shared" si="33"/>
        <v>-408.07364986271057</v>
      </c>
      <c r="AC16" s="154">
        <f t="shared" si="33"/>
        <v>-469.28469734211711</v>
      </c>
      <c r="AD16" s="138" t="e">
        <f t="shared" si="17"/>
        <v>#DIV/0!</v>
      </c>
      <c r="AE16" s="31">
        <f t="shared" si="15"/>
        <v>0.05</v>
      </c>
      <c r="AF16" s="146">
        <f t="shared" si="1"/>
        <v>-4927.4893220922304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>
        <v>195</v>
      </c>
      <c r="O18" s="147">
        <v>188</v>
      </c>
      <c r="P18" s="147">
        <v>204</v>
      </c>
      <c r="Q18" s="147">
        <f>P18</f>
        <v>204</v>
      </c>
      <c r="R18" s="118" t="e">
        <f>((Q18/G18)^(1/($H$2-$H$1) ))-1</f>
        <v>#DIV/0!</v>
      </c>
      <c r="S18" s="31">
        <f t="shared" si="5"/>
        <v>0.15</v>
      </c>
      <c r="T18" s="154">
        <f t="shared" si="2"/>
        <v>234.6</v>
      </c>
      <c r="U18" s="154">
        <f t="shared" ref="U18:U34" si="34">T18*(1+$S18)</f>
        <v>269.78999999999996</v>
      </c>
      <c r="V18" s="154">
        <f t="shared" ref="V18:V34" si="35">U18*(1+$S18)</f>
        <v>310.25849999999991</v>
      </c>
      <c r="W18" s="154">
        <f t="shared" ref="W18:W34" si="36">V18*(1+$S18)</f>
        <v>356.7972749999999</v>
      </c>
      <c r="X18" s="154">
        <f t="shared" ref="X18:X36" si="37">W18*(1+$S18)</f>
        <v>410.31686624999986</v>
      </c>
      <c r="Y18" s="154">
        <f t="shared" ref="Y18:Y36" si="38">X18*(1+$S18)</f>
        <v>471.86439618749978</v>
      </c>
      <c r="Z18" s="154">
        <f t="shared" ref="Z18:Z36" si="39">Y18*(1+$S18)</f>
        <v>542.64405561562467</v>
      </c>
      <c r="AA18" s="154">
        <f t="shared" ref="AA18:AA36" si="40">Z18*(1+$S18)</f>
        <v>624.04066395796826</v>
      </c>
      <c r="AB18" s="154">
        <f t="shared" ref="AB18:AB36" si="41">AA18*(1+$S18)</f>
        <v>717.64676355166341</v>
      </c>
      <c r="AC18" s="154">
        <f t="shared" ref="AC18:AC36" si="42">AB18*(1+$S18)</f>
        <v>825.29377808441291</v>
      </c>
      <c r="AD18" s="138" t="e">
        <f t="shared" si="17"/>
        <v>#DIV/0!</v>
      </c>
      <c r="AE18" s="31">
        <f t="shared" si="15"/>
        <v>0.05</v>
      </c>
      <c r="AF18" s="146">
        <f t="shared" si="1"/>
        <v>8665.584669886337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2</v>
      </c>
      <c r="H20" s="147"/>
      <c r="I20" s="147"/>
      <c r="J20" s="147"/>
      <c r="K20" s="147"/>
      <c r="L20" s="147"/>
      <c r="M20" s="147"/>
      <c r="N20" s="147">
        <v>270</v>
      </c>
      <c r="O20" s="147">
        <v>351</v>
      </c>
      <c r="P20" s="147">
        <v>53</v>
      </c>
      <c r="Q20" s="147">
        <f>P20</f>
        <v>53</v>
      </c>
      <c r="R20" s="118">
        <f>((Q20/G20)^(1/($H$2-$H$1) ))-1</f>
        <v>0.4392572653248541</v>
      </c>
      <c r="S20" s="31">
        <f t="shared" si="5"/>
        <v>0.15</v>
      </c>
      <c r="T20" s="154">
        <f t="shared" si="2"/>
        <v>60.949999999999996</v>
      </c>
      <c r="U20" s="154">
        <f t="shared" ref="U20:U22" si="43">T20*(1+$S20)</f>
        <v>70.092499999999987</v>
      </c>
      <c r="V20" s="154">
        <f t="shared" ref="V20:V22" si="44">U20*(1+$S20)</f>
        <v>80.606374999999986</v>
      </c>
      <c r="W20" s="154">
        <f t="shared" ref="W20:W22" si="45">V20*(1+$S20)</f>
        <v>92.697331249999976</v>
      </c>
      <c r="X20" s="154">
        <f t="shared" ref="X20:X22" si="46">W20*(1+$S20)</f>
        <v>106.60193093749996</v>
      </c>
      <c r="Y20" s="154">
        <f t="shared" ref="Y20:Y22" si="47">X20*(1+$S20)</f>
        <v>122.59222057812494</v>
      </c>
      <c r="Z20" s="154">
        <f t="shared" ref="Z20:Z22" si="48">Y20*(1+$S20)</f>
        <v>140.98105366484367</v>
      </c>
      <c r="AA20" s="154">
        <f t="shared" ref="AA20:AA22" si="49">Z20*(1+$S20)</f>
        <v>162.1282117145702</v>
      </c>
      <c r="AB20" s="154">
        <f t="shared" ref="AB20:AB22" si="50">AA20*(1+$S20)</f>
        <v>186.44744347175572</v>
      </c>
      <c r="AC20" s="154">
        <f t="shared" ref="AC20:AC22" si="51">AB20*(1+$S20)</f>
        <v>214.41455999251906</v>
      </c>
      <c r="AD20" s="138">
        <f t="shared" ref="AD20:AD22" si="52">((AC20/G20)^(1/($AC$3-$H$1) ))-1</f>
        <v>0.26331372328138292</v>
      </c>
      <c r="AE20" s="31">
        <f t="shared" si="15"/>
        <v>0.05</v>
      </c>
      <c r="AF20" s="146">
        <f t="shared" si="1"/>
        <v>2251.3528799214505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-3.5</v>
      </c>
      <c r="H21" s="147"/>
      <c r="I21" s="147"/>
      <c r="J21" s="147"/>
      <c r="K21" s="147"/>
      <c r="L21" s="147"/>
      <c r="M21" s="147"/>
      <c r="N21" s="147">
        <v>-232</v>
      </c>
      <c r="O21" s="147">
        <v>-292</v>
      </c>
      <c r="P21" s="147">
        <v>145</v>
      </c>
      <c r="Q21" s="147">
        <f>P21</f>
        <v>145</v>
      </c>
      <c r="R21" s="118">
        <f>((Q21/G21)^(1/($H$2-$H$1) ))-1</f>
        <v>-2.5125160620991132</v>
      </c>
      <c r="S21" s="31">
        <f t="shared" si="5"/>
        <v>0.15</v>
      </c>
      <c r="T21" s="154">
        <f t="shared" si="2"/>
        <v>166.75</v>
      </c>
      <c r="U21" s="154">
        <f t="shared" si="43"/>
        <v>191.76249999999999</v>
      </c>
      <c r="V21" s="154">
        <f t="shared" si="44"/>
        <v>220.52687499999996</v>
      </c>
      <c r="W21" s="154">
        <f t="shared" si="45"/>
        <v>253.60590624999995</v>
      </c>
      <c r="X21" s="154">
        <f t="shared" si="46"/>
        <v>291.6467921874999</v>
      </c>
      <c r="Y21" s="154">
        <f t="shared" si="47"/>
        <v>335.39381101562486</v>
      </c>
      <c r="Z21" s="154">
        <f t="shared" si="48"/>
        <v>385.70288266796854</v>
      </c>
      <c r="AA21" s="154">
        <f t="shared" si="49"/>
        <v>443.55831506816378</v>
      </c>
      <c r="AB21" s="154">
        <f t="shared" si="50"/>
        <v>510.09206232838829</v>
      </c>
      <c r="AC21" s="154">
        <f t="shared" si="51"/>
        <v>586.60587167764652</v>
      </c>
      <c r="AD21" s="138" t="e">
        <f t="shared" si="52"/>
        <v>#NUM!</v>
      </c>
      <c r="AE21" s="31">
        <f t="shared" si="15"/>
        <v>0.05</v>
      </c>
      <c r="AF21" s="146">
        <f t="shared" si="1"/>
        <v>6159.36165261529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0.8</v>
      </c>
      <c r="H22" s="147"/>
      <c r="I22" s="147"/>
      <c r="J22" s="147"/>
      <c r="K22" s="147"/>
      <c r="L22" s="147"/>
      <c r="M22" s="147"/>
      <c r="N22" s="147">
        <v>-24</v>
      </c>
      <c r="O22" s="147">
        <v>-30</v>
      </c>
      <c r="P22" s="147">
        <v>-213</v>
      </c>
      <c r="Q22" s="147">
        <f>P22</f>
        <v>-213</v>
      </c>
      <c r="R22" s="118">
        <f>((Q22/G22)^(1/($H$2-$H$1) ))-1</f>
        <v>-2.8598444541871073</v>
      </c>
      <c r="S22" s="31">
        <f t="shared" si="5"/>
        <v>0.15</v>
      </c>
      <c r="T22" s="154">
        <f t="shared" si="2"/>
        <v>-244.95</v>
      </c>
      <c r="U22" s="154">
        <f t="shared" si="43"/>
        <v>-281.69249999999994</v>
      </c>
      <c r="V22" s="154">
        <f t="shared" si="44"/>
        <v>-323.94637499999993</v>
      </c>
      <c r="W22" s="154">
        <f t="shared" si="45"/>
        <v>-372.53833124999989</v>
      </c>
      <c r="X22" s="154">
        <f t="shared" si="46"/>
        <v>-428.41908093749981</v>
      </c>
      <c r="Y22" s="154">
        <f t="shared" si="47"/>
        <v>-492.68194307812473</v>
      </c>
      <c r="Z22" s="154">
        <f t="shared" si="48"/>
        <v>-566.58423453984335</v>
      </c>
      <c r="AA22" s="154">
        <f t="shared" si="49"/>
        <v>-651.57186972081979</v>
      </c>
      <c r="AB22" s="154">
        <f t="shared" si="50"/>
        <v>-749.30765017894271</v>
      </c>
      <c r="AC22" s="154">
        <f t="shared" si="51"/>
        <v>-861.70379770578404</v>
      </c>
      <c r="AD22" s="138" t="e">
        <f t="shared" si="52"/>
        <v>#NUM!</v>
      </c>
      <c r="AE22" s="31">
        <f t="shared" si="15"/>
        <v>0.05</v>
      </c>
      <c r="AF22" s="146">
        <f t="shared" si="1"/>
        <v>-9047.8898759107324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0.04</v>
      </c>
      <c r="H23" s="147"/>
      <c r="I23" s="147"/>
      <c r="J23" s="147"/>
      <c r="K23" s="147"/>
      <c r="L23" s="147"/>
      <c r="M23" s="147"/>
      <c r="N23" s="147">
        <v>62</v>
      </c>
      <c r="O23" s="147">
        <v>91</v>
      </c>
      <c r="P23" s="147">
        <v>75</v>
      </c>
      <c r="Q23" s="147">
        <f>P23</f>
        <v>75</v>
      </c>
      <c r="R23" s="118">
        <f>((Q23/G23)^(1/($H$2-$H$1) ))-1</f>
        <v>1.3102916475936475</v>
      </c>
      <c r="S23" s="31">
        <f t="shared" si="5"/>
        <v>0.15</v>
      </c>
      <c r="T23" s="154">
        <f t="shared" si="2"/>
        <v>86.25</v>
      </c>
      <c r="U23" s="154">
        <f t="shared" ref="U23" si="53">T23*(1+$S23)</f>
        <v>99.187499999999986</v>
      </c>
      <c r="V23" s="154">
        <f t="shared" ref="V23" si="54">U23*(1+$S23)</f>
        <v>114.06562499999997</v>
      </c>
      <c r="W23" s="154">
        <f t="shared" ref="W23" si="55">V23*(1+$S23)</f>
        <v>131.17546874999996</v>
      </c>
      <c r="X23" s="154">
        <f t="shared" ref="X23" si="56">W23*(1+$S23)</f>
        <v>150.85178906249996</v>
      </c>
      <c r="Y23" s="154">
        <f t="shared" ref="Y23" si="57">X23*(1+$S23)</f>
        <v>173.47955742187494</v>
      </c>
      <c r="Z23" s="154">
        <f t="shared" ref="Z23" si="58">Y23*(1+$S23)</f>
        <v>199.50149103515616</v>
      </c>
      <c r="AA23" s="154">
        <f t="shared" ref="AA23" si="59">Z23*(1+$S23)</f>
        <v>229.42671469042958</v>
      </c>
      <c r="AB23" s="154">
        <f t="shared" ref="AB23" si="60">AA23*(1+$S23)</f>
        <v>263.84072189399399</v>
      </c>
      <c r="AC23" s="154">
        <f t="shared" ref="AC23" si="61">AB23*(1+$S23)</f>
        <v>303.41683017809305</v>
      </c>
      <c r="AD23" s="138">
        <f t="shared" ref="AD23" si="62">((AC23/G23)^(1/($AC$3-$H$1) ))-1</f>
        <v>0.56314398498441798</v>
      </c>
      <c r="AE23" s="31">
        <f t="shared" si="15"/>
        <v>0.05</v>
      </c>
      <c r="AF23" s="146">
        <f t="shared" si="1"/>
        <v>3185.8767168699778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f>J25</f>
        <v>165</v>
      </c>
      <c r="H25" s="147"/>
      <c r="I25" s="147"/>
      <c r="J25" s="147">
        <v>165</v>
      </c>
      <c r="K25" s="147">
        <v>173</v>
      </c>
      <c r="L25" s="147">
        <v>212</v>
      </c>
      <c r="M25" s="147">
        <v>287</v>
      </c>
      <c r="N25" s="147">
        <v>368</v>
      </c>
      <c r="O25" s="147">
        <v>526</v>
      </c>
      <c r="P25" s="147">
        <v>523</v>
      </c>
      <c r="Q25" s="147">
        <f>340+99</f>
        <v>439</v>
      </c>
      <c r="R25" s="118">
        <f>((Q25/G25)^(1/($H$2-$H$1) ))-1</f>
        <v>0.11485930764234609</v>
      </c>
      <c r="S25" s="31">
        <f t="shared" si="5"/>
        <v>0.15</v>
      </c>
      <c r="T25" s="215">
        <v>520</v>
      </c>
      <c r="U25" s="154">
        <f t="shared" si="34"/>
        <v>598</v>
      </c>
      <c r="V25" s="154">
        <f t="shared" si="35"/>
        <v>687.69999999999993</v>
      </c>
      <c r="W25" s="154">
        <f t="shared" si="36"/>
        <v>790.8549999999999</v>
      </c>
      <c r="X25" s="154">
        <f t="shared" si="37"/>
        <v>909.48324999999977</v>
      </c>
      <c r="Y25" s="154">
        <f t="shared" si="38"/>
        <v>1045.9057374999998</v>
      </c>
      <c r="Z25" s="154">
        <f t="shared" si="39"/>
        <v>1202.7915981249996</v>
      </c>
      <c r="AA25" s="154">
        <f t="shared" si="40"/>
        <v>1383.2103378437494</v>
      </c>
      <c r="AB25" s="154">
        <f t="shared" si="41"/>
        <v>1590.6918885203117</v>
      </c>
      <c r="AC25" s="154">
        <f t="shared" si="42"/>
        <v>1829.2956717983584</v>
      </c>
      <c r="AD25" s="138">
        <f t="shared" si="17"/>
        <v>0.12782053580275976</v>
      </c>
      <c r="AE25" s="31">
        <f t="shared" si="15"/>
        <v>0.05</v>
      </c>
      <c r="AF25" s="146">
        <f t="shared" si="1"/>
        <v>19207.604553882764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 t="e">
        <f>(H25-G25)/H25</f>
        <v>#DIV/0!</v>
      </c>
      <c r="I26" s="148" t="e">
        <f t="shared" ref="I26" si="63">(I25-H25)/I25</f>
        <v>#DIV/0!</v>
      </c>
      <c r="J26" s="148">
        <f t="shared" ref="J26" si="64">(J25-I25)/J25</f>
        <v>1</v>
      </c>
      <c r="K26" s="148">
        <f t="shared" ref="K26" si="65">(K25-J25)/K25</f>
        <v>4.6242774566473986E-2</v>
      </c>
      <c r="L26" s="148">
        <f t="shared" ref="L26" si="66">(L25-K25)/L25</f>
        <v>0.18396226415094338</v>
      </c>
      <c r="M26" s="148">
        <f t="shared" ref="M26" si="67">(M25-L25)/M25</f>
        <v>0.26132404181184671</v>
      </c>
      <c r="N26" s="148">
        <f t="shared" ref="N26" si="68">(N25-M25)/N25</f>
        <v>0.22010869565217392</v>
      </c>
      <c r="O26" s="148">
        <f t="shared" ref="O26" si="69">(O25-N25)/O25</f>
        <v>0.30038022813688214</v>
      </c>
      <c r="P26" s="148">
        <f t="shared" ref="P26:Q26" si="70">(P25-O25)/P25</f>
        <v>-5.7361376673040155E-3</v>
      </c>
      <c r="Q26" s="148">
        <f t="shared" si="70"/>
        <v>-0.19134396355353075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f>J27</f>
        <v>0</v>
      </c>
      <c r="H27" s="147"/>
      <c r="I27" s="147"/>
      <c r="J27" s="147"/>
      <c r="K27" s="147"/>
      <c r="L27" s="147"/>
      <c r="M27" s="147"/>
      <c r="N27" s="147">
        <v>177</v>
      </c>
      <c r="O27" s="147">
        <v>192</v>
      </c>
      <c r="P27" s="147">
        <v>209</v>
      </c>
      <c r="Q27" s="147">
        <v>229</v>
      </c>
      <c r="R27" s="118" t="e">
        <f>((Q27/G27)^(1/($H$2-$H$1) ))-1</f>
        <v>#DIV/0!</v>
      </c>
      <c r="S27" s="31">
        <f t="shared" si="5"/>
        <v>0.15</v>
      </c>
      <c r="T27" s="154">
        <f t="shared" si="2"/>
        <v>263.34999999999997</v>
      </c>
      <c r="U27" s="154">
        <f t="shared" si="34"/>
        <v>302.85249999999996</v>
      </c>
      <c r="V27" s="154">
        <f t="shared" si="35"/>
        <v>348.28037499999994</v>
      </c>
      <c r="W27" s="154">
        <f t="shared" si="36"/>
        <v>400.5224312499999</v>
      </c>
      <c r="X27" s="154">
        <f t="shared" si="37"/>
        <v>460.60079593749987</v>
      </c>
      <c r="Y27" s="154">
        <f t="shared" si="38"/>
        <v>529.69091532812479</v>
      </c>
      <c r="Z27" s="154">
        <f t="shared" si="39"/>
        <v>609.1445526273435</v>
      </c>
      <c r="AA27" s="154">
        <f t="shared" si="40"/>
        <v>700.51623552144497</v>
      </c>
      <c r="AB27" s="154">
        <f t="shared" si="41"/>
        <v>805.59367084966163</v>
      </c>
      <c r="AC27" s="154">
        <f t="shared" si="42"/>
        <v>926.43272147711082</v>
      </c>
      <c r="AD27" s="138" t="e">
        <f t="shared" si="17"/>
        <v>#DIV/0!</v>
      </c>
      <c r="AE27" s="31">
        <f t="shared" si="15"/>
        <v>0.05</v>
      </c>
      <c r="AF27" s="146">
        <f t="shared" si="1"/>
        <v>9727.5435755096642</v>
      </c>
    </row>
    <row r="28" spans="2:32" s="123" customFormat="1" x14ac:dyDescent="0.2">
      <c r="B28" s="23"/>
      <c r="C28" s="149"/>
      <c r="D28" s="149"/>
      <c r="E28" s="150"/>
      <c r="F28" s="150"/>
      <c r="G28" s="148" t="e">
        <f t="shared" ref="G28:M28" si="71">(G27-F27)/G27</f>
        <v>#DIV/0!</v>
      </c>
      <c r="H28" s="148" t="e">
        <f t="shared" si="71"/>
        <v>#DIV/0!</v>
      </c>
      <c r="I28" s="148" t="e">
        <f t="shared" si="71"/>
        <v>#DIV/0!</v>
      </c>
      <c r="J28" s="148" t="e">
        <f t="shared" si="71"/>
        <v>#DIV/0!</v>
      </c>
      <c r="K28" s="148" t="e">
        <f t="shared" si="71"/>
        <v>#DIV/0!</v>
      </c>
      <c r="L28" s="148" t="e">
        <f t="shared" si="71"/>
        <v>#DIV/0!</v>
      </c>
      <c r="M28" s="148" t="e">
        <f t="shared" si="71"/>
        <v>#DIV/0!</v>
      </c>
      <c r="N28" s="148">
        <f t="shared" ref="N28" si="72">(N27-M27)/N27</f>
        <v>1</v>
      </c>
      <c r="O28" s="148">
        <f t="shared" ref="O28" si="73">(O27-N27)/O27</f>
        <v>7.8125E-2</v>
      </c>
      <c r="P28" s="148">
        <f t="shared" ref="P28:Q28" si="74">(P27-O27)/P27</f>
        <v>8.1339712918660281E-2</v>
      </c>
      <c r="Q28" s="148">
        <f t="shared" si="74"/>
        <v>8.7336244541484712E-2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f>J29</f>
        <v>0</v>
      </c>
      <c r="H29" s="147"/>
      <c r="I29" s="147"/>
      <c r="J29" s="147"/>
      <c r="K29" s="147"/>
      <c r="L29" s="147"/>
      <c r="M29" s="147"/>
      <c r="N29" s="147">
        <v>0</v>
      </c>
      <c r="O29" s="147">
        <v>0</v>
      </c>
      <c r="P29" s="147">
        <v>0</v>
      </c>
      <c r="Q29" s="147">
        <v>106</v>
      </c>
      <c r="R29" s="118" t="e">
        <f>((Q29/G29)^(1/($H$2-$H$1) ))-1</f>
        <v>#DIV/0!</v>
      </c>
      <c r="S29" s="31">
        <f t="shared" si="5"/>
        <v>0.15</v>
      </c>
      <c r="T29" s="154">
        <f t="shared" si="2"/>
        <v>121.89999999999999</v>
      </c>
      <c r="U29" s="154">
        <f t="shared" ref="U29" si="75">T29*(1+$S29)</f>
        <v>140.18499999999997</v>
      </c>
      <c r="V29" s="154">
        <f t="shared" ref="V29" si="76">U29*(1+$S29)</f>
        <v>161.21274999999997</v>
      </c>
      <c r="W29" s="154">
        <f t="shared" ref="W29" si="77">V29*(1+$S29)</f>
        <v>185.39466249999995</v>
      </c>
      <c r="X29" s="154">
        <f t="shared" ref="X29" si="78">W29*(1+$S29)</f>
        <v>213.20386187499992</v>
      </c>
      <c r="Y29" s="154">
        <f t="shared" ref="Y29" si="79">X29*(1+$S29)</f>
        <v>245.18444115624987</v>
      </c>
      <c r="Z29" s="154">
        <f t="shared" ref="Z29" si="80">Y29*(1+$S29)</f>
        <v>281.96210732968734</v>
      </c>
      <c r="AA29" s="154">
        <f t="shared" ref="AA29" si="81">Z29*(1+$S29)</f>
        <v>324.2564234291404</v>
      </c>
      <c r="AB29" s="154">
        <f t="shared" ref="AB29" si="82">AA29*(1+$S29)</f>
        <v>372.89488694351144</v>
      </c>
      <c r="AC29" s="154">
        <f t="shared" ref="AC29" si="83">AB29*(1+$S29)</f>
        <v>428.82911998503812</v>
      </c>
      <c r="AD29" s="138" t="e">
        <f t="shared" ref="AD29" si="84">((AC29/G29)^(1/($AC$3-$H$1) ))-1</f>
        <v>#DIV/0!</v>
      </c>
      <c r="AE29" s="31">
        <f t="shared" si="15"/>
        <v>0.05</v>
      </c>
      <c r="AF29" s="146">
        <f t="shared" ref="AF29" si="85">(AC29*(1+AE29))/($C$1-AE29)</f>
        <v>4502.705759842901</v>
      </c>
    </row>
    <row r="30" spans="2:32" s="123" customFormat="1" x14ac:dyDescent="0.2">
      <c r="B30" s="23"/>
      <c r="C30" s="149"/>
      <c r="D30" s="149"/>
      <c r="E30" s="150"/>
      <c r="F30" s="150"/>
      <c r="G30" s="148" t="e">
        <f t="shared" ref="G30:L30" si="86">(G29-F29)/G29</f>
        <v>#DIV/0!</v>
      </c>
      <c r="H30" s="148" t="e">
        <f t="shared" si="86"/>
        <v>#DIV/0!</v>
      </c>
      <c r="I30" s="148" t="e">
        <f t="shared" si="86"/>
        <v>#DIV/0!</v>
      </c>
      <c r="J30" s="148" t="e">
        <f t="shared" si="86"/>
        <v>#DIV/0!</v>
      </c>
      <c r="K30" s="148" t="e">
        <f t="shared" si="86"/>
        <v>#DIV/0!</v>
      </c>
      <c r="L30" s="148" t="e">
        <f t="shared" si="86"/>
        <v>#DIV/0!</v>
      </c>
      <c r="M30" s="148" t="e">
        <f t="shared" ref="M30" si="87">(M29-L29)/M29</f>
        <v>#DIV/0!</v>
      </c>
      <c r="N30" s="148" t="e">
        <f t="shared" ref="N30" si="88">(N29-M29)/N29</f>
        <v>#DIV/0!</v>
      </c>
      <c r="O30" s="148" t="e">
        <f t="shared" ref="O30" si="89">(O29-N29)/O29</f>
        <v>#DIV/0!</v>
      </c>
      <c r="P30" s="148" t="e">
        <f t="shared" ref="P30:Q30" si="90">(P29-O29)/P29</f>
        <v>#DIV/0!</v>
      </c>
      <c r="Q30" s="148">
        <f t="shared" si="90"/>
        <v>1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5"/>
        <v>0.15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5"/>
        <v>0.15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18" t="e">
        <f>((Q33/G33)^(1/($H$2-$H$1) ))-1</f>
        <v>#DIV/0!</v>
      </c>
      <c r="S33" s="31">
        <f t="shared" si="5"/>
        <v>0.15</v>
      </c>
      <c r="T33" s="154">
        <f t="shared" si="2"/>
        <v>0</v>
      </c>
      <c r="U33" s="154">
        <f t="shared" si="34"/>
        <v>0</v>
      </c>
      <c r="V33" s="154">
        <f t="shared" si="35"/>
        <v>0</v>
      </c>
      <c r="W33" s="154">
        <f t="shared" si="36"/>
        <v>0</v>
      </c>
      <c r="X33" s="154">
        <f t="shared" si="37"/>
        <v>0</v>
      </c>
      <c r="Y33" s="154">
        <f t="shared" si="38"/>
        <v>0</v>
      </c>
      <c r="Z33" s="154">
        <f t="shared" si="39"/>
        <v>0</v>
      </c>
      <c r="AA33" s="154">
        <f t="shared" si="40"/>
        <v>0</v>
      </c>
      <c r="AB33" s="154">
        <f t="shared" si="41"/>
        <v>0</v>
      </c>
      <c r="AC33" s="154">
        <f t="shared" si="42"/>
        <v>0</v>
      </c>
      <c r="AD33" s="138" t="e">
        <f t="shared" si="17"/>
        <v>#DIV/0!</v>
      </c>
      <c r="AE33" s="31">
        <f t="shared" si="15"/>
        <v>0.05</v>
      </c>
      <c r="AF33" s="146">
        <f t="shared" si="1"/>
        <v>0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f>J34</f>
        <v>26</v>
      </c>
      <c r="H34" s="147"/>
      <c r="I34" s="147"/>
      <c r="J34" s="147">
        <v>26</v>
      </c>
      <c r="K34" s="147"/>
      <c r="L34" s="147"/>
      <c r="M34" s="147"/>
      <c r="N34" s="147">
        <v>26</v>
      </c>
      <c r="O34" s="147">
        <v>28</v>
      </c>
      <c r="P34" s="147">
        <v>29</v>
      </c>
      <c r="Q34" s="147">
        <f>P34</f>
        <v>29</v>
      </c>
      <c r="R34" s="118">
        <f>((Q34/G34)^(1/($H$2-$H$1) ))-1</f>
        <v>1.2207161203620753E-2</v>
      </c>
      <c r="S34" s="31">
        <f t="shared" si="5"/>
        <v>0.15</v>
      </c>
      <c r="T34" s="154">
        <f t="shared" si="2"/>
        <v>33.349999999999994</v>
      </c>
      <c r="U34" s="154">
        <f t="shared" si="34"/>
        <v>38.352499999999992</v>
      </c>
      <c r="V34" s="154">
        <f t="shared" si="35"/>
        <v>44.105374999999988</v>
      </c>
      <c r="W34" s="154">
        <f t="shared" si="36"/>
        <v>50.721181249999979</v>
      </c>
      <c r="X34" s="154">
        <f t="shared" si="37"/>
        <v>58.32935843749997</v>
      </c>
      <c r="Y34" s="154">
        <f t="shared" si="38"/>
        <v>67.078762203124967</v>
      </c>
      <c r="Z34" s="154">
        <f t="shared" si="39"/>
        <v>77.140576533593702</v>
      </c>
      <c r="AA34" s="154">
        <f t="shared" si="40"/>
        <v>88.711663013632744</v>
      </c>
      <c r="AB34" s="154">
        <f t="shared" si="41"/>
        <v>102.01841246567764</v>
      </c>
      <c r="AC34" s="154">
        <f t="shared" si="42"/>
        <v>117.32117433552928</v>
      </c>
      <c r="AD34" s="138">
        <f t="shared" si="17"/>
        <v>7.8251702816888979E-2</v>
      </c>
      <c r="AE34" s="31">
        <f t="shared" si="15"/>
        <v>0.05</v>
      </c>
      <c r="AF34" s="146">
        <f t="shared" si="1"/>
        <v>1231.8723305230576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f>J36</f>
        <v>192</v>
      </c>
      <c r="H36" s="147"/>
      <c r="I36" s="147"/>
      <c r="J36" s="147">
        <v>192</v>
      </c>
      <c r="K36" s="147"/>
      <c r="L36" s="147"/>
      <c r="M36" s="147"/>
      <c r="N36" s="147">
        <v>192</v>
      </c>
      <c r="O36" s="147">
        <v>335</v>
      </c>
      <c r="P36" s="147">
        <v>316</v>
      </c>
      <c r="Q36" s="147">
        <v>111</v>
      </c>
      <c r="R36" s="118">
        <f>((Q36/G36)^(1/($H$2-$H$1) ))-1</f>
        <v>-5.906857717793168E-2</v>
      </c>
      <c r="S36" s="31">
        <f t="shared" si="5"/>
        <v>0.15</v>
      </c>
      <c r="T36" s="154">
        <f t="shared" si="2"/>
        <v>127.64999999999999</v>
      </c>
      <c r="U36" s="154">
        <f t="shared" ref="U36" si="94">T36*(1+$S36)</f>
        <v>146.79749999999999</v>
      </c>
      <c r="V36" s="154">
        <f t="shared" ref="V36" si="95">U36*(1+$S36)</f>
        <v>168.81712499999998</v>
      </c>
      <c r="W36" s="154">
        <f t="shared" ref="W36" si="96">V36*(1+$S36)</f>
        <v>194.13969374999996</v>
      </c>
      <c r="X36" s="154">
        <f t="shared" si="37"/>
        <v>223.26064781249994</v>
      </c>
      <c r="Y36" s="154">
        <f t="shared" si="38"/>
        <v>256.7497449843749</v>
      </c>
      <c r="Z36" s="154">
        <f t="shared" si="39"/>
        <v>295.26220673203113</v>
      </c>
      <c r="AA36" s="154">
        <f t="shared" si="40"/>
        <v>339.55153774183577</v>
      </c>
      <c r="AB36" s="154">
        <f t="shared" si="41"/>
        <v>390.48426840311112</v>
      </c>
      <c r="AC36" s="154">
        <f t="shared" si="42"/>
        <v>449.05690866357776</v>
      </c>
      <c r="AD36" s="138">
        <f t="shared" si="17"/>
        <v>4.3398018632914148E-2</v>
      </c>
      <c r="AE36" s="31">
        <f t="shared" si="15"/>
        <v>0.05</v>
      </c>
      <c r="AF36" s="146">
        <f t="shared" si="1"/>
        <v>4715.0975409675675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 t="e">
        <f t="shared" ref="H37" si="98">(H36-G36)/H36</f>
        <v>#DIV/0!</v>
      </c>
      <c r="I37" s="148" t="e">
        <f t="shared" ref="I37" si="99">(I36-H36)/I36</f>
        <v>#DIV/0!</v>
      </c>
      <c r="J37" s="148">
        <f t="shared" ref="J37" si="100">(J36-I36)/J36</f>
        <v>1</v>
      </c>
      <c r="K37" s="148" t="e">
        <f t="shared" ref="K37" si="101">(K36-J36)/K36</f>
        <v>#DIV/0!</v>
      </c>
      <c r="L37" s="148" t="e">
        <f t="shared" ref="L37" si="102">(L36-K36)/L36</f>
        <v>#DIV/0!</v>
      </c>
      <c r="M37" s="148" t="e">
        <f t="shared" ref="M37" si="103">(M36-L36)/M36</f>
        <v>#DIV/0!</v>
      </c>
      <c r="N37" s="148">
        <f t="shared" ref="N37" si="104">(N36-M36)/N36</f>
        <v>1</v>
      </c>
      <c r="O37" s="148">
        <f t="shared" ref="O37" si="105">(O36-N36)/O36</f>
        <v>0.42686567164179107</v>
      </c>
      <c r="P37" s="148">
        <f t="shared" ref="P37:Q37" si="106">(P36-O36)/P36</f>
        <v>-6.0126582278481014E-2</v>
      </c>
      <c r="Q37" s="148">
        <f t="shared" si="106"/>
        <v>-1.8468468468468469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f>J38</f>
        <v>245</v>
      </c>
      <c r="H38" s="147"/>
      <c r="I38" s="147"/>
      <c r="J38" s="147">
        <v>245</v>
      </c>
      <c r="K38" s="147"/>
      <c r="L38" s="147"/>
      <c r="M38" s="147"/>
      <c r="N38" s="147">
        <v>245</v>
      </c>
      <c r="O38" s="147">
        <v>396</v>
      </c>
      <c r="P38" s="147">
        <v>406</v>
      </c>
      <c r="Q38" s="147">
        <v>210</v>
      </c>
      <c r="R38" s="118">
        <f>((Q38/G38)^(1/($H$2-$H$1) ))-1</f>
        <v>-1.6982005508324627E-2</v>
      </c>
      <c r="S38" s="31">
        <f t="shared" si="5"/>
        <v>0.15</v>
      </c>
      <c r="T38" s="154">
        <f t="shared" si="2"/>
        <v>241.49999999999997</v>
      </c>
      <c r="U38" s="154">
        <f t="shared" ref="U38" si="107">T38*(1+$S38)</f>
        <v>277.72499999999997</v>
      </c>
      <c r="V38" s="154">
        <f t="shared" ref="V38" si="108">U38*(1+$S38)</f>
        <v>319.38374999999996</v>
      </c>
      <c r="W38" s="154">
        <f t="shared" ref="W38" si="109">V38*(1+$S38)</f>
        <v>367.29131249999995</v>
      </c>
      <c r="X38" s="154">
        <f t="shared" ref="X38" si="110">W38*(1+$S38)</f>
        <v>422.38500937499992</v>
      </c>
      <c r="Y38" s="154">
        <f t="shared" ref="Y38" si="111">X38*(1+$S38)</f>
        <v>485.7427607812499</v>
      </c>
      <c r="Z38" s="154">
        <f t="shared" ref="Z38" si="112">Y38*(1+$S38)</f>
        <v>558.60417489843735</v>
      </c>
      <c r="AA38" s="154">
        <f t="shared" ref="AA38" si="113">Z38*(1+$S38)</f>
        <v>642.39480113320292</v>
      </c>
      <c r="AB38" s="154">
        <f t="shared" ref="AB38" si="114">AA38*(1+$S38)</f>
        <v>738.75402130318332</v>
      </c>
      <c r="AC38" s="154">
        <f t="shared" ref="AC38" si="115">AB38*(1+$S38)</f>
        <v>849.56712449866075</v>
      </c>
      <c r="AD38" s="138">
        <f t="shared" ref="AD38" si="116">((AC38/G38)^(1/($AC$3-$H$1) ))-1</f>
        <v>6.4146891377147242E-2</v>
      </c>
      <c r="AE38" s="31">
        <f t="shared" si="15"/>
        <v>0.05</v>
      </c>
      <c r="AF38" s="146">
        <f t="shared" ref="AF38" si="117">(AC38*(1+AE38))/($C$1-AE38)</f>
        <v>8920.4548072359394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 t="e">
        <f t="shared" ref="H39" si="119">(H38-G38)/H38</f>
        <v>#DIV/0!</v>
      </c>
      <c r="I39" s="148" t="e">
        <f t="shared" ref="I39" si="120">(I38-H38)/I38</f>
        <v>#DIV/0!</v>
      </c>
      <c r="J39" s="148">
        <f t="shared" ref="J39" si="121">(J38-I38)/J38</f>
        <v>1</v>
      </c>
      <c r="K39" s="148" t="e">
        <f t="shared" ref="K39" si="122">(K38-J38)/K38</f>
        <v>#DIV/0!</v>
      </c>
      <c r="L39" s="148" t="e">
        <f t="shared" ref="L39" si="123">(L38-K38)/L38</f>
        <v>#DIV/0!</v>
      </c>
      <c r="M39" s="148" t="e">
        <f t="shared" ref="M39" si="124">(M38-L38)/M38</f>
        <v>#DIV/0!</v>
      </c>
      <c r="N39" s="148">
        <f t="shared" ref="N39" si="125">(N38-M38)/N38</f>
        <v>1</v>
      </c>
      <c r="O39" s="148">
        <f t="shared" ref="O39" si="126">(O38-N38)/O38</f>
        <v>0.38131313131313133</v>
      </c>
      <c r="P39" s="148">
        <f t="shared" ref="P39:Q39" si="127">(P38-O38)/P38</f>
        <v>2.4630541871921183E-2</v>
      </c>
      <c r="Q39" s="148">
        <f t="shared" si="127"/>
        <v>-0.93333333333333335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f>J40</f>
        <v>173</v>
      </c>
      <c r="H40" s="147"/>
      <c r="I40" s="147"/>
      <c r="J40" s="147">
        <v>173</v>
      </c>
      <c r="K40" s="147"/>
      <c r="L40" s="147"/>
      <c r="M40" s="147"/>
      <c r="N40" s="147">
        <v>173</v>
      </c>
      <c r="O40" s="147">
        <v>286</v>
      </c>
      <c r="P40" s="147">
        <v>298</v>
      </c>
      <c r="Q40" s="147">
        <v>153</v>
      </c>
      <c r="R40" s="118">
        <f>((Q40/G40)^(1/($H$2-$H$1) ))-1</f>
        <v>-1.3557663780830564E-2</v>
      </c>
      <c r="S40" s="31">
        <f t="shared" si="5"/>
        <v>0.15</v>
      </c>
      <c r="T40" s="215">
        <v>280</v>
      </c>
      <c r="U40" s="154">
        <f t="shared" ref="U40:AC40" si="128">T40*(1+$S40)</f>
        <v>322</v>
      </c>
      <c r="V40" s="154">
        <f t="shared" si="128"/>
        <v>370.29999999999995</v>
      </c>
      <c r="W40" s="154">
        <f t="shared" si="128"/>
        <v>425.84499999999991</v>
      </c>
      <c r="X40" s="154">
        <f t="shared" si="128"/>
        <v>489.72174999999987</v>
      </c>
      <c r="Y40" s="154">
        <f t="shared" si="128"/>
        <v>563.18001249999986</v>
      </c>
      <c r="Z40" s="154">
        <f t="shared" si="128"/>
        <v>647.65701437499979</v>
      </c>
      <c r="AA40" s="154">
        <f t="shared" si="128"/>
        <v>744.80556653124972</v>
      </c>
      <c r="AB40" s="154">
        <f t="shared" si="128"/>
        <v>856.52640151093715</v>
      </c>
      <c r="AC40" s="154">
        <f t="shared" si="128"/>
        <v>985.00536173757769</v>
      </c>
      <c r="AD40" s="138">
        <f t="shared" si="17"/>
        <v>9.0861525596370729E-2</v>
      </c>
      <c r="AE40" s="31">
        <f t="shared" si="15"/>
        <v>0.05</v>
      </c>
      <c r="AF40" s="146">
        <f t="shared" si="1"/>
        <v>10342.556298244568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 t="e">
        <f t="shared" ref="H41:Q41" si="129">(H40-G40)/H40</f>
        <v>#DIV/0!</v>
      </c>
      <c r="I41" s="148" t="e">
        <f t="shared" si="129"/>
        <v>#DIV/0!</v>
      </c>
      <c r="J41" s="148">
        <f t="shared" si="129"/>
        <v>1</v>
      </c>
      <c r="K41" s="148" t="e">
        <f t="shared" si="129"/>
        <v>#DIV/0!</v>
      </c>
      <c r="L41" s="148" t="e">
        <f t="shared" si="129"/>
        <v>#DIV/0!</v>
      </c>
      <c r="M41" s="148" t="e">
        <f t="shared" si="129"/>
        <v>#DIV/0!</v>
      </c>
      <c r="N41" s="148">
        <f t="shared" si="129"/>
        <v>1</v>
      </c>
      <c r="O41" s="148">
        <f t="shared" si="129"/>
        <v>0.3951048951048951</v>
      </c>
      <c r="P41" s="148">
        <f t="shared" si="129"/>
        <v>4.0268456375838924E-2</v>
      </c>
      <c r="Q41" s="148">
        <f t="shared" si="129"/>
        <v>-0.94771241830065356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7">
        <f>J42</f>
        <v>5</v>
      </c>
      <c r="H42" s="145"/>
      <c r="I42" s="145"/>
      <c r="J42" s="145">
        <v>5</v>
      </c>
      <c r="K42" s="145"/>
      <c r="L42" s="145"/>
      <c r="M42" s="145"/>
      <c r="N42" s="145">
        <v>5.09</v>
      </c>
      <c r="O42" s="145">
        <v>5.09</v>
      </c>
      <c r="P42" s="145">
        <v>5.09</v>
      </c>
      <c r="Q42" s="145">
        <f>P42</f>
        <v>5.09</v>
      </c>
      <c r="R42" s="118">
        <f>((Q42/G42)^(1/($H$2-$H$1) ))-1</f>
        <v>1.984179008525766E-3</v>
      </c>
      <c r="S42" s="31">
        <f>P1</f>
        <v>0.05</v>
      </c>
      <c r="T42" s="154">
        <f t="shared" si="2"/>
        <v>5.3445</v>
      </c>
      <c r="U42" s="154">
        <f t="shared" ref="U42:AC42" si="130">T42*(1+$S42)</f>
        <v>5.6117249999999999</v>
      </c>
      <c r="V42" s="154">
        <f t="shared" si="130"/>
        <v>5.8923112499999997</v>
      </c>
      <c r="W42" s="154">
        <f t="shared" si="130"/>
        <v>6.1869268125000003</v>
      </c>
      <c r="X42" s="154">
        <f t="shared" si="130"/>
        <v>6.4962731531250002</v>
      </c>
      <c r="Y42" s="154">
        <f t="shared" si="130"/>
        <v>6.8210868107812503</v>
      </c>
      <c r="Z42" s="154">
        <f t="shared" si="130"/>
        <v>7.1621411513203128</v>
      </c>
      <c r="AA42" s="154">
        <f t="shared" si="130"/>
        <v>7.5202482088863292</v>
      </c>
      <c r="AB42" s="154">
        <f t="shared" si="130"/>
        <v>7.8962606193306462</v>
      </c>
      <c r="AC42" s="154">
        <f t="shared" si="130"/>
        <v>8.2910736502971787</v>
      </c>
      <c r="AD42" s="138">
        <f t="shared" si="17"/>
        <v>2.5609508183593865E-2</v>
      </c>
      <c r="AE42" s="31">
        <f t="shared" si="15"/>
        <v>0.05</v>
      </c>
      <c r="AF42" s="146">
        <f t="shared" si="1"/>
        <v>87.056273328120383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0.8</v>
      </c>
      <c r="H43" s="148" t="e">
        <f t="shared" ref="H43" si="131">(H42-G42)/H42</f>
        <v>#DIV/0!</v>
      </c>
      <c r="I43" s="148" t="e">
        <f t="shared" ref="I43" si="132">(I42-H42)/I42</f>
        <v>#DIV/0!</v>
      </c>
      <c r="J43" s="148">
        <f t="shared" ref="J43" si="133">(J42-I42)/J42</f>
        <v>1</v>
      </c>
      <c r="K43" s="148" t="e">
        <f t="shared" ref="K43" si="134">(K42-J42)/K42</f>
        <v>#DIV/0!</v>
      </c>
      <c r="L43" s="148" t="e">
        <f t="shared" ref="L43" si="135">(L42-K42)/L42</f>
        <v>#DIV/0!</v>
      </c>
      <c r="M43" s="148" t="e">
        <f t="shared" ref="M43" si="136">(M42-L42)/M42</f>
        <v>#DIV/0!</v>
      </c>
      <c r="N43" s="148">
        <f t="shared" ref="N43" si="137">(N42-M42)/N42</f>
        <v>1</v>
      </c>
      <c r="O43" s="148">
        <f t="shared" ref="O43" si="138">(O42-N42)/O42</f>
        <v>0</v>
      </c>
      <c r="P43" s="148">
        <f t="shared" ref="P43:Q43" si="139">(P42-O42)/P42</f>
        <v>0</v>
      </c>
      <c r="Q43" s="148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7">
        <f>J44</f>
        <v>5</v>
      </c>
      <c r="H44" s="145">
        <v>0</v>
      </c>
      <c r="I44" s="145">
        <v>0</v>
      </c>
      <c r="J44" s="145">
        <v>5</v>
      </c>
      <c r="K44" s="145">
        <v>0</v>
      </c>
      <c r="L44" s="145">
        <v>0</v>
      </c>
      <c r="M44" s="145">
        <v>0</v>
      </c>
      <c r="N44" s="145">
        <v>5</v>
      </c>
      <c r="O44" s="145">
        <v>24</v>
      </c>
      <c r="P44" s="145">
        <v>24</v>
      </c>
      <c r="Q44" s="145">
        <v>10</v>
      </c>
      <c r="R44" s="118">
        <f>((Q44/G44)^(1/($H$2-$H$1) ))-1</f>
        <v>8.0059738892306109E-2</v>
      </c>
      <c r="S44" s="31">
        <v>0.01</v>
      </c>
      <c r="T44" s="154">
        <f t="shared" si="2"/>
        <v>10.1</v>
      </c>
      <c r="U44" s="154">
        <f t="shared" ref="U44" si="140">T44*(1+$S44)</f>
        <v>10.201000000000001</v>
      </c>
      <c r="V44" s="154">
        <f t="shared" ref="V44" si="141">U44*(1+$S44)</f>
        <v>10.30301</v>
      </c>
      <c r="W44" s="154">
        <f t="shared" ref="W44" si="142">V44*(1+$S44)</f>
        <v>10.4060401</v>
      </c>
      <c r="X44" s="154">
        <f t="shared" ref="X44" si="143">W44*(1+$S44)</f>
        <v>10.510100501</v>
      </c>
      <c r="Y44" s="154">
        <f t="shared" ref="Y44" si="144">X44*(1+$S44)</f>
        <v>10.615201506010001</v>
      </c>
      <c r="Z44" s="154">
        <f t="shared" ref="Z44" si="145">Y44*(1+$S44)</f>
        <v>10.721353521070101</v>
      </c>
      <c r="AA44" s="154">
        <f t="shared" ref="AA44" si="146">Z44*(1+$S44)</f>
        <v>10.828567056280802</v>
      </c>
      <c r="AB44" s="154">
        <f t="shared" ref="AB44" si="147">AA44*(1+$S44)</f>
        <v>10.936852726843609</v>
      </c>
      <c r="AC44" s="154">
        <f t="shared" ref="AC44" si="148">AB44*(1+$S44)</f>
        <v>11.046221254112046</v>
      </c>
      <c r="AD44" s="138">
        <f t="shared" ref="AD44" si="149">((AC44/G44)^(1/($AC$3-$H$1) ))-1</f>
        <v>4.0428371951503506E-2</v>
      </c>
      <c r="AE44" s="31">
        <f t="shared" si="15"/>
        <v>0.05</v>
      </c>
      <c r="AF44" s="146">
        <f t="shared" si="1"/>
        <v>115.98532316817649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94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33</v>
      </c>
      <c r="H50" s="133" t="e">
        <f t="shared" si="150"/>
        <v>#DIV/0!</v>
      </c>
      <c r="I50" s="133" t="e">
        <f t="shared" si="150"/>
        <v>#DIV/0!</v>
      </c>
      <c r="J50" s="133">
        <f t="shared" si="150"/>
        <v>33</v>
      </c>
      <c r="K50" s="133" t="e">
        <f t="shared" si="150"/>
        <v>#DIV/0!</v>
      </c>
      <c r="L50" s="133" t="e">
        <f t="shared" si="150"/>
        <v>#DIV/0!</v>
      </c>
      <c r="M50" s="133" t="e">
        <f t="shared" si="150"/>
        <v>#DIV/0!</v>
      </c>
      <c r="N50" s="133">
        <f t="shared" si="150"/>
        <v>72.29862475442043</v>
      </c>
      <c r="O50" s="133">
        <f t="shared" si="150"/>
        <v>103.33988212180746</v>
      </c>
      <c r="P50" s="133">
        <f t="shared" si="150"/>
        <v>102.75049115913556</v>
      </c>
      <c r="Q50" s="133">
        <f t="shared" ref="Q50" si="151">Q25/Q42</f>
        <v>86.247544204322196</v>
      </c>
      <c r="R50" s="118">
        <f>((P50/G50)^(1/($H$2-$H$1) ))-1</f>
        <v>0.13450855225831404</v>
      </c>
      <c r="S50" s="128"/>
      <c r="T50" s="158">
        <f t="shared" ref="T50:AC50" si="152">T25/T42</f>
        <v>97.296285901393958</v>
      </c>
      <c r="U50" s="158">
        <f t="shared" si="152"/>
        <v>106.56259884438386</v>
      </c>
      <c r="V50" s="158">
        <f t="shared" si="152"/>
        <v>116.71141778194422</v>
      </c>
      <c r="W50" s="158">
        <f t="shared" si="152"/>
        <v>127.82679090403413</v>
      </c>
      <c r="X50" s="158">
        <f t="shared" si="152"/>
        <v>140.00077099013259</v>
      </c>
      <c r="Y50" s="158">
        <f t="shared" si="152"/>
        <v>153.3341777510976</v>
      </c>
      <c r="Z50" s="158">
        <f t="shared" si="152"/>
        <v>167.93743277501164</v>
      </c>
      <c r="AA50" s="158">
        <f t="shared" si="152"/>
        <v>183.93147399167938</v>
      </c>
      <c r="AB50" s="158">
        <f t="shared" si="152"/>
        <v>201.44875722898217</v>
      </c>
      <c r="AC50" s="158">
        <f t="shared" si="152"/>
        <v>220.63435315555188</v>
      </c>
      <c r="AD50" s="138">
        <f t="shared" ref="AD50" si="153">((AC50/G50)^(1/($AC$3-$H$1) ))-1</f>
        <v>9.9658814396315965E-2</v>
      </c>
      <c r="AE50" s="31">
        <f t="shared" si="15"/>
        <v>0.05</v>
      </c>
      <c r="AF50" s="146">
        <f t="shared" ref="AF50:AF51" si="154">(AC50*(1+AE50))/($C$1-AE50)</f>
        <v>2316.660708133295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0</v>
      </c>
      <c r="H51" s="133" t="e">
        <f t="shared" si="155"/>
        <v>#DIV/0!</v>
      </c>
      <c r="I51" s="133" t="e">
        <f t="shared" si="155"/>
        <v>#DIV/0!</v>
      </c>
      <c r="J51" s="133">
        <f t="shared" si="155"/>
        <v>0</v>
      </c>
      <c r="K51" s="133" t="e">
        <f t="shared" si="155"/>
        <v>#DIV/0!</v>
      </c>
      <c r="L51" s="133" t="e">
        <f t="shared" si="155"/>
        <v>#DIV/0!</v>
      </c>
      <c r="M51" s="133" t="e">
        <f t="shared" si="155"/>
        <v>#DIV/0!</v>
      </c>
      <c r="N51" s="133">
        <f t="shared" si="155"/>
        <v>34.77406679764244</v>
      </c>
      <c r="O51" s="133">
        <f t="shared" si="155"/>
        <v>37.721021611001966</v>
      </c>
      <c r="P51" s="133">
        <f t="shared" si="155"/>
        <v>41.060903732809429</v>
      </c>
      <c r="Q51" s="133">
        <f t="shared" ref="Q51" si="156">Q27/Q42</f>
        <v>44.990176817288805</v>
      </c>
      <c r="R51" s="118" t="e">
        <f>((P51/G51)^(1/($H$2-$H$1) ))-1</f>
        <v>#DIV/0!</v>
      </c>
      <c r="S51" s="128"/>
      <c r="T51" s="158">
        <f t="shared" ref="T51:AC51" si="157">T27/T42</f>
        <v>49.274955561792488</v>
      </c>
      <c r="U51" s="158">
        <f t="shared" si="157"/>
        <v>53.967808472439394</v>
      </c>
      <c r="V51" s="158">
        <f t="shared" si="157"/>
        <v>59.107599755528859</v>
      </c>
      <c r="W51" s="158">
        <f t="shared" si="157"/>
        <v>64.736894970341126</v>
      </c>
      <c r="X51" s="158">
        <f t="shared" si="157"/>
        <v>70.902313538945037</v>
      </c>
      <c r="Y51" s="158">
        <f t="shared" si="157"/>
        <v>77.654914828368362</v>
      </c>
      <c r="Z51" s="158">
        <f t="shared" si="157"/>
        <v>85.050621002498687</v>
      </c>
      <c r="AA51" s="158">
        <f t="shared" si="157"/>
        <v>93.150680145593782</v>
      </c>
      <c r="AB51" s="158">
        <f t="shared" si="157"/>
        <v>102.02217349279317</v>
      </c>
      <c r="AC51" s="158">
        <f t="shared" si="157"/>
        <v>111.73857096829727</v>
      </c>
      <c r="AD51" s="138" t="e">
        <f t="shared" ref="AD51" si="158">((AC51/G51)^(1/($AC$3-$H$1) ))-1</f>
        <v>#DIV/0!</v>
      </c>
      <c r="AE51" s="31">
        <f t="shared" si="15"/>
        <v>0.05</v>
      </c>
      <c r="AF51" s="146">
        <f t="shared" si="154"/>
        <v>1173.2549951671215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72</v>
      </c>
      <c r="H52" s="133">
        <f t="shared" ref="H52:P52" si="159">H38-H40</f>
        <v>0</v>
      </c>
      <c r="I52" s="133">
        <f t="shared" si="159"/>
        <v>0</v>
      </c>
      <c r="J52" s="133">
        <f t="shared" si="159"/>
        <v>72</v>
      </c>
      <c r="K52" s="133">
        <f t="shared" si="159"/>
        <v>0</v>
      </c>
      <c r="L52" s="133">
        <f t="shared" si="159"/>
        <v>0</v>
      </c>
      <c r="M52" s="133">
        <f t="shared" si="159"/>
        <v>0</v>
      </c>
      <c r="N52" s="133">
        <f t="shared" si="159"/>
        <v>72</v>
      </c>
      <c r="O52" s="133">
        <f t="shared" si="159"/>
        <v>110</v>
      </c>
      <c r="P52" s="133">
        <f t="shared" si="159"/>
        <v>108</v>
      </c>
      <c r="Q52" s="133">
        <f t="shared" ref="Q52" si="160">Q38-Q40</f>
        <v>57</v>
      </c>
      <c r="R52" s="118">
        <f>((P52/G52)^(1/($H$2-$H$1) ))-1</f>
        <v>4.6081918643214648E-2</v>
      </c>
      <c r="S52" s="128"/>
      <c r="T52" s="133">
        <f t="shared" ref="T52:AC52" si="161">T38-T40</f>
        <v>-38.500000000000028</v>
      </c>
      <c r="U52" s="133">
        <f t="shared" si="161"/>
        <v>-44.275000000000034</v>
      </c>
      <c r="V52" s="133">
        <f t="shared" si="161"/>
        <v>-50.916249999999991</v>
      </c>
      <c r="W52" s="133">
        <f t="shared" si="161"/>
        <v>-58.553687499999967</v>
      </c>
      <c r="X52" s="133">
        <f t="shared" si="161"/>
        <v>-67.336740624999948</v>
      </c>
      <c r="Y52" s="133">
        <f t="shared" si="161"/>
        <v>-77.437251718749962</v>
      </c>
      <c r="Z52" s="133">
        <f t="shared" si="161"/>
        <v>-89.05283947656244</v>
      </c>
      <c r="AA52" s="133">
        <f t="shared" si="161"/>
        <v>-102.41076539804681</v>
      </c>
      <c r="AB52" s="133">
        <f t="shared" si="161"/>
        <v>-117.77238020775383</v>
      </c>
      <c r="AC52" s="133">
        <f t="shared" si="161"/>
        <v>-135.43823723891694</v>
      </c>
      <c r="AD52" s="138" t="e">
        <f t="shared" ref="AD52" si="162">((AC52/G52)^(1/($AC$3-$H$1) ))-1</f>
        <v>#NUM!</v>
      </c>
      <c r="AE52" s="31">
        <f t="shared" si="15"/>
        <v>0.05</v>
      </c>
      <c r="AF52" s="146">
        <f t="shared" ref="AF52" si="163">(AC52*(1+AE52))/($C$1-AE52)</f>
        <v>-1422.101491008628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34.6</v>
      </c>
      <c r="H54" s="133" t="e">
        <f t="shared" si="164"/>
        <v>#DIV/0!</v>
      </c>
      <c r="I54" s="133" t="e">
        <f t="shared" si="164"/>
        <v>#DIV/0!</v>
      </c>
      <c r="J54" s="133">
        <f t="shared" si="164"/>
        <v>34.6</v>
      </c>
      <c r="K54" s="133" t="e">
        <f t="shared" si="164"/>
        <v>#DIV/0!</v>
      </c>
      <c r="L54" s="133" t="e">
        <f t="shared" si="164"/>
        <v>#DIV/0!</v>
      </c>
      <c r="M54" s="133" t="e">
        <f t="shared" si="164"/>
        <v>#DIV/0!</v>
      </c>
      <c r="N54" s="133">
        <f t="shared" si="164"/>
        <v>33.988212180746565</v>
      </c>
      <c r="O54" s="133">
        <f t="shared" si="164"/>
        <v>56.188605108055015</v>
      </c>
      <c r="P54" s="133">
        <f t="shared" si="164"/>
        <v>58.546168958742633</v>
      </c>
      <c r="Q54" s="133">
        <f t="shared" ref="Q54" si="165">Q40/Q42</f>
        <v>30.058939096267192</v>
      </c>
      <c r="R54" s="118">
        <f>((P54/G54)^(1/($H$2-$H$1) ))-1</f>
        <v>6.0181605422779505E-2</v>
      </c>
      <c r="S54" s="128"/>
      <c r="T54" s="158">
        <f t="shared" ref="T54:AC54" si="166">T40/T42</f>
        <v>52.390307793058284</v>
      </c>
      <c r="U54" s="158">
        <f t="shared" si="166"/>
        <v>57.379860916206695</v>
      </c>
      <c r="V54" s="158">
        <f t="shared" si="166"/>
        <v>62.844609574893042</v>
      </c>
      <c r="W54" s="158">
        <f t="shared" si="166"/>
        <v>68.829810486787608</v>
      </c>
      <c r="X54" s="158">
        <f t="shared" si="166"/>
        <v>75.385030533148324</v>
      </c>
      <c r="Y54" s="158">
        <f t="shared" si="166"/>
        <v>82.564557250591022</v>
      </c>
      <c r="Z54" s="158">
        <f t="shared" si="166"/>
        <v>90.427848417313967</v>
      </c>
      <c r="AA54" s="158">
        <f t="shared" si="166"/>
        <v>99.040024457058138</v>
      </c>
      <c r="AB54" s="158">
        <f t="shared" si="166"/>
        <v>108.47240773868272</v>
      </c>
      <c r="AC54" s="158">
        <f t="shared" si="166"/>
        <v>118.80311323760488</v>
      </c>
      <c r="AD54" s="138">
        <f t="shared" ref="AD54:AD68" si="167">((AC54/G54)^(1/($AC$3-$H$1) ))-1</f>
        <v>6.3622672071694586E-2</v>
      </c>
      <c r="AE54" s="31">
        <f t="shared" si="15"/>
        <v>0.05</v>
      </c>
      <c r="AF54" s="146">
        <f t="shared" ref="AF54:AF82" si="168">(AC54*(1+AE54))/($C$1-AE54)</f>
        <v>1247.4326889948513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0.4</v>
      </c>
      <c r="H55" s="133" t="e">
        <f t="shared" ref="H55:P55" si="170">H20/H42</f>
        <v>#DIV/0!</v>
      </c>
      <c r="I55" s="133" t="e">
        <f t="shared" si="170"/>
        <v>#DIV/0!</v>
      </c>
      <c r="J55" s="133">
        <f t="shared" si="170"/>
        <v>0</v>
      </c>
      <c r="K55" s="133" t="e">
        <f t="shared" si="170"/>
        <v>#DIV/0!</v>
      </c>
      <c r="L55" s="133" t="e">
        <f t="shared" si="170"/>
        <v>#DIV/0!</v>
      </c>
      <c r="M55" s="133" t="e">
        <f t="shared" si="170"/>
        <v>#DIV/0!</v>
      </c>
      <c r="N55" s="133">
        <f t="shared" si="170"/>
        <v>53.045186640471513</v>
      </c>
      <c r="O55" s="133">
        <f t="shared" si="170"/>
        <v>68.958742632612967</v>
      </c>
      <c r="P55" s="133">
        <f t="shared" si="170"/>
        <v>10.412573673870334</v>
      </c>
      <c r="Q55" s="133">
        <f t="shared" ref="Q55" si="171">Q20/Q42</f>
        <v>10.412573673870334</v>
      </c>
      <c r="R55" s="118">
        <f>((P55/G55)^(1/($H$2-$H$1) ))-1</f>
        <v>0.436407176357829</v>
      </c>
      <c r="S55" s="128"/>
      <c r="T55" s="133">
        <f t="shared" ref="T55:AC55" si="172">T20/T42</f>
        <v>11.404247357096079</v>
      </c>
      <c r="U55" s="133">
        <f t="shared" si="172"/>
        <v>12.49036615300999</v>
      </c>
      <c r="V55" s="133">
        <f t="shared" si="172"/>
        <v>13.679924834249038</v>
      </c>
      <c r="W55" s="133">
        <f t="shared" si="172"/>
        <v>14.982774818463229</v>
      </c>
      <c r="X55" s="133">
        <f t="shared" si="172"/>
        <v>16.409705753554963</v>
      </c>
      <c r="Y55" s="133">
        <f t="shared" si="172"/>
        <v>17.972534872941146</v>
      </c>
      <c r="Z55" s="133">
        <f t="shared" si="172"/>
        <v>19.684204860840303</v>
      </c>
      <c r="AA55" s="133">
        <f t="shared" si="172"/>
        <v>21.558891038063184</v>
      </c>
      <c r="AB55" s="133">
        <f t="shared" si="172"/>
        <v>23.612118755973963</v>
      </c>
      <c r="AC55" s="133">
        <f t="shared" si="172"/>
        <v>25.860891970828622</v>
      </c>
      <c r="AD55" s="138">
        <f t="shared" ref="AD55" si="173">((AC55/G55)^(1/($AC$3-$H$1) ))-1</f>
        <v>0.23176873186245617</v>
      </c>
      <c r="AE55" s="31">
        <f t="shared" si="15"/>
        <v>0.05</v>
      </c>
      <c r="AF55" s="146">
        <f t="shared" si="168"/>
        <v>271.53936569370057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2.4</v>
      </c>
      <c r="H56" s="133" t="e">
        <f t="shared" si="174"/>
        <v>#DIV/0!</v>
      </c>
      <c r="I56" s="133" t="e">
        <f t="shared" si="174"/>
        <v>#DIV/0!</v>
      </c>
      <c r="J56" s="133">
        <f t="shared" si="174"/>
        <v>0</v>
      </c>
      <c r="K56" s="133" t="e">
        <f t="shared" si="174"/>
        <v>#DIV/0!</v>
      </c>
      <c r="L56" s="133" t="e">
        <f t="shared" si="174"/>
        <v>#DIV/0!</v>
      </c>
      <c r="M56" s="133" t="e">
        <f t="shared" si="174"/>
        <v>#DIV/0!</v>
      </c>
      <c r="N56" s="133">
        <f t="shared" si="174"/>
        <v>166.01178781925344</v>
      </c>
      <c r="O56" s="133">
        <f t="shared" si="174"/>
        <v>195.87426326129668</v>
      </c>
      <c r="P56" s="133">
        <f t="shared" si="174"/>
        <v>227.11198428290766</v>
      </c>
      <c r="Q56" s="133">
        <f t="shared" ref="Q56" si="175">Q7/Q42</f>
        <v>224.95088408644401</v>
      </c>
      <c r="R56" s="118">
        <f>((P56/G56)^(1/($H$2-$H$1) ))-1</f>
        <v>0.65790162289081833</v>
      </c>
      <c r="S56" s="128"/>
      <c r="T56" s="158">
        <f t="shared" ref="T56:AC56" si="176">T7/T42</f>
        <v>246.37477780896248</v>
      </c>
      <c r="U56" s="158">
        <f t="shared" si="176"/>
        <v>269.83904236219701</v>
      </c>
      <c r="V56" s="158">
        <f t="shared" si="176"/>
        <v>295.5379987776443</v>
      </c>
      <c r="W56" s="158">
        <f t="shared" si="176"/>
        <v>323.6844748517056</v>
      </c>
      <c r="X56" s="158">
        <f t="shared" si="176"/>
        <v>354.5115676947251</v>
      </c>
      <c r="Y56" s="158">
        <f t="shared" si="176"/>
        <v>388.27457414184175</v>
      </c>
      <c r="Z56" s="158">
        <f t="shared" si="176"/>
        <v>425.25310501249334</v>
      </c>
      <c r="AA56" s="158">
        <f t="shared" si="176"/>
        <v>465.75340072796882</v>
      </c>
      <c r="AB56" s="158">
        <f t="shared" si="176"/>
        <v>510.1108674639658</v>
      </c>
      <c r="AC56" s="158">
        <f t="shared" si="176"/>
        <v>558.69285484148622</v>
      </c>
      <c r="AD56" s="138">
        <f t="shared" si="167"/>
        <v>0.31325206922994142</v>
      </c>
      <c r="AE56" s="31">
        <f t="shared" si="15"/>
        <v>0.05</v>
      </c>
      <c r="AF56" s="146">
        <f t="shared" si="168"/>
        <v>5866.2749758356058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-0.6</v>
      </c>
      <c r="H57" s="144" t="e">
        <f t="shared" si="177"/>
        <v>#DIV/0!</v>
      </c>
      <c r="I57" s="144" t="e">
        <f t="shared" si="177"/>
        <v>#DIV/0!</v>
      </c>
      <c r="J57" s="144">
        <f t="shared" si="177"/>
        <v>50.6</v>
      </c>
      <c r="K57" s="144" t="e">
        <f t="shared" si="177"/>
        <v>#DIV/0!</v>
      </c>
      <c r="L57" s="144" t="e">
        <f t="shared" si="177"/>
        <v>#DIV/0!</v>
      </c>
      <c r="M57" s="144" t="e">
        <f t="shared" si="177"/>
        <v>#DIV/0!</v>
      </c>
      <c r="N57" s="144">
        <f t="shared" si="177"/>
        <v>156.18860510805501</v>
      </c>
      <c r="O57" s="144">
        <f t="shared" si="177"/>
        <v>185.85461689587427</v>
      </c>
      <c r="P57" s="144">
        <f t="shared" si="177"/>
        <v>217.09233791748528</v>
      </c>
      <c r="Q57" s="144">
        <f t="shared" ref="Q57" si="178">Q6/Q42</f>
        <v>214.93123772102163</v>
      </c>
      <c r="R57" s="118">
        <f>((P57/G57)^(1/($H$2-$H$1) ))-1</f>
        <v>-2.9243188197366266</v>
      </c>
      <c r="S57" s="128"/>
      <c r="T57" s="157">
        <f t="shared" ref="T57:AC57" si="179">T6/T42</f>
        <v>235.40087940873795</v>
      </c>
      <c r="U57" s="157">
        <f t="shared" si="179"/>
        <v>257.8200107809987</v>
      </c>
      <c r="V57" s="157">
        <f t="shared" si="179"/>
        <v>282.37429752204616</v>
      </c>
      <c r="W57" s="157">
        <f t="shared" si="179"/>
        <v>309.26708776224098</v>
      </c>
      <c r="X57" s="157">
        <f t="shared" si="179"/>
        <v>338.72109612054959</v>
      </c>
      <c r="Y57" s="157">
        <f t="shared" si="179"/>
        <v>370.98024813203051</v>
      </c>
      <c r="Z57" s="157">
        <f t="shared" si="179"/>
        <v>406.31170033508101</v>
      </c>
      <c r="AA57" s="157">
        <f t="shared" si="179"/>
        <v>445.00805274794578</v>
      </c>
      <c r="AB57" s="157">
        <f t="shared" si="179"/>
        <v>487.38977205727389</v>
      </c>
      <c r="AC57" s="157">
        <f t="shared" si="179"/>
        <v>533.80784558653806</v>
      </c>
      <c r="AD57" s="138" t="e">
        <f t="shared" si="167"/>
        <v>#NUM!</v>
      </c>
      <c r="AE57" s="31">
        <f t="shared" si="15"/>
        <v>0.05</v>
      </c>
      <c r="AF57" s="146">
        <f t="shared" si="168"/>
        <v>5604.9823786586503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0</v>
      </c>
      <c r="H58" s="144" t="e">
        <f t="shared" si="180"/>
        <v>#DIV/0!</v>
      </c>
      <c r="I58" s="144" t="e">
        <f t="shared" si="180"/>
        <v>#DIV/0!</v>
      </c>
      <c r="J58" s="144">
        <f t="shared" si="180"/>
        <v>0</v>
      </c>
      <c r="K58" s="144" t="e">
        <f t="shared" si="180"/>
        <v>#DIV/0!</v>
      </c>
      <c r="L58" s="144" t="e">
        <f t="shared" si="180"/>
        <v>#DIV/0!</v>
      </c>
      <c r="M58" s="144" t="e">
        <f t="shared" si="180"/>
        <v>#DIV/0!</v>
      </c>
      <c r="N58" s="144">
        <f t="shared" si="180"/>
        <v>0</v>
      </c>
      <c r="O58" s="144">
        <f t="shared" si="180"/>
        <v>0</v>
      </c>
      <c r="P58" s="144">
        <f t="shared" si="180"/>
        <v>0</v>
      </c>
      <c r="Q58" s="144">
        <f t="shared" ref="Q58" si="181">Q10/Q42</f>
        <v>0</v>
      </c>
      <c r="R58" s="118" t="e">
        <f>((P58/G58)^(1/($H$2-$H$1) ))-1</f>
        <v>#DIV/0!</v>
      </c>
      <c r="S58" s="128"/>
      <c r="T58" s="157">
        <f t="shared" ref="T58:AC58" si="182">T10/T42</f>
        <v>0</v>
      </c>
      <c r="U58" s="157">
        <f t="shared" si="182"/>
        <v>0</v>
      </c>
      <c r="V58" s="157">
        <f t="shared" si="182"/>
        <v>0</v>
      </c>
      <c r="W58" s="157">
        <f t="shared" si="182"/>
        <v>0</v>
      </c>
      <c r="X58" s="157">
        <f t="shared" si="182"/>
        <v>0</v>
      </c>
      <c r="Y58" s="157">
        <f t="shared" si="182"/>
        <v>0</v>
      </c>
      <c r="Z58" s="157">
        <f t="shared" si="182"/>
        <v>0</v>
      </c>
      <c r="AA58" s="157">
        <f t="shared" si="182"/>
        <v>0</v>
      </c>
      <c r="AB58" s="157">
        <f t="shared" si="182"/>
        <v>0</v>
      </c>
      <c r="AC58" s="157">
        <f t="shared" si="182"/>
        <v>0</v>
      </c>
      <c r="AD58" s="138" t="e">
        <f t="shared" si="167"/>
        <v>#DIV/0!</v>
      </c>
      <c r="AE58" s="31">
        <f t="shared" si="15"/>
        <v>0.05</v>
      </c>
      <c r="AF58" s="146">
        <f t="shared" si="168"/>
        <v>0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2.4</v>
      </c>
      <c r="H60" s="144" t="e">
        <f t="shared" si="183"/>
        <v>#DIV/0!</v>
      </c>
      <c r="I60" s="144" t="e">
        <f t="shared" si="183"/>
        <v>#DIV/0!</v>
      </c>
      <c r="J60" s="144">
        <f t="shared" si="183"/>
        <v>0</v>
      </c>
      <c r="K60" s="144" t="e">
        <f t="shared" si="183"/>
        <v>#DIV/0!</v>
      </c>
      <c r="L60" s="144" t="e">
        <f t="shared" si="183"/>
        <v>#DIV/0!</v>
      </c>
      <c r="M60" s="144" t="e">
        <f t="shared" si="183"/>
        <v>#DIV/0!</v>
      </c>
      <c r="N60" s="144">
        <f t="shared" si="183"/>
        <v>166.01178781925344</v>
      </c>
      <c r="O60" s="144">
        <f t="shared" si="183"/>
        <v>195.87426326129668</v>
      </c>
      <c r="P60" s="144">
        <f t="shared" si="183"/>
        <v>227.11198428290766</v>
      </c>
      <c r="Q60" s="144">
        <f t="shared" ref="Q60" si="184">(Q7-Q10)/Q42</f>
        <v>224.95088408644401</v>
      </c>
      <c r="R60" s="118">
        <f>((P60/G60)^(1/($H$2-$H$1) ))-1</f>
        <v>0.65790162289081833</v>
      </c>
      <c r="S60" s="128"/>
      <c r="T60" s="157">
        <f t="shared" ref="T60:AC60" si="185">(T7-T10)/T42</f>
        <v>246.37477780896248</v>
      </c>
      <c r="U60" s="157">
        <f t="shared" si="185"/>
        <v>269.83904236219701</v>
      </c>
      <c r="V60" s="157">
        <f t="shared" si="185"/>
        <v>295.5379987776443</v>
      </c>
      <c r="W60" s="157">
        <f t="shared" si="185"/>
        <v>323.6844748517056</v>
      </c>
      <c r="X60" s="157">
        <f t="shared" si="185"/>
        <v>354.5115676947251</v>
      </c>
      <c r="Y60" s="157">
        <f t="shared" si="185"/>
        <v>388.27457414184175</v>
      </c>
      <c r="Z60" s="157">
        <f t="shared" si="185"/>
        <v>425.25310501249334</v>
      </c>
      <c r="AA60" s="157">
        <f t="shared" si="185"/>
        <v>465.75340072796882</v>
      </c>
      <c r="AB60" s="157">
        <f t="shared" si="185"/>
        <v>510.1108674639658</v>
      </c>
      <c r="AC60" s="157">
        <f t="shared" si="185"/>
        <v>558.69285484148622</v>
      </c>
      <c r="AD60" s="138">
        <f t="shared" si="167"/>
        <v>0.31325206922994142</v>
      </c>
      <c r="AE60" s="31">
        <f t="shared" si="15"/>
        <v>0.05</v>
      </c>
      <c r="AF60" s="146">
        <f t="shared" si="168"/>
        <v>5866.2749758356058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2.4</v>
      </c>
      <c r="H61" s="144" t="e">
        <f t="shared" si="186"/>
        <v>#DIV/0!</v>
      </c>
      <c r="I61" s="144" t="e">
        <f t="shared" si="186"/>
        <v>#DIV/0!</v>
      </c>
      <c r="J61" s="144">
        <f t="shared" si="186"/>
        <v>0</v>
      </c>
      <c r="K61" s="144" t="e">
        <f t="shared" si="186"/>
        <v>#DIV/0!</v>
      </c>
      <c r="L61" s="144" t="e">
        <f t="shared" si="186"/>
        <v>#DIV/0!</v>
      </c>
      <c r="M61" s="144" t="e">
        <f t="shared" si="186"/>
        <v>#DIV/0!</v>
      </c>
      <c r="N61" s="144">
        <f t="shared" si="186"/>
        <v>44.793713163064837</v>
      </c>
      <c r="O61" s="144">
        <f t="shared" si="186"/>
        <v>54.027504911591357</v>
      </c>
      <c r="P61" s="144">
        <f t="shared" si="186"/>
        <v>121.80746561886052</v>
      </c>
      <c r="Q61" s="144">
        <f t="shared" ref="Q61" si="187">(Q7-Q10-Q9)/Q42</f>
        <v>119.64636542239685</v>
      </c>
      <c r="R61" s="118">
        <f>((P61/G61)^(1/($H$2-$H$1) ))-1</f>
        <v>0.54701972709238555</v>
      </c>
      <c r="S61" s="128"/>
      <c r="T61" s="157">
        <f t="shared" ref="T61:AC61" si="188">(T7-T10-T9)/T42</f>
        <v>131.04125736738703</v>
      </c>
      <c r="U61" s="157">
        <f t="shared" si="188"/>
        <v>143.52137711666197</v>
      </c>
      <c r="V61" s="157">
        <f t="shared" si="188"/>
        <v>157.19007969920119</v>
      </c>
      <c r="W61" s="157">
        <f t="shared" si="188"/>
        <v>172.16056348007743</v>
      </c>
      <c r="X61" s="157">
        <f t="shared" si="188"/>
        <v>188.55680762103717</v>
      </c>
      <c r="Y61" s="157">
        <f t="shared" si="188"/>
        <v>206.5145988230407</v>
      </c>
      <c r="Z61" s="157">
        <f t="shared" si="188"/>
        <v>226.18265585380644</v>
      </c>
      <c r="AA61" s="157">
        <f t="shared" si="188"/>
        <v>247.72386117321656</v>
      </c>
      <c r="AB61" s="157">
        <f t="shared" si="188"/>
        <v>271.31660985638007</v>
      </c>
      <c r="AC61" s="157">
        <f t="shared" si="188"/>
        <v>297.15628698555906</v>
      </c>
      <c r="AD61" s="138">
        <f t="shared" si="167"/>
        <v>0.27244401714862776</v>
      </c>
      <c r="AE61" s="31">
        <f t="shared" si="15"/>
        <v>0.05</v>
      </c>
      <c r="AF61" s="146">
        <f t="shared" si="168"/>
        <v>3120.141013348371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2.4</v>
      </c>
      <c r="H62" s="144" t="e">
        <f t="shared" si="189"/>
        <v>#DIV/0!</v>
      </c>
      <c r="I62" s="144" t="e">
        <f t="shared" si="189"/>
        <v>#DIV/0!</v>
      </c>
      <c r="J62" s="144">
        <f t="shared" si="189"/>
        <v>0</v>
      </c>
      <c r="K62" s="144" t="e">
        <f t="shared" si="189"/>
        <v>#DIV/0!</v>
      </c>
      <c r="L62" s="144" t="e">
        <f t="shared" si="189"/>
        <v>#DIV/0!</v>
      </c>
      <c r="M62" s="144" t="e">
        <f t="shared" si="189"/>
        <v>#DIV/0!</v>
      </c>
      <c r="N62" s="144">
        <f t="shared" si="189"/>
        <v>118.27111984282908</v>
      </c>
      <c r="O62" s="144">
        <f t="shared" si="189"/>
        <v>125.54027504911592</v>
      </c>
      <c r="P62" s="144">
        <f t="shared" si="189"/>
        <v>191.3555992141454</v>
      </c>
      <c r="Q62" s="144">
        <f t="shared" ref="Q62" si="190">(Q7+Q15-Q10-Q9)/Q42</f>
        <v>189.19449901768172</v>
      </c>
      <c r="R62" s="118">
        <f>((P62/G62)^(1/($H$2-$H$1) ))-1</f>
        <v>0.62664287321749801</v>
      </c>
      <c r="S62" s="128"/>
      <c r="T62" s="157">
        <f t="shared" ref="T62:AC62" si="191">(T7+T15-T10-T9)/T42</f>
        <v>207.21302273365137</v>
      </c>
      <c r="U62" s="157">
        <f t="shared" si="191"/>
        <v>226.94759632733249</v>
      </c>
      <c r="V62" s="157">
        <f t="shared" si="191"/>
        <v>248.56165312041173</v>
      </c>
      <c r="W62" s="157">
        <f t="shared" si="191"/>
        <v>272.23419151283184</v>
      </c>
      <c r="X62" s="157">
        <f t="shared" si="191"/>
        <v>298.16125737119677</v>
      </c>
      <c r="Y62" s="157">
        <f t="shared" si="191"/>
        <v>326.55756759702501</v>
      </c>
      <c r="Z62" s="157">
        <f t="shared" si="191"/>
        <v>357.65828832055115</v>
      </c>
      <c r="AA62" s="157">
        <f t="shared" si="191"/>
        <v>391.72098244631786</v>
      </c>
      <c r="AB62" s="157">
        <f t="shared" si="191"/>
        <v>429.02774267930033</v>
      </c>
      <c r="AC62" s="157">
        <f t="shared" si="191"/>
        <v>469.88752769637665</v>
      </c>
      <c r="AD62" s="138">
        <f t="shared" si="167"/>
        <v>0.30193449478664824</v>
      </c>
      <c r="AE62" s="31">
        <f t="shared" si="15"/>
        <v>0.05</v>
      </c>
      <c r="AF62" s="146">
        <f t="shared" si="168"/>
        <v>4933.8190408119553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0</v>
      </c>
      <c r="H64" s="144" t="e">
        <f t="shared" si="192"/>
        <v>#DIV/0!</v>
      </c>
      <c r="I64" s="144" t="e">
        <f t="shared" si="192"/>
        <v>#DIV/0!</v>
      </c>
      <c r="J64" s="144">
        <f t="shared" si="192"/>
        <v>0</v>
      </c>
      <c r="K64" s="144" t="e">
        <f t="shared" si="192"/>
        <v>#DIV/0!</v>
      </c>
      <c r="L64" s="144" t="e">
        <f t="shared" si="192"/>
        <v>#DIV/0!</v>
      </c>
      <c r="M64" s="144" t="e">
        <f t="shared" si="192"/>
        <v>#DIV/0!</v>
      </c>
      <c r="N64" s="144">
        <f t="shared" si="192"/>
        <v>63.850687622789785</v>
      </c>
      <c r="O64" s="144">
        <f t="shared" si="192"/>
        <v>61.296660117878197</v>
      </c>
      <c r="P64" s="144">
        <f t="shared" si="192"/>
        <v>68.172888015717092</v>
      </c>
      <c r="Q64" s="144">
        <f t="shared" ref="Q64" si="193">Q12/Q42</f>
        <v>68.172888015717092</v>
      </c>
      <c r="R64" s="118" t="e">
        <f>((P64/G64)^(1/($H$2-$H$1) ))-1</f>
        <v>#DIV/0!</v>
      </c>
      <c r="S64" s="128"/>
      <c r="T64" s="157">
        <f t="shared" ref="T64:AC64" si="194">T12/T42</f>
        <v>74.665544017213946</v>
      </c>
      <c r="U64" s="157">
        <f t="shared" si="194"/>
        <v>81.776548209329562</v>
      </c>
      <c r="V64" s="157">
        <f t="shared" si="194"/>
        <v>89.564790895932362</v>
      </c>
      <c r="W64" s="157">
        <f t="shared" si="194"/>
        <v>98.094770981259245</v>
      </c>
      <c r="X64" s="157">
        <f t="shared" si="194"/>
        <v>107.43713012233155</v>
      </c>
      <c r="Y64" s="157">
        <f t="shared" si="194"/>
        <v>117.66923775302978</v>
      </c>
      <c r="Z64" s="157">
        <f t="shared" si="194"/>
        <v>128.87583182474691</v>
      </c>
      <c r="AA64" s="157">
        <f t="shared" si="194"/>
        <v>141.14972056996086</v>
      </c>
      <c r="AB64" s="157">
        <f t="shared" si="194"/>
        <v>154.59255110043327</v>
      </c>
      <c r="AC64" s="157">
        <f t="shared" si="194"/>
        <v>169.31565120523643</v>
      </c>
      <c r="AD64" s="138" t="e">
        <f t="shared" si="167"/>
        <v>#DIV/0!</v>
      </c>
      <c r="AE64" s="31">
        <f t="shared" si="15"/>
        <v>0.05</v>
      </c>
      <c r="AF64" s="146">
        <f t="shared" si="168"/>
        <v>1777.8143376549829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0</v>
      </c>
      <c r="H65" s="144" t="e">
        <f t="shared" si="195"/>
        <v>#DIV/0!</v>
      </c>
      <c r="I65" s="144" t="e">
        <f t="shared" si="195"/>
        <v>#DIV/0!</v>
      </c>
      <c r="J65" s="144">
        <f t="shared" si="195"/>
        <v>0</v>
      </c>
      <c r="K65" s="144" t="e">
        <f t="shared" si="195"/>
        <v>#DIV/0!</v>
      </c>
      <c r="L65" s="144" t="e">
        <f t="shared" si="195"/>
        <v>#DIV/0!</v>
      </c>
      <c r="M65" s="144" t="e">
        <f t="shared" si="195"/>
        <v>#DIV/0!</v>
      </c>
      <c r="N65" s="144">
        <f t="shared" si="195"/>
        <v>161.68958742632614</v>
      </c>
      <c r="O65" s="144">
        <f t="shared" si="195"/>
        <v>225.93320235756386</v>
      </c>
      <c r="P65" s="144">
        <f t="shared" si="195"/>
        <v>209.82318271119843</v>
      </c>
      <c r="Q65" s="144">
        <f t="shared" ref="Q65" si="196">Q13/Q42</f>
        <v>209.82318271119843</v>
      </c>
      <c r="R65" s="118" t="e">
        <f>((P65/G65)^(1/($H$2-$H$1) ))-1</f>
        <v>#DIV/0!</v>
      </c>
      <c r="S65" s="128"/>
      <c r="T65" s="157">
        <f t="shared" ref="T65:AC65" si="197">T13/T42</f>
        <v>229.80634296940778</v>
      </c>
      <c r="U65" s="157">
        <f t="shared" si="197"/>
        <v>251.69266134744657</v>
      </c>
      <c r="V65" s="157">
        <f t="shared" si="197"/>
        <v>275.66339099958435</v>
      </c>
      <c r="W65" s="157">
        <f t="shared" si="197"/>
        <v>301.917047285259</v>
      </c>
      <c r="X65" s="157">
        <f t="shared" si="197"/>
        <v>330.67105178861692</v>
      </c>
      <c r="Y65" s="157">
        <f t="shared" si="197"/>
        <v>362.16353291134232</v>
      </c>
      <c r="Z65" s="157">
        <f t="shared" si="197"/>
        <v>396.65529795051771</v>
      </c>
      <c r="AA65" s="157">
        <f t="shared" si="197"/>
        <v>434.4319929934241</v>
      </c>
      <c r="AB65" s="157">
        <f t="shared" si="197"/>
        <v>475.80646851660731</v>
      </c>
      <c r="AC65" s="157">
        <f t="shared" si="197"/>
        <v>521.12137028009363</v>
      </c>
      <c r="AD65" s="138" t="e">
        <f t="shared" si="167"/>
        <v>#DIV/0!</v>
      </c>
      <c r="AE65" s="31">
        <f t="shared" si="15"/>
        <v>0.05</v>
      </c>
      <c r="AF65" s="146">
        <f t="shared" si="168"/>
        <v>5471.7743879409836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0</v>
      </c>
      <c r="H66" s="144" t="e">
        <f t="shared" si="198"/>
        <v>#DIV/0!</v>
      </c>
      <c r="I66" s="144" t="e">
        <f t="shared" si="198"/>
        <v>#DIV/0!</v>
      </c>
      <c r="J66" s="144">
        <f t="shared" si="198"/>
        <v>0</v>
      </c>
      <c r="K66" s="144" t="e">
        <f t="shared" si="198"/>
        <v>#DIV/0!</v>
      </c>
      <c r="L66" s="144" t="e">
        <f t="shared" si="198"/>
        <v>#DIV/0!</v>
      </c>
      <c r="M66" s="144" t="e">
        <f t="shared" si="198"/>
        <v>#DIV/0!</v>
      </c>
      <c r="N66" s="144">
        <f t="shared" si="198"/>
        <v>225.54027504911593</v>
      </c>
      <c r="O66" s="144">
        <f t="shared" ref="O66" si="199">(O64+O65)</f>
        <v>287.22986247544208</v>
      </c>
      <c r="P66" s="144">
        <f t="shared" si="198"/>
        <v>277.99607072691549</v>
      </c>
      <c r="Q66" s="144">
        <f t="shared" ref="Q66" si="200">(Q64+Q65)</f>
        <v>277.99607072691549</v>
      </c>
      <c r="R66" s="118" t="e">
        <f>((P66/G66)^(1/($H$2-$H$1) ))-1</f>
        <v>#DIV/0!</v>
      </c>
      <c r="S66" s="128"/>
      <c r="T66" s="157">
        <f t="shared" ref="T66:AC66" si="201">(T64+T65)</f>
        <v>304.47188698662171</v>
      </c>
      <c r="U66" s="157">
        <f t="shared" si="201"/>
        <v>333.46920955677615</v>
      </c>
      <c r="V66" s="157">
        <f t="shared" si="201"/>
        <v>365.22818189551674</v>
      </c>
      <c r="W66" s="157">
        <f t="shared" si="201"/>
        <v>400.01181826651828</v>
      </c>
      <c r="X66" s="157">
        <f t="shared" si="201"/>
        <v>438.10818191094847</v>
      </c>
      <c r="Y66" s="157">
        <f t="shared" si="201"/>
        <v>479.83277066437211</v>
      </c>
      <c r="Z66" s="157">
        <f t="shared" si="201"/>
        <v>525.53112977526462</v>
      </c>
      <c r="AA66" s="157">
        <f t="shared" si="201"/>
        <v>575.58171356338494</v>
      </c>
      <c r="AB66" s="157">
        <f t="shared" si="201"/>
        <v>630.39901961704061</v>
      </c>
      <c r="AC66" s="157">
        <f t="shared" si="201"/>
        <v>690.43702148533009</v>
      </c>
      <c r="AD66" s="138" t="e">
        <f t="shared" si="167"/>
        <v>#DIV/0!</v>
      </c>
      <c r="AE66" s="31">
        <f t="shared" si="15"/>
        <v>0.05</v>
      </c>
      <c r="AF66" s="146">
        <f t="shared" si="168"/>
        <v>7249.5887255959669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0</v>
      </c>
      <c r="H67" s="144" t="e">
        <f t="shared" si="202"/>
        <v>#DIV/0!</v>
      </c>
      <c r="I67" s="144" t="e">
        <f t="shared" si="202"/>
        <v>#DIV/0!</v>
      </c>
      <c r="J67" s="144">
        <f t="shared" si="202"/>
        <v>0</v>
      </c>
      <c r="K67" s="144" t="e">
        <f t="shared" si="202"/>
        <v>#DIV/0!</v>
      </c>
      <c r="L67" s="144" t="e">
        <f t="shared" si="202"/>
        <v>#DIV/0!</v>
      </c>
      <c r="M67" s="144" t="e">
        <f t="shared" si="202"/>
        <v>#DIV/0!</v>
      </c>
      <c r="N67" s="144">
        <f t="shared" si="202"/>
        <v>73.477406679764243</v>
      </c>
      <c r="O67" s="144">
        <f t="shared" si="202"/>
        <v>71.512770137524555</v>
      </c>
      <c r="P67" s="144">
        <f t="shared" si="202"/>
        <v>69.548133595284881</v>
      </c>
      <c r="Q67" s="144">
        <f t="shared" ref="Q67" si="203">Q15/Q42</f>
        <v>69.548133595284881</v>
      </c>
      <c r="R67" s="118" t="e">
        <f>((P67/G67)^(1/($H$2-$H$1) ))-1</f>
        <v>#DIV/0!</v>
      </c>
      <c r="S67" s="128"/>
      <c r="T67" s="157">
        <f t="shared" ref="T67:AC67" si="204">T15/T42</f>
        <v>76.171765366264381</v>
      </c>
      <c r="U67" s="157">
        <f t="shared" si="204"/>
        <v>83.426219210670496</v>
      </c>
      <c r="V67" s="157">
        <f t="shared" si="204"/>
        <v>91.371573421210542</v>
      </c>
      <c r="W67" s="157">
        <f t="shared" si="204"/>
        <v>100.07362803275439</v>
      </c>
      <c r="X67" s="157">
        <f t="shared" si="204"/>
        <v>109.60444975015956</v>
      </c>
      <c r="Y67" s="157">
        <f t="shared" si="204"/>
        <v>120.04296877398427</v>
      </c>
      <c r="Z67" s="157">
        <f t="shared" si="204"/>
        <v>131.47563246674468</v>
      </c>
      <c r="AA67" s="157">
        <f t="shared" si="204"/>
        <v>143.99712127310127</v>
      </c>
      <c r="AB67" s="157">
        <f t="shared" si="204"/>
        <v>157.7111328229204</v>
      </c>
      <c r="AC67" s="157">
        <f t="shared" si="204"/>
        <v>172.73124071081756</v>
      </c>
      <c r="AD67" s="138" t="e">
        <f t="shared" si="167"/>
        <v>#DIV/0!</v>
      </c>
      <c r="AE67" s="31">
        <f t="shared" si="15"/>
        <v>0.05</v>
      </c>
      <c r="AF67" s="146">
        <f t="shared" si="168"/>
        <v>1813.6780274635846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0</v>
      </c>
      <c r="H68" s="144" t="e">
        <f t="shared" si="205"/>
        <v>#DIV/0!</v>
      </c>
      <c r="I68" s="144" t="e">
        <f t="shared" si="205"/>
        <v>#DIV/0!</v>
      </c>
      <c r="J68" s="144">
        <f t="shared" si="205"/>
        <v>0</v>
      </c>
      <c r="K68" s="144" t="e">
        <f t="shared" si="205"/>
        <v>#DIV/0!</v>
      </c>
      <c r="L68" s="144" t="e">
        <f t="shared" si="205"/>
        <v>#DIV/0!</v>
      </c>
      <c r="M68" s="144" t="e">
        <f t="shared" si="205"/>
        <v>#DIV/0!</v>
      </c>
      <c r="N68" s="144">
        <f t="shared" si="205"/>
        <v>-33.988212180746565</v>
      </c>
      <c r="O68" s="144">
        <f t="shared" si="205"/>
        <v>-66.994106090373279</v>
      </c>
      <c r="P68" s="144">
        <f t="shared" si="205"/>
        <v>-22.789783889980356</v>
      </c>
      <c r="Q68" s="144">
        <f t="shared" ref="Q68" si="206">Q16/Q42</f>
        <v>-22.789783889980356</v>
      </c>
      <c r="R68" s="118" t="e">
        <f>((P68/G68)^(1/($H$2-$H$1) ))-1</f>
        <v>#DIV/0!</v>
      </c>
      <c r="S68" s="128"/>
      <c r="T68" s="157">
        <f t="shared" ref="T68:AC68" si="207">T16/T42</f>
        <v>-24.960239498549907</v>
      </c>
      <c r="U68" s="157">
        <f t="shared" si="207"/>
        <v>-27.337405165078469</v>
      </c>
      <c r="V68" s="157">
        <f t="shared" si="207"/>
        <v>-29.940967561752608</v>
      </c>
      <c r="W68" s="157">
        <f t="shared" si="207"/>
        <v>-32.792488281919518</v>
      </c>
      <c r="X68" s="157">
        <f t="shared" si="207"/>
        <v>-35.915582404007083</v>
      </c>
      <c r="Y68" s="157">
        <f t="shared" si="207"/>
        <v>-39.336114061531568</v>
      </c>
      <c r="Z68" s="157">
        <f t="shared" si="207"/>
        <v>-43.082410638820285</v>
      </c>
      <c r="AA68" s="157">
        <f t="shared" si="207"/>
        <v>-47.18549736632697</v>
      </c>
      <c r="AB68" s="157">
        <f t="shared" si="207"/>
        <v>-51.679354258358096</v>
      </c>
      <c r="AC68" s="157">
        <f t="shared" si="207"/>
        <v>-56.601197521058864</v>
      </c>
      <c r="AD68" s="138" t="e">
        <f t="shared" si="167"/>
        <v>#DIV/0!</v>
      </c>
      <c r="AE68" s="137"/>
      <c r="AF68" s="146">
        <f t="shared" si="168"/>
        <v>-377.34131680705912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5</v>
      </c>
      <c r="H70" s="159">
        <f t="shared" si="208"/>
        <v>0</v>
      </c>
      <c r="I70" s="159">
        <f t="shared" si="208"/>
        <v>0</v>
      </c>
      <c r="J70" s="159">
        <f t="shared" si="208"/>
        <v>5</v>
      </c>
      <c r="K70" s="159">
        <f t="shared" si="208"/>
        <v>0</v>
      </c>
      <c r="L70" s="159">
        <f t="shared" si="208"/>
        <v>0</v>
      </c>
      <c r="M70" s="159">
        <f t="shared" si="208"/>
        <v>0</v>
      </c>
      <c r="N70" s="159">
        <f t="shared" si="208"/>
        <v>5</v>
      </c>
      <c r="O70" s="159">
        <f t="shared" si="208"/>
        <v>24</v>
      </c>
      <c r="P70" s="159">
        <f t="shared" si="208"/>
        <v>24</v>
      </c>
      <c r="Q70" s="159">
        <f t="shared" ref="Q70" si="209">Q44</f>
        <v>10</v>
      </c>
      <c r="R70" s="118">
        <f>((P70/G70)^(1/($H$2-$H$1) ))-1</f>
        <v>0.19040151472460143</v>
      </c>
      <c r="S70" s="128"/>
      <c r="T70" s="159">
        <f t="shared" ref="T70:AC70" si="210">T44</f>
        <v>10.1</v>
      </c>
      <c r="U70" s="159">
        <f t="shared" si="210"/>
        <v>10.201000000000001</v>
      </c>
      <c r="V70" s="159">
        <f t="shared" si="210"/>
        <v>10.30301</v>
      </c>
      <c r="W70" s="159">
        <f t="shared" si="210"/>
        <v>10.4060401</v>
      </c>
      <c r="X70" s="159">
        <f t="shared" si="210"/>
        <v>10.510100501</v>
      </c>
      <c r="Y70" s="159">
        <f t="shared" si="210"/>
        <v>10.615201506010001</v>
      </c>
      <c r="Z70" s="159">
        <f t="shared" si="210"/>
        <v>10.721353521070101</v>
      </c>
      <c r="AA70" s="159">
        <f t="shared" si="210"/>
        <v>10.828567056280802</v>
      </c>
      <c r="AB70" s="159">
        <f t="shared" si="210"/>
        <v>10.936852726843609</v>
      </c>
      <c r="AC70" s="159">
        <f t="shared" si="210"/>
        <v>11.046221254112046</v>
      </c>
      <c r="AD70" s="138">
        <f t="shared" ref="AD70" si="211">((AC70/G70)^(1/($AC$3-$H$1) ))-1</f>
        <v>4.0428371951503506E-2</v>
      </c>
      <c r="AE70" s="31">
        <f t="shared" si="15"/>
        <v>0.05</v>
      </c>
      <c r="AF70" s="146">
        <f t="shared" si="168"/>
        <v>115.98532316817649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-1.5</v>
      </c>
      <c r="H72" s="144">
        <f t="shared" si="212"/>
        <v>0</v>
      </c>
      <c r="I72" s="144">
        <f t="shared" si="212"/>
        <v>0</v>
      </c>
      <c r="J72" s="144">
        <f t="shared" si="212"/>
        <v>0</v>
      </c>
      <c r="K72" s="144">
        <f t="shared" si="212"/>
        <v>0</v>
      </c>
      <c r="L72" s="144">
        <f t="shared" si="212"/>
        <v>0</v>
      </c>
      <c r="M72" s="144">
        <f t="shared" si="212"/>
        <v>0</v>
      </c>
      <c r="N72" s="144">
        <f t="shared" si="212"/>
        <v>38</v>
      </c>
      <c r="O72" s="144">
        <f t="shared" si="212"/>
        <v>59</v>
      </c>
      <c r="P72" s="144">
        <f t="shared" si="212"/>
        <v>198</v>
      </c>
      <c r="Q72" s="144">
        <f t="shared" ref="Q72" si="213">Q20+Q21</f>
        <v>198</v>
      </c>
      <c r="R72" s="118">
        <f>((P72/G72)^(1/($H$2-$H$1) ))-1</f>
        <v>-2.7203599582017448</v>
      </c>
      <c r="S72" s="128"/>
      <c r="T72" s="144">
        <f t="shared" ref="T72:AC72" si="214">T20+T21</f>
        <v>227.7</v>
      </c>
      <c r="U72" s="144">
        <f t="shared" si="214"/>
        <v>261.85499999999996</v>
      </c>
      <c r="V72" s="144">
        <f t="shared" si="214"/>
        <v>301.13324999999998</v>
      </c>
      <c r="W72" s="144">
        <f t="shared" si="214"/>
        <v>346.30323749999991</v>
      </c>
      <c r="X72" s="144">
        <f t="shared" si="214"/>
        <v>398.24872312499986</v>
      </c>
      <c r="Y72" s="144">
        <f t="shared" si="214"/>
        <v>457.98603159374977</v>
      </c>
      <c r="Z72" s="144">
        <f t="shared" si="214"/>
        <v>526.68393633281221</v>
      </c>
      <c r="AA72" s="144">
        <f t="shared" si="214"/>
        <v>605.68652678273395</v>
      </c>
      <c r="AB72" s="144">
        <f t="shared" si="214"/>
        <v>696.53950580014407</v>
      </c>
      <c r="AC72" s="144">
        <f t="shared" si="214"/>
        <v>801.02043167016564</v>
      </c>
      <c r="AD72" s="138" t="e">
        <f t="shared" ref="AD72:AD77" si="215">((AC72/G72)^(1/($AC$3-$H$1) ))-1</f>
        <v>#NUM!</v>
      </c>
      <c r="AE72" s="31">
        <f t="shared" si="15"/>
        <v>0.05</v>
      </c>
      <c r="AF72" s="146">
        <f t="shared" si="168"/>
        <v>8410.7145325367401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-0.3</v>
      </c>
      <c r="H74" s="144" t="e">
        <f t="shared" si="216"/>
        <v>#DIV/0!</v>
      </c>
      <c r="I74" s="144" t="e">
        <f t="shared" si="216"/>
        <v>#DIV/0!</v>
      </c>
      <c r="J74" s="144">
        <f t="shared" si="216"/>
        <v>0</v>
      </c>
      <c r="K74" s="144" t="e">
        <f t="shared" si="216"/>
        <v>#DIV/0!</v>
      </c>
      <c r="L74" s="144" t="e">
        <f t="shared" si="216"/>
        <v>#DIV/0!</v>
      </c>
      <c r="M74" s="144" t="e">
        <f t="shared" si="216"/>
        <v>#DIV/0!</v>
      </c>
      <c r="N74" s="144">
        <f t="shared" si="216"/>
        <v>7.4656188605108058</v>
      </c>
      <c r="O74" s="144">
        <f t="shared" si="216"/>
        <v>11.591355599214145</v>
      </c>
      <c r="P74" s="144">
        <f t="shared" si="216"/>
        <v>38.899803536345779</v>
      </c>
      <c r="Q74" s="144">
        <f t="shared" ref="Q74" si="217">Q72/Q42</f>
        <v>38.899803536345779</v>
      </c>
      <c r="R74" s="118">
        <f>((P74/G74)^(1/($H$2-$H$1) ))-1</f>
        <v>-2.7169532156725866</v>
      </c>
      <c r="S74" s="128"/>
      <c r="T74" s="146">
        <f t="shared" ref="T74:AC74" si="218">T72/T42</f>
        <v>42.604546730283467</v>
      </c>
      <c r="U74" s="146">
        <f t="shared" si="218"/>
        <v>46.662122609358079</v>
      </c>
      <c r="V74" s="146">
        <f t="shared" si="218"/>
        <v>51.106134286439804</v>
      </c>
      <c r="W74" s="146">
        <f t="shared" si="218"/>
        <v>55.973385170862628</v>
      </c>
      <c r="X74" s="146">
        <f t="shared" si="218"/>
        <v>61.304183758563823</v>
      </c>
      <c r="Y74" s="146">
        <f t="shared" si="218"/>
        <v>67.142677449855611</v>
      </c>
      <c r="Z74" s="146">
        <f t="shared" si="218"/>
        <v>73.537218159365665</v>
      </c>
      <c r="AA74" s="146">
        <f t="shared" si="218"/>
        <v>80.540762745971904</v>
      </c>
      <c r="AB74" s="146">
        <f t="shared" si="218"/>
        <v>88.211311578921595</v>
      </c>
      <c r="AC74" s="146">
        <f t="shared" si="218"/>
        <v>96.612388872152223</v>
      </c>
      <c r="AD74" s="138" t="e">
        <f t="shared" si="215"/>
        <v>#NUM!</v>
      </c>
      <c r="AE74" s="31">
        <f t="shared" si="15"/>
        <v>0.05</v>
      </c>
      <c r="AF74" s="146">
        <f t="shared" si="168"/>
        <v>1014.4300831575985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0.4</v>
      </c>
      <c r="H75" s="144" t="e">
        <f t="shared" si="219"/>
        <v>#DIV/0!</v>
      </c>
      <c r="I75" s="144" t="e">
        <f t="shared" si="219"/>
        <v>#DIV/0!</v>
      </c>
      <c r="J75" s="144">
        <f t="shared" si="219"/>
        <v>0</v>
      </c>
      <c r="K75" s="144" t="e">
        <f t="shared" si="219"/>
        <v>#DIV/0!</v>
      </c>
      <c r="L75" s="144" t="e">
        <f t="shared" si="219"/>
        <v>#DIV/0!</v>
      </c>
      <c r="M75" s="144" t="e">
        <f t="shared" si="219"/>
        <v>#DIV/0!</v>
      </c>
      <c r="N75" s="144">
        <f t="shared" si="219"/>
        <v>53.045186640471513</v>
      </c>
      <c r="O75" s="144">
        <f t="shared" si="219"/>
        <v>68.958742632612967</v>
      </c>
      <c r="P75" s="144">
        <f t="shared" si="219"/>
        <v>10.412573673870334</v>
      </c>
      <c r="Q75" s="144">
        <f t="shared" ref="Q75" si="220">Q20/Q42</f>
        <v>10.412573673870334</v>
      </c>
      <c r="R75" s="118">
        <f>((P75/G75)^(1/($H$2-$H$1) ))-1</f>
        <v>0.436407176357829</v>
      </c>
      <c r="S75" s="128"/>
      <c r="T75" s="146">
        <f t="shared" ref="T75:AC75" si="221">T20/T42</f>
        <v>11.404247357096079</v>
      </c>
      <c r="U75" s="146">
        <f t="shared" si="221"/>
        <v>12.49036615300999</v>
      </c>
      <c r="V75" s="146">
        <f t="shared" si="221"/>
        <v>13.679924834249038</v>
      </c>
      <c r="W75" s="146">
        <f t="shared" si="221"/>
        <v>14.982774818463229</v>
      </c>
      <c r="X75" s="146">
        <f t="shared" si="221"/>
        <v>16.409705753554963</v>
      </c>
      <c r="Y75" s="146">
        <f t="shared" si="221"/>
        <v>17.972534872941146</v>
      </c>
      <c r="Z75" s="146">
        <f t="shared" si="221"/>
        <v>19.684204860840303</v>
      </c>
      <c r="AA75" s="146">
        <f t="shared" si="221"/>
        <v>21.558891038063184</v>
      </c>
      <c r="AB75" s="146">
        <f t="shared" si="221"/>
        <v>23.612118755973963</v>
      </c>
      <c r="AC75" s="146">
        <f t="shared" si="221"/>
        <v>25.860891970828622</v>
      </c>
      <c r="AD75" s="138">
        <f t="shared" si="215"/>
        <v>0.23176873186245617</v>
      </c>
      <c r="AE75" s="31">
        <f t="shared" si="15"/>
        <v>0.05</v>
      </c>
      <c r="AF75" s="146">
        <f t="shared" si="168"/>
        <v>271.53936569370057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-0.7</v>
      </c>
      <c r="H76" s="144" t="e">
        <f t="shared" si="222"/>
        <v>#DIV/0!</v>
      </c>
      <c r="I76" s="144" t="e">
        <f t="shared" si="222"/>
        <v>#DIV/0!</v>
      </c>
      <c r="J76" s="144">
        <f t="shared" si="222"/>
        <v>0</v>
      </c>
      <c r="K76" s="144" t="e">
        <f t="shared" si="222"/>
        <v>#DIV/0!</v>
      </c>
      <c r="L76" s="144" t="e">
        <f t="shared" si="222"/>
        <v>#DIV/0!</v>
      </c>
      <c r="M76" s="144" t="e">
        <f t="shared" si="222"/>
        <v>#DIV/0!</v>
      </c>
      <c r="N76" s="144">
        <f t="shared" si="222"/>
        <v>-45.579567779960712</v>
      </c>
      <c r="O76" s="144">
        <f t="shared" si="222"/>
        <v>-57.367387033398821</v>
      </c>
      <c r="P76" s="144">
        <f t="shared" si="222"/>
        <v>28.487229862475441</v>
      </c>
      <c r="Q76" s="144">
        <f t="shared" ref="Q76" si="223">Q21/Q42</f>
        <v>28.487229862475441</v>
      </c>
      <c r="R76" s="118">
        <f>((P76/G76)^(1/($H$2-$H$1) ))-1</f>
        <v>-2.5095209024116176</v>
      </c>
      <c r="S76" s="128"/>
      <c r="T76" s="146">
        <f t="shared" ref="T76:AC76" si="224">T21/T42</f>
        <v>31.200299373187388</v>
      </c>
      <c r="U76" s="146">
        <f t="shared" si="224"/>
        <v>34.171756456348092</v>
      </c>
      <c r="V76" s="146">
        <f t="shared" si="224"/>
        <v>37.426209452190761</v>
      </c>
      <c r="W76" s="146">
        <f t="shared" si="224"/>
        <v>40.990610352399401</v>
      </c>
      <c r="X76" s="146">
        <f t="shared" si="224"/>
        <v>44.894478005008864</v>
      </c>
      <c r="Y76" s="146">
        <f t="shared" si="224"/>
        <v>49.170142576914465</v>
      </c>
      <c r="Z76" s="146">
        <f t="shared" si="224"/>
        <v>53.853013298525362</v>
      </c>
      <c r="AA76" s="146">
        <f t="shared" si="224"/>
        <v>58.981871707908716</v>
      </c>
      <c r="AB76" s="146">
        <f t="shared" si="224"/>
        <v>64.599192822947629</v>
      </c>
      <c r="AC76" s="146">
        <f t="shared" si="224"/>
        <v>70.751496901323591</v>
      </c>
      <c r="AD76" s="138" t="e">
        <f t="shared" si="215"/>
        <v>#NUM!</v>
      </c>
      <c r="AE76" s="31">
        <f t="shared" si="15"/>
        <v>0.05</v>
      </c>
      <c r="AF76" s="146">
        <f t="shared" si="168"/>
        <v>742.89071746389789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0.16</v>
      </c>
      <c r="H77" s="144" t="e">
        <f t="shared" si="225"/>
        <v>#DIV/0!</v>
      </c>
      <c r="I77" s="144" t="e">
        <f t="shared" si="225"/>
        <v>#DIV/0!</v>
      </c>
      <c r="J77" s="144">
        <f t="shared" si="225"/>
        <v>0</v>
      </c>
      <c r="K77" s="144" t="e">
        <f t="shared" si="225"/>
        <v>#DIV/0!</v>
      </c>
      <c r="L77" s="144" t="e">
        <f t="shared" si="225"/>
        <v>#DIV/0!</v>
      </c>
      <c r="M77" s="144" t="e">
        <f t="shared" si="225"/>
        <v>#DIV/0!</v>
      </c>
      <c r="N77" s="144">
        <f t="shared" si="225"/>
        <v>-4.7151277013752457</v>
      </c>
      <c r="O77" s="144">
        <f t="shared" si="225"/>
        <v>-5.8939096267190569</v>
      </c>
      <c r="P77" s="144">
        <f t="shared" si="225"/>
        <v>-41.846758349705304</v>
      </c>
      <c r="Q77" s="144">
        <f t="shared" ref="Q77" si="226">Q22/Q42</f>
        <v>-41.846758349705304</v>
      </c>
      <c r="R77" s="118">
        <f>((P77/G77)^(1/($H$2-$H$1) ))-1</f>
        <v>-2.8561614975073191</v>
      </c>
      <c r="S77" s="128"/>
      <c r="T77" s="146">
        <f t="shared" ref="T77:AC77" si="227">T22/T42</f>
        <v>-45.832163906820092</v>
      </c>
      <c r="U77" s="146">
        <f t="shared" si="227"/>
        <v>-50.197131897945809</v>
      </c>
      <c r="V77" s="146">
        <f t="shared" si="227"/>
        <v>-54.977811126321605</v>
      </c>
      <c r="W77" s="146">
        <f t="shared" si="227"/>
        <v>-60.213793138352216</v>
      </c>
      <c r="X77" s="146">
        <f t="shared" si="227"/>
        <v>-65.948440103909562</v>
      </c>
      <c r="Y77" s="146">
        <f t="shared" si="227"/>
        <v>-72.22924392332952</v>
      </c>
      <c r="Z77" s="146">
        <f t="shared" si="227"/>
        <v>-79.108219535075165</v>
      </c>
      <c r="AA77" s="146">
        <f t="shared" si="227"/>
        <v>-86.642335681272797</v>
      </c>
      <c r="AB77" s="146">
        <f t="shared" si="227"/>
        <v>-94.89398669853685</v>
      </c>
      <c r="AC77" s="146">
        <f t="shared" si="227"/>
        <v>-103.93150924125463</v>
      </c>
      <c r="AD77" s="138" t="e">
        <f t="shared" si="215"/>
        <v>#NUM!</v>
      </c>
      <c r="AE77" s="31">
        <f t="shared" si="15"/>
        <v>0.05</v>
      </c>
      <c r="AF77" s="146">
        <f t="shared" si="168"/>
        <v>-1091.2808470331738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8.0000000000000002E-3</v>
      </c>
      <c r="H78" s="144" t="e">
        <f t="shared" si="228"/>
        <v>#DIV/0!</v>
      </c>
      <c r="I78" s="144" t="e">
        <f t="shared" si="228"/>
        <v>#DIV/0!</v>
      </c>
      <c r="J78" s="144">
        <f t="shared" si="228"/>
        <v>0</v>
      </c>
      <c r="K78" s="144" t="e">
        <f t="shared" si="228"/>
        <v>#DIV/0!</v>
      </c>
      <c r="L78" s="144" t="e">
        <f t="shared" si="228"/>
        <v>#DIV/0!</v>
      </c>
      <c r="M78" s="144" t="e">
        <f t="shared" si="228"/>
        <v>#DIV/0!</v>
      </c>
      <c r="N78" s="144">
        <f t="shared" si="228"/>
        <v>12.180746561886052</v>
      </c>
      <c r="O78" s="144">
        <f t="shared" si="228"/>
        <v>17.878192534381139</v>
      </c>
      <c r="P78" s="144">
        <f t="shared" si="228"/>
        <v>14.734774066797643</v>
      </c>
      <c r="Q78" s="144">
        <f t="shared" ref="Q78" si="229">Q23/Q42</f>
        <v>14.734774066797643</v>
      </c>
      <c r="R78" s="118">
        <f>((P78/G78)^(1/($H$2-$H$1) ))-1</f>
        <v>1.3057166929319246</v>
      </c>
      <c r="S78" s="128"/>
      <c r="T78" s="146">
        <f t="shared" ref="T78:AC78" si="230">T23/T42</f>
        <v>16.138085882683132</v>
      </c>
      <c r="U78" s="146">
        <f t="shared" si="230"/>
        <v>17.675046442938665</v>
      </c>
      <c r="V78" s="146">
        <f t="shared" si="230"/>
        <v>19.358384199409013</v>
      </c>
      <c r="W78" s="146">
        <f t="shared" si="230"/>
        <v>21.202039837447966</v>
      </c>
      <c r="X78" s="146">
        <f t="shared" si="230"/>
        <v>23.221281726728723</v>
      </c>
      <c r="Y78" s="146">
        <f t="shared" si="230"/>
        <v>25.432832367369553</v>
      </c>
      <c r="Z78" s="146">
        <f t="shared" si="230"/>
        <v>27.855006878547602</v>
      </c>
      <c r="AA78" s="146">
        <f t="shared" si="230"/>
        <v>30.507864676504514</v>
      </c>
      <c r="AB78" s="146">
        <f t="shared" si="230"/>
        <v>33.413375598076364</v>
      </c>
      <c r="AC78" s="146">
        <f t="shared" si="230"/>
        <v>36.595601845512206</v>
      </c>
      <c r="AD78" s="138">
        <f t="shared" ref="AD78" si="231">((AC78/G78)^(1/($AC$3-$H$1) ))-1</f>
        <v>0.52411222059829043</v>
      </c>
      <c r="AE78" s="31">
        <f t="shared" si="15"/>
        <v>0.05</v>
      </c>
      <c r="AF78" s="146">
        <f t="shared" si="168"/>
        <v>384.25381937787824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38.4</v>
      </c>
      <c r="H80" s="144" t="e">
        <f t="shared" si="232"/>
        <v>#DIV/0!</v>
      </c>
      <c r="I80" s="144" t="e">
        <f t="shared" si="232"/>
        <v>#DIV/0!</v>
      </c>
      <c r="J80" s="144">
        <f t="shared" si="232"/>
        <v>38.4</v>
      </c>
      <c r="K80" s="144" t="e">
        <f t="shared" si="232"/>
        <v>#DIV/0!</v>
      </c>
      <c r="L80" s="144" t="e">
        <f t="shared" si="232"/>
        <v>#DIV/0!</v>
      </c>
      <c r="M80" s="144" t="e">
        <f t="shared" si="232"/>
        <v>#DIV/0!</v>
      </c>
      <c r="N80" s="144">
        <f t="shared" si="232"/>
        <v>37.721021611001966</v>
      </c>
      <c r="O80" s="144">
        <f t="shared" si="232"/>
        <v>65.815324165029466</v>
      </c>
      <c r="P80" s="144">
        <f t="shared" si="232"/>
        <v>62.082514734774065</v>
      </c>
      <c r="Q80" s="144">
        <f t="shared" ref="Q80" si="233">Q36/Q42</f>
        <v>21.807465618860512</v>
      </c>
      <c r="R80" s="118">
        <f>((P80/G80)^(1/($H$2-$H$1) ))-1</f>
        <v>5.4828871906992482E-2</v>
      </c>
      <c r="S80" s="128"/>
      <c r="T80" s="144">
        <f t="shared" ref="T80:AC80" si="234">T36/T42</f>
        <v>23.884367106371034</v>
      </c>
      <c r="U80" s="144">
        <f t="shared" si="234"/>
        <v>26.159068735549226</v>
      </c>
      <c r="V80" s="144">
        <f t="shared" si="234"/>
        <v>28.650408615125343</v>
      </c>
      <c r="W80" s="144">
        <f t="shared" si="234"/>
        <v>31.379018959422993</v>
      </c>
      <c r="X80" s="144">
        <f t="shared" si="234"/>
        <v>34.367496955558515</v>
      </c>
      <c r="Y80" s="144">
        <f t="shared" si="234"/>
        <v>37.640591903706934</v>
      </c>
      <c r="Z80" s="144">
        <f t="shared" si="234"/>
        <v>41.225410180250456</v>
      </c>
      <c r="AA80" s="144">
        <f t="shared" si="234"/>
        <v>45.15163972122668</v>
      </c>
      <c r="AB80" s="144">
        <f t="shared" si="234"/>
        <v>49.451795885153025</v>
      </c>
      <c r="AC80" s="144">
        <f t="shared" si="234"/>
        <v>54.161490731358072</v>
      </c>
      <c r="AD80" s="138">
        <f t="shared" ref="AD80:AD82" si="235">((AC80/G80)^(1/($AC$3-$H$1) ))-1</f>
        <v>1.7344330671060781E-2</v>
      </c>
      <c r="AE80" s="31">
        <f t="shared" si="15"/>
        <v>0.05</v>
      </c>
      <c r="AF80" s="146">
        <f t="shared" si="168"/>
        <v>568.69565267925987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34.6</v>
      </c>
      <c r="H81" s="144" t="e">
        <f t="shared" si="236"/>
        <v>#DIV/0!</v>
      </c>
      <c r="I81" s="144" t="e">
        <f t="shared" si="236"/>
        <v>#DIV/0!</v>
      </c>
      <c r="J81" s="144">
        <f t="shared" si="236"/>
        <v>34.6</v>
      </c>
      <c r="K81" s="144" t="e">
        <f t="shared" si="236"/>
        <v>#DIV/0!</v>
      </c>
      <c r="L81" s="144" t="e">
        <f t="shared" si="236"/>
        <v>#DIV/0!</v>
      </c>
      <c r="M81" s="144" t="e">
        <f t="shared" si="236"/>
        <v>#DIV/0!</v>
      </c>
      <c r="N81" s="144">
        <f t="shared" si="236"/>
        <v>33.988212180746565</v>
      </c>
      <c r="O81" s="144">
        <f t="shared" si="236"/>
        <v>56.188605108055015</v>
      </c>
      <c r="P81" s="144">
        <f t="shared" si="236"/>
        <v>58.546168958742633</v>
      </c>
      <c r="Q81" s="144">
        <f t="shared" ref="Q81" si="237">Q40/Q42</f>
        <v>30.058939096267192</v>
      </c>
      <c r="R81" s="118">
        <f>((P81/G81)^(1/($H$2-$H$1) ))-1</f>
        <v>6.0181605422779505E-2</v>
      </c>
      <c r="S81" s="128"/>
      <c r="T81" s="144">
        <f t="shared" ref="T81:AC81" si="238">T40/T42</f>
        <v>52.390307793058284</v>
      </c>
      <c r="U81" s="144">
        <f t="shared" si="238"/>
        <v>57.379860916206695</v>
      </c>
      <c r="V81" s="144">
        <f t="shared" si="238"/>
        <v>62.844609574893042</v>
      </c>
      <c r="W81" s="144">
        <f t="shared" si="238"/>
        <v>68.829810486787608</v>
      </c>
      <c r="X81" s="144">
        <f t="shared" si="238"/>
        <v>75.385030533148324</v>
      </c>
      <c r="Y81" s="144">
        <f t="shared" si="238"/>
        <v>82.564557250591022</v>
      </c>
      <c r="Z81" s="144">
        <f t="shared" si="238"/>
        <v>90.427848417313967</v>
      </c>
      <c r="AA81" s="144">
        <f t="shared" si="238"/>
        <v>99.040024457058138</v>
      </c>
      <c r="AB81" s="144">
        <f t="shared" si="238"/>
        <v>108.47240773868272</v>
      </c>
      <c r="AC81" s="144">
        <f t="shared" si="238"/>
        <v>118.80311323760488</v>
      </c>
      <c r="AD81" s="138">
        <f t="shared" si="235"/>
        <v>6.3622672071694586E-2</v>
      </c>
      <c r="AE81" s="31">
        <f t="shared" si="15"/>
        <v>0.05</v>
      </c>
      <c r="AF81" s="146">
        <f t="shared" si="168"/>
        <v>1247.4326889948513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-0.6</v>
      </c>
      <c r="H82" s="144" t="e">
        <f t="shared" si="239"/>
        <v>#DIV/0!</v>
      </c>
      <c r="I82" s="144" t="e">
        <f t="shared" si="239"/>
        <v>#DIV/0!</v>
      </c>
      <c r="J82" s="144">
        <f t="shared" si="239"/>
        <v>50.6</v>
      </c>
      <c r="K82" s="144" t="e">
        <f t="shared" si="239"/>
        <v>#DIV/0!</v>
      </c>
      <c r="L82" s="144" t="e">
        <f t="shared" si="239"/>
        <v>#DIV/0!</v>
      </c>
      <c r="M82" s="144" t="e">
        <f t="shared" si="239"/>
        <v>#DIV/0!</v>
      </c>
      <c r="N82" s="144">
        <f t="shared" si="239"/>
        <v>156.18860510805501</v>
      </c>
      <c r="O82" s="144">
        <f t="shared" si="239"/>
        <v>185.85461689587427</v>
      </c>
      <c r="P82" s="144">
        <f t="shared" si="239"/>
        <v>217.09233791748528</v>
      </c>
      <c r="Q82" s="144">
        <f t="shared" ref="Q82" si="240">Q6/Q42</f>
        <v>214.93123772102163</v>
      </c>
      <c r="R82" s="118">
        <f>((P82/G82)^(1/($H$2-$H$1) ))-1</f>
        <v>-2.9243188197366266</v>
      </c>
      <c r="S82" s="128"/>
      <c r="T82" s="144">
        <f t="shared" ref="T82:AC82" si="241">T6/T42</f>
        <v>235.40087940873795</v>
      </c>
      <c r="U82" s="144">
        <f t="shared" si="241"/>
        <v>257.8200107809987</v>
      </c>
      <c r="V82" s="144">
        <f t="shared" si="241"/>
        <v>282.37429752204616</v>
      </c>
      <c r="W82" s="144">
        <f t="shared" si="241"/>
        <v>309.26708776224098</v>
      </c>
      <c r="X82" s="144">
        <f t="shared" si="241"/>
        <v>338.72109612054959</v>
      </c>
      <c r="Y82" s="144">
        <f t="shared" si="241"/>
        <v>370.98024813203051</v>
      </c>
      <c r="Z82" s="144">
        <f t="shared" si="241"/>
        <v>406.31170033508101</v>
      </c>
      <c r="AA82" s="144">
        <f t="shared" si="241"/>
        <v>445.00805274794578</v>
      </c>
      <c r="AB82" s="144">
        <f t="shared" si="241"/>
        <v>487.38977205727389</v>
      </c>
      <c r="AC82" s="144">
        <f t="shared" si="241"/>
        <v>533.80784558653806</v>
      </c>
      <c r="AD82" s="138" t="e">
        <f t="shared" si="235"/>
        <v>#NUM!</v>
      </c>
      <c r="AE82" s="31">
        <f t="shared" ref="AE82" si="242">$L$1</f>
        <v>0.05</v>
      </c>
      <c r="AF82" s="146">
        <f t="shared" si="168"/>
        <v>5604.9823786586503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1.1636363636363636</v>
      </c>
      <c r="H86" s="152" t="e">
        <f t="shared" si="243"/>
        <v>#DIV/0!</v>
      </c>
      <c r="I86" s="152" t="e">
        <f t="shared" si="243"/>
        <v>#DIV/0!</v>
      </c>
      <c r="J86" s="152">
        <f t="shared" si="243"/>
        <v>1.1636363636363636</v>
      </c>
      <c r="K86" s="152">
        <f t="shared" si="243"/>
        <v>0</v>
      </c>
      <c r="L86" s="152">
        <f t="shared" si="243"/>
        <v>0</v>
      </c>
      <c r="M86" s="152">
        <f t="shared" si="243"/>
        <v>0</v>
      </c>
      <c r="N86" s="152">
        <f t="shared" si="243"/>
        <v>0.52173913043478259</v>
      </c>
      <c r="O86" s="152">
        <f t="shared" si="243"/>
        <v>0.63688212927756649</v>
      </c>
      <c r="P86" s="152">
        <f t="shared" si="243"/>
        <v>0.60420650095602291</v>
      </c>
      <c r="Q86" s="152">
        <f t="shared" ref="Q86" si="244">Q36/Q25</f>
        <v>0.2528473804100228</v>
      </c>
      <c r="R86" s="118">
        <f t="shared" ref="R86:R138" si="245">((P86/G86)^(1/($H$2-$H$1) ))-1</f>
        <v>-7.0232771884102485E-2</v>
      </c>
      <c r="S86" s="152"/>
      <c r="T86" s="152">
        <f t="shared" ref="T86:AC86" si="246">T36/T25</f>
        <v>0.24548076923076922</v>
      </c>
      <c r="U86" s="152">
        <f t="shared" si="246"/>
        <v>0.2454807692307692</v>
      </c>
      <c r="V86" s="152">
        <f t="shared" si="246"/>
        <v>0.24548076923076922</v>
      </c>
      <c r="W86" s="152">
        <f t="shared" si="246"/>
        <v>0.24548076923076922</v>
      </c>
      <c r="X86" s="152">
        <f t="shared" si="246"/>
        <v>0.24548076923076922</v>
      </c>
      <c r="Y86" s="152">
        <f t="shared" si="246"/>
        <v>0.2454807692307692</v>
      </c>
      <c r="Z86" s="152">
        <f t="shared" si="246"/>
        <v>0.24548076923076922</v>
      </c>
      <c r="AA86" s="152">
        <f t="shared" si="246"/>
        <v>0.24548076923076922</v>
      </c>
      <c r="AB86" s="152">
        <f t="shared" si="246"/>
        <v>0.24548076923076922</v>
      </c>
      <c r="AC86" s="152">
        <f t="shared" si="246"/>
        <v>0.24548076923076922</v>
      </c>
      <c r="AD86" s="138">
        <f t="shared" ref="AD86:AD125" si="247">((AC86/G86)^(1/($AC$3-$H$1) ))-1</f>
        <v>-7.4854566386978627E-2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1.0484848484848486</v>
      </c>
      <c r="H87" s="152" t="e">
        <f t="shared" si="248"/>
        <v>#DIV/0!</v>
      </c>
      <c r="I87" s="152" t="e">
        <f t="shared" si="248"/>
        <v>#DIV/0!</v>
      </c>
      <c r="J87" s="152">
        <f t="shared" si="248"/>
        <v>1.0484848484848486</v>
      </c>
      <c r="K87" s="152">
        <f t="shared" si="248"/>
        <v>0</v>
      </c>
      <c r="L87" s="152">
        <f t="shared" si="248"/>
        <v>0</v>
      </c>
      <c r="M87" s="152">
        <f t="shared" si="248"/>
        <v>0</v>
      </c>
      <c r="N87" s="152">
        <f t="shared" si="248"/>
        <v>0.47010869565217389</v>
      </c>
      <c r="O87" s="152">
        <f t="shared" si="248"/>
        <v>0.54372623574144485</v>
      </c>
      <c r="P87" s="152">
        <f t="shared" si="248"/>
        <v>0.5697896749521989</v>
      </c>
      <c r="Q87" s="152">
        <f t="shared" ref="Q87" si="249">Q40/Q25</f>
        <v>0.34851936218678814</v>
      </c>
      <c r="R87" s="118">
        <f t="shared" si="245"/>
        <v>-6.5514664202029782E-2</v>
      </c>
      <c r="S87" s="152"/>
      <c r="T87" s="152">
        <f t="shared" ref="T87:AC87" si="250">T40/T25</f>
        <v>0.53846153846153844</v>
      </c>
      <c r="U87" s="152">
        <f t="shared" si="250"/>
        <v>0.53846153846153844</v>
      </c>
      <c r="V87" s="152">
        <f t="shared" si="250"/>
        <v>0.53846153846153844</v>
      </c>
      <c r="W87" s="152">
        <f t="shared" si="250"/>
        <v>0.53846153846153844</v>
      </c>
      <c r="X87" s="152">
        <f t="shared" si="250"/>
        <v>0.53846153846153844</v>
      </c>
      <c r="Y87" s="152">
        <f t="shared" si="250"/>
        <v>0.53846153846153844</v>
      </c>
      <c r="Z87" s="152">
        <f t="shared" si="250"/>
        <v>0.53846153846153844</v>
      </c>
      <c r="AA87" s="152">
        <f t="shared" si="250"/>
        <v>0.53846153846153855</v>
      </c>
      <c r="AB87" s="152">
        <f t="shared" si="250"/>
        <v>0.53846153846153855</v>
      </c>
      <c r="AC87" s="152">
        <f t="shared" si="250"/>
        <v>0.53846153846153855</v>
      </c>
      <c r="AD87" s="138">
        <f t="shared" si="247"/>
        <v>-3.2770293706420484E-2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14.416666666666666</v>
      </c>
      <c r="H88" s="152" t="e">
        <f t="shared" si="251"/>
        <v>#DIV/0!</v>
      </c>
      <c r="I88" s="152" t="e">
        <f t="shared" si="251"/>
        <v>#DIV/0!</v>
      </c>
      <c r="J88" s="152" t="e">
        <f t="shared" si="251"/>
        <v>#DIV/0!</v>
      </c>
      <c r="K88" s="152" t="e">
        <f t="shared" si="251"/>
        <v>#DIV/0!</v>
      </c>
      <c r="L88" s="152" t="e">
        <f t="shared" si="251"/>
        <v>#DIV/0!</v>
      </c>
      <c r="M88" s="152" t="e">
        <f t="shared" si="251"/>
        <v>#DIV/0!</v>
      </c>
      <c r="N88" s="152">
        <f t="shared" si="251"/>
        <v>0.20473372781065088</v>
      </c>
      <c r="O88" s="152">
        <f t="shared" si="251"/>
        <v>0.28686058174523571</v>
      </c>
      <c r="P88" s="152">
        <f t="shared" ref="P88:Q88" si="252">P40/P7</f>
        <v>0.25778546712802769</v>
      </c>
      <c r="Q88" s="152">
        <f t="shared" si="252"/>
        <v>0.13362445414847163</v>
      </c>
      <c r="R88" s="118">
        <f t="shared" si="245"/>
        <v>-0.36052803689631352</v>
      </c>
      <c r="S88" s="20"/>
      <c r="T88" s="152">
        <f t="shared" ref="T88" si="253">T40/T7</f>
        <v>0.21264476931839757</v>
      </c>
      <c r="U88" s="152">
        <f t="shared" ref="U88:AC88" si="254">U40/U7</f>
        <v>0.2126447693183976</v>
      </c>
      <c r="V88" s="152">
        <f t="shared" si="254"/>
        <v>0.2126447693183976</v>
      </c>
      <c r="W88" s="152">
        <f t="shared" si="254"/>
        <v>0.2126447693183976</v>
      </c>
      <c r="X88" s="152">
        <f t="shared" si="254"/>
        <v>0.21264476931839763</v>
      </c>
      <c r="Y88" s="152">
        <f t="shared" si="254"/>
        <v>0.21264476931839763</v>
      </c>
      <c r="Z88" s="152">
        <f t="shared" si="254"/>
        <v>0.21264476931839763</v>
      </c>
      <c r="AA88" s="152">
        <f t="shared" si="254"/>
        <v>0.21264476931839763</v>
      </c>
      <c r="AB88" s="152">
        <f t="shared" si="254"/>
        <v>0.21264476931839763</v>
      </c>
      <c r="AC88" s="152">
        <f t="shared" si="254"/>
        <v>0.21264476931839765</v>
      </c>
      <c r="AD88" s="138">
        <f t="shared" si="247"/>
        <v>-0.19008490678002388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14.416666666666666</v>
      </c>
      <c r="H89" s="152" t="e">
        <f t="shared" ref="H89:O89" si="256">(H40)/(H7+H10)</f>
        <v>#DIV/0!</v>
      </c>
      <c r="I89" s="152" t="e">
        <f t="shared" si="256"/>
        <v>#DIV/0!</v>
      </c>
      <c r="J89" s="152" t="e">
        <f t="shared" si="256"/>
        <v>#DIV/0!</v>
      </c>
      <c r="K89" s="152" t="e">
        <f t="shared" si="256"/>
        <v>#DIV/0!</v>
      </c>
      <c r="L89" s="152" t="e">
        <f t="shared" si="256"/>
        <v>#DIV/0!</v>
      </c>
      <c r="M89" s="152" t="e">
        <f t="shared" si="256"/>
        <v>#DIV/0!</v>
      </c>
      <c r="N89" s="152">
        <f t="shared" si="256"/>
        <v>0.20473372781065088</v>
      </c>
      <c r="O89" s="152">
        <f t="shared" si="256"/>
        <v>0.28686058174523571</v>
      </c>
      <c r="P89" s="152">
        <f t="shared" ref="P89:Q89" si="257">(P40)/(P7+P10)</f>
        <v>0.25778546712802769</v>
      </c>
      <c r="Q89" s="152">
        <f t="shared" si="257"/>
        <v>0.13362445414847163</v>
      </c>
      <c r="R89" s="118">
        <f t="shared" si="245"/>
        <v>-0.36052803689631352</v>
      </c>
      <c r="S89" s="20"/>
      <c r="T89" s="152">
        <f t="shared" ref="T89:AC89" si="258">(T40)/(T7+T10)</f>
        <v>0.21264476931839757</v>
      </c>
      <c r="U89" s="152">
        <f t="shared" si="258"/>
        <v>0.2126447693183976</v>
      </c>
      <c r="V89" s="152">
        <f t="shared" si="258"/>
        <v>0.2126447693183976</v>
      </c>
      <c r="W89" s="152">
        <f t="shared" si="258"/>
        <v>0.2126447693183976</v>
      </c>
      <c r="X89" s="152">
        <f t="shared" si="258"/>
        <v>0.21264476931839763</v>
      </c>
      <c r="Y89" s="152">
        <f t="shared" si="258"/>
        <v>0.21264476931839763</v>
      </c>
      <c r="Z89" s="152">
        <f t="shared" si="258"/>
        <v>0.21264476931839763</v>
      </c>
      <c r="AA89" s="152">
        <f t="shared" si="258"/>
        <v>0.21264476931839763</v>
      </c>
      <c r="AB89" s="152">
        <f t="shared" si="258"/>
        <v>0.21264476931839763</v>
      </c>
      <c r="AC89" s="152">
        <f t="shared" si="258"/>
        <v>0.21264476931839765</v>
      </c>
      <c r="AD89" s="138">
        <f t="shared" si="247"/>
        <v>-0.19008490678002388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1.2121212121212121E-2</v>
      </c>
      <c r="H90" s="152" t="e">
        <f t="shared" ref="H90:P90" si="259">H20/H25</f>
        <v>#DIV/0!</v>
      </c>
      <c r="I90" s="152" t="e">
        <f t="shared" si="259"/>
        <v>#DIV/0!</v>
      </c>
      <c r="J90" s="152">
        <f t="shared" si="259"/>
        <v>0</v>
      </c>
      <c r="K90" s="152">
        <f t="shared" si="259"/>
        <v>0</v>
      </c>
      <c r="L90" s="152">
        <f t="shared" si="259"/>
        <v>0</v>
      </c>
      <c r="M90" s="152">
        <f t="shared" si="259"/>
        <v>0</v>
      </c>
      <c r="N90" s="152">
        <f t="shared" si="259"/>
        <v>0.73369565217391308</v>
      </c>
      <c r="O90" s="152">
        <f t="shared" si="259"/>
        <v>0.66730038022813687</v>
      </c>
      <c r="P90" s="152">
        <f t="shared" si="259"/>
        <v>0.10133843212237094</v>
      </c>
      <c r="Q90" s="152">
        <f t="shared" ref="Q90" si="260">Q20/Q25</f>
        <v>0.12072892938496584</v>
      </c>
      <c r="R90" s="118">
        <f t="shared" si="245"/>
        <v>0.26610519902962926</v>
      </c>
      <c r="S90" s="20"/>
      <c r="T90" s="152">
        <f t="shared" ref="T90:AC90" si="261">T20/T25</f>
        <v>0.11721153846153845</v>
      </c>
      <c r="U90" s="152">
        <f t="shared" si="261"/>
        <v>0.11721153846153844</v>
      </c>
      <c r="V90" s="152">
        <f t="shared" si="261"/>
        <v>0.11721153846153845</v>
      </c>
      <c r="W90" s="152">
        <f t="shared" si="261"/>
        <v>0.11721153846153845</v>
      </c>
      <c r="X90" s="152">
        <f t="shared" si="261"/>
        <v>0.11721153846153845</v>
      </c>
      <c r="Y90" s="152">
        <f t="shared" si="261"/>
        <v>0.11721153846153842</v>
      </c>
      <c r="Z90" s="152">
        <f t="shared" si="261"/>
        <v>0.11721153846153844</v>
      </c>
      <c r="AA90" s="152">
        <f t="shared" si="261"/>
        <v>0.11721153846153844</v>
      </c>
      <c r="AB90" s="152">
        <f t="shared" si="261"/>
        <v>0.11721153846153842</v>
      </c>
      <c r="AC90" s="152">
        <f t="shared" si="261"/>
        <v>0.11721153846153842</v>
      </c>
      <c r="AD90" s="138">
        <f t="shared" si="247"/>
        <v>0.12013718776824889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0.43636363636363634</v>
      </c>
      <c r="H91" s="152" t="e">
        <f t="shared" ref="H91:P91" si="262">H52/H25</f>
        <v>#DIV/0!</v>
      </c>
      <c r="I91" s="152" t="e">
        <f t="shared" si="262"/>
        <v>#DIV/0!</v>
      </c>
      <c r="J91" s="152">
        <f t="shared" si="262"/>
        <v>0.43636363636363634</v>
      </c>
      <c r="K91" s="152">
        <f t="shared" si="262"/>
        <v>0</v>
      </c>
      <c r="L91" s="152">
        <f t="shared" si="262"/>
        <v>0</v>
      </c>
      <c r="M91" s="152">
        <f t="shared" si="262"/>
        <v>0</v>
      </c>
      <c r="N91" s="152">
        <f t="shared" si="262"/>
        <v>0.19565217391304349</v>
      </c>
      <c r="O91" s="152">
        <f t="shared" si="262"/>
        <v>0.20912547528517111</v>
      </c>
      <c r="P91" s="152">
        <f t="shared" si="262"/>
        <v>0.20650095602294455</v>
      </c>
      <c r="Q91" s="152">
        <f t="shared" ref="Q91" si="263">Q52/Q25</f>
        <v>0.12984054669703873</v>
      </c>
      <c r="R91" s="118">
        <f t="shared" si="245"/>
        <v>-7.9768580840811287E-2</v>
      </c>
      <c r="S91" s="20"/>
      <c r="T91" s="152">
        <f t="shared" ref="T91:AC91" si="264">T52/T25</f>
        <v>-7.4038461538461595E-2</v>
      </c>
      <c r="U91" s="152">
        <f t="shared" si="264"/>
        <v>-7.4038461538461595E-2</v>
      </c>
      <c r="V91" s="152">
        <f t="shared" si="264"/>
        <v>-7.4038461538461539E-2</v>
      </c>
      <c r="W91" s="152">
        <f t="shared" si="264"/>
        <v>-7.4038461538461511E-2</v>
      </c>
      <c r="X91" s="152">
        <f t="shared" si="264"/>
        <v>-7.4038461538461497E-2</v>
      </c>
      <c r="Y91" s="152">
        <f t="shared" si="264"/>
        <v>-7.4038461538461525E-2</v>
      </c>
      <c r="Z91" s="152">
        <f t="shared" si="264"/>
        <v>-7.4038461538461511E-2</v>
      </c>
      <c r="AA91" s="152">
        <f t="shared" si="264"/>
        <v>-7.4038461538461525E-2</v>
      </c>
      <c r="AB91" s="152">
        <f t="shared" si="264"/>
        <v>-7.4038461538461525E-2</v>
      </c>
      <c r="AC91" s="152">
        <f t="shared" si="264"/>
        <v>-7.4038461538461553E-2</v>
      </c>
      <c r="AD91" s="138" t="e">
        <f t="shared" si="247"/>
        <v>#NUM!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0</v>
      </c>
      <c r="H93" s="152" t="e">
        <f t="shared" ref="H93:P93" si="265">H29/H25</f>
        <v>#DIV/0!</v>
      </c>
      <c r="I93" s="152" t="e">
        <f t="shared" si="265"/>
        <v>#DIV/0!</v>
      </c>
      <c r="J93" s="152">
        <f t="shared" si="265"/>
        <v>0</v>
      </c>
      <c r="K93" s="152">
        <f t="shared" si="265"/>
        <v>0</v>
      </c>
      <c r="L93" s="152">
        <f t="shared" si="265"/>
        <v>0</v>
      </c>
      <c r="M93" s="152">
        <f t="shared" si="265"/>
        <v>0</v>
      </c>
      <c r="N93" s="152">
        <f t="shared" si="265"/>
        <v>0</v>
      </c>
      <c r="O93" s="152">
        <f t="shared" si="265"/>
        <v>0</v>
      </c>
      <c r="P93" s="152">
        <f t="shared" si="265"/>
        <v>0</v>
      </c>
      <c r="Q93" s="152">
        <f t="shared" ref="Q93" si="266">Q29/Q25</f>
        <v>0.24145785876993167</v>
      </c>
      <c r="R93" s="118" t="e">
        <f t="shared" si="245"/>
        <v>#DIV/0!</v>
      </c>
      <c r="S93" s="20"/>
      <c r="T93" s="152">
        <f t="shared" ref="T93:AC93" si="267">T29/T25</f>
        <v>0.2344230769230769</v>
      </c>
      <c r="U93" s="152">
        <f t="shared" si="267"/>
        <v>0.23442307692307687</v>
      </c>
      <c r="V93" s="152">
        <f t="shared" si="267"/>
        <v>0.2344230769230769</v>
      </c>
      <c r="W93" s="152">
        <f t="shared" si="267"/>
        <v>0.2344230769230769</v>
      </c>
      <c r="X93" s="152">
        <f t="shared" si="267"/>
        <v>0.2344230769230769</v>
      </c>
      <c r="Y93" s="152">
        <f t="shared" si="267"/>
        <v>0.23442307692307685</v>
      </c>
      <c r="Z93" s="152">
        <f t="shared" si="267"/>
        <v>0.23442307692307687</v>
      </c>
      <c r="AA93" s="152">
        <f t="shared" si="267"/>
        <v>0.23442307692307687</v>
      </c>
      <c r="AB93" s="152">
        <f t="shared" si="267"/>
        <v>0.23442307692307685</v>
      </c>
      <c r="AC93" s="152">
        <f t="shared" si="267"/>
        <v>0.23442307692307685</v>
      </c>
      <c r="AD93" s="138" t="e">
        <f t="shared" si="247"/>
        <v>#DIV/0!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</v>
      </c>
      <c r="H94" s="152" t="e">
        <f t="shared" ref="H94:P94" si="268">H29/H36</f>
        <v>#DIV/0!</v>
      </c>
      <c r="I94" s="152" t="e">
        <f t="shared" si="268"/>
        <v>#DIV/0!</v>
      </c>
      <c r="J94" s="152">
        <f t="shared" si="268"/>
        <v>0</v>
      </c>
      <c r="K94" s="152" t="e">
        <f t="shared" si="268"/>
        <v>#DIV/0!</v>
      </c>
      <c r="L94" s="152" t="e">
        <f t="shared" si="268"/>
        <v>#DIV/0!</v>
      </c>
      <c r="M94" s="152" t="e">
        <f t="shared" si="268"/>
        <v>#DIV/0!</v>
      </c>
      <c r="N94" s="152">
        <f t="shared" si="268"/>
        <v>0</v>
      </c>
      <c r="O94" s="152">
        <f t="shared" si="268"/>
        <v>0</v>
      </c>
      <c r="P94" s="152">
        <f t="shared" si="268"/>
        <v>0</v>
      </c>
      <c r="Q94" s="152">
        <f t="shared" ref="Q94" si="269">Q29/Q36</f>
        <v>0.95495495495495497</v>
      </c>
      <c r="R94" s="118" t="e">
        <f t="shared" ref="R94" si="270">((P94/G94)^(1/($H$2-$H$1) ))-1</f>
        <v>#DIV/0!</v>
      </c>
      <c r="S94" s="20"/>
      <c r="T94" s="152">
        <f t="shared" ref="T94:AC94" si="271">T29/T36</f>
        <v>0.95495495495495497</v>
      </c>
      <c r="U94" s="152">
        <f t="shared" si="271"/>
        <v>0.95495495495495486</v>
      </c>
      <c r="V94" s="152">
        <f t="shared" si="271"/>
        <v>0.95495495495495497</v>
      </c>
      <c r="W94" s="152">
        <f t="shared" si="271"/>
        <v>0.95495495495495486</v>
      </c>
      <c r="X94" s="152">
        <f t="shared" si="271"/>
        <v>0.95495495495495486</v>
      </c>
      <c r="Y94" s="152">
        <f t="shared" si="271"/>
        <v>0.95495495495495486</v>
      </c>
      <c r="Z94" s="152">
        <f t="shared" si="271"/>
        <v>0.95495495495495475</v>
      </c>
      <c r="AA94" s="152">
        <f t="shared" si="271"/>
        <v>0.95495495495495475</v>
      </c>
      <c r="AB94" s="152">
        <f t="shared" si="271"/>
        <v>0.95495495495495475</v>
      </c>
      <c r="AC94" s="152">
        <f t="shared" si="271"/>
        <v>0.95495495495495475</v>
      </c>
      <c r="AD94" s="138" t="e">
        <f t="shared" ref="AD94" si="272">((AC94/G94)^(1/($AC$3-$H$1) ))-1</f>
        <v>#DIV/0!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3">G29/G40</f>
        <v>0</v>
      </c>
      <c r="H95" s="171" t="e">
        <f t="shared" si="273"/>
        <v>#DIV/0!</v>
      </c>
      <c r="I95" s="171" t="e">
        <f t="shared" si="273"/>
        <v>#DIV/0!</v>
      </c>
      <c r="J95" s="171">
        <f t="shared" si="273"/>
        <v>0</v>
      </c>
      <c r="K95" s="171" t="e">
        <f t="shared" si="273"/>
        <v>#DIV/0!</v>
      </c>
      <c r="L95" s="171" t="e">
        <f t="shared" si="273"/>
        <v>#DIV/0!</v>
      </c>
      <c r="M95" s="171" t="e">
        <f t="shared" si="273"/>
        <v>#DIV/0!</v>
      </c>
      <c r="N95" s="171">
        <f t="shared" si="273"/>
        <v>0</v>
      </c>
      <c r="O95" s="171">
        <f t="shared" si="273"/>
        <v>0</v>
      </c>
      <c r="P95" s="171">
        <f t="shared" si="273"/>
        <v>0</v>
      </c>
      <c r="Q95" s="171">
        <f t="shared" ref="Q95" si="274">Q29/Q40</f>
        <v>0.69281045751633985</v>
      </c>
      <c r="R95" s="118" t="e">
        <f t="shared" ref="R95" si="275">((P95/G95)^(1/($H$2-$H$1) ))-1</f>
        <v>#DIV/0!</v>
      </c>
      <c r="S95" s="20"/>
      <c r="T95" s="171">
        <f t="shared" ref="T95:AC95" si="276">T29/T40</f>
        <v>0.43535714285714283</v>
      </c>
      <c r="U95" s="171">
        <f t="shared" si="276"/>
        <v>0.43535714285714278</v>
      </c>
      <c r="V95" s="171">
        <f t="shared" si="276"/>
        <v>0.43535714285714283</v>
      </c>
      <c r="W95" s="171">
        <f t="shared" si="276"/>
        <v>0.43535714285714283</v>
      </c>
      <c r="X95" s="171">
        <f t="shared" si="276"/>
        <v>0.43535714285714278</v>
      </c>
      <c r="Y95" s="171">
        <f t="shared" si="276"/>
        <v>0.43535714285714272</v>
      </c>
      <c r="Z95" s="171">
        <f t="shared" si="276"/>
        <v>0.43535714285714278</v>
      </c>
      <c r="AA95" s="171">
        <f t="shared" si="276"/>
        <v>0.43535714285714272</v>
      </c>
      <c r="AB95" s="171">
        <f t="shared" si="276"/>
        <v>0.43535714285714272</v>
      </c>
      <c r="AC95" s="171">
        <f t="shared" si="276"/>
        <v>0.43535714285714266</v>
      </c>
      <c r="AD95" s="138" t="e">
        <f t="shared" ref="AD95" si="277">((AC95/G95)^(1/($AC$3-$H$1) ))-1</f>
        <v>#DIV/0!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 t="e">
        <f t="shared" ref="G96:P96" si="278">G29/G12</f>
        <v>#DIV/0!</v>
      </c>
      <c r="H96" s="171" t="e">
        <f t="shared" si="278"/>
        <v>#DIV/0!</v>
      </c>
      <c r="I96" s="171" t="e">
        <f t="shared" si="278"/>
        <v>#DIV/0!</v>
      </c>
      <c r="J96" s="171" t="e">
        <f t="shared" si="278"/>
        <v>#DIV/0!</v>
      </c>
      <c r="K96" s="171" t="e">
        <f t="shared" si="278"/>
        <v>#DIV/0!</v>
      </c>
      <c r="L96" s="171" t="e">
        <f t="shared" si="278"/>
        <v>#DIV/0!</v>
      </c>
      <c r="M96" s="171" t="e">
        <f t="shared" si="278"/>
        <v>#DIV/0!</v>
      </c>
      <c r="N96" s="171">
        <f t="shared" si="278"/>
        <v>0</v>
      </c>
      <c r="O96" s="171">
        <f t="shared" si="278"/>
        <v>0</v>
      </c>
      <c r="P96" s="171">
        <f t="shared" si="278"/>
        <v>0</v>
      </c>
      <c r="Q96" s="171">
        <f t="shared" ref="Q96" si="279">Q29/Q12</f>
        <v>0.30547550432276654</v>
      </c>
      <c r="R96" s="118" t="e">
        <f t="shared" si="245"/>
        <v>#DIV/0!</v>
      </c>
      <c r="S96" s="20"/>
      <c r="T96" s="152">
        <f t="shared" ref="T96:AC96" si="280">T29/T12</f>
        <v>0.3054755043227666</v>
      </c>
      <c r="U96" s="152">
        <f t="shared" si="280"/>
        <v>0.30547550432276654</v>
      </c>
      <c r="V96" s="152">
        <f t="shared" si="280"/>
        <v>0.3054755043227666</v>
      </c>
      <c r="W96" s="152">
        <f t="shared" si="280"/>
        <v>0.3054755043227666</v>
      </c>
      <c r="X96" s="152">
        <f t="shared" si="280"/>
        <v>0.30547550432276654</v>
      </c>
      <c r="Y96" s="152">
        <f t="shared" si="280"/>
        <v>0.30547550432276654</v>
      </c>
      <c r="Z96" s="152">
        <f t="shared" si="280"/>
        <v>0.30547550432276654</v>
      </c>
      <c r="AA96" s="152">
        <f t="shared" si="280"/>
        <v>0.3054755043227666</v>
      </c>
      <c r="AB96" s="152">
        <f t="shared" si="280"/>
        <v>0.3054755043227666</v>
      </c>
      <c r="AC96" s="152">
        <f t="shared" si="280"/>
        <v>0.3054755043227666</v>
      </c>
      <c r="AD96" s="138" t="e">
        <f t="shared" si="247"/>
        <v>#DIV/0!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0</v>
      </c>
      <c r="H97" s="171" t="e">
        <f t="shared" ref="H97:P97" si="281">H29/H23</f>
        <v>#DIV/0!</v>
      </c>
      <c r="I97" s="171" t="e">
        <f t="shared" si="281"/>
        <v>#DIV/0!</v>
      </c>
      <c r="J97" s="171" t="e">
        <f t="shared" si="281"/>
        <v>#DIV/0!</v>
      </c>
      <c r="K97" s="171" t="e">
        <f t="shared" si="281"/>
        <v>#DIV/0!</v>
      </c>
      <c r="L97" s="171" t="e">
        <f t="shared" si="281"/>
        <v>#DIV/0!</v>
      </c>
      <c r="M97" s="171" t="e">
        <f t="shared" si="281"/>
        <v>#DIV/0!</v>
      </c>
      <c r="N97" s="171">
        <f t="shared" si="281"/>
        <v>0</v>
      </c>
      <c r="O97" s="171">
        <f t="shared" si="281"/>
        <v>0</v>
      </c>
      <c r="P97" s="171">
        <f t="shared" si="281"/>
        <v>0</v>
      </c>
      <c r="Q97" s="171">
        <f t="shared" ref="Q97" si="282">Q29/Q23</f>
        <v>1.4133333333333333</v>
      </c>
      <c r="R97" s="118" t="e">
        <f t="shared" ref="R97" si="283">((P97/G97)^(1/($H$2-$H$1) ))-1</f>
        <v>#DIV/0!</v>
      </c>
      <c r="S97" s="20"/>
      <c r="T97" s="171">
        <f t="shared" ref="T97:AC97" si="284">T29/T23</f>
        <v>1.4133333333333333</v>
      </c>
      <c r="U97" s="171">
        <f t="shared" si="284"/>
        <v>1.4133333333333333</v>
      </c>
      <c r="V97" s="171">
        <f t="shared" si="284"/>
        <v>1.4133333333333336</v>
      </c>
      <c r="W97" s="171">
        <f t="shared" si="284"/>
        <v>1.4133333333333333</v>
      </c>
      <c r="X97" s="171">
        <f t="shared" si="284"/>
        <v>1.4133333333333331</v>
      </c>
      <c r="Y97" s="171">
        <f t="shared" si="284"/>
        <v>1.4133333333333331</v>
      </c>
      <c r="Z97" s="171">
        <f t="shared" si="284"/>
        <v>1.4133333333333331</v>
      </c>
      <c r="AA97" s="171">
        <f t="shared" si="284"/>
        <v>1.4133333333333331</v>
      </c>
      <c r="AB97" s="171">
        <f t="shared" si="284"/>
        <v>1.4133333333333331</v>
      </c>
      <c r="AC97" s="171">
        <f t="shared" si="284"/>
        <v>1.4133333333333331</v>
      </c>
      <c r="AD97" s="138" t="e">
        <f t="shared" ref="AD97" si="285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 t="e">
        <f>1/G93</f>
        <v>#DIV/0!</v>
      </c>
      <c r="H99" s="127" t="e">
        <f t="shared" ref="H99:P99" si="286">1/H93</f>
        <v>#DIV/0!</v>
      </c>
      <c r="I99" s="127" t="e">
        <f t="shared" si="286"/>
        <v>#DIV/0!</v>
      </c>
      <c r="J99" s="127" t="e">
        <f t="shared" si="286"/>
        <v>#DIV/0!</v>
      </c>
      <c r="K99" s="127" t="e">
        <f t="shared" si="286"/>
        <v>#DIV/0!</v>
      </c>
      <c r="L99" s="127" t="e">
        <f t="shared" si="286"/>
        <v>#DIV/0!</v>
      </c>
      <c r="M99" s="127" t="e">
        <f t="shared" si="286"/>
        <v>#DIV/0!</v>
      </c>
      <c r="N99" s="127" t="e">
        <f t="shared" si="286"/>
        <v>#DIV/0!</v>
      </c>
      <c r="O99" s="127" t="e">
        <f t="shared" si="286"/>
        <v>#DIV/0!</v>
      </c>
      <c r="P99" s="127" t="e">
        <f t="shared" si="286"/>
        <v>#DIV/0!</v>
      </c>
      <c r="Q99" s="127">
        <f t="shared" ref="Q99" si="287">1/Q93</f>
        <v>4.1415094339622636</v>
      </c>
      <c r="R99" s="118" t="e">
        <f t="shared" si="245"/>
        <v>#DIV/0!</v>
      </c>
      <c r="S99" s="20"/>
      <c r="T99" s="127">
        <f t="shared" ref="T99:AC99" si="288">1/T93</f>
        <v>4.2657916324856444</v>
      </c>
      <c r="U99" s="127">
        <f t="shared" si="288"/>
        <v>4.2657916324856453</v>
      </c>
      <c r="V99" s="127">
        <f t="shared" si="288"/>
        <v>4.2657916324856444</v>
      </c>
      <c r="W99" s="127">
        <f t="shared" si="288"/>
        <v>4.2657916324856444</v>
      </c>
      <c r="X99" s="127">
        <f t="shared" si="288"/>
        <v>4.2657916324856444</v>
      </c>
      <c r="Y99" s="127">
        <f t="shared" si="288"/>
        <v>4.2657916324856453</v>
      </c>
      <c r="Z99" s="127">
        <f t="shared" si="288"/>
        <v>4.2657916324856453</v>
      </c>
      <c r="AA99" s="127">
        <f t="shared" si="288"/>
        <v>4.2657916324856453</v>
      </c>
      <c r="AB99" s="127">
        <f t="shared" si="288"/>
        <v>4.2657916324856453</v>
      </c>
      <c r="AC99" s="127">
        <f t="shared" si="288"/>
        <v>4.2657916324856453</v>
      </c>
      <c r="AD99" s="138" t="e">
        <f t="shared" si="247"/>
        <v>#DIV/0!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 t="e">
        <f t="shared" ref="G100:P103" si="289">1/G94</f>
        <v>#DIV/0!</v>
      </c>
      <c r="H100" s="127" t="e">
        <f t="shared" si="289"/>
        <v>#DIV/0!</v>
      </c>
      <c r="I100" s="127" t="e">
        <f t="shared" si="289"/>
        <v>#DIV/0!</v>
      </c>
      <c r="J100" s="127" t="e">
        <f t="shared" si="289"/>
        <v>#DIV/0!</v>
      </c>
      <c r="K100" s="127" t="e">
        <f t="shared" si="289"/>
        <v>#DIV/0!</v>
      </c>
      <c r="L100" s="127" t="e">
        <f t="shared" si="289"/>
        <v>#DIV/0!</v>
      </c>
      <c r="M100" s="127" t="e">
        <f t="shared" si="289"/>
        <v>#DIV/0!</v>
      </c>
      <c r="N100" s="127" t="e">
        <f t="shared" si="289"/>
        <v>#DIV/0!</v>
      </c>
      <c r="O100" s="127" t="e">
        <f t="shared" si="289"/>
        <v>#DIV/0!</v>
      </c>
      <c r="P100" s="127" t="e">
        <f t="shared" si="289"/>
        <v>#DIV/0!</v>
      </c>
      <c r="Q100" s="127">
        <f t="shared" ref="Q100" si="290">1/Q94</f>
        <v>1.0471698113207546</v>
      </c>
      <c r="R100" s="118" t="e">
        <f t="shared" si="245"/>
        <v>#DIV/0!</v>
      </c>
      <c r="S100" s="20"/>
      <c r="T100" s="127">
        <f t="shared" ref="T100:AC100" si="291">1/T94</f>
        <v>1.0471698113207546</v>
      </c>
      <c r="U100" s="127">
        <f t="shared" si="291"/>
        <v>1.0471698113207548</v>
      </c>
      <c r="V100" s="127">
        <f t="shared" si="291"/>
        <v>1.0471698113207546</v>
      </c>
      <c r="W100" s="127">
        <f t="shared" si="291"/>
        <v>1.0471698113207548</v>
      </c>
      <c r="X100" s="127">
        <f t="shared" si="291"/>
        <v>1.0471698113207548</v>
      </c>
      <c r="Y100" s="127">
        <f t="shared" si="291"/>
        <v>1.0471698113207548</v>
      </c>
      <c r="Z100" s="127">
        <f t="shared" si="291"/>
        <v>1.047169811320755</v>
      </c>
      <c r="AA100" s="127">
        <f t="shared" si="291"/>
        <v>1.047169811320755</v>
      </c>
      <c r="AB100" s="127">
        <f t="shared" si="291"/>
        <v>1.047169811320755</v>
      </c>
      <c r="AC100" s="127">
        <f t="shared" si="291"/>
        <v>1.047169811320755</v>
      </c>
      <c r="AD100" s="138" t="e">
        <f t="shared" si="247"/>
        <v>#DIV/0!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 t="e">
        <f t="shared" si="289"/>
        <v>#DIV/0!</v>
      </c>
      <c r="H101" s="127" t="e">
        <f t="shared" si="289"/>
        <v>#DIV/0!</v>
      </c>
      <c r="I101" s="127" t="e">
        <f t="shared" si="289"/>
        <v>#DIV/0!</v>
      </c>
      <c r="J101" s="127" t="e">
        <f t="shared" si="289"/>
        <v>#DIV/0!</v>
      </c>
      <c r="K101" s="127" t="e">
        <f t="shared" si="289"/>
        <v>#DIV/0!</v>
      </c>
      <c r="L101" s="127" t="e">
        <f t="shared" si="289"/>
        <v>#DIV/0!</v>
      </c>
      <c r="M101" s="127" t="e">
        <f t="shared" si="289"/>
        <v>#DIV/0!</v>
      </c>
      <c r="N101" s="127" t="e">
        <f t="shared" si="289"/>
        <v>#DIV/0!</v>
      </c>
      <c r="O101" s="127" t="e">
        <f t="shared" si="289"/>
        <v>#DIV/0!</v>
      </c>
      <c r="P101" s="127" t="e">
        <f t="shared" si="289"/>
        <v>#DIV/0!</v>
      </c>
      <c r="Q101" s="127">
        <f t="shared" ref="Q101" si="292">1/Q95</f>
        <v>1.4433962264150944</v>
      </c>
      <c r="R101" s="118" t="e">
        <f t="shared" si="245"/>
        <v>#DIV/0!</v>
      </c>
      <c r="S101" s="20"/>
      <c r="T101" s="127">
        <f t="shared" ref="T101:AC101" si="293">1/T95</f>
        <v>2.2969647251845777</v>
      </c>
      <c r="U101" s="127">
        <f t="shared" si="293"/>
        <v>2.2969647251845782</v>
      </c>
      <c r="V101" s="127">
        <f t="shared" si="293"/>
        <v>2.2969647251845777</v>
      </c>
      <c r="W101" s="127">
        <f t="shared" si="293"/>
        <v>2.2969647251845777</v>
      </c>
      <c r="X101" s="127">
        <f t="shared" si="293"/>
        <v>2.2969647251845782</v>
      </c>
      <c r="Y101" s="127">
        <f t="shared" si="293"/>
        <v>2.2969647251845782</v>
      </c>
      <c r="Z101" s="127">
        <f t="shared" si="293"/>
        <v>2.2969647251845782</v>
      </c>
      <c r="AA101" s="127">
        <f t="shared" si="293"/>
        <v>2.2969647251845782</v>
      </c>
      <c r="AB101" s="127">
        <f t="shared" si="293"/>
        <v>2.2969647251845782</v>
      </c>
      <c r="AC101" s="127">
        <f t="shared" si="293"/>
        <v>2.2969647251845786</v>
      </c>
      <c r="AD101" s="138" t="e">
        <f t="shared" si="247"/>
        <v>#DIV/0!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 t="e">
        <f t="shared" si="289"/>
        <v>#DIV/0!</v>
      </c>
      <c r="H102" s="127" t="e">
        <f t="shared" si="289"/>
        <v>#DIV/0!</v>
      </c>
      <c r="I102" s="127" t="e">
        <f t="shared" si="289"/>
        <v>#DIV/0!</v>
      </c>
      <c r="J102" s="127" t="e">
        <f t="shared" si="289"/>
        <v>#DIV/0!</v>
      </c>
      <c r="K102" s="127" t="e">
        <f t="shared" si="289"/>
        <v>#DIV/0!</v>
      </c>
      <c r="L102" s="127" t="e">
        <f t="shared" si="289"/>
        <v>#DIV/0!</v>
      </c>
      <c r="M102" s="127" t="e">
        <f t="shared" si="289"/>
        <v>#DIV/0!</v>
      </c>
      <c r="N102" s="127" t="e">
        <f t="shared" si="289"/>
        <v>#DIV/0!</v>
      </c>
      <c r="O102" s="127" t="e">
        <f t="shared" si="289"/>
        <v>#DIV/0!</v>
      </c>
      <c r="P102" s="127" t="e">
        <f t="shared" si="289"/>
        <v>#DIV/0!</v>
      </c>
      <c r="Q102" s="127">
        <f t="shared" ref="Q102" si="294">1/Q96</f>
        <v>3.2735849056603779</v>
      </c>
      <c r="R102" s="118" t="e">
        <f t="shared" si="245"/>
        <v>#DIV/0!</v>
      </c>
      <c r="S102" s="20"/>
      <c r="T102" s="127">
        <f t="shared" ref="T102:AC102" si="295">1/T96</f>
        <v>3.273584905660377</v>
      </c>
      <c r="U102" s="127">
        <f t="shared" si="295"/>
        <v>3.2735849056603779</v>
      </c>
      <c r="V102" s="127">
        <f t="shared" si="295"/>
        <v>3.273584905660377</v>
      </c>
      <c r="W102" s="127">
        <f t="shared" si="295"/>
        <v>3.273584905660377</v>
      </c>
      <c r="X102" s="127">
        <f t="shared" si="295"/>
        <v>3.2735849056603779</v>
      </c>
      <c r="Y102" s="127">
        <f t="shared" si="295"/>
        <v>3.2735849056603779</v>
      </c>
      <c r="Z102" s="127">
        <f t="shared" si="295"/>
        <v>3.2735849056603779</v>
      </c>
      <c r="AA102" s="127">
        <f t="shared" si="295"/>
        <v>3.273584905660377</v>
      </c>
      <c r="AB102" s="127">
        <f t="shared" si="295"/>
        <v>3.273584905660377</v>
      </c>
      <c r="AC102" s="127">
        <f t="shared" si="295"/>
        <v>3.273584905660377</v>
      </c>
      <c r="AD102" s="138" t="e">
        <f t="shared" si="247"/>
        <v>#DIV/0!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 t="e">
        <f t="shared" si="289"/>
        <v>#DIV/0!</v>
      </c>
      <c r="H103" s="127" t="e">
        <f t="shared" si="289"/>
        <v>#DIV/0!</v>
      </c>
      <c r="I103" s="127" t="e">
        <f t="shared" si="289"/>
        <v>#DIV/0!</v>
      </c>
      <c r="J103" s="127" t="e">
        <f t="shared" si="289"/>
        <v>#DIV/0!</v>
      </c>
      <c r="K103" s="127" t="e">
        <f t="shared" si="289"/>
        <v>#DIV/0!</v>
      </c>
      <c r="L103" s="127" t="e">
        <f t="shared" si="289"/>
        <v>#DIV/0!</v>
      </c>
      <c r="M103" s="127" t="e">
        <f t="shared" si="289"/>
        <v>#DIV/0!</v>
      </c>
      <c r="N103" s="127" t="e">
        <f t="shared" si="289"/>
        <v>#DIV/0!</v>
      </c>
      <c r="O103" s="127" t="e">
        <f t="shared" si="289"/>
        <v>#DIV/0!</v>
      </c>
      <c r="P103" s="127" t="e">
        <f t="shared" si="289"/>
        <v>#DIV/0!</v>
      </c>
      <c r="Q103" s="127">
        <f t="shared" ref="Q103" si="296">1/Q97</f>
        <v>0.70754716981132071</v>
      </c>
      <c r="R103" s="118" t="e">
        <f t="shared" si="245"/>
        <v>#DIV/0!</v>
      </c>
      <c r="S103" s="20"/>
      <c r="T103" s="127">
        <f t="shared" ref="T103:AC103" si="297">1/T97</f>
        <v>0.70754716981132071</v>
      </c>
      <c r="U103" s="127">
        <f t="shared" si="297"/>
        <v>0.70754716981132071</v>
      </c>
      <c r="V103" s="127">
        <f t="shared" si="297"/>
        <v>0.7075471698113206</v>
      </c>
      <c r="W103" s="127">
        <f t="shared" si="297"/>
        <v>0.70754716981132071</v>
      </c>
      <c r="X103" s="127">
        <f t="shared" si="297"/>
        <v>0.70754716981132082</v>
      </c>
      <c r="Y103" s="127">
        <f t="shared" si="297"/>
        <v>0.70754716981132082</v>
      </c>
      <c r="Z103" s="127">
        <f t="shared" si="297"/>
        <v>0.70754716981132082</v>
      </c>
      <c r="AA103" s="127">
        <f t="shared" si="297"/>
        <v>0.70754716981132082</v>
      </c>
      <c r="AB103" s="127">
        <f t="shared" si="297"/>
        <v>0.70754716981132082</v>
      </c>
      <c r="AC103" s="127">
        <f t="shared" si="297"/>
        <v>0.70754716981132082</v>
      </c>
      <c r="AD103" s="138" t="e">
        <f t="shared" si="247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0</v>
      </c>
      <c r="H106" s="163">
        <f t="shared" si="298"/>
        <v>0</v>
      </c>
      <c r="I106" s="163">
        <f t="shared" si="298"/>
        <v>0</v>
      </c>
      <c r="J106" s="163">
        <f t="shared" si="298"/>
        <v>0</v>
      </c>
      <c r="K106" s="163">
        <f t="shared" si="298"/>
        <v>0</v>
      </c>
      <c r="L106" s="163">
        <f t="shared" si="298"/>
        <v>0</v>
      </c>
      <c r="M106" s="163">
        <f t="shared" si="298"/>
        <v>0</v>
      </c>
      <c r="N106" s="163">
        <f t="shared" si="298"/>
        <v>-1148</v>
      </c>
      <c r="O106" s="163">
        <f t="shared" si="298"/>
        <v>-1462</v>
      </c>
      <c r="P106" s="163">
        <f>P10-(P12+P13)</f>
        <v>-1415</v>
      </c>
      <c r="Q106" s="163">
        <f>Q10-(Q12+Q13)</f>
        <v>-1415</v>
      </c>
      <c r="R106" s="118" t="e">
        <f t="shared" si="245"/>
        <v>#DIV/0!</v>
      </c>
      <c r="S106" s="20"/>
      <c r="T106" s="163">
        <f>T10-(T12+T13)</f>
        <v>-1627.2499999999998</v>
      </c>
      <c r="U106" s="163">
        <f t="shared" ref="U106:AC106" si="299">U10-(U12+U13)</f>
        <v>-1871.3374999999996</v>
      </c>
      <c r="V106" s="163">
        <f t="shared" si="299"/>
        <v>-2152.0381249999991</v>
      </c>
      <c r="W106" s="163">
        <f t="shared" si="299"/>
        <v>-2474.843843749999</v>
      </c>
      <c r="X106" s="163">
        <f t="shared" si="299"/>
        <v>-2846.0704203124988</v>
      </c>
      <c r="Y106" s="163">
        <f t="shared" si="299"/>
        <v>-3272.9809833593727</v>
      </c>
      <c r="Z106" s="163">
        <f t="shared" si="299"/>
        <v>-3763.9281308632785</v>
      </c>
      <c r="AA106" s="163">
        <f t="shared" si="299"/>
        <v>-4328.5173504927698</v>
      </c>
      <c r="AB106" s="163">
        <f t="shared" si="299"/>
        <v>-4977.7949530666847</v>
      </c>
      <c r="AC106" s="163">
        <f t="shared" si="299"/>
        <v>-5724.4641960266872</v>
      </c>
      <c r="AD106" s="138" t="e">
        <f t="shared" si="247"/>
        <v>#DIV/0!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 t="e">
        <f t="shared" ref="G107:P107" si="300">G40/G18</f>
        <v>#DIV/0!</v>
      </c>
      <c r="H107" s="152" t="e">
        <f t="shared" si="300"/>
        <v>#DIV/0!</v>
      </c>
      <c r="I107" s="152" t="e">
        <f t="shared" si="300"/>
        <v>#DIV/0!</v>
      </c>
      <c r="J107" s="152" t="e">
        <f t="shared" si="300"/>
        <v>#DIV/0!</v>
      </c>
      <c r="K107" s="152" t="e">
        <f t="shared" si="300"/>
        <v>#DIV/0!</v>
      </c>
      <c r="L107" s="152" t="e">
        <f t="shared" si="300"/>
        <v>#DIV/0!</v>
      </c>
      <c r="M107" s="152" t="e">
        <f t="shared" si="300"/>
        <v>#DIV/0!</v>
      </c>
      <c r="N107" s="152">
        <f t="shared" si="300"/>
        <v>0.88717948717948714</v>
      </c>
      <c r="O107" s="152">
        <f t="shared" si="300"/>
        <v>1.5212765957446808</v>
      </c>
      <c r="P107" s="152">
        <f t="shared" si="300"/>
        <v>1.4607843137254901</v>
      </c>
      <c r="Q107" s="152">
        <f t="shared" ref="Q107" si="301">Q40/Q18</f>
        <v>0.75</v>
      </c>
      <c r="R107" s="118" t="e">
        <f t="shared" si="245"/>
        <v>#DIV/0!</v>
      </c>
      <c r="S107" s="20"/>
      <c r="T107" s="152">
        <f t="shared" ref="T107:AC107" si="302">T40/T18</f>
        <v>1.1935208866155158</v>
      </c>
      <c r="U107" s="152">
        <f t="shared" si="302"/>
        <v>1.193520886615516</v>
      </c>
      <c r="V107" s="152">
        <f t="shared" si="302"/>
        <v>1.193520886615516</v>
      </c>
      <c r="W107" s="152">
        <f t="shared" si="302"/>
        <v>1.1935208866155158</v>
      </c>
      <c r="X107" s="152">
        <f t="shared" si="302"/>
        <v>1.1935208866155158</v>
      </c>
      <c r="Y107" s="152">
        <f t="shared" si="302"/>
        <v>1.193520886615516</v>
      </c>
      <c r="Z107" s="152">
        <f t="shared" si="302"/>
        <v>1.193520886615516</v>
      </c>
      <c r="AA107" s="152">
        <f t="shared" si="302"/>
        <v>1.1935208866155163</v>
      </c>
      <c r="AB107" s="152">
        <f t="shared" si="302"/>
        <v>1.1935208866155165</v>
      </c>
      <c r="AC107" s="152">
        <f t="shared" si="302"/>
        <v>1.1935208866155163</v>
      </c>
      <c r="AD107" s="138" t="e">
        <f t="shared" si="247"/>
        <v>#DIV/0!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3">G40/G25</f>
        <v>1.0484848484848486</v>
      </c>
      <c r="H108" s="152" t="e">
        <f t="shared" si="303"/>
        <v>#DIV/0!</v>
      </c>
      <c r="I108" s="152" t="e">
        <f t="shared" si="303"/>
        <v>#DIV/0!</v>
      </c>
      <c r="J108" s="152">
        <f t="shared" si="303"/>
        <v>1.0484848484848486</v>
      </c>
      <c r="K108" s="152">
        <f t="shared" si="303"/>
        <v>0</v>
      </c>
      <c r="L108" s="152">
        <f t="shared" si="303"/>
        <v>0</v>
      </c>
      <c r="M108" s="152">
        <f t="shared" si="303"/>
        <v>0</v>
      </c>
      <c r="N108" s="152">
        <f t="shared" si="303"/>
        <v>0.47010869565217389</v>
      </c>
      <c r="O108" s="152">
        <f t="shared" si="303"/>
        <v>0.54372623574144485</v>
      </c>
      <c r="P108" s="152">
        <f t="shared" si="303"/>
        <v>0.5697896749521989</v>
      </c>
      <c r="Q108" s="152">
        <f t="shared" ref="Q108" si="304">Q40/Q25</f>
        <v>0.34851936218678814</v>
      </c>
      <c r="R108" s="118">
        <f t="shared" si="245"/>
        <v>-6.5514664202029782E-2</v>
      </c>
      <c r="S108" s="20"/>
      <c r="T108" s="152">
        <f t="shared" ref="T108:AC108" si="305">T40/T25</f>
        <v>0.53846153846153844</v>
      </c>
      <c r="U108" s="152">
        <f t="shared" si="305"/>
        <v>0.53846153846153844</v>
      </c>
      <c r="V108" s="152">
        <f t="shared" si="305"/>
        <v>0.53846153846153844</v>
      </c>
      <c r="W108" s="152">
        <f t="shared" si="305"/>
        <v>0.53846153846153844</v>
      </c>
      <c r="X108" s="152">
        <f t="shared" si="305"/>
        <v>0.53846153846153844</v>
      </c>
      <c r="Y108" s="152">
        <f t="shared" si="305"/>
        <v>0.53846153846153844</v>
      </c>
      <c r="Z108" s="152">
        <f t="shared" si="305"/>
        <v>0.53846153846153844</v>
      </c>
      <c r="AA108" s="152">
        <f t="shared" si="305"/>
        <v>0.53846153846153855</v>
      </c>
      <c r="AB108" s="152">
        <f t="shared" si="305"/>
        <v>0.53846153846153855</v>
      </c>
      <c r="AC108" s="152">
        <f t="shared" si="305"/>
        <v>0.53846153846153855</v>
      </c>
      <c r="AD108" s="138">
        <f t="shared" si="247"/>
        <v>-3.2770293706420484E-2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 t="e">
        <f t="shared" ref="G109:O109" si="306">G25/G18</f>
        <v>#DIV/0!</v>
      </c>
      <c r="H109" s="152" t="e">
        <f t="shared" si="306"/>
        <v>#DIV/0!</v>
      </c>
      <c r="I109" s="152" t="e">
        <f t="shared" si="306"/>
        <v>#DIV/0!</v>
      </c>
      <c r="J109" s="152" t="e">
        <f t="shared" si="306"/>
        <v>#DIV/0!</v>
      </c>
      <c r="K109" s="152" t="e">
        <f t="shared" si="306"/>
        <v>#DIV/0!</v>
      </c>
      <c r="L109" s="152" t="e">
        <f t="shared" si="306"/>
        <v>#DIV/0!</v>
      </c>
      <c r="M109" s="152" t="e">
        <f t="shared" si="306"/>
        <v>#DIV/0!</v>
      </c>
      <c r="N109" s="152">
        <f t="shared" si="306"/>
        <v>1.8871794871794871</v>
      </c>
      <c r="O109" s="152">
        <f t="shared" si="306"/>
        <v>2.7978723404255321</v>
      </c>
      <c r="P109" s="152">
        <f>P25/P18</f>
        <v>2.5637254901960786</v>
      </c>
      <c r="Q109" s="152">
        <f>Q25/Q18</f>
        <v>2.1519607843137254</v>
      </c>
      <c r="R109" s="118" t="e">
        <f t="shared" si="245"/>
        <v>#DIV/0!</v>
      </c>
      <c r="S109" s="20"/>
      <c r="T109" s="152">
        <f>T25/T18</f>
        <v>2.2165387894288151</v>
      </c>
      <c r="U109" s="152">
        <f t="shared" ref="U109:AC109" si="307">U25/U18</f>
        <v>2.2165387894288151</v>
      </c>
      <c r="V109" s="152">
        <f t="shared" si="307"/>
        <v>2.2165387894288155</v>
      </c>
      <c r="W109" s="152">
        <f t="shared" si="307"/>
        <v>2.2165387894288155</v>
      </c>
      <c r="X109" s="152">
        <f t="shared" si="307"/>
        <v>2.2165387894288151</v>
      </c>
      <c r="Y109" s="152">
        <f t="shared" si="307"/>
        <v>2.2165387894288155</v>
      </c>
      <c r="Z109" s="152">
        <f t="shared" si="307"/>
        <v>2.2165387894288155</v>
      </c>
      <c r="AA109" s="152">
        <f t="shared" si="307"/>
        <v>2.2165387894288155</v>
      </c>
      <c r="AB109" s="152">
        <f t="shared" si="307"/>
        <v>2.216538789428816</v>
      </c>
      <c r="AC109" s="152">
        <f t="shared" si="307"/>
        <v>2.216538789428816</v>
      </c>
      <c r="AD109" s="138" t="e">
        <f t="shared" si="247"/>
        <v>#DIV/0!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25</v>
      </c>
      <c r="H111" s="165">
        <f t="shared" ref="H111:P111" si="309">H70*H42</f>
        <v>0</v>
      </c>
      <c r="I111" s="165">
        <f t="shared" si="309"/>
        <v>0</v>
      </c>
      <c r="J111" s="165">
        <f t="shared" si="309"/>
        <v>25</v>
      </c>
      <c r="K111" s="165">
        <f t="shared" si="309"/>
        <v>0</v>
      </c>
      <c r="L111" s="165">
        <f t="shared" si="309"/>
        <v>0</v>
      </c>
      <c r="M111" s="165">
        <f t="shared" si="309"/>
        <v>0</v>
      </c>
      <c r="N111" s="165">
        <f t="shared" si="309"/>
        <v>25.45</v>
      </c>
      <c r="O111" s="165">
        <f t="shared" si="309"/>
        <v>122.16</v>
      </c>
      <c r="P111" s="165">
        <f t="shared" si="309"/>
        <v>122.16</v>
      </c>
      <c r="Q111" s="165">
        <f t="shared" ref="Q111" si="310">Q70*Q42</f>
        <v>50.9</v>
      </c>
      <c r="R111" s="118">
        <f t="shared" si="245"/>
        <v>0.19276348442183533</v>
      </c>
      <c r="S111" s="20"/>
      <c r="T111" s="165">
        <f t="shared" ref="T111:AC111" si="311">T70*T42</f>
        <v>53.97945</v>
      </c>
      <c r="U111" s="165">
        <f t="shared" si="311"/>
        <v>57.245206725000003</v>
      </c>
      <c r="V111" s="165">
        <f t="shared" si="311"/>
        <v>60.708541731862496</v>
      </c>
      <c r="W111" s="165">
        <f t="shared" si="311"/>
        <v>64.381408506640184</v>
      </c>
      <c r="X111" s="165">
        <f t="shared" si="311"/>
        <v>68.27648372129191</v>
      </c>
      <c r="Y111" s="165">
        <f t="shared" si="311"/>
        <v>72.407210986430087</v>
      </c>
      <c r="Z111" s="165">
        <f t="shared" si="311"/>
        <v>76.787847251109099</v>
      </c>
      <c r="AA111" s="165">
        <f t="shared" si="311"/>
        <v>81.433512009801206</v>
      </c>
      <c r="AB111" s="165">
        <f t="shared" si="311"/>
        <v>86.360239486394178</v>
      </c>
      <c r="AC111" s="165">
        <f t="shared" si="311"/>
        <v>91.585033975321039</v>
      </c>
      <c r="AD111" s="138">
        <f t="shared" si="247"/>
        <v>6.7073230857438881E-2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29.25</v>
      </c>
      <c r="H112" s="165">
        <f t="shared" si="312"/>
        <v>0</v>
      </c>
      <c r="I112" s="165">
        <f t="shared" si="312"/>
        <v>0</v>
      </c>
      <c r="J112" s="165">
        <f t="shared" si="312"/>
        <v>29.25</v>
      </c>
      <c r="K112" s="165">
        <f t="shared" si="312"/>
        <v>0</v>
      </c>
      <c r="L112" s="165">
        <f t="shared" si="312"/>
        <v>0</v>
      </c>
      <c r="M112" s="165">
        <f t="shared" si="312"/>
        <v>0</v>
      </c>
      <c r="N112" s="165">
        <f t="shared" si="312"/>
        <v>29.776499999999999</v>
      </c>
      <c r="O112" s="165">
        <f t="shared" si="312"/>
        <v>142.9272</v>
      </c>
      <c r="P112" s="165">
        <f t="shared" si="312"/>
        <v>142.9272</v>
      </c>
      <c r="Q112" s="165">
        <f t="shared" ref="Q112" si="313">(Q111*0.17)+Q111</f>
        <v>59.552999999999997</v>
      </c>
      <c r="R112" s="118">
        <f t="shared" si="245"/>
        <v>0.19276348442183533</v>
      </c>
      <c r="S112" s="20"/>
      <c r="T112" s="165">
        <f t="shared" ref="T112:AC112" si="314">(T111*0.17)+T111</f>
        <v>63.155956500000002</v>
      </c>
      <c r="U112" s="165">
        <f t="shared" si="314"/>
        <v>66.976891868250007</v>
      </c>
      <c r="V112" s="165">
        <f t="shared" si="314"/>
        <v>71.02899382627912</v>
      </c>
      <c r="W112" s="165">
        <f t="shared" si="314"/>
        <v>75.326247952769023</v>
      </c>
      <c r="X112" s="165">
        <f t="shared" si="314"/>
        <v>79.883485953911531</v>
      </c>
      <c r="Y112" s="165">
        <f t="shared" si="314"/>
        <v>84.716436854123202</v>
      </c>
      <c r="Z112" s="165">
        <f t="shared" si="314"/>
        <v>89.841781283797644</v>
      </c>
      <c r="AA112" s="165">
        <f t="shared" si="314"/>
        <v>95.277209051467409</v>
      </c>
      <c r="AB112" s="165">
        <f t="shared" si="314"/>
        <v>101.04148019908119</v>
      </c>
      <c r="AC112" s="165">
        <f t="shared" si="314"/>
        <v>107.15448975112562</v>
      </c>
      <c r="AD112" s="138">
        <f t="shared" si="247"/>
        <v>6.7073230857438881E-2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0.16907514450867053</v>
      </c>
      <c r="H113" s="152" t="e">
        <f t="shared" si="315"/>
        <v>#DIV/0!</v>
      </c>
      <c r="I113" s="152" t="e">
        <f t="shared" si="315"/>
        <v>#DIV/0!</v>
      </c>
      <c r="J113" s="152">
        <f t="shared" si="315"/>
        <v>0.16907514450867053</v>
      </c>
      <c r="K113" s="152" t="e">
        <f t="shared" si="315"/>
        <v>#DIV/0!</v>
      </c>
      <c r="L113" s="152" t="e">
        <f t="shared" si="315"/>
        <v>#DIV/0!</v>
      </c>
      <c r="M113" s="152" t="e">
        <f t="shared" si="315"/>
        <v>#DIV/0!</v>
      </c>
      <c r="N113" s="152">
        <f t="shared" si="315"/>
        <v>0.17211849710982657</v>
      </c>
      <c r="O113" s="152">
        <f t="shared" si="315"/>
        <v>0.49974545454545455</v>
      </c>
      <c r="P113" s="152">
        <f t="shared" si="315"/>
        <v>0.47962147651006709</v>
      </c>
      <c r="Q113" s="152">
        <f t="shared" ref="Q113" si="316">Q112/Q40</f>
        <v>0.38923529411764707</v>
      </c>
      <c r="R113" s="118">
        <f t="shared" si="245"/>
        <v>0.12282792743785875</v>
      </c>
      <c r="S113" s="20"/>
      <c r="T113" s="152">
        <f t="shared" ref="T113:AC113" si="317">T112/T40</f>
        <v>0.2255569875</v>
      </c>
      <c r="U113" s="152">
        <f t="shared" si="317"/>
        <v>0.20800276977717394</v>
      </c>
      <c r="V113" s="152">
        <f t="shared" si="317"/>
        <v>0.1918147281292982</v>
      </c>
      <c r="W113" s="152">
        <f t="shared" si="317"/>
        <v>0.17688653841836594</v>
      </c>
      <c r="X113" s="152">
        <f t="shared" si="317"/>
        <v>0.16312015129798002</v>
      </c>
      <c r="Y113" s="152">
        <f t="shared" si="317"/>
        <v>0.15042514821870248</v>
      </c>
      <c r="Z113" s="152">
        <f t="shared" si="317"/>
        <v>0.13871814755298609</v>
      </c>
      <c r="AA113" s="152">
        <f t="shared" si="317"/>
        <v>0.12792225693907977</v>
      </c>
      <c r="AB113" s="152">
        <f t="shared" si="317"/>
        <v>0.11796656824686445</v>
      </c>
      <c r="AC113" s="152">
        <f t="shared" si="317"/>
        <v>0.10878569184852155</v>
      </c>
      <c r="AD113" s="138">
        <f t="shared" si="247"/>
        <v>-2.1806887657832452E-2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0.83092485549132944</v>
      </c>
      <c r="H114" s="152" t="e">
        <f t="shared" ref="H114:P114" si="318">1-H113</f>
        <v>#DIV/0!</v>
      </c>
      <c r="I114" s="152" t="e">
        <f t="shared" si="318"/>
        <v>#DIV/0!</v>
      </c>
      <c r="J114" s="152">
        <f t="shared" si="318"/>
        <v>0.83092485549132944</v>
      </c>
      <c r="K114" s="152" t="e">
        <f t="shared" si="318"/>
        <v>#DIV/0!</v>
      </c>
      <c r="L114" s="152" t="e">
        <f t="shared" si="318"/>
        <v>#DIV/0!</v>
      </c>
      <c r="M114" s="152" t="e">
        <f t="shared" si="318"/>
        <v>#DIV/0!</v>
      </c>
      <c r="N114" s="152">
        <f t="shared" si="318"/>
        <v>0.82788150289017337</v>
      </c>
      <c r="O114" s="152">
        <f t="shared" si="318"/>
        <v>0.50025454545454551</v>
      </c>
      <c r="P114" s="152">
        <f t="shared" si="318"/>
        <v>0.52037852348993296</v>
      </c>
      <c r="Q114" s="152">
        <f t="shared" ref="Q114" si="319">1-Q113</f>
        <v>0.61076470588235288</v>
      </c>
      <c r="R114" s="118">
        <f t="shared" si="245"/>
        <v>-5.0669328123679969E-2</v>
      </c>
      <c r="S114" s="20"/>
      <c r="T114" s="152">
        <f t="shared" ref="T114:AC114" si="320">1-T113</f>
        <v>0.77444301250000003</v>
      </c>
      <c r="U114" s="152">
        <f t="shared" si="320"/>
        <v>0.79199723022282609</v>
      </c>
      <c r="V114" s="152">
        <f t="shared" si="320"/>
        <v>0.80818527187070177</v>
      </c>
      <c r="W114" s="152">
        <f t="shared" si="320"/>
        <v>0.82311346158163401</v>
      </c>
      <c r="X114" s="152">
        <f t="shared" si="320"/>
        <v>0.83687984870201992</v>
      </c>
      <c r="Y114" s="152">
        <f t="shared" si="320"/>
        <v>0.84957485178129755</v>
      </c>
      <c r="Z114" s="152">
        <f t="shared" si="320"/>
        <v>0.86128185244701394</v>
      </c>
      <c r="AA114" s="152">
        <f t="shared" si="320"/>
        <v>0.87207774306092023</v>
      </c>
      <c r="AB114" s="152">
        <f t="shared" si="320"/>
        <v>0.88203343175313553</v>
      </c>
      <c r="AC114" s="152">
        <f t="shared" si="320"/>
        <v>0.89121430815147851</v>
      </c>
      <c r="AD114" s="138">
        <f t="shared" si="247"/>
        <v>3.5084181321258789E-3</v>
      </c>
      <c r="AE114" s="20"/>
      <c r="AF114" s="20"/>
    </row>
    <row r="115" spans="2:32" x14ac:dyDescent="0.2">
      <c r="B115" s="20" t="s">
        <v>452</v>
      </c>
      <c r="C115" s="20"/>
      <c r="D115" s="20"/>
      <c r="E115" s="20"/>
      <c r="F115" s="152" t="e">
        <f t="shared" ref="F115:P115" si="321">F112/F20</f>
        <v>#DIV/0!</v>
      </c>
      <c r="G115" s="152">
        <f t="shared" si="321"/>
        <v>14.625</v>
      </c>
      <c r="H115" s="152" t="e">
        <f t="shared" si="321"/>
        <v>#DIV/0!</v>
      </c>
      <c r="I115" s="152" t="e">
        <f t="shared" si="321"/>
        <v>#DIV/0!</v>
      </c>
      <c r="J115" s="152" t="e">
        <f t="shared" si="321"/>
        <v>#DIV/0!</v>
      </c>
      <c r="K115" s="152" t="e">
        <f t="shared" si="321"/>
        <v>#DIV/0!</v>
      </c>
      <c r="L115" s="152" t="e">
        <f t="shared" si="321"/>
        <v>#DIV/0!</v>
      </c>
      <c r="M115" s="152" t="e">
        <f t="shared" si="321"/>
        <v>#DIV/0!</v>
      </c>
      <c r="N115" s="152">
        <f t="shared" si="321"/>
        <v>0.11028333333333333</v>
      </c>
      <c r="O115" s="152">
        <f t="shared" si="321"/>
        <v>0.40720000000000001</v>
      </c>
      <c r="P115" s="152">
        <f t="shared" si="321"/>
        <v>2.6967396226415095</v>
      </c>
      <c r="Q115" s="152">
        <f>Q112/Q20</f>
        <v>1.1236415094339622</v>
      </c>
      <c r="R115" s="118">
        <f t="shared" si="245"/>
        <v>-0.17126457294442265</v>
      </c>
      <c r="S115" s="20"/>
      <c r="T115" s="152">
        <f>T112/T20</f>
        <v>1.0361928876127975</v>
      </c>
      <c r="U115" s="152">
        <f t="shared" ref="U115:AC115" si="322">U112/U20</f>
        <v>0.95555004983771474</v>
      </c>
      <c r="V115" s="152">
        <f t="shared" si="322"/>
        <v>0.88118332856773585</v>
      </c>
      <c r="W115" s="152">
        <f t="shared" si="322"/>
        <v>0.81260427821398629</v>
      </c>
      <c r="X115" s="152">
        <f t="shared" si="322"/>
        <v>0.74936246699646292</v>
      </c>
      <c r="Y115" s="152">
        <f t="shared" si="322"/>
        <v>0.69104251847804277</v>
      </c>
      <c r="Z115" s="152">
        <f t="shared" si="322"/>
        <v>0.63726138334431681</v>
      </c>
      <c r="AA115" s="152">
        <f t="shared" si="322"/>
        <v>0.58766582351012886</v>
      </c>
      <c r="AB115" s="152">
        <f t="shared" si="322"/>
        <v>0.5419300920282536</v>
      </c>
      <c r="AC115" s="152">
        <f t="shared" si="322"/>
        <v>0.49975379356170707</v>
      </c>
      <c r="AD115" s="138" t="s">
        <v>453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 t="e">
        <f t="shared" ref="H117:P117" si="323">H31/H25</f>
        <v>#DIV/0!</v>
      </c>
      <c r="I117" s="152" t="e">
        <f t="shared" si="323"/>
        <v>#DIV/0!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 t="e">
        <f t="shared" ref="H118:P118" si="326">H32/H25</f>
        <v>#DIV/0!</v>
      </c>
      <c r="I118" s="152" t="e">
        <f t="shared" si="326"/>
        <v>#DIV/0!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</v>
      </c>
      <c r="H120" s="152" t="e">
        <f t="shared" ref="H120:P120" si="329">H27/H25</f>
        <v>#DIV/0!</v>
      </c>
      <c r="I120" s="152" t="e">
        <f t="shared" si="329"/>
        <v>#DIV/0!</v>
      </c>
      <c r="J120" s="152">
        <f t="shared" si="329"/>
        <v>0</v>
      </c>
      <c r="K120" s="152">
        <f t="shared" si="329"/>
        <v>0</v>
      </c>
      <c r="L120" s="152">
        <f t="shared" si="329"/>
        <v>0</v>
      </c>
      <c r="M120" s="152">
        <f t="shared" si="329"/>
        <v>0</v>
      </c>
      <c r="N120" s="152">
        <f t="shared" si="329"/>
        <v>0.48097826086956524</v>
      </c>
      <c r="O120" s="152">
        <f t="shared" si="329"/>
        <v>0.36501901140684412</v>
      </c>
      <c r="P120" s="152">
        <f t="shared" si="329"/>
        <v>0.39961759082217974</v>
      </c>
      <c r="Q120" s="152">
        <f t="shared" ref="Q120" si="330">Q27/Q25</f>
        <v>0.52164009111617315</v>
      </c>
      <c r="R120" s="118" t="e">
        <f t="shared" si="245"/>
        <v>#DIV/0!</v>
      </c>
      <c r="S120" s="20"/>
      <c r="T120" s="152">
        <f t="shared" ref="T120:AC120" si="331">T27/T25</f>
        <v>0.50644230769230758</v>
      </c>
      <c r="U120" s="152">
        <f t="shared" si="331"/>
        <v>0.50644230769230758</v>
      </c>
      <c r="V120" s="152">
        <f t="shared" si="331"/>
        <v>0.50644230769230769</v>
      </c>
      <c r="W120" s="152">
        <f t="shared" si="331"/>
        <v>0.50644230769230758</v>
      </c>
      <c r="X120" s="152">
        <f t="shared" si="331"/>
        <v>0.50644230769230769</v>
      </c>
      <c r="Y120" s="152">
        <f t="shared" si="331"/>
        <v>0.50644230769230758</v>
      </c>
      <c r="Z120" s="152">
        <f t="shared" si="331"/>
        <v>0.50644230769230769</v>
      </c>
      <c r="AA120" s="152">
        <f t="shared" si="331"/>
        <v>0.50644230769230769</v>
      </c>
      <c r="AB120" s="152">
        <f t="shared" si="331"/>
        <v>0.50644230769230758</v>
      </c>
      <c r="AC120" s="152">
        <f t="shared" si="331"/>
        <v>0.50644230769230758</v>
      </c>
      <c r="AD120" s="138" t="e">
        <f t="shared" si="247"/>
        <v>#DIV/0!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</v>
      </c>
      <c r="H121" s="152" t="e">
        <f t="shared" ref="H121:P121" si="332">H33/H25</f>
        <v>#DIV/0!</v>
      </c>
      <c r="I121" s="152" t="e">
        <f t="shared" si="332"/>
        <v>#DIV/0!</v>
      </c>
      <c r="J121" s="152">
        <f t="shared" si="332"/>
        <v>0</v>
      </c>
      <c r="K121" s="152">
        <f t="shared" si="332"/>
        <v>0</v>
      </c>
      <c r="L121" s="152">
        <f t="shared" si="332"/>
        <v>0</v>
      </c>
      <c r="M121" s="152">
        <f t="shared" si="332"/>
        <v>0</v>
      </c>
      <c r="N121" s="152">
        <f t="shared" si="332"/>
        <v>0</v>
      </c>
      <c r="O121" s="152">
        <f t="shared" si="332"/>
        <v>0</v>
      </c>
      <c r="P121" s="152">
        <f t="shared" si="332"/>
        <v>0</v>
      </c>
      <c r="Q121" s="152">
        <f t="shared" ref="Q121" si="333">Q33/Q25</f>
        <v>0</v>
      </c>
      <c r="R121" s="118" t="e">
        <f t="shared" si="245"/>
        <v>#DIV/0!</v>
      </c>
      <c r="S121" s="20"/>
      <c r="T121" s="152">
        <f t="shared" ref="T121:AC121" si="334">T33/T25</f>
        <v>0</v>
      </c>
      <c r="U121" s="152">
        <f t="shared" si="334"/>
        <v>0</v>
      </c>
      <c r="V121" s="152">
        <f t="shared" si="334"/>
        <v>0</v>
      </c>
      <c r="W121" s="152">
        <f t="shared" si="334"/>
        <v>0</v>
      </c>
      <c r="X121" s="152">
        <f t="shared" si="334"/>
        <v>0</v>
      </c>
      <c r="Y121" s="152">
        <f t="shared" si="334"/>
        <v>0</v>
      </c>
      <c r="Z121" s="152">
        <f t="shared" si="334"/>
        <v>0</v>
      </c>
      <c r="AA121" s="152">
        <f t="shared" si="334"/>
        <v>0</v>
      </c>
      <c r="AB121" s="152">
        <f t="shared" si="334"/>
        <v>0</v>
      </c>
      <c r="AC121" s="152">
        <f t="shared" si="334"/>
        <v>0</v>
      </c>
      <c r="AD121" s="138" t="e">
        <f t="shared" si="247"/>
        <v>#DIV/0!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0.15757575757575756</v>
      </c>
      <c r="H122" s="152" t="e">
        <f t="shared" ref="H122:P122" si="335">H34/H25</f>
        <v>#DIV/0!</v>
      </c>
      <c r="I122" s="152" t="e">
        <f t="shared" si="335"/>
        <v>#DIV/0!</v>
      </c>
      <c r="J122" s="152">
        <f t="shared" si="335"/>
        <v>0.15757575757575756</v>
      </c>
      <c r="K122" s="152">
        <f t="shared" si="335"/>
        <v>0</v>
      </c>
      <c r="L122" s="152">
        <f t="shared" si="335"/>
        <v>0</v>
      </c>
      <c r="M122" s="152">
        <f t="shared" si="335"/>
        <v>0</v>
      </c>
      <c r="N122" s="152">
        <f t="shared" si="335"/>
        <v>7.0652173913043473E-2</v>
      </c>
      <c r="O122" s="152">
        <f t="shared" si="335"/>
        <v>5.3231939163498096E-2</v>
      </c>
      <c r="P122" s="152">
        <f t="shared" si="335"/>
        <v>5.5449330783938815E-2</v>
      </c>
      <c r="Q122" s="152">
        <f t="shared" ref="Q122" si="336">Q34/Q25</f>
        <v>6.6059225512528477E-2</v>
      </c>
      <c r="R122" s="118">
        <f t="shared" si="245"/>
        <v>-0.10956798331279172</v>
      </c>
      <c r="S122" s="20"/>
      <c r="T122" s="152">
        <f t="shared" ref="T122:AC122" si="337">T34/T25</f>
        <v>6.4134615384615373E-2</v>
      </c>
      <c r="U122" s="152">
        <f t="shared" si="337"/>
        <v>6.4134615384615373E-2</v>
      </c>
      <c r="V122" s="152">
        <f t="shared" si="337"/>
        <v>6.4134615384615373E-2</v>
      </c>
      <c r="W122" s="152">
        <f t="shared" si="337"/>
        <v>6.4134615384615373E-2</v>
      </c>
      <c r="X122" s="152">
        <f t="shared" si="337"/>
        <v>6.4134615384615373E-2</v>
      </c>
      <c r="Y122" s="152">
        <f t="shared" si="337"/>
        <v>6.4134615384615373E-2</v>
      </c>
      <c r="Z122" s="152">
        <f t="shared" si="337"/>
        <v>6.4134615384615359E-2</v>
      </c>
      <c r="AA122" s="152">
        <f t="shared" si="337"/>
        <v>6.4134615384615359E-2</v>
      </c>
      <c r="AB122" s="152">
        <f t="shared" si="337"/>
        <v>6.4134615384615359E-2</v>
      </c>
      <c r="AC122" s="152">
        <f t="shared" si="337"/>
        <v>6.4134615384615359E-2</v>
      </c>
      <c r="AD122" s="138">
        <f t="shared" si="247"/>
        <v>-4.3950993453571452E-2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 t="e">
        <f>G15/G9</f>
        <v>#DIV/0!</v>
      </c>
      <c r="H125" s="25" t="e">
        <f t="shared" ref="H125:AC125" si="338">H15/H9</f>
        <v>#DIV/0!</v>
      </c>
      <c r="I125" s="25" t="e">
        <f t="shared" si="338"/>
        <v>#DIV/0!</v>
      </c>
      <c r="J125" s="25" t="e">
        <f t="shared" si="338"/>
        <v>#DIV/0!</v>
      </c>
      <c r="K125" s="25" t="e">
        <f t="shared" si="338"/>
        <v>#DIV/0!</v>
      </c>
      <c r="L125" s="25" t="e">
        <f t="shared" si="338"/>
        <v>#DIV/0!</v>
      </c>
      <c r="M125" s="25" t="e">
        <f t="shared" si="338"/>
        <v>#DIV/0!</v>
      </c>
      <c r="N125" s="25">
        <f t="shared" si="338"/>
        <v>0.60615883306320906</v>
      </c>
      <c r="O125" s="25">
        <f t="shared" si="338"/>
        <v>0.50415512465373957</v>
      </c>
      <c r="P125" s="25">
        <f t="shared" si="338"/>
        <v>0.66044776119402981</v>
      </c>
      <c r="Q125" s="25">
        <f t="shared" ref="Q125" si="339">Q15/Q9</f>
        <v>0.66044776119402981</v>
      </c>
      <c r="R125" s="118" t="e">
        <f t="shared" si="245"/>
        <v>#DIV/0!</v>
      </c>
      <c r="S125" s="20"/>
      <c r="T125" s="20">
        <f t="shared" si="338"/>
        <v>0.66044776119402981</v>
      </c>
      <c r="U125" s="20">
        <f t="shared" si="338"/>
        <v>0.66044776119402981</v>
      </c>
      <c r="V125" s="20">
        <f t="shared" si="338"/>
        <v>0.6604477611940297</v>
      </c>
      <c r="W125" s="20">
        <f t="shared" si="338"/>
        <v>0.66044776119402981</v>
      </c>
      <c r="X125" s="20">
        <f t="shared" si="338"/>
        <v>0.6604477611940297</v>
      </c>
      <c r="Y125" s="20">
        <f t="shared" si="338"/>
        <v>0.66044776119402981</v>
      </c>
      <c r="Z125" s="20">
        <f t="shared" si="338"/>
        <v>0.66044776119402981</v>
      </c>
      <c r="AA125" s="20">
        <f t="shared" si="338"/>
        <v>0.6604477611940297</v>
      </c>
      <c r="AB125" s="20">
        <f t="shared" si="338"/>
        <v>0.6604477611940297</v>
      </c>
      <c r="AC125" s="20">
        <f t="shared" si="338"/>
        <v>0.6604477611940297</v>
      </c>
      <c r="AD125" s="138" t="e">
        <f t="shared" si="247"/>
        <v>#DIV/0!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 t="e">
        <f>G12/G9</f>
        <v>#DIV/0!</v>
      </c>
      <c r="H126" s="25" t="e">
        <f t="shared" ref="H126:P126" si="340">H12/H9</f>
        <v>#DIV/0!</v>
      </c>
      <c r="I126" s="25" t="e">
        <f t="shared" si="340"/>
        <v>#DIV/0!</v>
      </c>
      <c r="J126" s="25" t="e">
        <f t="shared" si="340"/>
        <v>#DIV/0!</v>
      </c>
      <c r="K126" s="25" t="e">
        <f t="shared" si="340"/>
        <v>#DIV/0!</v>
      </c>
      <c r="L126" s="25" t="e">
        <f t="shared" si="340"/>
        <v>#DIV/0!</v>
      </c>
      <c r="M126" s="25" t="e">
        <f t="shared" si="340"/>
        <v>#DIV/0!</v>
      </c>
      <c r="N126" s="25">
        <f t="shared" si="340"/>
        <v>0.52674230145867096</v>
      </c>
      <c r="O126" s="25">
        <f t="shared" si="340"/>
        <v>0.43213296398891965</v>
      </c>
      <c r="P126" s="25">
        <f t="shared" si="340"/>
        <v>0.64738805970149249</v>
      </c>
      <c r="Q126" s="25">
        <f t="shared" ref="Q126" si="341">Q12/Q9</f>
        <v>0.64738805970149249</v>
      </c>
      <c r="R126" s="118" t="e">
        <f t="shared" si="245"/>
        <v>#DIV/0!</v>
      </c>
      <c r="S126" s="128"/>
      <c r="T126" s="20">
        <f t="shared" ref="T126:AC126" si="342">T12/T9</f>
        <v>0.64738805970149249</v>
      </c>
      <c r="U126" s="20">
        <f t="shared" si="342"/>
        <v>0.64738805970149249</v>
      </c>
      <c r="V126" s="20">
        <f t="shared" si="342"/>
        <v>0.64738805970149249</v>
      </c>
      <c r="W126" s="20">
        <f t="shared" si="342"/>
        <v>0.64738805970149249</v>
      </c>
      <c r="X126" s="20">
        <f t="shared" si="342"/>
        <v>0.64738805970149249</v>
      </c>
      <c r="Y126" s="20">
        <f t="shared" si="342"/>
        <v>0.64738805970149249</v>
      </c>
      <c r="Z126" s="20">
        <f t="shared" si="342"/>
        <v>0.64738805970149249</v>
      </c>
      <c r="AA126" s="20">
        <f t="shared" si="342"/>
        <v>0.64738805970149249</v>
      </c>
      <c r="AB126" s="20">
        <f t="shared" si="342"/>
        <v>0.64738805970149238</v>
      </c>
      <c r="AC126" s="20">
        <f t="shared" si="342"/>
        <v>0.64738805970149249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0.45833333333333331</v>
      </c>
      <c r="H127" s="25">
        <f t="shared" ref="H127:P127" si="344">H25/360</f>
        <v>0</v>
      </c>
      <c r="I127" s="25">
        <f t="shared" si="344"/>
        <v>0</v>
      </c>
      <c r="J127" s="25">
        <f t="shared" si="344"/>
        <v>0.45833333333333331</v>
      </c>
      <c r="K127" s="25">
        <f t="shared" si="344"/>
        <v>0.48055555555555557</v>
      </c>
      <c r="L127" s="25">
        <f t="shared" si="344"/>
        <v>0.58888888888888891</v>
      </c>
      <c r="M127" s="25">
        <f t="shared" si="344"/>
        <v>0.79722222222222228</v>
      </c>
      <c r="N127" s="25">
        <f t="shared" si="344"/>
        <v>1.0222222222222221</v>
      </c>
      <c r="O127" s="25">
        <f t="shared" si="344"/>
        <v>1.461111111111111</v>
      </c>
      <c r="P127" s="25">
        <f t="shared" si="344"/>
        <v>1.4527777777777777</v>
      </c>
      <c r="Q127" s="25">
        <f t="shared" ref="Q127" si="345">Q25/360</f>
        <v>1.2194444444444446</v>
      </c>
      <c r="R127" s="118">
        <f t="shared" si="245"/>
        <v>0.13675962031269795</v>
      </c>
      <c r="S127" s="128"/>
      <c r="T127" s="25">
        <f t="shared" ref="T127:AC127" si="346">T25/360</f>
        <v>1.4444444444444444</v>
      </c>
      <c r="U127" s="25">
        <f t="shared" si="346"/>
        <v>1.6611111111111112</v>
      </c>
      <c r="V127" s="25">
        <f t="shared" si="346"/>
        <v>1.9102777777777775</v>
      </c>
      <c r="W127" s="25">
        <f t="shared" si="346"/>
        <v>2.196819444444444</v>
      </c>
      <c r="X127" s="25">
        <f t="shared" si="346"/>
        <v>2.5263423611111104</v>
      </c>
      <c r="Y127" s="25">
        <f t="shared" si="346"/>
        <v>2.9052937152777769</v>
      </c>
      <c r="Z127" s="25">
        <f t="shared" si="346"/>
        <v>3.3410877725694434</v>
      </c>
      <c r="AA127" s="25">
        <f t="shared" si="346"/>
        <v>3.8422509384548595</v>
      </c>
      <c r="AB127" s="25">
        <f t="shared" si="346"/>
        <v>4.4185885792230879</v>
      </c>
      <c r="AC127" s="25">
        <f t="shared" si="346"/>
        <v>5.0813768661065515</v>
      </c>
      <c r="AD127" s="118">
        <f t="shared" ref="AD127:AD138" si="347">((AC127/T127)^(1/($H$2-$H$1) ))-1</f>
        <v>0.14999999999999991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0</v>
      </c>
      <c r="H128" s="25">
        <f t="shared" ref="H128:P128" si="348">H27/360</f>
        <v>0</v>
      </c>
      <c r="I128" s="25">
        <f t="shared" si="348"/>
        <v>0</v>
      </c>
      <c r="J128" s="25">
        <f t="shared" si="348"/>
        <v>0</v>
      </c>
      <c r="K128" s="25">
        <f t="shared" si="348"/>
        <v>0</v>
      </c>
      <c r="L128" s="25">
        <f t="shared" si="348"/>
        <v>0</v>
      </c>
      <c r="M128" s="25">
        <f t="shared" si="348"/>
        <v>0</v>
      </c>
      <c r="N128" s="25">
        <f t="shared" si="348"/>
        <v>0.49166666666666664</v>
      </c>
      <c r="O128" s="25">
        <f t="shared" si="348"/>
        <v>0.53333333333333333</v>
      </c>
      <c r="P128" s="25">
        <f t="shared" si="348"/>
        <v>0.5805555555555556</v>
      </c>
      <c r="Q128" s="25">
        <f t="shared" ref="Q128" si="349">Q27/360</f>
        <v>0.63611111111111107</v>
      </c>
      <c r="R128" s="118" t="e">
        <f t="shared" si="245"/>
        <v>#DIV/0!</v>
      </c>
      <c r="S128" s="128"/>
      <c r="T128" s="25">
        <f t="shared" ref="T128:AC128" si="350">T27/360</f>
        <v>0.73152777777777767</v>
      </c>
      <c r="U128" s="25">
        <f t="shared" si="350"/>
        <v>0.84125694444444432</v>
      </c>
      <c r="V128" s="25">
        <f t="shared" si="350"/>
        <v>0.96744548611111092</v>
      </c>
      <c r="W128" s="25">
        <f t="shared" si="350"/>
        <v>1.1125623090277774</v>
      </c>
      <c r="X128" s="25">
        <f t="shared" si="350"/>
        <v>1.2794466553819441</v>
      </c>
      <c r="Y128" s="25">
        <f t="shared" si="350"/>
        <v>1.4713636536892356</v>
      </c>
      <c r="Z128" s="25">
        <f t="shared" si="350"/>
        <v>1.6920682017426207</v>
      </c>
      <c r="AA128" s="25">
        <f t="shared" si="350"/>
        <v>1.9458784320040139</v>
      </c>
      <c r="AB128" s="25">
        <f t="shared" si="350"/>
        <v>2.2377601968046155</v>
      </c>
      <c r="AC128" s="25">
        <f t="shared" si="350"/>
        <v>2.573424226325308</v>
      </c>
      <c r="AD128" s="118">
        <f t="shared" si="347"/>
        <v>0.14999999999999991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</v>
      </c>
      <c r="H130" s="25" t="e">
        <f t="shared" ref="H130:P130" si="351">H10/H7</f>
        <v>#DIV/0!</v>
      </c>
      <c r="I130" s="25" t="e">
        <f t="shared" si="351"/>
        <v>#DIV/0!</v>
      </c>
      <c r="J130" s="25" t="e">
        <f t="shared" si="351"/>
        <v>#DIV/0!</v>
      </c>
      <c r="K130" s="25" t="e">
        <f t="shared" si="351"/>
        <v>#DIV/0!</v>
      </c>
      <c r="L130" s="25" t="e">
        <f t="shared" si="351"/>
        <v>#DIV/0!</v>
      </c>
      <c r="M130" s="25" t="e">
        <f t="shared" si="351"/>
        <v>#DIV/0!</v>
      </c>
      <c r="N130" s="25">
        <f t="shared" si="351"/>
        <v>0</v>
      </c>
      <c r="O130" s="25">
        <f t="shared" si="351"/>
        <v>0</v>
      </c>
      <c r="P130" s="25">
        <f t="shared" si="351"/>
        <v>0</v>
      </c>
      <c r="Q130" s="25">
        <f t="shared" ref="Q130" si="352">Q10/Q7</f>
        <v>0</v>
      </c>
      <c r="R130" s="118" t="e">
        <f t="shared" si="245"/>
        <v>#DIV/0!</v>
      </c>
      <c r="S130" s="128"/>
      <c r="T130" s="25">
        <f t="shared" ref="T130:AC130" si="353">T10/T7</f>
        <v>0</v>
      </c>
      <c r="U130" s="25">
        <f t="shared" si="353"/>
        <v>0</v>
      </c>
      <c r="V130" s="25">
        <f t="shared" si="353"/>
        <v>0</v>
      </c>
      <c r="W130" s="25">
        <f t="shared" si="353"/>
        <v>0</v>
      </c>
      <c r="X130" s="25">
        <f t="shared" si="353"/>
        <v>0</v>
      </c>
      <c r="Y130" s="25">
        <f t="shared" si="353"/>
        <v>0</v>
      </c>
      <c r="Z130" s="25">
        <f t="shared" si="353"/>
        <v>0</v>
      </c>
      <c r="AA130" s="25">
        <f t="shared" si="353"/>
        <v>0</v>
      </c>
      <c r="AB130" s="25">
        <f t="shared" si="353"/>
        <v>0</v>
      </c>
      <c r="AC130" s="25">
        <f t="shared" si="353"/>
        <v>0</v>
      </c>
      <c r="AD130" s="118" t="e">
        <f t="shared" si="347"/>
        <v>#DIV/0!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</v>
      </c>
      <c r="H131" s="25" t="e">
        <f t="shared" ref="H131:P131" si="354">H10/(H10+H7)</f>
        <v>#DIV/0!</v>
      </c>
      <c r="I131" s="25" t="e">
        <f t="shared" si="354"/>
        <v>#DIV/0!</v>
      </c>
      <c r="J131" s="25" t="e">
        <f t="shared" si="354"/>
        <v>#DIV/0!</v>
      </c>
      <c r="K131" s="25" t="e">
        <f t="shared" si="354"/>
        <v>#DIV/0!</v>
      </c>
      <c r="L131" s="25" t="e">
        <f t="shared" si="354"/>
        <v>#DIV/0!</v>
      </c>
      <c r="M131" s="25" t="e">
        <f t="shared" si="354"/>
        <v>#DIV/0!</v>
      </c>
      <c r="N131" s="25">
        <f t="shared" si="354"/>
        <v>0</v>
      </c>
      <c r="O131" s="25">
        <f t="shared" si="354"/>
        <v>0</v>
      </c>
      <c r="P131" s="25">
        <f t="shared" si="354"/>
        <v>0</v>
      </c>
      <c r="Q131" s="25">
        <f t="shared" ref="Q131" si="355">Q10/(Q10+Q7)</f>
        <v>0</v>
      </c>
      <c r="R131" s="118" t="e">
        <f t="shared" si="245"/>
        <v>#DIV/0!</v>
      </c>
      <c r="S131" s="128"/>
      <c r="T131" s="25">
        <f t="shared" ref="T131:AC131" si="356">T10/(T10+T7)</f>
        <v>0</v>
      </c>
      <c r="U131" s="25">
        <f t="shared" si="356"/>
        <v>0</v>
      </c>
      <c r="V131" s="25">
        <f t="shared" si="356"/>
        <v>0</v>
      </c>
      <c r="W131" s="25">
        <f t="shared" si="356"/>
        <v>0</v>
      </c>
      <c r="X131" s="25">
        <f t="shared" si="356"/>
        <v>0</v>
      </c>
      <c r="Y131" s="25">
        <f t="shared" si="356"/>
        <v>0</v>
      </c>
      <c r="Z131" s="25">
        <f t="shared" si="356"/>
        <v>0</v>
      </c>
      <c r="AA131" s="25">
        <f t="shared" si="356"/>
        <v>0</v>
      </c>
      <c r="AB131" s="25">
        <f t="shared" si="356"/>
        <v>0</v>
      </c>
      <c r="AC131" s="25">
        <f t="shared" si="356"/>
        <v>0</v>
      </c>
      <c r="AD131" s="118" t="e">
        <f t="shared" si="347"/>
        <v>#DIV/0!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0</v>
      </c>
      <c r="H133" s="25">
        <f t="shared" ref="H133:P133" si="357">H16</f>
        <v>0</v>
      </c>
      <c r="I133" s="25">
        <f t="shared" si="357"/>
        <v>0</v>
      </c>
      <c r="J133" s="25">
        <f t="shared" si="357"/>
        <v>0</v>
      </c>
      <c r="K133" s="25">
        <f t="shared" si="357"/>
        <v>0</v>
      </c>
      <c r="L133" s="25">
        <f t="shared" si="357"/>
        <v>0</v>
      </c>
      <c r="M133" s="25">
        <f t="shared" si="357"/>
        <v>0</v>
      </c>
      <c r="N133" s="25">
        <f t="shared" si="357"/>
        <v>-173</v>
      </c>
      <c r="O133" s="25">
        <f t="shared" si="357"/>
        <v>-341</v>
      </c>
      <c r="P133" s="25">
        <f t="shared" si="357"/>
        <v>-116</v>
      </c>
      <c r="Q133" s="25">
        <f t="shared" ref="Q133" si="358">Q16</f>
        <v>-116</v>
      </c>
      <c r="R133" s="118" t="e">
        <f t="shared" si="245"/>
        <v>#DIV/0!</v>
      </c>
      <c r="S133" s="128"/>
      <c r="T133" s="25">
        <f t="shared" ref="T133:AC133" si="359">T16</f>
        <v>-133.39999999999998</v>
      </c>
      <c r="U133" s="25">
        <f t="shared" si="359"/>
        <v>-153.40999999999997</v>
      </c>
      <c r="V133" s="25">
        <f t="shared" si="359"/>
        <v>-176.42149999999995</v>
      </c>
      <c r="W133" s="25">
        <f t="shared" si="359"/>
        <v>-202.88472499999992</v>
      </c>
      <c r="X133" s="25">
        <f t="shared" si="359"/>
        <v>-233.31743374999988</v>
      </c>
      <c r="Y133" s="25">
        <f t="shared" si="359"/>
        <v>-268.31504881249987</v>
      </c>
      <c r="Z133" s="25">
        <f t="shared" si="359"/>
        <v>-308.56230613437481</v>
      </c>
      <c r="AA133" s="25">
        <f t="shared" si="359"/>
        <v>-354.84665205453098</v>
      </c>
      <c r="AB133" s="25">
        <f t="shared" si="359"/>
        <v>-408.07364986271057</v>
      </c>
      <c r="AC133" s="25">
        <f t="shared" si="359"/>
        <v>-469.28469734211711</v>
      </c>
      <c r="AD133" s="118">
        <f t="shared" si="347"/>
        <v>0.14999999999999991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0</v>
      </c>
      <c r="H134" s="119" t="e">
        <f t="shared" si="360"/>
        <v>#DIV/0!</v>
      </c>
      <c r="I134" s="119" t="e">
        <f t="shared" si="360"/>
        <v>#DIV/0!</v>
      </c>
      <c r="J134" s="119">
        <f t="shared" si="360"/>
        <v>0</v>
      </c>
      <c r="K134" s="119">
        <f t="shared" si="360"/>
        <v>0</v>
      </c>
      <c r="L134" s="119">
        <f t="shared" si="360"/>
        <v>0</v>
      </c>
      <c r="M134" s="119">
        <f t="shared" si="360"/>
        <v>0</v>
      </c>
      <c r="N134" s="119">
        <f t="shared" si="360"/>
        <v>-171.58967391304347</v>
      </c>
      <c r="O134" s="119">
        <f t="shared" si="360"/>
        <v>-236.62547528517109</v>
      </c>
      <c r="P134" s="119">
        <f t="shared" si="360"/>
        <v>-80.956022944550668</v>
      </c>
      <c r="Q134" s="119">
        <f t="shared" ref="Q134" si="361">Q133*365/Q25</f>
        <v>-96.446469248291578</v>
      </c>
      <c r="R134" s="118" t="e">
        <f t="shared" si="245"/>
        <v>#DIV/0!</v>
      </c>
      <c r="S134" s="128"/>
      <c r="T134" s="119">
        <f t="shared" ref="T134:AC134" si="362">T133*365/T25</f>
        <v>-93.63653846153845</v>
      </c>
      <c r="U134" s="119">
        <f t="shared" si="362"/>
        <v>-93.636538461538436</v>
      </c>
      <c r="V134" s="119">
        <f t="shared" si="362"/>
        <v>-93.63653846153845</v>
      </c>
      <c r="W134" s="119">
        <f t="shared" si="362"/>
        <v>-93.636538461538436</v>
      </c>
      <c r="X134" s="119">
        <f t="shared" si="362"/>
        <v>-93.636538461538436</v>
      </c>
      <c r="Y134" s="119">
        <f t="shared" si="362"/>
        <v>-93.63653846153845</v>
      </c>
      <c r="Z134" s="119">
        <f t="shared" si="362"/>
        <v>-93.636538461538436</v>
      </c>
      <c r="AA134" s="119">
        <f t="shared" si="362"/>
        <v>-93.636538461538436</v>
      </c>
      <c r="AB134" s="119">
        <f t="shared" si="362"/>
        <v>-93.636538461538422</v>
      </c>
      <c r="AC134" s="119">
        <f t="shared" si="362"/>
        <v>-93.636538461538407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 t="e">
        <f>G80/G29</f>
        <v>#DIV/0!</v>
      </c>
      <c r="H135" s="133" t="e">
        <f t="shared" ref="H135:P135" si="363">H80/H29</f>
        <v>#DIV/0!</v>
      </c>
      <c r="I135" s="133" t="e">
        <f t="shared" si="363"/>
        <v>#DIV/0!</v>
      </c>
      <c r="J135" s="133" t="e">
        <f t="shared" si="363"/>
        <v>#DIV/0!</v>
      </c>
      <c r="K135" s="133" t="e">
        <f t="shared" si="363"/>
        <v>#DIV/0!</v>
      </c>
      <c r="L135" s="133" t="e">
        <f t="shared" si="363"/>
        <v>#DIV/0!</v>
      </c>
      <c r="M135" s="133" t="e">
        <f t="shared" si="363"/>
        <v>#DIV/0!</v>
      </c>
      <c r="N135" s="133" t="e">
        <f t="shared" si="363"/>
        <v>#DIV/0!</v>
      </c>
      <c r="O135" s="133" t="e">
        <f t="shared" si="363"/>
        <v>#DIV/0!</v>
      </c>
      <c r="P135" s="133" t="e">
        <f t="shared" si="363"/>
        <v>#DIV/0!</v>
      </c>
      <c r="Q135" s="133">
        <f t="shared" ref="Q135" si="364">Q80/Q29</f>
        <v>0.20573080772509916</v>
      </c>
      <c r="R135" s="118" t="e">
        <f t="shared" si="245"/>
        <v>#DIV/0!</v>
      </c>
      <c r="S135" s="128"/>
      <c r="T135" s="133">
        <f t="shared" ref="T135:AC135" si="365">T80/T29</f>
        <v>0.19593410259533253</v>
      </c>
      <c r="U135" s="133">
        <f t="shared" si="365"/>
        <v>0.18660390723365003</v>
      </c>
      <c r="V135" s="133">
        <f t="shared" si="365"/>
        <v>0.17771800688919051</v>
      </c>
      <c r="W135" s="133">
        <f t="shared" si="365"/>
        <v>0.16925524465637193</v>
      </c>
      <c r="X135" s="133">
        <f t="shared" si="365"/>
        <v>0.16119547110130661</v>
      </c>
      <c r="Y135" s="133">
        <f t="shared" si="365"/>
        <v>0.15351949628695866</v>
      </c>
      <c r="Z135" s="133">
        <f t="shared" si="365"/>
        <v>0.14620904408281779</v>
      </c>
      <c r="AA135" s="133">
        <f t="shared" si="365"/>
        <v>0.13924670865030264</v>
      </c>
      <c r="AB135" s="133">
        <f t="shared" si="365"/>
        <v>0.13261591300028822</v>
      </c>
      <c r="AC135" s="133">
        <f t="shared" si="365"/>
        <v>0.12630086952408404</v>
      </c>
      <c r="AD135" s="118">
        <f t="shared" si="347"/>
        <v>-4.7619047619047561E-2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 t="e">
        <f>G25/G14</f>
        <v>#DIV/0!</v>
      </c>
      <c r="H137" s="180" t="e">
        <f t="shared" ref="H137:P137" si="366">H25/H14</f>
        <v>#DIV/0!</v>
      </c>
      <c r="I137" s="180" t="e">
        <f t="shared" si="366"/>
        <v>#DIV/0!</v>
      </c>
      <c r="J137" s="180" t="e">
        <f t="shared" si="366"/>
        <v>#DIV/0!</v>
      </c>
      <c r="K137" s="180" t="e">
        <f t="shared" si="366"/>
        <v>#DIV/0!</v>
      </c>
      <c r="L137" s="180" t="e">
        <f t="shared" si="366"/>
        <v>#DIV/0!</v>
      </c>
      <c r="M137" s="180" t="e">
        <f t="shared" si="366"/>
        <v>#DIV/0!</v>
      </c>
      <c r="N137" s="180" t="e">
        <f t="shared" si="366"/>
        <v>#DIV/0!</v>
      </c>
      <c r="O137" s="180" t="e">
        <f t="shared" si="366"/>
        <v>#DIV/0!</v>
      </c>
      <c r="P137" s="180" t="e">
        <f t="shared" si="366"/>
        <v>#DIV/0!</v>
      </c>
      <c r="Q137" s="180" t="e">
        <f t="shared" ref="Q137" si="367">Q25/Q14</f>
        <v>#DIV/0!</v>
      </c>
      <c r="R137" s="118" t="e">
        <f t="shared" si="245"/>
        <v>#DIV/0!</v>
      </c>
      <c r="S137" s="128"/>
      <c r="T137" s="20" t="e">
        <f t="shared" ref="T137" si="368">T25/T14</f>
        <v>#DIV/0!</v>
      </c>
      <c r="U137" s="20" t="e">
        <f t="shared" ref="U137:AC137" si="369">U25/U14</f>
        <v>#DIV/0!</v>
      </c>
      <c r="V137" s="20" t="e">
        <f t="shared" si="369"/>
        <v>#DIV/0!</v>
      </c>
      <c r="W137" s="20" t="e">
        <f t="shared" si="369"/>
        <v>#DIV/0!</v>
      </c>
      <c r="X137" s="20" t="e">
        <f t="shared" si="369"/>
        <v>#DIV/0!</v>
      </c>
      <c r="Y137" s="20" t="e">
        <f t="shared" si="369"/>
        <v>#DIV/0!</v>
      </c>
      <c r="Z137" s="20" t="e">
        <f t="shared" si="369"/>
        <v>#DIV/0!</v>
      </c>
      <c r="AA137" s="20" t="e">
        <f t="shared" si="369"/>
        <v>#DIV/0!</v>
      </c>
      <c r="AB137" s="20" t="e">
        <f t="shared" si="369"/>
        <v>#DIV/0!</v>
      </c>
      <c r="AC137" s="20" t="e">
        <f t="shared" si="369"/>
        <v>#DIV/0!</v>
      </c>
      <c r="AD137" s="118" t="e">
        <f t="shared" si="347"/>
        <v>#DIV/0!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 t="e">
        <f>G27/G14</f>
        <v>#DIV/0!</v>
      </c>
      <c r="H138" s="180" t="e">
        <f t="shared" ref="H138:P138" si="370">H27/H14</f>
        <v>#DIV/0!</v>
      </c>
      <c r="I138" s="180" t="e">
        <f t="shared" si="370"/>
        <v>#DIV/0!</v>
      </c>
      <c r="J138" s="180" t="e">
        <f t="shared" si="370"/>
        <v>#DIV/0!</v>
      </c>
      <c r="K138" s="180" t="e">
        <f t="shared" si="370"/>
        <v>#DIV/0!</v>
      </c>
      <c r="L138" s="180" t="e">
        <f t="shared" si="370"/>
        <v>#DIV/0!</v>
      </c>
      <c r="M138" s="180" t="e">
        <f t="shared" si="370"/>
        <v>#DIV/0!</v>
      </c>
      <c r="N138" s="180" t="e">
        <f t="shared" si="370"/>
        <v>#DIV/0!</v>
      </c>
      <c r="O138" s="180" t="e">
        <f t="shared" si="370"/>
        <v>#DIV/0!</v>
      </c>
      <c r="P138" s="180" t="e">
        <f t="shared" si="370"/>
        <v>#DIV/0!</v>
      </c>
      <c r="Q138" s="180" t="e">
        <f t="shared" ref="Q138" si="371">Q27/Q14</f>
        <v>#DIV/0!</v>
      </c>
      <c r="R138" s="118" t="e">
        <f t="shared" si="245"/>
        <v>#DIV/0!</v>
      </c>
      <c r="S138" s="128"/>
      <c r="T138" s="20" t="e">
        <f t="shared" ref="T138:AC138" si="372">T27/T14</f>
        <v>#DIV/0!</v>
      </c>
      <c r="U138" s="20" t="e">
        <f t="shared" si="372"/>
        <v>#DIV/0!</v>
      </c>
      <c r="V138" s="20" t="e">
        <f t="shared" si="372"/>
        <v>#DIV/0!</v>
      </c>
      <c r="W138" s="20" t="e">
        <f t="shared" si="372"/>
        <v>#DIV/0!</v>
      </c>
      <c r="X138" s="20" t="e">
        <f t="shared" si="372"/>
        <v>#DIV/0!</v>
      </c>
      <c r="Y138" s="20" t="e">
        <f t="shared" si="372"/>
        <v>#DIV/0!</v>
      </c>
      <c r="Z138" s="20" t="e">
        <f t="shared" si="372"/>
        <v>#DIV/0!</v>
      </c>
      <c r="AA138" s="20" t="e">
        <f t="shared" si="372"/>
        <v>#DIV/0!</v>
      </c>
      <c r="AB138" s="20" t="e">
        <f t="shared" si="372"/>
        <v>#DIV/0!</v>
      </c>
      <c r="AC138" s="20" t="e">
        <f t="shared" si="372"/>
        <v>#DIV/0!</v>
      </c>
      <c r="AD138" s="118" t="e">
        <f t="shared" si="347"/>
        <v>#DIV/0!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 t="e">
        <f>AVERAGE(G54:Q54)</f>
        <v>#DIV/0!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388.36948455820152</v>
      </c>
      <c r="T142" s="133">
        <f>PV($C$1, ($AC$3-$T$3), 0, -AC54)</f>
        <v>33.771259526800129</v>
      </c>
      <c r="U142" s="133">
        <f>PV($C$1, ($AC$3-$T$3), 0, -AF54)</f>
        <v>354.5982250314014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1826.3768528286128</v>
      </c>
      <c r="T143" s="133">
        <f>PV($C$1, ($AC$3-$T$3), 0, -AC56)</f>
        <v>158.81537850683588</v>
      </c>
      <c r="U143" s="133">
        <f>PV($C$1, ($AC$3-$T$3), 0, -AF56)</f>
        <v>1667.5614743217768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1745.0273161524042</v>
      </c>
      <c r="T144" s="133">
        <f>PV($C$1, ($AC$3-$T$3), 0, -AC57)</f>
        <v>151.74150575238298</v>
      </c>
      <c r="U144" s="133">
        <f>PV($C$1, ($AC$3-$T$3), 0, -AF57)</f>
        <v>1593.2858104000213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0</v>
      </c>
      <c r="T145" s="133">
        <f>PV($C$1, ($AC$3-$T$3), 0, -AC58)</f>
        <v>0</v>
      </c>
      <c r="U145" s="133">
        <f>PV($C$1, ($AC$3-$T$3), 0, -AF58)</f>
        <v>0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553.49586718910803</v>
      </c>
      <c r="T146" s="133">
        <f>PV($C$1, ($AC$3-$T$3), 0, -AC64)</f>
        <v>48.130075407748514</v>
      </c>
      <c r="U146" s="133">
        <f>PV($C$1, ($AC$3-$T$3), 0, -AF64)</f>
        <v>505.36579178135946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1826.3768528286128</v>
      </c>
      <c r="T148" s="133">
        <f>PV($C$1, ($AC$3-$T$3), 0, -AC60)</f>
        <v>158.81537850683588</v>
      </c>
      <c r="U148" s="133">
        <f>PV($C$1, ($AC$3-$T$3), 0, -$AF$60)</f>
        <v>1667.5614743217768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971.4091732512012</v>
      </c>
      <c r="T149" s="133">
        <f>PV($C$1, ($AC$3-$T$3), 0, -AC61)</f>
        <v>84.470362891408783</v>
      </c>
      <c r="U149" s="133">
        <f>PV($C$1, ($AC$3-$T$3), 0, -$AF$61)</f>
        <v>886.93881035979246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1536.0706631213573</v>
      </c>
      <c r="T150" s="133">
        <f>PV($C$1, ($AC$3-$T$3), 0, -AC62)</f>
        <v>133.5713620105528</v>
      </c>
      <c r="U150" s="133">
        <f>PV($C$1, ($AC$3-$T$3), 0, -$AF$62)</f>
        <v>1402.4993011108045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564.66148987015629</v>
      </c>
      <c r="T152" s="133">
        <f>PV($C$1, ($AC$3-$T$3), 0, -AC67)</f>
        <v>49.100999119144014</v>
      </c>
      <c r="U152" s="133">
        <f>PV($C$1, ($AC$3-$T$3), 0, -AF67)</f>
        <v>515.56049075101225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-123.35354580967632</v>
      </c>
      <c r="T153" s="133">
        <f>PV($C$1, ($AC$3-$T$3), 0, -AC68)</f>
        <v>-16.08959293169691</v>
      </c>
      <c r="U153" s="133">
        <f>PV($C$1, ($AC$3-$T$3), 0, -AF68)</f>
        <v>-107.26395287797941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4589.0750000000007</v>
      </c>
      <c r="T155" s="133">
        <f>PV($C$1, ($AC$3-$T$3), 0, -AC12)</f>
        <v>399.04999999999995</v>
      </c>
      <c r="U155" s="133">
        <f>PV($C$1, ($AC$3-$T$3), 0, -AF12)</f>
        <v>4190.0250000000005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901.58644400785863</v>
      </c>
      <c r="T156" s="140">
        <f>T155/P42</f>
        <v>78.398821218074644</v>
      </c>
      <c r="U156" s="140">
        <f>U155/P42</f>
        <v>823.18762278978397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96.724460689080615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63.754192964038964</v>
      </c>
      <c r="U159" s="133">
        <f>PV($C$1, ($AC$3-$T$3), 0, -AF70)</f>
        <v>32.970267725041644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7014.0066428046057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4623.1566428046053</v>
      </c>
      <c r="U161" s="133">
        <f>PV($C$1, ($AC$3-$T$3), 0, -AF72)</f>
        <v>2390.8500000000004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845.97085234590838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557.60651006144383</v>
      </c>
      <c r="U163" s="133">
        <f>PV($C$1, ($AC$3-$T$3), 0, -AF74)</f>
        <v>288.36434228446456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226.44674330471281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149.25830824877031</v>
      </c>
      <c r="U164" s="133">
        <f>PV($C$1, ($AC$3-$T$3), 0, -AF75)</f>
        <v>77.18843505594252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619.52410904119552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408.34820181267355</v>
      </c>
      <c r="U165" s="133">
        <f>PV($C$1, ($AC$3-$T$3), 0, -AF76)</f>
        <v>211.17590722852202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-910.05955328120422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-599.84942749034087</v>
      </c>
      <c r="U166" s="133">
        <f>PV($C$1, ($AC$3-$T$3), 0, -AF77)</f>
        <v>-310.21012579086329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320.44350467648047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211.2145871444863</v>
      </c>
      <c r="U168" s="133">
        <f>PV($C$1, ($AC$3-$T$3), 0, -AF78)</f>
        <v>109.22891753199416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450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690</v>
      </c>
      <c r="Q170" s="20"/>
      <c r="R170" s="20">
        <v>400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1000</v>
      </c>
      <c r="P171" s="22">
        <v>820</v>
      </c>
      <c r="Q171" s="22">
        <v>800</v>
      </c>
      <c r="R171" s="118" t="e">
        <f t="shared" ref="R171:R176" si="377">((P171/G171)^(1/($H$2-$H$1) ))-1</f>
        <v>#DIV/0!</v>
      </c>
      <c r="S171" s="31">
        <v>0</v>
      </c>
      <c r="T171" s="119">
        <f t="shared" ref="T171" si="378">P171*(1+$S171)</f>
        <v>820</v>
      </c>
      <c r="U171" s="119">
        <f t="shared" ref="U171:AC171" si="379">T171*(1+$S171)</f>
        <v>820</v>
      </c>
      <c r="V171" s="119">
        <f t="shared" si="379"/>
        <v>820</v>
      </c>
      <c r="W171" s="119">
        <f t="shared" si="379"/>
        <v>820</v>
      </c>
      <c r="X171" s="119">
        <f t="shared" si="379"/>
        <v>820</v>
      </c>
      <c r="Y171" s="119">
        <f t="shared" si="379"/>
        <v>820</v>
      </c>
      <c r="Z171" s="119">
        <f t="shared" si="379"/>
        <v>820</v>
      </c>
      <c r="AA171" s="119">
        <f t="shared" si="379"/>
        <v>820</v>
      </c>
      <c r="AB171" s="119">
        <f t="shared" si="379"/>
        <v>820</v>
      </c>
      <c r="AC171" s="119">
        <f t="shared" si="379"/>
        <v>820</v>
      </c>
      <c r="AD171" s="138" t="e">
        <f t="shared" ref="AD171:AD176" si="380">((AC171/G171)^(1/($AC$3-$H$1) ))-1</f>
        <v>#DIV/0!</v>
      </c>
      <c r="AE171" s="31">
        <v>0.08</v>
      </c>
      <c r="AF171" s="127" t="e">
        <f t="shared" ref="AF171:AF179" si="381">(AC171*(1+AD171))/($C$1-AE171)</f>
        <v>#DIV/0!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</v>
      </c>
      <c r="H172" s="25" t="e">
        <f t="shared" si="382"/>
        <v>#DIV/0!</v>
      </c>
      <c r="I172" s="25" t="e">
        <f t="shared" si="382"/>
        <v>#DIV/0!</v>
      </c>
      <c r="J172" s="25">
        <f t="shared" si="382"/>
        <v>0</v>
      </c>
      <c r="K172" s="25" t="e">
        <f t="shared" si="382"/>
        <v>#DIV/0!</v>
      </c>
      <c r="L172" s="25" t="e">
        <f t="shared" si="382"/>
        <v>#DIV/0!</v>
      </c>
      <c r="M172" s="25" t="e">
        <f t="shared" si="382"/>
        <v>#DIV/0!</v>
      </c>
      <c r="N172" s="25">
        <f t="shared" si="382"/>
        <v>0</v>
      </c>
      <c r="O172" s="25">
        <f t="shared" si="382"/>
        <v>9.6768060836501899</v>
      </c>
      <c r="P172" s="25">
        <f t="shared" si="382"/>
        <v>7.9804971319311662</v>
      </c>
      <c r="Q172" s="25">
        <f t="shared" ref="Q172" si="383">Q171/Q50</f>
        <v>9.2756264236902055</v>
      </c>
      <c r="R172" s="118" t="e">
        <f t="shared" ref="R172" si="384">((P172/G172)^(1/($H$2-$H$1) ))-1</f>
        <v>#DIV/0!</v>
      </c>
      <c r="S172" s="128"/>
      <c r="T172" s="25">
        <f t="shared" ref="T172:AC172" si="385">T171/T50</f>
        <v>8.4278653846153837</v>
      </c>
      <c r="U172" s="25">
        <f t="shared" si="385"/>
        <v>7.6950075250836116</v>
      </c>
      <c r="V172" s="25">
        <f t="shared" si="385"/>
        <v>7.0258764359459072</v>
      </c>
      <c r="W172" s="25">
        <f t="shared" si="385"/>
        <v>6.4149306589071333</v>
      </c>
      <c r="X172" s="25">
        <f t="shared" si="385"/>
        <v>5.8571106016108621</v>
      </c>
      <c r="Y172" s="25">
        <f t="shared" si="385"/>
        <v>5.3477966362533955</v>
      </c>
      <c r="Z172" s="25">
        <f t="shared" si="385"/>
        <v>4.8827708417965789</v>
      </c>
      <c r="AA172" s="25">
        <f t="shared" si="385"/>
        <v>4.4581820729447035</v>
      </c>
      <c r="AB172" s="25">
        <f t="shared" si="385"/>
        <v>4.0705140666016861</v>
      </c>
      <c r="AC172" s="25">
        <f t="shared" si="385"/>
        <v>3.7165563216798008</v>
      </c>
      <c r="AD172" s="138" t="e">
        <f t="shared" ref="AD172" si="386">((AC172/G172)^(1/($AC$3-$H$1) ))-1</f>
        <v>#DIV/0!</v>
      </c>
      <c r="AE172" s="31">
        <v>0.08</v>
      </c>
      <c r="AF172" s="127" t="e">
        <f t="shared" ref="AF172" si="387">(AC172*(1+AD172))/($C$1-AE172)</f>
        <v>#DIV/0!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0</v>
      </c>
      <c r="H173" s="25" t="e">
        <f t="shared" si="388"/>
        <v>#DIV/0!</v>
      </c>
      <c r="I173" s="25" t="e">
        <f t="shared" si="388"/>
        <v>#DIV/0!</v>
      </c>
      <c r="J173" s="25">
        <f t="shared" si="388"/>
        <v>0</v>
      </c>
      <c r="K173" s="25" t="e">
        <f t="shared" si="388"/>
        <v>#DIV/0!</v>
      </c>
      <c r="L173" s="25" t="e">
        <f t="shared" si="388"/>
        <v>#DIV/0!</v>
      </c>
      <c r="M173" s="25" t="e">
        <f t="shared" si="388"/>
        <v>#DIV/0!</v>
      </c>
      <c r="N173" s="25">
        <f t="shared" si="388"/>
        <v>0</v>
      </c>
      <c r="O173" s="25">
        <f t="shared" si="388"/>
        <v>17.797202797202797</v>
      </c>
      <c r="P173" s="25">
        <f t="shared" si="388"/>
        <v>14.006040268456376</v>
      </c>
      <c r="Q173" s="25">
        <f t="shared" ref="Q173" si="389">Q171/Q54</f>
        <v>26.614379084967318</v>
      </c>
      <c r="R173" s="118" t="e">
        <f t="shared" si="377"/>
        <v>#DIV/0!</v>
      </c>
      <c r="S173" s="128"/>
      <c r="T173" s="119">
        <f t="shared" ref="T173:AC173" si="390">T171/T54</f>
        <v>15.65175</v>
      </c>
      <c r="U173" s="119">
        <f t="shared" si="390"/>
        <v>14.290728260869564</v>
      </c>
      <c r="V173" s="119">
        <f t="shared" si="390"/>
        <v>13.048056238185255</v>
      </c>
      <c r="W173" s="119">
        <f t="shared" si="390"/>
        <v>11.913442652256105</v>
      </c>
      <c r="X173" s="119">
        <f t="shared" si="390"/>
        <v>10.877491117277314</v>
      </c>
      <c r="Y173" s="119">
        <f t="shared" si="390"/>
        <v>9.9316223244705917</v>
      </c>
      <c r="Z173" s="119">
        <f t="shared" si="390"/>
        <v>9.0680029919079317</v>
      </c>
      <c r="AA173" s="119">
        <f t="shared" si="390"/>
        <v>8.2794809926115907</v>
      </c>
      <c r="AB173" s="119">
        <f t="shared" si="390"/>
        <v>7.5595261236888449</v>
      </c>
      <c r="AC173" s="119">
        <f t="shared" si="390"/>
        <v>6.9021760259767717</v>
      </c>
      <c r="AD173" s="138" t="e">
        <f t="shared" si="380"/>
        <v>#DIV/0!</v>
      </c>
      <c r="AE173" s="31">
        <v>0.08</v>
      </c>
      <c r="AF173" s="127" t="e">
        <f t="shared" si="381"/>
        <v>#DIV/0!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0</v>
      </c>
      <c r="H174" s="25" t="e">
        <f t="shared" si="391"/>
        <v>#DIV/0!</v>
      </c>
      <c r="I174" s="25" t="e">
        <f t="shared" si="391"/>
        <v>#DIV/0!</v>
      </c>
      <c r="J174" s="25">
        <f t="shared" si="391"/>
        <v>0</v>
      </c>
      <c r="K174" s="25" t="e">
        <f t="shared" si="391"/>
        <v>#DIV/0!</v>
      </c>
      <c r="L174" s="25" t="e">
        <f t="shared" si="391"/>
        <v>#DIV/0!</v>
      </c>
      <c r="M174" s="25" t="e">
        <f t="shared" si="391"/>
        <v>#DIV/0!</v>
      </c>
      <c r="N174" s="25">
        <f t="shared" si="391"/>
        <v>0</v>
      </c>
      <c r="O174" s="25">
        <f t="shared" si="391"/>
        <v>5.3805496828752641</v>
      </c>
      <c r="P174" s="25">
        <f t="shared" si="391"/>
        <v>3.7771945701357463</v>
      </c>
      <c r="Q174" s="25">
        <f t="shared" ref="Q174" si="392">Q171/Q57</f>
        <v>3.722120658135283</v>
      </c>
      <c r="R174" s="118" t="e">
        <f t="shared" si="377"/>
        <v>#DIV/0!</v>
      </c>
      <c r="S174" s="128"/>
      <c r="T174" s="119">
        <f t="shared" ref="T174:AC174" si="393">T171/T57</f>
        <v>3.4834194420157383</v>
      </c>
      <c r="U174" s="119">
        <f t="shared" si="393"/>
        <v>3.180513403579587</v>
      </c>
      <c r="V174" s="119">
        <f t="shared" si="393"/>
        <v>2.9039470206596234</v>
      </c>
      <c r="W174" s="119">
        <f t="shared" si="393"/>
        <v>2.651429888428352</v>
      </c>
      <c r="X174" s="119">
        <f t="shared" si="393"/>
        <v>2.4208707676954524</v>
      </c>
      <c r="Y174" s="119">
        <f t="shared" si="393"/>
        <v>2.2103602661567172</v>
      </c>
      <c r="Z174" s="119">
        <f t="shared" si="393"/>
        <v>2.0181550256213505</v>
      </c>
      <c r="AA174" s="119">
        <f t="shared" si="393"/>
        <v>1.8426632842629729</v>
      </c>
      <c r="AB174" s="119">
        <f t="shared" si="393"/>
        <v>1.6824316943270623</v>
      </c>
      <c r="AC174" s="119">
        <f t="shared" si="393"/>
        <v>1.536133286124709</v>
      </c>
      <c r="AD174" s="138" t="e">
        <f t="shared" si="380"/>
        <v>#DIV/0!</v>
      </c>
      <c r="AE174" s="31">
        <v>0.08</v>
      </c>
      <c r="AF174" s="127" t="e">
        <f t="shared" si="381"/>
        <v>#DIV/0!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 t="e">
        <f t="shared" si="394"/>
        <v>#DIV/0!</v>
      </c>
      <c r="H175" s="25" t="e">
        <f t="shared" si="394"/>
        <v>#DIV/0!</v>
      </c>
      <c r="I175" s="25" t="e">
        <f t="shared" si="394"/>
        <v>#DIV/0!</v>
      </c>
      <c r="J175" s="25" t="e">
        <f t="shared" si="394"/>
        <v>#DIV/0!</v>
      </c>
      <c r="K175" s="25" t="e">
        <f t="shared" si="394"/>
        <v>#DIV/0!</v>
      </c>
      <c r="L175" s="25" t="e">
        <f t="shared" si="394"/>
        <v>#DIV/0!</v>
      </c>
      <c r="M175" s="25" t="e">
        <f t="shared" si="394"/>
        <v>#DIV/0!</v>
      </c>
      <c r="N175" s="25">
        <f t="shared" si="394"/>
        <v>0</v>
      </c>
      <c r="O175" s="25">
        <f t="shared" si="394"/>
        <v>3.4815321477428176</v>
      </c>
      <c r="P175" s="25">
        <f t="shared" si="394"/>
        <v>2.9496819787985871</v>
      </c>
      <c r="Q175" s="25">
        <f t="shared" ref="Q175" si="395">Q171/Q66</f>
        <v>2.8777385159010604</v>
      </c>
      <c r="R175" s="118" t="e">
        <f t="shared" si="377"/>
        <v>#DIV/0!</v>
      </c>
      <c r="S175" s="128"/>
      <c r="T175" s="119">
        <f t="shared" ref="T175:AC175" si="396">T171/T66</f>
        <v>2.6931878936856664</v>
      </c>
      <c r="U175" s="119">
        <f t="shared" si="396"/>
        <v>2.4589976420608259</v>
      </c>
      <c r="V175" s="119">
        <f t="shared" si="396"/>
        <v>2.2451717601424934</v>
      </c>
      <c r="W175" s="119">
        <f t="shared" si="396"/>
        <v>2.0499394331735812</v>
      </c>
      <c r="X175" s="119">
        <f t="shared" si="396"/>
        <v>1.8716838302889223</v>
      </c>
      <c r="Y175" s="119">
        <f t="shared" si="396"/>
        <v>1.7089287146116248</v>
      </c>
      <c r="Z175" s="119">
        <f t="shared" si="396"/>
        <v>1.560326217688875</v>
      </c>
      <c r="AA175" s="119">
        <f t="shared" si="396"/>
        <v>1.4246456770202776</v>
      </c>
      <c r="AB175" s="119">
        <f t="shared" si="396"/>
        <v>1.3007634442359057</v>
      </c>
      <c r="AC175" s="119">
        <f t="shared" si="396"/>
        <v>1.18765357951974</v>
      </c>
      <c r="AD175" s="138" t="e">
        <f t="shared" si="380"/>
        <v>#DIV/0!</v>
      </c>
      <c r="AE175" s="31">
        <v>0.08</v>
      </c>
      <c r="AF175" s="127" t="e">
        <f t="shared" si="381"/>
        <v>#DIV/0!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 t="e">
        <f t="shared" si="397"/>
        <v>#DIV/0!</v>
      </c>
      <c r="H176" s="25" t="e">
        <f t="shared" si="397"/>
        <v>#DIV/0!</v>
      </c>
      <c r="I176" s="25" t="e">
        <f t="shared" si="397"/>
        <v>#DIV/0!</v>
      </c>
      <c r="J176" s="25" t="e">
        <f t="shared" si="397"/>
        <v>#DIV/0!</v>
      </c>
      <c r="K176" s="25" t="e">
        <f t="shared" si="397"/>
        <v>#DIV/0!</v>
      </c>
      <c r="L176" s="25" t="e">
        <f t="shared" si="397"/>
        <v>#DIV/0!</v>
      </c>
      <c r="M176" s="25" t="e">
        <f t="shared" si="397"/>
        <v>#DIV/0!</v>
      </c>
      <c r="N176" s="25">
        <f t="shared" si="397"/>
        <v>0</v>
      </c>
      <c r="O176" s="25">
        <f t="shared" si="397"/>
        <v>-14.926686217008799</v>
      </c>
      <c r="P176" s="25">
        <f t="shared" si="397"/>
        <v>-35.981034482758616</v>
      </c>
      <c r="Q176" s="25">
        <f t="shared" ref="Q176" si="398">Q171/Q68</f>
        <v>-35.103448275862064</v>
      </c>
      <c r="R176" s="118" t="e">
        <f t="shared" si="377"/>
        <v>#DIV/0!</v>
      </c>
      <c r="S176" s="128"/>
      <c r="T176" s="119">
        <f t="shared" ref="T176:AC176" si="399">T171/T68</f>
        <v>-32.852248875562225</v>
      </c>
      <c r="U176" s="119">
        <f t="shared" si="399"/>
        <v>-29.995531582035074</v>
      </c>
      <c r="V176" s="119">
        <f t="shared" si="399"/>
        <v>-27.387224487945069</v>
      </c>
      <c r="W176" s="119">
        <f t="shared" si="399"/>
        <v>-25.005726706384632</v>
      </c>
      <c r="X176" s="119">
        <f t="shared" si="399"/>
        <v>-22.831315688438149</v>
      </c>
      <c r="Y176" s="119">
        <f t="shared" si="399"/>
        <v>-20.845983889443527</v>
      </c>
      <c r="Z176" s="119">
        <f t="shared" si="399"/>
        <v>-19.033289638187568</v>
      </c>
      <c r="AA176" s="119">
        <f t="shared" si="399"/>
        <v>-17.378220973997347</v>
      </c>
      <c r="AB176" s="119">
        <f t="shared" si="399"/>
        <v>-15.86707132408454</v>
      </c>
      <c r="AC176" s="119">
        <f t="shared" si="399"/>
        <v>-14.48732599155545</v>
      </c>
      <c r="AD176" s="138" t="e">
        <f t="shared" si="380"/>
        <v>#DIV/0!</v>
      </c>
      <c r="AE176" s="31">
        <v>0.08</v>
      </c>
      <c r="AF176" s="127" t="e">
        <f t="shared" si="381"/>
        <v>#DIV/0!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0</v>
      </c>
      <c r="H177" s="182" t="e">
        <f t="shared" si="400"/>
        <v>#DIV/0!</v>
      </c>
      <c r="I177" s="182" t="e">
        <f t="shared" si="400"/>
        <v>#DIV/0!</v>
      </c>
      <c r="J177" s="182" t="e">
        <f t="shared" si="400"/>
        <v>#DIV/0!</v>
      </c>
      <c r="K177" s="182" t="e">
        <f t="shared" si="400"/>
        <v>#DIV/0!</v>
      </c>
      <c r="L177" s="182" t="e">
        <f t="shared" si="400"/>
        <v>#DIV/0!</v>
      </c>
      <c r="M177" s="182" t="e">
        <f t="shared" si="400"/>
        <v>#DIV/0!</v>
      </c>
      <c r="N177" s="182">
        <f t="shared" si="400"/>
        <v>0</v>
      </c>
      <c r="O177" s="182">
        <f t="shared" si="400"/>
        <v>7.9655712050078247</v>
      </c>
      <c r="P177" s="182">
        <f t="shared" si="400"/>
        <v>4.2852156057494861</v>
      </c>
      <c r="Q177" s="182">
        <f t="shared" ref="Q177" si="401">Q171/Q62</f>
        <v>4.2284527518172377</v>
      </c>
      <c r="R177" s="118" t="e">
        <f t="shared" ref="R177:R180" si="402">((P177/G177)^(1/($H$2-$H$1) ))-1</f>
        <v>#DIV/0!</v>
      </c>
      <c r="S177" s="128"/>
      <c r="T177" s="135">
        <f t="shared" ref="T177:AC177" si="403">T171/T62</f>
        <v>3.957280238385481</v>
      </c>
      <c r="U177" s="135">
        <f t="shared" si="403"/>
        <v>3.6131689133084821</v>
      </c>
      <c r="V177" s="135">
        <f t="shared" si="403"/>
        <v>3.2989803121512233</v>
      </c>
      <c r="W177" s="135">
        <f t="shared" si="403"/>
        <v>3.0121124589206829</v>
      </c>
      <c r="X177" s="135">
        <f t="shared" si="403"/>
        <v>2.7501896364058411</v>
      </c>
      <c r="Y177" s="135">
        <f t="shared" si="403"/>
        <v>2.5110427115009855</v>
      </c>
      <c r="Z177" s="135">
        <f t="shared" si="403"/>
        <v>2.2926911713704654</v>
      </c>
      <c r="AA177" s="135">
        <f t="shared" si="403"/>
        <v>2.0933267216860774</v>
      </c>
      <c r="AB177" s="135">
        <f t="shared" si="403"/>
        <v>1.9112983111046802</v>
      </c>
      <c r="AC177" s="135">
        <f t="shared" si="403"/>
        <v>1.7450984579651423</v>
      </c>
      <c r="AD177" s="138" t="e">
        <f t="shared" ref="AD177" si="404">((AC177/G177)^(1/($AC$3-$H$1) ))-1</f>
        <v>#DIV/0!</v>
      </c>
      <c r="AE177" s="31">
        <v>0.08</v>
      </c>
      <c r="AF177" s="127" t="e">
        <f t="shared" si="381"/>
        <v>#DIV/0!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 t="e">
        <f t="shared" si="405"/>
        <v>#DIV/0!</v>
      </c>
      <c r="H178" s="161" t="e">
        <f t="shared" si="405"/>
        <v>#DIV/0!</v>
      </c>
      <c r="I178" s="161" t="e">
        <f t="shared" si="405"/>
        <v>#DIV/0!</v>
      </c>
      <c r="J178" s="161" t="e">
        <f t="shared" si="405"/>
        <v>#DIV/0!</v>
      </c>
      <c r="K178" s="161" t="e">
        <f t="shared" si="405"/>
        <v>#DIV/0!</v>
      </c>
      <c r="L178" s="161" t="e">
        <f t="shared" si="405"/>
        <v>#DIV/0!</v>
      </c>
      <c r="M178" s="161" t="e">
        <f t="shared" si="405"/>
        <v>#DIV/0!</v>
      </c>
      <c r="N178" s="161" t="e">
        <f t="shared" si="405"/>
        <v>#DIV/0!</v>
      </c>
      <c r="O178" s="161">
        <f t="shared" si="405"/>
        <v>5.6188605108055012E-2</v>
      </c>
      <c r="P178" s="161">
        <f t="shared" si="405"/>
        <v>7.139776702285687E-2</v>
      </c>
      <c r="Q178" s="161">
        <f t="shared" ref="Q178" si="406">Q54/Q171</f>
        <v>3.7573673870333987E-2</v>
      </c>
      <c r="R178" s="118" t="e">
        <f t="shared" si="402"/>
        <v>#DIV/0!</v>
      </c>
      <c r="S178" s="128"/>
      <c r="T178" s="161">
        <f t="shared" ref="T178:AC178" si="407">T54/T171</f>
        <v>6.3890619259827169E-2</v>
      </c>
      <c r="U178" s="161">
        <f t="shared" si="407"/>
        <v>6.9975440141715486E-2</v>
      </c>
      <c r="V178" s="161">
        <f t="shared" si="407"/>
        <v>7.6639767774259807E-2</v>
      </c>
      <c r="W178" s="161">
        <f t="shared" si="407"/>
        <v>8.393879327657025E-2</v>
      </c>
      <c r="X178" s="161">
        <f t="shared" si="407"/>
        <v>9.1932964064815034E-2</v>
      </c>
      <c r="Y178" s="161">
        <f t="shared" si="407"/>
        <v>0.10068848445194027</v>
      </c>
      <c r="Z178" s="161">
        <f t="shared" si="407"/>
        <v>0.11027786392355361</v>
      </c>
      <c r="AA178" s="161">
        <f t="shared" si="407"/>
        <v>0.12078051763055871</v>
      </c>
      <c r="AB178" s="161">
        <f t="shared" si="407"/>
        <v>0.13228342407156429</v>
      </c>
      <c r="AC178" s="161">
        <f t="shared" si="407"/>
        <v>0.14488184541171326</v>
      </c>
      <c r="AD178" s="138" t="e">
        <f t="shared" ref="AD178:AD180" si="408">((AC178/G178)^(1/($AC$3-$H$1) ))-1</f>
        <v>#DIV/0!</v>
      </c>
      <c r="AE178" s="31">
        <v>0.08</v>
      </c>
      <c r="AF178" s="127" t="e">
        <f t="shared" si="381"/>
        <v>#DIV/0!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 t="e">
        <f t="shared" si="409"/>
        <v>#DIV/0!</v>
      </c>
      <c r="H179" s="152" t="e">
        <f t="shared" si="409"/>
        <v>#DIV/0!</v>
      </c>
      <c r="I179" s="152" t="e">
        <f t="shared" si="409"/>
        <v>#DIV/0!</v>
      </c>
      <c r="J179" s="152" t="e">
        <f t="shared" si="409"/>
        <v>#DIV/0!</v>
      </c>
      <c r="K179" s="152" t="e">
        <f t="shared" si="409"/>
        <v>#DIV/0!</v>
      </c>
      <c r="L179" s="152" t="e">
        <f t="shared" si="409"/>
        <v>#DIV/0!</v>
      </c>
      <c r="M179" s="152" t="e">
        <f t="shared" si="409"/>
        <v>#DIV/0!</v>
      </c>
      <c r="N179" s="152" t="e">
        <f t="shared" si="409"/>
        <v>#DIV/0!</v>
      </c>
      <c r="O179" s="152">
        <f t="shared" si="409"/>
        <v>2.4E-2</v>
      </c>
      <c r="P179" s="152">
        <f t="shared" si="409"/>
        <v>2.9268292682926831E-2</v>
      </c>
      <c r="Q179" s="152">
        <f t="shared" ref="Q179" si="410">Q44/Q171</f>
        <v>1.2500000000000001E-2</v>
      </c>
      <c r="R179" s="118" t="e">
        <f t="shared" si="402"/>
        <v>#DIV/0!</v>
      </c>
      <c r="S179" s="128"/>
      <c r="T179" s="152">
        <f t="shared" ref="T179:AC179" si="411">T44/T171</f>
        <v>1.2317073170731706E-2</v>
      </c>
      <c r="U179" s="152">
        <f t="shared" si="411"/>
        <v>1.2440243902439025E-2</v>
      </c>
      <c r="V179" s="152">
        <f t="shared" si="411"/>
        <v>1.2564646341463415E-2</v>
      </c>
      <c r="W179" s="152">
        <f t="shared" si="411"/>
        <v>1.2690292804878048E-2</v>
      </c>
      <c r="X179" s="152">
        <f t="shared" si="411"/>
        <v>1.281719573292683E-2</v>
      </c>
      <c r="Y179" s="152">
        <f t="shared" si="411"/>
        <v>1.2945367690256098E-2</v>
      </c>
      <c r="Z179" s="152">
        <f t="shared" si="411"/>
        <v>1.307482136715866E-2</v>
      </c>
      <c r="AA179" s="152">
        <f t="shared" si="411"/>
        <v>1.3205569580830245E-2</v>
      </c>
      <c r="AB179" s="152">
        <f t="shared" si="411"/>
        <v>1.3337625276638548E-2</v>
      </c>
      <c r="AC179" s="152">
        <f t="shared" si="411"/>
        <v>1.3471001529404935E-2</v>
      </c>
      <c r="AD179" s="138" t="e">
        <f t="shared" si="408"/>
        <v>#DIV/0!</v>
      </c>
      <c r="AE179" s="31">
        <v>0.08</v>
      </c>
      <c r="AF179" s="127" t="e">
        <f t="shared" si="381"/>
        <v>#DIV/0!</v>
      </c>
    </row>
    <row r="180" spans="2:46" x14ac:dyDescent="0.2">
      <c r="B180" s="20" t="s">
        <v>446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0</v>
      </c>
      <c r="H180" s="181" t="e">
        <f t="shared" si="412"/>
        <v>#DIV/0!</v>
      </c>
      <c r="I180" s="181" t="e">
        <f t="shared" si="412"/>
        <v>#DIV/0!</v>
      </c>
      <c r="J180" s="181">
        <f t="shared" si="412"/>
        <v>0</v>
      </c>
      <c r="K180" s="181" t="e">
        <f t="shared" si="412"/>
        <v>#DIV/0!</v>
      </c>
      <c r="L180" s="181" t="e">
        <f t="shared" si="412"/>
        <v>#DIV/0!</v>
      </c>
      <c r="M180" s="181" t="e">
        <f t="shared" si="412"/>
        <v>#DIV/0!</v>
      </c>
      <c r="N180" s="181">
        <f t="shared" si="412"/>
        <v>0</v>
      </c>
      <c r="O180" s="181">
        <f t="shared" si="412"/>
        <v>1.1864801864801864</v>
      </c>
      <c r="P180" s="181">
        <f>(P173)/($L$2*100)</f>
        <v>0.93373601789709171</v>
      </c>
      <c r="Q180" s="181">
        <f>(Q173)/($L$2*100)</f>
        <v>1.7742919389978211</v>
      </c>
      <c r="R180" s="118" t="e">
        <f t="shared" si="402"/>
        <v>#DIV/0!</v>
      </c>
      <c r="S180" s="128"/>
      <c r="T180" s="181">
        <f>(T173)/($L$2*100)</f>
        <v>1.04345</v>
      </c>
      <c r="U180" s="181">
        <f t="shared" ref="U180:AC180" si="413">(U173)/($L$2*100)</f>
        <v>0.95271521739130427</v>
      </c>
      <c r="V180" s="181">
        <f t="shared" si="413"/>
        <v>0.86987041587901703</v>
      </c>
      <c r="W180" s="181">
        <f t="shared" si="413"/>
        <v>0.79422951015040699</v>
      </c>
      <c r="X180" s="181">
        <f t="shared" si="413"/>
        <v>0.72516607448515424</v>
      </c>
      <c r="Y180" s="181">
        <f t="shared" si="413"/>
        <v>0.6621081549647061</v>
      </c>
      <c r="Z180" s="181">
        <f t="shared" si="413"/>
        <v>0.60453353279386213</v>
      </c>
      <c r="AA180" s="181">
        <f t="shared" si="413"/>
        <v>0.55196539950743939</v>
      </c>
      <c r="AB180" s="181">
        <f t="shared" si="413"/>
        <v>0.50396840824592304</v>
      </c>
      <c r="AC180" s="181">
        <f t="shared" si="413"/>
        <v>0.46014506839845143</v>
      </c>
      <c r="AD180" s="138" t="e">
        <f t="shared" si="408"/>
        <v>#DIV/0!</v>
      </c>
      <c r="AE180" s="31">
        <v>0.08</v>
      </c>
      <c r="AF180" s="181" t="e">
        <f>(AF173)/($L$2*100)</f>
        <v>#DIV/0!</v>
      </c>
    </row>
    <row r="181" spans="2:46" x14ac:dyDescent="0.2">
      <c r="B181" s="20" t="s">
        <v>447</v>
      </c>
      <c r="C181" s="152"/>
      <c r="D181" s="152"/>
      <c r="E181" s="152"/>
      <c r="F181" s="152"/>
      <c r="G181" s="152">
        <f t="shared" ref="G181:P181" si="414">G180-1</f>
        <v>-1</v>
      </c>
      <c r="H181" s="152" t="e">
        <f t="shared" si="414"/>
        <v>#DIV/0!</v>
      </c>
      <c r="I181" s="152" t="e">
        <f t="shared" si="414"/>
        <v>#DIV/0!</v>
      </c>
      <c r="J181" s="152">
        <f t="shared" si="414"/>
        <v>-1</v>
      </c>
      <c r="K181" s="152" t="e">
        <f t="shared" si="414"/>
        <v>#DIV/0!</v>
      </c>
      <c r="L181" s="152" t="e">
        <f t="shared" si="414"/>
        <v>#DIV/0!</v>
      </c>
      <c r="M181" s="152" t="e">
        <f t="shared" si="414"/>
        <v>#DIV/0!</v>
      </c>
      <c r="N181" s="152">
        <f t="shared" si="414"/>
        <v>-1</v>
      </c>
      <c r="O181" s="152">
        <f t="shared" si="414"/>
        <v>0.18648018648018638</v>
      </c>
      <c r="P181" s="152">
        <f t="shared" si="414"/>
        <v>-6.6263982102908292E-2</v>
      </c>
      <c r="Q181" s="152">
        <f>Q180-1</f>
        <v>0.77429193899782112</v>
      </c>
      <c r="R181" s="128"/>
      <c r="S181" s="128"/>
      <c r="T181" s="152">
        <f>T180-1</f>
        <v>4.3449999999999989E-2</v>
      </c>
      <c r="U181" s="152">
        <f t="shared" ref="U181:AC181" si="415">U180-1</f>
        <v>-4.728478260869573E-2</v>
      </c>
      <c r="V181" s="152">
        <f t="shared" si="415"/>
        <v>-0.13012958412098297</v>
      </c>
      <c r="W181" s="152">
        <f t="shared" si="415"/>
        <v>-0.20577048984959301</v>
      </c>
      <c r="X181" s="152">
        <f t="shared" si="415"/>
        <v>-0.27483392551484576</v>
      </c>
      <c r="Y181" s="152">
        <f t="shared" si="415"/>
        <v>-0.3378918450352939</v>
      </c>
      <c r="Z181" s="152">
        <f t="shared" si="415"/>
        <v>-0.39546646720613787</v>
      </c>
      <c r="AA181" s="152">
        <f t="shared" si="415"/>
        <v>-0.44803460049256061</v>
      </c>
      <c r="AB181" s="152">
        <f t="shared" si="415"/>
        <v>-0.49603159175407696</v>
      </c>
      <c r="AC181" s="152">
        <f t="shared" si="415"/>
        <v>-0.53985493160154863</v>
      </c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5" t="s">
        <v>351</v>
      </c>
      <c r="L183" s="206"/>
      <c r="M183" s="20"/>
      <c r="N183" s="20"/>
      <c r="O183" s="20"/>
      <c r="P183" s="108" t="s">
        <v>430</v>
      </c>
      <c r="Q183" s="108" t="s">
        <v>429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0.87909442413864924</v>
      </c>
      <c r="Q184" s="128">
        <f>(Q171-T159)/Q171</f>
        <v>0.92030725879495123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-0.87325690624555763</v>
      </c>
      <c r="N185" s="20"/>
      <c r="O185" s="20"/>
      <c r="P185" s="128">
        <f>(Q171-S150)/Q171</f>
        <v>-0.92008832890169656</v>
      </c>
      <c r="Q185" s="128">
        <f>(Q171-T150)/Q171</f>
        <v>0.833035797486809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-1.2272888449129424</v>
      </c>
      <c r="N186" s="20"/>
      <c r="O186" s="20"/>
      <c r="P186" s="128">
        <f>(Q171-S143)/Q171</f>
        <v>-1.2829710660357661</v>
      </c>
      <c r="Q186" s="128">
        <f>(Q171-T143)/Q171</f>
        <v>0.80148077686645502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-9.9495663424217839E-2</v>
      </c>
      <c r="N187" s="20"/>
      <c r="O187" s="20"/>
      <c r="P187" s="128">
        <f>(Q171-S156)/Q171</f>
        <v>-0.12698305500982329</v>
      </c>
      <c r="Q187" s="128">
        <f>(Q171-T156)/Q171</f>
        <v>0.90200147347740667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399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0.60921523819941403</v>
      </c>
      <c r="N188" s="20"/>
      <c r="O188" s="20"/>
      <c r="P188" s="128">
        <f>(Q171-S168)/Q171</f>
        <v>0.59944561915439942</v>
      </c>
      <c r="Q188" s="128">
        <f>(Q171-T168)/Q171</f>
        <v>0.73598176606939203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2.0598940746079935</v>
      </c>
      <c r="Q189" s="25">
        <f>Q171/T142</f>
        <v>23.68878185799193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407</v>
      </c>
      <c r="AE189" s="115" t="s">
        <v>408</v>
      </c>
      <c r="AF189" s="115" t="s">
        <v>409</v>
      </c>
      <c r="AG189" s="115" t="s">
        <v>410</v>
      </c>
      <c r="AH189" s="115" t="s">
        <v>411</v>
      </c>
      <c r="AI189" s="115" t="s">
        <v>412</v>
      </c>
      <c r="AJ189" s="115" t="s">
        <v>413</v>
      </c>
      <c r="AK189" s="115" t="s">
        <v>414</v>
      </c>
      <c r="AL189" s="115" t="s">
        <v>415</v>
      </c>
      <c r="AM189" s="115" t="s">
        <v>416</v>
      </c>
      <c r="AN189" s="115" t="s">
        <v>417</v>
      </c>
      <c r="AO189" s="115" t="s">
        <v>418</v>
      </c>
      <c r="AP189" s="115" t="s">
        <v>419</v>
      </c>
      <c r="AQ189" s="115" t="s">
        <v>420</v>
      </c>
      <c r="AR189" s="115" t="s">
        <v>421</v>
      </c>
      <c r="AS189" s="115" t="s">
        <v>422</v>
      </c>
      <c r="AT189" s="115" t="s">
        <v>423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448</v>
      </c>
      <c r="H190" s="190"/>
      <c r="I190" s="189" t="s">
        <v>449</v>
      </c>
      <c r="J190" s="190"/>
      <c r="K190" s="20"/>
      <c r="L190" s="189" t="s">
        <v>450</v>
      </c>
      <c r="M190" s="190"/>
      <c r="N190" s="189" t="s">
        <v>451</v>
      </c>
      <c r="O190" s="190"/>
      <c r="P190" s="152">
        <f>1/P189</f>
        <v>0.48546185569775196</v>
      </c>
      <c r="Q190" s="152">
        <f>1/Q189</f>
        <v>4.2214074408500162E-2</v>
      </c>
      <c r="R190" s="20"/>
      <c r="S190" s="20"/>
      <c r="T190" s="129" t="e">
        <f>Q171-T191</f>
        <v>#DIV/0!</v>
      </c>
      <c r="U190" s="185" t="e">
        <f>T190-U191</f>
        <v>#DIV/0!</v>
      </c>
      <c r="V190" s="185" t="e">
        <f t="shared" ref="V190:X190" si="416">U190-V191</f>
        <v>#DIV/0!</v>
      </c>
      <c r="W190" s="185" t="e">
        <f t="shared" si="416"/>
        <v>#DIV/0!</v>
      </c>
      <c r="X190" s="185" t="e">
        <f t="shared" si="416"/>
        <v>#DIV/0!</v>
      </c>
      <c r="Y190" s="185" t="e">
        <f>X190-Y191</f>
        <v>#DIV/0!</v>
      </c>
      <c r="Z190" s="185" t="e">
        <f t="shared" ref="Z190:AC190" si="417">Y190-Z191</f>
        <v>#DIV/0!</v>
      </c>
      <c r="AA190" s="185" t="e">
        <f t="shared" si="417"/>
        <v>#DIV/0!</v>
      </c>
      <c r="AB190" s="185" t="e">
        <f t="shared" si="417"/>
        <v>#DIV/0!</v>
      </c>
      <c r="AC190" s="185" t="e">
        <f t="shared" si="417"/>
        <v>#DIV/0!</v>
      </c>
      <c r="AD190" s="185" t="e">
        <f t="shared" ref="AD190" si="418">AC190-AD191</f>
        <v>#DIV/0!</v>
      </c>
      <c r="AE190" s="185" t="e">
        <f t="shared" ref="AE190" si="419">AD190-AE191</f>
        <v>#DIV/0!</v>
      </c>
      <c r="AF190" s="185" t="e">
        <f t="shared" ref="AF190" si="420">AE190-AF191</f>
        <v>#DIV/0!</v>
      </c>
      <c r="AG190" s="185" t="e">
        <f t="shared" ref="AG190" si="421">AF190-AG191</f>
        <v>#DIV/0!</v>
      </c>
      <c r="AH190" s="185" t="e">
        <f t="shared" ref="AH190" si="422">AG190-AH191</f>
        <v>#DIV/0!</v>
      </c>
      <c r="AI190" s="185" t="e">
        <f t="shared" ref="AI190" si="423">AH190-AI191</f>
        <v>#DIV/0!</v>
      </c>
      <c r="AJ190" s="185" t="e">
        <f t="shared" ref="AJ190" si="424">AI190-AJ191</f>
        <v>#DIV/0!</v>
      </c>
      <c r="AK190" s="185" t="e">
        <f t="shared" ref="AK190" si="425">AJ190-AK191</f>
        <v>#DIV/0!</v>
      </c>
      <c r="AL190" s="185" t="e">
        <f t="shared" ref="AL190" si="426">AK190-AL191</f>
        <v>#DIV/0!</v>
      </c>
      <c r="AM190" s="185" t="e">
        <f t="shared" ref="AM190" si="427">AL190-AM191</f>
        <v>#DIV/0!</v>
      </c>
      <c r="AN190" s="185" t="e">
        <f t="shared" ref="AN190" si="428">AM190-AN191</f>
        <v>#DIV/0!</v>
      </c>
      <c r="AO190" s="185" t="e">
        <f t="shared" ref="AO190" si="429">AN190-AO191</f>
        <v>#DIV/0!</v>
      </c>
      <c r="AP190" s="185" t="e">
        <f t="shared" ref="AP190" si="430">AO190-AP191</f>
        <v>#DIV/0!</v>
      </c>
      <c r="AQ190" s="185" t="e">
        <f t="shared" ref="AQ190" si="431">AP190-AQ191</f>
        <v>#DIV/0!</v>
      </c>
      <c r="AR190" s="185" t="e">
        <f t="shared" ref="AR190" si="432">AQ190-AR191</f>
        <v>#DIV/0!</v>
      </c>
      <c r="AS190" s="185" t="e">
        <f t="shared" ref="AS190" si="433">AR190-AS191</f>
        <v>#DIV/0!</v>
      </c>
      <c r="AT190" s="185" t="e">
        <f t="shared" ref="AT190" si="434">AS190-AT191</f>
        <v>#DIV/0!</v>
      </c>
    </row>
    <row r="191" spans="2:46" x14ac:dyDescent="0.2">
      <c r="B191" s="20" t="s">
        <v>396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 t="e">
        <f>Q171/R141</f>
        <v>#DIV/0!</v>
      </c>
      <c r="Q191" s="181" t="e">
        <f>Q171/R141</f>
        <v>#DIV/0!</v>
      </c>
      <c r="R191" s="20"/>
      <c r="S191" s="20"/>
      <c r="T191" s="186" t="e">
        <f>R141*(1+$K$191)</f>
        <v>#DIV/0!</v>
      </c>
      <c r="U191" s="186" t="e">
        <f>T191*(1+$K$191)</f>
        <v>#DIV/0!</v>
      </c>
      <c r="V191" s="186" t="e">
        <f t="shared" ref="V191:AC191" si="435">U191*(1+$K$191)</f>
        <v>#DIV/0!</v>
      </c>
      <c r="W191" s="186" t="e">
        <f t="shared" si="435"/>
        <v>#DIV/0!</v>
      </c>
      <c r="X191" s="186" t="e">
        <f t="shared" si="435"/>
        <v>#DIV/0!</v>
      </c>
      <c r="Y191" s="186" t="e">
        <f t="shared" si="435"/>
        <v>#DIV/0!</v>
      </c>
      <c r="Z191" s="186" t="e">
        <f t="shared" si="435"/>
        <v>#DIV/0!</v>
      </c>
      <c r="AA191" s="186" t="e">
        <f t="shared" si="435"/>
        <v>#DIV/0!</v>
      </c>
      <c r="AB191" s="186" t="e">
        <f t="shared" si="435"/>
        <v>#DIV/0!</v>
      </c>
      <c r="AC191" s="186" t="e">
        <f t="shared" si="435"/>
        <v>#DIV/0!</v>
      </c>
      <c r="AD191" s="186" t="e">
        <f t="shared" ref="AD191" si="436">AC191*(1+$K$191)</f>
        <v>#DIV/0!</v>
      </c>
      <c r="AE191" s="186" t="e">
        <f t="shared" ref="AE191" si="437">AD191*(1+$K$191)</f>
        <v>#DIV/0!</v>
      </c>
      <c r="AF191" s="186" t="e">
        <f t="shared" ref="AF191" si="438">AE191*(1+$K$191)</f>
        <v>#DIV/0!</v>
      </c>
      <c r="AG191" s="186" t="e">
        <f t="shared" ref="AG191" si="439">AF191*(1+$K$191)</f>
        <v>#DIV/0!</v>
      </c>
      <c r="AH191" s="186" t="e">
        <f t="shared" ref="AH191" si="440">AG191*(1+$K$191)</f>
        <v>#DIV/0!</v>
      </c>
      <c r="AI191" s="186" t="e">
        <f t="shared" ref="AI191" si="441">AH191*(1+$K$191)</f>
        <v>#DIV/0!</v>
      </c>
      <c r="AJ191" s="186" t="e">
        <f t="shared" ref="AJ191" si="442">AI191*(1+$K$191)</f>
        <v>#DIV/0!</v>
      </c>
      <c r="AK191" s="186" t="e">
        <f t="shared" ref="AK191" si="443">AJ191*(1+$K$191)</f>
        <v>#DIV/0!</v>
      </c>
      <c r="AL191" s="186" t="e">
        <f t="shared" ref="AL191" si="444">AK191*(1+$K$191)</f>
        <v>#DIV/0!</v>
      </c>
      <c r="AM191" s="186" t="e">
        <f t="shared" ref="AM191" si="445">AL191*(1+$K$191)</f>
        <v>#DIV/0!</v>
      </c>
      <c r="AN191" s="186" t="e">
        <f t="shared" ref="AN191" si="446">AM191*(1+$K$191)</f>
        <v>#DIV/0!</v>
      </c>
      <c r="AO191" s="186" t="e">
        <f t="shared" ref="AO191" si="447">AN191*(1+$K$191)</f>
        <v>#DIV/0!</v>
      </c>
      <c r="AP191" s="186" t="e">
        <f t="shared" ref="AP191" si="448">AO191*(1+$K$191)</f>
        <v>#DIV/0!</v>
      </c>
      <c r="AQ191" s="186" t="e">
        <f t="shared" ref="AQ191" si="449">AP191*(1+$K$191)</f>
        <v>#DIV/0!</v>
      </c>
      <c r="AR191" s="186" t="e">
        <f t="shared" ref="AR191" si="450">AQ191*(1+$K$191)</f>
        <v>#DIV/0!</v>
      </c>
      <c r="AS191" s="186" t="e">
        <f t="shared" ref="AS191" si="451">AR191*(1+$K$191)</f>
        <v>#DIV/0!</v>
      </c>
      <c r="AT191" s="186" t="e">
        <f t="shared" ref="AT191" si="452">AS191*(1+$K$191)</f>
        <v>#DIV/0!</v>
      </c>
    </row>
    <row r="192" spans="2:46" x14ac:dyDescent="0.2">
      <c r="B192" s="20" t="s">
        <v>395</v>
      </c>
      <c r="C192" s="20"/>
      <c r="D192" s="20"/>
      <c r="E192" s="23" t="s">
        <v>391</v>
      </c>
      <c r="F192" s="22"/>
      <c r="G192" s="191">
        <v>0</v>
      </c>
      <c r="H192" s="192">
        <f>Q173</f>
        <v>26.614379084967318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Q171/Q54</f>
        <v>26.614379084967318</v>
      </c>
      <c r="Q192" s="181">
        <f>Q171/Q54</f>
        <v>26.614379084967318</v>
      </c>
      <c r="R192" s="20"/>
      <c r="S192" s="20"/>
      <c r="T192" s="186">
        <f>Q54*(1+$K$192)</f>
        <v>31.561886051080553</v>
      </c>
      <c r="U192" s="186">
        <f>T192*(1+$K$192)</f>
        <v>33.139980353634584</v>
      </c>
      <c r="V192" s="186">
        <f t="shared" ref="V192:AC192" si="453">U192*(1+$K$192)</f>
        <v>34.796979371316318</v>
      </c>
      <c r="W192" s="186">
        <f t="shared" si="453"/>
        <v>36.536828339882135</v>
      </c>
      <c r="X192" s="186">
        <f t="shared" si="453"/>
        <v>38.363669756876241</v>
      </c>
      <c r="Y192" s="186">
        <f t="shared" si="453"/>
        <v>40.281853244720054</v>
      </c>
      <c r="Z192" s="186">
        <f t="shared" si="453"/>
        <v>42.295945906956057</v>
      </c>
      <c r="AA192" s="186">
        <f t="shared" si="453"/>
        <v>44.410743202303863</v>
      </c>
      <c r="AB192" s="186">
        <f t="shared" si="453"/>
        <v>46.631280362419055</v>
      </c>
      <c r="AC192" s="186">
        <f t="shared" si="453"/>
        <v>48.962844380540012</v>
      </c>
      <c r="AD192" s="186">
        <f t="shared" ref="AD192" si="454">AC192*(1+$K$192)</f>
        <v>51.410986599567018</v>
      </c>
      <c r="AE192" s="186">
        <f t="shared" ref="AE192" si="455">AD192*(1+$K$192)</f>
        <v>53.981535929545373</v>
      </c>
      <c r="AF192" s="186">
        <f t="shared" ref="AF192" si="456">AE192*(1+$K$192)</f>
        <v>56.680612726022645</v>
      </c>
      <c r="AG192" s="186">
        <f t="shared" ref="AG192" si="457">AF192*(1+$K$192)</f>
        <v>59.514643362323781</v>
      </c>
      <c r="AH192" s="186">
        <f t="shared" ref="AH192" si="458">AG192*(1+$K$192)</f>
        <v>62.49037553043997</v>
      </c>
      <c r="AI192" s="186">
        <f t="shared" ref="AI192" si="459">AH192*(1+$K$192)</f>
        <v>65.614894306961972</v>
      </c>
      <c r="AJ192" s="186">
        <f t="shared" ref="AJ192" si="460">AI192*(1+$K$192)</f>
        <v>68.895639022310078</v>
      </c>
      <c r="AK192" s="186">
        <f t="shared" ref="AK192" si="461">AJ192*(1+$K$192)</f>
        <v>72.34042097342558</v>
      </c>
      <c r="AL192" s="186">
        <f t="shared" ref="AL192" si="462">AK192*(1+$K$192)</f>
        <v>75.957442022096856</v>
      </c>
      <c r="AM192" s="186">
        <f t="shared" ref="AM192" si="463">AL192*(1+$K$192)</f>
        <v>79.7553141232017</v>
      </c>
      <c r="AN192" s="186">
        <f t="shared" ref="AN192" si="464">AM192*(1+$K$192)</f>
        <v>83.74307982936179</v>
      </c>
      <c r="AO192" s="186">
        <f t="shared" ref="AO192" si="465">AN192*(1+$K$192)</f>
        <v>87.930233820829883</v>
      </c>
      <c r="AP192" s="186">
        <f t="shared" ref="AP192" si="466">AO192*(1+$K$192)</f>
        <v>92.32674551187138</v>
      </c>
      <c r="AQ192" s="186">
        <f t="shared" ref="AQ192" si="467">AP192*(1+$K$192)</f>
        <v>96.943082787464959</v>
      </c>
      <c r="AR192" s="186">
        <f t="shared" ref="AR192" si="468">AQ192*(1+$K$192)</f>
        <v>101.79023692683822</v>
      </c>
      <c r="AS192" s="186">
        <f t="shared" ref="AS192" si="469">AR192*(1+$K$192)</f>
        <v>106.87974877318014</v>
      </c>
      <c r="AT192" s="186">
        <f t="shared" ref="AT192" si="470">AS192*(1+$K$192)</f>
        <v>112.22373621183915</v>
      </c>
    </row>
    <row r="193" spans="2:46" x14ac:dyDescent="0.2">
      <c r="B193" s="20"/>
      <c r="C193" s="20"/>
      <c r="D193" s="20"/>
      <c r="E193" s="23" t="s">
        <v>454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>
        <f>Q171-T192</f>
        <v>768.43811394891941</v>
      </c>
      <c r="U193" s="185">
        <f>T193-U192</f>
        <v>735.29813359528487</v>
      </c>
      <c r="V193" s="185">
        <f t="shared" ref="V193:AA193" si="471">U193-V192</f>
        <v>700.50115422396857</v>
      </c>
      <c r="W193" s="185">
        <f t="shared" si="471"/>
        <v>663.96432588408641</v>
      </c>
      <c r="X193" s="185">
        <f t="shared" si="471"/>
        <v>625.60065612721019</v>
      </c>
      <c r="Y193" s="185">
        <f t="shared" si="471"/>
        <v>585.3188028824901</v>
      </c>
      <c r="Z193" s="185">
        <f t="shared" si="471"/>
        <v>543.02285697553407</v>
      </c>
      <c r="AA193" s="185">
        <f t="shared" si="471"/>
        <v>498.61211377323019</v>
      </c>
      <c r="AB193" s="185">
        <f>AA193-AB192</f>
        <v>451.98083341081116</v>
      </c>
      <c r="AC193" s="185">
        <f t="shared" ref="AC193" si="472">AB193-AC192</f>
        <v>403.01798903027117</v>
      </c>
      <c r="AD193" s="185">
        <f t="shared" ref="AD193" si="473">AC193-AD192</f>
        <v>351.60700243070414</v>
      </c>
      <c r="AE193" s="185">
        <f t="shared" ref="AE193" si="474">AD193-AE192</f>
        <v>297.62546650115877</v>
      </c>
      <c r="AF193" s="185">
        <f t="shared" ref="AF193" si="475">AE193-AF192</f>
        <v>240.94485377513612</v>
      </c>
      <c r="AG193" s="185">
        <f t="shared" ref="AG193" si="476">AF193-AG192</f>
        <v>181.43021041281236</v>
      </c>
      <c r="AH193" s="185">
        <f t="shared" ref="AH193" si="477">AG193-AH192</f>
        <v>118.93983488237239</v>
      </c>
      <c r="AI193" s="185">
        <f t="shared" ref="AI193" si="478">AH193-AI192</f>
        <v>53.324940575410423</v>
      </c>
      <c r="AJ193" s="185">
        <f t="shared" ref="AJ193" si="479">AI193-AJ192</f>
        <v>-15.570698446899655</v>
      </c>
      <c r="AK193" s="185">
        <f t="shared" ref="AK193" si="480">AJ193-AK192</f>
        <v>-87.911119420325235</v>
      </c>
      <c r="AL193" s="185">
        <f t="shared" ref="AL193" si="481">AK193-AL192</f>
        <v>-163.86856144242211</v>
      </c>
      <c r="AM193" s="185">
        <f t="shared" ref="AM193" si="482">AL193-AM192</f>
        <v>-243.62387556562379</v>
      </c>
      <c r="AN193" s="185">
        <f t="shared" ref="AN193" si="483">AM193-AN192</f>
        <v>-327.36695539498555</v>
      </c>
      <c r="AO193" s="185">
        <f t="shared" ref="AO193" si="484">AN193-AO192</f>
        <v>-415.29718921581542</v>
      </c>
      <c r="AP193" s="185">
        <f t="shared" ref="AP193" si="485">AO193-AP192</f>
        <v>-507.62393472768679</v>
      </c>
      <c r="AQ193" s="185">
        <f t="shared" ref="AQ193" si="486">AP193-AQ192</f>
        <v>-604.56701751515175</v>
      </c>
      <c r="AR193" s="185">
        <f t="shared" ref="AR193" si="487">AQ193-AR192</f>
        <v>-706.35725444198999</v>
      </c>
      <c r="AS193" s="185">
        <f t="shared" ref="AS193" si="488">AR193-AS192</f>
        <v>-813.23700321517015</v>
      </c>
      <c r="AT193" s="185">
        <f t="shared" ref="AT193" si="489">AS193-AT192</f>
        <v>-925.46073942700934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90">C10/C7</f>
        <v>#DIV/0!</v>
      </c>
      <c r="D195" s="25" t="e">
        <f t="shared" si="490"/>
        <v>#DIV/0!</v>
      </c>
      <c r="E195" s="25" t="e">
        <f t="shared" si="490"/>
        <v>#DIV/0!</v>
      </c>
      <c r="F195" s="25" t="e">
        <f t="shared" si="490"/>
        <v>#DIV/0!</v>
      </c>
      <c r="G195" s="25">
        <f t="shared" si="490"/>
        <v>0</v>
      </c>
      <c r="H195" s="25" t="e">
        <f t="shared" si="490"/>
        <v>#DIV/0!</v>
      </c>
      <c r="I195" s="25" t="e">
        <f t="shared" si="490"/>
        <v>#DIV/0!</v>
      </c>
      <c r="J195" s="25" t="e">
        <f t="shared" si="490"/>
        <v>#DIV/0!</v>
      </c>
      <c r="K195" s="25" t="e">
        <f t="shared" si="490"/>
        <v>#DIV/0!</v>
      </c>
      <c r="L195" s="25" t="e">
        <f t="shared" si="490"/>
        <v>#DIV/0!</v>
      </c>
      <c r="M195" s="25" t="e">
        <f t="shared" si="490"/>
        <v>#DIV/0!</v>
      </c>
      <c r="N195" s="25">
        <f t="shared" si="490"/>
        <v>0</v>
      </c>
      <c r="O195" s="25">
        <f t="shared" si="490"/>
        <v>0</v>
      </c>
      <c r="P195" s="25">
        <f t="shared" si="490"/>
        <v>0</v>
      </c>
      <c r="Q195" s="25">
        <f t="shared" ref="Q195" si="491">Q10/Q7</f>
        <v>0</v>
      </c>
      <c r="R195" s="118" t="e">
        <f t="shared" ref="R195:R197" si="492">((P195/G195)^(1/($H$2-$H$1) ))-1</f>
        <v>#DIV/0!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 t="e">
        <f>G10/G12</f>
        <v>#DIV/0!</v>
      </c>
      <c r="H196" s="112" t="e">
        <f t="shared" ref="H196:P196" si="493">H10/H12</f>
        <v>#DIV/0!</v>
      </c>
      <c r="I196" s="112" t="e">
        <f t="shared" si="493"/>
        <v>#DIV/0!</v>
      </c>
      <c r="J196" s="112" t="e">
        <f t="shared" si="493"/>
        <v>#DIV/0!</v>
      </c>
      <c r="K196" s="112" t="e">
        <f t="shared" si="493"/>
        <v>#DIV/0!</v>
      </c>
      <c r="L196" s="112" t="e">
        <f t="shared" si="493"/>
        <v>#DIV/0!</v>
      </c>
      <c r="M196" s="112" t="e">
        <f t="shared" si="493"/>
        <v>#DIV/0!</v>
      </c>
      <c r="N196" s="112">
        <f t="shared" si="493"/>
        <v>0</v>
      </c>
      <c r="O196" s="112">
        <f t="shared" si="493"/>
        <v>0</v>
      </c>
      <c r="P196" s="112">
        <f t="shared" si="493"/>
        <v>0</v>
      </c>
      <c r="Q196" s="112">
        <f t="shared" ref="Q196" si="494">Q10/Q12</f>
        <v>0</v>
      </c>
      <c r="R196" s="118" t="e">
        <f t="shared" si="492"/>
        <v>#DIV/0!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 t="e">
        <f>G10/(G12+G13)</f>
        <v>#DIV/0!</v>
      </c>
      <c r="H197" s="25" t="e">
        <f t="shared" ref="H197:P197" si="495">H10/(H12+H13)</f>
        <v>#DIV/0!</v>
      </c>
      <c r="I197" s="25" t="e">
        <f t="shared" si="495"/>
        <v>#DIV/0!</v>
      </c>
      <c r="J197" s="25" t="e">
        <f t="shared" si="495"/>
        <v>#DIV/0!</v>
      </c>
      <c r="K197" s="25" t="e">
        <f t="shared" si="495"/>
        <v>#DIV/0!</v>
      </c>
      <c r="L197" s="25" t="e">
        <f t="shared" si="495"/>
        <v>#DIV/0!</v>
      </c>
      <c r="M197" s="25" t="e">
        <f t="shared" si="495"/>
        <v>#DIV/0!</v>
      </c>
      <c r="N197" s="25">
        <f t="shared" si="495"/>
        <v>0</v>
      </c>
      <c r="O197" s="25">
        <f t="shared" si="495"/>
        <v>0</v>
      </c>
      <c r="P197" s="25">
        <f t="shared" si="495"/>
        <v>0</v>
      </c>
      <c r="Q197" s="25">
        <f t="shared" ref="Q197" si="496">Q10/(Q12+Q13)</f>
        <v>0</v>
      </c>
      <c r="R197" s="118" t="e">
        <f t="shared" si="492"/>
        <v>#DIV/0!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2" t="s">
        <v>337</v>
      </c>
      <c r="M200" s="203"/>
      <c r="N200" s="204"/>
      <c r="O200" s="23" t="s">
        <v>340</v>
      </c>
      <c r="P200" s="20"/>
      <c r="Q200" s="137"/>
      <c r="R200" s="202" t="s">
        <v>338</v>
      </c>
      <c r="S200" s="203"/>
      <c r="T200" s="204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1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</v>
      </c>
      <c r="O202" s="173">
        <f>N202</f>
        <v>1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1</v>
      </c>
      <c r="E204" s="176" t="s">
        <v>397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</v>
      </c>
      <c r="O204" s="173">
        <f>N204</f>
        <v>1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1</v>
      </c>
      <c r="O205" s="21">
        <v>1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1</v>
      </c>
      <c r="O206" s="168">
        <f>O205*O203</f>
        <v>1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1</v>
      </c>
      <c r="O209" s="170">
        <f>O206/O204</f>
        <v>1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5" t="s">
        <v>27</v>
      </c>
      <c r="E213" s="196"/>
      <c r="F213" s="196"/>
      <c r="G213" s="197"/>
      <c r="H213" s="20"/>
      <c r="I213" s="195" t="s">
        <v>392</v>
      </c>
      <c r="J213" s="196"/>
      <c r="K213" s="197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</v>
      </c>
      <c r="H214" s="20"/>
      <c r="I214" s="20" t="s">
        <v>28</v>
      </c>
      <c r="J214" s="127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</v>
      </c>
      <c r="H215" s="20"/>
      <c r="I215" s="20" t="s">
        <v>29</v>
      </c>
      <c r="J215" s="20"/>
      <c r="K215" s="21">
        <f>G215</f>
        <v>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</v>
      </c>
      <c r="H217" s="20"/>
      <c r="I217" s="23" t="s">
        <v>393</v>
      </c>
      <c r="J217" s="23"/>
      <c r="K217" s="23">
        <f>(K215-K214)/K214</f>
        <v>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394</v>
      </c>
      <c r="J218" s="23"/>
      <c r="K218" s="23">
        <f>K215/K214</f>
        <v>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7" t="s">
        <v>27</v>
      </c>
      <c r="K5" s="207"/>
      <c r="M5" s="207" t="s">
        <v>65</v>
      </c>
      <c r="N5" s="207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7" t="s">
        <v>36</v>
      </c>
      <c r="K14" s="207"/>
      <c r="L14" s="207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7" t="s">
        <v>27</v>
      </c>
      <c r="S5" s="207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7" t="s">
        <v>36</v>
      </c>
      <c r="S14" s="207"/>
      <c r="T14" s="207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7" t="s">
        <v>27</v>
      </c>
      <c r="C2" s="207"/>
      <c r="E2" s="207" t="s">
        <v>65</v>
      </c>
      <c r="F2" s="207"/>
      <c r="H2" s="211" t="s">
        <v>36</v>
      </c>
      <c r="I2" s="212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8" t="s">
        <v>68</v>
      </c>
      <c r="E10" s="209"/>
      <c r="F10" s="209"/>
      <c r="G10" s="209"/>
      <c r="H10" s="210"/>
      <c r="I10" s="208" t="s">
        <v>72</v>
      </c>
      <c r="J10" s="209"/>
      <c r="K10" s="209"/>
      <c r="L10" s="210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3" t="s">
        <v>431</v>
      </c>
      <c r="C3" s="214"/>
      <c r="F3" s="213" t="s">
        <v>432</v>
      </c>
      <c r="G3" s="214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2014-10-23T08:16:35Z</dcterms:modified>
</cp:coreProperties>
</file>
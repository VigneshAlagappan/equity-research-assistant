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25725"/>
</workbook>
</file>

<file path=xl/calcChain.xml><?xml version="1.0" encoding="utf-8"?>
<calcChain xmlns="http://schemas.openxmlformats.org/spreadsheetml/2006/main">
  <c r="P16" i="18"/>
  <c r="H39" l="1"/>
  <c r="I39"/>
  <c r="J39"/>
  <c r="K39"/>
  <c r="L39"/>
  <c r="M39"/>
  <c r="N39"/>
  <c r="O39"/>
  <c r="P39"/>
  <c r="K37"/>
  <c r="L37"/>
  <c r="M37"/>
  <c r="J37"/>
  <c r="I37"/>
  <c r="H37"/>
  <c r="G37"/>
  <c r="P37"/>
  <c r="O37"/>
  <c r="N37"/>
  <c r="P30"/>
  <c r="O30"/>
  <c r="N30"/>
  <c r="M30"/>
  <c r="N28"/>
  <c r="O28"/>
  <c r="P28"/>
  <c r="N26"/>
  <c r="O26"/>
  <c r="P26"/>
  <c r="H11"/>
  <c r="I11"/>
  <c r="J11"/>
  <c r="K11"/>
  <c r="L11"/>
  <c r="M11"/>
  <c r="N11"/>
  <c r="O11"/>
  <c r="P11"/>
  <c r="H120"/>
  <c r="I120"/>
  <c r="J120"/>
  <c r="K120"/>
  <c r="L120"/>
  <c r="M120"/>
  <c r="N120"/>
  <c r="O120"/>
  <c r="P120"/>
  <c r="G120"/>
  <c r="H119"/>
  <c r="I119"/>
  <c r="J119"/>
  <c r="K119"/>
  <c r="L119"/>
  <c r="M119"/>
  <c r="N119"/>
  <c r="O119"/>
  <c r="P119"/>
  <c r="Q119" s="1"/>
  <c r="G119"/>
  <c r="AD14"/>
  <c r="T14"/>
  <c r="U14" s="1"/>
  <c r="V14" s="1"/>
  <c r="W14" s="1"/>
  <c r="X14" s="1"/>
  <c r="Y14" s="1"/>
  <c r="Z14" s="1"/>
  <c r="AA14" s="1"/>
  <c r="AB14" s="1"/>
  <c r="S14"/>
  <c r="R14"/>
  <c r="Q14"/>
  <c r="R185"/>
  <c r="R182"/>
  <c r="R181"/>
  <c r="R187" s="1"/>
  <c r="R180"/>
  <c r="L181"/>
  <c r="L184" s="1"/>
  <c r="L180"/>
  <c r="H87"/>
  <c r="I87"/>
  <c r="J87"/>
  <c r="K87"/>
  <c r="L87"/>
  <c r="M87"/>
  <c r="N87"/>
  <c r="O87"/>
  <c r="P87"/>
  <c r="G87"/>
  <c r="Q87" s="1"/>
  <c r="H84"/>
  <c r="I84"/>
  <c r="J84"/>
  <c r="K84"/>
  <c r="L84"/>
  <c r="M84"/>
  <c r="N84"/>
  <c r="O84"/>
  <c r="P84"/>
  <c r="G84"/>
  <c r="H85"/>
  <c r="I85"/>
  <c r="J85"/>
  <c r="K85"/>
  <c r="L85"/>
  <c r="M85"/>
  <c r="N85"/>
  <c r="O85"/>
  <c r="P85"/>
  <c r="G85"/>
  <c r="H115"/>
  <c r="H116" s="1"/>
  <c r="I115"/>
  <c r="I116" s="1"/>
  <c r="J115"/>
  <c r="J116" s="1"/>
  <c r="K115"/>
  <c r="K116" s="1"/>
  <c r="L115"/>
  <c r="L116" s="1"/>
  <c r="M115"/>
  <c r="M116" s="1"/>
  <c r="N115"/>
  <c r="N116" s="1"/>
  <c r="O115"/>
  <c r="O116" s="1"/>
  <c r="P115"/>
  <c r="P116" s="1"/>
  <c r="G115"/>
  <c r="G116" s="1"/>
  <c r="AC14" l="1"/>
  <c r="AE14"/>
  <c r="Q84"/>
  <c r="Q116"/>
  <c r="Q115"/>
  <c r="Q85"/>
  <c r="P81"/>
  <c r="P80"/>
  <c r="C81"/>
  <c r="D81"/>
  <c r="E81"/>
  <c r="F81"/>
  <c r="H81"/>
  <c r="I81"/>
  <c r="J81"/>
  <c r="K81"/>
  <c r="L81"/>
  <c r="M81"/>
  <c r="N81"/>
  <c r="O81"/>
  <c r="G81"/>
  <c r="G80"/>
  <c r="H113"/>
  <c r="I113"/>
  <c r="J113"/>
  <c r="K113"/>
  <c r="L113"/>
  <c r="M113"/>
  <c r="N113"/>
  <c r="O113"/>
  <c r="P113"/>
  <c r="G113"/>
  <c r="H112"/>
  <c r="I112"/>
  <c r="J112"/>
  <c r="K112"/>
  <c r="L112"/>
  <c r="M112"/>
  <c r="N112"/>
  <c r="O112"/>
  <c r="P112"/>
  <c r="G112"/>
  <c r="H109"/>
  <c r="I109"/>
  <c r="J109"/>
  <c r="K109"/>
  <c r="L109"/>
  <c r="M109"/>
  <c r="N109"/>
  <c r="O109"/>
  <c r="P109"/>
  <c r="G109"/>
  <c r="H110"/>
  <c r="I110"/>
  <c r="J110"/>
  <c r="K110"/>
  <c r="L110"/>
  <c r="M110"/>
  <c r="N110"/>
  <c r="O110"/>
  <c r="P110"/>
  <c r="G110"/>
  <c r="H108"/>
  <c r="I108"/>
  <c r="J108"/>
  <c r="K108"/>
  <c r="L108"/>
  <c r="M108"/>
  <c r="N108"/>
  <c r="O108"/>
  <c r="P108"/>
  <c r="G108"/>
  <c r="H107"/>
  <c r="I107"/>
  <c r="J107"/>
  <c r="K107"/>
  <c r="L107"/>
  <c r="M107"/>
  <c r="N107"/>
  <c r="O107"/>
  <c r="P107"/>
  <c r="G107"/>
  <c r="R153"/>
  <c r="H104"/>
  <c r="I104"/>
  <c r="J104"/>
  <c r="K104"/>
  <c r="L104"/>
  <c r="M104"/>
  <c r="N104"/>
  <c r="O104"/>
  <c r="P104"/>
  <c r="G104"/>
  <c r="H103"/>
  <c r="I103"/>
  <c r="J103"/>
  <c r="K103"/>
  <c r="L103"/>
  <c r="M103"/>
  <c r="N103"/>
  <c r="O103"/>
  <c r="P103"/>
  <c r="G103"/>
  <c r="H102"/>
  <c r="I102"/>
  <c r="J102"/>
  <c r="K102"/>
  <c r="L102"/>
  <c r="M102"/>
  <c r="N102"/>
  <c r="O102"/>
  <c r="P102"/>
  <c r="G102"/>
  <c r="B104"/>
  <c r="B103"/>
  <c r="K168"/>
  <c r="K167"/>
  <c r="K166"/>
  <c r="S40"/>
  <c r="AD32"/>
  <c r="R32"/>
  <c r="S32" s="1"/>
  <c r="T32" s="1"/>
  <c r="U32" s="1"/>
  <c r="V32" s="1"/>
  <c r="W32" s="1"/>
  <c r="X32" s="1"/>
  <c r="Y32" s="1"/>
  <c r="Z32" s="1"/>
  <c r="AA32" s="1"/>
  <c r="AB32" s="1"/>
  <c r="Q32"/>
  <c r="G92"/>
  <c r="H92"/>
  <c r="I92"/>
  <c r="J92"/>
  <c r="K92"/>
  <c r="L92"/>
  <c r="M92"/>
  <c r="N92"/>
  <c r="O92"/>
  <c r="P92"/>
  <c r="Q185"/>
  <c r="K184"/>
  <c r="Q182"/>
  <c r="K182"/>
  <c r="L182" s="1"/>
  <c r="L187" s="1"/>
  <c r="F100"/>
  <c r="H100"/>
  <c r="I100"/>
  <c r="J100"/>
  <c r="K100"/>
  <c r="L100"/>
  <c r="M100"/>
  <c r="N100"/>
  <c r="O100"/>
  <c r="P100"/>
  <c r="G100"/>
  <c r="F99"/>
  <c r="H99"/>
  <c r="I99"/>
  <c r="J99"/>
  <c r="K99"/>
  <c r="L99"/>
  <c r="M99"/>
  <c r="N99"/>
  <c r="O99"/>
  <c r="P99"/>
  <c r="G99"/>
  <c r="Q110" l="1"/>
  <c r="Q81"/>
  <c r="Q107"/>
  <c r="Q113"/>
  <c r="Q112"/>
  <c r="Q108"/>
  <c r="Q109"/>
  <c r="Q102"/>
  <c r="Q103"/>
  <c r="Q104"/>
  <c r="Q92"/>
  <c r="AC32"/>
  <c r="AE32"/>
  <c r="K187"/>
  <c r="Q187"/>
  <c r="Q100"/>
  <c r="Q99"/>
  <c r="R9"/>
  <c r="R10"/>
  <c r="R12"/>
  <c r="R13"/>
  <c r="R15"/>
  <c r="R16"/>
  <c r="R18"/>
  <c r="R20"/>
  <c r="R21"/>
  <c r="R22"/>
  <c r="R23"/>
  <c r="R25"/>
  <c r="R27"/>
  <c r="R29"/>
  <c r="R31"/>
  <c r="S31" s="1"/>
  <c r="T31" s="1"/>
  <c r="U31" s="1"/>
  <c r="V31" s="1"/>
  <c r="W31" s="1"/>
  <c r="X31" s="1"/>
  <c r="Y31" s="1"/>
  <c r="Z31" s="1"/>
  <c r="AA31" s="1"/>
  <c r="AB31" s="1"/>
  <c r="R33"/>
  <c r="R34"/>
  <c r="R36"/>
  <c r="R38"/>
  <c r="R7"/>
  <c r="R6"/>
  <c r="AD9"/>
  <c r="AD10"/>
  <c r="AD11"/>
  <c r="AD12"/>
  <c r="AD13"/>
  <c r="AD15"/>
  <c r="AD16"/>
  <c r="AD18"/>
  <c r="AD20"/>
  <c r="AD21"/>
  <c r="AD22"/>
  <c r="AD23"/>
  <c r="AD25"/>
  <c r="AD27"/>
  <c r="AD29"/>
  <c r="AD31"/>
  <c r="AD33"/>
  <c r="AD34"/>
  <c r="AD36"/>
  <c r="AD38"/>
  <c r="AD40"/>
  <c r="AD41"/>
  <c r="AD44"/>
  <c r="AD45"/>
  <c r="AD47"/>
  <c r="AD48"/>
  <c r="AD49"/>
  <c r="AD50"/>
  <c r="AD52"/>
  <c r="AD53"/>
  <c r="AD54"/>
  <c r="AD56"/>
  <c r="AD57"/>
  <c r="AD58"/>
  <c r="AD59"/>
  <c r="AD61"/>
  <c r="AD62"/>
  <c r="AD64"/>
  <c r="AD66"/>
  <c r="AD67"/>
  <c r="AD68"/>
  <c r="AD69"/>
  <c r="AD70"/>
  <c r="AD72"/>
  <c r="AD73"/>
  <c r="AD74"/>
  <c r="AD7"/>
  <c r="AD6"/>
  <c r="G89" l="1"/>
  <c r="F89"/>
  <c r="H89"/>
  <c r="I89"/>
  <c r="J89"/>
  <c r="K89"/>
  <c r="L89"/>
  <c r="M89"/>
  <c r="N89"/>
  <c r="O89"/>
  <c r="P89"/>
  <c r="Q89" l="1"/>
  <c r="H83"/>
  <c r="I83"/>
  <c r="J83"/>
  <c r="K83"/>
  <c r="L83"/>
  <c r="M83"/>
  <c r="N83"/>
  <c r="O83"/>
  <c r="P83"/>
  <c r="H86"/>
  <c r="I86"/>
  <c r="J86"/>
  <c r="K86"/>
  <c r="L86"/>
  <c r="M86"/>
  <c r="N86"/>
  <c r="O86"/>
  <c r="P86"/>
  <c r="G86"/>
  <c r="G83"/>
  <c r="S29"/>
  <c r="Q29"/>
  <c r="L30"/>
  <c r="K30"/>
  <c r="J30"/>
  <c r="I30"/>
  <c r="H30"/>
  <c r="G30"/>
  <c r="Q82"/>
  <c r="T29" l="1"/>
  <c r="Q86"/>
  <c r="Q83"/>
  <c r="H91"/>
  <c r="I91"/>
  <c r="J91"/>
  <c r="K91"/>
  <c r="L91"/>
  <c r="M91"/>
  <c r="N91"/>
  <c r="O91"/>
  <c r="P91"/>
  <c r="G91"/>
  <c r="H90"/>
  <c r="I90"/>
  <c r="J90"/>
  <c r="K90"/>
  <c r="L90"/>
  <c r="M90"/>
  <c r="N90"/>
  <c r="O90"/>
  <c r="P90"/>
  <c r="G90"/>
  <c r="U29" l="1"/>
  <c r="Q90"/>
  <c r="Q91"/>
  <c r="AE61"/>
  <c r="V29" l="1"/>
  <c r="C161"/>
  <c r="D161"/>
  <c r="E161"/>
  <c r="F161"/>
  <c r="G161"/>
  <c r="H161"/>
  <c r="I161"/>
  <c r="J161"/>
  <c r="K161"/>
  <c r="L161"/>
  <c r="M161"/>
  <c r="N161"/>
  <c r="O161"/>
  <c r="P161"/>
  <c r="C9" i="15"/>
  <c r="D62" i="18"/>
  <c r="E62"/>
  <c r="E94" s="1"/>
  <c r="E95" s="1"/>
  <c r="F62"/>
  <c r="F94" s="1"/>
  <c r="F95" s="1"/>
  <c r="G62"/>
  <c r="G94" s="1"/>
  <c r="G95" s="1"/>
  <c r="H62"/>
  <c r="H94" s="1"/>
  <c r="H95" s="1"/>
  <c r="I62"/>
  <c r="I94" s="1"/>
  <c r="I95" s="1"/>
  <c r="J62"/>
  <c r="J94" s="1"/>
  <c r="J95" s="1"/>
  <c r="K62"/>
  <c r="K94" s="1"/>
  <c r="K95" s="1"/>
  <c r="L62"/>
  <c r="L94" s="1"/>
  <c r="L95" s="1"/>
  <c r="M62"/>
  <c r="M94" s="1"/>
  <c r="M95" s="1"/>
  <c r="N62"/>
  <c r="N94" s="1"/>
  <c r="N95" s="1"/>
  <c r="O62"/>
  <c r="O94" s="1"/>
  <c r="O95" s="1"/>
  <c r="P62"/>
  <c r="P94" s="1"/>
  <c r="C62"/>
  <c r="S41"/>
  <c r="S62" s="1"/>
  <c r="S94" s="1"/>
  <c r="S95" s="1"/>
  <c r="Q41"/>
  <c r="W29" l="1"/>
  <c r="Q161"/>
  <c r="N96"/>
  <c r="N97" s="1"/>
  <c r="J96"/>
  <c r="J97" s="1"/>
  <c r="L96"/>
  <c r="L97" s="1"/>
  <c r="H96"/>
  <c r="H97" s="1"/>
  <c r="M96"/>
  <c r="M97" s="1"/>
  <c r="I96"/>
  <c r="I97" s="1"/>
  <c r="F96"/>
  <c r="F97" s="1"/>
  <c r="O96"/>
  <c r="O97" s="1"/>
  <c r="K96"/>
  <c r="K97" s="1"/>
  <c r="G96"/>
  <c r="G97" s="1"/>
  <c r="P95"/>
  <c r="Q94"/>
  <c r="T41"/>
  <c r="U41" s="1"/>
  <c r="V41" s="1"/>
  <c r="W41" s="1"/>
  <c r="X29" l="1"/>
  <c r="P96"/>
  <c r="Q95"/>
  <c r="U62"/>
  <c r="X41"/>
  <c r="W62"/>
  <c r="V62"/>
  <c r="T62"/>
  <c r="C72"/>
  <c r="D72"/>
  <c r="E72"/>
  <c r="F72"/>
  <c r="G72"/>
  <c r="G117" s="1"/>
  <c r="H72"/>
  <c r="H117" s="1"/>
  <c r="I72"/>
  <c r="I117" s="1"/>
  <c r="J72"/>
  <c r="J117" s="1"/>
  <c r="K72"/>
  <c r="K117" s="1"/>
  <c r="L72"/>
  <c r="L117" s="1"/>
  <c r="M72"/>
  <c r="M117" s="1"/>
  <c r="N72"/>
  <c r="N117" s="1"/>
  <c r="O72"/>
  <c r="O117" s="1"/>
  <c r="C73"/>
  <c r="D73"/>
  <c r="E73"/>
  <c r="F73"/>
  <c r="G73"/>
  <c r="H73"/>
  <c r="I73"/>
  <c r="J73"/>
  <c r="K73"/>
  <c r="L73"/>
  <c r="M73"/>
  <c r="N73"/>
  <c r="O73"/>
  <c r="C74"/>
  <c r="D74"/>
  <c r="E74"/>
  <c r="F74"/>
  <c r="G74"/>
  <c r="H74"/>
  <c r="I74"/>
  <c r="J74"/>
  <c r="K74"/>
  <c r="L74"/>
  <c r="M74"/>
  <c r="N74"/>
  <c r="O74"/>
  <c r="P74"/>
  <c r="P73"/>
  <c r="P72"/>
  <c r="P117" s="1"/>
  <c r="C80"/>
  <c r="D80"/>
  <c r="E80"/>
  <c r="F80"/>
  <c r="H80"/>
  <c r="I80"/>
  <c r="J80"/>
  <c r="K80"/>
  <c r="L80"/>
  <c r="M80"/>
  <c r="N80"/>
  <c r="O80"/>
  <c r="C78"/>
  <c r="D78"/>
  <c r="E78"/>
  <c r="C79"/>
  <c r="D79"/>
  <c r="E79"/>
  <c r="F79"/>
  <c r="G79"/>
  <c r="H79"/>
  <c r="I79"/>
  <c r="J79"/>
  <c r="K79"/>
  <c r="L79"/>
  <c r="M79"/>
  <c r="N79"/>
  <c r="O79"/>
  <c r="F78"/>
  <c r="G78"/>
  <c r="H78"/>
  <c r="I78"/>
  <c r="J78"/>
  <c r="K78"/>
  <c r="L78"/>
  <c r="M78"/>
  <c r="N78"/>
  <c r="O78"/>
  <c r="P79"/>
  <c r="G39"/>
  <c r="G28"/>
  <c r="G11"/>
  <c r="G8"/>
  <c r="G26"/>
  <c r="Q117" l="1"/>
  <c r="Y29"/>
  <c r="Q74"/>
  <c r="Y41"/>
  <c r="X62"/>
  <c r="Q72"/>
  <c r="Q73"/>
  <c r="Q79"/>
  <c r="Q80"/>
  <c r="P78"/>
  <c r="Q78" s="1"/>
  <c r="C173"/>
  <c r="D173"/>
  <c r="E173"/>
  <c r="F173"/>
  <c r="C174"/>
  <c r="D174"/>
  <c r="E174"/>
  <c r="F174"/>
  <c r="C175"/>
  <c r="D175"/>
  <c r="E175"/>
  <c r="F175"/>
  <c r="H175"/>
  <c r="I175"/>
  <c r="J175"/>
  <c r="K175"/>
  <c r="L175"/>
  <c r="M175"/>
  <c r="N175"/>
  <c r="O175"/>
  <c r="P175"/>
  <c r="G175"/>
  <c r="H174"/>
  <c r="I174"/>
  <c r="J174"/>
  <c r="K174"/>
  <c r="L174"/>
  <c r="M174"/>
  <c r="N174"/>
  <c r="O174"/>
  <c r="P174"/>
  <c r="G174"/>
  <c r="H173"/>
  <c r="I173"/>
  <c r="J173"/>
  <c r="K173"/>
  <c r="L173"/>
  <c r="M173"/>
  <c r="N173"/>
  <c r="O173"/>
  <c r="P173"/>
  <c r="G173"/>
  <c r="H45"/>
  <c r="I45"/>
  <c r="J45"/>
  <c r="K45"/>
  <c r="L45"/>
  <c r="M45"/>
  <c r="N45"/>
  <c r="O45"/>
  <c r="P45"/>
  <c r="C45"/>
  <c r="D45"/>
  <c r="E45"/>
  <c r="F45"/>
  <c r="G45"/>
  <c r="G47"/>
  <c r="G160" s="1"/>
  <c r="H44"/>
  <c r="H154" s="1"/>
  <c r="I44"/>
  <c r="I154" s="1"/>
  <c r="J44"/>
  <c r="J154" s="1"/>
  <c r="K44"/>
  <c r="K154" s="1"/>
  <c r="L44"/>
  <c r="L154" s="1"/>
  <c r="M44"/>
  <c r="M154" s="1"/>
  <c r="N44"/>
  <c r="N154" s="1"/>
  <c r="O44"/>
  <c r="O154" s="1"/>
  <c r="P44"/>
  <c r="P154" s="1"/>
  <c r="C44"/>
  <c r="C154" s="1"/>
  <c r="D44"/>
  <c r="D154" s="1"/>
  <c r="E44"/>
  <c r="E154" s="1"/>
  <c r="F44"/>
  <c r="F154" s="1"/>
  <c r="G44"/>
  <c r="G154" s="1"/>
  <c r="M28"/>
  <c r="L28"/>
  <c r="K28"/>
  <c r="J28"/>
  <c r="I28"/>
  <c r="H28"/>
  <c r="M26"/>
  <c r="L26"/>
  <c r="K26"/>
  <c r="J26"/>
  <c r="I26"/>
  <c r="H26"/>
  <c r="I8"/>
  <c r="J8"/>
  <c r="K8"/>
  <c r="L8"/>
  <c r="M8"/>
  <c r="N8"/>
  <c r="O8"/>
  <c r="P8"/>
  <c r="H8"/>
  <c r="Q40"/>
  <c r="S36"/>
  <c r="S84" s="1"/>
  <c r="Q36"/>
  <c r="Q154" l="1"/>
  <c r="Z29"/>
  <c r="Z41"/>
  <c r="Y62"/>
  <c r="T36"/>
  <c r="T84" s="1"/>
  <c r="Q175"/>
  <c r="Q45"/>
  <c r="Q44"/>
  <c r="Q174"/>
  <c r="Q173"/>
  <c r="Q31"/>
  <c r="Q34"/>
  <c r="AA29" l="1"/>
  <c r="AA41"/>
  <c r="Z62"/>
  <c r="U36"/>
  <c r="U84" s="1"/>
  <c r="I69"/>
  <c r="J69"/>
  <c r="K69"/>
  <c r="L69"/>
  <c r="M69"/>
  <c r="N69"/>
  <c r="O69"/>
  <c r="P69"/>
  <c r="I70"/>
  <c r="J70"/>
  <c r="K70"/>
  <c r="L70"/>
  <c r="M70"/>
  <c r="N70"/>
  <c r="O70"/>
  <c r="P70"/>
  <c r="I64"/>
  <c r="I66" s="1"/>
  <c r="J64"/>
  <c r="J66" s="1"/>
  <c r="K64"/>
  <c r="K66" s="1"/>
  <c r="L64"/>
  <c r="L66" s="1"/>
  <c r="M64"/>
  <c r="M66" s="1"/>
  <c r="N64"/>
  <c r="N66" s="1"/>
  <c r="O64"/>
  <c r="O66" s="1"/>
  <c r="P64"/>
  <c r="P66" s="1"/>
  <c r="I67"/>
  <c r="J67"/>
  <c r="K67"/>
  <c r="L67"/>
  <c r="M67"/>
  <c r="N67"/>
  <c r="O67"/>
  <c r="P67"/>
  <c r="I68"/>
  <c r="J68"/>
  <c r="K68"/>
  <c r="L68"/>
  <c r="M68"/>
  <c r="N68"/>
  <c r="O68"/>
  <c r="P68"/>
  <c r="C67"/>
  <c r="D67"/>
  <c r="E67"/>
  <c r="F67"/>
  <c r="G67"/>
  <c r="C68"/>
  <c r="D68"/>
  <c r="E68"/>
  <c r="F68"/>
  <c r="G68"/>
  <c r="C69"/>
  <c r="D69"/>
  <c r="E69"/>
  <c r="F69"/>
  <c r="G69"/>
  <c r="C70"/>
  <c r="D70"/>
  <c r="E70"/>
  <c r="F70"/>
  <c r="G70"/>
  <c r="H70"/>
  <c r="H69"/>
  <c r="S23"/>
  <c r="Q23"/>
  <c r="S22"/>
  <c r="T22" s="1"/>
  <c r="U22" s="1"/>
  <c r="V22" s="1"/>
  <c r="W22" s="1"/>
  <c r="X22" s="1"/>
  <c r="Y22" s="1"/>
  <c r="Z22" s="1"/>
  <c r="AA22" s="1"/>
  <c r="AB22" s="1"/>
  <c r="S21"/>
  <c r="Q20"/>
  <c r="C64"/>
  <c r="C66" s="1"/>
  <c r="D64"/>
  <c r="D66" s="1"/>
  <c r="E64"/>
  <c r="E66" s="1"/>
  <c r="F64"/>
  <c r="F66" s="1"/>
  <c r="G64"/>
  <c r="G66" s="1"/>
  <c r="H64"/>
  <c r="H66" s="1"/>
  <c r="H68"/>
  <c r="H67"/>
  <c r="T23" l="1"/>
  <c r="S87"/>
  <c r="AB29"/>
  <c r="AE31"/>
  <c r="AC31"/>
  <c r="AC22"/>
  <c r="AE22"/>
  <c r="AB41"/>
  <c r="AE41" s="1"/>
  <c r="AA62"/>
  <c r="V36"/>
  <c r="V84" s="1"/>
  <c r="Q69"/>
  <c r="Q70"/>
  <c r="Q68"/>
  <c r="Q66"/>
  <c r="Q67"/>
  <c r="Q22"/>
  <c r="Q21"/>
  <c r="Q64"/>
  <c r="S20"/>
  <c r="T21"/>
  <c r="Q62"/>
  <c r="Q153"/>
  <c r="U23" l="1"/>
  <c r="T87"/>
  <c r="AE29"/>
  <c r="AC29"/>
  <c r="T20"/>
  <c r="T64" s="1"/>
  <c r="S64"/>
  <c r="AB62"/>
  <c r="AC41"/>
  <c r="U21"/>
  <c r="C19" i="15"/>
  <c r="S9" i="18"/>
  <c r="T9" s="1"/>
  <c r="U9" s="1"/>
  <c r="V9" s="1"/>
  <c r="W9" s="1"/>
  <c r="X9" s="1"/>
  <c r="Y9" s="1"/>
  <c r="Z9" s="1"/>
  <c r="AA9" s="1"/>
  <c r="AB9" s="1"/>
  <c r="AE9" s="1"/>
  <c r="Q38"/>
  <c r="Q33"/>
  <c r="Q27"/>
  <c r="Q25"/>
  <c r="Q18"/>
  <c r="Q16"/>
  <c r="Q15"/>
  <c r="Q13"/>
  <c r="Q12"/>
  <c r="Q10"/>
  <c r="Q9"/>
  <c r="Q7"/>
  <c r="Q6"/>
  <c r="S18"/>
  <c r="S25"/>
  <c r="S27"/>
  <c r="S33"/>
  <c r="T33" s="1"/>
  <c r="U33" s="1"/>
  <c r="V33" s="1"/>
  <c r="W33" s="1"/>
  <c r="X33" s="1"/>
  <c r="Y33" s="1"/>
  <c r="Z33" s="1"/>
  <c r="AA33" s="1"/>
  <c r="AB33" s="1"/>
  <c r="AE33" s="1"/>
  <c r="S34"/>
  <c r="T34" s="1"/>
  <c r="U34" s="1"/>
  <c r="V34" s="1"/>
  <c r="W34" s="1"/>
  <c r="X34" s="1"/>
  <c r="Y34" s="1"/>
  <c r="Z34" s="1"/>
  <c r="AA34" s="1"/>
  <c r="AB34" s="1"/>
  <c r="AE34" s="1"/>
  <c r="W36"/>
  <c r="W84" s="1"/>
  <c r="O60"/>
  <c r="O158" s="1"/>
  <c r="O59"/>
  <c r="O57"/>
  <c r="O56"/>
  <c r="O54"/>
  <c r="O159" s="1"/>
  <c r="O53"/>
  <c r="O52"/>
  <c r="O50"/>
  <c r="O49"/>
  <c r="O156" s="1"/>
  <c r="O48"/>
  <c r="O47"/>
  <c r="S110" l="1"/>
  <c r="S120"/>
  <c r="S109"/>
  <c r="S119"/>
  <c r="V23"/>
  <c r="U87"/>
  <c r="S103"/>
  <c r="S104"/>
  <c r="S102"/>
  <c r="S92"/>
  <c r="P97"/>
  <c r="Q97" s="1"/>
  <c r="Q96"/>
  <c r="S83"/>
  <c r="S100"/>
  <c r="S99"/>
  <c r="T18"/>
  <c r="S141"/>
  <c r="AE62"/>
  <c r="O155"/>
  <c r="O160"/>
  <c r="U20"/>
  <c r="AC62"/>
  <c r="T27"/>
  <c r="X36"/>
  <c r="X84" s="1"/>
  <c r="T25"/>
  <c r="S78"/>
  <c r="V21"/>
  <c r="AC33"/>
  <c r="AC34"/>
  <c r="AC9"/>
  <c r="O58"/>
  <c r="O157" s="1"/>
  <c r="D54"/>
  <c r="E54"/>
  <c r="F54"/>
  <c r="G54"/>
  <c r="G159" s="1"/>
  <c r="H54"/>
  <c r="H159" s="1"/>
  <c r="I54"/>
  <c r="I159" s="1"/>
  <c r="J54"/>
  <c r="J159" s="1"/>
  <c r="K54"/>
  <c r="K159" s="1"/>
  <c r="L54"/>
  <c r="L159" s="1"/>
  <c r="M54"/>
  <c r="M159" s="1"/>
  <c r="N54"/>
  <c r="N159" s="1"/>
  <c r="P54"/>
  <c r="C54"/>
  <c r="C53"/>
  <c r="T110" l="1"/>
  <c r="T120"/>
  <c r="T109"/>
  <c r="T119"/>
  <c r="W23"/>
  <c r="V87"/>
  <c r="T141"/>
  <c r="R141" s="1"/>
  <c r="P165" s="1"/>
  <c r="T102"/>
  <c r="T104"/>
  <c r="T103"/>
  <c r="T92"/>
  <c r="T83"/>
  <c r="T100"/>
  <c r="T99"/>
  <c r="U18"/>
  <c r="V20"/>
  <c r="U64"/>
  <c r="U27"/>
  <c r="U25"/>
  <c r="T78"/>
  <c r="Y36"/>
  <c r="Y84" s="1"/>
  <c r="W21"/>
  <c r="P159"/>
  <c r="Q159" s="1"/>
  <c r="Q54"/>
  <c r="D53"/>
  <c r="E53"/>
  <c r="F53"/>
  <c r="G53"/>
  <c r="H53"/>
  <c r="I53"/>
  <c r="J53"/>
  <c r="K53"/>
  <c r="L53"/>
  <c r="M53"/>
  <c r="N53"/>
  <c r="P53"/>
  <c r="D52"/>
  <c r="E52"/>
  <c r="F52"/>
  <c r="G52"/>
  <c r="H52"/>
  <c r="I52"/>
  <c r="J52"/>
  <c r="K52"/>
  <c r="L52"/>
  <c r="M52"/>
  <c r="N52"/>
  <c r="P52"/>
  <c r="C52"/>
  <c r="U110" l="1"/>
  <c r="U120"/>
  <c r="U109"/>
  <c r="U119"/>
  <c r="X23"/>
  <c r="W87"/>
  <c r="U104"/>
  <c r="U103"/>
  <c r="U102"/>
  <c r="U92"/>
  <c r="U83"/>
  <c r="U100"/>
  <c r="U99"/>
  <c r="V18"/>
  <c r="W20"/>
  <c r="V64"/>
  <c r="V27"/>
  <c r="V25"/>
  <c r="U78"/>
  <c r="Z36"/>
  <c r="Z84" s="1"/>
  <c r="X21"/>
  <c r="Q52"/>
  <c r="Q53"/>
  <c r="C46" i="15"/>
  <c r="V110" i="18" l="1"/>
  <c r="V120"/>
  <c r="V109"/>
  <c r="V119"/>
  <c r="Y23"/>
  <c r="X87"/>
  <c r="V92"/>
  <c r="V104"/>
  <c r="V103"/>
  <c r="V102"/>
  <c r="V83"/>
  <c r="V100"/>
  <c r="V99"/>
  <c r="W18"/>
  <c r="X20"/>
  <c r="W64"/>
  <c r="W27"/>
  <c r="W25"/>
  <c r="V78"/>
  <c r="AA36"/>
  <c r="AA84" s="1"/>
  <c r="Y21"/>
  <c r="S153"/>
  <c r="C47"/>
  <c r="D47"/>
  <c r="E47"/>
  <c r="F47"/>
  <c r="H47"/>
  <c r="I47"/>
  <c r="J47"/>
  <c r="K47"/>
  <c r="L47"/>
  <c r="L160" s="1"/>
  <c r="M47"/>
  <c r="N47"/>
  <c r="N160" s="1"/>
  <c r="P47"/>
  <c r="D60"/>
  <c r="D158" s="1"/>
  <c r="E60"/>
  <c r="E158" s="1"/>
  <c r="F60"/>
  <c r="F158" s="1"/>
  <c r="G60"/>
  <c r="H60"/>
  <c r="H158" s="1"/>
  <c r="I60"/>
  <c r="I158" s="1"/>
  <c r="J60"/>
  <c r="J158" s="1"/>
  <c r="K60"/>
  <c r="K158" s="1"/>
  <c r="L60"/>
  <c r="L158" s="1"/>
  <c r="M60"/>
  <c r="M158" s="1"/>
  <c r="N60"/>
  <c r="P60"/>
  <c r="D59"/>
  <c r="E59"/>
  <c r="F59"/>
  <c r="G59"/>
  <c r="H59"/>
  <c r="I59"/>
  <c r="J59"/>
  <c r="K59"/>
  <c r="L59"/>
  <c r="M59"/>
  <c r="N59"/>
  <c r="P59"/>
  <c r="D57"/>
  <c r="E57"/>
  <c r="F57"/>
  <c r="G57"/>
  <c r="H57"/>
  <c r="I57"/>
  <c r="J57"/>
  <c r="K57"/>
  <c r="L57"/>
  <c r="M57"/>
  <c r="N57"/>
  <c r="P57"/>
  <c r="D56"/>
  <c r="D58" s="1"/>
  <c r="D157" s="1"/>
  <c r="E56"/>
  <c r="E58" s="1"/>
  <c r="E157" s="1"/>
  <c r="F56"/>
  <c r="G56"/>
  <c r="H56"/>
  <c r="I56"/>
  <c r="J56"/>
  <c r="K56"/>
  <c r="L56"/>
  <c r="M56"/>
  <c r="N56"/>
  <c r="P56"/>
  <c r="D50"/>
  <c r="E50"/>
  <c r="F50"/>
  <c r="G50"/>
  <c r="H50"/>
  <c r="I50"/>
  <c r="J50"/>
  <c r="K50"/>
  <c r="L50"/>
  <c r="M50"/>
  <c r="N50"/>
  <c r="P50"/>
  <c r="D49"/>
  <c r="D156" s="1"/>
  <c r="E49"/>
  <c r="E156" s="1"/>
  <c r="F49"/>
  <c r="F156" s="1"/>
  <c r="G49"/>
  <c r="H49"/>
  <c r="H156" s="1"/>
  <c r="I49"/>
  <c r="I156" s="1"/>
  <c r="J49"/>
  <c r="J156" s="1"/>
  <c r="K49"/>
  <c r="K156" s="1"/>
  <c r="L49"/>
  <c r="L156" s="1"/>
  <c r="M49"/>
  <c r="M156" s="1"/>
  <c r="N49"/>
  <c r="P49"/>
  <c r="C60"/>
  <c r="C158" s="1"/>
  <c r="C59"/>
  <c r="C57"/>
  <c r="C56"/>
  <c r="C50"/>
  <c r="C49"/>
  <c r="C156" s="1"/>
  <c r="D48"/>
  <c r="E48"/>
  <c r="F48"/>
  <c r="G48"/>
  <c r="H48"/>
  <c r="I48"/>
  <c r="J48"/>
  <c r="K48"/>
  <c r="L48"/>
  <c r="M48"/>
  <c r="N48"/>
  <c r="P48"/>
  <c r="C48"/>
  <c r="S15"/>
  <c r="S107" s="1"/>
  <c r="S16"/>
  <c r="S115" s="1"/>
  <c r="S116" s="1"/>
  <c r="S38"/>
  <c r="S85" s="1"/>
  <c r="S10"/>
  <c r="S12"/>
  <c r="S13"/>
  <c r="S7"/>
  <c r="S6"/>
  <c r="W110" l="1"/>
  <c r="W120"/>
  <c r="W109"/>
  <c r="W119"/>
  <c r="Z23"/>
  <c r="Y87"/>
  <c r="S80"/>
  <c r="S81"/>
  <c r="S113"/>
  <c r="S112"/>
  <c r="S86"/>
  <c r="S108"/>
  <c r="H160"/>
  <c r="H155"/>
  <c r="W92"/>
  <c r="W103"/>
  <c r="W102"/>
  <c r="W104"/>
  <c r="S91"/>
  <c r="S96"/>
  <c r="S97" s="1"/>
  <c r="W83"/>
  <c r="W100"/>
  <c r="W99"/>
  <c r="S89"/>
  <c r="S90"/>
  <c r="X18"/>
  <c r="D155"/>
  <c r="D159" s="1"/>
  <c r="D160"/>
  <c r="E155"/>
  <c r="E159" s="1"/>
  <c r="E160"/>
  <c r="C155"/>
  <c r="C159" s="1"/>
  <c r="C160"/>
  <c r="P155"/>
  <c r="P160"/>
  <c r="Q160" s="1"/>
  <c r="K155"/>
  <c r="K160"/>
  <c r="F155"/>
  <c r="F159" s="1"/>
  <c r="F160"/>
  <c r="J155"/>
  <c r="J160"/>
  <c r="M155"/>
  <c r="M160"/>
  <c r="I155"/>
  <c r="I160"/>
  <c r="Q123"/>
  <c r="Y20"/>
  <c r="X64"/>
  <c r="H58"/>
  <c r="H157" s="1"/>
  <c r="X27"/>
  <c r="T12"/>
  <c r="T15"/>
  <c r="T107" s="1"/>
  <c r="T13"/>
  <c r="T10"/>
  <c r="T16"/>
  <c r="T115" s="1"/>
  <c r="T116" s="1"/>
  <c r="T6"/>
  <c r="T7"/>
  <c r="X25"/>
  <c r="W78"/>
  <c r="T38"/>
  <c r="T85" s="1"/>
  <c r="S79"/>
  <c r="AB36"/>
  <c r="F58"/>
  <c r="F157" s="1"/>
  <c r="L58"/>
  <c r="L157" s="1"/>
  <c r="K58"/>
  <c r="K157" s="1"/>
  <c r="J58"/>
  <c r="J157" s="1"/>
  <c r="Z21"/>
  <c r="C58"/>
  <c r="C157" s="1"/>
  <c r="T153"/>
  <c r="I58"/>
  <c r="I157" s="1"/>
  <c r="Q48"/>
  <c r="G156"/>
  <c r="Q49"/>
  <c r="Q50"/>
  <c r="Q57"/>
  <c r="Q59"/>
  <c r="G155"/>
  <c r="Q47"/>
  <c r="G158"/>
  <c r="Q60"/>
  <c r="G58"/>
  <c r="Q56"/>
  <c r="N156"/>
  <c r="N155"/>
  <c r="N158"/>
  <c r="P156"/>
  <c r="L155"/>
  <c r="N58"/>
  <c r="M58"/>
  <c r="M157" s="1"/>
  <c r="P158"/>
  <c r="P58"/>
  <c r="S57"/>
  <c r="C6" i="12"/>
  <c r="C26" i="15"/>
  <c r="C58"/>
  <c r="C57"/>
  <c r="C54"/>
  <c r="C53"/>
  <c r="C50"/>
  <c r="C49"/>
  <c r="C45"/>
  <c r="X110" i="18" l="1"/>
  <c r="X120"/>
  <c r="X109"/>
  <c r="X119"/>
  <c r="AE36"/>
  <c r="AB84"/>
  <c r="AC84" s="1"/>
  <c r="AA23"/>
  <c r="Z87"/>
  <c r="T113"/>
  <c r="T112"/>
  <c r="T86"/>
  <c r="T108"/>
  <c r="T81"/>
  <c r="X102"/>
  <c r="X103"/>
  <c r="X104"/>
  <c r="X92"/>
  <c r="X83"/>
  <c r="X100"/>
  <c r="X99"/>
  <c r="T89"/>
  <c r="T90"/>
  <c r="T91"/>
  <c r="Y18"/>
  <c r="Z20"/>
  <c r="Y64"/>
  <c r="S56"/>
  <c r="S73"/>
  <c r="S52"/>
  <c r="S54"/>
  <c r="S159" s="1"/>
  <c r="S60"/>
  <c r="S158" s="1"/>
  <c r="S70"/>
  <c r="S72"/>
  <c r="S117" s="1"/>
  <c r="S45"/>
  <c r="S44"/>
  <c r="S154" s="1"/>
  <c r="S53"/>
  <c r="S49"/>
  <c r="S50"/>
  <c r="S59"/>
  <c r="S48"/>
  <c r="S74"/>
  <c r="S47"/>
  <c r="Y27"/>
  <c r="U15"/>
  <c r="U107" s="1"/>
  <c r="U13"/>
  <c r="U12"/>
  <c r="S58"/>
  <c r="U16"/>
  <c r="U115" s="1"/>
  <c r="U116" s="1"/>
  <c r="U10"/>
  <c r="U7"/>
  <c r="U6"/>
  <c r="AC36"/>
  <c r="Y25"/>
  <c r="X78"/>
  <c r="U38"/>
  <c r="U85" s="1"/>
  <c r="T80"/>
  <c r="T79"/>
  <c r="T40"/>
  <c r="T94" s="1"/>
  <c r="T95" s="1"/>
  <c r="T96" s="1"/>
  <c r="T97" s="1"/>
  <c r="S67"/>
  <c r="S68"/>
  <c r="S69"/>
  <c r="S66"/>
  <c r="AA21"/>
  <c r="U153"/>
  <c r="Q156"/>
  <c r="Q155"/>
  <c r="Q158"/>
  <c r="G157"/>
  <c r="Q58"/>
  <c r="N157"/>
  <c r="P157"/>
  <c r="C16" i="15"/>
  <c r="C21"/>
  <c r="C10"/>
  <c r="Y110" i="18" l="1"/>
  <c r="Y120"/>
  <c r="Y109"/>
  <c r="Y119"/>
  <c r="AB23"/>
  <c r="AA87"/>
  <c r="U86"/>
  <c r="U108"/>
  <c r="U113"/>
  <c r="U112"/>
  <c r="U81"/>
  <c r="Y104"/>
  <c r="Y103"/>
  <c r="Y102"/>
  <c r="Y92"/>
  <c r="T56"/>
  <c r="Y83"/>
  <c r="Y100"/>
  <c r="Y99"/>
  <c r="U89"/>
  <c r="U90"/>
  <c r="U91"/>
  <c r="T52"/>
  <c r="Z18"/>
  <c r="AA20"/>
  <c r="Z64"/>
  <c r="T54"/>
  <c r="T159" s="1"/>
  <c r="T60"/>
  <c r="T158" s="1"/>
  <c r="T70"/>
  <c r="T72"/>
  <c r="T117" s="1"/>
  <c r="T44"/>
  <c r="T154" s="1"/>
  <c r="T45"/>
  <c r="T49"/>
  <c r="T48"/>
  <c r="T59"/>
  <c r="T74"/>
  <c r="T53"/>
  <c r="T50"/>
  <c r="T47"/>
  <c r="T57"/>
  <c r="T73"/>
  <c r="Z27"/>
  <c r="V13"/>
  <c r="V12"/>
  <c r="V15"/>
  <c r="V107" s="1"/>
  <c r="V10"/>
  <c r="V16"/>
  <c r="V115" s="1"/>
  <c r="V116" s="1"/>
  <c r="V6"/>
  <c r="V7"/>
  <c r="V38"/>
  <c r="V85" s="1"/>
  <c r="U80"/>
  <c r="U79"/>
  <c r="Z25"/>
  <c r="Y78"/>
  <c r="U40"/>
  <c r="U94" s="1"/>
  <c r="U95" s="1"/>
  <c r="U96" s="1"/>
  <c r="U97" s="1"/>
  <c r="T69"/>
  <c r="T68"/>
  <c r="T67"/>
  <c r="T66"/>
  <c r="AB21"/>
  <c r="AE21" s="1"/>
  <c r="S157"/>
  <c r="V153"/>
  <c r="S155"/>
  <c r="S156"/>
  <c r="Q157"/>
  <c r="D31" i="8"/>
  <c r="D29"/>
  <c r="D28"/>
  <c r="D13"/>
  <c r="D30" s="1"/>
  <c r="E14"/>
  <c r="F14" s="1"/>
  <c r="G14" s="1"/>
  <c r="H14" s="1"/>
  <c r="I14" s="1"/>
  <c r="Z110" i="18" l="1"/>
  <c r="Z120"/>
  <c r="Z109"/>
  <c r="Z119"/>
  <c r="AE23"/>
  <c r="AB87"/>
  <c r="AC87" s="1"/>
  <c r="AC23"/>
  <c r="V81"/>
  <c r="V112"/>
  <c r="V113"/>
  <c r="V86"/>
  <c r="V108"/>
  <c r="Z104"/>
  <c r="Z103"/>
  <c r="Z102"/>
  <c r="Z92"/>
  <c r="U56"/>
  <c r="T58"/>
  <c r="T157" s="1"/>
  <c r="Z83"/>
  <c r="Z100"/>
  <c r="Z99"/>
  <c r="V89"/>
  <c r="V91"/>
  <c r="V90"/>
  <c r="AA18"/>
  <c r="AB20"/>
  <c r="AE20" s="1"/>
  <c r="AA64"/>
  <c r="U74"/>
  <c r="U73"/>
  <c r="U52"/>
  <c r="U60"/>
  <c r="U158" s="1"/>
  <c r="U59"/>
  <c r="U54"/>
  <c r="U159" s="1"/>
  <c r="U57"/>
  <c r="U48"/>
  <c r="U70"/>
  <c r="U72"/>
  <c r="U117" s="1"/>
  <c r="U45"/>
  <c r="U44"/>
  <c r="U154" s="1"/>
  <c r="U53"/>
  <c r="U49"/>
  <c r="U50"/>
  <c r="U47"/>
  <c r="AA27"/>
  <c r="W12"/>
  <c r="W15"/>
  <c r="W107" s="1"/>
  <c r="W13"/>
  <c r="W16"/>
  <c r="W115" s="1"/>
  <c r="W116" s="1"/>
  <c r="W10"/>
  <c r="W7"/>
  <c r="W6"/>
  <c r="AA25"/>
  <c r="Z78"/>
  <c r="W38"/>
  <c r="W85" s="1"/>
  <c r="V79"/>
  <c r="V80"/>
  <c r="V40"/>
  <c r="V94" s="1"/>
  <c r="V95" s="1"/>
  <c r="V96" s="1"/>
  <c r="V97" s="1"/>
  <c r="U69"/>
  <c r="U67"/>
  <c r="U68"/>
  <c r="U66"/>
  <c r="AC21"/>
  <c r="W153"/>
  <c r="T155"/>
  <c r="T156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A110" i="18" l="1"/>
  <c r="AA120"/>
  <c r="AA109"/>
  <c r="AA119"/>
  <c r="W113"/>
  <c r="W112"/>
  <c r="W86"/>
  <c r="W108"/>
  <c r="W81"/>
  <c r="AA103"/>
  <c r="AA102"/>
  <c r="AA104"/>
  <c r="AA92"/>
  <c r="U58"/>
  <c r="U157" s="1"/>
  <c r="AA83"/>
  <c r="AA100"/>
  <c r="AA99"/>
  <c r="V59"/>
  <c r="W89"/>
  <c r="W91"/>
  <c r="W90"/>
  <c r="AB18"/>
  <c r="V74"/>
  <c r="V50"/>
  <c r="V57"/>
  <c r="AC20"/>
  <c r="AB64"/>
  <c r="V48"/>
  <c r="V56"/>
  <c r="V53"/>
  <c r="V73"/>
  <c r="V49"/>
  <c r="V54"/>
  <c r="V159" s="1"/>
  <c r="V70"/>
  <c r="V72"/>
  <c r="V117" s="1"/>
  <c r="V44"/>
  <c r="V154" s="1"/>
  <c r="V45"/>
  <c r="V52"/>
  <c r="V60"/>
  <c r="V158" s="1"/>
  <c r="V47"/>
  <c r="AB27"/>
  <c r="AB120" s="1"/>
  <c r="AC120" s="1"/>
  <c r="X15"/>
  <c r="X107" s="1"/>
  <c r="X13"/>
  <c r="X12"/>
  <c r="X10"/>
  <c r="X16"/>
  <c r="X115" s="1"/>
  <c r="X116" s="1"/>
  <c r="X6"/>
  <c r="X7"/>
  <c r="X38"/>
  <c r="X85" s="1"/>
  <c r="W80"/>
  <c r="W79"/>
  <c r="AB25"/>
  <c r="AA78"/>
  <c r="W40"/>
  <c r="W94" s="1"/>
  <c r="W95" s="1"/>
  <c r="W96" s="1"/>
  <c r="W97" s="1"/>
  <c r="V69"/>
  <c r="V67"/>
  <c r="V68"/>
  <c r="V66"/>
  <c r="X153"/>
  <c r="U155"/>
  <c r="U156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B109" i="18" l="1"/>
  <c r="AC109" s="1"/>
  <c r="AB119"/>
  <c r="AC119" s="1"/>
  <c r="X86"/>
  <c r="X108"/>
  <c r="X113"/>
  <c r="X112"/>
  <c r="AE27"/>
  <c r="AB110"/>
  <c r="AC110" s="1"/>
  <c r="X81"/>
  <c r="AB102"/>
  <c r="AC102" s="1"/>
  <c r="AB104"/>
  <c r="AC104" s="1"/>
  <c r="AB103"/>
  <c r="AC103" s="1"/>
  <c r="N32" i="9"/>
  <c r="N33" s="1"/>
  <c r="N34" s="1"/>
  <c r="N35" s="1"/>
  <c r="N36" s="1"/>
  <c r="N37" s="1"/>
  <c r="N38" s="1"/>
  <c r="N39" s="1"/>
  <c r="N40" s="1"/>
  <c r="N41" s="1"/>
  <c r="N42" s="1"/>
  <c r="M45"/>
  <c r="AB92" i="18"/>
  <c r="AC92" s="1"/>
  <c r="V58"/>
  <c r="V157" s="1"/>
  <c r="W57"/>
  <c r="AB83"/>
  <c r="AC83" s="1"/>
  <c r="AB100"/>
  <c r="AC100" s="1"/>
  <c r="AB99"/>
  <c r="AC99" s="1"/>
  <c r="X89"/>
  <c r="X91"/>
  <c r="X90"/>
  <c r="AE25"/>
  <c r="AE18"/>
  <c r="AC18"/>
  <c r="S143"/>
  <c r="AE64"/>
  <c r="AC64"/>
  <c r="M32" i="9"/>
  <c r="M33" s="1"/>
  <c r="M34" s="1"/>
  <c r="M35" s="1"/>
  <c r="M36" s="1"/>
  <c r="M37" s="1"/>
  <c r="M38" s="1"/>
  <c r="M39" s="1"/>
  <c r="M40" s="1"/>
  <c r="M41" s="1"/>
  <c r="P32"/>
  <c r="W60" i="18"/>
  <c r="W158" s="1"/>
  <c r="W59"/>
  <c r="W54"/>
  <c r="W159" s="1"/>
  <c r="W56"/>
  <c r="W53"/>
  <c r="W73"/>
  <c r="W52"/>
  <c r="W74"/>
  <c r="W70"/>
  <c r="W72"/>
  <c r="W117" s="1"/>
  <c r="W45"/>
  <c r="W44"/>
  <c r="W154" s="1"/>
  <c r="W48"/>
  <c r="W49"/>
  <c r="W50"/>
  <c r="W47"/>
  <c r="AC27"/>
  <c r="Y12"/>
  <c r="Y15"/>
  <c r="Y107" s="1"/>
  <c r="Y13"/>
  <c r="Y10"/>
  <c r="Y16"/>
  <c r="Y115" s="1"/>
  <c r="Y116" s="1"/>
  <c r="Y7"/>
  <c r="Y6"/>
  <c r="AC25"/>
  <c r="AB78"/>
  <c r="AC78" s="1"/>
  <c r="Y38"/>
  <c r="Y85" s="1"/>
  <c r="X80"/>
  <c r="X79"/>
  <c r="O31" i="9"/>
  <c r="O32" s="1"/>
  <c r="X40" i="18"/>
  <c r="X94" s="1"/>
  <c r="X95" s="1"/>
  <c r="X96" s="1"/>
  <c r="X97" s="1"/>
  <c r="W69"/>
  <c r="W67"/>
  <c r="W68"/>
  <c r="W66"/>
  <c r="Y153"/>
  <c r="V155"/>
  <c r="V156"/>
  <c r="P31" i="11"/>
  <c r="N32"/>
  <c r="T19" i="9"/>
  <c r="D22"/>
  <c r="Y113" i="18" l="1"/>
  <c r="Y112"/>
  <c r="Y86"/>
  <c r="Y108"/>
  <c r="Y81"/>
  <c r="W58"/>
  <c r="W157" s="1"/>
  <c r="X50"/>
  <c r="Y89"/>
  <c r="Y90"/>
  <c r="Y91"/>
  <c r="T143"/>
  <c r="R143" s="1"/>
  <c r="X52"/>
  <c r="X59"/>
  <c r="X47"/>
  <c r="X54"/>
  <c r="X159" s="1"/>
  <c r="X49"/>
  <c r="X48"/>
  <c r="X70"/>
  <c r="X72"/>
  <c r="X117" s="1"/>
  <c r="X45"/>
  <c r="X44"/>
  <c r="X154" s="1"/>
  <c r="X74"/>
  <c r="X53"/>
  <c r="X60"/>
  <c r="X158" s="1"/>
  <c r="X57"/>
  <c r="X56"/>
  <c r="X73"/>
  <c r="Z13"/>
  <c r="Z12"/>
  <c r="Z15"/>
  <c r="Z107" s="1"/>
  <c r="Z10"/>
  <c r="Z16"/>
  <c r="Z115" s="1"/>
  <c r="Z116" s="1"/>
  <c r="Z6"/>
  <c r="Z7"/>
  <c r="Z38"/>
  <c r="Z85" s="1"/>
  <c r="Y80"/>
  <c r="Y79"/>
  <c r="Y40"/>
  <c r="Y94" s="1"/>
  <c r="Y95" s="1"/>
  <c r="Y96" s="1"/>
  <c r="Y97" s="1"/>
  <c r="X69"/>
  <c r="X67"/>
  <c r="X68"/>
  <c r="X66"/>
  <c r="Z153"/>
  <c r="W155"/>
  <c r="W156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Z86" i="18" l="1"/>
  <c r="Z108"/>
  <c r="Z112"/>
  <c r="Z113"/>
  <c r="Z81"/>
  <c r="Z89"/>
  <c r="Z90"/>
  <c r="Z91"/>
  <c r="X58"/>
  <c r="X157" s="1"/>
  <c r="Y70"/>
  <c r="Y72"/>
  <c r="Y117" s="1"/>
  <c r="Y44"/>
  <c r="Y154" s="1"/>
  <c r="Y45"/>
  <c r="Y54"/>
  <c r="Y159" s="1"/>
  <c r="Y60"/>
  <c r="Y158" s="1"/>
  <c r="Y59"/>
  <c r="Y57"/>
  <c r="Y48"/>
  <c r="Y47"/>
  <c r="Y53"/>
  <c r="Y49"/>
  <c r="Y50"/>
  <c r="Y56"/>
  <c r="Y73"/>
  <c r="Y52"/>
  <c r="Y74"/>
  <c r="AA12"/>
  <c r="AA15"/>
  <c r="AA107" s="1"/>
  <c r="AA13"/>
  <c r="AA10"/>
  <c r="AA16"/>
  <c r="AA115" s="1"/>
  <c r="AA116" s="1"/>
  <c r="AA7"/>
  <c r="AA6"/>
  <c r="AA38"/>
  <c r="AA85" s="1"/>
  <c r="Z79"/>
  <c r="Z80"/>
  <c r="Z40"/>
  <c r="Z94" s="1"/>
  <c r="Z95" s="1"/>
  <c r="Z96" s="1"/>
  <c r="Z97" s="1"/>
  <c r="Y69"/>
  <c r="Y67"/>
  <c r="Y68"/>
  <c r="Y66"/>
  <c r="AA153"/>
  <c r="X155"/>
  <c r="X156"/>
  <c r="N34" i="11"/>
  <c r="O33"/>
  <c r="D25" i="8"/>
  <c r="D23"/>
  <c r="AA81" i="18" l="1"/>
  <c r="AA112"/>
  <c r="AA113"/>
  <c r="AA86"/>
  <c r="AA108"/>
  <c r="AA89"/>
  <c r="AA90"/>
  <c r="AA91"/>
  <c r="Y58"/>
  <c r="Y157" s="1"/>
  <c r="Z70"/>
  <c r="Z72"/>
  <c r="Z117" s="1"/>
  <c r="Z45"/>
  <c r="Z44"/>
  <c r="Z154" s="1"/>
  <c r="Z48"/>
  <c r="Z59"/>
  <c r="Z49"/>
  <c r="Z54"/>
  <c r="Z159" s="1"/>
  <c r="Z57"/>
  <c r="Z56"/>
  <c r="Z74"/>
  <c r="Z60"/>
  <c r="Z158" s="1"/>
  <c r="Z47"/>
  <c r="Z53"/>
  <c r="Z73"/>
  <c r="Z52"/>
  <c r="Z50"/>
  <c r="AB15"/>
  <c r="AB13"/>
  <c r="AE13" s="1"/>
  <c r="AB12"/>
  <c r="AB108" s="1"/>
  <c r="AC108" s="1"/>
  <c r="AB10"/>
  <c r="AB16"/>
  <c r="AB6"/>
  <c r="AE6" s="1"/>
  <c r="AB7"/>
  <c r="AE7" s="1"/>
  <c r="AB38"/>
  <c r="AB85" s="1"/>
  <c r="AC85" s="1"/>
  <c r="AA80"/>
  <c r="AA79"/>
  <c r="AA40"/>
  <c r="AA94" s="1"/>
  <c r="AA95" s="1"/>
  <c r="AA96" s="1"/>
  <c r="AA97" s="1"/>
  <c r="Z69"/>
  <c r="Z67"/>
  <c r="Z68"/>
  <c r="Z66"/>
  <c r="AB153"/>
  <c r="Y155"/>
  <c r="Y156"/>
  <c r="N35" i="11"/>
  <c r="O34"/>
  <c r="D35" i="8"/>
  <c r="E5"/>
  <c r="E18" s="1"/>
  <c r="D18"/>
  <c r="D19"/>
  <c r="D21"/>
  <c r="D20"/>
  <c r="AE16" i="18" l="1"/>
  <c r="AB115"/>
  <c r="AB113"/>
  <c r="AC113" s="1"/>
  <c r="AB112"/>
  <c r="AC112" s="1"/>
  <c r="AE15"/>
  <c r="AB107"/>
  <c r="AC107" s="1"/>
  <c r="AB81"/>
  <c r="AC81" s="1"/>
  <c r="AE10"/>
  <c r="AB89"/>
  <c r="AC89" s="1"/>
  <c r="AE12"/>
  <c r="AB86"/>
  <c r="AC86" s="1"/>
  <c r="AE38"/>
  <c r="AB90"/>
  <c r="AC90" s="1"/>
  <c r="AB91"/>
  <c r="AC91" s="1"/>
  <c r="Z58"/>
  <c r="Z157" s="1"/>
  <c r="AA70"/>
  <c r="AA72"/>
  <c r="AA117" s="1"/>
  <c r="AA44"/>
  <c r="AA154" s="1"/>
  <c r="AA45"/>
  <c r="AA52"/>
  <c r="AA60"/>
  <c r="AA158" s="1"/>
  <c r="AA47"/>
  <c r="AA54"/>
  <c r="AA159" s="1"/>
  <c r="AA57"/>
  <c r="AA73"/>
  <c r="AA48"/>
  <c r="AA49"/>
  <c r="AA50"/>
  <c r="AA53"/>
  <c r="AA74"/>
  <c r="AA56"/>
  <c r="AA59"/>
  <c r="AC15"/>
  <c r="AC13"/>
  <c r="S137"/>
  <c r="AC12"/>
  <c r="AC10"/>
  <c r="AC16"/>
  <c r="AC7"/>
  <c r="AC6"/>
  <c r="AB80"/>
  <c r="AC80" s="1"/>
  <c r="AB79"/>
  <c r="AC79" s="1"/>
  <c r="AC38"/>
  <c r="AB40"/>
  <c r="AB94" s="1"/>
  <c r="AB95" s="1"/>
  <c r="AB96" s="1"/>
  <c r="AB97" s="1"/>
  <c r="AA69"/>
  <c r="AA67"/>
  <c r="AA68"/>
  <c r="AA66"/>
  <c r="AC153"/>
  <c r="AE153" s="1"/>
  <c r="Z155"/>
  <c r="Z156"/>
  <c r="N36" i="11"/>
  <c r="O35"/>
  <c r="F5" i="8"/>
  <c r="G5" s="1"/>
  <c r="H5" s="1"/>
  <c r="I5" s="1"/>
  <c r="AC115" i="18" l="1"/>
  <c r="AB116"/>
  <c r="AC116" s="1"/>
  <c r="AE40"/>
  <c r="T137"/>
  <c r="T138" s="1"/>
  <c r="AA58"/>
  <c r="AA157" s="1"/>
  <c r="AB70"/>
  <c r="AB72"/>
  <c r="AB44"/>
  <c r="AB154" s="1"/>
  <c r="AC154" s="1"/>
  <c r="AE154" s="1"/>
  <c r="AB45"/>
  <c r="AB52"/>
  <c r="AB57"/>
  <c r="AB47"/>
  <c r="AE47" s="1"/>
  <c r="AB54"/>
  <c r="AB50"/>
  <c r="AB73"/>
  <c r="AB49"/>
  <c r="AE49" s="1"/>
  <c r="AB48"/>
  <c r="AB59"/>
  <c r="AB74"/>
  <c r="AB53"/>
  <c r="AB60"/>
  <c r="AB56"/>
  <c r="S138"/>
  <c r="AB69"/>
  <c r="AB67"/>
  <c r="AC40"/>
  <c r="AB68"/>
  <c r="AB66"/>
  <c r="AA155"/>
  <c r="AA156"/>
  <c r="N37" i="11"/>
  <c r="O36"/>
  <c r="F18" i="8"/>
  <c r="G18"/>
  <c r="AE72" i="18" l="1"/>
  <c r="AB117"/>
  <c r="AC117" s="1"/>
  <c r="AC94"/>
  <c r="R137"/>
  <c r="R138"/>
  <c r="AC73"/>
  <c r="AE73"/>
  <c r="AC45"/>
  <c r="AE45"/>
  <c r="S134"/>
  <c r="AE59"/>
  <c r="AB158"/>
  <c r="AC158" s="1"/>
  <c r="AE158" s="1"/>
  <c r="AE60"/>
  <c r="AC44"/>
  <c r="AE44"/>
  <c r="AC57"/>
  <c r="AE57"/>
  <c r="S128"/>
  <c r="AE56"/>
  <c r="S127"/>
  <c r="AE50"/>
  <c r="AB159"/>
  <c r="AC159" s="1"/>
  <c r="AE159" s="1"/>
  <c r="AE54"/>
  <c r="AC53"/>
  <c r="AE53"/>
  <c r="S125"/>
  <c r="AE48"/>
  <c r="S130"/>
  <c r="AE52"/>
  <c r="AC74"/>
  <c r="AE74"/>
  <c r="S150"/>
  <c r="AE70"/>
  <c r="S148"/>
  <c r="AE69"/>
  <c r="S147"/>
  <c r="AE68"/>
  <c r="S145"/>
  <c r="AE66"/>
  <c r="S146"/>
  <c r="AE67"/>
  <c r="AC59"/>
  <c r="S131"/>
  <c r="AC48"/>
  <c r="AC50"/>
  <c r="T127" s="1"/>
  <c r="AC52"/>
  <c r="S132"/>
  <c r="AC70"/>
  <c r="AC56"/>
  <c r="S135"/>
  <c r="AB58"/>
  <c r="AC54"/>
  <c r="AC60"/>
  <c r="AC72"/>
  <c r="AC68"/>
  <c r="AC67"/>
  <c r="AC66"/>
  <c r="AC69"/>
  <c r="S124"/>
  <c r="AC47"/>
  <c r="T124" s="1"/>
  <c r="AB155"/>
  <c r="AC49"/>
  <c r="T126" s="1"/>
  <c r="AB156"/>
  <c r="S126"/>
  <c r="N38" i="11"/>
  <c r="O37"/>
  <c r="H18" i="8"/>
  <c r="P168" i="18" l="1"/>
  <c r="M168"/>
  <c r="AC95"/>
  <c r="T135"/>
  <c r="R135" s="1"/>
  <c r="T125"/>
  <c r="R125" s="1"/>
  <c r="T134"/>
  <c r="R134" s="1"/>
  <c r="T130"/>
  <c r="R130" s="1"/>
  <c r="T132"/>
  <c r="R132" s="1"/>
  <c r="T150"/>
  <c r="R150" s="1"/>
  <c r="T147"/>
  <c r="R147" s="1"/>
  <c r="AC58"/>
  <c r="AE58"/>
  <c r="T128"/>
  <c r="R128" s="1"/>
  <c r="R127"/>
  <c r="T131"/>
  <c r="R131" s="1"/>
  <c r="T145"/>
  <c r="R145" s="1"/>
  <c r="AB157"/>
  <c r="AC157" s="1"/>
  <c r="AE157" s="1"/>
  <c r="T148"/>
  <c r="R148" s="1"/>
  <c r="T146"/>
  <c r="R146" s="1"/>
  <c r="R124"/>
  <c r="P169" s="1"/>
  <c r="P170" s="1"/>
  <c r="AC156"/>
  <c r="AE156" s="1"/>
  <c r="AC155"/>
  <c r="AE155" s="1"/>
  <c r="R126"/>
  <c r="N39" i="11"/>
  <c r="O38"/>
  <c r="I18" i="8"/>
  <c r="P167" i="18" l="1"/>
  <c r="M167"/>
  <c r="P166"/>
  <c r="M166"/>
  <c r="AC97"/>
  <c r="AC96"/>
  <c r="N40" i="11"/>
  <c r="O39"/>
  <c r="N41" l="1"/>
  <c r="O40"/>
  <c r="N42" l="1"/>
  <c r="O41"/>
</calcChain>
</file>

<file path=xl/comments1.xml><?xml version="1.0" encoding="utf-8"?>
<comments xmlns="http://schemas.openxmlformats.org/spreadsheetml/2006/main">
  <authors>
    <author>Author</author>
  </authors>
  <commentList>
    <comment ref="B117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ability for company to pay interest on outstanding debt.
Lesser ratio is risky...</t>
        </r>
      </text>
    </comment>
  </commentList>
</comments>
</file>

<file path=xl/sharedStrings.xml><?xml version="1.0" encoding="utf-8"?>
<sst xmlns="http://schemas.openxmlformats.org/spreadsheetml/2006/main" count="533" uniqueCount="377">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</sst>
</file>

<file path=xl/styles.xml><?xml version="1.0" encoding="utf-8"?>
<styleSheet xmlns="http://schemas.openxmlformats.org/spreadsheetml/2006/main">
  <numFmts count="1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[$₹-861]#,##0.00;[Red]\-[$₹-861]#,##0.00"/>
    <numFmt numFmtId="169" formatCode="[$₹-861]#,##0;[Red]\-[$₹-861]#,##0"/>
    <numFmt numFmtId="170" formatCode="0.0%"/>
    <numFmt numFmtId="171" formatCode="_-[$₹-861]* #,##0.00_-;\-[$₹-861]* #,##0.00_-;_-[$₹-861]* &quot;-&quot;??_-;_-@_-"/>
    <numFmt numFmtId="172" formatCode="_-[$₹-861]* #,##0_-;\-[$₹-861]* #,##0_-;_-[$₹-861]* &quot;-&quot;??_-;_-@_-"/>
    <numFmt numFmtId="173" formatCode="0.000"/>
    <numFmt numFmtId="174" formatCode="0.0"/>
    <numFmt numFmtId="175" formatCode="_(&quot;$&quot;* #,##0_);_(&quot;$&quot;* \(#,##0\);_(&quot;$&quot;* &quot;-&quot;??_);_(@_)"/>
    <numFmt numFmtId="176" formatCode="#,##0.00_ ;[Red]\-#,##0.00\ "/>
    <numFmt numFmtId="177" formatCode="#,##0_ ;[Red]\-#,##0\ "/>
    <numFmt numFmtId="178" formatCode="0_);[Red]\(0\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90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6" fontId="2" fillId="6" borderId="0" xfId="2" applyNumberFormat="1" applyFont="1" applyFill="1"/>
    <xf numFmtId="166" fontId="2" fillId="5" borderId="0" xfId="2" applyNumberFormat="1" applyFont="1" applyFill="1"/>
    <xf numFmtId="1" fontId="2" fillId="5" borderId="0" xfId="2" applyNumberFormat="1" applyFont="1" applyFill="1"/>
    <xf numFmtId="166" fontId="2" fillId="6" borderId="1" xfId="2" applyNumberFormat="1" applyFont="1" applyFill="1" applyBorder="1"/>
    <xf numFmtId="167" fontId="2" fillId="5" borderId="1" xfId="0" applyNumberFormat="1" applyFont="1" applyFill="1" applyBorder="1"/>
    <xf numFmtId="165" fontId="2" fillId="5" borderId="0" xfId="0" applyNumberFormat="1" applyFont="1" applyFill="1"/>
    <xf numFmtId="165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6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8" fontId="4" fillId="5" borderId="1" xfId="0" applyNumberFormat="1" applyFont="1" applyFill="1" applyBorder="1"/>
    <xf numFmtId="168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9" fontId="4" fillId="6" borderId="1" xfId="0" applyNumberFormat="1" applyFont="1" applyFill="1" applyBorder="1"/>
    <xf numFmtId="168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70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70" fontId="2" fillId="8" borderId="1" xfId="0" applyNumberFormat="1" applyFont="1" applyFill="1" applyBorder="1"/>
    <xf numFmtId="2" fontId="2" fillId="8" borderId="1" xfId="1" applyNumberFormat="1" applyFont="1" applyFill="1" applyBorder="1"/>
    <xf numFmtId="170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9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6" fontId="2" fillId="5" borderId="1" xfId="2" applyNumberFormat="1" applyFont="1" applyFill="1" applyBorder="1"/>
    <xf numFmtId="166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2" fontId="2" fillId="5" borderId="1" xfId="2" applyNumberFormat="1" applyFont="1" applyFill="1" applyBorder="1" applyAlignment="1">
      <alignment horizontal="center"/>
    </xf>
    <xf numFmtId="171" fontId="0" fillId="5" borderId="1" xfId="2" applyNumberFormat="1" applyFont="1" applyFill="1" applyBorder="1"/>
    <xf numFmtId="171" fontId="0" fillId="5" borderId="1" xfId="0" applyNumberFormat="1" applyFill="1" applyBorder="1"/>
    <xf numFmtId="172" fontId="0" fillId="5" borderId="1" xfId="0" applyNumberFormat="1" applyFill="1" applyBorder="1"/>
    <xf numFmtId="166" fontId="2" fillId="5" borderId="10" xfId="2" applyNumberFormat="1" applyFont="1" applyFill="1" applyBorder="1"/>
    <xf numFmtId="166" fontId="2" fillId="5" borderId="11" xfId="2" applyNumberFormat="1" applyFont="1" applyFill="1" applyBorder="1"/>
    <xf numFmtId="172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2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6" fontId="0" fillId="5" borderId="10" xfId="2" applyNumberFormat="1" applyFont="1" applyFill="1" applyBorder="1"/>
    <xf numFmtId="166" fontId="0" fillId="5" borderId="11" xfId="2" applyNumberFormat="1" applyFont="1" applyFill="1" applyBorder="1"/>
    <xf numFmtId="171" fontId="0" fillId="5" borderId="11" xfId="2" applyNumberFormat="1" applyFont="1" applyFill="1" applyBorder="1"/>
    <xf numFmtId="171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6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3" fontId="4" fillId="5" borderId="1" xfId="0" applyNumberFormat="1" applyFont="1" applyFill="1" applyBorder="1"/>
    <xf numFmtId="9" fontId="4" fillId="6" borderId="1" xfId="0" applyNumberFormat="1" applyFont="1" applyFill="1" applyBorder="1"/>
    <xf numFmtId="174" fontId="4" fillId="5" borderId="1" xfId="0" applyNumberFormat="1" applyFont="1" applyFill="1" applyBorder="1"/>
    <xf numFmtId="175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71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6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2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165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6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165" fontId="8" fillId="5" borderId="1" xfId="2" applyNumberFormat="1" applyFont="1" applyFill="1" applyBorder="1"/>
    <xf numFmtId="177" fontId="4" fillId="5" borderId="1" xfId="2" applyNumberFormat="1" applyFont="1" applyFill="1" applyBorder="1"/>
    <xf numFmtId="177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7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7" fontId="4" fillId="5" borderId="1" xfId="0" applyNumberFormat="1" applyFont="1" applyFill="1" applyBorder="1"/>
    <xf numFmtId="177" fontId="5" fillId="5" borderId="1" xfId="0" applyNumberFormat="1" applyFont="1" applyFill="1" applyBorder="1"/>
    <xf numFmtId="177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165" fontId="11" fillId="5" borderId="1" xfId="2" applyNumberFormat="1" applyFont="1" applyFill="1" applyBorder="1"/>
    <xf numFmtId="40" fontId="5" fillId="5" borderId="1" xfId="0" applyNumberFormat="1" applyFont="1" applyFill="1" applyBorder="1"/>
    <xf numFmtId="170" fontId="4" fillId="5" borderId="1" xfId="1" applyNumberFormat="1" applyFont="1" applyFill="1" applyBorder="1"/>
    <xf numFmtId="1" fontId="4" fillId="5" borderId="4" xfId="0" applyNumberFormat="1" applyFont="1" applyFill="1" applyBorder="1"/>
    <xf numFmtId="178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6" fontId="4" fillId="0" borderId="1" xfId="2" applyNumberFormat="1" applyFont="1" applyBorder="1"/>
    <xf numFmtId="0" fontId="5" fillId="0" borderId="1" xfId="0" applyFont="1" applyBorder="1"/>
    <xf numFmtId="165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0" fontId="8" fillId="5" borderId="1" xfId="2" applyNumberFormat="1" applyFont="1" applyFill="1" applyBorder="1"/>
    <xf numFmtId="166" fontId="4" fillId="5" borderId="1" xfId="0" applyNumberFormat="1" applyFont="1" applyFill="1" applyBorder="1"/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79366400"/>
        <c:axId val="79380480"/>
      </c:lineChart>
      <c:catAx>
        <c:axId val="79366400"/>
        <c:scaling>
          <c:orientation val="minMax"/>
        </c:scaling>
        <c:axPos val="b"/>
        <c:tickLblPos val="nextTo"/>
        <c:crossAx val="79380480"/>
        <c:crosses val="autoZero"/>
        <c:auto val="1"/>
        <c:lblAlgn val="ctr"/>
        <c:lblOffset val="100"/>
      </c:catAx>
      <c:valAx>
        <c:axId val="79380480"/>
        <c:scaling>
          <c:orientation val="minMax"/>
        </c:scaling>
        <c:axPos val="l"/>
        <c:majorGridlines/>
        <c:numFmt formatCode="General" sourceLinked="1"/>
        <c:tickLblPos val="nextTo"/>
        <c:crossAx val="79366400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280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320</v>
      </c>
      <c r="C9" s="152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269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269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269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268</v>
      </c>
      <c r="C33" s="132">
        <v>3.44E-2</v>
      </c>
      <c r="D33" s="20"/>
      <c r="E33" s="20"/>
      <c r="F33" s="20"/>
      <c r="G33" s="20"/>
    </row>
    <row r="34" spans="2:7">
      <c r="B34" s="20" t="s">
        <v>267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263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264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265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266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AE188"/>
  <sheetViews>
    <sheetView tabSelected="1" zoomScale="80" zoomScaleNormal="80" workbookViewId="0">
      <pane xSplit="2" ySplit="3" topLeftCell="C163" activePane="bottomRight" state="frozen"/>
      <selection pane="topRight" activeCell="C1" sqref="C1"/>
      <selection pane="bottomLeft" activeCell="A5" sqref="A5"/>
      <selection pane="bottomRight" activeCell="L184" sqref="L184"/>
    </sheetView>
  </sheetViews>
  <sheetFormatPr defaultRowHeight="12.75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1.8554687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328</v>
      </c>
      <c r="L1" s="164">
        <v>0.08</v>
      </c>
    </row>
    <row r="2" spans="2:31">
      <c r="B2" s="153" t="s">
        <v>316</v>
      </c>
      <c r="C2" s="120"/>
      <c r="F2" s="104" t="s">
        <v>253</v>
      </c>
      <c r="H2" s="126">
        <v>2013</v>
      </c>
      <c r="J2" s="104" t="s">
        <v>329</v>
      </c>
      <c r="L2" s="164">
        <v>0.12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75" t="s">
        <v>292</v>
      </c>
      <c r="AE2" s="176"/>
    </row>
    <row r="3" spans="2:31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77" t="s">
        <v>293</v>
      </c>
      <c r="AE3" s="178"/>
    </row>
    <row r="4" spans="2:3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>
      <c r="B6" s="20" t="s">
        <v>16</v>
      </c>
      <c r="C6" s="141"/>
      <c r="D6" s="141"/>
      <c r="E6" s="147"/>
      <c r="F6" s="147"/>
      <c r="G6" s="147">
        <v>349.03</v>
      </c>
      <c r="H6" s="147">
        <v>702.36</v>
      </c>
      <c r="I6" s="147">
        <v>2421.71</v>
      </c>
      <c r="J6" s="147">
        <v>3122.59</v>
      </c>
      <c r="K6" s="147">
        <v>7791.7</v>
      </c>
      <c r="L6" s="147">
        <v>7823.63</v>
      </c>
      <c r="M6" s="147">
        <v>6274.21</v>
      </c>
      <c r="N6" s="147">
        <v>6149.68</v>
      </c>
      <c r="O6" s="147">
        <v>4825.37</v>
      </c>
      <c r="P6" s="147">
        <v>-34</v>
      </c>
      <c r="Q6" s="118">
        <f>((P6/G6)^(1/($H$2-$H$1) ))-1</f>
        <v>-1.7720119409456427</v>
      </c>
      <c r="R6" s="31">
        <f>$L$2</f>
        <v>0.12</v>
      </c>
      <c r="S6" s="154">
        <f>P6*(1+$R6)</f>
        <v>-38.080000000000005</v>
      </c>
      <c r="T6" s="154">
        <f>S6*(1+$R6)</f>
        <v>-42.649600000000007</v>
      </c>
      <c r="U6" s="154">
        <f t="shared" ref="U6:AB6" si="0">T6*(1+$R6)</f>
        <v>-47.767552000000009</v>
      </c>
      <c r="V6" s="154">
        <f t="shared" si="0"/>
        <v>-53.499658240000016</v>
      </c>
      <c r="W6" s="154">
        <f t="shared" si="0"/>
        <v>-59.919617228800021</v>
      </c>
      <c r="X6" s="154">
        <f t="shared" si="0"/>
        <v>-67.109971296256035</v>
      </c>
      <c r="Y6" s="154">
        <f t="shared" si="0"/>
        <v>-75.163167851806762</v>
      </c>
      <c r="Z6" s="154">
        <f t="shared" si="0"/>
        <v>-84.182747994023586</v>
      </c>
      <c r="AA6" s="154">
        <f t="shared" si="0"/>
        <v>-94.284677753306426</v>
      </c>
      <c r="AB6" s="154">
        <f t="shared" si="0"/>
        <v>-105.59883908370321</v>
      </c>
      <c r="AC6" s="138">
        <f>((AB6/G6)^(1/($AB$3-$H$1) ))-1</f>
        <v>-1.9390170847660317</v>
      </c>
      <c r="AD6" s="31">
        <f>$L$1</f>
        <v>0.08</v>
      </c>
      <c r="AE6" s="146">
        <f t="shared" ref="AE6:AE41" si="1">(AB6*(1+AD6))/($C$1-AD6)</f>
        <v>-814.61961578856756</v>
      </c>
    </row>
    <row r="7" spans="2:31">
      <c r="B7" s="20" t="s">
        <v>240</v>
      </c>
      <c r="C7" s="141"/>
      <c r="D7" s="141"/>
      <c r="E7" s="147"/>
      <c r="F7" s="147"/>
      <c r="G7" s="147">
        <v>391.38</v>
      </c>
      <c r="H7" s="147">
        <v>904.63</v>
      </c>
      <c r="I7" s="147">
        <v>2737.29</v>
      </c>
      <c r="J7" s="147">
        <v>3513.58</v>
      </c>
      <c r="K7" s="147">
        <v>8103.81</v>
      </c>
      <c r="L7" s="147">
        <v>8231.23</v>
      </c>
      <c r="M7" s="147">
        <v>6603.77</v>
      </c>
      <c r="N7" s="147">
        <v>6528.08</v>
      </c>
      <c r="O7" s="147">
        <v>5186.78</v>
      </c>
      <c r="P7" s="147">
        <v>320</v>
      </c>
      <c r="Q7" s="118">
        <f>((P7/G7)^(1/($H$2-$H$1) ))-1</f>
        <v>-2.2124684738509703E-2</v>
      </c>
      <c r="R7" s="31">
        <f>$L$2</f>
        <v>0.12</v>
      </c>
      <c r="S7" s="154">
        <f t="shared" ref="S7:S16" si="2">P7*(1+$R7)</f>
        <v>358.40000000000003</v>
      </c>
      <c r="T7" s="154">
        <f t="shared" ref="T7:AB7" si="3">S7*(1+$R7)</f>
        <v>401.40800000000007</v>
      </c>
      <c r="U7" s="154">
        <f t="shared" si="3"/>
        <v>449.5769600000001</v>
      </c>
      <c r="V7" s="154">
        <f t="shared" si="3"/>
        <v>503.52619520000013</v>
      </c>
      <c r="W7" s="154">
        <f t="shared" si="3"/>
        <v>563.94933862400023</v>
      </c>
      <c r="X7" s="154">
        <f t="shared" si="3"/>
        <v>631.62325925888035</v>
      </c>
      <c r="Y7" s="154">
        <f t="shared" si="3"/>
        <v>707.41805036994606</v>
      </c>
      <c r="Z7" s="154">
        <f t="shared" si="3"/>
        <v>792.30821641433965</v>
      </c>
      <c r="AA7" s="154">
        <f t="shared" si="3"/>
        <v>887.38520238406045</v>
      </c>
      <c r="AB7" s="154">
        <f t="shared" si="3"/>
        <v>993.8714266701478</v>
      </c>
      <c r="AC7" s="138">
        <f>((AB7/G7)^(1/($AB$3-$H$1) ))-1</f>
        <v>5.0271696374170283E-2</v>
      </c>
      <c r="AD7" s="31">
        <f>$L$1</f>
        <v>0.08</v>
      </c>
      <c r="AE7" s="146">
        <f t="shared" si="1"/>
        <v>7667.0081485982837</v>
      </c>
    </row>
    <row r="8" spans="2:31">
      <c r="B8" s="20"/>
      <c r="C8" s="141"/>
      <c r="D8" s="141"/>
      <c r="E8" s="147"/>
      <c r="F8" s="147"/>
      <c r="G8" s="148">
        <f>(G7-F7)/G7</f>
        <v>1</v>
      </c>
      <c r="H8" s="151">
        <f>(H7-G7)/H7</f>
        <v>0.56735903076395877</v>
      </c>
      <c r="I8" s="151">
        <f t="shared" ref="I8:P8" si="4">(I7-H7)/I7</f>
        <v>0.66951620032952297</v>
      </c>
      <c r="J8" s="151">
        <f t="shared" si="4"/>
        <v>0.22093989606042838</v>
      </c>
      <c r="K8" s="151">
        <f t="shared" si="4"/>
        <v>0.56642863048368608</v>
      </c>
      <c r="L8" s="151">
        <f t="shared" si="4"/>
        <v>1.5480067984979059E-2</v>
      </c>
      <c r="M8" s="151">
        <f t="shared" si="4"/>
        <v>-0.24644407664107001</v>
      </c>
      <c r="N8" s="151">
        <f t="shared" si="4"/>
        <v>-1.1594527027855128E-2</v>
      </c>
      <c r="O8" s="151">
        <f t="shared" si="4"/>
        <v>-0.25859974782042044</v>
      </c>
      <c r="P8" s="151">
        <f t="shared" si="4"/>
        <v>-15.2086875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>
      <c r="B9" s="20" t="s">
        <v>270</v>
      </c>
      <c r="C9" s="141"/>
      <c r="D9" s="141"/>
      <c r="E9" s="147"/>
      <c r="F9" s="147"/>
      <c r="G9" s="147">
        <v>379.34</v>
      </c>
      <c r="H9" s="147">
        <v>780.9</v>
      </c>
      <c r="I9" s="147">
        <v>1707.82</v>
      </c>
      <c r="J9" s="147">
        <v>3996.37</v>
      </c>
      <c r="K9" s="147">
        <v>16412.169999999998</v>
      </c>
      <c r="L9" s="147">
        <v>10121.370000000001</v>
      </c>
      <c r="M9" s="147">
        <v>9604.41</v>
      </c>
      <c r="N9" s="147">
        <v>11994.06</v>
      </c>
      <c r="O9" s="147">
        <v>7511.38</v>
      </c>
      <c r="P9" s="147">
        <v>16251</v>
      </c>
      <c r="Q9" s="118">
        <f t="shared" ref="Q9:Q16" si="5">((P9/G9)^(1/($H$2-$H$1) ))-1</f>
        <v>0.51815749443039127</v>
      </c>
      <c r="R9" s="31">
        <f t="shared" ref="R9:R38" si="6">$L$2</f>
        <v>0.12</v>
      </c>
      <c r="S9" s="154">
        <f t="shared" ref="S9" si="7">P9*(1+$R9)</f>
        <v>18201.120000000003</v>
      </c>
      <c r="T9" s="154">
        <f t="shared" ref="T9" si="8">S9*(1+$R9)</f>
        <v>20385.254400000005</v>
      </c>
      <c r="U9" s="154">
        <f t="shared" ref="U9" si="9">T9*(1+$R9)</f>
        <v>22831.484928000009</v>
      </c>
      <c r="V9" s="154">
        <f t="shared" ref="V9" si="10">U9*(1+$R9)</f>
        <v>25571.263119360014</v>
      </c>
      <c r="W9" s="154">
        <f t="shared" ref="W9" si="11">V9*(1+$R9)</f>
        <v>28639.814693683216</v>
      </c>
      <c r="X9" s="154">
        <f t="shared" ref="X9" si="12">W9*(1+$R9)</f>
        <v>32076.592456925206</v>
      </c>
      <c r="Y9" s="154">
        <f t="shared" ref="Y9" si="13">X9*(1+$R9)</f>
        <v>35925.783551756234</v>
      </c>
      <c r="Z9" s="154">
        <f t="shared" ref="Z9" si="14">Y9*(1+$R9)</f>
        <v>40236.877577966989</v>
      </c>
      <c r="AA9" s="154">
        <f t="shared" ref="AA9" si="15">Z9*(1+$R9)</f>
        <v>45065.302887323029</v>
      </c>
      <c r="AB9" s="154">
        <f t="shared" ref="AB9" si="16">AA9*(1+$R9)</f>
        <v>50473.139233801798</v>
      </c>
      <c r="AC9" s="138">
        <f>((AB9/G9)^(1/($AB$3-$H$1) ))-1</f>
        <v>0.29357359180039122</v>
      </c>
      <c r="AD9" s="31">
        <f t="shared" ref="AD9:AD73" si="17">$L$1</f>
        <v>0.08</v>
      </c>
      <c r="AE9" s="146">
        <f t="shared" si="1"/>
        <v>389364.21694647102</v>
      </c>
    </row>
    <row r="10" spans="2:31">
      <c r="B10" s="20" t="s">
        <v>4</v>
      </c>
      <c r="C10" s="141"/>
      <c r="D10" s="141"/>
      <c r="E10" s="147"/>
      <c r="F10" s="147"/>
      <c r="G10" s="147">
        <v>238.37</v>
      </c>
      <c r="H10" s="147">
        <v>395.81</v>
      </c>
      <c r="I10" s="147">
        <v>450.7</v>
      </c>
      <c r="J10" s="147">
        <v>5162.04</v>
      </c>
      <c r="K10" s="147">
        <v>9934.59</v>
      </c>
      <c r="L10" s="147">
        <v>14869.57</v>
      </c>
      <c r="M10" s="147">
        <v>12667.94</v>
      </c>
      <c r="N10" s="147">
        <v>12263.65</v>
      </c>
      <c r="O10" s="147">
        <v>10948.26</v>
      </c>
      <c r="P10" s="147">
        <v>10858</v>
      </c>
      <c r="Q10" s="118">
        <f t="shared" si="5"/>
        <v>0.528542724716212</v>
      </c>
      <c r="R10" s="31">
        <f t="shared" si="6"/>
        <v>0.12</v>
      </c>
      <c r="S10" s="154">
        <f t="shared" si="2"/>
        <v>12160.960000000001</v>
      </c>
      <c r="T10" s="154">
        <f t="shared" ref="T10:AB10" si="18">S10*(1+$R10)</f>
        <v>13620.275200000002</v>
      </c>
      <c r="U10" s="154">
        <f t="shared" si="18"/>
        <v>15254.708224000004</v>
      </c>
      <c r="V10" s="154">
        <f t="shared" si="18"/>
        <v>17085.273210880005</v>
      </c>
      <c r="W10" s="154">
        <f t="shared" si="18"/>
        <v>19135.505996185606</v>
      </c>
      <c r="X10" s="154">
        <f t="shared" si="18"/>
        <v>21431.766715727881</v>
      </c>
      <c r="Y10" s="154">
        <f t="shared" si="18"/>
        <v>24003.578721615228</v>
      </c>
      <c r="Z10" s="154">
        <f t="shared" si="18"/>
        <v>26884.008168209057</v>
      </c>
      <c r="AA10" s="154">
        <f t="shared" si="18"/>
        <v>30110.089148394145</v>
      </c>
      <c r="AB10" s="154">
        <f t="shared" si="18"/>
        <v>33723.299846201444</v>
      </c>
      <c r="AC10" s="138">
        <f t="shared" ref="AC10:AC40" si="19">((AB10/G10)^(1/($AB$3-$H$1) ))-1</f>
        <v>0.29775766770407475</v>
      </c>
      <c r="AD10" s="31">
        <f t="shared" si="17"/>
        <v>0.08</v>
      </c>
      <c r="AE10" s="146">
        <f t="shared" si="1"/>
        <v>260151.1702421254</v>
      </c>
    </row>
    <row r="11" spans="2:31">
      <c r="B11" s="20"/>
      <c r="C11" s="141"/>
      <c r="D11" s="141"/>
      <c r="E11" s="147"/>
      <c r="F11" s="147"/>
      <c r="G11" s="148">
        <f>(G10-F10)/G10</f>
        <v>1</v>
      </c>
      <c r="H11" s="148">
        <f t="shared" ref="H11:P11" si="20">(H10-G10)/H10</f>
        <v>0.39776660518935852</v>
      </c>
      <c r="I11" s="148">
        <f t="shared" si="20"/>
        <v>0.12178832926558683</v>
      </c>
      <c r="J11" s="148">
        <f t="shared" si="20"/>
        <v>0.9126895568418687</v>
      </c>
      <c r="K11" s="148">
        <f t="shared" si="20"/>
        <v>0.48039727859931813</v>
      </c>
      <c r="L11" s="148">
        <f t="shared" si="20"/>
        <v>0.33188451313656009</v>
      </c>
      <c r="M11" s="148">
        <f t="shared" si="20"/>
        <v>-0.17379542372319406</v>
      </c>
      <c r="N11" s="148">
        <f t="shared" si="20"/>
        <v>-3.2966531171388688E-2</v>
      </c>
      <c r="O11" s="148">
        <f t="shared" si="20"/>
        <v>-0.12014603233755861</v>
      </c>
      <c r="P11" s="148">
        <f t="shared" si="20"/>
        <v>-8.3127647817277783E-3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0.08</v>
      </c>
      <c r="AE11" s="154"/>
    </row>
    <row r="12" spans="2:31">
      <c r="B12" s="20" t="s">
        <v>2</v>
      </c>
      <c r="C12" s="141"/>
      <c r="D12" s="141"/>
      <c r="E12" s="147"/>
      <c r="F12" s="147"/>
      <c r="G12" s="147">
        <v>68.06</v>
      </c>
      <c r="H12" s="147">
        <v>154</v>
      </c>
      <c r="I12" s="147">
        <v>162</v>
      </c>
      <c r="J12" s="147">
        <v>1252</v>
      </c>
      <c r="K12" s="147">
        <v>1237.29</v>
      </c>
      <c r="L12" s="147">
        <v>847.87</v>
      </c>
      <c r="M12" s="147">
        <v>1512.22</v>
      </c>
      <c r="N12" s="147">
        <v>2685.96</v>
      </c>
      <c r="O12" s="147">
        <v>2632.48</v>
      </c>
      <c r="P12" s="147">
        <v>1959</v>
      </c>
      <c r="Q12" s="118">
        <f t="shared" si="5"/>
        <v>0.45253612915585428</v>
      </c>
      <c r="R12" s="31">
        <f t="shared" si="6"/>
        <v>0.12</v>
      </c>
      <c r="S12" s="154">
        <f t="shared" si="2"/>
        <v>2194.0800000000004</v>
      </c>
      <c r="T12" s="154">
        <f t="shared" ref="T12:AB12" si="21">S12*(1+$R12)</f>
        <v>2457.3696000000004</v>
      </c>
      <c r="U12" s="154">
        <f t="shared" si="21"/>
        <v>2752.2539520000009</v>
      </c>
      <c r="V12" s="154">
        <f t="shared" si="21"/>
        <v>3082.5244262400015</v>
      </c>
      <c r="W12" s="154">
        <f t="shared" si="21"/>
        <v>3452.4273573888022</v>
      </c>
      <c r="X12" s="154">
        <f t="shared" si="21"/>
        <v>3866.7186402754587</v>
      </c>
      <c r="Y12" s="154">
        <f t="shared" si="21"/>
        <v>4330.7248771085142</v>
      </c>
      <c r="Z12" s="154">
        <f t="shared" si="21"/>
        <v>4850.4118623615368</v>
      </c>
      <c r="AA12" s="154">
        <f t="shared" si="21"/>
        <v>5432.4612858449218</v>
      </c>
      <c r="AB12" s="154">
        <f t="shared" si="21"/>
        <v>6084.3566401463131</v>
      </c>
      <c r="AC12" s="138">
        <f t="shared" si="19"/>
        <v>0.26677999298400779</v>
      </c>
      <c r="AD12" s="31">
        <f t="shared" si="17"/>
        <v>0.08</v>
      </c>
      <c r="AE12" s="146">
        <f t="shared" si="1"/>
        <v>46936.465509700123</v>
      </c>
    </row>
    <row r="13" spans="2:31">
      <c r="B13" s="20" t="s">
        <v>218</v>
      </c>
      <c r="C13" s="141"/>
      <c r="D13" s="141"/>
      <c r="E13" s="147"/>
      <c r="F13" s="147"/>
      <c r="G13" s="147">
        <v>14.27</v>
      </c>
      <c r="H13" s="147">
        <v>7.76</v>
      </c>
      <c r="I13" s="147">
        <v>7.6</v>
      </c>
      <c r="J13" s="147">
        <v>15.57</v>
      </c>
      <c r="K13" s="147">
        <v>3141.78</v>
      </c>
      <c r="L13" s="147">
        <v>5.08</v>
      </c>
      <c r="M13" s="147">
        <v>1092.29</v>
      </c>
      <c r="N13" s="147">
        <v>966.89</v>
      </c>
      <c r="O13" s="147">
        <v>97.25</v>
      </c>
      <c r="P13" s="147">
        <v>36</v>
      </c>
      <c r="Q13" s="118">
        <f t="shared" si="5"/>
        <v>0.10828937499705815</v>
      </c>
      <c r="R13" s="31">
        <f t="shared" si="6"/>
        <v>0.12</v>
      </c>
      <c r="S13" s="154">
        <f t="shared" si="2"/>
        <v>40.320000000000007</v>
      </c>
      <c r="T13" s="154">
        <f t="shared" ref="T13:AB13" si="22">S13*(1+$R13)</f>
        <v>45.158400000000015</v>
      </c>
      <c r="U13" s="154">
        <f t="shared" si="22"/>
        <v>50.57740800000002</v>
      </c>
      <c r="V13" s="154">
        <f t="shared" si="22"/>
        <v>56.646696960000028</v>
      </c>
      <c r="W13" s="154">
        <f t="shared" si="22"/>
        <v>63.444300595200041</v>
      </c>
      <c r="X13" s="154">
        <f t="shared" si="22"/>
        <v>71.057616666624057</v>
      </c>
      <c r="Y13" s="154">
        <f t="shared" si="22"/>
        <v>79.584530666618946</v>
      </c>
      <c r="Z13" s="154">
        <f t="shared" si="22"/>
        <v>89.134674346613224</v>
      </c>
      <c r="AA13" s="154">
        <f t="shared" si="22"/>
        <v>99.830835268206826</v>
      </c>
      <c r="AB13" s="154">
        <f t="shared" si="22"/>
        <v>111.81053550039165</v>
      </c>
      <c r="AC13" s="138">
        <f t="shared" si="19"/>
        <v>0.11443751684014547</v>
      </c>
      <c r="AD13" s="31">
        <f t="shared" si="17"/>
        <v>0.08</v>
      </c>
      <c r="AE13" s="146">
        <f t="shared" si="1"/>
        <v>862.53841671730697</v>
      </c>
    </row>
    <row r="14" spans="2:31">
      <c r="B14" s="20" t="s">
        <v>374</v>
      </c>
      <c r="C14" s="141"/>
      <c r="D14" s="141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18" t="e">
        <f t="shared" ref="Q14" si="23">((P14/G14)^(1/($H$2-$H$1) ))-1</f>
        <v>#DIV/0!</v>
      </c>
      <c r="R14" s="31">
        <f t="shared" si="6"/>
        <v>0.12</v>
      </c>
      <c r="S14" s="154">
        <f t="shared" ref="S14" si="24">P14*(1+$R14)</f>
        <v>0</v>
      </c>
      <c r="T14" s="154">
        <f t="shared" ref="T14" si="25">S14*(1+$R14)</f>
        <v>0</v>
      </c>
      <c r="U14" s="154">
        <f t="shared" ref="U14" si="26">T14*(1+$R14)</f>
        <v>0</v>
      </c>
      <c r="V14" s="154">
        <f t="shared" ref="V14" si="27">U14*(1+$R14)</f>
        <v>0</v>
      </c>
      <c r="W14" s="154">
        <f t="shared" ref="W14" si="28">V14*(1+$R14)</f>
        <v>0</v>
      </c>
      <c r="X14" s="154">
        <f t="shared" ref="X14" si="29">W14*(1+$R14)</f>
        <v>0</v>
      </c>
      <c r="Y14" s="154">
        <f t="shared" ref="Y14" si="30">X14*(1+$R14)</f>
        <v>0</v>
      </c>
      <c r="Z14" s="154">
        <f t="shared" ref="Z14" si="31">Y14*(1+$R14)</f>
        <v>0</v>
      </c>
      <c r="AA14" s="154">
        <f t="shared" ref="AA14" si="32">Z14*(1+$R14)</f>
        <v>0</v>
      </c>
      <c r="AB14" s="154">
        <f t="shared" ref="AB14" si="33">AA14*(1+$R14)</f>
        <v>0</v>
      </c>
      <c r="AC14" s="138" t="e">
        <f t="shared" ref="AC14" si="34">((AB14/G14)^(1/($AB$3-$H$1) ))-1</f>
        <v>#DIV/0!</v>
      </c>
      <c r="AD14" s="31">
        <f t="shared" si="17"/>
        <v>0.08</v>
      </c>
      <c r="AE14" s="146">
        <f t="shared" ref="AE14" si="35">(AB14*(1+AD14))/($C$1-AD14)</f>
        <v>0</v>
      </c>
    </row>
    <row r="15" spans="2:31">
      <c r="B15" s="20" t="s">
        <v>19</v>
      </c>
      <c r="C15" s="141"/>
      <c r="D15" s="141"/>
      <c r="E15" s="147"/>
      <c r="F15" s="147"/>
      <c r="G15" s="147">
        <v>379</v>
      </c>
      <c r="H15" s="147">
        <v>780</v>
      </c>
      <c r="I15" s="147">
        <v>1707</v>
      </c>
      <c r="J15" s="147">
        <v>3997</v>
      </c>
      <c r="K15" s="147">
        <v>17744.71</v>
      </c>
      <c r="L15" s="147">
        <v>22137.81</v>
      </c>
      <c r="M15" s="147">
        <v>17538.18</v>
      </c>
      <c r="N15" s="147">
        <v>16914.580000000002</v>
      </c>
      <c r="O15" s="147">
        <v>19727.939999999999</v>
      </c>
      <c r="P15" s="147">
        <v>14274</v>
      </c>
      <c r="Q15" s="118">
        <f t="shared" si="5"/>
        <v>0.49658269881725348</v>
      </c>
      <c r="R15" s="31">
        <f t="shared" si="6"/>
        <v>0.12</v>
      </c>
      <c r="S15" s="154">
        <f t="shared" si="2"/>
        <v>15986.880000000001</v>
      </c>
      <c r="T15" s="154">
        <f t="shared" ref="T15:AB15" si="36">S15*(1+$R15)</f>
        <v>17905.305600000003</v>
      </c>
      <c r="U15" s="154">
        <f t="shared" si="36"/>
        <v>20053.942272000004</v>
      </c>
      <c r="V15" s="154">
        <f t="shared" si="36"/>
        <v>22460.415344640005</v>
      </c>
      <c r="W15" s="154">
        <f t="shared" si="36"/>
        <v>25155.665185996808</v>
      </c>
      <c r="X15" s="154">
        <f t="shared" si="36"/>
        <v>28174.345008316428</v>
      </c>
      <c r="Y15" s="154">
        <f t="shared" si="36"/>
        <v>31555.266409314401</v>
      </c>
      <c r="Z15" s="154">
        <f t="shared" si="36"/>
        <v>35341.898378432132</v>
      </c>
      <c r="AA15" s="154">
        <f t="shared" si="36"/>
        <v>39582.926183843992</v>
      </c>
      <c r="AB15" s="154">
        <f t="shared" si="36"/>
        <v>44332.877325905276</v>
      </c>
      <c r="AC15" s="138">
        <f t="shared" si="19"/>
        <v>0.28483295943243592</v>
      </c>
      <c r="AD15" s="31">
        <f t="shared" si="17"/>
        <v>0.08</v>
      </c>
      <c r="AE15" s="146">
        <f t="shared" si="1"/>
        <v>341996.48222841212</v>
      </c>
    </row>
    <row r="16" spans="2:31">
      <c r="B16" s="20" t="s">
        <v>23</v>
      </c>
      <c r="C16" s="141"/>
      <c r="D16" s="141"/>
      <c r="E16" s="147"/>
      <c r="F16" s="147"/>
      <c r="G16" s="147">
        <v>443</v>
      </c>
      <c r="H16" s="147">
        <v>990</v>
      </c>
      <c r="I16" s="147">
        <v>2544</v>
      </c>
      <c r="J16" s="147">
        <v>4600</v>
      </c>
      <c r="K16" s="147">
        <v>10233.33</v>
      </c>
      <c r="L16" s="147">
        <v>10143.75</v>
      </c>
      <c r="M16" s="147">
        <v>7933.77</v>
      </c>
      <c r="N16" s="147">
        <v>6793.21</v>
      </c>
      <c r="O16" s="147">
        <v>3315.77</v>
      </c>
      <c r="P16" s="147">
        <f>15403-16251</f>
        <v>-848</v>
      </c>
      <c r="Q16" s="118">
        <f t="shared" si="5"/>
        <v>-2.0748118808945923</v>
      </c>
      <c r="R16" s="31">
        <f t="shared" si="6"/>
        <v>0.12</v>
      </c>
      <c r="S16" s="154">
        <f t="shared" si="2"/>
        <v>-949.7600000000001</v>
      </c>
      <c r="T16" s="154">
        <f t="shared" ref="T16:AB16" si="37">S16*(1+$R16)</f>
        <v>-1063.7312000000002</v>
      </c>
      <c r="U16" s="154">
        <f t="shared" si="37"/>
        <v>-1191.3789440000003</v>
      </c>
      <c r="V16" s="154">
        <f t="shared" si="37"/>
        <v>-1334.3444172800005</v>
      </c>
      <c r="W16" s="154">
        <f t="shared" si="37"/>
        <v>-1494.4657473536006</v>
      </c>
      <c r="X16" s="154">
        <f t="shared" si="37"/>
        <v>-1673.8016370360328</v>
      </c>
      <c r="Y16" s="154">
        <f t="shared" si="37"/>
        <v>-1874.6578334803569</v>
      </c>
      <c r="Z16" s="154">
        <f t="shared" si="37"/>
        <v>-2099.6167734979999</v>
      </c>
      <c r="AA16" s="154">
        <f t="shared" si="37"/>
        <v>-2351.5707863177599</v>
      </c>
      <c r="AB16" s="154">
        <f t="shared" si="37"/>
        <v>-2633.7592806758912</v>
      </c>
      <c r="AC16" s="138">
        <f t="shared" si="19"/>
        <v>-2.0983630472576951</v>
      </c>
      <c r="AD16" s="31">
        <f t="shared" si="17"/>
        <v>0.08</v>
      </c>
      <c r="AE16" s="146">
        <f t="shared" si="1"/>
        <v>-20317.571593785447</v>
      </c>
    </row>
    <row r="17" spans="2:31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>
      <c r="B18" s="20" t="s">
        <v>278</v>
      </c>
      <c r="C18" s="141"/>
      <c r="D18" s="141"/>
      <c r="E18" s="147"/>
      <c r="F18" s="147"/>
      <c r="G18" s="147">
        <v>159</v>
      </c>
      <c r="H18" s="147">
        <v>278</v>
      </c>
      <c r="I18" s="147">
        <v>475</v>
      </c>
      <c r="J18" s="147">
        <v>3619</v>
      </c>
      <c r="K18" s="147">
        <v>4568</v>
      </c>
      <c r="L18" s="147">
        <v>13281</v>
      </c>
      <c r="M18" s="147">
        <v>10161</v>
      </c>
      <c r="N18" s="147">
        <v>10918</v>
      </c>
      <c r="O18" s="147">
        <v>12232.7</v>
      </c>
      <c r="P18" s="147">
        <v>12382</v>
      </c>
      <c r="Q18" s="118">
        <f>((P18/G18)^(1/($H$2-$H$1) ))-1</f>
        <v>0.62238847597624769</v>
      </c>
      <c r="R18" s="31">
        <f t="shared" si="6"/>
        <v>0.12</v>
      </c>
      <c r="S18" s="154">
        <f t="shared" ref="S18:S34" si="38">P18*(1+$R18)</f>
        <v>13867.840000000002</v>
      </c>
      <c r="T18" s="154">
        <f t="shared" ref="T18:T34" si="39">S18*(1+$R18)</f>
        <v>15531.980800000003</v>
      </c>
      <c r="U18" s="154">
        <f t="shared" ref="U18:U34" si="40">T18*(1+$R18)</f>
        <v>17395.818496000004</v>
      </c>
      <c r="V18" s="154">
        <f t="shared" ref="V18:V34" si="41">U18*(1+$R18)</f>
        <v>19483.316715520006</v>
      </c>
      <c r="W18" s="154">
        <f t="shared" ref="W18:W36" si="42">V18*(1+$R18)</f>
        <v>21821.314721382409</v>
      </c>
      <c r="X18" s="154">
        <f t="shared" ref="X18:X36" si="43">W18*(1+$R18)</f>
        <v>24439.872487948302</v>
      </c>
      <c r="Y18" s="154">
        <f t="shared" ref="Y18:Y36" si="44">X18*(1+$R18)</f>
        <v>27372.6571865021</v>
      </c>
      <c r="Z18" s="154">
        <f t="shared" ref="Z18:Z36" si="45">Y18*(1+$R18)</f>
        <v>30657.376048882354</v>
      </c>
      <c r="AA18" s="154">
        <f t="shared" ref="AA18:AA36" si="46">Z18*(1+$R18)</f>
        <v>34336.261174748237</v>
      </c>
      <c r="AB18" s="154">
        <f t="shared" ref="AB18:AB36" si="47">AA18*(1+$R18)</f>
        <v>38456.612515718029</v>
      </c>
      <c r="AC18" s="138">
        <f t="shared" si="19"/>
        <v>0.33490776099187691</v>
      </c>
      <c r="AD18" s="31">
        <f t="shared" si="17"/>
        <v>0.08</v>
      </c>
      <c r="AE18" s="146">
        <f t="shared" si="1"/>
        <v>296665.29654982482</v>
      </c>
    </row>
    <row r="19" spans="2:31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>
      <c r="B20" s="20" t="s">
        <v>284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18" t="e">
        <f>((P20/G20)^(1/($H$2-$H$1) ))-1</f>
        <v>#DIV/0!</v>
      </c>
      <c r="R20" s="31">
        <f t="shared" si="6"/>
        <v>0.12</v>
      </c>
      <c r="S20" s="154">
        <f t="shared" ref="S20:S22" si="48">P20*(1+$R20)</f>
        <v>0</v>
      </c>
      <c r="T20" s="154">
        <f t="shared" ref="T20:T22" si="49">S20*(1+$R20)</f>
        <v>0</v>
      </c>
      <c r="U20" s="154">
        <f t="shared" ref="U20:U22" si="50">T20*(1+$R20)</f>
        <v>0</v>
      </c>
      <c r="V20" s="154">
        <f t="shared" ref="V20:V22" si="51">U20*(1+$R20)</f>
        <v>0</v>
      </c>
      <c r="W20" s="154">
        <f t="shared" ref="W20:W22" si="52">V20*(1+$R20)</f>
        <v>0</v>
      </c>
      <c r="X20" s="154">
        <f t="shared" ref="X20:X22" si="53">W20*(1+$R20)</f>
        <v>0</v>
      </c>
      <c r="Y20" s="154">
        <f t="shared" ref="Y20:Y22" si="54">X20*(1+$R20)</f>
        <v>0</v>
      </c>
      <c r="Z20" s="154">
        <f t="shared" ref="Z20:Z22" si="55">Y20*(1+$R20)</f>
        <v>0</v>
      </c>
      <c r="AA20" s="154">
        <f t="shared" ref="AA20:AA22" si="56">Z20*(1+$R20)</f>
        <v>0</v>
      </c>
      <c r="AB20" s="154">
        <f t="shared" ref="AB20:AB22" si="57">AA20*(1+$R20)</f>
        <v>0</v>
      </c>
      <c r="AC20" s="138" t="e">
        <f t="shared" ref="AC20:AC22" si="58">((AB20/G20)^(1/($AB$3-$H$1) ))-1</f>
        <v>#DIV/0!</v>
      </c>
      <c r="AD20" s="31">
        <f t="shared" si="17"/>
        <v>0.08</v>
      </c>
      <c r="AE20" s="146">
        <f t="shared" si="1"/>
        <v>0</v>
      </c>
    </row>
    <row r="21" spans="2:31">
      <c r="B21" s="20" t="s">
        <v>285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18" t="e">
        <f>((P21/G21)^(1/($H$2-$H$1) ))-1</f>
        <v>#DIV/0!</v>
      </c>
      <c r="R21" s="31">
        <f t="shared" si="6"/>
        <v>0.12</v>
      </c>
      <c r="S21" s="154">
        <f t="shared" si="48"/>
        <v>0</v>
      </c>
      <c r="T21" s="154">
        <f t="shared" si="49"/>
        <v>0</v>
      </c>
      <c r="U21" s="154">
        <f t="shared" si="50"/>
        <v>0</v>
      </c>
      <c r="V21" s="154">
        <f t="shared" si="51"/>
        <v>0</v>
      </c>
      <c r="W21" s="154">
        <f t="shared" si="52"/>
        <v>0</v>
      </c>
      <c r="X21" s="154">
        <f t="shared" si="53"/>
        <v>0</v>
      </c>
      <c r="Y21" s="154">
        <f t="shared" si="54"/>
        <v>0</v>
      </c>
      <c r="Z21" s="154">
        <f t="shared" si="55"/>
        <v>0</v>
      </c>
      <c r="AA21" s="154">
        <f t="shared" si="56"/>
        <v>0</v>
      </c>
      <c r="AB21" s="154">
        <f t="shared" si="57"/>
        <v>0</v>
      </c>
      <c r="AC21" s="138" t="e">
        <f t="shared" si="58"/>
        <v>#DIV/0!</v>
      </c>
      <c r="AD21" s="31">
        <f t="shared" si="17"/>
        <v>0.08</v>
      </c>
      <c r="AE21" s="146">
        <f t="shared" si="1"/>
        <v>0</v>
      </c>
    </row>
    <row r="22" spans="2:31">
      <c r="B22" s="20" t="s">
        <v>286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18" t="e">
        <f>((P22/G22)^(1/($H$2-$H$1) ))-1</f>
        <v>#DIV/0!</v>
      </c>
      <c r="R22" s="31">
        <f t="shared" si="6"/>
        <v>0.12</v>
      </c>
      <c r="S22" s="154">
        <f t="shared" si="48"/>
        <v>0</v>
      </c>
      <c r="T22" s="154">
        <f t="shared" si="49"/>
        <v>0</v>
      </c>
      <c r="U22" s="154">
        <f t="shared" si="50"/>
        <v>0</v>
      </c>
      <c r="V22" s="154">
        <f t="shared" si="51"/>
        <v>0</v>
      </c>
      <c r="W22" s="154">
        <f t="shared" si="52"/>
        <v>0</v>
      </c>
      <c r="X22" s="154">
        <f t="shared" si="53"/>
        <v>0</v>
      </c>
      <c r="Y22" s="154">
        <f t="shared" si="54"/>
        <v>0</v>
      </c>
      <c r="Z22" s="154">
        <f t="shared" si="55"/>
        <v>0</v>
      </c>
      <c r="AA22" s="154">
        <f t="shared" si="56"/>
        <v>0</v>
      </c>
      <c r="AB22" s="154">
        <f t="shared" si="57"/>
        <v>0</v>
      </c>
      <c r="AC22" s="138" t="e">
        <f t="shared" si="58"/>
        <v>#DIV/0!</v>
      </c>
      <c r="AD22" s="31">
        <f t="shared" si="17"/>
        <v>0.08</v>
      </c>
      <c r="AE22" s="146">
        <f t="shared" si="1"/>
        <v>0</v>
      </c>
    </row>
    <row r="23" spans="2:31">
      <c r="B23" s="20" t="s">
        <v>296</v>
      </c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18" t="e">
        <f>((P23/G23)^(1/($H$2-$H$1) ))-1</f>
        <v>#DIV/0!</v>
      </c>
      <c r="R23" s="31">
        <f t="shared" si="6"/>
        <v>0.12</v>
      </c>
      <c r="S23" s="154">
        <f t="shared" ref="S23" si="59">P23*(1+$R23)</f>
        <v>0</v>
      </c>
      <c r="T23" s="154">
        <f t="shared" ref="T23" si="60">S23*(1+$R23)</f>
        <v>0</v>
      </c>
      <c r="U23" s="154">
        <f t="shared" ref="U23" si="61">T23*(1+$R23)</f>
        <v>0</v>
      </c>
      <c r="V23" s="154">
        <f t="shared" ref="V23" si="62">U23*(1+$R23)</f>
        <v>0</v>
      </c>
      <c r="W23" s="154">
        <f t="shared" ref="W23" si="63">V23*(1+$R23)</f>
        <v>0</v>
      </c>
      <c r="X23" s="154">
        <f t="shared" ref="X23" si="64">W23*(1+$R23)</f>
        <v>0</v>
      </c>
      <c r="Y23" s="154">
        <f t="shared" ref="Y23" si="65">X23*(1+$R23)</f>
        <v>0</v>
      </c>
      <c r="Z23" s="154">
        <f t="shared" ref="Z23" si="66">Y23*(1+$R23)</f>
        <v>0</v>
      </c>
      <c r="AA23" s="154">
        <f t="shared" ref="AA23" si="67">Z23*(1+$R23)</f>
        <v>0</v>
      </c>
      <c r="AB23" s="154">
        <f t="shared" ref="AB23" si="68">AA23*(1+$R23)</f>
        <v>0</v>
      </c>
      <c r="AC23" s="138" t="e">
        <f t="shared" ref="AC23" si="69">((AB23/G23)^(1/($AB$3-$H$1) ))-1</f>
        <v>#DIV/0!</v>
      </c>
      <c r="AD23" s="31">
        <f t="shared" si="17"/>
        <v>0.08</v>
      </c>
      <c r="AE23" s="146">
        <f t="shared" si="1"/>
        <v>0</v>
      </c>
    </row>
    <row r="24" spans="2:31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>
      <c r="B25" s="20" t="s">
        <v>89</v>
      </c>
      <c r="C25" s="141"/>
      <c r="D25" s="141"/>
      <c r="E25" s="147"/>
      <c r="F25" s="147"/>
      <c r="G25" s="147">
        <v>894.97</v>
      </c>
      <c r="H25" s="147">
        <v>2027.16</v>
      </c>
      <c r="I25" s="147">
        <v>4021.7</v>
      </c>
      <c r="J25" s="147">
        <v>9141.93</v>
      </c>
      <c r="K25" s="147">
        <v>13679.43</v>
      </c>
      <c r="L25" s="147">
        <v>26081.7</v>
      </c>
      <c r="M25" s="147">
        <v>20619.66</v>
      </c>
      <c r="N25" s="147">
        <v>17879.13</v>
      </c>
      <c r="O25" s="147">
        <v>21082.37</v>
      </c>
      <c r="P25" s="147">
        <v>18913</v>
      </c>
      <c r="Q25" s="118">
        <f>((P25/G25)^(1/($H$2-$H$1) ))-1</f>
        <v>0.40351443206981186</v>
      </c>
      <c r="R25" s="31">
        <f t="shared" si="6"/>
        <v>0.12</v>
      </c>
      <c r="S25" s="154">
        <f t="shared" si="38"/>
        <v>21182.560000000001</v>
      </c>
      <c r="T25" s="154">
        <f t="shared" si="39"/>
        <v>23724.467200000003</v>
      </c>
      <c r="U25" s="154">
        <f t="shared" si="40"/>
        <v>26571.403264000004</v>
      </c>
      <c r="V25" s="154">
        <f t="shared" si="41"/>
        <v>29759.971655680009</v>
      </c>
      <c r="W25" s="154">
        <f t="shared" si="42"/>
        <v>33331.168254361612</v>
      </c>
      <c r="X25" s="154">
        <f t="shared" si="43"/>
        <v>37330.908444885012</v>
      </c>
      <c r="Y25" s="154">
        <f t="shared" si="44"/>
        <v>41810.617458271219</v>
      </c>
      <c r="Z25" s="154">
        <f t="shared" si="45"/>
        <v>46827.891553263769</v>
      </c>
      <c r="AA25" s="154">
        <f t="shared" si="46"/>
        <v>52447.238539655424</v>
      </c>
      <c r="AB25" s="154">
        <f t="shared" si="47"/>
        <v>58740.907164414079</v>
      </c>
      <c r="AC25" s="138">
        <f t="shared" si="19"/>
        <v>0.24634574497204986</v>
      </c>
      <c r="AD25" s="31">
        <f t="shared" si="17"/>
        <v>0.08</v>
      </c>
      <c r="AE25" s="146">
        <f t="shared" si="1"/>
        <v>453144.14098262286</v>
      </c>
    </row>
    <row r="26" spans="2:31" s="123" customFormat="1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0.55851042838256482</v>
      </c>
      <c r="I26" s="148">
        <f t="shared" ref="I26" si="70">(I25-H25)/I25</f>
        <v>0.49594450108163213</v>
      </c>
      <c r="J26" s="148">
        <f t="shared" ref="J26" si="71">(J25-I25)/J25</f>
        <v>0.56008195206045119</v>
      </c>
      <c r="K26" s="148">
        <f t="shared" ref="K26" si="72">(K25-J25)/K25</f>
        <v>0.33170241742528744</v>
      </c>
      <c r="L26" s="148">
        <f t="shared" ref="L26" si="73">(L25-K25)/L25</f>
        <v>0.4755161665075513</v>
      </c>
      <c r="M26" s="148">
        <f t="shared" ref="M26" si="74">(M25-L25)/M25</f>
        <v>-0.26489476548109914</v>
      </c>
      <c r="N26" s="148">
        <f t="shared" ref="N26" si="75">(N25-M25)/N25</f>
        <v>-0.1532809482340583</v>
      </c>
      <c r="O26" s="148">
        <f t="shared" ref="O26" si="76">(O25-N25)/O25</f>
        <v>0.15193927437949331</v>
      </c>
      <c r="P26" s="148">
        <f t="shared" ref="P26" si="77">(P25-O25)/P25</f>
        <v>-0.11470258552318506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>
      <c r="B27" s="20" t="s">
        <v>262</v>
      </c>
      <c r="C27" s="141"/>
      <c r="D27" s="141"/>
      <c r="E27" s="147"/>
      <c r="F27" s="147"/>
      <c r="G27" s="147">
        <v>705.4</v>
      </c>
      <c r="H27" s="147">
        <v>1534.77</v>
      </c>
      <c r="I27" s="147">
        <v>3067.83</v>
      </c>
      <c r="J27" s="147">
        <v>7723.82</v>
      </c>
      <c r="K27" s="147">
        <v>12312.69</v>
      </c>
      <c r="L27" s="147">
        <v>24318.14</v>
      </c>
      <c r="M27" s="147">
        <v>19459.25</v>
      </c>
      <c r="N27" s="147">
        <v>16507.599999999999</v>
      </c>
      <c r="O27" s="147">
        <v>19087.740000000002</v>
      </c>
      <c r="P27" s="147">
        <v>20950</v>
      </c>
      <c r="Q27" s="118">
        <f>((P27/G27)^(1/($H$2-$H$1) ))-1</f>
        <v>0.45760124379268863</v>
      </c>
      <c r="R27" s="31">
        <f t="shared" si="6"/>
        <v>0.12</v>
      </c>
      <c r="S27" s="154">
        <f t="shared" si="38"/>
        <v>23464.000000000004</v>
      </c>
      <c r="T27" s="154">
        <f t="shared" si="39"/>
        <v>26279.680000000008</v>
      </c>
      <c r="U27" s="154">
        <f t="shared" si="40"/>
        <v>29433.241600000012</v>
      </c>
      <c r="V27" s="154">
        <f t="shared" si="41"/>
        <v>32965.230592000014</v>
      </c>
      <c r="W27" s="154">
        <f t="shared" si="42"/>
        <v>36921.058263040017</v>
      </c>
      <c r="X27" s="154">
        <f t="shared" si="43"/>
        <v>41351.585254604826</v>
      </c>
      <c r="Y27" s="154">
        <f t="shared" si="44"/>
        <v>46313.775485157406</v>
      </c>
      <c r="Z27" s="154">
        <f t="shared" si="45"/>
        <v>51871.4285433763</v>
      </c>
      <c r="AA27" s="154">
        <f t="shared" si="46"/>
        <v>58095.999968581462</v>
      </c>
      <c r="AB27" s="154">
        <f t="shared" si="47"/>
        <v>65067.519964811247</v>
      </c>
      <c r="AC27" s="138">
        <f t="shared" si="19"/>
        <v>0.26887051348575852</v>
      </c>
      <c r="AD27" s="31">
        <f t="shared" si="17"/>
        <v>0.08</v>
      </c>
      <c r="AE27" s="146">
        <f t="shared" si="1"/>
        <v>501949.43972854386</v>
      </c>
    </row>
    <row r="28" spans="2:31" s="123" customFormat="1">
      <c r="B28" s="23"/>
      <c r="C28" s="149"/>
      <c r="D28" s="149"/>
      <c r="E28" s="150"/>
      <c r="F28" s="150"/>
      <c r="G28" s="148">
        <f t="shared" ref="G28:M28" si="78">(G27-F27)/G27</f>
        <v>1</v>
      </c>
      <c r="H28" s="148">
        <f t="shared" si="78"/>
        <v>0.54038715898799172</v>
      </c>
      <c r="I28" s="148">
        <f t="shared" si="78"/>
        <v>0.4997213013758911</v>
      </c>
      <c r="J28" s="148">
        <f t="shared" si="78"/>
        <v>0.60280923170141198</v>
      </c>
      <c r="K28" s="148">
        <f t="shared" si="78"/>
        <v>0.37269435030038123</v>
      </c>
      <c r="L28" s="148">
        <f t="shared" si="78"/>
        <v>0.4936829050248086</v>
      </c>
      <c r="M28" s="148">
        <f t="shared" si="78"/>
        <v>-0.24969564602952321</v>
      </c>
      <c r="N28" s="148">
        <f t="shared" ref="N28" si="79">(N27-M27)/N27</f>
        <v>-0.17880551988175153</v>
      </c>
      <c r="O28" s="148">
        <f t="shared" ref="O28" si="80">(O27-N27)/O27</f>
        <v>0.13517262913262665</v>
      </c>
      <c r="P28" s="148">
        <f t="shared" ref="P28" si="81">(P27-O27)/P27</f>
        <v>8.8890692124104942E-2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>
      <c r="B29" s="20" t="s">
        <v>325</v>
      </c>
      <c r="C29" s="149"/>
      <c r="D29" s="149"/>
      <c r="E29" s="150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18" t="e">
        <f>((P29/G29)^(1/($H$2-$H$1) ))-1</f>
        <v>#DIV/0!</v>
      </c>
      <c r="R29" s="31">
        <f t="shared" si="6"/>
        <v>0.12</v>
      </c>
      <c r="S29" s="154">
        <f t="shared" ref="S29" si="82">P29*(1+$R29)</f>
        <v>0</v>
      </c>
      <c r="T29" s="154">
        <f t="shared" ref="T29" si="83">S29*(1+$R29)</f>
        <v>0</v>
      </c>
      <c r="U29" s="154">
        <f t="shared" ref="U29" si="84">T29*(1+$R29)</f>
        <v>0</v>
      </c>
      <c r="V29" s="154">
        <f t="shared" ref="V29" si="85">U29*(1+$R29)</f>
        <v>0</v>
      </c>
      <c r="W29" s="154">
        <f t="shared" ref="W29" si="86">V29*(1+$R29)</f>
        <v>0</v>
      </c>
      <c r="X29" s="154">
        <f t="shared" ref="X29" si="87">W29*(1+$R29)</f>
        <v>0</v>
      </c>
      <c r="Y29" s="154">
        <f t="shared" ref="Y29" si="88">X29*(1+$R29)</f>
        <v>0</v>
      </c>
      <c r="Z29" s="154">
        <f t="shared" ref="Z29" si="89">Y29*(1+$R29)</f>
        <v>0</v>
      </c>
      <c r="AA29" s="154">
        <f t="shared" ref="AA29" si="90">Z29*(1+$R29)</f>
        <v>0</v>
      </c>
      <c r="AB29" s="154">
        <f t="shared" ref="AB29" si="91">AA29*(1+$R29)</f>
        <v>0</v>
      </c>
      <c r="AC29" s="138" t="e">
        <f t="shared" ref="AC29" si="92">((AB29/G29)^(1/($AB$3-$H$1) ))-1</f>
        <v>#DIV/0!</v>
      </c>
      <c r="AD29" s="31">
        <f t="shared" si="17"/>
        <v>0.08</v>
      </c>
      <c r="AE29" s="146">
        <f t="shared" ref="AE29" si="93">(AB29*(1+AD29))/($C$1-AD29)</f>
        <v>0</v>
      </c>
    </row>
    <row r="30" spans="2:31" s="123" customFormat="1">
      <c r="B30" s="23"/>
      <c r="C30" s="149"/>
      <c r="D30" s="149"/>
      <c r="E30" s="150"/>
      <c r="F30" s="150"/>
      <c r="G30" s="148" t="e">
        <f t="shared" ref="G30:L30" si="94">(G29-F29)/G29</f>
        <v>#DIV/0!</v>
      </c>
      <c r="H30" s="148" t="e">
        <f t="shared" si="94"/>
        <v>#DIV/0!</v>
      </c>
      <c r="I30" s="148" t="e">
        <f t="shared" si="94"/>
        <v>#DIV/0!</v>
      </c>
      <c r="J30" s="148" t="e">
        <f t="shared" si="94"/>
        <v>#DIV/0!</v>
      </c>
      <c r="K30" s="148" t="e">
        <f t="shared" si="94"/>
        <v>#DIV/0!</v>
      </c>
      <c r="L30" s="148" t="e">
        <f t="shared" si="94"/>
        <v>#DIV/0!</v>
      </c>
      <c r="M30" s="148" t="e">
        <f t="shared" ref="M30" si="95">(M29-L29)/M29</f>
        <v>#DIV/0!</v>
      </c>
      <c r="N30" s="148" t="e">
        <f t="shared" ref="N30" si="96">(N29-M29)/N29</f>
        <v>#DIV/0!</v>
      </c>
      <c r="O30" s="148" t="e">
        <f t="shared" ref="O30" si="97">(O29-N29)/O29</f>
        <v>#DIV/0!</v>
      </c>
      <c r="P30" s="148" t="e">
        <f t="shared" ref="P30" si="98">(P29-O29)/P29</f>
        <v>#DIV/0!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>
      <c r="B31" s="20" t="s">
        <v>333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0.12</v>
      </c>
      <c r="S31" s="154">
        <f>P31*(1+$R31)</f>
        <v>0</v>
      </c>
      <c r="T31" s="154">
        <f>S31*(1+$R31)</f>
        <v>0</v>
      </c>
      <c r="U31" s="154">
        <f t="shared" ref="U31:AB32" si="99">T31*(1+$R31)</f>
        <v>0</v>
      </c>
      <c r="V31" s="154">
        <f t="shared" si="99"/>
        <v>0</v>
      </c>
      <c r="W31" s="154">
        <f t="shared" si="99"/>
        <v>0</v>
      </c>
      <c r="X31" s="154">
        <f t="shared" si="99"/>
        <v>0</v>
      </c>
      <c r="Y31" s="154">
        <f t="shared" si="99"/>
        <v>0</v>
      </c>
      <c r="Z31" s="154">
        <f t="shared" si="99"/>
        <v>0</v>
      </c>
      <c r="AA31" s="154">
        <f t="shared" si="99"/>
        <v>0</v>
      </c>
      <c r="AB31" s="154">
        <f t="shared" si="99"/>
        <v>0</v>
      </c>
      <c r="AC31" s="138" t="e">
        <f t="shared" ref="AC31" si="100">((AB31/G31)^(1/($AB$3-$H$1) ))-1</f>
        <v>#DIV/0!</v>
      </c>
      <c r="AD31" s="31">
        <f t="shared" si="17"/>
        <v>0.08</v>
      </c>
      <c r="AE31" s="146">
        <f t="shared" si="1"/>
        <v>0</v>
      </c>
    </row>
    <row r="32" spans="2:31">
      <c r="B32" s="20" t="s">
        <v>332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0.12</v>
      </c>
      <c r="S32" s="154">
        <f>P32*(1+$R32)</f>
        <v>0</v>
      </c>
      <c r="T32" s="154">
        <f>S32*(1+$R32)</f>
        <v>0</v>
      </c>
      <c r="U32" s="154">
        <f t="shared" si="99"/>
        <v>0</v>
      </c>
      <c r="V32" s="154">
        <f t="shared" si="99"/>
        <v>0</v>
      </c>
      <c r="W32" s="154">
        <f t="shared" si="99"/>
        <v>0</v>
      </c>
      <c r="X32" s="154">
        <f t="shared" si="99"/>
        <v>0</v>
      </c>
      <c r="Y32" s="154">
        <f t="shared" si="99"/>
        <v>0</v>
      </c>
      <c r="Z32" s="154">
        <f t="shared" si="99"/>
        <v>0</v>
      </c>
      <c r="AA32" s="154">
        <f t="shared" si="99"/>
        <v>0</v>
      </c>
      <c r="AB32" s="154">
        <f t="shared" si="99"/>
        <v>0</v>
      </c>
      <c r="AC32" s="138" t="e">
        <f t="shared" ref="AC32" si="101">((AB32/G32)^(1/($AB$3-$H$1) ))-1</f>
        <v>#DIV/0!</v>
      </c>
      <c r="AD32" s="31">
        <f t="shared" si="17"/>
        <v>0.08</v>
      </c>
      <c r="AE32" s="146">
        <f t="shared" si="1"/>
        <v>0</v>
      </c>
    </row>
    <row r="33" spans="2:31">
      <c r="B33" s="20" t="s">
        <v>317</v>
      </c>
      <c r="C33" s="141"/>
      <c r="D33" s="141"/>
      <c r="E33" s="147"/>
      <c r="F33" s="147"/>
      <c r="G33" s="147">
        <v>550.65</v>
      </c>
      <c r="H33" s="147">
        <v>1210.3900000000001</v>
      </c>
      <c r="I33" s="147">
        <v>2479.5500000000002</v>
      </c>
      <c r="J33" s="147">
        <v>6000.36</v>
      </c>
      <c r="K33" s="147">
        <v>9708.27</v>
      </c>
      <c r="L33" s="147">
        <v>18270.509999999998</v>
      </c>
      <c r="M33" s="147">
        <v>13663.8</v>
      </c>
      <c r="N33" s="147">
        <v>11962.49</v>
      </c>
      <c r="O33" s="147">
        <v>13750.23</v>
      </c>
      <c r="P33" s="147">
        <v>14136</v>
      </c>
      <c r="Q33" s="118">
        <f>((P33/G33)^(1/($H$2-$H$1) ))-1</f>
        <v>0.43418658124003162</v>
      </c>
      <c r="R33" s="31">
        <f t="shared" si="6"/>
        <v>0.12</v>
      </c>
      <c r="S33" s="154">
        <f t="shared" si="38"/>
        <v>15832.320000000002</v>
      </c>
      <c r="T33" s="154">
        <f t="shared" si="39"/>
        <v>17732.198400000005</v>
      </c>
      <c r="U33" s="154">
        <f t="shared" si="40"/>
        <v>19860.062208000007</v>
      </c>
      <c r="V33" s="154">
        <f t="shared" si="41"/>
        <v>22243.26967296001</v>
      </c>
      <c r="W33" s="154">
        <f t="shared" si="42"/>
        <v>24912.462033715216</v>
      </c>
      <c r="X33" s="154">
        <f t="shared" si="43"/>
        <v>27901.957477761043</v>
      </c>
      <c r="Y33" s="154">
        <f t="shared" si="44"/>
        <v>31250.192375092371</v>
      </c>
      <c r="Z33" s="154">
        <f t="shared" si="45"/>
        <v>35000.215460103456</v>
      </c>
      <c r="AA33" s="154">
        <f t="shared" si="46"/>
        <v>39200.241315315878</v>
      </c>
      <c r="AB33" s="154">
        <f t="shared" si="47"/>
        <v>43904.270273153787</v>
      </c>
      <c r="AC33" s="138">
        <f t="shared" si="19"/>
        <v>0.25917429227084043</v>
      </c>
      <c r="AD33" s="31">
        <f t="shared" si="17"/>
        <v>0.08</v>
      </c>
      <c r="AE33" s="146">
        <f t="shared" si="1"/>
        <v>338690.0849643292</v>
      </c>
    </row>
    <row r="34" spans="2:31">
      <c r="B34" s="20" t="s">
        <v>309</v>
      </c>
      <c r="C34" s="141"/>
      <c r="D34" s="141"/>
      <c r="E34" s="147"/>
      <c r="F34" s="147"/>
      <c r="G34" s="147">
        <v>127</v>
      </c>
      <c r="H34" s="147">
        <v>162</v>
      </c>
      <c r="I34" s="147">
        <v>243</v>
      </c>
      <c r="J34" s="147">
        <v>496</v>
      </c>
      <c r="K34" s="147">
        <v>224.57</v>
      </c>
      <c r="L34" s="147">
        <v>729.44</v>
      </c>
      <c r="M34" s="147">
        <v>386.73</v>
      </c>
      <c r="N34" s="147">
        <v>2578.73</v>
      </c>
      <c r="O34" s="147">
        <v>2911.2</v>
      </c>
      <c r="P34" s="147">
        <v>4130</v>
      </c>
      <c r="Q34" s="118">
        <f>((P34/G34)^(1/($H$2-$H$1) ))-1</f>
        <v>0.47236762339112914</v>
      </c>
      <c r="R34" s="31">
        <f t="shared" si="6"/>
        <v>0.12</v>
      </c>
      <c r="S34" s="154">
        <f t="shared" si="38"/>
        <v>4625.6000000000004</v>
      </c>
      <c r="T34" s="154">
        <f t="shared" si="39"/>
        <v>5180.6720000000005</v>
      </c>
      <c r="U34" s="154">
        <f t="shared" si="40"/>
        <v>5802.352640000001</v>
      </c>
      <c r="V34" s="154">
        <f t="shared" si="41"/>
        <v>6498.6349568000014</v>
      </c>
      <c r="W34" s="154">
        <f t="shared" si="42"/>
        <v>7278.4711516160023</v>
      </c>
      <c r="X34" s="154">
        <f t="shared" si="43"/>
        <v>8151.8876898099234</v>
      </c>
      <c r="Y34" s="154">
        <f t="shared" si="44"/>
        <v>9130.1142125871156</v>
      </c>
      <c r="Z34" s="154">
        <f t="shared" si="45"/>
        <v>10225.727918097571</v>
      </c>
      <c r="AA34" s="154">
        <f t="shared" si="46"/>
        <v>11452.81526826928</v>
      </c>
      <c r="AB34" s="154">
        <f t="shared" si="47"/>
        <v>12827.153100461595</v>
      </c>
      <c r="AC34" s="138">
        <f t="shared" si="19"/>
        <v>0.27494330127049182</v>
      </c>
      <c r="AD34" s="31">
        <f t="shared" si="17"/>
        <v>0.08</v>
      </c>
      <c r="AE34" s="146">
        <f t="shared" si="1"/>
        <v>98952.323917846588</v>
      </c>
    </row>
    <row r="35" spans="2:31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>
      <c r="B36" s="20" t="s">
        <v>279</v>
      </c>
      <c r="C36" s="141"/>
      <c r="D36" s="141"/>
      <c r="E36" s="147"/>
      <c r="F36" s="147"/>
      <c r="G36" s="141">
        <v>145.12</v>
      </c>
      <c r="H36" s="141">
        <v>473.4</v>
      </c>
      <c r="I36" s="141">
        <v>902.03</v>
      </c>
      <c r="J36" s="141">
        <v>1364.74</v>
      </c>
      <c r="K36" s="141">
        <v>2034.7</v>
      </c>
      <c r="L36" s="141">
        <v>2849.71</v>
      </c>
      <c r="M36" s="141">
        <v>994.95</v>
      </c>
      <c r="N36" s="141">
        <v>794.46</v>
      </c>
      <c r="O36" s="141">
        <v>1544.36</v>
      </c>
      <c r="P36" s="141">
        <v>-1884.8</v>
      </c>
      <c r="Q36" s="118">
        <f>((P36/G36)^(1/($H$2-$H$1) ))-1</f>
        <v>-2.3296166498014568</v>
      </c>
      <c r="R36" s="31">
        <f t="shared" si="6"/>
        <v>0.12</v>
      </c>
      <c r="S36" s="154">
        <f t="shared" ref="S36" si="102">P36*(1+$R36)</f>
        <v>-2110.9760000000001</v>
      </c>
      <c r="T36" s="154">
        <f t="shared" ref="T36" si="103">S36*(1+$R36)</f>
        <v>-2364.2931200000003</v>
      </c>
      <c r="U36" s="154">
        <f t="shared" ref="U36" si="104">T36*(1+$R36)</f>
        <v>-2648.0082944000005</v>
      </c>
      <c r="V36" s="154">
        <f t="shared" ref="V36" si="105">U36*(1+$R36)</f>
        <v>-2965.7692897280008</v>
      </c>
      <c r="W36" s="154">
        <f t="shared" si="42"/>
        <v>-3321.6616044953612</v>
      </c>
      <c r="X36" s="154">
        <f t="shared" si="43"/>
        <v>-3720.2609970348049</v>
      </c>
      <c r="Y36" s="154">
        <f t="shared" si="44"/>
        <v>-4166.692316678982</v>
      </c>
      <c r="Z36" s="154">
        <f t="shared" si="45"/>
        <v>-4666.6953946804606</v>
      </c>
      <c r="AA36" s="154">
        <f t="shared" si="46"/>
        <v>-5226.6988420421167</v>
      </c>
      <c r="AB36" s="154">
        <f t="shared" si="47"/>
        <v>-5853.9027030871712</v>
      </c>
      <c r="AC36" s="138">
        <f t="shared" si="19"/>
        <v>-2.2148187483807393</v>
      </c>
      <c r="AD36" s="31">
        <f t="shared" si="17"/>
        <v>0.08</v>
      </c>
      <c r="AE36" s="146">
        <f t="shared" si="1"/>
        <v>-45158.677995243896</v>
      </c>
    </row>
    <row r="37" spans="2:31" s="123" customFormat="1">
      <c r="B37" s="23"/>
      <c r="C37" s="149"/>
      <c r="D37" s="149"/>
      <c r="E37" s="150"/>
      <c r="F37" s="150"/>
      <c r="G37" s="148">
        <f t="shared" ref="G37" si="106">(G36-F36)/G36</f>
        <v>1</v>
      </c>
      <c r="H37" s="148">
        <f t="shared" ref="H37" si="107">(H36-G36)/H36</f>
        <v>0.69345162653147441</v>
      </c>
      <c r="I37" s="148">
        <f t="shared" ref="I37" si="108">(I36-H36)/I36</f>
        <v>0.47518375220336351</v>
      </c>
      <c r="J37" s="148">
        <f t="shared" ref="J37" si="109">(J36-I36)/J36</f>
        <v>0.33904626522267978</v>
      </c>
      <c r="K37" s="148">
        <f t="shared" ref="K37" si="110">(K36-J36)/K36</f>
        <v>0.32926721383987811</v>
      </c>
      <c r="L37" s="148">
        <f t="shared" ref="L37" si="111">(L36-K36)/L36</f>
        <v>0.28599752255492661</v>
      </c>
      <c r="M37" s="148">
        <f t="shared" ref="M37" si="112">(M36-L36)/M36</f>
        <v>-1.8641740790994521</v>
      </c>
      <c r="N37" s="148">
        <f t="shared" ref="N37" si="113">(N36-M36)/N36</f>
        <v>-0.25236009364851597</v>
      </c>
      <c r="O37" s="148">
        <f t="shared" ref="O37" si="114">(O36-N36)/O36</f>
        <v>0.48557331192209063</v>
      </c>
      <c r="P37" s="148">
        <f t="shared" ref="P37" si="115">(P36-O36)/P36</f>
        <v>1.8193760611205432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>
      <c r="B38" s="20" t="s">
        <v>257</v>
      </c>
      <c r="C38" s="141"/>
      <c r="D38" s="141"/>
      <c r="E38" s="147"/>
      <c r="F38" s="147"/>
      <c r="G38" s="147">
        <v>144.91999999999999</v>
      </c>
      <c r="H38" s="147">
        <v>365.12</v>
      </c>
      <c r="I38" s="147">
        <v>760.52</v>
      </c>
      <c r="J38" s="147">
        <v>864.8</v>
      </c>
      <c r="K38" s="147">
        <v>1017.15</v>
      </c>
      <c r="L38" s="147">
        <v>428.87</v>
      </c>
      <c r="M38" s="147">
        <v>-989.73</v>
      </c>
      <c r="N38" s="147">
        <v>-1316.89</v>
      </c>
      <c r="O38" s="147">
        <v>-472.59</v>
      </c>
      <c r="P38" s="147">
        <v>-4731</v>
      </c>
      <c r="Q38" s="118">
        <f>((P38/G38)^(1/($H$2-$H$1) ))-1</f>
        <v>-2.4729999627297996</v>
      </c>
      <c r="R38" s="31">
        <f t="shared" si="6"/>
        <v>0.12</v>
      </c>
      <c r="S38" s="154">
        <f>P38*(1+$R38)</f>
        <v>-5298.72</v>
      </c>
      <c r="T38" s="154">
        <f t="shared" ref="T38:AB38" si="116">S38*(1+$R38)</f>
        <v>-5934.5664000000006</v>
      </c>
      <c r="U38" s="154">
        <f t="shared" si="116"/>
        <v>-6646.7143680000017</v>
      </c>
      <c r="V38" s="154">
        <f t="shared" si="116"/>
        <v>-7444.3200921600028</v>
      </c>
      <c r="W38" s="154">
        <f t="shared" si="116"/>
        <v>-8337.6385032192047</v>
      </c>
      <c r="X38" s="154">
        <f t="shared" si="116"/>
        <v>-9338.1551236055093</v>
      </c>
      <c r="Y38" s="154">
        <f t="shared" si="116"/>
        <v>-10458.733738438172</v>
      </c>
      <c r="Z38" s="154">
        <f t="shared" si="116"/>
        <v>-11713.781787050753</v>
      </c>
      <c r="AA38" s="154">
        <f t="shared" si="116"/>
        <v>-13119.435601496845</v>
      </c>
      <c r="AB38" s="154">
        <f t="shared" si="116"/>
        <v>-14693.767873676468</v>
      </c>
      <c r="AC38" s="138">
        <f t="shared" si="19"/>
        <v>-2.2752026383681629</v>
      </c>
      <c r="AD38" s="31">
        <f t="shared" si="17"/>
        <v>0.08</v>
      </c>
      <c r="AE38" s="146">
        <f t="shared" si="1"/>
        <v>-113351.92359693276</v>
      </c>
    </row>
    <row r="39" spans="2:31" s="123" customFormat="1">
      <c r="B39" s="23"/>
      <c r="C39" s="149"/>
      <c r="D39" s="149"/>
      <c r="E39" s="150"/>
      <c r="F39" s="150"/>
      <c r="G39" s="148">
        <f>(G38-F38)/G38</f>
        <v>1</v>
      </c>
      <c r="H39" s="148">
        <f t="shared" ref="H39:P39" si="117">(H38-G38)/H38</f>
        <v>0.60308939526730942</v>
      </c>
      <c r="I39" s="148">
        <f t="shared" si="117"/>
        <v>0.51990743175721876</v>
      </c>
      <c r="J39" s="148">
        <f t="shared" si="117"/>
        <v>0.12058279370952819</v>
      </c>
      <c r="K39" s="148">
        <f t="shared" si="117"/>
        <v>0.14978125153615496</v>
      </c>
      <c r="L39" s="148">
        <f t="shared" si="117"/>
        <v>-1.3716977172569775</v>
      </c>
      <c r="M39" s="148">
        <f t="shared" si="117"/>
        <v>1.4333201984379578</v>
      </c>
      <c r="N39" s="148">
        <f t="shared" si="117"/>
        <v>0.24843380996134837</v>
      </c>
      <c r="O39" s="148">
        <f t="shared" si="117"/>
        <v>-1.7865380139232743</v>
      </c>
      <c r="P39" s="148">
        <f t="shared" si="117"/>
        <v>0.90010779961953069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>
      <c r="B40" s="20" t="s">
        <v>239</v>
      </c>
      <c r="C40" s="142">
        <v>1</v>
      </c>
      <c r="D40" s="142">
        <v>1</v>
      </c>
      <c r="E40" s="143">
        <v>1</v>
      </c>
      <c r="F40" s="147">
        <v>2.4300000000000002</v>
      </c>
      <c r="G40" s="147">
        <v>2.4300000000000002</v>
      </c>
      <c r="H40" s="147">
        <v>8.6922999999999995</v>
      </c>
      <c r="I40" s="147">
        <v>28.75</v>
      </c>
      <c r="J40" s="147">
        <v>28.77</v>
      </c>
      <c r="K40" s="147">
        <v>149.69</v>
      </c>
      <c r="L40" s="147">
        <v>149.82</v>
      </c>
      <c r="M40" s="147">
        <v>155.66999999999999</v>
      </c>
      <c r="N40" s="147">
        <v>177.73</v>
      </c>
      <c r="O40" s="147">
        <v>177.73</v>
      </c>
      <c r="P40" s="147">
        <v>177.73</v>
      </c>
      <c r="Q40" s="118">
        <f>((P40/G40)^(1/($H$2-$H$1) ))-1</f>
        <v>0.61112142916633072</v>
      </c>
      <c r="R40" s="31">
        <v>0.15</v>
      </c>
      <c r="S40" s="154">
        <f>P40*(1+$R40)</f>
        <v>204.38949999999997</v>
      </c>
      <c r="T40" s="154">
        <f t="shared" ref="T40:AB40" si="118">S40*(1+$R40)</f>
        <v>235.04792499999994</v>
      </c>
      <c r="U40" s="154">
        <f t="shared" si="118"/>
        <v>270.30511374999992</v>
      </c>
      <c r="V40" s="154">
        <f t="shared" si="118"/>
        <v>310.8508808124999</v>
      </c>
      <c r="W40" s="154">
        <f t="shared" si="118"/>
        <v>357.47851293437486</v>
      </c>
      <c r="X40" s="154">
        <f t="shared" si="118"/>
        <v>411.10028987453109</v>
      </c>
      <c r="Y40" s="154">
        <f t="shared" si="118"/>
        <v>472.76533335571071</v>
      </c>
      <c r="Z40" s="154">
        <f t="shared" si="118"/>
        <v>543.68013335906733</v>
      </c>
      <c r="AA40" s="154">
        <f t="shared" si="118"/>
        <v>625.23215336292742</v>
      </c>
      <c r="AB40" s="154">
        <f t="shared" si="118"/>
        <v>719.01697636736651</v>
      </c>
      <c r="AC40" s="138">
        <f t="shared" si="19"/>
        <v>0.34914809594432428</v>
      </c>
      <c r="AD40" s="31">
        <f t="shared" si="17"/>
        <v>0.08</v>
      </c>
      <c r="AE40" s="146">
        <f t="shared" si="1"/>
        <v>5546.7023891196841</v>
      </c>
    </row>
    <row r="41" spans="2:31">
      <c r="B41" s="20" t="s">
        <v>283</v>
      </c>
      <c r="C41" s="145"/>
      <c r="D41" s="145"/>
      <c r="E41" s="145"/>
      <c r="F41" s="147"/>
      <c r="G41" s="147"/>
      <c r="H41" s="147"/>
      <c r="I41" s="147"/>
      <c r="J41" s="147"/>
      <c r="K41" s="173"/>
      <c r="L41" s="173"/>
      <c r="M41" s="173"/>
      <c r="N41" s="173"/>
      <c r="O41" s="173"/>
      <c r="P41" s="147"/>
      <c r="Q41" s="118" t="e">
        <f>((P41/G41)^(1/($H$2-$H$1) ))-1</f>
        <v>#DIV/0!</v>
      </c>
      <c r="R41" s="31">
        <v>0.05</v>
      </c>
      <c r="S41" s="154">
        <f t="shared" ref="S41" si="119">P41*(1+$R41)</f>
        <v>0</v>
      </c>
      <c r="T41" s="154">
        <f t="shared" ref="T41" si="120">S41*(1+$R41)</f>
        <v>0</v>
      </c>
      <c r="U41" s="154">
        <f t="shared" ref="U41" si="121">T41*(1+$R41)</f>
        <v>0</v>
      </c>
      <c r="V41" s="154">
        <f t="shared" ref="V41" si="122">U41*(1+$R41)</f>
        <v>0</v>
      </c>
      <c r="W41" s="154">
        <f t="shared" ref="W41" si="123">V41*(1+$R41)</f>
        <v>0</v>
      </c>
      <c r="X41" s="154">
        <f t="shared" ref="X41" si="124">W41*(1+$R41)</f>
        <v>0</v>
      </c>
      <c r="Y41" s="154">
        <f t="shared" ref="Y41" si="125">X41*(1+$R41)</f>
        <v>0</v>
      </c>
      <c r="Z41" s="154">
        <f t="shared" ref="Z41" si="126">Y41*(1+$R41)</f>
        <v>0</v>
      </c>
      <c r="AA41" s="154">
        <f t="shared" ref="AA41" si="127">Z41*(1+$R41)</f>
        <v>0</v>
      </c>
      <c r="AB41" s="154">
        <f t="shared" ref="AB41" si="128">AA41*(1+$R41)</f>
        <v>0</v>
      </c>
      <c r="AC41" s="138" t="e">
        <f t="shared" ref="AC41" si="129">((AB41/G41)^(1/($AB$3-$H$1) ))-1</f>
        <v>#DIV/0!</v>
      </c>
      <c r="AD41" s="31">
        <f t="shared" si="17"/>
        <v>0.08</v>
      </c>
      <c r="AE41" s="146">
        <f t="shared" si="1"/>
        <v>0</v>
      </c>
    </row>
    <row r="42" spans="2:31">
      <c r="B42" s="20"/>
      <c r="C42" s="20"/>
      <c r="D42" s="20"/>
      <c r="E42" s="127"/>
      <c r="F42" s="127"/>
      <c r="G42" s="127"/>
      <c r="H42" s="20"/>
      <c r="I42" s="20"/>
      <c r="J42" s="20"/>
      <c r="K42" s="20"/>
      <c r="L42" s="20"/>
      <c r="M42" s="20"/>
      <c r="N42" s="20"/>
      <c r="O42" s="20"/>
      <c r="P42" s="20"/>
      <c r="Q42" s="128"/>
      <c r="R42" s="128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39"/>
      <c r="AD42" s="137"/>
      <c r="AE42" s="154"/>
    </row>
    <row r="43" spans="2:31">
      <c r="B43" s="108" t="s">
        <v>243</v>
      </c>
      <c r="C43" s="20"/>
      <c r="D43" s="20"/>
      <c r="E43" s="127"/>
      <c r="F43" s="127"/>
      <c r="G43" s="127"/>
      <c r="H43" s="20"/>
      <c r="I43" s="20"/>
      <c r="J43" s="20"/>
      <c r="K43" s="20"/>
      <c r="L43" s="20"/>
      <c r="M43" s="20"/>
      <c r="N43" s="20"/>
      <c r="O43" s="20"/>
      <c r="P43" s="20"/>
      <c r="Q43" s="128"/>
      <c r="R43" s="128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39"/>
      <c r="AD43" s="137"/>
      <c r="AE43" s="154"/>
    </row>
    <row r="44" spans="2:31">
      <c r="B44" s="20" t="s">
        <v>304</v>
      </c>
      <c r="C44" s="133">
        <f t="shared" ref="C44:P44" si="130">C25/C40</f>
        <v>0</v>
      </c>
      <c r="D44" s="133">
        <f t="shared" si="130"/>
        <v>0</v>
      </c>
      <c r="E44" s="133">
        <f t="shared" si="130"/>
        <v>0</v>
      </c>
      <c r="F44" s="133">
        <f t="shared" si="130"/>
        <v>0</v>
      </c>
      <c r="G44" s="133">
        <f t="shared" si="130"/>
        <v>368.30041152263374</v>
      </c>
      <c r="H44" s="133">
        <f t="shared" si="130"/>
        <v>233.21330372858739</v>
      </c>
      <c r="I44" s="133">
        <f t="shared" si="130"/>
        <v>139.88521739130434</v>
      </c>
      <c r="J44" s="133">
        <f t="shared" si="130"/>
        <v>317.75912408759126</v>
      </c>
      <c r="K44" s="133">
        <f t="shared" si="130"/>
        <v>91.38506246242234</v>
      </c>
      <c r="L44" s="133">
        <f t="shared" si="130"/>
        <v>174.0869042851422</v>
      </c>
      <c r="M44" s="133">
        <f t="shared" si="130"/>
        <v>132.4575062632492</v>
      </c>
      <c r="N44" s="133">
        <f t="shared" si="130"/>
        <v>100.59714173184044</v>
      </c>
      <c r="O44" s="133">
        <f t="shared" si="130"/>
        <v>118.62021043155347</v>
      </c>
      <c r="P44" s="133">
        <f t="shared" si="130"/>
        <v>106.41422382265235</v>
      </c>
      <c r="Q44" s="118">
        <f>((P44/G44)^(1/($H$2-$H$1) ))-1</f>
        <v>-0.12885869018820284</v>
      </c>
      <c r="R44" s="128"/>
      <c r="S44" s="158">
        <f t="shared" ref="S44:AB44" si="131">S25/S40</f>
        <v>103.63820059249622</v>
      </c>
      <c r="T44" s="158">
        <f t="shared" si="131"/>
        <v>100.9345953596485</v>
      </c>
      <c r="U44" s="158">
        <f t="shared" si="131"/>
        <v>98.301518958962021</v>
      </c>
      <c r="V44" s="158">
        <f t="shared" si="131"/>
        <v>95.737131507858692</v>
      </c>
      <c r="W44" s="158">
        <f t="shared" si="131"/>
        <v>93.239641120697158</v>
      </c>
      <c r="X44" s="158">
        <f t="shared" si="131"/>
        <v>90.807302656678999</v>
      </c>
      <c r="Y44" s="158">
        <f t="shared" si="131"/>
        <v>88.43841650041783</v>
      </c>
      <c r="Z44" s="158">
        <f t="shared" si="131"/>
        <v>86.13132737431998</v>
      </c>
      <c r="AA44" s="158">
        <f t="shared" si="131"/>
        <v>83.884423181946417</v>
      </c>
      <c r="AB44" s="158">
        <f t="shared" si="131"/>
        <v>81.696133881547823</v>
      </c>
      <c r="AC44" s="138">
        <f t="shared" ref="AC44" si="132">((AB44/G44)^(1/($AB$3-$H$1) ))-1</f>
        <v>-7.6197973581483502E-2</v>
      </c>
      <c r="AD44" s="31">
        <f t="shared" si="17"/>
        <v>0.08</v>
      </c>
      <c r="AE44" s="146">
        <f t="shared" ref="AE44:AE45" si="133">(AB44*(1+AD44))/($C$1-AD44)</f>
        <v>630.2273185147975</v>
      </c>
    </row>
    <row r="45" spans="2:31">
      <c r="B45" s="20" t="s">
        <v>305</v>
      </c>
      <c r="C45" s="133">
        <f t="shared" ref="C45:P45" si="134">C27/C40</f>
        <v>0</v>
      </c>
      <c r="D45" s="133">
        <f t="shared" si="134"/>
        <v>0</v>
      </c>
      <c r="E45" s="133">
        <f t="shared" si="134"/>
        <v>0</v>
      </c>
      <c r="F45" s="133">
        <f t="shared" si="134"/>
        <v>0</v>
      </c>
      <c r="G45" s="133">
        <f t="shared" si="134"/>
        <v>290.28806584362138</v>
      </c>
      <c r="H45" s="133">
        <f t="shared" si="134"/>
        <v>176.56661643063401</v>
      </c>
      <c r="I45" s="133">
        <f t="shared" si="134"/>
        <v>106.70713043478261</v>
      </c>
      <c r="J45" s="133">
        <f t="shared" si="134"/>
        <v>268.46784845324993</v>
      </c>
      <c r="K45" s="133">
        <f t="shared" si="134"/>
        <v>82.254592825172026</v>
      </c>
      <c r="L45" s="133">
        <f t="shared" si="134"/>
        <v>162.31571218795889</v>
      </c>
      <c r="M45" s="133">
        <f t="shared" si="134"/>
        <v>125.00321192265692</v>
      </c>
      <c r="N45" s="133">
        <f t="shared" si="134"/>
        <v>92.880211556855897</v>
      </c>
      <c r="O45" s="133">
        <f t="shared" si="134"/>
        <v>107.39740055139821</v>
      </c>
      <c r="P45" s="133">
        <f t="shared" si="134"/>
        <v>117.87542902154955</v>
      </c>
      <c r="Q45" s="118">
        <f>((P45/G45)^(1/($H$2-$H$1) ))-1</f>
        <v>-9.5287780669071398E-2</v>
      </c>
      <c r="R45" s="128"/>
      <c r="S45" s="158">
        <f t="shared" ref="S45:AB45" si="135">S27/S40</f>
        <v>114.80041782968307</v>
      </c>
      <c r="T45" s="158">
        <f t="shared" si="135"/>
        <v>111.80562432108266</v>
      </c>
      <c r="U45" s="158">
        <f t="shared" si="135"/>
        <v>108.8889558605327</v>
      </c>
      <c r="V45" s="158">
        <f t="shared" si="135"/>
        <v>106.04837440330142</v>
      </c>
      <c r="W45" s="158">
        <f t="shared" si="135"/>
        <v>103.28189507104139</v>
      </c>
      <c r="X45" s="158">
        <f t="shared" si="135"/>
        <v>100.58758476484033</v>
      </c>
      <c r="Y45" s="158">
        <f t="shared" si="135"/>
        <v>97.963560814453203</v>
      </c>
      <c r="Z45" s="158">
        <f t="shared" si="135"/>
        <v>95.407989662771826</v>
      </c>
      <c r="AA45" s="158">
        <f t="shared" si="135"/>
        <v>92.91908558461256</v>
      </c>
      <c r="AB45" s="158">
        <f t="shared" si="135"/>
        <v>90.495109438927031</v>
      </c>
      <c r="AC45" s="138">
        <f t="shared" ref="AC45" si="136">((AB45/G45)^(1/($AB$3-$H$1) ))-1</f>
        <v>-5.950242430752295E-2</v>
      </c>
      <c r="AD45" s="31">
        <f t="shared" si="17"/>
        <v>0.08</v>
      </c>
      <c r="AE45" s="146">
        <f t="shared" si="133"/>
        <v>698.10512995743704</v>
      </c>
    </row>
    <row r="46" spans="2:31">
      <c r="B46" s="20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28"/>
      <c r="R46" s="12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19"/>
      <c r="AD46" s="137"/>
      <c r="AE46" s="146"/>
    </row>
    <row r="47" spans="2:31">
      <c r="B47" s="20" t="s">
        <v>258</v>
      </c>
      <c r="C47" s="25">
        <f t="shared" ref="C47:P47" si="137">C38/C40</f>
        <v>0</v>
      </c>
      <c r="D47" s="25">
        <f t="shared" si="137"/>
        <v>0</v>
      </c>
      <c r="E47" s="25">
        <f t="shared" si="137"/>
        <v>0</v>
      </c>
      <c r="F47" s="133">
        <f t="shared" si="137"/>
        <v>0</v>
      </c>
      <c r="G47" s="133">
        <f t="shared" si="137"/>
        <v>59.63786008230452</v>
      </c>
      <c r="H47" s="133">
        <f t="shared" si="137"/>
        <v>42.004992924772502</v>
      </c>
      <c r="I47" s="133">
        <f t="shared" si="137"/>
        <v>26.452869565217391</v>
      </c>
      <c r="J47" s="133">
        <f t="shared" si="137"/>
        <v>30.059089329162322</v>
      </c>
      <c r="K47" s="133">
        <f t="shared" si="137"/>
        <v>6.7950430890507043</v>
      </c>
      <c r="L47" s="133">
        <f t="shared" si="137"/>
        <v>2.8625684154318516</v>
      </c>
      <c r="M47" s="133">
        <f t="shared" si="137"/>
        <v>-6.3578724224320684</v>
      </c>
      <c r="N47" s="133">
        <f t="shared" si="137"/>
        <v>-7.4094975524672266</v>
      </c>
      <c r="O47" s="133">
        <f t="shared" si="137"/>
        <v>-2.659033365216902</v>
      </c>
      <c r="P47" s="133">
        <f t="shared" si="137"/>
        <v>-26.619028864007202</v>
      </c>
      <c r="Q47" s="118">
        <f>((P47/G47)^(1/($H$2-$H$1) ))-1</f>
        <v>-1.9142699836672139</v>
      </c>
      <c r="R47" s="128"/>
      <c r="S47" s="158">
        <f t="shared" ref="S47:AB47" si="138">S38/S40</f>
        <v>-25.924619415380931</v>
      </c>
      <c r="T47" s="158">
        <f t="shared" si="138"/>
        <v>-25.248324995849259</v>
      </c>
      <c r="U47" s="158">
        <f t="shared" si="138"/>
        <v>-24.589673039435805</v>
      </c>
      <c r="V47" s="158">
        <f t="shared" si="138"/>
        <v>-23.948203307972268</v>
      </c>
      <c r="W47" s="158">
        <f t="shared" si="138"/>
        <v>-23.323467569503432</v>
      </c>
      <c r="X47" s="158">
        <f t="shared" si="138"/>
        <v>-22.715029285081602</v>
      </c>
      <c r="Y47" s="158">
        <f t="shared" si="138"/>
        <v>-22.122463303731653</v>
      </c>
      <c r="Z47" s="158">
        <f t="shared" si="138"/>
        <v>-21.545355565373438</v>
      </c>
      <c r="AA47" s="158">
        <f t="shared" si="138"/>
        <v>-20.983302811494131</v>
      </c>
      <c r="AB47" s="158">
        <f t="shared" si="138"/>
        <v>-20.435912303368202</v>
      </c>
      <c r="AC47" s="138">
        <f t="shared" ref="AC47:AC60" si="139">((AB47/G47)^(1/($AB$3-$H$1) ))-1</f>
        <v>-1.9451910003071946</v>
      </c>
      <c r="AD47" s="31">
        <f t="shared" si="17"/>
        <v>0.08</v>
      </c>
      <c r="AE47" s="146">
        <f t="shared" ref="AE47:AE74" si="140">(AB47*(1+AD47))/($C$1-AD47)</f>
        <v>-157.64846634026898</v>
      </c>
    </row>
    <row r="48" spans="2:31">
      <c r="B48" s="20" t="s">
        <v>245</v>
      </c>
      <c r="C48" s="25">
        <f t="shared" ref="C48:P48" si="141">C7/C40</f>
        <v>0</v>
      </c>
      <c r="D48" s="25">
        <f t="shared" si="141"/>
        <v>0</v>
      </c>
      <c r="E48" s="25">
        <f t="shared" si="141"/>
        <v>0</v>
      </c>
      <c r="F48" s="133">
        <f t="shared" si="141"/>
        <v>0</v>
      </c>
      <c r="G48" s="133">
        <f t="shared" si="141"/>
        <v>161.06172839506172</v>
      </c>
      <c r="H48" s="133">
        <f t="shared" si="141"/>
        <v>104.07256997572564</v>
      </c>
      <c r="I48" s="133">
        <f t="shared" si="141"/>
        <v>95.210086956521735</v>
      </c>
      <c r="J48" s="133">
        <f t="shared" si="141"/>
        <v>122.12652068126521</v>
      </c>
      <c r="K48" s="133">
        <f t="shared" si="141"/>
        <v>54.13728371968736</v>
      </c>
      <c r="L48" s="133">
        <f t="shared" si="141"/>
        <v>54.940795621412363</v>
      </c>
      <c r="M48" s="133">
        <f t="shared" si="141"/>
        <v>42.421596967945021</v>
      </c>
      <c r="N48" s="133">
        <f t="shared" si="141"/>
        <v>36.73032127384235</v>
      </c>
      <c r="O48" s="133">
        <f t="shared" si="141"/>
        <v>29.183480560400607</v>
      </c>
      <c r="P48" s="133">
        <f t="shared" si="141"/>
        <v>1.8004838800427616</v>
      </c>
      <c r="Q48" s="118">
        <f>((P48/G48)^(1/($H$2-$H$1) ))-1</f>
        <v>-0.39304679488529393</v>
      </c>
      <c r="R48" s="128"/>
      <c r="S48" s="158">
        <f t="shared" ref="S48:AB48" si="142">S7/S40</f>
        <v>1.7535147353459943</v>
      </c>
      <c r="T48" s="158">
        <f t="shared" si="142"/>
        <v>1.7077708726847947</v>
      </c>
      <c r="U48" s="158">
        <f t="shared" si="142"/>
        <v>1.6632203281799742</v>
      </c>
      <c r="V48" s="158">
        <f t="shared" si="142"/>
        <v>1.6198319717926706</v>
      </c>
      <c r="W48" s="158">
        <f t="shared" si="142"/>
        <v>1.5775754855719926</v>
      </c>
      <c r="X48" s="158">
        <f t="shared" si="142"/>
        <v>1.5364213424701147</v>
      </c>
      <c r="Y48" s="158">
        <f t="shared" si="142"/>
        <v>1.496340785710025</v>
      </c>
      <c r="Z48" s="158">
        <f t="shared" si="142"/>
        <v>1.4573058086915027</v>
      </c>
      <c r="AA48" s="158">
        <f t="shared" si="142"/>
        <v>1.4192891354212898</v>
      </c>
      <c r="AB48" s="158">
        <f t="shared" si="142"/>
        <v>1.382264201453778</v>
      </c>
      <c r="AC48" s="138">
        <f t="shared" si="139"/>
        <v>-0.22152971973099667</v>
      </c>
      <c r="AD48" s="31">
        <f t="shared" si="17"/>
        <v>0.08</v>
      </c>
      <c r="AE48" s="146">
        <f t="shared" si="140"/>
        <v>10.66318098264343</v>
      </c>
    </row>
    <row r="49" spans="2:31">
      <c r="B49" s="20" t="s">
        <v>246</v>
      </c>
      <c r="C49" s="127">
        <f t="shared" ref="C49:P49" si="143">C6/C40</f>
        <v>0</v>
      </c>
      <c r="D49" s="127">
        <f t="shared" si="143"/>
        <v>0</v>
      </c>
      <c r="E49" s="127">
        <f t="shared" si="143"/>
        <v>0</v>
      </c>
      <c r="F49" s="144">
        <f t="shared" si="143"/>
        <v>0</v>
      </c>
      <c r="G49" s="144">
        <f t="shared" si="143"/>
        <v>143.63374485596705</v>
      </c>
      <c r="H49" s="144">
        <f t="shared" si="143"/>
        <v>80.802549382787078</v>
      </c>
      <c r="I49" s="144">
        <f t="shared" si="143"/>
        <v>84.233391304347833</v>
      </c>
      <c r="J49" s="144">
        <f t="shared" si="143"/>
        <v>108.53632255822038</v>
      </c>
      <c r="K49" s="144">
        <f t="shared" si="143"/>
        <v>52.052241298683946</v>
      </c>
      <c r="L49" s="144">
        <f t="shared" si="143"/>
        <v>52.220197570417838</v>
      </c>
      <c r="M49" s="144">
        <f t="shared" si="143"/>
        <v>40.304554506327491</v>
      </c>
      <c r="N49" s="144">
        <f t="shared" si="143"/>
        <v>34.601249085691784</v>
      </c>
      <c r="O49" s="144">
        <f t="shared" si="143"/>
        <v>27.150002813256062</v>
      </c>
      <c r="P49" s="144">
        <f t="shared" si="143"/>
        <v>-0.19130141225454342</v>
      </c>
      <c r="Q49" s="118">
        <f>((P49/G49)^(1/($H$2-$H$1) ))-1</f>
        <v>-1.4791767566179774</v>
      </c>
      <c r="R49" s="128"/>
      <c r="S49" s="157">
        <f t="shared" ref="S49:AB49" si="144">S6/S40</f>
        <v>-0.1863109406305119</v>
      </c>
      <c r="T49" s="157">
        <f t="shared" si="144"/>
        <v>-0.18145065522275944</v>
      </c>
      <c r="U49" s="157">
        <f t="shared" si="144"/>
        <v>-0.17671715986912223</v>
      </c>
      <c r="V49" s="157">
        <f t="shared" si="144"/>
        <v>-0.17210714700297125</v>
      </c>
      <c r="W49" s="157">
        <f t="shared" si="144"/>
        <v>-0.16761739534202419</v>
      </c>
      <c r="X49" s="157">
        <f t="shared" si="144"/>
        <v>-0.16324476763744969</v>
      </c>
      <c r="Y49" s="157">
        <f t="shared" si="144"/>
        <v>-0.15898620848169015</v>
      </c>
      <c r="Z49" s="157">
        <f t="shared" si="144"/>
        <v>-0.15483874217347215</v>
      </c>
      <c r="AA49" s="157">
        <f t="shared" si="144"/>
        <v>-0.15079947063851204</v>
      </c>
      <c r="AB49" s="157">
        <f t="shared" si="144"/>
        <v>-0.14686557140446391</v>
      </c>
      <c r="AC49" s="138">
        <f t="shared" si="139"/>
        <v>-1.6960074194884995</v>
      </c>
      <c r="AD49" s="31">
        <f t="shared" si="17"/>
        <v>0.08</v>
      </c>
      <c r="AE49" s="146">
        <f t="shared" si="140"/>
        <v>-1.1329629794058642</v>
      </c>
    </row>
    <row r="50" spans="2:31">
      <c r="B50" s="20" t="s">
        <v>247</v>
      </c>
      <c r="C50" s="127">
        <f t="shared" ref="C50:P50" si="145">C10/C40</f>
        <v>0</v>
      </c>
      <c r="D50" s="127">
        <f t="shared" si="145"/>
        <v>0</v>
      </c>
      <c r="E50" s="127">
        <f t="shared" si="145"/>
        <v>0</v>
      </c>
      <c r="F50" s="144">
        <f t="shared" si="145"/>
        <v>0</v>
      </c>
      <c r="G50" s="144">
        <f t="shared" si="145"/>
        <v>98.094650205761312</v>
      </c>
      <c r="H50" s="144">
        <f t="shared" si="145"/>
        <v>45.535704013897359</v>
      </c>
      <c r="I50" s="144">
        <f t="shared" si="145"/>
        <v>15.676521739130434</v>
      </c>
      <c r="J50" s="144">
        <f t="shared" si="145"/>
        <v>179.42440041710114</v>
      </c>
      <c r="K50" s="144">
        <f t="shared" si="145"/>
        <v>66.367760037410648</v>
      </c>
      <c r="L50" s="144">
        <f t="shared" si="145"/>
        <v>99.249566146041914</v>
      </c>
      <c r="M50" s="144">
        <f t="shared" si="145"/>
        <v>81.376887004560942</v>
      </c>
      <c r="N50" s="144">
        <f t="shared" si="145"/>
        <v>69.001575423395039</v>
      </c>
      <c r="O50" s="144">
        <f t="shared" si="145"/>
        <v>61.600517639115516</v>
      </c>
      <c r="P50" s="144">
        <f t="shared" si="145"/>
        <v>61.092668654700951</v>
      </c>
      <c r="Q50" s="118">
        <f>((P50/G50)^(1/($H$2-$H$1) ))-1</f>
        <v>-5.125541933412725E-2</v>
      </c>
      <c r="R50" s="128"/>
      <c r="S50" s="157">
        <f t="shared" ref="S50:AB50" si="146">S10/S40</f>
        <v>59.498946863708767</v>
      </c>
      <c r="T50" s="157">
        <f t="shared" si="146"/>
        <v>57.946800423785938</v>
      </c>
      <c r="U50" s="157">
        <f t="shared" si="146"/>
        <v>56.435144760556746</v>
      </c>
      <c r="V50" s="157">
        <f t="shared" si="146"/>
        <v>54.962923592890057</v>
      </c>
      <c r="W50" s="157">
        <f t="shared" si="146"/>
        <v>53.529108194814668</v>
      </c>
      <c r="X50" s="157">
        <f t="shared" si="146"/>
        <v>52.132696676689072</v>
      </c>
      <c r="Y50" s="157">
        <f t="shared" si="146"/>
        <v>50.772713285123274</v>
      </c>
      <c r="Z50" s="157">
        <f t="shared" si="146"/>
        <v>49.448207721163541</v>
      </c>
      <c r="AA50" s="157">
        <f t="shared" si="146"/>
        <v>48.158254476263629</v>
      </c>
      <c r="AB50" s="157">
        <f t="shared" si="146"/>
        <v>46.901952185578494</v>
      </c>
      <c r="AC50" s="138">
        <f t="shared" si="139"/>
        <v>-3.8091020841028778E-2</v>
      </c>
      <c r="AD50" s="31">
        <f t="shared" si="17"/>
        <v>0.08</v>
      </c>
      <c r="AE50" s="146">
        <f t="shared" si="140"/>
        <v>361.8150597173198</v>
      </c>
    </row>
    <row r="51" spans="2:31">
      <c r="B51" s="20"/>
      <c r="C51" s="127"/>
      <c r="D51" s="127"/>
      <c r="E51" s="127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28"/>
      <c r="R51" s="128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39"/>
      <c r="AD51" s="137"/>
      <c r="AE51" s="146"/>
    </row>
    <row r="52" spans="2:31">
      <c r="B52" s="20" t="s">
        <v>271</v>
      </c>
      <c r="C52" s="127">
        <f t="shared" ref="C52:P52" si="147">(C7-C10)/C40</f>
        <v>0</v>
      </c>
      <c r="D52" s="127">
        <f t="shared" si="147"/>
        <v>0</v>
      </c>
      <c r="E52" s="127">
        <f t="shared" si="147"/>
        <v>0</v>
      </c>
      <c r="F52" s="144">
        <f t="shared" si="147"/>
        <v>0</v>
      </c>
      <c r="G52" s="144">
        <f t="shared" si="147"/>
        <v>62.967078189300402</v>
      </c>
      <c r="H52" s="144">
        <f t="shared" si="147"/>
        <v>58.53686596182829</v>
      </c>
      <c r="I52" s="144">
        <f t="shared" si="147"/>
        <v>79.533565217391313</v>
      </c>
      <c r="J52" s="144">
        <f t="shared" si="147"/>
        <v>-57.297879735835942</v>
      </c>
      <c r="K52" s="144">
        <f t="shared" si="147"/>
        <v>-12.230476317723292</v>
      </c>
      <c r="L52" s="144">
        <f t="shared" si="147"/>
        <v>-44.308770524629558</v>
      </c>
      <c r="M52" s="144">
        <f t="shared" si="147"/>
        <v>-38.955290036615921</v>
      </c>
      <c r="N52" s="144">
        <f t="shared" si="147"/>
        <v>-32.271254149552689</v>
      </c>
      <c r="O52" s="144">
        <f t="shared" si="147"/>
        <v>-32.417037078714912</v>
      </c>
      <c r="P52" s="144">
        <f t="shared" si="147"/>
        <v>-59.292184774658196</v>
      </c>
      <c r="Q52" s="118">
        <f>((P52/G52)^(1/($H$2-$H$1) ))-1</f>
        <v>-1.9933406595218401</v>
      </c>
      <c r="R52" s="128"/>
      <c r="S52" s="157">
        <f t="shared" ref="S52:AB52" si="148">(S7-S10)/S40</f>
        <v>-57.745432128362772</v>
      </c>
      <c r="T52" s="157">
        <f t="shared" si="148"/>
        <v>-56.239029551101147</v>
      </c>
      <c r="U52" s="157">
        <f t="shared" si="148"/>
        <v>-54.771924432376771</v>
      </c>
      <c r="V52" s="157">
        <f t="shared" si="148"/>
        <v>-53.343091621097386</v>
      </c>
      <c r="W52" s="157">
        <f t="shared" si="148"/>
        <v>-51.951532709242677</v>
      </c>
      <c r="X52" s="157">
        <f t="shared" si="148"/>
        <v>-50.596275334218952</v>
      </c>
      <c r="Y52" s="157">
        <f t="shared" si="148"/>
        <v>-49.276372499413249</v>
      </c>
      <c r="Z52" s="157">
        <f t="shared" si="148"/>
        <v>-47.99090191247204</v>
      </c>
      <c r="AA52" s="157">
        <f t="shared" si="148"/>
        <v>-46.738965340842341</v>
      </c>
      <c r="AB52" s="157">
        <f t="shared" si="148"/>
        <v>-45.519687984124715</v>
      </c>
      <c r="AC52" s="138">
        <f t="shared" si="139"/>
        <v>-1.9830677740709244</v>
      </c>
      <c r="AD52" s="31">
        <f t="shared" si="17"/>
        <v>0.08</v>
      </c>
      <c r="AE52" s="146">
        <f t="shared" si="140"/>
        <v>-351.15187873467636</v>
      </c>
    </row>
    <row r="53" spans="2:31">
      <c r="B53" s="20" t="s">
        <v>272</v>
      </c>
      <c r="C53" s="127">
        <f t="shared" ref="C53:P53" si="149">(C7-C10-C9)/C40</f>
        <v>0</v>
      </c>
      <c r="D53" s="127">
        <f t="shared" si="149"/>
        <v>0</v>
      </c>
      <c r="E53" s="127">
        <f t="shared" si="149"/>
        <v>0</v>
      </c>
      <c r="F53" s="144">
        <f t="shared" si="149"/>
        <v>0</v>
      </c>
      <c r="G53" s="144">
        <f t="shared" si="149"/>
        <v>-93.139917695473244</v>
      </c>
      <c r="H53" s="144">
        <f t="shared" si="149"/>
        <v>-31.301266638289061</v>
      </c>
      <c r="I53" s="144">
        <f t="shared" si="149"/>
        <v>20.131130434782616</v>
      </c>
      <c r="J53" s="144">
        <f t="shared" si="149"/>
        <v>-196.20542231491137</v>
      </c>
      <c r="K53" s="144">
        <f t="shared" si="149"/>
        <v>-121.87153450464291</v>
      </c>
      <c r="L53" s="144">
        <f t="shared" si="149"/>
        <v>-111.86563876651982</v>
      </c>
      <c r="M53" s="144">
        <f t="shared" si="149"/>
        <v>-100.6525342069763</v>
      </c>
      <c r="N53" s="144">
        <f t="shared" si="149"/>
        <v>-99.755978169132945</v>
      </c>
      <c r="O53" s="144">
        <f t="shared" si="149"/>
        <v>-74.679907725201161</v>
      </c>
      <c r="P53" s="144">
        <f t="shared" si="149"/>
        <v>-150.72863332020481</v>
      </c>
      <c r="Q53" s="118">
        <f>((P53/G53)^(1/($H$2-$H$1) ))-1</f>
        <v>5.4942718978241878E-2</v>
      </c>
      <c r="R53" s="128"/>
      <c r="S53" s="157">
        <f t="shared" ref="S53:AB53" si="150">(S7-S10-S9)/S40</f>
        <v>-146.79658201619949</v>
      </c>
      <c r="T53" s="157">
        <f t="shared" si="150"/>
        <v>-142.96710596360302</v>
      </c>
      <c r="U53" s="157">
        <f t="shared" si="150"/>
        <v>-139.23752928629168</v>
      </c>
      <c r="V53" s="157">
        <f t="shared" si="150"/>
        <v>-135.60524591360581</v>
      </c>
      <c r="W53" s="157">
        <f t="shared" si="150"/>
        <v>-132.06771775933785</v>
      </c>
      <c r="X53" s="157">
        <f t="shared" si="150"/>
        <v>-128.6224729482247</v>
      </c>
      <c r="Y53" s="157">
        <f t="shared" si="150"/>
        <v>-125.26710408870581</v>
      </c>
      <c r="Z53" s="157">
        <f t="shared" si="150"/>
        <v>-121.99926659073959</v>
      </c>
      <c r="AA53" s="157">
        <f t="shared" si="150"/>
        <v>-118.81667702750291</v>
      </c>
      <c r="AB53" s="157">
        <f t="shared" si="150"/>
        <v>-115.71711153982893</v>
      </c>
      <c r="AC53" s="138">
        <f t="shared" si="139"/>
        <v>1.1488952896571591E-2</v>
      </c>
      <c r="AD53" s="31">
        <f t="shared" si="17"/>
        <v>0.08</v>
      </c>
      <c r="AE53" s="146">
        <f t="shared" si="140"/>
        <v>-892.67486045010889</v>
      </c>
    </row>
    <row r="54" spans="2:31">
      <c r="B54" s="20" t="s">
        <v>277</v>
      </c>
      <c r="C54" s="127">
        <f t="shared" ref="C54:P54" si="151">(C7+C15-C10-C9)/C40</f>
        <v>0</v>
      </c>
      <c r="D54" s="127">
        <f t="shared" si="151"/>
        <v>0</v>
      </c>
      <c r="E54" s="127">
        <f t="shared" si="151"/>
        <v>0</v>
      </c>
      <c r="F54" s="144">
        <f t="shared" si="151"/>
        <v>0</v>
      </c>
      <c r="G54" s="144">
        <f t="shared" si="151"/>
        <v>62.827160493827165</v>
      </c>
      <c r="H54" s="144">
        <f t="shared" si="151"/>
        <v>58.433326047191215</v>
      </c>
      <c r="I54" s="144">
        <f t="shared" si="151"/>
        <v>79.505043478260887</v>
      </c>
      <c r="J54" s="144">
        <f t="shared" si="151"/>
        <v>-57.275981925616961</v>
      </c>
      <c r="K54" s="144">
        <f t="shared" si="151"/>
        <v>-3.3284788563030125</v>
      </c>
      <c r="L54" s="144">
        <f t="shared" si="151"/>
        <v>35.897076491790152</v>
      </c>
      <c r="M54" s="144">
        <f t="shared" si="151"/>
        <v>12.01002119868954</v>
      </c>
      <c r="N54" s="144">
        <f t="shared" si="151"/>
        <v>-4.5858887075901409</v>
      </c>
      <c r="O54" s="144">
        <f t="shared" si="151"/>
        <v>36.319585888707579</v>
      </c>
      <c r="P54" s="144">
        <f t="shared" si="151"/>
        <v>-70.415799246047385</v>
      </c>
      <c r="Q54" s="118">
        <f>((P54/G54)^(1/($H$2-$H$1) ))-1</f>
        <v>-2.0127506255726741</v>
      </c>
      <c r="R54" s="128"/>
      <c r="S54" s="157">
        <f t="shared" ref="S54:AB54" si="152">(S7+S15-S10-S9)/S40</f>
        <v>-68.578865352672253</v>
      </c>
      <c r="T54" s="157">
        <f t="shared" si="152"/>
        <v>-66.789851473906907</v>
      </c>
      <c r="U54" s="157">
        <f t="shared" si="152"/>
        <v>-65.047507522413696</v>
      </c>
      <c r="V54" s="157">
        <f t="shared" si="152"/>
        <v>-63.350616021829005</v>
      </c>
      <c r="W54" s="157">
        <f t="shared" si="152"/>
        <v>-61.697991256042165</v>
      </c>
      <c r="X54" s="157">
        <f t="shared" si="152"/>
        <v>-60.08847844066716</v>
      </c>
      <c r="Y54" s="157">
        <f t="shared" si="152"/>
        <v>-58.520952916128017</v>
      </c>
      <c r="Z54" s="157">
        <f t="shared" si="152"/>
        <v>-56.994319361794254</v>
      </c>
      <c r="AA54" s="157">
        <f t="shared" si="152"/>
        <v>-55.50751103061701</v>
      </c>
      <c r="AB54" s="157">
        <f t="shared" si="152"/>
        <v>-54.05948900373135</v>
      </c>
      <c r="AC54" s="138">
        <f t="shared" si="139"/>
        <v>-1.9921205550992016</v>
      </c>
      <c r="AD54" s="31">
        <f t="shared" si="17"/>
        <v>0.08</v>
      </c>
      <c r="AE54" s="146">
        <f t="shared" si="140"/>
        <v>-417.03034374307038</v>
      </c>
    </row>
    <row r="55" spans="2:31">
      <c r="B55" s="20"/>
      <c r="C55" s="127"/>
      <c r="D55" s="127"/>
      <c r="E55" s="127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28"/>
      <c r="R55" s="128"/>
      <c r="S55" s="154"/>
      <c r="T55" s="154"/>
      <c r="U55" s="154"/>
      <c r="V55" s="154"/>
      <c r="W55" s="154"/>
      <c r="X55" s="154"/>
      <c r="Y55" s="154"/>
      <c r="Z55" s="154"/>
      <c r="AA55" s="154"/>
      <c r="AB55" s="154"/>
      <c r="AC55" s="139"/>
      <c r="AD55" s="137"/>
      <c r="AE55" s="154"/>
    </row>
    <row r="56" spans="2:31">
      <c r="B56" s="20" t="s">
        <v>248</v>
      </c>
      <c r="C56" s="127">
        <f t="shared" ref="C56:P56" si="153">C12/C40</f>
        <v>0</v>
      </c>
      <c r="D56" s="127">
        <f t="shared" si="153"/>
        <v>0</v>
      </c>
      <c r="E56" s="127">
        <f t="shared" si="153"/>
        <v>0</v>
      </c>
      <c r="F56" s="144">
        <f t="shared" si="153"/>
        <v>0</v>
      </c>
      <c r="G56" s="144">
        <f t="shared" si="153"/>
        <v>28.008230452674898</v>
      </c>
      <c r="H56" s="144">
        <f t="shared" si="153"/>
        <v>17.716829837902512</v>
      </c>
      <c r="I56" s="144">
        <f t="shared" si="153"/>
        <v>5.6347826086956525</v>
      </c>
      <c r="J56" s="144">
        <f t="shared" si="153"/>
        <v>43.517553006604103</v>
      </c>
      <c r="K56" s="144">
        <f t="shared" si="153"/>
        <v>8.2656824103146498</v>
      </c>
      <c r="L56" s="144">
        <f t="shared" si="153"/>
        <v>5.6592577759978644</v>
      </c>
      <c r="M56" s="144">
        <f t="shared" si="153"/>
        <v>9.714267360441962</v>
      </c>
      <c r="N56" s="144">
        <f t="shared" si="153"/>
        <v>15.112586507623925</v>
      </c>
      <c r="O56" s="144">
        <f t="shared" si="153"/>
        <v>14.811680639171778</v>
      </c>
      <c r="P56" s="144">
        <f t="shared" si="153"/>
        <v>11.022337253136781</v>
      </c>
      <c r="Q56" s="118">
        <f>((P56/G56)^(1/($H$2-$H$1) ))-1</f>
        <v>-9.8431624792264083E-2</v>
      </c>
      <c r="R56" s="128"/>
      <c r="S56" s="157">
        <f t="shared" ref="S56:AB56" si="154">S12/S40</f>
        <v>10.734798020446259</v>
      </c>
      <c r="T56" s="157">
        <f t="shared" si="154"/>
        <v>10.454759811217228</v>
      </c>
      <c r="U56" s="157">
        <f t="shared" si="154"/>
        <v>10.18202694657678</v>
      </c>
      <c r="V56" s="157">
        <f t="shared" si="154"/>
        <v>9.9164088523182574</v>
      </c>
      <c r="W56" s="157">
        <f t="shared" si="154"/>
        <v>9.6577199257360444</v>
      </c>
      <c r="X56" s="157">
        <f t="shared" si="154"/>
        <v>9.4057794059342346</v>
      </c>
      <c r="Y56" s="157">
        <f t="shared" si="154"/>
        <v>9.1604112475185602</v>
      </c>
      <c r="Z56" s="157">
        <f t="shared" si="154"/>
        <v>8.921443997583296</v>
      </c>
      <c r="AA56" s="157">
        <f t="shared" si="154"/>
        <v>8.6887106759072097</v>
      </c>
      <c r="AB56" s="157">
        <f t="shared" si="154"/>
        <v>8.4620486582748491</v>
      </c>
      <c r="AC56" s="138">
        <f t="shared" si="139"/>
        <v>-6.1051935816329839E-2</v>
      </c>
      <c r="AD56" s="31">
        <f t="shared" si="17"/>
        <v>0.08</v>
      </c>
      <c r="AE56" s="146">
        <f t="shared" si="140"/>
        <v>65.278661078120251</v>
      </c>
    </row>
    <row r="57" spans="2:31">
      <c r="B57" s="20" t="s">
        <v>255</v>
      </c>
      <c r="C57" s="127">
        <f t="shared" ref="C57:P57" si="155">C13/C40</f>
        <v>0</v>
      </c>
      <c r="D57" s="127">
        <f t="shared" si="155"/>
        <v>0</v>
      </c>
      <c r="E57" s="127">
        <f t="shared" si="155"/>
        <v>0</v>
      </c>
      <c r="F57" s="144">
        <f t="shared" si="155"/>
        <v>0</v>
      </c>
      <c r="G57" s="144">
        <f t="shared" si="155"/>
        <v>5.8724279835390938</v>
      </c>
      <c r="H57" s="144">
        <f t="shared" si="155"/>
        <v>0.89274415287093178</v>
      </c>
      <c r="I57" s="144">
        <f t="shared" si="155"/>
        <v>0.26434782608695651</v>
      </c>
      <c r="J57" s="144">
        <f t="shared" si="155"/>
        <v>0.54118873826903025</v>
      </c>
      <c r="K57" s="144">
        <f t="shared" si="155"/>
        <v>20.9885763912085</v>
      </c>
      <c r="L57" s="144">
        <f t="shared" si="155"/>
        <v>3.390735549325858E-2</v>
      </c>
      <c r="M57" s="144">
        <f t="shared" si="155"/>
        <v>7.0167019978158933</v>
      </c>
      <c r="N57" s="144">
        <f t="shared" si="155"/>
        <v>5.4402183086704552</v>
      </c>
      <c r="O57" s="144">
        <f t="shared" si="155"/>
        <v>0.54717830416924551</v>
      </c>
      <c r="P57" s="144">
        <f t="shared" si="155"/>
        <v>0.20255443650481067</v>
      </c>
      <c r="Q57" s="118">
        <f>((P57/G57)^(1/($H$2-$H$1) ))-1</f>
        <v>-0.31210065552257049</v>
      </c>
      <c r="R57" s="128"/>
      <c r="S57" s="157">
        <f t="shared" ref="S57:AB57" si="156">S13/S40</f>
        <v>0.19727040772642437</v>
      </c>
      <c r="T57" s="157">
        <f t="shared" si="156"/>
        <v>0.19212422317703945</v>
      </c>
      <c r="U57" s="157">
        <f t="shared" si="156"/>
        <v>0.18711228692024712</v>
      </c>
      <c r="V57" s="157">
        <f t="shared" si="156"/>
        <v>0.18223109682667549</v>
      </c>
      <c r="W57" s="157">
        <f t="shared" si="156"/>
        <v>0.17747724212684921</v>
      </c>
      <c r="X57" s="157">
        <f t="shared" si="156"/>
        <v>0.17284740102788795</v>
      </c>
      <c r="Y57" s="157">
        <f t="shared" si="156"/>
        <v>0.16833833839237786</v>
      </c>
      <c r="Z57" s="157">
        <f t="shared" si="156"/>
        <v>0.16394690347779409</v>
      </c>
      <c r="AA57" s="157">
        <f t="shared" si="156"/>
        <v>0.15967002773489514</v>
      </c>
      <c r="AB57" s="157">
        <f t="shared" si="156"/>
        <v>0.15550472266355006</v>
      </c>
      <c r="AC57" s="138">
        <f t="shared" si="139"/>
        <v>-0.17396946992679496</v>
      </c>
      <c r="AD57" s="31">
        <f t="shared" si="17"/>
        <v>0.08</v>
      </c>
      <c r="AE57" s="146">
        <f t="shared" si="140"/>
        <v>1.1996078605473861</v>
      </c>
    </row>
    <row r="58" spans="2:31">
      <c r="B58" s="20" t="s">
        <v>256</v>
      </c>
      <c r="C58" s="127">
        <f>(C56+C57)</f>
        <v>0</v>
      </c>
      <c r="D58" s="127">
        <f t="shared" ref="D58:P58" si="157">(D56+D57)</f>
        <v>0</v>
      </c>
      <c r="E58" s="127">
        <f t="shared" si="157"/>
        <v>0</v>
      </c>
      <c r="F58" s="144">
        <f t="shared" si="157"/>
        <v>0</v>
      </c>
      <c r="G58" s="144">
        <f t="shared" si="157"/>
        <v>33.880658436213992</v>
      </c>
      <c r="H58" s="144">
        <f t="shared" si="157"/>
        <v>18.609573990773445</v>
      </c>
      <c r="I58" s="144">
        <f t="shared" si="157"/>
        <v>5.8991304347826095</v>
      </c>
      <c r="J58" s="144">
        <f t="shared" si="157"/>
        <v>44.058741744873132</v>
      </c>
      <c r="K58" s="144">
        <f t="shared" si="157"/>
        <v>29.25425880152315</v>
      </c>
      <c r="L58" s="144">
        <f t="shared" si="157"/>
        <v>5.6931651314911234</v>
      </c>
      <c r="M58" s="144">
        <f t="shared" si="157"/>
        <v>16.730969358257855</v>
      </c>
      <c r="N58" s="144">
        <f t="shared" si="157"/>
        <v>20.55280481629438</v>
      </c>
      <c r="O58" s="144">
        <f t="shared" ref="O58" si="158">(O56+O57)</f>
        <v>15.358858943341023</v>
      </c>
      <c r="P58" s="144">
        <f t="shared" si="157"/>
        <v>11.224891689641591</v>
      </c>
      <c r="Q58" s="118">
        <f>((P58/G58)^(1/($H$2-$H$1) ))-1</f>
        <v>-0.11551136388129524</v>
      </c>
      <c r="R58" s="128"/>
      <c r="S58" s="157">
        <f t="shared" ref="S58:AB58" si="159">(S56+S57)</f>
        <v>10.932068428172684</v>
      </c>
      <c r="T58" s="157">
        <f t="shared" si="159"/>
        <v>10.646884034394267</v>
      </c>
      <c r="U58" s="157">
        <f t="shared" si="159"/>
        <v>10.369139233497027</v>
      </c>
      <c r="V58" s="157">
        <f t="shared" si="159"/>
        <v>10.098639949144934</v>
      </c>
      <c r="W58" s="157">
        <f t="shared" si="159"/>
        <v>9.8351971678628942</v>
      </c>
      <c r="X58" s="157">
        <f t="shared" si="159"/>
        <v>9.5786268069621219</v>
      </c>
      <c r="Y58" s="157">
        <f t="shared" si="159"/>
        <v>9.3287495859109377</v>
      </c>
      <c r="Z58" s="157">
        <f t="shared" si="159"/>
        <v>9.0853909010610909</v>
      </c>
      <c r="AA58" s="157">
        <f t="shared" si="159"/>
        <v>8.8483807036421052</v>
      </c>
      <c r="AB58" s="157">
        <f t="shared" si="159"/>
        <v>8.6175533809384</v>
      </c>
      <c r="AC58" s="138">
        <f t="shared" si="139"/>
        <v>-6.9520188447237619E-2</v>
      </c>
      <c r="AD58" s="31">
        <f t="shared" si="17"/>
        <v>0.08</v>
      </c>
      <c r="AE58" s="146">
        <f t="shared" si="140"/>
        <v>66.478268938667654</v>
      </c>
    </row>
    <row r="59" spans="2:31">
      <c r="B59" s="20" t="s">
        <v>249</v>
      </c>
      <c r="C59" s="127">
        <f t="shared" ref="C59:P59" si="160">C15/C40</f>
        <v>0</v>
      </c>
      <c r="D59" s="127">
        <f t="shared" si="160"/>
        <v>0</v>
      </c>
      <c r="E59" s="127">
        <f t="shared" si="160"/>
        <v>0</v>
      </c>
      <c r="F59" s="144">
        <f t="shared" si="160"/>
        <v>0</v>
      </c>
      <c r="G59" s="144">
        <f t="shared" si="160"/>
        <v>155.96707818930039</v>
      </c>
      <c r="H59" s="144">
        <f t="shared" si="160"/>
        <v>89.734592685480251</v>
      </c>
      <c r="I59" s="144">
        <f t="shared" si="160"/>
        <v>59.373913043478261</v>
      </c>
      <c r="J59" s="144">
        <f t="shared" si="160"/>
        <v>138.9294403892944</v>
      </c>
      <c r="K59" s="144">
        <f t="shared" si="160"/>
        <v>118.5430556483399</v>
      </c>
      <c r="L59" s="144">
        <f t="shared" si="160"/>
        <v>147.76271525830998</v>
      </c>
      <c r="M59" s="144">
        <f t="shared" si="160"/>
        <v>112.66255540566584</v>
      </c>
      <c r="N59" s="144">
        <f t="shared" si="160"/>
        <v>95.170089461542801</v>
      </c>
      <c r="O59" s="144">
        <f t="shared" si="160"/>
        <v>110.99949361390874</v>
      </c>
      <c r="P59" s="144">
        <f t="shared" si="160"/>
        <v>80.312834074157436</v>
      </c>
      <c r="Q59" s="118">
        <f>((P59/G59)^(1/($H$2-$H$1) ))-1</f>
        <v>-7.1092549745517819E-2</v>
      </c>
      <c r="R59" s="128"/>
      <c r="S59" s="157">
        <f t="shared" ref="S59:AB59" si="161">S15/S40</f>
        <v>78.217716663527256</v>
      </c>
      <c r="T59" s="157">
        <f t="shared" si="161"/>
        <v>76.177254489696125</v>
      </c>
      <c r="U59" s="157">
        <f t="shared" si="161"/>
        <v>74.190021763877965</v>
      </c>
      <c r="V59" s="157">
        <f t="shared" si="161"/>
        <v>72.254629891776815</v>
      </c>
      <c r="W59" s="157">
        <f t="shared" si="161"/>
        <v>70.369726503295681</v>
      </c>
      <c r="X59" s="157">
        <f t="shared" si="161"/>
        <v>68.533994507557551</v>
      </c>
      <c r="Y59" s="157">
        <f t="shared" si="161"/>
        <v>66.746151172577797</v>
      </c>
      <c r="Z59" s="157">
        <f t="shared" si="161"/>
        <v>65.004947228945326</v>
      </c>
      <c r="AA59" s="157">
        <f t="shared" si="161"/>
        <v>63.309165996885895</v>
      </c>
      <c r="AB59" s="157">
        <f t="shared" si="161"/>
        <v>61.657622536097577</v>
      </c>
      <c r="AC59" s="138">
        <f t="shared" si="139"/>
        <v>-4.7670924122582448E-2</v>
      </c>
      <c r="AD59" s="31">
        <f t="shared" si="17"/>
        <v>0.08</v>
      </c>
      <c r="AE59" s="146">
        <f t="shared" si="140"/>
        <v>475.64451670703846</v>
      </c>
    </row>
    <row r="60" spans="2:31">
      <c r="B60" s="20" t="s">
        <v>250</v>
      </c>
      <c r="C60" s="127">
        <f t="shared" ref="C60:P60" si="162">C16/C40</f>
        <v>0</v>
      </c>
      <c r="D60" s="127">
        <f t="shared" si="162"/>
        <v>0</v>
      </c>
      <c r="E60" s="127">
        <f t="shared" si="162"/>
        <v>0</v>
      </c>
      <c r="F60" s="144">
        <f t="shared" si="162"/>
        <v>0</v>
      </c>
      <c r="G60" s="144">
        <f t="shared" si="162"/>
        <v>182.30452674897117</v>
      </c>
      <c r="H60" s="144">
        <f t="shared" si="162"/>
        <v>113.89390610080187</v>
      </c>
      <c r="I60" s="144">
        <f t="shared" si="162"/>
        <v>88.486956521739131</v>
      </c>
      <c r="J60" s="144">
        <f t="shared" si="162"/>
        <v>159.88877302745917</v>
      </c>
      <c r="K60" s="144">
        <f t="shared" si="162"/>
        <v>68.363484534705051</v>
      </c>
      <c r="L60" s="144">
        <f t="shared" si="162"/>
        <v>67.706247496996397</v>
      </c>
      <c r="M60" s="144">
        <f t="shared" si="162"/>
        <v>50.965311235305464</v>
      </c>
      <c r="N60" s="144">
        <f t="shared" si="162"/>
        <v>38.222078433579028</v>
      </c>
      <c r="O60" s="144">
        <f t="shared" si="162"/>
        <v>18.656220109154336</v>
      </c>
      <c r="P60" s="144">
        <f t="shared" si="162"/>
        <v>-4.7712822821133178</v>
      </c>
      <c r="Q60" s="118">
        <f>((P60/G60)^(1/($H$2-$H$1) ))-1</f>
        <v>-1.6671203432821013</v>
      </c>
      <c r="R60" s="128"/>
      <c r="S60" s="157">
        <f t="shared" ref="S60:AB60" si="163">S16/S40</f>
        <v>-4.6468140486668847</v>
      </c>
      <c r="T60" s="157">
        <f t="shared" si="163"/>
        <v>-4.5255928126147058</v>
      </c>
      <c r="U60" s="157">
        <f t="shared" si="163"/>
        <v>-4.4075338696769313</v>
      </c>
      <c r="V60" s="157">
        <f t="shared" si="163"/>
        <v>-4.2925547252505778</v>
      </c>
      <c r="W60" s="157">
        <f t="shared" si="163"/>
        <v>-4.1805750367657799</v>
      </c>
      <c r="X60" s="157">
        <f t="shared" si="163"/>
        <v>-4.0715165575458041</v>
      </c>
      <c r="Y60" s="157">
        <f t="shared" si="163"/>
        <v>-3.965303082131566</v>
      </c>
      <c r="Z60" s="157">
        <f t="shared" si="163"/>
        <v>-3.8618603930324817</v>
      </c>
      <c r="AA60" s="157">
        <f t="shared" si="163"/>
        <v>-3.7611162088664174</v>
      </c>
      <c r="AB60" s="157">
        <f t="shared" si="163"/>
        <v>-3.6630001338525111</v>
      </c>
      <c r="AC60" s="138">
        <f t="shared" si="139"/>
        <v>-1.8141159970202572</v>
      </c>
      <c r="AD60" s="137"/>
      <c r="AE60" s="146">
        <f t="shared" si="140"/>
        <v>-16.650000608420505</v>
      </c>
    </row>
    <row r="61" spans="2:31">
      <c r="B61" s="20"/>
      <c r="C61" s="127"/>
      <c r="D61" s="127"/>
      <c r="E61" s="127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28"/>
      <c r="R61" s="128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39"/>
      <c r="AD61" s="31">
        <f t="shared" si="17"/>
        <v>0.08</v>
      </c>
      <c r="AE61" s="146">
        <f t="shared" si="140"/>
        <v>0</v>
      </c>
    </row>
    <row r="62" spans="2:31">
      <c r="B62" s="20" t="s">
        <v>283</v>
      </c>
      <c r="C62" s="159">
        <f>C41</f>
        <v>0</v>
      </c>
      <c r="D62" s="159">
        <f t="shared" ref="D62:P62" si="164">D41</f>
        <v>0</v>
      </c>
      <c r="E62" s="159">
        <f t="shared" si="164"/>
        <v>0</v>
      </c>
      <c r="F62" s="159">
        <f t="shared" si="164"/>
        <v>0</v>
      </c>
      <c r="G62" s="159">
        <f t="shared" si="164"/>
        <v>0</v>
      </c>
      <c r="H62" s="159">
        <f t="shared" si="164"/>
        <v>0</v>
      </c>
      <c r="I62" s="159">
        <f t="shared" si="164"/>
        <v>0</v>
      </c>
      <c r="J62" s="159">
        <f t="shared" si="164"/>
        <v>0</v>
      </c>
      <c r="K62" s="159">
        <f t="shared" si="164"/>
        <v>0</v>
      </c>
      <c r="L62" s="159">
        <f t="shared" si="164"/>
        <v>0</v>
      </c>
      <c r="M62" s="159">
        <f t="shared" si="164"/>
        <v>0</v>
      </c>
      <c r="N62" s="159">
        <f t="shared" si="164"/>
        <v>0</v>
      </c>
      <c r="O62" s="159">
        <f t="shared" si="164"/>
        <v>0</v>
      </c>
      <c r="P62" s="159">
        <f t="shared" si="164"/>
        <v>0</v>
      </c>
      <c r="Q62" s="118" t="e">
        <f>((P62/G62)^(1/($H$2-$H$1) ))-1</f>
        <v>#DIV/0!</v>
      </c>
      <c r="R62" s="128"/>
      <c r="S62" s="159">
        <f t="shared" ref="S62:AB62" si="165">S41</f>
        <v>0</v>
      </c>
      <c r="T62" s="159">
        <f t="shared" si="165"/>
        <v>0</v>
      </c>
      <c r="U62" s="159">
        <f t="shared" si="165"/>
        <v>0</v>
      </c>
      <c r="V62" s="159">
        <f t="shared" si="165"/>
        <v>0</v>
      </c>
      <c r="W62" s="159">
        <f t="shared" si="165"/>
        <v>0</v>
      </c>
      <c r="X62" s="159">
        <f t="shared" si="165"/>
        <v>0</v>
      </c>
      <c r="Y62" s="159">
        <f t="shared" si="165"/>
        <v>0</v>
      </c>
      <c r="Z62" s="159">
        <f t="shared" si="165"/>
        <v>0</v>
      </c>
      <c r="AA62" s="159">
        <f t="shared" si="165"/>
        <v>0</v>
      </c>
      <c r="AB62" s="159">
        <f t="shared" si="165"/>
        <v>0</v>
      </c>
      <c r="AC62" s="138" t="e">
        <f t="shared" ref="AC62" si="166">((AB62/G62)^(1/($AB$3-$H$1) ))-1</f>
        <v>#DIV/0!</v>
      </c>
      <c r="AD62" s="31">
        <f t="shared" si="17"/>
        <v>0.08</v>
      </c>
      <c r="AE62" s="146">
        <f t="shared" si="140"/>
        <v>0</v>
      </c>
    </row>
    <row r="63" spans="2:31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28"/>
      <c r="R63" s="128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  <c r="AC63" s="139"/>
      <c r="AD63" s="137"/>
      <c r="AE63" s="154"/>
    </row>
    <row r="64" spans="2:31">
      <c r="B64" s="20" t="s">
        <v>318</v>
      </c>
      <c r="C64" s="127">
        <f t="shared" ref="C64:P64" si="167">C20+C21</f>
        <v>0</v>
      </c>
      <c r="D64" s="127">
        <f t="shared" si="167"/>
        <v>0</v>
      </c>
      <c r="E64" s="127">
        <f t="shared" si="167"/>
        <v>0</v>
      </c>
      <c r="F64" s="144">
        <f t="shared" si="167"/>
        <v>0</v>
      </c>
      <c r="G64" s="144">
        <f t="shared" si="167"/>
        <v>0</v>
      </c>
      <c r="H64" s="144">
        <f t="shared" si="167"/>
        <v>0</v>
      </c>
      <c r="I64" s="144">
        <f t="shared" si="167"/>
        <v>0</v>
      </c>
      <c r="J64" s="144">
        <f t="shared" si="167"/>
        <v>0</v>
      </c>
      <c r="K64" s="144">
        <f t="shared" si="167"/>
        <v>0</v>
      </c>
      <c r="L64" s="144">
        <f t="shared" si="167"/>
        <v>0</v>
      </c>
      <c r="M64" s="144">
        <f t="shared" si="167"/>
        <v>0</v>
      </c>
      <c r="N64" s="144">
        <f t="shared" si="167"/>
        <v>0</v>
      </c>
      <c r="O64" s="144">
        <f t="shared" si="167"/>
        <v>0</v>
      </c>
      <c r="P64" s="144">
        <f t="shared" si="167"/>
        <v>0</v>
      </c>
      <c r="Q64" s="118" t="e">
        <f>((P64/G64)^(1/($H$2-$H$1) ))-1</f>
        <v>#DIV/0!</v>
      </c>
      <c r="R64" s="128"/>
      <c r="S64" s="144">
        <f t="shared" ref="S64:AB64" si="168">S20+S21</f>
        <v>0</v>
      </c>
      <c r="T64" s="144">
        <f t="shared" si="168"/>
        <v>0</v>
      </c>
      <c r="U64" s="144">
        <f t="shared" si="168"/>
        <v>0</v>
      </c>
      <c r="V64" s="144">
        <f t="shared" si="168"/>
        <v>0</v>
      </c>
      <c r="W64" s="144">
        <f t="shared" si="168"/>
        <v>0</v>
      </c>
      <c r="X64" s="144">
        <f t="shared" si="168"/>
        <v>0</v>
      </c>
      <c r="Y64" s="144">
        <f t="shared" si="168"/>
        <v>0</v>
      </c>
      <c r="Z64" s="144">
        <f t="shared" si="168"/>
        <v>0</v>
      </c>
      <c r="AA64" s="144">
        <f t="shared" si="168"/>
        <v>0</v>
      </c>
      <c r="AB64" s="144">
        <f t="shared" si="168"/>
        <v>0</v>
      </c>
      <c r="AC64" s="138" t="e">
        <f t="shared" ref="AC64:AC69" si="169">((AB64/G64)^(1/($AB$3-$H$1) ))-1</f>
        <v>#DIV/0!</v>
      </c>
      <c r="AD64" s="31">
        <f t="shared" si="17"/>
        <v>0.08</v>
      </c>
      <c r="AE64" s="146">
        <f t="shared" si="140"/>
        <v>0</v>
      </c>
    </row>
    <row r="65" spans="2:31">
      <c r="B65" s="20"/>
      <c r="C65" s="127"/>
      <c r="D65" s="127"/>
      <c r="E65" s="127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28"/>
      <c r="R65" s="128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39"/>
      <c r="AD65" s="137"/>
      <c r="AE65" s="146"/>
    </row>
    <row r="66" spans="2:31">
      <c r="B66" s="20" t="s">
        <v>319</v>
      </c>
      <c r="C66" s="127">
        <f t="shared" ref="C66:P66" si="170">C64/C40</f>
        <v>0</v>
      </c>
      <c r="D66" s="127">
        <f t="shared" si="170"/>
        <v>0</v>
      </c>
      <c r="E66" s="127">
        <f t="shared" si="170"/>
        <v>0</v>
      </c>
      <c r="F66" s="144">
        <f t="shared" si="170"/>
        <v>0</v>
      </c>
      <c r="G66" s="144">
        <f t="shared" si="170"/>
        <v>0</v>
      </c>
      <c r="H66" s="144">
        <f t="shared" si="170"/>
        <v>0</v>
      </c>
      <c r="I66" s="144">
        <f t="shared" si="170"/>
        <v>0</v>
      </c>
      <c r="J66" s="144">
        <f t="shared" si="170"/>
        <v>0</v>
      </c>
      <c r="K66" s="144">
        <f t="shared" si="170"/>
        <v>0</v>
      </c>
      <c r="L66" s="144">
        <f t="shared" si="170"/>
        <v>0</v>
      </c>
      <c r="M66" s="144">
        <f t="shared" si="170"/>
        <v>0</v>
      </c>
      <c r="N66" s="144">
        <f t="shared" si="170"/>
        <v>0</v>
      </c>
      <c r="O66" s="144">
        <f t="shared" si="170"/>
        <v>0</v>
      </c>
      <c r="P66" s="144">
        <f t="shared" si="170"/>
        <v>0</v>
      </c>
      <c r="Q66" s="118" t="e">
        <f>((P66/G66)^(1/($H$2-$H$1) ))-1</f>
        <v>#DIV/0!</v>
      </c>
      <c r="R66" s="128"/>
      <c r="S66" s="146">
        <f t="shared" ref="S66:AB66" si="171">S64/S40</f>
        <v>0</v>
      </c>
      <c r="T66" s="146">
        <f t="shared" si="171"/>
        <v>0</v>
      </c>
      <c r="U66" s="146">
        <f t="shared" si="171"/>
        <v>0</v>
      </c>
      <c r="V66" s="146">
        <f t="shared" si="171"/>
        <v>0</v>
      </c>
      <c r="W66" s="146">
        <f t="shared" si="171"/>
        <v>0</v>
      </c>
      <c r="X66" s="146">
        <f t="shared" si="171"/>
        <v>0</v>
      </c>
      <c r="Y66" s="146">
        <f t="shared" si="171"/>
        <v>0</v>
      </c>
      <c r="Z66" s="146">
        <f t="shared" si="171"/>
        <v>0</v>
      </c>
      <c r="AA66" s="146">
        <f t="shared" si="171"/>
        <v>0</v>
      </c>
      <c r="AB66" s="146">
        <f t="shared" si="171"/>
        <v>0</v>
      </c>
      <c r="AC66" s="138" t="e">
        <f t="shared" si="169"/>
        <v>#DIV/0!</v>
      </c>
      <c r="AD66" s="31">
        <f t="shared" si="17"/>
        <v>0.08</v>
      </c>
      <c r="AE66" s="146">
        <f t="shared" si="140"/>
        <v>0</v>
      </c>
    </row>
    <row r="67" spans="2:31">
      <c r="B67" s="20" t="s">
        <v>288</v>
      </c>
      <c r="C67" s="127">
        <f t="shared" ref="C67:P67" si="172">C20/C40</f>
        <v>0</v>
      </c>
      <c r="D67" s="127">
        <f t="shared" si="172"/>
        <v>0</v>
      </c>
      <c r="E67" s="127">
        <f t="shared" si="172"/>
        <v>0</v>
      </c>
      <c r="F67" s="144">
        <f t="shared" si="172"/>
        <v>0</v>
      </c>
      <c r="G67" s="144">
        <f t="shared" si="172"/>
        <v>0</v>
      </c>
      <c r="H67" s="144">
        <f t="shared" si="172"/>
        <v>0</v>
      </c>
      <c r="I67" s="144">
        <f t="shared" si="172"/>
        <v>0</v>
      </c>
      <c r="J67" s="144">
        <f t="shared" si="172"/>
        <v>0</v>
      </c>
      <c r="K67" s="144">
        <f t="shared" si="172"/>
        <v>0</v>
      </c>
      <c r="L67" s="144">
        <f t="shared" si="172"/>
        <v>0</v>
      </c>
      <c r="M67" s="144">
        <f t="shared" si="172"/>
        <v>0</v>
      </c>
      <c r="N67" s="144">
        <f t="shared" si="172"/>
        <v>0</v>
      </c>
      <c r="O67" s="144">
        <f t="shared" si="172"/>
        <v>0</v>
      </c>
      <c r="P67" s="144">
        <f t="shared" si="172"/>
        <v>0</v>
      </c>
      <c r="Q67" s="118" t="e">
        <f>((P67/G67)^(1/($H$2-$H$1) ))-1</f>
        <v>#DIV/0!</v>
      </c>
      <c r="R67" s="128"/>
      <c r="S67" s="146">
        <f t="shared" ref="S67:AB67" si="173">S20/S40</f>
        <v>0</v>
      </c>
      <c r="T67" s="146">
        <f t="shared" si="173"/>
        <v>0</v>
      </c>
      <c r="U67" s="146">
        <f t="shared" si="173"/>
        <v>0</v>
      </c>
      <c r="V67" s="146">
        <f t="shared" si="173"/>
        <v>0</v>
      </c>
      <c r="W67" s="146">
        <f t="shared" si="173"/>
        <v>0</v>
      </c>
      <c r="X67" s="146">
        <f t="shared" si="173"/>
        <v>0</v>
      </c>
      <c r="Y67" s="146">
        <f t="shared" si="173"/>
        <v>0</v>
      </c>
      <c r="Z67" s="146">
        <f t="shared" si="173"/>
        <v>0</v>
      </c>
      <c r="AA67" s="146">
        <f t="shared" si="173"/>
        <v>0</v>
      </c>
      <c r="AB67" s="146">
        <f t="shared" si="173"/>
        <v>0</v>
      </c>
      <c r="AC67" s="138" t="e">
        <f t="shared" si="169"/>
        <v>#DIV/0!</v>
      </c>
      <c r="AD67" s="31">
        <f t="shared" si="17"/>
        <v>0.08</v>
      </c>
      <c r="AE67" s="146">
        <f t="shared" si="140"/>
        <v>0</v>
      </c>
    </row>
    <row r="68" spans="2:31">
      <c r="B68" s="20" t="s">
        <v>289</v>
      </c>
      <c r="C68" s="127">
        <f t="shared" ref="C68:P68" si="174">C21/C40</f>
        <v>0</v>
      </c>
      <c r="D68" s="127">
        <f t="shared" si="174"/>
        <v>0</v>
      </c>
      <c r="E68" s="127">
        <f t="shared" si="174"/>
        <v>0</v>
      </c>
      <c r="F68" s="144">
        <f t="shared" si="174"/>
        <v>0</v>
      </c>
      <c r="G68" s="144">
        <f t="shared" si="174"/>
        <v>0</v>
      </c>
      <c r="H68" s="144">
        <f t="shared" si="174"/>
        <v>0</v>
      </c>
      <c r="I68" s="144">
        <f t="shared" si="174"/>
        <v>0</v>
      </c>
      <c r="J68" s="144">
        <f t="shared" si="174"/>
        <v>0</v>
      </c>
      <c r="K68" s="144">
        <f t="shared" si="174"/>
        <v>0</v>
      </c>
      <c r="L68" s="144">
        <f t="shared" si="174"/>
        <v>0</v>
      </c>
      <c r="M68" s="144">
        <f t="shared" si="174"/>
        <v>0</v>
      </c>
      <c r="N68" s="144">
        <f t="shared" si="174"/>
        <v>0</v>
      </c>
      <c r="O68" s="144">
        <f t="shared" si="174"/>
        <v>0</v>
      </c>
      <c r="P68" s="144">
        <f t="shared" si="174"/>
        <v>0</v>
      </c>
      <c r="Q68" s="118" t="e">
        <f>((P68/G68)^(1/($H$2-$H$1) ))-1</f>
        <v>#DIV/0!</v>
      </c>
      <c r="R68" s="128"/>
      <c r="S68" s="146">
        <f t="shared" ref="S68:AB68" si="175">S21/S40</f>
        <v>0</v>
      </c>
      <c r="T68" s="146">
        <f t="shared" si="175"/>
        <v>0</v>
      </c>
      <c r="U68" s="146">
        <f t="shared" si="175"/>
        <v>0</v>
      </c>
      <c r="V68" s="146">
        <f t="shared" si="175"/>
        <v>0</v>
      </c>
      <c r="W68" s="146">
        <f t="shared" si="175"/>
        <v>0</v>
      </c>
      <c r="X68" s="146">
        <f t="shared" si="175"/>
        <v>0</v>
      </c>
      <c r="Y68" s="146">
        <f t="shared" si="175"/>
        <v>0</v>
      </c>
      <c r="Z68" s="146">
        <f t="shared" si="175"/>
        <v>0</v>
      </c>
      <c r="AA68" s="146">
        <f t="shared" si="175"/>
        <v>0</v>
      </c>
      <c r="AB68" s="146">
        <f t="shared" si="175"/>
        <v>0</v>
      </c>
      <c r="AC68" s="138" t="e">
        <f t="shared" si="169"/>
        <v>#DIV/0!</v>
      </c>
      <c r="AD68" s="31">
        <f t="shared" si="17"/>
        <v>0.08</v>
      </c>
      <c r="AE68" s="146">
        <f t="shared" si="140"/>
        <v>0</v>
      </c>
    </row>
    <row r="69" spans="2:31">
      <c r="B69" s="20" t="s">
        <v>290</v>
      </c>
      <c r="C69" s="127">
        <f t="shared" ref="C69:P69" si="176">C22/C40</f>
        <v>0</v>
      </c>
      <c r="D69" s="127">
        <f t="shared" si="176"/>
        <v>0</v>
      </c>
      <c r="E69" s="127">
        <f t="shared" si="176"/>
        <v>0</v>
      </c>
      <c r="F69" s="144">
        <f t="shared" si="176"/>
        <v>0</v>
      </c>
      <c r="G69" s="144">
        <f t="shared" si="176"/>
        <v>0</v>
      </c>
      <c r="H69" s="144">
        <f t="shared" si="176"/>
        <v>0</v>
      </c>
      <c r="I69" s="144">
        <f t="shared" si="176"/>
        <v>0</v>
      </c>
      <c r="J69" s="144">
        <f t="shared" si="176"/>
        <v>0</v>
      </c>
      <c r="K69" s="144">
        <f t="shared" si="176"/>
        <v>0</v>
      </c>
      <c r="L69" s="144">
        <f t="shared" si="176"/>
        <v>0</v>
      </c>
      <c r="M69" s="144">
        <f t="shared" si="176"/>
        <v>0</v>
      </c>
      <c r="N69" s="144">
        <f t="shared" si="176"/>
        <v>0</v>
      </c>
      <c r="O69" s="144">
        <f t="shared" si="176"/>
        <v>0</v>
      </c>
      <c r="P69" s="144">
        <f t="shared" si="176"/>
        <v>0</v>
      </c>
      <c r="Q69" s="118" t="e">
        <f>((P69/G69)^(1/($H$2-$H$1) ))-1</f>
        <v>#DIV/0!</v>
      </c>
      <c r="R69" s="128"/>
      <c r="S69" s="146">
        <f t="shared" ref="S69:AB69" si="177">S22/S40</f>
        <v>0</v>
      </c>
      <c r="T69" s="146">
        <f t="shared" si="177"/>
        <v>0</v>
      </c>
      <c r="U69" s="146">
        <f t="shared" si="177"/>
        <v>0</v>
      </c>
      <c r="V69" s="146">
        <f t="shared" si="177"/>
        <v>0</v>
      </c>
      <c r="W69" s="146">
        <f t="shared" si="177"/>
        <v>0</v>
      </c>
      <c r="X69" s="146">
        <f t="shared" si="177"/>
        <v>0</v>
      </c>
      <c r="Y69" s="146">
        <f t="shared" si="177"/>
        <v>0</v>
      </c>
      <c r="Z69" s="146">
        <f t="shared" si="177"/>
        <v>0</v>
      </c>
      <c r="AA69" s="146">
        <f t="shared" si="177"/>
        <v>0</v>
      </c>
      <c r="AB69" s="146">
        <f t="shared" si="177"/>
        <v>0</v>
      </c>
      <c r="AC69" s="138" t="e">
        <f t="shared" si="169"/>
        <v>#DIV/0!</v>
      </c>
      <c r="AD69" s="31">
        <f t="shared" si="17"/>
        <v>0.08</v>
      </c>
      <c r="AE69" s="146">
        <f t="shared" si="140"/>
        <v>0</v>
      </c>
    </row>
    <row r="70" spans="2:31">
      <c r="B70" s="20" t="s">
        <v>297</v>
      </c>
      <c r="C70" s="127">
        <f t="shared" ref="C70:P70" si="178">C23/C40</f>
        <v>0</v>
      </c>
      <c r="D70" s="127">
        <f t="shared" si="178"/>
        <v>0</v>
      </c>
      <c r="E70" s="127">
        <f t="shared" si="178"/>
        <v>0</v>
      </c>
      <c r="F70" s="144">
        <f t="shared" si="178"/>
        <v>0</v>
      </c>
      <c r="G70" s="144">
        <f t="shared" si="178"/>
        <v>0</v>
      </c>
      <c r="H70" s="144">
        <f t="shared" si="178"/>
        <v>0</v>
      </c>
      <c r="I70" s="144">
        <f t="shared" si="178"/>
        <v>0</v>
      </c>
      <c r="J70" s="144">
        <f t="shared" si="178"/>
        <v>0</v>
      </c>
      <c r="K70" s="144">
        <f t="shared" si="178"/>
        <v>0</v>
      </c>
      <c r="L70" s="144">
        <f t="shared" si="178"/>
        <v>0</v>
      </c>
      <c r="M70" s="144">
        <f t="shared" si="178"/>
        <v>0</v>
      </c>
      <c r="N70" s="144">
        <f t="shared" si="178"/>
        <v>0</v>
      </c>
      <c r="O70" s="144">
        <f t="shared" si="178"/>
        <v>0</v>
      </c>
      <c r="P70" s="144">
        <f t="shared" si="178"/>
        <v>0</v>
      </c>
      <c r="Q70" s="118" t="e">
        <f>((P70/G70)^(1/($H$2-$H$1) ))-1</f>
        <v>#DIV/0!</v>
      </c>
      <c r="R70" s="128"/>
      <c r="S70" s="146">
        <f t="shared" ref="S70:AB70" si="179">S23/S40</f>
        <v>0</v>
      </c>
      <c r="T70" s="146">
        <f t="shared" si="179"/>
        <v>0</v>
      </c>
      <c r="U70" s="146">
        <f t="shared" si="179"/>
        <v>0</v>
      </c>
      <c r="V70" s="146">
        <f t="shared" si="179"/>
        <v>0</v>
      </c>
      <c r="W70" s="146">
        <f t="shared" si="179"/>
        <v>0</v>
      </c>
      <c r="X70" s="146">
        <f t="shared" si="179"/>
        <v>0</v>
      </c>
      <c r="Y70" s="146">
        <f t="shared" si="179"/>
        <v>0</v>
      </c>
      <c r="Z70" s="146">
        <f t="shared" si="179"/>
        <v>0</v>
      </c>
      <c r="AA70" s="146">
        <f t="shared" si="179"/>
        <v>0</v>
      </c>
      <c r="AB70" s="146">
        <f t="shared" si="179"/>
        <v>0</v>
      </c>
      <c r="AC70" s="138" t="e">
        <f t="shared" ref="AC70" si="180">((AB70/G70)^(1/($AB$3-$H$1) ))-1</f>
        <v>#DIV/0!</v>
      </c>
      <c r="AD70" s="31">
        <f t="shared" si="17"/>
        <v>0.08</v>
      </c>
      <c r="AE70" s="146">
        <f t="shared" si="140"/>
        <v>0</v>
      </c>
    </row>
    <row r="71" spans="2:31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28"/>
      <c r="R71" s="128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39"/>
      <c r="AD71" s="137"/>
      <c r="AE71" s="154"/>
    </row>
    <row r="72" spans="2:31">
      <c r="B72" s="20" t="s">
        <v>312</v>
      </c>
      <c r="C72" s="144">
        <f t="shared" ref="C72:P72" si="181">C36/C40</f>
        <v>0</v>
      </c>
      <c r="D72" s="144">
        <f t="shared" si="181"/>
        <v>0</v>
      </c>
      <c r="E72" s="144">
        <f t="shared" si="181"/>
        <v>0</v>
      </c>
      <c r="F72" s="144">
        <f t="shared" si="181"/>
        <v>0</v>
      </c>
      <c r="G72" s="144">
        <f t="shared" si="181"/>
        <v>59.720164609053498</v>
      </c>
      <c r="H72" s="144">
        <f t="shared" si="181"/>
        <v>54.461995099110709</v>
      </c>
      <c r="I72" s="144">
        <f t="shared" si="181"/>
        <v>31.374956521739129</v>
      </c>
      <c r="J72" s="144">
        <f t="shared" si="181"/>
        <v>47.436218282933609</v>
      </c>
      <c r="K72" s="144">
        <f t="shared" si="181"/>
        <v>13.592758367292404</v>
      </c>
      <c r="L72" s="144">
        <f t="shared" si="181"/>
        <v>19.020891736750769</v>
      </c>
      <c r="M72" s="144">
        <f t="shared" si="181"/>
        <v>6.3914048949701296</v>
      </c>
      <c r="N72" s="144">
        <f t="shared" si="181"/>
        <v>4.4700388229336641</v>
      </c>
      <c r="O72" s="144">
        <f t="shared" si="181"/>
        <v>8.6893602655713718</v>
      </c>
      <c r="P72" s="144">
        <f t="shared" si="181"/>
        <v>-10.604850053451866</v>
      </c>
      <c r="Q72" s="118">
        <f>((P72/G72)^(1/($H$2-$H$1) ))-1</f>
        <v>-1.8252740145660296</v>
      </c>
      <c r="R72" s="128"/>
      <c r="S72" s="144">
        <f t="shared" ref="S72:AB72" si="182">S36/S40</f>
        <v>-10.328201791187906</v>
      </c>
      <c r="T72" s="144">
        <f t="shared" si="182"/>
        <v>-10.05877044011344</v>
      </c>
      <c r="U72" s="144">
        <f t="shared" si="182"/>
        <v>-9.7963677329800465</v>
      </c>
      <c r="V72" s="144">
        <f t="shared" si="182"/>
        <v>-9.5408103138588292</v>
      </c>
      <c r="W72" s="144">
        <f t="shared" si="182"/>
        <v>-9.2919196100190362</v>
      </c>
      <c r="X72" s="144">
        <f t="shared" si="182"/>
        <v>-9.0495217071489744</v>
      </c>
      <c r="Y72" s="144">
        <f t="shared" si="182"/>
        <v>-8.8134472278320466</v>
      </c>
      <c r="Z72" s="144">
        <f t="shared" si="182"/>
        <v>-8.5835312131929502</v>
      </c>
      <c r="AA72" s="144">
        <f t="shared" si="182"/>
        <v>-8.3596130076313973</v>
      </c>
      <c r="AB72" s="144">
        <f t="shared" si="182"/>
        <v>-8.1415361465627534</v>
      </c>
      <c r="AC72" s="138">
        <f t="shared" ref="AC72:AC74" si="183">((AB72/G72)^(1/($AB$3-$H$1) ))-1</f>
        <v>-1.9004339494178641</v>
      </c>
      <c r="AD72" s="31">
        <f t="shared" si="17"/>
        <v>0.08</v>
      </c>
      <c r="AE72" s="146">
        <f t="shared" si="140"/>
        <v>-62.806135987769814</v>
      </c>
    </row>
    <row r="73" spans="2:31">
      <c r="B73" s="20" t="s">
        <v>313</v>
      </c>
      <c r="C73" s="144">
        <f t="shared" ref="C73:P73" si="184">C38/C40</f>
        <v>0</v>
      </c>
      <c r="D73" s="144">
        <f t="shared" si="184"/>
        <v>0</v>
      </c>
      <c r="E73" s="144">
        <f t="shared" si="184"/>
        <v>0</v>
      </c>
      <c r="F73" s="144">
        <f t="shared" si="184"/>
        <v>0</v>
      </c>
      <c r="G73" s="144">
        <f t="shared" si="184"/>
        <v>59.63786008230452</v>
      </c>
      <c r="H73" s="144">
        <f t="shared" si="184"/>
        <v>42.004992924772502</v>
      </c>
      <c r="I73" s="144">
        <f t="shared" si="184"/>
        <v>26.452869565217391</v>
      </c>
      <c r="J73" s="144">
        <f t="shared" si="184"/>
        <v>30.059089329162322</v>
      </c>
      <c r="K73" s="144">
        <f t="shared" si="184"/>
        <v>6.7950430890507043</v>
      </c>
      <c r="L73" s="144">
        <f t="shared" si="184"/>
        <v>2.8625684154318516</v>
      </c>
      <c r="M73" s="144">
        <f t="shared" si="184"/>
        <v>-6.3578724224320684</v>
      </c>
      <c r="N73" s="144">
        <f t="shared" si="184"/>
        <v>-7.4094975524672266</v>
      </c>
      <c r="O73" s="144">
        <f t="shared" si="184"/>
        <v>-2.659033365216902</v>
      </c>
      <c r="P73" s="144">
        <f t="shared" si="184"/>
        <v>-26.619028864007202</v>
      </c>
      <c r="Q73" s="118">
        <f>((P73/G73)^(1/($H$2-$H$1) ))-1</f>
        <v>-1.9142699836672139</v>
      </c>
      <c r="R73" s="128"/>
      <c r="S73" s="144">
        <f t="shared" ref="S73:AB73" si="185">S38/S40</f>
        <v>-25.924619415380931</v>
      </c>
      <c r="T73" s="144">
        <f t="shared" si="185"/>
        <v>-25.248324995849259</v>
      </c>
      <c r="U73" s="144">
        <f t="shared" si="185"/>
        <v>-24.589673039435805</v>
      </c>
      <c r="V73" s="144">
        <f t="shared" si="185"/>
        <v>-23.948203307972268</v>
      </c>
      <c r="W73" s="144">
        <f t="shared" si="185"/>
        <v>-23.323467569503432</v>
      </c>
      <c r="X73" s="144">
        <f t="shared" si="185"/>
        <v>-22.715029285081602</v>
      </c>
      <c r="Y73" s="144">
        <f t="shared" si="185"/>
        <v>-22.122463303731653</v>
      </c>
      <c r="Z73" s="144">
        <f t="shared" si="185"/>
        <v>-21.545355565373438</v>
      </c>
      <c r="AA73" s="144">
        <f t="shared" si="185"/>
        <v>-20.983302811494131</v>
      </c>
      <c r="AB73" s="144">
        <f t="shared" si="185"/>
        <v>-20.435912303368202</v>
      </c>
      <c r="AC73" s="138">
        <f t="shared" si="183"/>
        <v>-1.9451910003071946</v>
      </c>
      <c r="AD73" s="31">
        <f t="shared" si="17"/>
        <v>0.08</v>
      </c>
      <c r="AE73" s="146">
        <f t="shared" si="140"/>
        <v>-157.64846634026898</v>
      </c>
    </row>
    <row r="74" spans="2:31">
      <c r="B74" s="20" t="s">
        <v>314</v>
      </c>
      <c r="C74" s="144">
        <f t="shared" ref="C74:P74" si="186">C6/C40</f>
        <v>0</v>
      </c>
      <c r="D74" s="144">
        <f t="shared" si="186"/>
        <v>0</v>
      </c>
      <c r="E74" s="144">
        <f t="shared" si="186"/>
        <v>0</v>
      </c>
      <c r="F74" s="144">
        <f t="shared" si="186"/>
        <v>0</v>
      </c>
      <c r="G74" s="144">
        <f t="shared" si="186"/>
        <v>143.63374485596705</v>
      </c>
      <c r="H74" s="144">
        <f t="shared" si="186"/>
        <v>80.802549382787078</v>
      </c>
      <c r="I74" s="144">
        <f t="shared" si="186"/>
        <v>84.233391304347833</v>
      </c>
      <c r="J74" s="144">
        <f t="shared" si="186"/>
        <v>108.53632255822038</v>
      </c>
      <c r="K74" s="144">
        <f t="shared" si="186"/>
        <v>52.052241298683946</v>
      </c>
      <c r="L74" s="144">
        <f t="shared" si="186"/>
        <v>52.220197570417838</v>
      </c>
      <c r="M74" s="144">
        <f t="shared" si="186"/>
        <v>40.304554506327491</v>
      </c>
      <c r="N74" s="144">
        <f t="shared" si="186"/>
        <v>34.601249085691784</v>
      </c>
      <c r="O74" s="144">
        <f t="shared" si="186"/>
        <v>27.150002813256062</v>
      </c>
      <c r="P74" s="144">
        <f t="shared" si="186"/>
        <v>-0.19130141225454342</v>
      </c>
      <c r="Q74" s="118">
        <f>((P74/G74)^(1/($H$2-$H$1) ))-1</f>
        <v>-1.4791767566179774</v>
      </c>
      <c r="R74" s="128"/>
      <c r="S74" s="144">
        <f t="shared" ref="S74:AB74" si="187">S6/S40</f>
        <v>-0.1863109406305119</v>
      </c>
      <c r="T74" s="144">
        <f t="shared" si="187"/>
        <v>-0.18145065522275944</v>
      </c>
      <c r="U74" s="144">
        <f t="shared" si="187"/>
        <v>-0.17671715986912223</v>
      </c>
      <c r="V74" s="144">
        <f t="shared" si="187"/>
        <v>-0.17210714700297125</v>
      </c>
      <c r="W74" s="144">
        <f t="shared" si="187"/>
        <v>-0.16761739534202419</v>
      </c>
      <c r="X74" s="144">
        <f t="shared" si="187"/>
        <v>-0.16324476763744969</v>
      </c>
      <c r="Y74" s="144">
        <f t="shared" si="187"/>
        <v>-0.15898620848169015</v>
      </c>
      <c r="Z74" s="144">
        <f t="shared" si="187"/>
        <v>-0.15483874217347215</v>
      </c>
      <c r="AA74" s="144">
        <f t="shared" si="187"/>
        <v>-0.15079947063851204</v>
      </c>
      <c r="AB74" s="144">
        <f t="shared" si="187"/>
        <v>-0.14686557140446391</v>
      </c>
      <c r="AC74" s="138">
        <f t="shared" si="183"/>
        <v>-1.6960074194884995</v>
      </c>
      <c r="AD74" s="31">
        <f t="shared" ref="AD74" si="188">$L$1</f>
        <v>0.08</v>
      </c>
      <c r="AE74" s="146">
        <f t="shared" si="140"/>
        <v>-1.1329629794058642</v>
      </c>
    </row>
    <row r="75" spans="2:31">
      <c r="B75" s="20"/>
      <c r="C75" s="127"/>
      <c r="D75" s="127"/>
      <c r="E75" s="127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28"/>
      <c r="R75" s="128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39"/>
      <c r="AD75" s="20"/>
      <c r="AE75" s="154"/>
    </row>
    <row r="76" spans="2:31">
      <c r="B76" s="20"/>
      <c r="C76" s="127"/>
      <c r="D76" s="127"/>
      <c r="E76" s="127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28"/>
      <c r="R76" s="128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39"/>
      <c r="AD76" s="20"/>
      <c r="AE76" s="154"/>
    </row>
    <row r="77" spans="2:31">
      <c r="B77" s="108" t="s">
        <v>311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</row>
    <row r="78" spans="2:31">
      <c r="B78" s="20" t="s">
        <v>310</v>
      </c>
      <c r="C78" s="152" t="e">
        <f t="shared" ref="C78:P78" si="189">C36/C25</f>
        <v>#DIV/0!</v>
      </c>
      <c r="D78" s="152" t="e">
        <f t="shared" si="189"/>
        <v>#DIV/0!</v>
      </c>
      <c r="E78" s="152" t="e">
        <f t="shared" si="189"/>
        <v>#DIV/0!</v>
      </c>
      <c r="F78" s="152" t="e">
        <f t="shared" si="189"/>
        <v>#DIV/0!</v>
      </c>
      <c r="G78" s="152">
        <f t="shared" si="189"/>
        <v>0.1621506866151938</v>
      </c>
      <c r="H78" s="152">
        <f t="shared" si="189"/>
        <v>0.23352868051855796</v>
      </c>
      <c r="I78" s="152">
        <f t="shared" si="189"/>
        <v>0.22429072282865456</v>
      </c>
      <c r="J78" s="152">
        <f t="shared" si="189"/>
        <v>0.1492835757876072</v>
      </c>
      <c r="K78" s="152">
        <f t="shared" si="189"/>
        <v>0.14874157768269583</v>
      </c>
      <c r="L78" s="152">
        <f t="shared" si="189"/>
        <v>0.10926089940456335</v>
      </c>
      <c r="M78" s="152">
        <f t="shared" si="189"/>
        <v>4.8252493009099083E-2</v>
      </c>
      <c r="N78" s="152">
        <f t="shared" si="189"/>
        <v>4.443504801408122E-2</v>
      </c>
      <c r="O78" s="152">
        <f t="shared" si="189"/>
        <v>7.3253623762413803E-2</v>
      </c>
      <c r="P78" s="152">
        <f t="shared" si="189"/>
        <v>-9.965632104901391E-2</v>
      </c>
      <c r="Q78" s="118">
        <f t="shared" ref="Q78:Q119" si="190">((P78/G78)^(1/($H$2-$H$1) ))-1</f>
        <v>-1.9473480424712304</v>
      </c>
      <c r="R78" s="152"/>
      <c r="S78" s="152">
        <f t="shared" ref="S78:AB78" si="191">S36/S25</f>
        <v>-9.965632104901391E-2</v>
      </c>
      <c r="T78" s="152">
        <f t="shared" si="191"/>
        <v>-9.965632104901391E-2</v>
      </c>
      <c r="U78" s="152">
        <f t="shared" si="191"/>
        <v>-9.965632104901391E-2</v>
      </c>
      <c r="V78" s="152">
        <f t="shared" si="191"/>
        <v>-9.965632104901391E-2</v>
      </c>
      <c r="W78" s="152">
        <f t="shared" si="191"/>
        <v>-9.965632104901391E-2</v>
      </c>
      <c r="X78" s="152">
        <f t="shared" si="191"/>
        <v>-9.9656321049013896E-2</v>
      </c>
      <c r="Y78" s="152">
        <f t="shared" si="191"/>
        <v>-9.9656321049013896E-2</v>
      </c>
      <c r="Z78" s="152">
        <f t="shared" si="191"/>
        <v>-9.965632104901391E-2</v>
      </c>
      <c r="AA78" s="152">
        <f t="shared" si="191"/>
        <v>-9.965632104901391E-2</v>
      </c>
      <c r="AB78" s="152">
        <f t="shared" si="191"/>
        <v>-9.9656321049013924E-2</v>
      </c>
      <c r="AC78" s="138">
        <f t="shared" ref="AC78:AC107" si="192">((AB78/G78)^(1/($AB$3-$H$1) ))-1</f>
        <v>-1.974704453624931</v>
      </c>
      <c r="AD78" s="146"/>
      <c r="AE78" s="146"/>
    </row>
    <row r="79" spans="2:31">
      <c r="B79" s="20" t="s">
        <v>267</v>
      </c>
      <c r="C79" s="152" t="e">
        <f t="shared" ref="C79:P79" si="193">C38/C25</f>
        <v>#DIV/0!</v>
      </c>
      <c r="D79" s="152" t="e">
        <f t="shared" si="193"/>
        <v>#DIV/0!</v>
      </c>
      <c r="E79" s="152" t="e">
        <f t="shared" si="193"/>
        <v>#DIV/0!</v>
      </c>
      <c r="F79" s="152" t="e">
        <f t="shared" si="193"/>
        <v>#DIV/0!</v>
      </c>
      <c r="G79" s="152">
        <f t="shared" si="193"/>
        <v>0.16192721543738894</v>
      </c>
      <c r="H79" s="152">
        <f t="shared" si="193"/>
        <v>0.18011405118490892</v>
      </c>
      <c r="I79" s="152">
        <f t="shared" si="193"/>
        <v>0.18910411020215331</v>
      </c>
      <c r="J79" s="152">
        <f t="shared" si="193"/>
        <v>9.4597092736435295E-2</v>
      </c>
      <c r="K79" s="152">
        <f t="shared" si="193"/>
        <v>7.4356168349119803E-2</v>
      </c>
      <c r="L79" s="152">
        <f t="shared" si="193"/>
        <v>1.6443329997661196E-2</v>
      </c>
      <c r="M79" s="152">
        <f t="shared" si="193"/>
        <v>-4.799933655550092E-2</v>
      </c>
      <c r="N79" s="152">
        <f t="shared" si="193"/>
        <v>-7.3655149887047078E-2</v>
      </c>
      <c r="O79" s="152">
        <f t="shared" si="193"/>
        <v>-2.2416360209976394E-2</v>
      </c>
      <c r="P79" s="152">
        <f t="shared" si="193"/>
        <v>-0.25014540263310953</v>
      </c>
      <c r="Q79" s="118">
        <f t="shared" si="190"/>
        <v>-2.0495082409359449</v>
      </c>
      <c r="R79" s="152"/>
      <c r="S79" s="152">
        <f t="shared" ref="S79:AB79" si="194">S38/S25</f>
        <v>-0.25014540263310947</v>
      </c>
      <c r="T79" s="152">
        <f t="shared" si="194"/>
        <v>-0.25014540263310947</v>
      </c>
      <c r="U79" s="152">
        <f t="shared" si="194"/>
        <v>-0.25014540263310953</v>
      </c>
      <c r="V79" s="152">
        <f t="shared" si="194"/>
        <v>-0.25014540263310953</v>
      </c>
      <c r="W79" s="152">
        <f t="shared" si="194"/>
        <v>-0.25014540263310958</v>
      </c>
      <c r="X79" s="152">
        <f t="shared" si="194"/>
        <v>-0.25014540263310953</v>
      </c>
      <c r="Y79" s="152">
        <f t="shared" si="194"/>
        <v>-0.25014540263310953</v>
      </c>
      <c r="Z79" s="152">
        <f t="shared" si="194"/>
        <v>-0.25014540263310953</v>
      </c>
      <c r="AA79" s="152">
        <f t="shared" si="194"/>
        <v>-0.25014540263310953</v>
      </c>
      <c r="AB79" s="152">
        <f t="shared" si="194"/>
        <v>-0.25014540263310953</v>
      </c>
      <c r="AC79" s="138">
        <f t="shared" si="192"/>
        <v>-2.023153200877466</v>
      </c>
      <c r="AD79" s="146"/>
      <c r="AE79" s="146"/>
    </row>
    <row r="80" spans="2:31">
      <c r="B80" s="20" t="s">
        <v>360</v>
      </c>
      <c r="C80" s="152" t="e">
        <f t="shared" ref="C80:O80" si="195">C38/C7</f>
        <v>#DIV/0!</v>
      </c>
      <c r="D80" s="152" t="e">
        <f t="shared" si="195"/>
        <v>#DIV/0!</v>
      </c>
      <c r="E80" s="152" t="e">
        <f t="shared" si="195"/>
        <v>#DIV/0!</v>
      </c>
      <c r="F80" s="152" t="e">
        <f t="shared" si="195"/>
        <v>#DIV/0!</v>
      </c>
      <c r="G80" s="152">
        <f>G38/G7</f>
        <v>0.37027952373652201</v>
      </c>
      <c r="H80" s="152">
        <f t="shared" si="195"/>
        <v>0.40361252666836167</v>
      </c>
      <c r="I80" s="152">
        <f t="shared" si="195"/>
        <v>0.27783683862506348</v>
      </c>
      <c r="J80" s="152">
        <f t="shared" si="195"/>
        <v>0.24613072706470324</v>
      </c>
      <c r="K80" s="152">
        <f t="shared" si="195"/>
        <v>0.1255150355203293</v>
      </c>
      <c r="L80" s="152">
        <f t="shared" si="195"/>
        <v>5.2102784152550714E-2</v>
      </c>
      <c r="M80" s="152">
        <f t="shared" si="195"/>
        <v>-0.14987348135988987</v>
      </c>
      <c r="N80" s="152">
        <f t="shared" si="195"/>
        <v>-0.20172700089459689</v>
      </c>
      <c r="O80" s="152">
        <f t="shared" si="195"/>
        <v>-9.1114332977299983E-2</v>
      </c>
      <c r="P80" s="152">
        <f t="shared" ref="P80" si="196">P38/P7</f>
        <v>-14.784375000000001</v>
      </c>
      <c r="Q80" s="118">
        <f t="shared" si="190"/>
        <v>-2.5063269721006405</v>
      </c>
      <c r="R80" s="20"/>
      <c r="S80" s="152">
        <f t="shared" ref="S80" si="197">S38/S7</f>
        <v>-14.784374999999999</v>
      </c>
      <c r="T80" s="152">
        <f t="shared" ref="T80:AB80" si="198">T38/T7</f>
        <v>-14.784374999999999</v>
      </c>
      <c r="U80" s="152">
        <f t="shared" si="198"/>
        <v>-14.784375000000001</v>
      </c>
      <c r="V80" s="152">
        <f t="shared" si="198"/>
        <v>-14.784375000000002</v>
      </c>
      <c r="W80" s="152">
        <f t="shared" si="198"/>
        <v>-14.784375000000002</v>
      </c>
      <c r="X80" s="152">
        <f t="shared" si="198"/>
        <v>-14.784375000000001</v>
      </c>
      <c r="Y80" s="152">
        <f t="shared" si="198"/>
        <v>-14.784375000000001</v>
      </c>
      <c r="Z80" s="152">
        <f t="shared" si="198"/>
        <v>-14.784375000000001</v>
      </c>
      <c r="AA80" s="152">
        <f t="shared" si="198"/>
        <v>-14.784375000000002</v>
      </c>
      <c r="AB80" s="152">
        <f t="shared" si="198"/>
        <v>-14.784375000000002</v>
      </c>
      <c r="AC80" s="138">
        <f t="shared" si="192"/>
        <v>-2.2141645278745647</v>
      </c>
      <c r="AD80" s="146"/>
      <c r="AE80" s="146"/>
    </row>
    <row r="81" spans="2:31">
      <c r="B81" s="20" t="s">
        <v>361</v>
      </c>
      <c r="C81" s="152" t="e">
        <f t="shared" ref="C81:F81" si="199">(C38)/(C7+C10)</f>
        <v>#DIV/0!</v>
      </c>
      <c r="D81" s="152" t="e">
        <f t="shared" si="199"/>
        <v>#DIV/0!</v>
      </c>
      <c r="E81" s="152" t="e">
        <f t="shared" si="199"/>
        <v>#DIV/0!</v>
      </c>
      <c r="F81" s="152" t="e">
        <f t="shared" si="199"/>
        <v>#DIV/0!</v>
      </c>
      <c r="G81" s="152">
        <f>(G38)/(G7+G10)</f>
        <v>0.23012306470821753</v>
      </c>
      <c r="H81" s="152">
        <f t="shared" ref="H81:O81" si="200">(H38)/(H7+H10)</f>
        <v>0.28076650979668422</v>
      </c>
      <c r="I81" s="152">
        <f t="shared" si="200"/>
        <v>0.2385578373834297</v>
      </c>
      <c r="J81" s="152">
        <f t="shared" si="200"/>
        <v>9.9681636586203645E-2</v>
      </c>
      <c r="K81" s="152">
        <f t="shared" si="200"/>
        <v>5.6388038850452363E-2</v>
      </c>
      <c r="L81" s="152">
        <f t="shared" si="200"/>
        <v>1.8565157916608951E-2</v>
      </c>
      <c r="M81" s="152">
        <f t="shared" si="200"/>
        <v>-5.135662585209097E-2</v>
      </c>
      <c r="N81" s="152">
        <f t="shared" si="200"/>
        <v>-7.0078167364047914E-2</v>
      </c>
      <c r="O81" s="152">
        <f t="shared" si="200"/>
        <v>-2.9289670183649991E-2</v>
      </c>
      <c r="P81" s="152">
        <f t="shared" ref="P81" si="201">(P38)/(P7+P10)</f>
        <v>-0.42324208266237251</v>
      </c>
      <c r="Q81" s="118">
        <f t="shared" si="190"/>
        <v>-2.0700478239748357</v>
      </c>
      <c r="R81" s="20"/>
      <c r="S81" s="152">
        <f t="shared" ref="S81:AB81" si="202">(S38)/(S7+S10)</f>
        <v>-0.42324208266237251</v>
      </c>
      <c r="T81" s="152">
        <f t="shared" si="202"/>
        <v>-0.42324208266237251</v>
      </c>
      <c r="U81" s="152">
        <f t="shared" si="202"/>
        <v>-0.42324208266237251</v>
      </c>
      <c r="V81" s="152">
        <f t="shared" si="202"/>
        <v>-0.42324208266237257</v>
      </c>
      <c r="W81" s="152">
        <f t="shared" si="202"/>
        <v>-0.42324208266237262</v>
      </c>
      <c r="X81" s="152">
        <f t="shared" si="202"/>
        <v>-0.42324208266237257</v>
      </c>
      <c r="Y81" s="152">
        <f t="shared" si="202"/>
        <v>-0.42324208266237262</v>
      </c>
      <c r="Z81" s="152">
        <f t="shared" si="202"/>
        <v>-0.42324208266237262</v>
      </c>
      <c r="AA81" s="152">
        <f t="shared" si="202"/>
        <v>-0.42324208266237268</v>
      </c>
      <c r="AB81" s="152">
        <f t="shared" si="202"/>
        <v>-0.42324208266237268</v>
      </c>
      <c r="AC81" s="138">
        <f t="shared" si="192"/>
        <v>-2.032589788680097</v>
      </c>
      <c r="AD81" s="146"/>
      <c r="AE81" s="146"/>
    </row>
    <row r="82" spans="2:31">
      <c r="B82" s="20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18" t="e">
        <f t="shared" si="190"/>
        <v>#DIV/0!</v>
      </c>
      <c r="R82" s="20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3"/>
      <c r="AD82" s="146"/>
      <c r="AE82" s="146"/>
    </row>
    <row r="83" spans="2:31">
      <c r="B83" s="20" t="s">
        <v>324</v>
      </c>
      <c r="C83" s="152"/>
      <c r="D83" s="152"/>
      <c r="E83" s="152"/>
      <c r="F83" s="152"/>
      <c r="G83" s="152">
        <f>G29/G25</f>
        <v>0</v>
      </c>
      <c r="H83" s="152">
        <f t="shared" ref="H83:P83" si="203">H29/H25</f>
        <v>0</v>
      </c>
      <c r="I83" s="152">
        <f t="shared" si="203"/>
        <v>0</v>
      </c>
      <c r="J83" s="152">
        <f t="shared" si="203"/>
        <v>0</v>
      </c>
      <c r="K83" s="152">
        <f t="shared" si="203"/>
        <v>0</v>
      </c>
      <c r="L83" s="152">
        <f t="shared" si="203"/>
        <v>0</v>
      </c>
      <c r="M83" s="152">
        <f t="shared" si="203"/>
        <v>0</v>
      </c>
      <c r="N83" s="152">
        <f t="shared" si="203"/>
        <v>0</v>
      </c>
      <c r="O83" s="152">
        <f t="shared" si="203"/>
        <v>0</v>
      </c>
      <c r="P83" s="152">
        <f t="shared" si="203"/>
        <v>0</v>
      </c>
      <c r="Q83" s="118" t="e">
        <f t="shared" si="190"/>
        <v>#DIV/0!</v>
      </c>
      <c r="R83" s="20"/>
      <c r="S83" s="152">
        <f t="shared" ref="S83:AB83" si="204">S29/S25</f>
        <v>0</v>
      </c>
      <c r="T83" s="152">
        <f t="shared" si="204"/>
        <v>0</v>
      </c>
      <c r="U83" s="152">
        <f t="shared" si="204"/>
        <v>0</v>
      </c>
      <c r="V83" s="152">
        <f t="shared" si="204"/>
        <v>0</v>
      </c>
      <c r="W83" s="152">
        <f t="shared" si="204"/>
        <v>0</v>
      </c>
      <c r="X83" s="152">
        <f t="shared" si="204"/>
        <v>0</v>
      </c>
      <c r="Y83" s="152">
        <f t="shared" si="204"/>
        <v>0</v>
      </c>
      <c r="Z83" s="152">
        <f t="shared" si="204"/>
        <v>0</v>
      </c>
      <c r="AA83" s="152">
        <f t="shared" si="204"/>
        <v>0</v>
      </c>
      <c r="AB83" s="152">
        <f t="shared" si="204"/>
        <v>0</v>
      </c>
      <c r="AC83" s="138" t="e">
        <f t="shared" si="192"/>
        <v>#DIV/0!</v>
      </c>
      <c r="AD83" s="146"/>
      <c r="AE83" s="146"/>
    </row>
    <row r="84" spans="2:31">
      <c r="B84" s="20" t="s">
        <v>370</v>
      </c>
      <c r="C84" s="152"/>
      <c r="D84" s="152"/>
      <c r="E84" s="152"/>
      <c r="F84" s="152"/>
      <c r="G84" s="152">
        <f>G29/G36</f>
        <v>0</v>
      </c>
      <c r="H84" s="152">
        <f t="shared" ref="H84:P84" si="205">H29/H36</f>
        <v>0</v>
      </c>
      <c r="I84" s="152">
        <f t="shared" si="205"/>
        <v>0</v>
      </c>
      <c r="J84" s="152">
        <f t="shared" si="205"/>
        <v>0</v>
      </c>
      <c r="K84" s="152">
        <f t="shared" si="205"/>
        <v>0</v>
      </c>
      <c r="L84" s="152">
        <f t="shared" si="205"/>
        <v>0</v>
      </c>
      <c r="M84" s="152">
        <f t="shared" si="205"/>
        <v>0</v>
      </c>
      <c r="N84" s="152">
        <f t="shared" si="205"/>
        <v>0</v>
      </c>
      <c r="O84" s="152">
        <f t="shared" si="205"/>
        <v>0</v>
      </c>
      <c r="P84" s="152">
        <f t="shared" si="205"/>
        <v>0</v>
      </c>
      <c r="Q84" s="118" t="e">
        <f t="shared" ref="Q84" si="206">((P84/G84)^(1/($H$2-$H$1) ))-1</f>
        <v>#DIV/0!</v>
      </c>
      <c r="R84" s="20"/>
      <c r="S84" s="152">
        <f t="shared" ref="S84:AB84" si="207">S29/S36</f>
        <v>0</v>
      </c>
      <c r="T84" s="152">
        <f t="shared" si="207"/>
        <v>0</v>
      </c>
      <c r="U84" s="152">
        <f t="shared" si="207"/>
        <v>0</v>
      </c>
      <c r="V84" s="152">
        <f t="shared" si="207"/>
        <v>0</v>
      </c>
      <c r="W84" s="152">
        <f t="shared" si="207"/>
        <v>0</v>
      </c>
      <c r="X84" s="152">
        <f t="shared" si="207"/>
        <v>0</v>
      </c>
      <c r="Y84" s="152">
        <f t="shared" si="207"/>
        <v>0</v>
      </c>
      <c r="Z84" s="152">
        <f t="shared" si="207"/>
        <v>0</v>
      </c>
      <c r="AA84" s="152">
        <f t="shared" si="207"/>
        <v>0</v>
      </c>
      <c r="AB84" s="152">
        <f t="shared" si="207"/>
        <v>0</v>
      </c>
      <c r="AC84" s="138" t="e">
        <f t="shared" ref="AC84" si="208">((AB84/G84)^(1/($AB$3-$H$1) ))-1</f>
        <v>#DIV/0!</v>
      </c>
      <c r="AD84" s="146"/>
      <c r="AE84" s="146"/>
    </row>
    <row r="85" spans="2:31" ht="12" customHeight="1">
      <c r="B85" s="20" t="s">
        <v>369</v>
      </c>
      <c r="C85" s="152"/>
      <c r="D85" s="152"/>
      <c r="E85" s="152"/>
      <c r="F85" s="152"/>
      <c r="G85" s="171">
        <f t="shared" ref="G85:P85" si="209">G29/G38</f>
        <v>0</v>
      </c>
      <c r="H85" s="171">
        <f t="shared" si="209"/>
        <v>0</v>
      </c>
      <c r="I85" s="171">
        <f t="shared" si="209"/>
        <v>0</v>
      </c>
      <c r="J85" s="171">
        <f t="shared" si="209"/>
        <v>0</v>
      </c>
      <c r="K85" s="171">
        <f t="shared" si="209"/>
        <v>0</v>
      </c>
      <c r="L85" s="171">
        <f t="shared" si="209"/>
        <v>0</v>
      </c>
      <c r="M85" s="171">
        <f t="shared" si="209"/>
        <v>0</v>
      </c>
      <c r="N85" s="171">
        <f t="shared" si="209"/>
        <v>0</v>
      </c>
      <c r="O85" s="171">
        <f t="shared" si="209"/>
        <v>0</v>
      </c>
      <c r="P85" s="171">
        <f t="shared" si="209"/>
        <v>0</v>
      </c>
      <c r="Q85" s="118" t="e">
        <f t="shared" ref="Q85" si="210">((P85/G85)^(1/($H$2-$H$1) ))-1</f>
        <v>#DIV/0!</v>
      </c>
      <c r="R85" s="20"/>
      <c r="S85" s="171">
        <f t="shared" ref="S85:AB85" si="211">S29/S38</f>
        <v>0</v>
      </c>
      <c r="T85" s="171">
        <f t="shared" si="211"/>
        <v>0</v>
      </c>
      <c r="U85" s="171">
        <f t="shared" si="211"/>
        <v>0</v>
      </c>
      <c r="V85" s="171">
        <f t="shared" si="211"/>
        <v>0</v>
      </c>
      <c r="W85" s="171">
        <f t="shared" si="211"/>
        <v>0</v>
      </c>
      <c r="X85" s="171">
        <f t="shared" si="211"/>
        <v>0</v>
      </c>
      <c r="Y85" s="171">
        <f t="shared" si="211"/>
        <v>0</v>
      </c>
      <c r="Z85" s="171">
        <f t="shared" si="211"/>
        <v>0</v>
      </c>
      <c r="AA85" s="171">
        <f t="shared" si="211"/>
        <v>0</v>
      </c>
      <c r="AB85" s="171">
        <f t="shared" si="211"/>
        <v>0</v>
      </c>
      <c r="AC85" s="138" t="e">
        <f t="shared" ref="AC85" si="212">((AB85/G85)^(1/($AB$3-$H$1) ))-1</f>
        <v>#DIV/0!</v>
      </c>
      <c r="AD85" s="146"/>
      <c r="AE85" s="146"/>
    </row>
    <row r="86" spans="2:31" ht="12" customHeight="1">
      <c r="B86" s="20" t="s">
        <v>326</v>
      </c>
      <c r="C86" s="152"/>
      <c r="D86" s="152"/>
      <c r="E86" s="152"/>
      <c r="F86" s="152"/>
      <c r="G86" s="171">
        <f t="shared" ref="G86:P86" si="213">G29/G12</f>
        <v>0</v>
      </c>
      <c r="H86" s="171">
        <f t="shared" si="213"/>
        <v>0</v>
      </c>
      <c r="I86" s="171">
        <f t="shared" si="213"/>
        <v>0</v>
      </c>
      <c r="J86" s="171">
        <f t="shared" si="213"/>
        <v>0</v>
      </c>
      <c r="K86" s="171">
        <f t="shared" si="213"/>
        <v>0</v>
      </c>
      <c r="L86" s="171">
        <f t="shared" si="213"/>
        <v>0</v>
      </c>
      <c r="M86" s="171">
        <f t="shared" si="213"/>
        <v>0</v>
      </c>
      <c r="N86" s="171">
        <f t="shared" si="213"/>
        <v>0</v>
      </c>
      <c r="O86" s="171">
        <f t="shared" si="213"/>
        <v>0</v>
      </c>
      <c r="P86" s="171">
        <f t="shared" si="213"/>
        <v>0</v>
      </c>
      <c r="Q86" s="118" t="e">
        <f t="shared" si="190"/>
        <v>#DIV/0!</v>
      </c>
      <c r="R86" s="20"/>
      <c r="S86" s="152">
        <f t="shared" ref="S86:AB86" si="214">S29/S12</f>
        <v>0</v>
      </c>
      <c r="T86" s="152">
        <f t="shared" si="214"/>
        <v>0</v>
      </c>
      <c r="U86" s="152">
        <f t="shared" si="214"/>
        <v>0</v>
      </c>
      <c r="V86" s="152">
        <f t="shared" si="214"/>
        <v>0</v>
      </c>
      <c r="W86" s="152">
        <f t="shared" si="214"/>
        <v>0</v>
      </c>
      <c r="X86" s="152">
        <f t="shared" si="214"/>
        <v>0</v>
      </c>
      <c r="Y86" s="152">
        <f t="shared" si="214"/>
        <v>0</v>
      </c>
      <c r="Z86" s="152">
        <f t="shared" si="214"/>
        <v>0</v>
      </c>
      <c r="AA86" s="152">
        <f t="shared" si="214"/>
        <v>0</v>
      </c>
      <c r="AB86" s="152">
        <f t="shared" si="214"/>
        <v>0</v>
      </c>
      <c r="AC86" s="138" t="e">
        <f t="shared" si="192"/>
        <v>#DIV/0!</v>
      </c>
      <c r="AD86" s="146"/>
      <c r="AE86" s="146"/>
    </row>
    <row r="87" spans="2:31" ht="12" customHeight="1">
      <c r="B87" s="20" t="s">
        <v>371</v>
      </c>
      <c r="C87" s="152"/>
      <c r="D87" s="152"/>
      <c r="E87" s="152"/>
      <c r="F87" s="152"/>
      <c r="G87" s="171" t="e">
        <f>G29/G23</f>
        <v>#DIV/0!</v>
      </c>
      <c r="H87" s="171" t="e">
        <f t="shared" ref="H87:P87" si="215">H29/H23</f>
        <v>#DIV/0!</v>
      </c>
      <c r="I87" s="171" t="e">
        <f t="shared" si="215"/>
        <v>#DIV/0!</v>
      </c>
      <c r="J87" s="171" t="e">
        <f t="shared" si="215"/>
        <v>#DIV/0!</v>
      </c>
      <c r="K87" s="171" t="e">
        <f t="shared" si="215"/>
        <v>#DIV/0!</v>
      </c>
      <c r="L87" s="171" t="e">
        <f t="shared" si="215"/>
        <v>#DIV/0!</v>
      </c>
      <c r="M87" s="171" t="e">
        <f t="shared" si="215"/>
        <v>#DIV/0!</v>
      </c>
      <c r="N87" s="171" t="e">
        <f t="shared" si="215"/>
        <v>#DIV/0!</v>
      </c>
      <c r="O87" s="171" t="e">
        <f t="shared" si="215"/>
        <v>#DIV/0!</v>
      </c>
      <c r="P87" s="171" t="e">
        <f t="shared" si="215"/>
        <v>#DIV/0!</v>
      </c>
      <c r="Q87" s="118" t="e">
        <f t="shared" ref="Q87" si="216">((P87/G87)^(1/($H$2-$H$1) ))-1</f>
        <v>#DIV/0!</v>
      </c>
      <c r="R87" s="20"/>
      <c r="S87" s="171" t="e">
        <f t="shared" ref="S87:AB87" si="217">S29/S23</f>
        <v>#DIV/0!</v>
      </c>
      <c r="T87" s="171" t="e">
        <f t="shared" si="217"/>
        <v>#DIV/0!</v>
      </c>
      <c r="U87" s="171" t="e">
        <f t="shared" si="217"/>
        <v>#DIV/0!</v>
      </c>
      <c r="V87" s="171" t="e">
        <f t="shared" si="217"/>
        <v>#DIV/0!</v>
      </c>
      <c r="W87" s="171" t="e">
        <f t="shared" si="217"/>
        <v>#DIV/0!</v>
      </c>
      <c r="X87" s="171" t="e">
        <f t="shared" si="217"/>
        <v>#DIV/0!</v>
      </c>
      <c r="Y87" s="171" t="e">
        <f t="shared" si="217"/>
        <v>#DIV/0!</v>
      </c>
      <c r="Z87" s="171" t="e">
        <f t="shared" si="217"/>
        <v>#DIV/0!</v>
      </c>
      <c r="AA87" s="171" t="e">
        <f t="shared" si="217"/>
        <v>#DIV/0!</v>
      </c>
      <c r="AB87" s="171" t="e">
        <f t="shared" si="217"/>
        <v>#DIV/0!</v>
      </c>
      <c r="AC87" s="138" t="e">
        <f t="shared" ref="AC87" si="218">((AB87/G87)^(1/($AB$3-$H$1) ))-1</f>
        <v>#DIV/0!</v>
      </c>
      <c r="AD87" s="146"/>
      <c r="AE87" s="146"/>
    </row>
    <row r="88" spans="2:31" ht="12" customHeight="1">
      <c r="B88" s="20"/>
      <c r="C88" s="152"/>
      <c r="D88" s="152"/>
      <c r="E88" s="152"/>
      <c r="F88" s="152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20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38"/>
      <c r="AD88" s="146"/>
      <c r="AE88" s="146"/>
    </row>
    <row r="89" spans="2:31">
      <c r="B89" s="20" t="s">
        <v>327</v>
      </c>
      <c r="C89" s="152"/>
      <c r="D89" s="152"/>
      <c r="E89" s="152"/>
      <c r="F89" s="163">
        <f>F12+F13-F10</f>
        <v>0</v>
      </c>
      <c r="G89" s="163">
        <f>G12+G13-G10</f>
        <v>-156.04000000000002</v>
      </c>
      <c r="H89" s="163">
        <f t="shared" ref="H89:P89" si="219">H12+H13-H10</f>
        <v>-234.05</v>
      </c>
      <c r="I89" s="163">
        <f t="shared" si="219"/>
        <v>-281.10000000000002</v>
      </c>
      <c r="J89" s="163">
        <f t="shared" si="219"/>
        <v>-3894.4700000000003</v>
      </c>
      <c r="K89" s="163">
        <f t="shared" si="219"/>
        <v>-5555.52</v>
      </c>
      <c r="L89" s="163">
        <f t="shared" si="219"/>
        <v>-14016.619999999999</v>
      </c>
      <c r="M89" s="163">
        <f t="shared" si="219"/>
        <v>-10063.43</v>
      </c>
      <c r="N89" s="163">
        <f t="shared" si="219"/>
        <v>-8610.7999999999993</v>
      </c>
      <c r="O89" s="163">
        <f t="shared" si="219"/>
        <v>-8218.5300000000007</v>
      </c>
      <c r="P89" s="163">
        <f t="shared" si="219"/>
        <v>-8863</v>
      </c>
      <c r="Q89" s="118">
        <f t="shared" si="190"/>
        <v>0.56648846353738369</v>
      </c>
      <c r="R89" s="20"/>
      <c r="S89" s="163">
        <f t="shared" ref="S89:AB89" si="220">S12+S13-S10</f>
        <v>-9926.5600000000013</v>
      </c>
      <c r="T89" s="163">
        <f t="shared" si="220"/>
        <v>-11117.747200000002</v>
      </c>
      <c r="U89" s="163">
        <f t="shared" si="220"/>
        <v>-12451.876864000002</v>
      </c>
      <c r="V89" s="163">
        <f t="shared" si="220"/>
        <v>-13946.102087680003</v>
      </c>
      <c r="W89" s="163">
        <f t="shared" si="220"/>
        <v>-15619.634338201604</v>
      </c>
      <c r="X89" s="163">
        <f t="shared" si="220"/>
        <v>-17493.990458785796</v>
      </c>
      <c r="Y89" s="163">
        <f t="shared" si="220"/>
        <v>-19593.269313840094</v>
      </c>
      <c r="Z89" s="163">
        <f t="shared" si="220"/>
        <v>-21944.461631500908</v>
      </c>
      <c r="AA89" s="163">
        <f t="shared" si="220"/>
        <v>-24577.797027281016</v>
      </c>
      <c r="AB89" s="163">
        <f t="shared" si="220"/>
        <v>-27527.13267055474</v>
      </c>
      <c r="AC89" s="138">
        <f t="shared" si="192"/>
        <v>0.31291968445514606</v>
      </c>
      <c r="AD89" s="146"/>
      <c r="AE89" s="146"/>
    </row>
    <row r="90" spans="2:31" ht="12" customHeight="1">
      <c r="B90" s="20" t="s">
        <v>322</v>
      </c>
      <c r="C90" s="20"/>
      <c r="D90" s="20"/>
      <c r="E90" s="20"/>
      <c r="F90" s="20"/>
      <c r="G90" s="152">
        <f t="shared" ref="G90:P90" si="221">G38/G18</f>
        <v>0.91144654088050303</v>
      </c>
      <c r="H90" s="152">
        <f t="shared" si="221"/>
        <v>1.3133812949640289</v>
      </c>
      <c r="I90" s="152">
        <f t="shared" si="221"/>
        <v>1.6010947368421051</v>
      </c>
      <c r="J90" s="152">
        <f t="shared" si="221"/>
        <v>0.23896103896103896</v>
      </c>
      <c r="K90" s="152">
        <f t="shared" si="221"/>
        <v>0.22266856392294221</v>
      </c>
      <c r="L90" s="152">
        <f t="shared" si="221"/>
        <v>3.229199608463218E-2</v>
      </c>
      <c r="M90" s="152">
        <f t="shared" si="221"/>
        <v>-9.7404782993799829E-2</v>
      </c>
      <c r="N90" s="152">
        <f t="shared" si="221"/>
        <v>-0.1206164132625023</v>
      </c>
      <c r="O90" s="152">
        <f t="shared" si="221"/>
        <v>-3.8633335240789025E-2</v>
      </c>
      <c r="P90" s="152">
        <f t="shared" si="221"/>
        <v>-0.38208690033920206</v>
      </c>
      <c r="Q90" s="118">
        <f t="shared" si="190"/>
        <v>-1.9079206272366083</v>
      </c>
      <c r="R90" s="20"/>
      <c r="S90" s="152">
        <f t="shared" ref="S90:AB90" si="222">S38/S18</f>
        <v>-0.38208690033920201</v>
      </c>
      <c r="T90" s="152">
        <f t="shared" si="222"/>
        <v>-0.38208690033920201</v>
      </c>
      <c r="U90" s="152">
        <f t="shared" si="222"/>
        <v>-0.38208690033920212</v>
      </c>
      <c r="V90" s="152">
        <f t="shared" si="222"/>
        <v>-0.38208690033920206</v>
      </c>
      <c r="W90" s="152">
        <f t="shared" si="222"/>
        <v>-0.38208690033920212</v>
      </c>
      <c r="X90" s="152">
        <f t="shared" si="222"/>
        <v>-0.38208690033920206</v>
      </c>
      <c r="Y90" s="152">
        <f t="shared" si="222"/>
        <v>-0.38208690033920212</v>
      </c>
      <c r="Z90" s="152">
        <f t="shared" si="222"/>
        <v>-0.38208690033920212</v>
      </c>
      <c r="AA90" s="152">
        <f t="shared" si="222"/>
        <v>-0.38208690033920212</v>
      </c>
      <c r="AB90" s="152">
        <f t="shared" si="222"/>
        <v>-0.38208690033920212</v>
      </c>
      <c r="AC90" s="138">
        <f t="shared" si="192"/>
        <v>-1.9552739714545135</v>
      </c>
      <c r="AD90" s="20"/>
      <c r="AE90" s="20"/>
    </row>
    <row r="91" spans="2:31">
      <c r="B91" s="20" t="s">
        <v>323</v>
      </c>
      <c r="C91" s="20"/>
      <c r="D91" s="20"/>
      <c r="E91" s="20"/>
      <c r="F91" s="20"/>
      <c r="G91" s="152">
        <f t="shared" ref="G91:P91" si="223">G38/G25</f>
        <v>0.16192721543738894</v>
      </c>
      <c r="H91" s="152">
        <f t="shared" si="223"/>
        <v>0.18011405118490892</v>
      </c>
      <c r="I91" s="152">
        <f t="shared" si="223"/>
        <v>0.18910411020215331</v>
      </c>
      <c r="J91" s="152">
        <f t="shared" si="223"/>
        <v>9.4597092736435295E-2</v>
      </c>
      <c r="K91" s="152">
        <f t="shared" si="223"/>
        <v>7.4356168349119803E-2</v>
      </c>
      <c r="L91" s="152">
        <f t="shared" si="223"/>
        <v>1.6443329997661196E-2</v>
      </c>
      <c r="M91" s="152">
        <f t="shared" si="223"/>
        <v>-4.799933655550092E-2</v>
      </c>
      <c r="N91" s="152">
        <f t="shared" si="223"/>
        <v>-7.3655149887047078E-2</v>
      </c>
      <c r="O91" s="152">
        <f t="shared" si="223"/>
        <v>-2.2416360209976394E-2</v>
      </c>
      <c r="P91" s="152">
        <f t="shared" si="223"/>
        <v>-0.25014540263310953</v>
      </c>
      <c r="Q91" s="118">
        <f t="shared" si="190"/>
        <v>-2.0495082409359449</v>
      </c>
      <c r="R91" s="20"/>
      <c r="S91" s="152">
        <f t="shared" ref="S91:AB91" si="224">S38/S25</f>
        <v>-0.25014540263310947</v>
      </c>
      <c r="T91" s="152">
        <f t="shared" si="224"/>
        <v>-0.25014540263310947</v>
      </c>
      <c r="U91" s="152">
        <f t="shared" si="224"/>
        <v>-0.25014540263310953</v>
      </c>
      <c r="V91" s="152">
        <f t="shared" si="224"/>
        <v>-0.25014540263310953</v>
      </c>
      <c r="W91" s="152">
        <f t="shared" si="224"/>
        <v>-0.25014540263310958</v>
      </c>
      <c r="X91" s="152">
        <f t="shared" si="224"/>
        <v>-0.25014540263310953</v>
      </c>
      <c r="Y91" s="152">
        <f t="shared" si="224"/>
        <v>-0.25014540263310953</v>
      </c>
      <c r="Z91" s="152">
        <f t="shared" si="224"/>
        <v>-0.25014540263310953</v>
      </c>
      <c r="AA91" s="152">
        <f t="shared" si="224"/>
        <v>-0.25014540263310953</v>
      </c>
      <c r="AB91" s="152">
        <f t="shared" si="224"/>
        <v>-0.25014540263310953</v>
      </c>
      <c r="AC91" s="138">
        <f t="shared" si="192"/>
        <v>-2.023153200877466</v>
      </c>
      <c r="AD91" s="20"/>
      <c r="AE91" s="20"/>
    </row>
    <row r="92" spans="2:31">
      <c r="B92" s="20" t="s">
        <v>349</v>
      </c>
      <c r="C92" s="20"/>
      <c r="D92" s="20"/>
      <c r="E92" s="152"/>
      <c r="F92" s="152"/>
      <c r="G92" s="152">
        <f t="shared" ref="G92:O92" si="225">G25/G18</f>
        <v>5.62874213836478</v>
      </c>
      <c r="H92" s="152">
        <f t="shared" si="225"/>
        <v>7.2919424460431657</v>
      </c>
      <c r="I92" s="152">
        <f t="shared" si="225"/>
        <v>8.4667368421052629</v>
      </c>
      <c r="J92" s="152">
        <f t="shared" si="225"/>
        <v>2.5260928433268859</v>
      </c>
      <c r="K92" s="152">
        <f t="shared" si="225"/>
        <v>2.9946212784588444</v>
      </c>
      <c r="L92" s="152">
        <f t="shared" si="225"/>
        <v>1.9638355545516151</v>
      </c>
      <c r="M92" s="152">
        <f t="shared" si="225"/>
        <v>2.0292943607912606</v>
      </c>
      <c r="N92" s="152">
        <f t="shared" si="225"/>
        <v>1.6375828906393113</v>
      </c>
      <c r="O92" s="152">
        <f t="shared" si="225"/>
        <v>1.7234437205195907</v>
      </c>
      <c r="P92" s="152">
        <f>P25/P18</f>
        <v>1.527459214989501</v>
      </c>
      <c r="Q92" s="118">
        <f t="shared" si="190"/>
        <v>-0.13490852970632183</v>
      </c>
      <c r="R92" s="20"/>
      <c r="S92" s="152">
        <f>S25/S18</f>
        <v>1.5274592149895008</v>
      </c>
      <c r="T92" s="152">
        <f t="shared" ref="T92:AB92" si="226">T25/T18</f>
        <v>1.5274592149895008</v>
      </c>
      <c r="U92" s="152">
        <f t="shared" si="226"/>
        <v>1.5274592149895008</v>
      </c>
      <c r="V92" s="152">
        <f t="shared" si="226"/>
        <v>1.5274592149895008</v>
      </c>
      <c r="W92" s="152">
        <f t="shared" si="226"/>
        <v>1.5274592149895008</v>
      </c>
      <c r="X92" s="152">
        <f t="shared" si="226"/>
        <v>1.5274592149895008</v>
      </c>
      <c r="Y92" s="152">
        <f t="shared" si="226"/>
        <v>1.527459214989501</v>
      </c>
      <c r="Z92" s="152">
        <f t="shared" si="226"/>
        <v>1.527459214989501</v>
      </c>
      <c r="AA92" s="152">
        <f t="shared" si="226"/>
        <v>1.527459214989501</v>
      </c>
      <c r="AB92" s="152">
        <f t="shared" si="226"/>
        <v>1.527459214989501</v>
      </c>
      <c r="AC92" s="138">
        <f t="shared" si="192"/>
        <v>-6.6343172620423441E-2</v>
      </c>
      <c r="AD92" s="20"/>
      <c r="AE92" s="20"/>
    </row>
    <row r="93" spans="2:31">
      <c r="B93" s="20"/>
      <c r="C93" s="20"/>
      <c r="D93" s="20"/>
      <c r="E93" s="20"/>
      <c r="F93" s="20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28"/>
      <c r="R93" s="20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28"/>
      <c r="AD93" s="20"/>
      <c r="AE93" s="20"/>
    </row>
    <row r="94" spans="2:31">
      <c r="B94" s="20" t="s">
        <v>335</v>
      </c>
      <c r="C94" s="20"/>
      <c r="D94" s="20"/>
      <c r="E94" s="165">
        <f t="shared" ref="E94:F94" si="227">E62*E40</f>
        <v>0</v>
      </c>
      <c r="F94" s="165">
        <f t="shared" si="227"/>
        <v>0</v>
      </c>
      <c r="G94" s="165">
        <f>G62*G40</f>
        <v>0</v>
      </c>
      <c r="H94" s="165">
        <f t="shared" ref="H94:P94" si="228">H62*H40</f>
        <v>0</v>
      </c>
      <c r="I94" s="165">
        <f t="shared" si="228"/>
        <v>0</v>
      </c>
      <c r="J94" s="165">
        <f t="shared" si="228"/>
        <v>0</v>
      </c>
      <c r="K94" s="165">
        <f t="shared" si="228"/>
        <v>0</v>
      </c>
      <c r="L94" s="165">
        <f t="shared" si="228"/>
        <v>0</v>
      </c>
      <c r="M94" s="165">
        <f t="shared" si="228"/>
        <v>0</v>
      </c>
      <c r="N94" s="165">
        <f t="shared" si="228"/>
        <v>0</v>
      </c>
      <c r="O94" s="165">
        <f t="shared" si="228"/>
        <v>0</v>
      </c>
      <c r="P94" s="165">
        <f t="shared" si="228"/>
        <v>0</v>
      </c>
      <c r="Q94" s="118" t="e">
        <f t="shared" si="190"/>
        <v>#DIV/0!</v>
      </c>
      <c r="R94" s="20"/>
      <c r="S94" s="165">
        <f t="shared" ref="S94:AB94" si="229">S62*S40</f>
        <v>0</v>
      </c>
      <c r="T94" s="165">
        <f t="shared" si="229"/>
        <v>0</v>
      </c>
      <c r="U94" s="165">
        <f t="shared" si="229"/>
        <v>0</v>
      </c>
      <c r="V94" s="165">
        <f t="shared" si="229"/>
        <v>0</v>
      </c>
      <c r="W94" s="165">
        <f t="shared" si="229"/>
        <v>0</v>
      </c>
      <c r="X94" s="165">
        <f t="shared" si="229"/>
        <v>0</v>
      </c>
      <c r="Y94" s="165">
        <f t="shared" si="229"/>
        <v>0</v>
      </c>
      <c r="Z94" s="165">
        <f t="shared" si="229"/>
        <v>0</v>
      </c>
      <c r="AA94" s="165">
        <f t="shared" si="229"/>
        <v>0</v>
      </c>
      <c r="AB94" s="165">
        <f t="shared" si="229"/>
        <v>0</v>
      </c>
      <c r="AC94" s="138" t="e">
        <f t="shared" si="192"/>
        <v>#DIV/0!</v>
      </c>
      <c r="AD94" s="20"/>
      <c r="AE94" s="20"/>
    </row>
    <row r="95" spans="2:31">
      <c r="B95" s="20" t="s">
        <v>336</v>
      </c>
      <c r="C95" s="20"/>
      <c r="D95" s="20"/>
      <c r="E95" s="165">
        <f>(E94*0.17)+E94</f>
        <v>0</v>
      </c>
      <c r="F95" s="165">
        <f>(F94*0.17)+F94</f>
        <v>0</v>
      </c>
      <c r="G95" s="165">
        <f t="shared" ref="G95:P95" si="230">(G94*0.17)+G94</f>
        <v>0</v>
      </c>
      <c r="H95" s="165">
        <f t="shared" si="230"/>
        <v>0</v>
      </c>
      <c r="I95" s="165">
        <f t="shared" si="230"/>
        <v>0</v>
      </c>
      <c r="J95" s="165">
        <f t="shared" si="230"/>
        <v>0</v>
      </c>
      <c r="K95" s="165">
        <f t="shared" si="230"/>
        <v>0</v>
      </c>
      <c r="L95" s="165">
        <f t="shared" si="230"/>
        <v>0</v>
      </c>
      <c r="M95" s="165">
        <f t="shared" si="230"/>
        <v>0</v>
      </c>
      <c r="N95" s="165">
        <f t="shared" si="230"/>
        <v>0</v>
      </c>
      <c r="O95" s="165">
        <f t="shared" si="230"/>
        <v>0</v>
      </c>
      <c r="P95" s="165">
        <f t="shared" si="230"/>
        <v>0</v>
      </c>
      <c r="Q95" s="118" t="e">
        <f t="shared" si="190"/>
        <v>#DIV/0!</v>
      </c>
      <c r="R95" s="20"/>
      <c r="S95" s="165">
        <f t="shared" ref="S95:AB95" si="231">(S94*0.17)+S94</f>
        <v>0</v>
      </c>
      <c r="T95" s="165">
        <f t="shared" si="231"/>
        <v>0</v>
      </c>
      <c r="U95" s="165">
        <f t="shared" si="231"/>
        <v>0</v>
      </c>
      <c r="V95" s="165">
        <f t="shared" si="231"/>
        <v>0</v>
      </c>
      <c r="W95" s="165">
        <f t="shared" si="231"/>
        <v>0</v>
      </c>
      <c r="X95" s="165">
        <f t="shared" si="231"/>
        <v>0</v>
      </c>
      <c r="Y95" s="165">
        <f t="shared" si="231"/>
        <v>0</v>
      </c>
      <c r="Z95" s="165">
        <f t="shared" si="231"/>
        <v>0</v>
      </c>
      <c r="AA95" s="165">
        <f t="shared" si="231"/>
        <v>0</v>
      </c>
      <c r="AB95" s="165">
        <f t="shared" si="231"/>
        <v>0</v>
      </c>
      <c r="AC95" s="138" t="e">
        <f t="shared" si="192"/>
        <v>#DIV/0!</v>
      </c>
      <c r="AD95" s="20"/>
      <c r="AE95" s="20"/>
    </row>
    <row r="96" spans="2:31">
      <c r="B96" s="20" t="s">
        <v>337</v>
      </c>
      <c r="C96" s="20"/>
      <c r="D96" s="20"/>
      <c r="E96" s="20"/>
      <c r="F96" s="152" t="e">
        <f t="shared" ref="F96:P96" si="232">F95/F38</f>
        <v>#DIV/0!</v>
      </c>
      <c r="G96" s="152">
        <f t="shared" si="232"/>
        <v>0</v>
      </c>
      <c r="H96" s="152">
        <f t="shared" si="232"/>
        <v>0</v>
      </c>
      <c r="I96" s="152">
        <f t="shared" si="232"/>
        <v>0</v>
      </c>
      <c r="J96" s="152">
        <f t="shared" si="232"/>
        <v>0</v>
      </c>
      <c r="K96" s="152">
        <f t="shared" si="232"/>
        <v>0</v>
      </c>
      <c r="L96" s="152">
        <f t="shared" si="232"/>
        <v>0</v>
      </c>
      <c r="M96" s="152">
        <f t="shared" si="232"/>
        <v>0</v>
      </c>
      <c r="N96" s="152">
        <f t="shared" si="232"/>
        <v>0</v>
      </c>
      <c r="O96" s="152">
        <f t="shared" si="232"/>
        <v>0</v>
      </c>
      <c r="P96" s="152">
        <f t="shared" si="232"/>
        <v>0</v>
      </c>
      <c r="Q96" s="118" t="e">
        <f t="shared" si="190"/>
        <v>#DIV/0!</v>
      </c>
      <c r="R96" s="20"/>
      <c r="S96" s="152">
        <f t="shared" ref="S96:AB96" si="233">S95/S38</f>
        <v>0</v>
      </c>
      <c r="T96" s="152">
        <f t="shared" si="233"/>
        <v>0</v>
      </c>
      <c r="U96" s="152">
        <f t="shared" si="233"/>
        <v>0</v>
      </c>
      <c r="V96" s="152">
        <f t="shared" si="233"/>
        <v>0</v>
      </c>
      <c r="W96" s="152">
        <f t="shared" si="233"/>
        <v>0</v>
      </c>
      <c r="X96" s="152">
        <f t="shared" si="233"/>
        <v>0</v>
      </c>
      <c r="Y96" s="152">
        <f t="shared" si="233"/>
        <v>0</v>
      </c>
      <c r="Z96" s="152">
        <f t="shared" si="233"/>
        <v>0</v>
      </c>
      <c r="AA96" s="152">
        <f t="shared" si="233"/>
        <v>0</v>
      </c>
      <c r="AB96" s="152">
        <f t="shared" si="233"/>
        <v>0</v>
      </c>
      <c r="AC96" s="138" t="e">
        <f t="shared" si="192"/>
        <v>#DIV/0!</v>
      </c>
      <c r="AD96" s="20"/>
      <c r="AE96" s="20"/>
    </row>
    <row r="97" spans="2:31">
      <c r="B97" s="20" t="s">
        <v>330</v>
      </c>
      <c r="C97" s="20"/>
      <c r="D97" s="20"/>
      <c r="E97" s="20"/>
      <c r="F97" s="152" t="e">
        <f>1-F96</f>
        <v>#DIV/0!</v>
      </c>
      <c r="G97" s="152">
        <f>1-G96</f>
        <v>1</v>
      </c>
      <c r="H97" s="152">
        <f t="shared" ref="H97:P97" si="234">1-H96</f>
        <v>1</v>
      </c>
      <c r="I97" s="152">
        <f t="shared" si="234"/>
        <v>1</v>
      </c>
      <c r="J97" s="152">
        <f t="shared" si="234"/>
        <v>1</v>
      </c>
      <c r="K97" s="152">
        <f t="shared" si="234"/>
        <v>1</v>
      </c>
      <c r="L97" s="152">
        <f t="shared" si="234"/>
        <v>1</v>
      </c>
      <c r="M97" s="152">
        <f t="shared" si="234"/>
        <v>1</v>
      </c>
      <c r="N97" s="152">
        <f t="shared" si="234"/>
        <v>1</v>
      </c>
      <c r="O97" s="152">
        <f t="shared" si="234"/>
        <v>1</v>
      </c>
      <c r="P97" s="152">
        <f t="shared" si="234"/>
        <v>1</v>
      </c>
      <c r="Q97" s="118">
        <f t="shared" si="190"/>
        <v>0</v>
      </c>
      <c r="R97" s="20"/>
      <c r="S97" s="152">
        <f t="shared" ref="S97:AB97" si="235">1-S96</f>
        <v>1</v>
      </c>
      <c r="T97" s="152">
        <f t="shared" si="235"/>
        <v>1</v>
      </c>
      <c r="U97" s="152">
        <f t="shared" si="235"/>
        <v>1</v>
      </c>
      <c r="V97" s="152">
        <f t="shared" si="235"/>
        <v>1</v>
      </c>
      <c r="W97" s="152">
        <f t="shared" si="235"/>
        <v>1</v>
      </c>
      <c r="X97" s="152">
        <f t="shared" si="235"/>
        <v>1</v>
      </c>
      <c r="Y97" s="152">
        <f t="shared" si="235"/>
        <v>1</v>
      </c>
      <c r="Z97" s="152">
        <f t="shared" si="235"/>
        <v>1</v>
      </c>
      <c r="AA97" s="152">
        <f t="shared" si="235"/>
        <v>1</v>
      </c>
      <c r="AB97" s="152">
        <f t="shared" si="235"/>
        <v>1</v>
      </c>
      <c r="AC97" s="138">
        <f t="shared" si="192"/>
        <v>0</v>
      </c>
      <c r="AD97" s="20"/>
      <c r="AE97" s="20"/>
    </row>
    <row r="98" spans="2:31">
      <c r="B98" s="20"/>
      <c r="C98" s="20"/>
      <c r="D98" s="20"/>
      <c r="E98" s="20"/>
      <c r="F98" s="20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28"/>
      <c r="R98" s="20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28"/>
      <c r="AD98" s="20"/>
      <c r="AE98" s="20"/>
    </row>
    <row r="99" spans="2:31">
      <c r="B99" s="20" t="s">
        <v>334</v>
      </c>
      <c r="C99" s="152"/>
      <c r="D99" s="152"/>
      <c r="E99" s="152"/>
      <c r="F99" s="152" t="e">
        <f>F31/F25</f>
        <v>#DIV/0!</v>
      </c>
      <c r="G99" s="152">
        <f>G31/G25</f>
        <v>0</v>
      </c>
      <c r="H99" s="152">
        <f t="shared" ref="H99:P99" si="236">H31/H25</f>
        <v>0</v>
      </c>
      <c r="I99" s="152">
        <f t="shared" si="236"/>
        <v>0</v>
      </c>
      <c r="J99" s="152">
        <f t="shared" si="236"/>
        <v>0</v>
      </c>
      <c r="K99" s="152">
        <f t="shared" si="236"/>
        <v>0</v>
      </c>
      <c r="L99" s="152">
        <f t="shared" si="236"/>
        <v>0</v>
      </c>
      <c r="M99" s="152">
        <f t="shared" si="236"/>
        <v>0</v>
      </c>
      <c r="N99" s="152">
        <f t="shared" si="236"/>
        <v>0</v>
      </c>
      <c r="O99" s="152">
        <f t="shared" si="236"/>
        <v>0</v>
      </c>
      <c r="P99" s="152">
        <f t="shared" si="236"/>
        <v>0</v>
      </c>
      <c r="Q99" s="118" t="e">
        <f t="shared" si="190"/>
        <v>#DIV/0!</v>
      </c>
      <c r="R99" s="20"/>
      <c r="S99" s="152">
        <f t="shared" ref="S99:AB99" si="237">S31/S25</f>
        <v>0</v>
      </c>
      <c r="T99" s="152">
        <f t="shared" si="237"/>
        <v>0</v>
      </c>
      <c r="U99" s="152">
        <f t="shared" si="237"/>
        <v>0</v>
      </c>
      <c r="V99" s="152">
        <f t="shared" si="237"/>
        <v>0</v>
      </c>
      <c r="W99" s="152">
        <f t="shared" si="237"/>
        <v>0</v>
      </c>
      <c r="X99" s="152">
        <f t="shared" si="237"/>
        <v>0</v>
      </c>
      <c r="Y99" s="152">
        <f t="shared" si="237"/>
        <v>0</v>
      </c>
      <c r="Z99" s="152">
        <f t="shared" si="237"/>
        <v>0</v>
      </c>
      <c r="AA99" s="152">
        <f t="shared" si="237"/>
        <v>0</v>
      </c>
      <c r="AB99" s="152">
        <f t="shared" si="237"/>
        <v>0</v>
      </c>
      <c r="AC99" s="138" t="e">
        <f t="shared" si="192"/>
        <v>#DIV/0!</v>
      </c>
      <c r="AD99" s="20"/>
      <c r="AE99" s="20"/>
    </row>
    <row r="100" spans="2:31">
      <c r="B100" s="20" t="s">
        <v>331</v>
      </c>
      <c r="C100" s="152"/>
      <c r="D100" s="152"/>
      <c r="E100" s="152"/>
      <c r="F100" s="152" t="e">
        <f>F32/F25</f>
        <v>#DIV/0!</v>
      </c>
      <c r="G100" s="152">
        <f>G32/G25</f>
        <v>0</v>
      </c>
      <c r="H100" s="152">
        <f t="shared" ref="H100:P100" si="238">H32/H25</f>
        <v>0</v>
      </c>
      <c r="I100" s="152">
        <f t="shared" si="238"/>
        <v>0</v>
      </c>
      <c r="J100" s="152">
        <f t="shared" si="238"/>
        <v>0</v>
      </c>
      <c r="K100" s="152">
        <f t="shared" si="238"/>
        <v>0</v>
      </c>
      <c r="L100" s="152">
        <f t="shared" si="238"/>
        <v>0</v>
      </c>
      <c r="M100" s="152">
        <f t="shared" si="238"/>
        <v>0</v>
      </c>
      <c r="N100" s="152">
        <f t="shared" si="238"/>
        <v>0</v>
      </c>
      <c r="O100" s="152">
        <f t="shared" si="238"/>
        <v>0</v>
      </c>
      <c r="P100" s="152">
        <f t="shared" si="238"/>
        <v>0</v>
      </c>
      <c r="Q100" s="118" t="e">
        <f t="shared" si="190"/>
        <v>#DIV/0!</v>
      </c>
      <c r="R100" s="20"/>
      <c r="S100" s="152">
        <f t="shared" ref="S100:AB100" si="239">S32/S25</f>
        <v>0</v>
      </c>
      <c r="T100" s="152">
        <f t="shared" si="239"/>
        <v>0</v>
      </c>
      <c r="U100" s="152">
        <f t="shared" si="239"/>
        <v>0</v>
      </c>
      <c r="V100" s="152">
        <f t="shared" si="239"/>
        <v>0</v>
      </c>
      <c r="W100" s="152">
        <f t="shared" si="239"/>
        <v>0</v>
      </c>
      <c r="X100" s="152">
        <f t="shared" si="239"/>
        <v>0</v>
      </c>
      <c r="Y100" s="152">
        <f t="shared" si="239"/>
        <v>0</v>
      </c>
      <c r="Z100" s="152">
        <f t="shared" si="239"/>
        <v>0</v>
      </c>
      <c r="AA100" s="152">
        <f t="shared" si="239"/>
        <v>0</v>
      </c>
      <c r="AB100" s="152">
        <f t="shared" si="239"/>
        <v>0</v>
      </c>
      <c r="AC100" s="138" t="e">
        <f t="shared" si="192"/>
        <v>#DIV/0!</v>
      </c>
      <c r="AD100" s="20"/>
      <c r="AE100" s="20"/>
    </row>
    <row r="101" spans="2:31">
      <c r="B101" s="20"/>
      <c r="C101" s="20"/>
      <c r="D101" s="20"/>
      <c r="E101" s="20"/>
      <c r="F101" s="20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28"/>
      <c r="R101" s="20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28"/>
      <c r="AD101" s="20"/>
      <c r="AE101" s="20"/>
    </row>
    <row r="102" spans="2:31">
      <c r="B102" s="20" t="s">
        <v>355</v>
      </c>
      <c r="C102" s="20"/>
      <c r="D102" s="20"/>
      <c r="E102" s="20"/>
      <c r="F102" s="20"/>
      <c r="G102" s="152">
        <f>G27/G25</f>
        <v>0.78818284411767991</v>
      </c>
      <c r="H102" s="152">
        <f t="shared" ref="H102:P102" si="240">H27/H25</f>
        <v>0.75710353400816899</v>
      </c>
      <c r="I102" s="152">
        <f t="shared" si="240"/>
        <v>0.76281920580848894</v>
      </c>
      <c r="J102" s="152">
        <f t="shared" si="240"/>
        <v>0.84487848845922031</v>
      </c>
      <c r="K102" s="152">
        <f t="shared" si="240"/>
        <v>0.90008794226075206</v>
      </c>
      <c r="L102" s="152">
        <f t="shared" si="240"/>
        <v>0.9323832418899074</v>
      </c>
      <c r="M102" s="152">
        <f t="shared" si="240"/>
        <v>0.9437231263755077</v>
      </c>
      <c r="N102" s="152">
        <f t="shared" si="240"/>
        <v>0.9232887729995809</v>
      </c>
      <c r="O102" s="152">
        <f t="shared" si="240"/>
        <v>0.90538872052810015</v>
      </c>
      <c r="P102" s="152">
        <f t="shared" si="240"/>
        <v>1.1077036958705653</v>
      </c>
      <c r="Q102" s="118">
        <f t="shared" si="190"/>
        <v>3.8536697939837383E-2</v>
      </c>
      <c r="R102" s="20"/>
      <c r="S102" s="152">
        <f t="shared" ref="S102:AB102" si="241">S27/S25</f>
        <v>1.1077036958705653</v>
      </c>
      <c r="T102" s="152">
        <f t="shared" si="241"/>
        <v>1.1077036958705655</v>
      </c>
      <c r="U102" s="152">
        <f t="shared" si="241"/>
        <v>1.1077036958705655</v>
      </c>
      <c r="V102" s="152">
        <f t="shared" si="241"/>
        <v>1.1077036958705655</v>
      </c>
      <c r="W102" s="152">
        <f t="shared" si="241"/>
        <v>1.1077036958705653</v>
      </c>
      <c r="X102" s="152">
        <f t="shared" si="241"/>
        <v>1.1077036958705653</v>
      </c>
      <c r="Y102" s="152">
        <f t="shared" si="241"/>
        <v>1.1077036958705653</v>
      </c>
      <c r="Z102" s="152">
        <f t="shared" si="241"/>
        <v>1.1077036958705653</v>
      </c>
      <c r="AA102" s="152">
        <f t="shared" si="241"/>
        <v>1.1077036958705653</v>
      </c>
      <c r="AB102" s="152">
        <f t="shared" si="241"/>
        <v>1.1077036958705653</v>
      </c>
      <c r="AC102" s="138">
        <f t="shared" si="192"/>
        <v>1.8072648464181773E-2</v>
      </c>
      <c r="AD102" s="20"/>
      <c r="AE102" s="20"/>
    </row>
    <row r="103" spans="2:31">
      <c r="B103" s="20" t="str">
        <f>B33</f>
        <v>Top Expenses ( Raw material )</v>
      </c>
      <c r="C103" s="20"/>
      <c r="D103" s="20"/>
      <c r="E103" s="20"/>
      <c r="F103" s="20"/>
      <c r="G103" s="152">
        <f>G33/G25</f>
        <v>0.61527202029118289</v>
      </c>
      <c r="H103" s="152">
        <f t="shared" ref="H103:P103" si="242">H33/H25</f>
        <v>0.59708656445470509</v>
      </c>
      <c r="I103" s="152">
        <f t="shared" si="242"/>
        <v>0.61654275555113514</v>
      </c>
      <c r="J103" s="152">
        <f t="shared" si="242"/>
        <v>0.65635593359389099</v>
      </c>
      <c r="K103" s="152">
        <f t="shared" si="242"/>
        <v>0.70969843041705682</v>
      </c>
      <c r="L103" s="152">
        <f t="shared" si="242"/>
        <v>0.70051070290663564</v>
      </c>
      <c r="M103" s="152">
        <f t="shared" si="242"/>
        <v>0.6626588411254114</v>
      </c>
      <c r="N103" s="152">
        <f t="shared" si="242"/>
        <v>0.66907562056990466</v>
      </c>
      <c r="O103" s="152">
        <f t="shared" si="242"/>
        <v>0.65221462292901611</v>
      </c>
      <c r="P103" s="152">
        <f t="shared" si="242"/>
        <v>0.74742240786760428</v>
      </c>
      <c r="Q103" s="118">
        <f t="shared" si="190"/>
        <v>2.1853818150616933E-2</v>
      </c>
      <c r="R103" s="20"/>
      <c r="S103" s="152">
        <f t="shared" ref="S103:AB103" si="243">S33/S25</f>
        <v>0.74742240786760428</v>
      </c>
      <c r="T103" s="152">
        <f t="shared" si="243"/>
        <v>0.74742240786760439</v>
      </c>
      <c r="U103" s="152">
        <f t="shared" si="243"/>
        <v>0.74742240786760439</v>
      </c>
      <c r="V103" s="152">
        <f t="shared" si="243"/>
        <v>0.74742240786760439</v>
      </c>
      <c r="W103" s="152">
        <f t="shared" si="243"/>
        <v>0.7474224078676045</v>
      </c>
      <c r="X103" s="152">
        <f t="shared" si="243"/>
        <v>0.74742240786760439</v>
      </c>
      <c r="Y103" s="152">
        <f t="shared" si="243"/>
        <v>0.74742240786760439</v>
      </c>
      <c r="Z103" s="152">
        <f t="shared" si="243"/>
        <v>0.74742240786760428</v>
      </c>
      <c r="AA103" s="152">
        <f t="shared" si="243"/>
        <v>0.74742240786760439</v>
      </c>
      <c r="AB103" s="152">
        <f t="shared" si="243"/>
        <v>0.74742240786760439</v>
      </c>
      <c r="AC103" s="138">
        <f t="shared" si="192"/>
        <v>1.0292928226812492E-2</v>
      </c>
      <c r="AD103" s="20"/>
      <c r="AE103" s="20"/>
    </row>
    <row r="104" spans="2:31">
      <c r="B104" s="20" t="str">
        <f>B34</f>
        <v>2nd highest Expenses Comp. ( Empl )</v>
      </c>
      <c r="C104" s="20"/>
      <c r="D104" s="20"/>
      <c r="E104" s="20"/>
      <c r="F104" s="20"/>
      <c r="G104" s="152">
        <f>G34/G25</f>
        <v>0.14190419790607506</v>
      </c>
      <c r="H104" s="152">
        <f t="shared" ref="H104:P104" si="244">H34/H25</f>
        <v>7.9914757591901975E-2</v>
      </c>
      <c r="I104" s="152">
        <f t="shared" si="244"/>
        <v>6.0422209513389863E-2</v>
      </c>
      <c r="J104" s="152">
        <f t="shared" si="244"/>
        <v>5.4255501846984168E-2</v>
      </c>
      <c r="K104" s="152">
        <f t="shared" si="244"/>
        <v>1.6416619698335383E-2</v>
      </c>
      <c r="L104" s="152">
        <f t="shared" si="244"/>
        <v>2.7967502118343514E-2</v>
      </c>
      <c r="M104" s="152">
        <f t="shared" si="244"/>
        <v>1.8755401398471167E-2</v>
      </c>
      <c r="N104" s="152">
        <f t="shared" si="244"/>
        <v>0.14423129089614539</v>
      </c>
      <c r="O104" s="152">
        <f t="shared" si="244"/>
        <v>0.138086941838133</v>
      </c>
      <c r="P104" s="152">
        <f t="shared" si="244"/>
        <v>0.21836831808808757</v>
      </c>
      <c r="Q104" s="118">
        <f t="shared" si="190"/>
        <v>4.9057700974101781E-2</v>
      </c>
      <c r="R104" s="20"/>
      <c r="S104" s="152">
        <f t="shared" ref="S104:AB104" si="245">S34/S25</f>
        <v>0.21836831808808757</v>
      </c>
      <c r="T104" s="152">
        <f t="shared" si="245"/>
        <v>0.21836831808808754</v>
      </c>
      <c r="U104" s="152">
        <f t="shared" si="245"/>
        <v>0.21836831808808757</v>
      </c>
      <c r="V104" s="152">
        <f t="shared" si="245"/>
        <v>0.21836831808808754</v>
      </c>
      <c r="W104" s="152">
        <f t="shared" si="245"/>
        <v>0.21836831808808754</v>
      </c>
      <c r="X104" s="152">
        <f t="shared" si="245"/>
        <v>0.21836831808808754</v>
      </c>
      <c r="Y104" s="152">
        <f t="shared" si="245"/>
        <v>0.21836831808808754</v>
      </c>
      <c r="Z104" s="152">
        <f t="shared" si="245"/>
        <v>0.21836831808808754</v>
      </c>
      <c r="AA104" s="152">
        <f t="shared" si="245"/>
        <v>0.21836831808808754</v>
      </c>
      <c r="AB104" s="152">
        <f t="shared" si="245"/>
        <v>0.21836831808808757</v>
      </c>
      <c r="AC104" s="138">
        <f t="shared" si="192"/>
        <v>2.2945122903342829E-2</v>
      </c>
      <c r="AD104" s="20"/>
      <c r="AE104" s="20"/>
    </row>
    <row r="105" spans="2:31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128"/>
      <c r="R105" s="128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39"/>
      <c r="AD105" s="20"/>
      <c r="AE105" s="20"/>
    </row>
    <row r="106" spans="2:31">
      <c r="B106" s="108" t="s">
        <v>363</v>
      </c>
      <c r="C106" s="20"/>
      <c r="D106" s="20"/>
      <c r="E106" s="20"/>
      <c r="F106" s="20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118"/>
      <c r="R106" s="128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138"/>
      <c r="AD106" s="20"/>
      <c r="AE106" s="20"/>
    </row>
    <row r="107" spans="2:31">
      <c r="B107" s="20" t="s">
        <v>366</v>
      </c>
      <c r="C107" s="20"/>
      <c r="D107" s="20"/>
      <c r="E107" s="20"/>
      <c r="F107" s="20"/>
      <c r="G107" s="25">
        <f>G15/G9</f>
        <v>0.9991037064374968</v>
      </c>
      <c r="H107" s="25">
        <f t="shared" ref="H107:AB107" si="246">H15/H9</f>
        <v>0.99884748367268539</v>
      </c>
      <c r="I107" s="25">
        <f t="shared" si="246"/>
        <v>0.99951985572250002</v>
      </c>
      <c r="J107" s="25">
        <f t="shared" si="246"/>
        <v>1.0001576430610779</v>
      </c>
      <c r="K107" s="25">
        <f t="shared" si="246"/>
        <v>1.0811921884796465</v>
      </c>
      <c r="L107" s="25">
        <f t="shared" si="246"/>
        <v>2.1872345344553157</v>
      </c>
      <c r="M107" s="25">
        <f t="shared" si="246"/>
        <v>1.8260549060275437</v>
      </c>
      <c r="N107" s="25">
        <f t="shared" si="246"/>
        <v>1.4102464053039589</v>
      </c>
      <c r="O107" s="25">
        <f t="shared" si="246"/>
        <v>2.6264068653163597</v>
      </c>
      <c r="P107" s="25">
        <f t="shared" si="246"/>
        <v>0.8783459479416651</v>
      </c>
      <c r="Q107" s="118">
        <f t="shared" si="190"/>
        <v>-1.421117090439461E-2</v>
      </c>
      <c r="R107" s="20"/>
      <c r="S107" s="20">
        <f t="shared" si="246"/>
        <v>0.8783459479416651</v>
      </c>
      <c r="T107" s="20">
        <f t="shared" si="246"/>
        <v>0.8783459479416651</v>
      </c>
      <c r="U107" s="20">
        <f t="shared" si="246"/>
        <v>0.87834594794166498</v>
      </c>
      <c r="V107" s="20">
        <f t="shared" si="246"/>
        <v>0.87834594794166487</v>
      </c>
      <c r="W107" s="20">
        <f t="shared" si="246"/>
        <v>0.87834594794166487</v>
      </c>
      <c r="X107" s="20">
        <f t="shared" si="246"/>
        <v>0.87834594794166487</v>
      </c>
      <c r="Y107" s="20">
        <f t="shared" si="246"/>
        <v>0.87834594794166487</v>
      </c>
      <c r="Z107" s="20">
        <f t="shared" si="246"/>
        <v>0.87834594794166476</v>
      </c>
      <c r="AA107" s="20">
        <f t="shared" si="246"/>
        <v>0.87834594794166487</v>
      </c>
      <c r="AB107" s="20">
        <f t="shared" si="246"/>
        <v>0.87834594794166487</v>
      </c>
      <c r="AC107" s="138">
        <f t="shared" si="192"/>
        <v>-6.7569656827874969E-3</v>
      </c>
      <c r="AD107" s="20"/>
      <c r="AE107" s="20"/>
    </row>
    <row r="108" spans="2:31">
      <c r="B108" s="20" t="s">
        <v>356</v>
      </c>
      <c r="C108" s="20"/>
      <c r="D108" s="20"/>
      <c r="E108" s="20"/>
      <c r="F108" s="20"/>
      <c r="G108" s="25">
        <f>G12/G9</f>
        <v>0.17941688195286551</v>
      </c>
      <c r="H108" s="25">
        <f t="shared" ref="H108:P108" si="247">H12/H9</f>
        <v>0.19720834934050455</v>
      </c>
      <c r="I108" s="25">
        <f t="shared" si="247"/>
        <v>9.485777189633568E-2</v>
      </c>
      <c r="J108" s="25">
        <f t="shared" si="247"/>
        <v>0.31328430550724784</v>
      </c>
      <c r="K108" s="25">
        <f t="shared" si="247"/>
        <v>7.5388568361161271E-2</v>
      </c>
      <c r="L108" s="25">
        <f t="shared" si="247"/>
        <v>8.3770280110301271E-2</v>
      </c>
      <c r="M108" s="25">
        <f t="shared" si="247"/>
        <v>0.15745058780289473</v>
      </c>
      <c r="N108" s="25">
        <f t="shared" si="247"/>
        <v>0.22394085072110695</v>
      </c>
      <c r="O108" s="25">
        <f t="shared" si="247"/>
        <v>0.35046556025657072</v>
      </c>
      <c r="P108" s="25">
        <f t="shared" si="247"/>
        <v>0.12054642791212848</v>
      </c>
      <c r="Q108" s="118">
        <f t="shared" si="190"/>
        <v>-4.322434629824623E-2</v>
      </c>
      <c r="R108" s="128"/>
      <c r="S108" s="20">
        <f t="shared" ref="S108:AB108" si="248">S12/S9</f>
        <v>0.12054642791212848</v>
      </c>
      <c r="T108" s="20">
        <f t="shared" si="248"/>
        <v>0.12054642791212848</v>
      </c>
      <c r="U108" s="20">
        <f t="shared" si="248"/>
        <v>0.12054642791212848</v>
      </c>
      <c r="V108" s="20">
        <f t="shared" si="248"/>
        <v>0.12054642791212848</v>
      </c>
      <c r="W108" s="20">
        <f t="shared" si="248"/>
        <v>0.1205464279121285</v>
      </c>
      <c r="X108" s="20">
        <f t="shared" si="248"/>
        <v>0.12054642791212848</v>
      </c>
      <c r="Y108" s="20">
        <f t="shared" si="248"/>
        <v>0.12054642791212848</v>
      </c>
      <c r="Z108" s="20">
        <f t="shared" si="248"/>
        <v>0.1205464279121285</v>
      </c>
      <c r="AA108" s="20">
        <f t="shared" si="248"/>
        <v>0.1205464279121285</v>
      </c>
      <c r="AB108" s="20">
        <f t="shared" si="248"/>
        <v>0.1205464279121285</v>
      </c>
      <c r="AC108" s="118">
        <f t="shared" ref="AC108" si="249">((AB108/S108)^(1/($H$2-$H$1) ))-1</f>
        <v>0</v>
      </c>
      <c r="AD108" s="20"/>
      <c r="AE108" s="20"/>
    </row>
    <row r="109" spans="2:31">
      <c r="B109" s="20" t="s">
        <v>358</v>
      </c>
      <c r="C109" s="20"/>
      <c r="D109" s="20"/>
      <c r="E109" s="20"/>
      <c r="F109" s="20"/>
      <c r="G109" s="25">
        <f>G25/360</f>
        <v>2.4860277777777777</v>
      </c>
      <c r="H109" s="25">
        <f t="shared" ref="H109:P109" si="250">H25/360</f>
        <v>5.6310000000000002</v>
      </c>
      <c r="I109" s="25">
        <f t="shared" si="250"/>
        <v>11.171388888888888</v>
      </c>
      <c r="J109" s="25">
        <f t="shared" si="250"/>
        <v>25.39425</v>
      </c>
      <c r="K109" s="25">
        <f t="shared" si="250"/>
        <v>37.998416666666671</v>
      </c>
      <c r="L109" s="25">
        <f t="shared" si="250"/>
        <v>72.44916666666667</v>
      </c>
      <c r="M109" s="25">
        <f t="shared" si="250"/>
        <v>57.276833333333336</v>
      </c>
      <c r="N109" s="25">
        <f t="shared" si="250"/>
        <v>49.664250000000003</v>
      </c>
      <c r="O109" s="25">
        <f t="shared" si="250"/>
        <v>58.562138888888889</v>
      </c>
      <c r="P109" s="25">
        <f t="shared" si="250"/>
        <v>52.536111111111111</v>
      </c>
      <c r="Q109" s="118">
        <f t="shared" si="190"/>
        <v>0.40351443206981186</v>
      </c>
      <c r="R109" s="128"/>
      <c r="S109" s="25">
        <f t="shared" ref="S109:AB109" si="251">S25/360</f>
        <v>58.840444444444451</v>
      </c>
      <c r="T109" s="25">
        <f t="shared" si="251"/>
        <v>65.901297777777785</v>
      </c>
      <c r="U109" s="25">
        <f t="shared" si="251"/>
        <v>73.809453511111116</v>
      </c>
      <c r="V109" s="25">
        <f t="shared" si="251"/>
        <v>82.666587932444472</v>
      </c>
      <c r="W109" s="25">
        <f t="shared" si="251"/>
        <v>92.586578484337807</v>
      </c>
      <c r="X109" s="25">
        <f t="shared" si="251"/>
        <v>103.69696790245837</v>
      </c>
      <c r="Y109" s="25">
        <f t="shared" si="251"/>
        <v>116.14060405075338</v>
      </c>
      <c r="Z109" s="25">
        <f t="shared" si="251"/>
        <v>130.07747653684379</v>
      </c>
      <c r="AA109" s="25">
        <f t="shared" si="251"/>
        <v>145.68677372126507</v>
      </c>
      <c r="AB109" s="25">
        <f t="shared" si="251"/>
        <v>163.16918656781689</v>
      </c>
      <c r="AC109" s="118">
        <f t="shared" ref="AC109:AC120" si="252">((AB109/S109)^(1/($H$2-$H$1) ))-1</f>
        <v>0.12000000000000011</v>
      </c>
      <c r="AD109" s="20"/>
      <c r="AE109" s="20"/>
    </row>
    <row r="110" spans="2:31">
      <c r="B110" s="20" t="s">
        <v>357</v>
      </c>
      <c r="C110" s="20"/>
      <c r="D110" s="20"/>
      <c r="E110" s="20"/>
      <c r="F110" s="20"/>
      <c r="G110" s="25">
        <f>G27/360</f>
        <v>1.9594444444444443</v>
      </c>
      <c r="H110" s="25">
        <f t="shared" ref="H110:P110" si="253">H27/360</f>
        <v>4.2632500000000002</v>
      </c>
      <c r="I110" s="25">
        <f t="shared" si="253"/>
        <v>8.521749999999999</v>
      </c>
      <c r="J110" s="25">
        <f t="shared" si="253"/>
        <v>21.455055555555553</v>
      </c>
      <c r="K110" s="25">
        <f t="shared" si="253"/>
        <v>34.201916666666669</v>
      </c>
      <c r="L110" s="25">
        <f t="shared" si="253"/>
        <v>67.550388888888889</v>
      </c>
      <c r="M110" s="25">
        <f t="shared" si="253"/>
        <v>54.053472222222226</v>
      </c>
      <c r="N110" s="25">
        <f t="shared" si="253"/>
        <v>45.854444444444439</v>
      </c>
      <c r="O110" s="25">
        <f t="shared" si="253"/>
        <v>53.021500000000003</v>
      </c>
      <c r="P110" s="25">
        <f t="shared" si="253"/>
        <v>58.194444444444443</v>
      </c>
      <c r="Q110" s="118">
        <f t="shared" si="190"/>
        <v>0.45760124379268863</v>
      </c>
      <c r="R110" s="128"/>
      <c r="S110" s="25">
        <f t="shared" ref="S110:AB110" si="254">S27/360</f>
        <v>65.177777777777791</v>
      </c>
      <c r="T110" s="25">
        <f t="shared" si="254"/>
        <v>72.999111111111134</v>
      </c>
      <c r="U110" s="25">
        <f t="shared" si="254"/>
        <v>81.759004444444471</v>
      </c>
      <c r="V110" s="25">
        <f t="shared" si="254"/>
        <v>91.570084977777825</v>
      </c>
      <c r="W110" s="25">
        <f t="shared" si="254"/>
        <v>102.55849517511116</v>
      </c>
      <c r="X110" s="25">
        <f t="shared" si="254"/>
        <v>114.86551459612451</v>
      </c>
      <c r="Y110" s="25">
        <f t="shared" si="254"/>
        <v>128.64937634765946</v>
      </c>
      <c r="Z110" s="25">
        <f t="shared" si="254"/>
        <v>144.08730150937862</v>
      </c>
      <c r="AA110" s="25">
        <f t="shared" si="254"/>
        <v>161.37777769050405</v>
      </c>
      <c r="AB110" s="25">
        <f t="shared" si="254"/>
        <v>180.74311101336457</v>
      </c>
      <c r="AC110" s="118">
        <f t="shared" si="252"/>
        <v>0.12000000000000011</v>
      </c>
      <c r="AD110" s="20"/>
      <c r="AE110" s="20"/>
    </row>
    <row r="111" spans="2:31">
      <c r="B111" s="20"/>
      <c r="C111" s="20"/>
      <c r="D111" s="20"/>
      <c r="E111" s="20"/>
      <c r="F111" s="20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128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128"/>
      <c r="AD111" s="20"/>
      <c r="AE111" s="20"/>
    </row>
    <row r="112" spans="2:31">
      <c r="B112" s="20" t="s">
        <v>367</v>
      </c>
      <c r="C112" s="20"/>
      <c r="D112" s="20"/>
      <c r="E112" s="20"/>
      <c r="F112" s="20"/>
      <c r="G112" s="25">
        <f>G10/G7</f>
        <v>0.60905002810567732</v>
      </c>
      <c r="H112" s="25">
        <f t="shared" ref="H112:P112" si="255">H10/H7</f>
        <v>0.43753799896090112</v>
      </c>
      <c r="I112" s="25">
        <f t="shared" si="255"/>
        <v>0.16465190023709581</v>
      </c>
      <c r="J112" s="25">
        <f t="shared" si="255"/>
        <v>1.4691681988171608</v>
      </c>
      <c r="K112" s="25">
        <f t="shared" si="255"/>
        <v>1.2259159580493619</v>
      </c>
      <c r="L112" s="25">
        <f t="shared" si="255"/>
        <v>1.8064821417941184</v>
      </c>
      <c r="M112" s="25">
        <f t="shared" si="255"/>
        <v>1.9182890984997962</v>
      </c>
      <c r="N112" s="25">
        <f t="shared" si="255"/>
        <v>1.8785998333353757</v>
      </c>
      <c r="O112" s="25">
        <f t="shared" si="255"/>
        <v>2.110800920802502</v>
      </c>
      <c r="P112" s="25">
        <f t="shared" si="255"/>
        <v>33.931249999999999</v>
      </c>
      <c r="Q112" s="118">
        <f t="shared" si="190"/>
        <v>0.56312640360235466</v>
      </c>
      <c r="R112" s="128"/>
      <c r="S112" s="25">
        <f t="shared" ref="S112:AB112" si="256">S10/S7</f>
        <v>33.931249999999999</v>
      </c>
      <c r="T112" s="25">
        <f t="shared" si="256"/>
        <v>33.931249999999999</v>
      </c>
      <c r="U112" s="25">
        <f t="shared" si="256"/>
        <v>33.931249999999999</v>
      </c>
      <c r="V112" s="25">
        <f t="shared" si="256"/>
        <v>33.931249999999999</v>
      </c>
      <c r="W112" s="25">
        <f t="shared" si="256"/>
        <v>33.931249999999999</v>
      </c>
      <c r="X112" s="25">
        <f t="shared" si="256"/>
        <v>33.931249999999999</v>
      </c>
      <c r="Y112" s="25">
        <f t="shared" si="256"/>
        <v>33.931249999999991</v>
      </c>
      <c r="Z112" s="25">
        <f t="shared" si="256"/>
        <v>33.931249999999991</v>
      </c>
      <c r="AA112" s="25">
        <f t="shared" si="256"/>
        <v>33.931249999999991</v>
      </c>
      <c r="AB112" s="25">
        <f t="shared" si="256"/>
        <v>33.931249999999991</v>
      </c>
      <c r="AC112" s="118">
        <f t="shared" si="252"/>
        <v>0</v>
      </c>
      <c r="AD112" s="20"/>
      <c r="AE112" s="20"/>
    </row>
    <row r="113" spans="2:31">
      <c r="B113" s="20" t="s">
        <v>359</v>
      </c>
      <c r="C113" s="20"/>
      <c r="D113" s="20"/>
      <c r="E113" s="20"/>
      <c r="F113" s="20"/>
      <c r="G113" s="25">
        <f>G10/(G10+G7)</f>
        <v>0.37851528384279476</v>
      </c>
      <c r="H113" s="25">
        <f t="shared" ref="H113:P113" si="257">H10/(H10+H7)</f>
        <v>0.30436621451201129</v>
      </c>
      <c r="I113" s="25">
        <f t="shared" si="257"/>
        <v>0.14137434559079545</v>
      </c>
      <c r="J113" s="25">
        <f t="shared" si="257"/>
        <v>0.59500531374126586</v>
      </c>
      <c r="K113" s="25">
        <f t="shared" si="257"/>
        <v>0.5507467402873869</v>
      </c>
      <c r="L113" s="25">
        <f t="shared" si="257"/>
        <v>0.64368203698573212</v>
      </c>
      <c r="M113" s="25">
        <f t="shared" si="257"/>
        <v>0.65733346962983574</v>
      </c>
      <c r="N113" s="25">
        <f t="shared" si="257"/>
        <v>0.65260888699443853</v>
      </c>
      <c r="O113" s="25">
        <f t="shared" si="257"/>
        <v>0.67853937765261196</v>
      </c>
      <c r="P113" s="25">
        <f t="shared" si="257"/>
        <v>0.97137233852209692</v>
      </c>
      <c r="Q113" s="118">
        <f t="shared" si="190"/>
        <v>0.1103963732653388</v>
      </c>
      <c r="R113" s="128"/>
      <c r="S113" s="25">
        <f t="shared" ref="S113:AB113" si="258">S10/(S10+S7)</f>
        <v>0.97137233852209703</v>
      </c>
      <c r="T113" s="25">
        <f t="shared" si="258"/>
        <v>0.97137233852209703</v>
      </c>
      <c r="U113" s="25">
        <f t="shared" si="258"/>
        <v>0.97137233852209692</v>
      </c>
      <c r="V113" s="25">
        <f t="shared" si="258"/>
        <v>0.97137233852209703</v>
      </c>
      <c r="W113" s="25">
        <f t="shared" si="258"/>
        <v>0.97137233852209703</v>
      </c>
      <c r="X113" s="25">
        <f t="shared" si="258"/>
        <v>0.97137233852209692</v>
      </c>
      <c r="Y113" s="25">
        <f t="shared" si="258"/>
        <v>0.97137233852209692</v>
      </c>
      <c r="Z113" s="25">
        <f t="shared" si="258"/>
        <v>0.97137233852209703</v>
      </c>
      <c r="AA113" s="25">
        <f t="shared" si="258"/>
        <v>0.97137233852209703</v>
      </c>
      <c r="AB113" s="25">
        <f t="shared" si="258"/>
        <v>0.97137233852209692</v>
      </c>
      <c r="AC113" s="118">
        <f t="shared" si="252"/>
        <v>0</v>
      </c>
      <c r="AD113" s="20"/>
      <c r="AE113" s="20"/>
    </row>
    <row r="114" spans="2:31">
      <c r="B114" s="20"/>
      <c r="C114" s="20"/>
      <c r="D114" s="20"/>
      <c r="E114" s="20"/>
      <c r="F114" s="20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128"/>
      <c r="R114" s="128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137"/>
      <c r="AD114" s="20"/>
      <c r="AE114" s="20"/>
    </row>
    <row r="115" spans="2:31">
      <c r="B115" s="20" t="s">
        <v>364</v>
      </c>
      <c r="C115" s="20"/>
      <c r="D115" s="20"/>
      <c r="E115" s="20"/>
      <c r="F115" s="20"/>
      <c r="G115" s="25">
        <f>G16</f>
        <v>443</v>
      </c>
      <c r="H115" s="25">
        <f t="shared" ref="H115:P115" si="259">H16</f>
        <v>990</v>
      </c>
      <c r="I115" s="25">
        <f t="shared" si="259"/>
        <v>2544</v>
      </c>
      <c r="J115" s="25">
        <f t="shared" si="259"/>
        <v>4600</v>
      </c>
      <c r="K115" s="25">
        <f t="shared" si="259"/>
        <v>10233.33</v>
      </c>
      <c r="L115" s="25">
        <f t="shared" si="259"/>
        <v>10143.75</v>
      </c>
      <c r="M115" s="25">
        <f t="shared" si="259"/>
        <v>7933.77</v>
      </c>
      <c r="N115" s="25">
        <f t="shared" si="259"/>
        <v>6793.21</v>
      </c>
      <c r="O115" s="25">
        <f t="shared" si="259"/>
        <v>3315.77</v>
      </c>
      <c r="P115" s="25">
        <f t="shared" si="259"/>
        <v>-848</v>
      </c>
      <c r="Q115" s="118">
        <f t="shared" si="190"/>
        <v>-2.0748118808945923</v>
      </c>
      <c r="R115" s="128"/>
      <c r="S115" s="25">
        <f t="shared" ref="S115:AB115" si="260">S16</f>
        <v>-949.7600000000001</v>
      </c>
      <c r="T115" s="25">
        <f t="shared" si="260"/>
        <v>-1063.7312000000002</v>
      </c>
      <c r="U115" s="25">
        <f t="shared" si="260"/>
        <v>-1191.3789440000003</v>
      </c>
      <c r="V115" s="25">
        <f t="shared" si="260"/>
        <v>-1334.3444172800005</v>
      </c>
      <c r="W115" s="25">
        <f t="shared" si="260"/>
        <v>-1494.4657473536006</v>
      </c>
      <c r="X115" s="25">
        <f t="shared" si="260"/>
        <v>-1673.8016370360328</v>
      </c>
      <c r="Y115" s="25">
        <f t="shared" si="260"/>
        <v>-1874.6578334803569</v>
      </c>
      <c r="Z115" s="25">
        <f t="shared" si="260"/>
        <v>-2099.6167734979999</v>
      </c>
      <c r="AA115" s="25">
        <f t="shared" si="260"/>
        <v>-2351.5707863177599</v>
      </c>
      <c r="AB115" s="25">
        <f t="shared" si="260"/>
        <v>-2633.7592806758912</v>
      </c>
      <c r="AC115" s="118">
        <f t="shared" si="252"/>
        <v>0.12000000000000011</v>
      </c>
      <c r="AD115" s="20"/>
      <c r="AE115" s="20"/>
    </row>
    <row r="116" spans="2:31">
      <c r="B116" s="20" t="s">
        <v>365</v>
      </c>
      <c r="C116" s="20"/>
      <c r="D116" s="20"/>
      <c r="E116" s="20"/>
      <c r="F116" s="20"/>
      <c r="G116" s="119">
        <f t="shared" ref="G116:P116" si="261">G115*365/G25</f>
        <v>180.67086047577013</v>
      </c>
      <c r="H116" s="119">
        <f t="shared" si="261"/>
        <v>178.25430651749244</v>
      </c>
      <c r="I116" s="119">
        <f t="shared" si="261"/>
        <v>230.88743566153619</v>
      </c>
      <c r="J116" s="119">
        <f t="shared" si="261"/>
        <v>183.65924919573874</v>
      </c>
      <c r="K116" s="119">
        <f t="shared" si="261"/>
        <v>273.04978716218437</v>
      </c>
      <c r="L116" s="119">
        <f t="shared" si="261"/>
        <v>141.95657299945938</v>
      </c>
      <c r="M116" s="119">
        <f t="shared" si="261"/>
        <v>140.44004847800596</v>
      </c>
      <c r="N116" s="119">
        <f t="shared" si="261"/>
        <v>138.68245546623353</v>
      </c>
      <c r="O116" s="119">
        <f t="shared" si="261"/>
        <v>57.406071992854699</v>
      </c>
      <c r="P116" s="119">
        <f t="shared" si="261"/>
        <v>-16.365462909110136</v>
      </c>
      <c r="Q116" s="118">
        <f t="shared" si="190"/>
        <v>-1.7658003767795458</v>
      </c>
      <c r="R116" s="128"/>
      <c r="S116" s="119">
        <f t="shared" ref="S116:AB116" si="262">S115*365/S25</f>
        <v>-16.365462909110136</v>
      </c>
      <c r="T116" s="119">
        <f t="shared" si="262"/>
        <v>-16.365462909110136</v>
      </c>
      <c r="U116" s="119">
        <f t="shared" si="262"/>
        <v>-16.365462909110136</v>
      </c>
      <c r="V116" s="119">
        <f t="shared" si="262"/>
        <v>-16.365462909110139</v>
      </c>
      <c r="W116" s="119">
        <f t="shared" si="262"/>
        <v>-16.365462909110139</v>
      </c>
      <c r="X116" s="119">
        <f t="shared" si="262"/>
        <v>-16.365462909110136</v>
      </c>
      <c r="Y116" s="119">
        <f t="shared" si="262"/>
        <v>-16.365462909110132</v>
      </c>
      <c r="Z116" s="119">
        <f t="shared" si="262"/>
        <v>-16.365462909110136</v>
      </c>
      <c r="AA116" s="119">
        <f t="shared" si="262"/>
        <v>-16.365462909110136</v>
      </c>
      <c r="AB116" s="119">
        <f t="shared" si="262"/>
        <v>-16.365462909110132</v>
      </c>
      <c r="AC116" s="118">
        <f t="shared" si="252"/>
        <v>0</v>
      </c>
      <c r="AD116" s="20"/>
      <c r="AE116" s="20"/>
    </row>
    <row r="117" spans="2:31">
      <c r="B117" s="20" t="s">
        <v>368</v>
      </c>
      <c r="C117" s="20"/>
      <c r="D117" s="20"/>
      <c r="E117" s="20"/>
      <c r="F117" s="20"/>
      <c r="G117" s="133" t="e">
        <f>G72/G29</f>
        <v>#DIV/0!</v>
      </c>
      <c r="H117" s="133" t="e">
        <f t="shared" ref="H117:P117" si="263">H72/H29</f>
        <v>#DIV/0!</v>
      </c>
      <c r="I117" s="133" t="e">
        <f t="shared" si="263"/>
        <v>#DIV/0!</v>
      </c>
      <c r="J117" s="133" t="e">
        <f t="shared" si="263"/>
        <v>#DIV/0!</v>
      </c>
      <c r="K117" s="133" t="e">
        <f t="shared" si="263"/>
        <v>#DIV/0!</v>
      </c>
      <c r="L117" s="133" t="e">
        <f t="shared" si="263"/>
        <v>#DIV/0!</v>
      </c>
      <c r="M117" s="133" t="e">
        <f t="shared" si="263"/>
        <v>#DIV/0!</v>
      </c>
      <c r="N117" s="133" t="e">
        <f t="shared" si="263"/>
        <v>#DIV/0!</v>
      </c>
      <c r="O117" s="133" t="e">
        <f t="shared" si="263"/>
        <v>#DIV/0!</v>
      </c>
      <c r="P117" s="133" t="e">
        <f t="shared" si="263"/>
        <v>#DIV/0!</v>
      </c>
      <c r="Q117" s="118" t="e">
        <f t="shared" si="190"/>
        <v>#DIV/0!</v>
      </c>
      <c r="R117" s="128"/>
      <c r="S117" s="133" t="e">
        <f t="shared" ref="S117:AB117" si="264">S72/S29</f>
        <v>#DIV/0!</v>
      </c>
      <c r="T117" s="133" t="e">
        <f t="shared" si="264"/>
        <v>#DIV/0!</v>
      </c>
      <c r="U117" s="133" t="e">
        <f t="shared" si="264"/>
        <v>#DIV/0!</v>
      </c>
      <c r="V117" s="133" t="e">
        <f t="shared" si="264"/>
        <v>#DIV/0!</v>
      </c>
      <c r="W117" s="133" t="e">
        <f t="shared" si="264"/>
        <v>#DIV/0!</v>
      </c>
      <c r="X117" s="133" t="e">
        <f t="shared" si="264"/>
        <v>#DIV/0!</v>
      </c>
      <c r="Y117" s="133" t="e">
        <f t="shared" si="264"/>
        <v>#DIV/0!</v>
      </c>
      <c r="Z117" s="133" t="e">
        <f t="shared" si="264"/>
        <v>#DIV/0!</v>
      </c>
      <c r="AA117" s="133" t="e">
        <f t="shared" si="264"/>
        <v>#DIV/0!</v>
      </c>
      <c r="AB117" s="133" t="e">
        <f t="shared" si="264"/>
        <v>#DIV/0!</v>
      </c>
      <c r="AC117" s="118" t="e">
        <f t="shared" si="252"/>
        <v>#DIV/0!</v>
      </c>
      <c r="AD117" s="20"/>
      <c r="AE117" s="20"/>
    </row>
    <row r="118" spans="2:31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128"/>
      <c r="R118" s="128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137"/>
      <c r="AD118" s="20"/>
      <c r="AE118" s="20"/>
    </row>
    <row r="119" spans="2:31">
      <c r="B119" s="20" t="s">
        <v>375</v>
      </c>
      <c r="C119" s="20"/>
      <c r="D119" s="20"/>
      <c r="E119" s="20"/>
      <c r="F119" s="20"/>
      <c r="G119" s="20" t="e">
        <f>G25/G14</f>
        <v>#DIV/0!</v>
      </c>
      <c r="H119" s="20" t="e">
        <f t="shared" ref="H119:P119" si="265">H25/H14</f>
        <v>#DIV/0!</v>
      </c>
      <c r="I119" s="20" t="e">
        <f t="shared" si="265"/>
        <v>#DIV/0!</v>
      </c>
      <c r="J119" s="20" t="e">
        <f t="shared" si="265"/>
        <v>#DIV/0!</v>
      </c>
      <c r="K119" s="20" t="e">
        <f t="shared" si="265"/>
        <v>#DIV/0!</v>
      </c>
      <c r="L119" s="20" t="e">
        <f t="shared" si="265"/>
        <v>#DIV/0!</v>
      </c>
      <c r="M119" s="20" t="e">
        <f t="shared" si="265"/>
        <v>#DIV/0!</v>
      </c>
      <c r="N119" s="20" t="e">
        <f t="shared" si="265"/>
        <v>#DIV/0!</v>
      </c>
      <c r="O119" s="20" t="e">
        <f t="shared" si="265"/>
        <v>#DIV/0!</v>
      </c>
      <c r="P119" s="20" t="e">
        <f t="shared" si="265"/>
        <v>#DIV/0!</v>
      </c>
      <c r="Q119" s="118" t="e">
        <f t="shared" si="190"/>
        <v>#DIV/0!</v>
      </c>
      <c r="R119" s="128"/>
      <c r="S119" s="20" t="e">
        <f t="shared" ref="S119" si="266">S25/S14</f>
        <v>#DIV/0!</v>
      </c>
      <c r="T119" s="20" t="e">
        <f t="shared" ref="T119:AB119" si="267">T25/T14</f>
        <v>#DIV/0!</v>
      </c>
      <c r="U119" s="20" t="e">
        <f t="shared" si="267"/>
        <v>#DIV/0!</v>
      </c>
      <c r="V119" s="20" t="e">
        <f t="shared" si="267"/>
        <v>#DIV/0!</v>
      </c>
      <c r="W119" s="20" t="e">
        <f t="shared" si="267"/>
        <v>#DIV/0!</v>
      </c>
      <c r="X119" s="20" t="e">
        <f t="shared" si="267"/>
        <v>#DIV/0!</v>
      </c>
      <c r="Y119" s="20" t="e">
        <f t="shared" si="267"/>
        <v>#DIV/0!</v>
      </c>
      <c r="Z119" s="20" t="e">
        <f t="shared" si="267"/>
        <v>#DIV/0!</v>
      </c>
      <c r="AA119" s="20" t="e">
        <f t="shared" si="267"/>
        <v>#DIV/0!</v>
      </c>
      <c r="AB119" s="20" t="e">
        <f t="shared" si="267"/>
        <v>#DIV/0!</v>
      </c>
      <c r="AC119" s="118" t="e">
        <f t="shared" si="252"/>
        <v>#DIV/0!</v>
      </c>
      <c r="AD119" s="20"/>
      <c r="AE119" s="20"/>
    </row>
    <row r="120" spans="2:31">
      <c r="B120" s="20" t="s">
        <v>376</v>
      </c>
      <c r="C120" s="20"/>
      <c r="D120" s="20"/>
      <c r="E120" s="20"/>
      <c r="F120" s="20"/>
      <c r="G120" s="20" t="e">
        <f>G27/G14</f>
        <v>#DIV/0!</v>
      </c>
      <c r="H120" s="20" t="e">
        <f t="shared" ref="H120:P120" si="268">H27/H14</f>
        <v>#DIV/0!</v>
      </c>
      <c r="I120" s="20" t="e">
        <f t="shared" si="268"/>
        <v>#DIV/0!</v>
      </c>
      <c r="J120" s="20" t="e">
        <f t="shared" si="268"/>
        <v>#DIV/0!</v>
      </c>
      <c r="K120" s="20" t="e">
        <f t="shared" si="268"/>
        <v>#DIV/0!</v>
      </c>
      <c r="L120" s="20" t="e">
        <f t="shared" si="268"/>
        <v>#DIV/0!</v>
      </c>
      <c r="M120" s="20" t="e">
        <f t="shared" si="268"/>
        <v>#DIV/0!</v>
      </c>
      <c r="N120" s="20" t="e">
        <f t="shared" si="268"/>
        <v>#DIV/0!</v>
      </c>
      <c r="O120" s="20" t="e">
        <f t="shared" si="268"/>
        <v>#DIV/0!</v>
      </c>
      <c r="P120" s="20" t="e">
        <f t="shared" si="268"/>
        <v>#DIV/0!</v>
      </c>
      <c r="Q120" s="118"/>
      <c r="R120" s="128"/>
      <c r="S120" s="20" t="e">
        <f t="shared" ref="S120:AB120" si="269">S27/S14</f>
        <v>#DIV/0!</v>
      </c>
      <c r="T120" s="20" t="e">
        <f t="shared" si="269"/>
        <v>#DIV/0!</v>
      </c>
      <c r="U120" s="20" t="e">
        <f t="shared" si="269"/>
        <v>#DIV/0!</v>
      </c>
      <c r="V120" s="20" t="e">
        <f t="shared" si="269"/>
        <v>#DIV/0!</v>
      </c>
      <c r="W120" s="20" t="e">
        <f t="shared" si="269"/>
        <v>#DIV/0!</v>
      </c>
      <c r="X120" s="20" t="e">
        <f t="shared" si="269"/>
        <v>#DIV/0!</v>
      </c>
      <c r="Y120" s="20" t="e">
        <f t="shared" si="269"/>
        <v>#DIV/0!</v>
      </c>
      <c r="Z120" s="20" t="e">
        <f t="shared" si="269"/>
        <v>#DIV/0!</v>
      </c>
      <c r="AA120" s="20" t="e">
        <f t="shared" si="269"/>
        <v>#DIV/0!</v>
      </c>
      <c r="AB120" s="20" t="e">
        <f t="shared" si="269"/>
        <v>#DIV/0!</v>
      </c>
      <c r="AC120" s="118" t="e">
        <f t="shared" si="252"/>
        <v>#DIV/0!</v>
      </c>
      <c r="AD120" s="20"/>
      <c r="AE120" s="20"/>
    </row>
    <row r="121" spans="2:31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128"/>
      <c r="R121" s="128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37"/>
      <c r="AD121" s="20"/>
      <c r="AE121" s="20"/>
    </row>
    <row r="122" spans="2:31">
      <c r="B122" s="108" t="s">
        <v>244</v>
      </c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3"/>
      <c r="R122" s="23"/>
      <c r="S122" s="122" t="s">
        <v>66</v>
      </c>
      <c r="T122" s="20"/>
      <c r="U122" s="20"/>
      <c r="V122" s="20"/>
      <c r="W122" s="20"/>
      <c r="X122" s="20"/>
      <c r="Y122" s="20"/>
      <c r="Z122" s="20"/>
      <c r="AA122" s="20"/>
      <c r="AB122" s="20"/>
      <c r="AC122" s="137"/>
      <c r="AD122" s="20"/>
      <c r="AE122" s="20"/>
    </row>
    <row r="123" spans="2:31">
      <c r="B123" s="23" t="s">
        <v>281</v>
      </c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5"/>
      <c r="Q123" s="160">
        <f>AVERAGE(G47:P47)</f>
        <v>12.476699120181586</v>
      </c>
      <c r="R123" s="23"/>
      <c r="S123" s="134"/>
      <c r="T123" s="20"/>
      <c r="U123" s="20"/>
      <c r="V123" s="20"/>
      <c r="W123" s="20"/>
      <c r="X123" s="20"/>
      <c r="Y123" s="20"/>
      <c r="Z123" s="20"/>
      <c r="AA123" s="20"/>
      <c r="AB123" s="20"/>
      <c r="AC123" s="137"/>
      <c r="AD123" s="20"/>
      <c r="AE123" s="20"/>
    </row>
    <row r="124" spans="2:31">
      <c r="B124" s="20" t="s">
        <v>25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140">
        <f>S124+T124</f>
        <v>-29.743176566905504</v>
      </c>
      <c r="S124" s="133">
        <f>PV($C$1, ($AB$3-$S$3), 0, -AB47)</f>
        <v>-3.4131514093170252</v>
      </c>
      <c r="T124" s="133">
        <f>PV($C$1, ($AB$3-$S$3), 0, -AE47)</f>
        <v>-26.33002515758848</v>
      </c>
      <c r="U124" s="20"/>
      <c r="V124" s="20"/>
      <c r="W124" s="20"/>
      <c r="X124" s="20"/>
      <c r="Y124" s="20"/>
      <c r="Z124" s="20"/>
      <c r="AA124" s="20"/>
      <c r="AB124" s="20"/>
      <c r="AC124" s="137"/>
      <c r="AD124" s="20"/>
      <c r="AE124" s="20"/>
    </row>
    <row r="125" spans="2:31">
      <c r="B125" s="20" t="s">
        <v>273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140">
        <f t="shared" ref="R125:R143" si="270">S125+T125</f>
        <v>2.0117980345402158</v>
      </c>
      <c r="S125" s="133">
        <f>PV($C$1, ($AB$3-$S$3), 0, -AB48)</f>
        <v>0.23086206953740182</v>
      </c>
      <c r="T125" s="133">
        <f>PV($C$1, ($AB$3-$S$3), 0, -AE48)</f>
        <v>1.780935965002814</v>
      </c>
      <c r="U125" s="20"/>
      <c r="V125" s="20"/>
      <c r="W125" s="20"/>
      <c r="X125" s="20"/>
      <c r="Y125" s="20"/>
      <c r="Z125" s="20"/>
      <c r="AA125" s="20"/>
      <c r="AB125" s="20"/>
      <c r="AC125" s="137"/>
      <c r="AD125" s="20"/>
      <c r="AE125" s="20"/>
    </row>
    <row r="126" spans="2:31">
      <c r="B126" s="20" t="s">
        <v>274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140">
        <f t="shared" si="270"/>
        <v>-0.21375354116989789</v>
      </c>
      <c r="S126" s="133">
        <f>PV($C$1, ($AB$3-$S$3), 0, -AB49)</f>
        <v>-2.4529094888348941E-2</v>
      </c>
      <c r="T126" s="133">
        <f>PV($C$1, ($AB$3-$S$3), 0, -AE49)</f>
        <v>-0.18922444628154894</v>
      </c>
      <c r="U126" s="20"/>
      <c r="V126" s="20"/>
      <c r="W126" s="20"/>
      <c r="X126" s="20"/>
      <c r="Y126" s="20"/>
      <c r="Z126" s="20"/>
      <c r="AA126" s="20"/>
      <c r="AB126" s="20"/>
      <c r="AC126" s="137"/>
      <c r="AD126" s="20"/>
      <c r="AE126" s="20"/>
    </row>
    <row r="127" spans="2:31">
      <c r="B127" s="20" t="s">
        <v>275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140">
        <f t="shared" si="270"/>
        <v>68.262822059492677</v>
      </c>
      <c r="S127" s="133">
        <f>PV($C$1, ($AB$3-$S$3), 0, -AB50)</f>
        <v>7.8334385969909635</v>
      </c>
      <c r="T127" s="133">
        <f>PV($C$1, ($AB$3-$S$3), 0, -AE50)</f>
        <v>60.429383462501711</v>
      </c>
      <c r="U127" s="20"/>
      <c r="V127" s="20"/>
      <c r="W127" s="20"/>
      <c r="X127" s="20"/>
      <c r="Y127" s="20"/>
      <c r="Z127" s="20"/>
      <c r="AA127" s="20"/>
      <c r="AB127" s="20"/>
      <c r="AC127" s="137"/>
      <c r="AD127" s="20"/>
      <c r="AE127" s="20"/>
    </row>
    <row r="128" spans="2:31">
      <c r="B128" s="20" t="s">
        <v>276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140">
        <f t="shared" si="270"/>
        <v>12.315976092700884</v>
      </c>
      <c r="S128" s="133">
        <f>PV($C$1, ($AB$3-$S$3), 0, -AB56)</f>
        <v>1.4133087319492821</v>
      </c>
      <c r="T128" s="133">
        <f>PV($C$1, ($AB$3-$S$3), 0, -AE56)</f>
        <v>10.902667360751602</v>
      </c>
      <c r="U128" s="20"/>
      <c r="V128" s="20"/>
      <c r="W128" s="20"/>
      <c r="X128" s="20"/>
      <c r="Y128" s="20"/>
      <c r="Z128" s="20"/>
      <c r="AA128" s="20"/>
      <c r="AB128" s="20"/>
      <c r="AC128" s="137"/>
      <c r="AD128" s="20"/>
      <c r="AE128" s="20"/>
    </row>
    <row r="129" spans="2:31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140"/>
      <c r="S129" s="133"/>
      <c r="T129" s="20"/>
      <c r="U129" s="20"/>
      <c r="V129" s="20"/>
      <c r="W129" s="20"/>
      <c r="X129" s="20"/>
      <c r="Y129" s="20"/>
      <c r="Z129" s="20"/>
      <c r="AA129" s="20"/>
      <c r="AB129" s="20"/>
      <c r="AC129" s="137"/>
      <c r="AD129" s="20"/>
      <c r="AE129" s="20"/>
    </row>
    <row r="130" spans="2:31">
      <c r="B130" s="20" t="s">
        <v>271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140">
        <f t="shared" si="270"/>
        <v>-66.251024024952457</v>
      </c>
      <c r="S130" s="133">
        <f>PV($C$1, ($AB$3-$S$3), 0, -AB52)</f>
        <v>-7.6025765274535617</v>
      </c>
      <c r="T130" s="133">
        <f>PV($C$1, ($AB$3-$S$3), 0, -$AE$52)</f>
        <v>-58.6484474974989</v>
      </c>
      <c r="U130" s="20"/>
      <c r="V130" s="20"/>
      <c r="W130" s="20"/>
      <c r="X130" s="20"/>
      <c r="Y130" s="20"/>
      <c r="Z130" s="20"/>
      <c r="AA130" s="20"/>
      <c r="AB130" s="20"/>
      <c r="AC130" s="137"/>
      <c r="AD130" s="20"/>
      <c r="AE130" s="20"/>
    </row>
    <row r="131" spans="2:31">
      <c r="B131" s="20" t="s">
        <v>272</v>
      </c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140">
        <f t="shared" si="270"/>
        <v>-168.41892983530573</v>
      </c>
      <c r="S131" s="133">
        <f>PV($C$1, ($AB$3-$S$3), 0, -AB53)</f>
        <v>-19.326762440117054</v>
      </c>
      <c r="T131" s="133">
        <f>PV($C$1, ($AB$3-$S$3), 0, -$AE$53)</f>
        <v>-149.09216739518868</v>
      </c>
      <c r="U131" s="20"/>
      <c r="V131" s="20"/>
      <c r="W131" s="20"/>
      <c r="X131" s="20"/>
      <c r="Y131" s="20"/>
      <c r="Z131" s="20"/>
      <c r="AA131" s="20"/>
      <c r="AB131" s="20"/>
      <c r="AC131" s="137"/>
      <c r="AD131" s="20"/>
      <c r="AE131" s="20"/>
    </row>
    <row r="132" spans="2:31">
      <c r="B132" s="20" t="s">
        <v>277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140">
        <f t="shared" si="270"/>
        <v>-78.680163757096238</v>
      </c>
      <c r="S132" s="133">
        <f>PV($C$1, ($AB$3-$S$3), 0, -AB54)</f>
        <v>-9.0288712508143245</v>
      </c>
      <c r="T132" s="133">
        <f>PV($C$1, ($AB$3-$S$3), 0, -$AE$54)</f>
        <v>-69.651292506281919</v>
      </c>
      <c r="U132" s="20"/>
      <c r="V132" s="20"/>
      <c r="W132" s="20"/>
      <c r="X132" s="20"/>
      <c r="Y132" s="20"/>
      <c r="Z132" s="20"/>
      <c r="AA132" s="20"/>
      <c r="AB132" s="20"/>
      <c r="AC132" s="137"/>
      <c r="AD132" s="20"/>
      <c r="AE132" s="20"/>
    </row>
    <row r="133" spans="2:31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140"/>
      <c r="S133" s="133"/>
      <c r="T133" s="20"/>
      <c r="U133" s="20"/>
      <c r="V133" s="20"/>
      <c r="W133" s="20"/>
      <c r="X133" s="20"/>
      <c r="Y133" s="20"/>
      <c r="Z133" s="20"/>
      <c r="AA133" s="20"/>
      <c r="AB133" s="20"/>
      <c r="AC133" s="137"/>
      <c r="AD133" s="20"/>
      <c r="AE133" s="20"/>
    </row>
    <row r="134" spans="2:31">
      <c r="B134" s="20" t="s">
        <v>249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140">
        <f t="shared" si="270"/>
        <v>89.738766078209494</v>
      </c>
      <c r="S134" s="133">
        <f>PV($C$1, ($AB$3-$S$3), 0, -AB59)</f>
        <v>10.297891189302728</v>
      </c>
      <c r="T134" s="133">
        <f>PV($C$1, ($AB$3-$S$3), 0, -AE59)</f>
        <v>79.440874888906762</v>
      </c>
      <c r="U134" s="20"/>
      <c r="V134" s="20"/>
      <c r="W134" s="20"/>
      <c r="X134" s="20"/>
      <c r="Y134" s="20"/>
      <c r="Z134" s="20"/>
      <c r="AA134" s="20"/>
      <c r="AB134" s="20"/>
      <c r="AC134" s="137"/>
      <c r="AD134" s="20"/>
      <c r="AE134" s="20"/>
    </row>
    <row r="135" spans="2:31">
      <c r="B135" s="20" t="s">
        <v>250</v>
      </c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140">
        <f t="shared" si="270"/>
        <v>-3.3926230491564544</v>
      </c>
      <c r="S135" s="133">
        <f>PV($C$1, ($AB$3-$S$3), 0, -AB60)</f>
        <v>-0.61178448427411469</v>
      </c>
      <c r="T135" s="133">
        <f>PV($C$1, ($AB$3-$S$3), 0, -AE60)</f>
        <v>-2.7808385648823397</v>
      </c>
      <c r="U135" s="20"/>
      <c r="V135" s="20"/>
      <c r="W135" s="20"/>
      <c r="X135" s="20"/>
      <c r="Y135" s="20"/>
      <c r="Z135" s="20"/>
      <c r="AA135" s="20"/>
      <c r="AB135" s="20"/>
      <c r="AC135" s="137"/>
      <c r="AD135" s="20"/>
      <c r="AE135" s="20"/>
    </row>
    <row r="136" spans="2:31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40"/>
      <c r="S136" s="133"/>
      <c r="T136" s="133"/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>
      <c r="B137" s="20" t="s">
        <v>294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140">
        <f t="shared" ref="R137" si="271">S137+T137</f>
        <v>8855.3958911865629</v>
      </c>
      <c r="S137" s="133">
        <f>PV($C$1, ($AB$3-$S$3), 0, -AB12)</f>
        <v>1016.1929711197697</v>
      </c>
      <c r="T137" s="133">
        <f>PV($C$1, ($AB$3-$S$3), 0, -AE12)</f>
        <v>7839.2029200667939</v>
      </c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>
      <c r="B138" s="20" t="s">
        <v>295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>
        <f>S138+T138</f>
        <v>49.824992354619731</v>
      </c>
      <c r="S138" s="140">
        <f>S137/P40</f>
        <v>5.7176220734809533</v>
      </c>
      <c r="T138" s="140">
        <f>T137/P40</f>
        <v>44.107370281138778</v>
      </c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/>
      <c r="S139" s="140"/>
      <c r="T139" s="140"/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>
      <c r="B140" s="108" t="s">
        <v>298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/>
      <c r="S140" s="133"/>
      <c r="T140" s="133"/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>
      <c r="B141" s="20" t="s">
        <v>283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>
        <f t="shared" ref="R141" si="272">S141+T141</f>
        <v>0</v>
      </c>
      <c r="S141" s="133">
        <f>PV($C$1, ($AB$3-$S$3), 0, -AB62)+PV($C$1, ($AA$3-$S$3), 0, -AB62)+PV($C$1, ($Z$3-$S$3), 0, -AB62)+PV($C$1, ($Y$3-$S$3), 0, -AB62)+PV($C$1, ($X$3-$S$3), 0, -AB62)+PV($C$1, ($W$3-$S$3), 0, -AB62)+PV($C$1, ($V$3-$S$3), 0, -AB62)+PV($C$1, ($U$3-$S$3), 0, -AB62)+PV($C$1, ($T$3-$S$3), 0, -AB62)+PV($C$1, ($S$3-$S$3), 0, -AB62)</f>
        <v>0</v>
      </c>
      <c r="T141" s="133">
        <f>PV($C$1, ($AB$3-$S$3), 0, -AE62)</f>
        <v>0</v>
      </c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>
      <c r="B142" s="23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/>
      <c r="S142" s="133"/>
      <c r="T142" s="133"/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>
      <c r="B143" s="20" t="s">
        <v>291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>
        <f t="shared" si="270"/>
        <v>0</v>
      </c>
      <c r="S143" s="133">
        <f>PV($C$1, ($AB$3-$S$3), 0, -AB64)+PV($C$1, ($AA$3-$S$3), 0, -AB64)+PV($C$1, ($Z$3-$S$3), 0, -AB64)+PV($C$1, ($Y$3-$S$3), 0, -AB64)+PV($C$1, ($X$3-$S$3), 0, -AB64)+PV($C$1, ($W$3-$S$3), 0, -AB64)+PV($C$1, ($V$3-$S$3), 0, -AB64)+PV($C$1, ($U$3-$S$3), 0, -AB64)+PV($C$1, ($T$3-$S$3), 0, -AB64)+PV($C$1, ($S$3-$S$3), 0, -AB64)</f>
        <v>0</v>
      </c>
      <c r="T143" s="133">
        <f>PV($C$1, ($AB$3-$S$3), 0, -AE64)</f>
        <v>0</v>
      </c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/>
      <c r="S144" s="133"/>
      <c r="T144" s="133"/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>
      <c r="B145" s="20" t="s">
        <v>287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ref="R145:R148" si="273">S145+T145</f>
        <v>0</v>
      </c>
      <c r="S145" s="133">
        <f>PV($C$1, ($AB$3-$S$3), 0, -AB66)+PV($C$1, ($AA$3-$S$3), 0, -AB66)+PV($C$1, ($Z$3-$S$3), 0, -AB66)+PV($C$1, ($Y$3-$S$3), 0, -AB66)+PV($C$1, ($X$3-$S$3), 0, -AB66)+PV($C$1, ($W$3-$S$3), 0, -AB66)+PV($C$1, ($V$3-$S$3), 0, -AB66)+PV($C$1, ($U$3-$S$3), 0, -AB66)+PV($C$1, ($T$3-$S$3), 0, -AB66)+PV($C$1, ($S$3-$S$3), 0, -AB66)</f>
        <v>0</v>
      </c>
      <c r="T145" s="133">
        <f>PV($C$1, ($AB$3-$S$3), 0, -AE66)</f>
        <v>0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>
      <c r="B146" s="20" t="s">
        <v>288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>
        <f t="shared" si="273"/>
        <v>0</v>
      </c>
      <c r="S146" s="133">
        <f>PV($C$1, ($AB$3-$S$3), 0, -AB67)+PV($C$1, ($AA$3-$S$3), 0, -AB67)+PV($C$1, ($Z$3-$S$3), 0, -AB67)+PV($C$1, ($Y$3-$S$3), 0, -AB67)+PV($C$1, ($X$3-$S$3), 0, -AB67)+PV($C$1, ($W$3-$S$3), 0, -AB67)+PV($C$1, ($V$3-$S$3), 0, -AB67)+PV($C$1, ($U$3-$S$3), 0, -AB67)+PV($C$1, ($T$3-$S$3), 0, -AB67)+PV($C$1, ($S$3-$S$3), 0, -AB67)</f>
        <v>0</v>
      </c>
      <c r="T146" s="133">
        <f>PV($C$1, ($AB$3-$S$3), 0, -AE67)</f>
        <v>0</v>
      </c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>
      <c r="B147" s="20" t="s">
        <v>289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>
        <f t="shared" si="273"/>
        <v>0</v>
      </c>
      <c r="S147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0</v>
      </c>
      <c r="T147" s="133">
        <f>PV($C$1, ($AB$3-$S$3), 0, -AE68)</f>
        <v>0</v>
      </c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>
      <c r="B148" s="20" t="s">
        <v>290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>
        <f t="shared" si="273"/>
        <v>0</v>
      </c>
      <c r="S148" s="133">
        <f>PV($C$1, ($AB$3-$S$3), 0, -AB69)+PV($C$1, ($AA$3-$S$3), 0, -AB69)+PV($C$1, ($Z$3-$S$3), 0, -AB69)+PV($C$1, ($Y$3-$S$3), 0, -AB69)+PV($C$1, ($X$3-$S$3), 0, -AB69)+PV($C$1, ($W$3-$S$3), 0, -AB69)+PV($C$1, ($V$3-$S$3), 0, -AB69)+PV($C$1, ($U$3-$S$3), 0, -AB69)+PV($C$1, ($T$3-$S$3), 0, -AB69)+PV($C$1, ($S$3-$S$3), 0, -AB69)</f>
        <v>0</v>
      </c>
      <c r="T148" s="133">
        <f>PV($C$1, ($AB$3-$S$3), 0, -AE69)</f>
        <v>0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/>
      <c r="S149" s="133"/>
      <c r="T149" s="133"/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>
      <c r="B150" s="20" t="s">
        <v>299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>
        <f>S150+T150</f>
        <v>0</v>
      </c>
      <c r="S150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0</v>
      </c>
      <c r="T150" s="133">
        <f>PV($C$1, ($AB$3-$S$3), 0, -AE70)</f>
        <v>0</v>
      </c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21"/>
      <c r="T151" s="20"/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>
      <c r="B152" s="108" t="s">
        <v>251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>
      <c r="B153" s="20" t="s">
        <v>204</v>
      </c>
      <c r="C153" s="22">
        <v>0</v>
      </c>
      <c r="D153" s="22">
        <v>0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0</v>
      </c>
      <c r="P153" s="22">
        <v>0</v>
      </c>
      <c r="Q153" s="118" t="e">
        <f t="shared" ref="Q153:Q158" si="274">((P153/G153)^(1/($H$2-$H$1) ))-1</f>
        <v>#DIV/0!</v>
      </c>
      <c r="R153" s="31">
        <f>L2-3%</f>
        <v>0.09</v>
      </c>
      <c r="S153" s="119">
        <f t="shared" ref="S153" si="275">P153*(1+$R153)</f>
        <v>0</v>
      </c>
      <c r="T153" s="119">
        <f t="shared" ref="T153:AB153" si="276">S153*(1+$R153)</f>
        <v>0</v>
      </c>
      <c r="U153" s="119">
        <f t="shared" si="276"/>
        <v>0</v>
      </c>
      <c r="V153" s="119">
        <f t="shared" si="276"/>
        <v>0</v>
      </c>
      <c r="W153" s="119">
        <f t="shared" si="276"/>
        <v>0</v>
      </c>
      <c r="X153" s="119">
        <f t="shared" si="276"/>
        <v>0</v>
      </c>
      <c r="Y153" s="119">
        <f t="shared" si="276"/>
        <v>0</v>
      </c>
      <c r="Z153" s="119">
        <f t="shared" si="276"/>
        <v>0</v>
      </c>
      <c r="AA153" s="119">
        <f t="shared" si="276"/>
        <v>0</v>
      </c>
      <c r="AB153" s="119">
        <f t="shared" si="276"/>
        <v>0</v>
      </c>
      <c r="AC153" s="138" t="e">
        <f t="shared" ref="AC153:AC158" si="277">((AB153/G153)^(1/($AB$3-$H$1) ))-1</f>
        <v>#DIV/0!</v>
      </c>
      <c r="AD153" s="31">
        <v>0.08</v>
      </c>
      <c r="AE153" s="127" t="e">
        <f t="shared" ref="AE153:AE159" si="278">(AB153*(1+AC153))/($C$1-AD153)</f>
        <v>#DIV/0!</v>
      </c>
    </row>
    <row r="154" spans="2:31">
      <c r="B154" s="20" t="s">
        <v>362</v>
      </c>
      <c r="C154" s="25" t="e">
        <f t="shared" ref="C154:P154" si="279">C153/C44</f>
        <v>#DIV/0!</v>
      </c>
      <c r="D154" s="25" t="e">
        <f t="shared" si="279"/>
        <v>#DIV/0!</v>
      </c>
      <c r="E154" s="25" t="e">
        <f t="shared" si="279"/>
        <v>#DIV/0!</v>
      </c>
      <c r="F154" s="25" t="e">
        <f t="shared" si="279"/>
        <v>#DIV/0!</v>
      </c>
      <c r="G154" s="25">
        <f t="shared" si="279"/>
        <v>0</v>
      </c>
      <c r="H154" s="25">
        <f t="shared" si="279"/>
        <v>0</v>
      </c>
      <c r="I154" s="25">
        <f t="shared" si="279"/>
        <v>0</v>
      </c>
      <c r="J154" s="25">
        <f t="shared" si="279"/>
        <v>0</v>
      </c>
      <c r="K154" s="25">
        <f t="shared" si="279"/>
        <v>0</v>
      </c>
      <c r="L154" s="25">
        <f t="shared" si="279"/>
        <v>0</v>
      </c>
      <c r="M154" s="25">
        <f t="shared" si="279"/>
        <v>0</v>
      </c>
      <c r="N154" s="25">
        <f t="shared" si="279"/>
        <v>0</v>
      </c>
      <c r="O154" s="25">
        <f t="shared" si="279"/>
        <v>0</v>
      </c>
      <c r="P154" s="25">
        <f t="shared" si="279"/>
        <v>0</v>
      </c>
      <c r="Q154" s="118" t="e">
        <f t="shared" ref="Q154" si="280">((P154/G154)^(1/($H$2-$H$1) ))-1</f>
        <v>#DIV/0!</v>
      </c>
      <c r="R154" s="128"/>
      <c r="S154" s="25">
        <f t="shared" ref="S154:AB154" si="281">S153/S44</f>
        <v>0</v>
      </c>
      <c r="T154" s="25">
        <f t="shared" si="281"/>
        <v>0</v>
      </c>
      <c r="U154" s="25">
        <f t="shared" si="281"/>
        <v>0</v>
      </c>
      <c r="V154" s="25">
        <f t="shared" si="281"/>
        <v>0</v>
      </c>
      <c r="W154" s="25">
        <f t="shared" si="281"/>
        <v>0</v>
      </c>
      <c r="X154" s="25">
        <f t="shared" si="281"/>
        <v>0</v>
      </c>
      <c r="Y154" s="25">
        <f t="shared" si="281"/>
        <v>0</v>
      </c>
      <c r="Z154" s="25">
        <f t="shared" si="281"/>
        <v>0</v>
      </c>
      <c r="AA154" s="25">
        <f t="shared" si="281"/>
        <v>0</v>
      </c>
      <c r="AB154" s="25">
        <f t="shared" si="281"/>
        <v>0</v>
      </c>
      <c r="AC154" s="138" t="e">
        <f t="shared" ref="AC154" si="282">((AB154/G154)^(1/($AB$3-$H$1) ))-1</f>
        <v>#DIV/0!</v>
      </c>
      <c r="AD154" s="31">
        <v>0.08</v>
      </c>
      <c r="AE154" s="127" t="e">
        <f t="shared" ref="AE154" si="283">(AB154*(1+AC154))/($C$1-AD154)</f>
        <v>#DIV/0!</v>
      </c>
    </row>
    <row r="155" spans="2:31">
      <c r="B155" s="20" t="s">
        <v>42</v>
      </c>
      <c r="C155" s="25" t="e">
        <f t="shared" ref="C155:P155" si="284">C153/C47</f>
        <v>#DIV/0!</v>
      </c>
      <c r="D155" s="25" t="e">
        <f t="shared" si="284"/>
        <v>#DIV/0!</v>
      </c>
      <c r="E155" s="25" t="e">
        <f t="shared" si="284"/>
        <v>#DIV/0!</v>
      </c>
      <c r="F155" s="25" t="e">
        <f t="shared" si="284"/>
        <v>#DIV/0!</v>
      </c>
      <c r="G155" s="25">
        <f t="shared" si="284"/>
        <v>0</v>
      </c>
      <c r="H155" s="25">
        <f t="shared" si="284"/>
        <v>0</v>
      </c>
      <c r="I155" s="25">
        <f t="shared" si="284"/>
        <v>0</v>
      </c>
      <c r="J155" s="25">
        <f t="shared" si="284"/>
        <v>0</v>
      </c>
      <c r="K155" s="25">
        <f t="shared" si="284"/>
        <v>0</v>
      </c>
      <c r="L155" s="25">
        <f t="shared" si="284"/>
        <v>0</v>
      </c>
      <c r="M155" s="25">
        <f t="shared" si="284"/>
        <v>0</v>
      </c>
      <c r="N155" s="25">
        <f t="shared" si="284"/>
        <v>0</v>
      </c>
      <c r="O155" s="25">
        <f t="shared" si="284"/>
        <v>0</v>
      </c>
      <c r="P155" s="25">
        <f t="shared" si="284"/>
        <v>0</v>
      </c>
      <c r="Q155" s="118" t="e">
        <f t="shared" si="274"/>
        <v>#DIV/0!</v>
      </c>
      <c r="R155" s="128"/>
      <c r="S155" s="119">
        <f t="shared" ref="S155:AB155" si="285">S153/S47</f>
        <v>0</v>
      </c>
      <c r="T155" s="119">
        <f t="shared" si="285"/>
        <v>0</v>
      </c>
      <c r="U155" s="119">
        <f t="shared" si="285"/>
        <v>0</v>
      </c>
      <c r="V155" s="119">
        <f t="shared" si="285"/>
        <v>0</v>
      </c>
      <c r="W155" s="119">
        <f t="shared" si="285"/>
        <v>0</v>
      </c>
      <c r="X155" s="119">
        <f t="shared" si="285"/>
        <v>0</v>
      </c>
      <c r="Y155" s="119">
        <f t="shared" si="285"/>
        <v>0</v>
      </c>
      <c r="Z155" s="119">
        <f t="shared" si="285"/>
        <v>0</v>
      </c>
      <c r="AA155" s="119">
        <f t="shared" si="285"/>
        <v>0</v>
      </c>
      <c r="AB155" s="119">
        <f t="shared" si="285"/>
        <v>0</v>
      </c>
      <c r="AC155" s="138" t="e">
        <f t="shared" si="277"/>
        <v>#DIV/0!</v>
      </c>
      <c r="AD155" s="31">
        <v>0.08</v>
      </c>
      <c r="AE155" s="127" t="e">
        <f t="shared" si="278"/>
        <v>#DIV/0!</v>
      </c>
    </row>
    <row r="156" spans="2:31">
      <c r="B156" s="20" t="s">
        <v>259</v>
      </c>
      <c r="C156" s="25" t="e">
        <f t="shared" ref="C156:P156" si="286">C153/C49</f>
        <v>#DIV/0!</v>
      </c>
      <c r="D156" s="25" t="e">
        <f t="shared" si="286"/>
        <v>#DIV/0!</v>
      </c>
      <c r="E156" s="25" t="e">
        <f t="shared" si="286"/>
        <v>#DIV/0!</v>
      </c>
      <c r="F156" s="25" t="e">
        <f t="shared" si="286"/>
        <v>#DIV/0!</v>
      </c>
      <c r="G156" s="25">
        <f t="shared" si="286"/>
        <v>0</v>
      </c>
      <c r="H156" s="25">
        <f t="shared" si="286"/>
        <v>0</v>
      </c>
      <c r="I156" s="25">
        <f t="shared" si="286"/>
        <v>0</v>
      </c>
      <c r="J156" s="25">
        <f t="shared" si="286"/>
        <v>0</v>
      </c>
      <c r="K156" s="25">
        <f t="shared" si="286"/>
        <v>0</v>
      </c>
      <c r="L156" s="25">
        <f t="shared" si="286"/>
        <v>0</v>
      </c>
      <c r="M156" s="25">
        <f t="shared" si="286"/>
        <v>0</v>
      </c>
      <c r="N156" s="25">
        <f t="shared" si="286"/>
        <v>0</v>
      </c>
      <c r="O156" s="25">
        <f t="shared" si="286"/>
        <v>0</v>
      </c>
      <c r="P156" s="25">
        <f t="shared" si="286"/>
        <v>0</v>
      </c>
      <c r="Q156" s="118" t="e">
        <f t="shared" si="274"/>
        <v>#DIV/0!</v>
      </c>
      <c r="R156" s="128"/>
      <c r="S156" s="119">
        <f t="shared" ref="S156:AB156" si="287">S153/S49</f>
        <v>0</v>
      </c>
      <c r="T156" s="119">
        <f t="shared" si="287"/>
        <v>0</v>
      </c>
      <c r="U156" s="119">
        <f t="shared" si="287"/>
        <v>0</v>
      </c>
      <c r="V156" s="119">
        <f t="shared" si="287"/>
        <v>0</v>
      </c>
      <c r="W156" s="119">
        <f t="shared" si="287"/>
        <v>0</v>
      </c>
      <c r="X156" s="119">
        <f t="shared" si="287"/>
        <v>0</v>
      </c>
      <c r="Y156" s="119">
        <f t="shared" si="287"/>
        <v>0</v>
      </c>
      <c r="Z156" s="119">
        <f t="shared" si="287"/>
        <v>0</v>
      </c>
      <c r="AA156" s="119">
        <f t="shared" si="287"/>
        <v>0</v>
      </c>
      <c r="AB156" s="119">
        <f t="shared" si="287"/>
        <v>0</v>
      </c>
      <c r="AC156" s="138" t="e">
        <f t="shared" si="277"/>
        <v>#DIV/0!</v>
      </c>
      <c r="AD156" s="31">
        <v>0.08</v>
      </c>
      <c r="AE156" s="127" t="e">
        <f t="shared" si="278"/>
        <v>#DIV/0!</v>
      </c>
    </row>
    <row r="157" spans="2:31">
      <c r="B157" s="20" t="s">
        <v>260</v>
      </c>
      <c r="C157" s="25" t="e">
        <f t="shared" ref="C157:P157" si="288">C153/C58</f>
        <v>#DIV/0!</v>
      </c>
      <c r="D157" s="25" t="e">
        <f t="shared" si="288"/>
        <v>#DIV/0!</v>
      </c>
      <c r="E157" s="25" t="e">
        <f t="shared" si="288"/>
        <v>#DIV/0!</v>
      </c>
      <c r="F157" s="25" t="e">
        <f t="shared" si="288"/>
        <v>#DIV/0!</v>
      </c>
      <c r="G157" s="25">
        <f t="shared" si="288"/>
        <v>0</v>
      </c>
      <c r="H157" s="25">
        <f t="shared" si="288"/>
        <v>0</v>
      </c>
      <c r="I157" s="25">
        <f t="shared" si="288"/>
        <v>0</v>
      </c>
      <c r="J157" s="25">
        <f t="shared" si="288"/>
        <v>0</v>
      </c>
      <c r="K157" s="25">
        <f t="shared" si="288"/>
        <v>0</v>
      </c>
      <c r="L157" s="25">
        <f t="shared" si="288"/>
        <v>0</v>
      </c>
      <c r="M157" s="25">
        <f t="shared" si="288"/>
        <v>0</v>
      </c>
      <c r="N157" s="25">
        <f t="shared" si="288"/>
        <v>0</v>
      </c>
      <c r="O157" s="25">
        <f t="shared" si="288"/>
        <v>0</v>
      </c>
      <c r="P157" s="25">
        <f t="shared" si="288"/>
        <v>0</v>
      </c>
      <c r="Q157" s="118" t="e">
        <f t="shared" si="274"/>
        <v>#DIV/0!</v>
      </c>
      <c r="R157" s="128"/>
      <c r="S157" s="119">
        <f t="shared" ref="S157:AB157" si="289">S153/S58</f>
        <v>0</v>
      </c>
      <c r="T157" s="119">
        <f t="shared" si="289"/>
        <v>0</v>
      </c>
      <c r="U157" s="119">
        <f t="shared" si="289"/>
        <v>0</v>
      </c>
      <c r="V157" s="119">
        <f t="shared" si="289"/>
        <v>0</v>
      </c>
      <c r="W157" s="119">
        <f t="shared" si="289"/>
        <v>0</v>
      </c>
      <c r="X157" s="119">
        <f t="shared" si="289"/>
        <v>0</v>
      </c>
      <c r="Y157" s="119">
        <f t="shared" si="289"/>
        <v>0</v>
      </c>
      <c r="Z157" s="119">
        <f t="shared" si="289"/>
        <v>0</v>
      </c>
      <c r="AA157" s="119">
        <f t="shared" si="289"/>
        <v>0</v>
      </c>
      <c r="AB157" s="119">
        <f t="shared" si="289"/>
        <v>0</v>
      </c>
      <c r="AC157" s="138" t="e">
        <f t="shared" si="277"/>
        <v>#DIV/0!</v>
      </c>
      <c r="AD157" s="31">
        <v>0.08</v>
      </c>
      <c r="AE157" s="127" t="e">
        <f t="shared" si="278"/>
        <v>#DIV/0!</v>
      </c>
    </row>
    <row r="158" spans="2:31">
      <c r="B158" s="20" t="s">
        <v>261</v>
      </c>
      <c r="C158" s="25" t="e">
        <f t="shared" ref="C158:P158" si="290">C153/C60</f>
        <v>#DIV/0!</v>
      </c>
      <c r="D158" s="25" t="e">
        <f t="shared" si="290"/>
        <v>#DIV/0!</v>
      </c>
      <c r="E158" s="25" t="e">
        <f t="shared" si="290"/>
        <v>#DIV/0!</v>
      </c>
      <c r="F158" s="25" t="e">
        <f t="shared" si="290"/>
        <v>#DIV/0!</v>
      </c>
      <c r="G158" s="25">
        <f t="shared" si="290"/>
        <v>0</v>
      </c>
      <c r="H158" s="25">
        <f t="shared" si="290"/>
        <v>0</v>
      </c>
      <c r="I158" s="25">
        <f t="shared" si="290"/>
        <v>0</v>
      </c>
      <c r="J158" s="25">
        <f t="shared" si="290"/>
        <v>0</v>
      </c>
      <c r="K158" s="25">
        <f t="shared" si="290"/>
        <v>0</v>
      </c>
      <c r="L158" s="25">
        <f t="shared" si="290"/>
        <v>0</v>
      </c>
      <c r="M158" s="25">
        <f t="shared" si="290"/>
        <v>0</v>
      </c>
      <c r="N158" s="25">
        <f t="shared" si="290"/>
        <v>0</v>
      </c>
      <c r="O158" s="25">
        <f t="shared" si="290"/>
        <v>0</v>
      </c>
      <c r="P158" s="25">
        <f t="shared" si="290"/>
        <v>0</v>
      </c>
      <c r="Q158" s="118" t="e">
        <f t="shared" si="274"/>
        <v>#DIV/0!</v>
      </c>
      <c r="R158" s="128"/>
      <c r="S158" s="119">
        <f t="shared" ref="S158:AB158" si="291">S153/S60</f>
        <v>0</v>
      </c>
      <c r="T158" s="119">
        <f t="shared" si="291"/>
        <v>0</v>
      </c>
      <c r="U158" s="119">
        <f t="shared" si="291"/>
        <v>0</v>
      </c>
      <c r="V158" s="119">
        <f t="shared" si="291"/>
        <v>0</v>
      </c>
      <c r="W158" s="119">
        <f t="shared" si="291"/>
        <v>0</v>
      </c>
      <c r="X158" s="119">
        <f t="shared" si="291"/>
        <v>0</v>
      </c>
      <c r="Y158" s="119">
        <f t="shared" si="291"/>
        <v>0</v>
      </c>
      <c r="Z158" s="119">
        <f t="shared" si="291"/>
        <v>0</v>
      </c>
      <c r="AA158" s="119">
        <f t="shared" si="291"/>
        <v>0</v>
      </c>
      <c r="AB158" s="119">
        <f t="shared" si="291"/>
        <v>0</v>
      </c>
      <c r="AC158" s="138" t="e">
        <f t="shared" si="277"/>
        <v>#DIV/0!</v>
      </c>
      <c r="AD158" s="31">
        <v>0.08</v>
      </c>
      <c r="AE158" s="127" t="e">
        <f t="shared" si="278"/>
        <v>#DIV/0!</v>
      </c>
    </row>
    <row r="159" spans="2:31">
      <c r="B159" s="20" t="s">
        <v>282</v>
      </c>
      <c r="C159" s="25" t="e">
        <f>C155/C105</f>
        <v>#DIV/0!</v>
      </c>
      <c r="D159" s="25" t="e">
        <f>D155/D105</f>
        <v>#DIV/0!</v>
      </c>
      <c r="E159" s="25" t="e">
        <f>E155/E105</f>
        <v>#DIV/0!</v>
      </c>
      <c r="F159" s="25" t="e">
        <f>F155/F105</f>
        <v>#DIV/0!</v>
      </c>
      <c r="G159" s="25">
        <f t="shared" ref="G159:P159" si="292">G153/G54</f>
        <v>0</v>
      </c>
      <c r="H159" s="25">
        <f t="shared" si="292"/>
        <v>0</v>
      </c>
      <c r="I159" s="25">
        <f t="shared" si="292"/>
        <v>0</v>
      </c>
      <c r="J159" s="25">
        <f t="shared" si="292"/>
        <v>0</v>
      </c>
      <c r="K159" s="25">
        <f t="shared" si="292"/>
        <v>0</v>
      </c>
      <c r="L159" s="25">
        <f t="shared" si="292"/>
        <v>0</v>
      </c>
      <c r="M159" s="25">
        <f t="shared" si="292"/>
        <v>0</v>
      </c>
      <c r="N159" s="25">
        <f t="shared" si="292"/>
        <v>0</v>
      </c>
      <c r="O159" s="25">
        <f t="shared" si="292"/>
        <v>0</v>
      </c>
      <c r="P159" s="25">
        <f t="shared" si="292"/>
        <v>0</v>
      </c>
      <c r="Q159" s="118" t="e">
        <f t="shared" ref="Q159:Q161" si="293">((P159/G159)^(1/($H$2-$H$1) ))-1</f>
        <v>#DIV/0!</v>
      </c>
      <c r="R159" s="128"/>
      <c r="S159" s="135">
        <f t="shared" ref="S159:AB159" si="294">S153/S54</f>
        <v>0</v>
      </c>
      <c r="T159" s="135">
        <f t="shared" si="294"/>
        <v>0</v>
      </c>
      <c r="U159" s="135">
        <f t="shared" si="294"/>
        <v>0</v>
      </c>
      <c r="V159" s="135">
        <f t="shared" si="294"/>
        <v>0</v>
      </c>
      <c r="W159" s="135">
        <f t="shared" si="294"/>
        <v>0</v>
      </c>
      <c r="X159" s="135">
        <f t="shared" si="294"/>
        <v>0</v>
      </c>
      <c r="Y159" s="135">
        <f t="shared" si="294"/>
        <v>0</v>
      </c>
      <c r="Z159" s="135">
        <f t="shared" si="294"/>
        <v>0</v>
      </c>
      <c r="AA159" s="135">
        <f t="shared" si="294"/>
        <v>0</v>
      </c>
      <c r="AB159" s="135">
        <f t="shared" si="294"/>
        <v>0</v>
      </c>
      <c r="AC159" s="138" t="e">
        <f t="shared" ref="AC159" si="295">((AB159/G159)^(1/($AB$3-$H$1) ))-1</f>
        <v>#DIV/0!</v>
      </c>
      <c r="AD159" s="31">
        <v>0.08</v>
      </c>
      <c r="AE159" s="127" t="e">
        <f t="shared" si="278"/>
        <v>#DIV/0!</v>
      </c>
    </row>
    <row r="160" spans="2:31">
      <c r="B160" s="20" t="s">
        <v>372</v>
      </c>
      <c r="C160" s="161" t="e">
        <f t="shared" ref="C160:P160" si="296">C47/C153</f>
        <v>#DIV/0!</v>
      </c>
      <c r="D160" s="161" t="e">
        <f t="shared" si="296"/>
        <v>#DIV/0!</v>
      </c>
      <c r="E160" s="161" t="e">
        <f t="shared" si="296"/>
        <v>#DIV/0!</v>
      </c>
      <c r="F160" s="161" t="e">
        <f t="shared" si="296"/>
        <v>#DIV/0!</v>
      </c>
      <c r="G160" s="161" t="e">
        <f t="shared" si="296"/>
        <v>#DIV/0!</v>
      </c>
      <c r="H160" s="161" t="e">
        <f t="shared" si="296"/>
        <v>#DIV/0!</v>
      </c>
      <c r="I160" s="161" t="e">
        <f t="shared" si="296"/>
        <v>#DIV/0!</v>
      </c>
      <c r="J160" s="161" t="e">
        <f t="shared" si="296"/>
        <v>#DIV/0!</v>
      </c>
      <c r="K160" s="161" t="e">
        <f t="shared" si="296"/>
        <v>#DIV/0!</v>
      </c>
      <c r="L160" s="161" t="e">
        <f t="shared" si="296"/>
        <v>#DIV/0!</v>
      </c>
      <c r="M160" s="161" t="e">
        <f t="shared" si="296"/>
        <v>#DIV/0!</v>
      </c>
      <c r="N160" s="161" t="e">
        <f t="shared" si="296"/>
        <v>#DIV/0!</v>
      </c>
      <c r="O160" s="161" t="e">
        <f t="shared" si="296"/>
        <v>#DIV/0!</v>
      </c>
      <c r="P160" s="161" t="e">
        <f t="shared" si="296"/>
        <v>#DIV/0!</v>
      </c>
      <c r="Q160" s="118" t="e">
        <f t="shared" si="293"/>
        <v>#DIV/0!</v>
      </c>
      <c r="R160" s="128"/>
      <c r="S160" s="135"/>
      <c r="T160" s="135"/>
      <c r="U160" s="135"/>
      <c r="V160" s="135"/>
      <c r="W160" s="135"/>
      <c r="X160" s="135"/>
      <c r="Y160" s="135"/>
      <c r="Z160" s="135"/>
      <c r="AA160" s="135"/>
      <c r="AB160" s="135"/>
      <c r="AC160" s="138"/>
      <c r="AD160" s="31"/>
      <c r="AE160" s="127"/>
    </row>
    <row r="161" spans="2:31">
      <c r="B161" s="20" t="s">
        <v>321</v>
      </c>
      <c r="C161" s="152" t="e">
        <f t="shared" ref="C161:P161" si="297">C41/C153</f>
        <v>#DIV/0!</v>
      </c>
      <c r="D161" s="152" t="e">
        <f t="shared" si="297"/>
        <v>#DIV/0!</v>
      </c>
      <c r="E161" s="152" t="e">
        <f t="shared" si="297"/>
        <v>#DIV/0!</v>
      </c>
      <c r="F161" s="152" t="e">
        <f t="shared" si="297"/>
        <v>#DIV/0!</v>
      </c>
      <c r="G161" s="152" t="e">
        <f t="shared" si="297"/>
        <v>#DIV/0!</v>
      </c>
      <c r="H161" s="152" t="e">
        <f t="shared" si="297"/>
        <v>#DIV/0!</v>
      </c>
      <c r="I161" s="152" t="e">
        <f t="shared" si="297"/>
        <v>#DIV/0!</v>
      </c>
      <c r="J161" s="152" t="e">
        <f t="shared" si="297"/>
        <v>#DIV/0!</v>
      </c>
      <c r="K161" s="152" t="e">
        <f t="shared" si="297"/>
        <v>#DIV/0!</v>
      </c>
      <c r="L161" s="152" t="e">
        <f t="shared" si="297"/>
        <v>#DIV/0!</v>
      </c>
      <c r="M161" s="152" t="e">
        <f t="shared" si="297"/>
        <v>#DIV/0!</v>
      </c>
      <c r="N161" s="152" t="e">
        <f t="shared" si="297"/>
        <v>#DIV/0!</v>
      </c>
      <c r="O161" s="152" t="e">
        <f t="shared" si="297"/>
        <v>#DIV/0!</v>
      </c>
      <c r="P161" s="152" t="e">
        <f t="shared" si="297"/>
        <v>#DIV/0!</v>
      </c>
      <c r="Q161" s="118" t="e">
        <f t="shared" si="293"/>
        <v>#DIV/0!</v>
      </c>
      <c r="R161" s="128"/>
      <c r="S161" s="135"/>
      <c r="T161" s="135"/>
      <c r="U161" s="135"/>
      <c r="V161" s="135"/>
      <c r="W161" s="135"/>
      <c r="X161" s="135"/>
      <c r="Y161" s="135"/>
      <c r="Z161" s="135"/>
      <c r="AA161" s="135"/>
      <c r="AB161" s="135"/>
      <c r="AC161" s="138"/>
      <c r="AD161" s="31"/>
      <c r="AE161" s="127"/>
    </row>
    <row r="162" spans="2:31">
      <c r="B162" s="20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28"/>
      <c r="R162" s="128"/>
      <c r="S162" s="135"/>
      <c r="T162" s="135"/>
      <c r="U162" s="135"/>
      <c r="V162" s="135"/>
      <c r="W162" s="135"/>
      <c r="X162" s="135"/>
      <c r="Y162" s="135"/>
      <c r="Z162" s="135"/>
      <c r="AA162" s="135"/>
      <c r="AB162" s="135"/>
      <c r="AC162" s="138"/>
      <c r="AD162" s="31"/>
      <c r="AE162" s="127"/>
    </row>
    <row r="163" spans="2:31">
      <c r="B163" s="20"/>
      <c r="C163" s="129"/>
      <c r="D163" s="129"/>
      <c r="E163" s="129"/>
      <c r="F163" s="129"/>
      <c r="G163" s="135"/>
      <c r="H163" s="135"/>
      <c r="I163" s="135"/>
      <c r="J163" s="135"/>
      <c r="K163" s="135"/>
      <c r="L163" s="135"/>
      <c r="M163" s="135"/>
      <c r="N163" s="135"/>
      <c r="O163" s="135"/>
      <c r="P163" s="135"/>
      <c r="Q163" s="128"/>
      <c r="R163" s="128"/>
      <c r="S163" s="135"/>
      <c r="T163" s="135"/>
      <c r="U163" s="135"/>
      <c r="V163" s="135"/>
      <c r="W163" s="135"/>
      <c r="X163" s="135"/>
      <c r="Y163" s="135"/>
      <c r="Z163" s="135"/>
      <c r="AA163" s="135"/>
      <c r="AB163" s="135"/>
      <c r="AC163" s="137"/>
      <c r="AD163" s="20"/>
      <c r="AE163" s="127"/>
    </row>
    <row r="164" spans="2:31">
      <c r="B164" s="108" t="s">
        <v>302</v>
      </c>
      <c r="C164" s="20"/>
      <c r="D164" s="20"/>
      <c r="E164" s="20"/>
      <c r="F164" s="20"/>
      <c r="G164" s="20"/>
      <c r="H164" s="20"/>
      <c r="I164" s="20"/>
      <c r="J164" s="20"/>
      <c r="K164" s="182" t="s">
        <v>352</v>
      </c>
      <c r="L164" s="183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137"/>
      <c r="AD164" s="20"/>
      <c r="AE164" s="20"/>
    </row>
    <row r="165" spans="2:31">
      <c r="B165" s="20" t="s">
        <v>300</v>
      </c>
      <c r="C165" s="20" t="s">
        <v>315</v>
      </c>
      <c r="D165" s="20"/>
      <c r="E165" s="20"/>
      <c r="F165" s="20"/>
      <c r="G165" s="20"/>
      <c r="H165" s="20"/>
      <c r="I165" s="20"/>
      <c r="J165" s="20"/>
      <c r="K165" s="20" t="s">
        <v>353</v>
      </c>
      <c r="L165" s="22">
        <v>1</v>
      </c>
      <c r="M165" s="20"/>
      <c r="N165" s="20"/>
      <c r="O165" s="20"/>
      <c r="P165" s="128" t="e">
        <f>(P153-R141)/P153</f>
        <v>#DIV/0!</v>
      </c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137"/>
      <c r="AD165" s="20"/>
      <c r="AE165" s="20"/>
    </row>
    <row r="166" spans="2:31">
      <c r="B166" s="20" t="s">
        <v>350</v>
      </c>
      <c r="C166" s="20" t="s">
        <v>315</v>
      </c>
      <c r="D166" s="20"/>
      <c r="E166" s="20"/>
      <c r="F166" s="20"/>
      <c r="G166" s="20"/>
      <c r="H166" s="20"/>
      <c r="I166" s="20"/>
      <c r="J166" s="20"/>
      <c r="K166" s="172">
        <f>L165</f>
        <v>1</v>
      </c>
      <c r="L166" s="20"/>
      <c r="M166" s="128" t="e">
        <f>(P153-(K166*R132))/P153</f>
        <v>#DIV/0!</v>
      </c>
      <c r="N166" s="20"/>
      <c r="O166" s="20"/>
      <c r="P166" s="128" t="e">
        <f>(P153-R132)/P153</f>
        <v>#DIV/0!</v>
      </c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>
      <c r="B167" s="20" t="s">
        <v>351</v>
      </c>
      <c r="C167" s="20" t="s">
        <v>315</v>
      </c>
      <c r="D167" s="20"/>
      <c r="E167" s="20"/>
      <c r="F167" s="20"/>
      <c r="G167" s="20"/>
      <c r="H167" s="20"/>
      <c r="I167" s="20"/>
      <c r="J167" s="20"/>
      <c r="K167" s="172">
        <f>L165</f>
        <v>1</v>
      </c>
      <c r="L167" s="20"/>
      <c r="M167" s="128" t="e">
        <f>(P153-(K166*R125))/P153</f>
        <v>#DIV/0!</v>
      </c>
      <c r="N167" s="20"/>
      <c r="O167" s="20"/>
      <c r="P167" s="128" t="e">
        <f>(P153-R125)/P153</f>
        <v>#DIV/0!</v>
      </c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137"/>
      <c r="AD167" s="20"/>
      <c r="AE167" s="20"/>
    </row>
    <row r="168" spans="2:31">
      <c r="B168" s="20" t="s">
        <v>354</v>
      </c>
      <c r="C168" s="20" t="s">
        <v>315</v>
      </c>
      <c r="D168" s="20"/>
      <c r="E168" s="20"/>
      <c r="F168" s="20"/>
      <c r="G168" s="20"/>
      <c r="H168" s="20"/>
      <c r="I168" s="20"/>
      <c r="J168" s="20"/>
      <c r="K168" s="172">
        <f>L165</f>
        <v>1</v>
      </c>
      <c r="L168" s="20"/>
      <c r="M168" s="128" t="e">
        <f>(P153-(K166*R138))/P153</f>
        <v>#DIV/0!</v>
      </c>
      <c r="N168" s="20"/>
      <c r="O168" s="20"/>
      <c r="P168" s="128" t="e">
        <f>(P153-R138)/P153</f>
        <v>#DIV/0!</v>
      </c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137"/>
      <c r="AD168" s="20"/>
      <c r="AE168" s="20"/>
    </row>
    <row r="169" spans="2:31">
      <c r="B169" s="20" t="s">
        <v>301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5">
        <f>P153/R124</f>
        <v>0</v>
      </c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137"/>
      <c r="AD169" s="20"/>
      <c r="AE169" s="20"/>
    </row>
    <row r="170" spans="2:31">
      <c r="B170" s="20" t="s">
        <v>372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152" t="e">
        <f>1/P169</f>
        <v>#DIV/0!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137"/>
      <c r="AD170" s="20"/>
      <c r="AE170" s="20"/>
    </row>
    <row r="171" spans="2:31"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</row>
    <row r="172" spans="2:31">
      <c r="B172" s="108" t="s">
        <v>303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</row>
    <row r="173" spans="2:31">
      <c r="B173" s="20" t="s">
        <v>306</v>
      </c>
      <c r="C173" s="25" t="e">
        <f t="shared" ref="C173:P173" si="298">C10/C7</f>
        <v>#DIV/0!</v>
      </c>
      <c r="D173" s="25" t="e">
        <f t="shared" si="298"/>
        <v>#DIV/0!</v>
      </c>
      <c r="E173" s="25" t="e">
        <f t="shared" si="298"/>
        <v>#DIV/0!</v>
      </c>
      <c r="F173" s="25" t="e">
        <f t="shared" si="298"/>
        <v>#DIV/0!</v>
      </c>
      <c r="G173" s="25">
        <f t="shared" si="298"/>
        <v>0.60905002810567732</v>
      </c>
      <c r="H173" s="25">
        <f t="shared" si="298"/>
        <v>0.43753799896090112</v>
      </c>
      <c r="I173" s="25">
        <f t="shared" si="298"/>
        <v>0.16465190023709581</v>
      </c>
      <c r="J173" s="25">
        <f t="shared" si="298"/>
        <v>1.4691681988171608</v>
      </c>
      <c r="K173" s="25">
        <f t="shared" si="298"/>
        <v>1.2259159580493619</v>
      </c>
      <c r="L173" s="25">
        <f t="shared" si="298"/>
        <v>1.8064821417941184</v>
      </c>
      <c r="M173" s="25">
        <f t="shared" si="298"/>
        <v>1.9182890984997962</v>
      </c>
      <c r="N173" s="25">
        <f t="shared" si="298"/>
        <v>1.8785998333353757</v>
      </c>
      <c r="O173" s="25">
        <f t="shared" si="298"/>
        <v>2.110800920802502</v>
      </c>
      <c r="P173" s="25">
        <f t="shared" si="298"/>
        <v>33.931249999999999</v>
      </c>
      <c r="Q173" s="118">
        <f t="shared" ref="Q173:Q175" si="299">((P173/G173)^(1/($H$2-$H$1) ))-1</f>
        <v>0.56312640360235466</v>
      </c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</row>
    <row r="174" spans="2:31">
      <c r="B174" s="20" t="s">
        <v>307</v>
      </c>
      <c r="C174" s="112" t="e">
        <f>C10/C12</f>
        <v>#DIV/0!</v>
      </c>
      <c r="D174" s="112" t="e">
        <f>D10/D12</f>
        <v>#DIV/0!</v>
      </c>
      <c r="E174" s="112" t="e">
        <f>E10/E12</f>
        <v>#DIV/0!</v>
      </c>
      <c r="F174" s="112" t="e">
        <f>F10/F12</f>
        <v>#DIV/0!</v>
      </c>
      <c r="G174" s="112">
        <f>G10/G12</f>
        <v>3.5023508668821628</v>
      </c>
      <c r="H174" s="112">
        <f t="shared" ref="H174:P174" si="300">H10/H12</f>
        <v>2.5701948051948054</v>
      </c>
      <c r="I174" s="112">
        <f t="shared" si="300"/>
        <v>2.7820987654320986</v>
      </c>
      <c r="J174" s="112">
        <f t="shared" si="300"/>
        <v>4.1230351437699682</v>
      </c>
      <c r="K174" s="112">
        <f t="shared" si="300"/>
        <v>8.0293140654171626</v>
      </c>
      <c r="L174" s="112">
        <f t="shared" si="300"/>
        <v>17.537558823876303</v>
      </c>
      <c r="M174" s="112">
        <f t="shared" si="300"/>
        <v>8.3770483130761395</v>
      </c>
      <c r="N174" s="112">
        <f t="shared" si="300"/>
        <v>4.5658349342506961</v>
      </c>
      <c r="O174" s="112">
        <f t="shared" si="300"/>
        <v>4.1589147875767338</v>
      </c>
      <c r="P174" s="112">
        <f t="shared" si="300"/>
        <v>5.5426237876467583</v>
      </c>
      <c r="Q174" s="118">
        <f t="shared" si="299"/>
        <v>5.2326819302270566E-2</v>
      </c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</row>
    <row r="175" spans="2:31">
      <c r="B175" s="20" t="s">
        <v>308</v>
      </c>
      <c r="C175" s="25" t="e">
        <f>C10/(C12+C13)</f>
        <v>#DIV/0!</v>
      </c>
      <c r="D175" s="25" t="e">
        <f>D10/(D12+D13)</f>
        <v>#DIV/0!</v>
      </c>
      <c r="E175" s="25" t="e">
        <f>E10/(E12+E13)</f>
        <v>#DIV/0!</v>
      </c>
      <c r="F175" s="25" t="e">
        <f>F10/(F12+F13)</f>
        <v>#DIV/0!</v>
      </c>
      <c r="G175" s="25">
        <f>G10/(G12+G13)</f>
        <v>2.895299404834204</v>
      </c>
      <c r="H175" s="25">
        <f t="shared" ref="H175:P175" si="301">H10/(H12+H13)</f>
        <v>2.4468966369930762</v>
      </c>
      <c r="I175" s="25">
        <f t="shared" si="301"/>
        <v>2.6574292452830188</v>
      </c>
      <c r="J175" s="25">
        <f t="shared" si="301"/>
        <v>4.0723904794212551</v>
      </c>
      <c r="K175" s="25">
        <f t="shared" si="301"/>
        <v>2.2686529331570404</v>
      </c>
      <c r="L175" s="25">
        <f t="shared" si="301"/>
        <v>17.433108623014242</v>
      </c>
      <c r="M175" s="25">
        <f t="shared" si="301"/>
        <v>4.8638477103178719</v>
      </c>
      <c r="N175" s="25">
        <f t="shared" si="301"/>
        <v>3.3572826696962648</v>
      </c>
      <c r="O175" s="25">
        <f t="shared" si="301"/>
        <v>4.0107483157674935</v>
      </c>
      <c r="P175" s="25">
        <f t="shared" si="301"/>
        <v>5.4426065162907271</v>
      </c>
      <c r="Q175" s="118">
        <f t="shared" si="299"/>
        <v>7.2647563714481E-2</v>
      </c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</row>
    <row r="176" spans="2:31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</row>
    <row r="177" spans="2:31"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</row>
    <row r="178" spans="2:31">
      <c r="B178" s="20"/>
      <c r="C178" s="20"/>
      <c r="D178" s="20"/>
      <c r="E178" s="20"/>
      <c r="F178" s="20"/>
      <c r="G178" s="20"/>
      <c r="H178" s="20"/>
      <c r="I178" s="179" t="s">
        <v>338</v>
      </c>
      <c r="J178" s="180"/>
      <c r="K178" s="181"/>
      <c r="L178" s="23" t="s">
        <v>341</v>
      </c>
      <c r="M178" s="20"/>
      <c r="N178" s="20"/>
      <c r="O178" s="179" t="s">
        <v>339</v>
      </c>
      <c r="P178" s="180"/>
      <c r="Q178" s="181"/>
      <c r="R178" s="23" t="s">
        <v>341</v>
      </c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</row>
    <row r="179" spans="2:31">
      <c r="B179" s="20"/>
      <c r="C179" s="20"/>
      <c r="D179" s="20"/>
      <c r="E179" s="20"/>
      <c r="F179" s="20"/>
      <c r="G179" s="20"/>
      <c r="H179" s="20"/>
      <c r="I179" s="166" t="s">
        <v>340</v>
      </c>
      <c r="J179" s="166"/>
      <c r="K179" s="166" t="s">
        <v>0</v>
      </c>
      <c r="L179" s="166" t="s">
        <v>373</v>
      </c>
      <c r="M179" s="20"/>
      <c r="N179" s="20"/>
      <c r="O179" s="166" t="s">
        <v>340</v>
      </c>
      <c r="P179" s="166"/>
      <c r="Q179" s="166" t="s">
        <v>0</v>
      </c>
      <c r="R179" s="166" t="s">
        <v>373</v>
      </c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</row>
    <row r="180" spans="2:31">
      <c r="B180" s="20"/>
      <c r="C180" s="20"/>
      <c r="D180" s="20"/>
      <c r="E180" s="20"/>
      <c r="F180" s="20"/>
      <c r="G180" s="20"/>
      <c r="H180" s="20"/>
      <c r="I180" s="167" t="s">
        <v>342</v>
      </c>
      <c r="J180" s="167"/>
      <c r="K180" s="21">
        <v>100</v>
      </c>
      <c r="L180" s="174">
        <f>K180</f>
        <v>100</v>
      </c>
      <c r="M180" s="20"/>
      <c r="N180" s="20"/>
      <c r="O180" s="167" t="s">
        <v>342</v>
      </c>
      <c r="P180" s="167"/>
      <c r="Q180" s="21">
        <v>0</v>
      </c>
      <c r="R180" s="174">
        <f>Q180</f>
        <v>0</v>
      </c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</row>
    <row r="181" spans="2:31">
      <c r="B181" s="20"/>
      <c r="C181" s="20"/>
      <c r="D181" s="20"/>
      <c r="E181" s="20"/>
      <c r="F181" s="20"/>
      <c r="G181" s="20"/>
      <c r="H181" s="20"/>
      <c r="I181" s="167" t="s">
        <v>343</v>
      </c>
      <c r="J181" s="167"/>
      <c r="K181" s="21">
        <v>1</v>
      </c>
      <c r="L181" s="174">
        <f>K181</f>
        <v>1</v>
      </c>
      <c r="M181" s="20"/>
      <c r="N181" s="20"/>
      <c r="O181" s="167" t="s">
        <v>343</v>
      </c>
      <c r="P181" s="167"/>
      <c r="Q181" s="21">
        <v>0</v>
      </c>
      <c r="R181" s="174">
        <f>Q181</f>
        <v>0</v>
      </c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</row>
    <row r="182" spans="2:31">
      <c r="B182" s="20"/>
      <c r="C182" s="20"/>
      <c r="D182" s="20"/>
      <c r="E182" s="20"/>
      <c r="F182" s="20"/>
      <c r="G182" s="20"/>
      <c r="H182" s="20"/>
      <c r="I182" s="167" t="s">
        <v>344</v>
      </c>
      <c r="J182" s="167"/>
      <c r="K182" s="168">
        <f>K180*K181</f>
        <v>100</v>
      </c>
      <c r="L182" s="174">
        <f>K182</f>
        <v>100</v>
      </c>
      <c r="M182" s="20"/>
      <c r="N182" s="20"/>
      <c r="O182" s="167" t="s">
        <v>345</v>
      </c>
      <c r="P182" s="167"/>
      <c r="Q182" s="168">
        <f>Q180*Q181</f>
        <v>0</v>
      </c>
      <c r="R182" s="174">
        <f>Q182</f>
        <v>0</v>
      </c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</row>
    <row r="183" spans="2:31">
      <c r="B183" s="20"/>
      <c r="C183" s="20"/>
      <c r="D183" s="20"/>
      <c r="E183" s="20"/>
      <c r="F183" s="20"/>
      <c r="G183" s="20"/>
      <c r="H183" s="20"/>
      <c r="I183" s="167" t="s">
        <v>346</v>
      </c>
      <c r="J183" s="167"/>
      <c r="K183" s="21">
        <v>10</v>
      </c>
      <c r="L183" s="21">
        <v>460</v>
      </c>
      <c r="M183" s="20"/>
      <c r="N183" s="20"/>
      <c r="O183" s="167" t="s">
        <v>346</v>
      </c>
      <c r="P183" s="167"/>
      <c r="Q183" s="21">
        <v>0</v>
      </c>
      <c r="R183" s="21">
        <v>0</v>
      </c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</row>
    <row r="184" spans="2:31">
      <c r="B184" s="20"/>
      <c r="C184" s="20"/>
      <c r="D184" s="20"/>
      <c r="E184" s="20"/>
      <c r="F184" s="20"/>
      <c r="G184" s="20"/>
      <c r="H184" s="20"/>
      <c r="I184" s="167" t="s">
        <v>347</v>
      </c>
      <c r="J184" s="167"/>
      <c r="K184" s="168">
        <f>K183*K181</f>
        <v>10</v>
      </c>
      <c r="L184" s="168">
        <f>L183*L181</f>
        <v>460</v>
      </c>
      <c r="M184" s="20"/>
      <c r="N184" s="20"/>
      <c r="O184" s="167" t="s">
        <v>343</v>
      </c>
      <c r="P184" s="167"/>
      <c r="Q184" s="21">
        <v>0</v>
      </c>
      <c r="R184" s="21">
        <v>0</v>
      </c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</row>
    <row r="185" spans="2:31">
      <c r="B185" s="20"/>
      <c r="C185" s="20"/>
      <c r="D185" s="20"/>
      <c r="E185" s="20"/>
      <c r="F185" s="20"/>
      <c r="G185" s="20"/>
      <c r="H185" s="20"/>
      <c r="I185" s="167"/>
      <c r="J185" s="167"/>
      <c r="K185" s="168"/>
      <c r="L185" s="168"/>
      <c r="M185" s="20"/>
      <c r="N185" s="20"/>
      <c r="O185" s="167" t="s">
        <v>345</v>
      </c>
      <c r="P185" s="167"/>
      <c r="Q185" s="168">
        <f>Q184*Q183</f>
        <v>0</v>
      </c>
      <c r="R185" s="168">
        <f>R184*R182</f>
        <v>0</v>
      </c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</row>
    <row r="186" spans="2:31">
      <c r="B186" s="20"/>
      <c r="C186" s="20"/>
      <c r="D186" s="20"/>
      <c r="E186" s="20"/>
      <c r="F186" s="20"/>
      <c r="G186" s="20"/>
      <c r="H186" s="20"/>
      <c r="I186" s="167"/>
      <c r="J186" s="167"/>
      <c r="K186" s="168"/>
      <c r="L186" s="168"/>
      <c r="M186" s="20"/>
      <c r="N186" s="20"/>
      <c r="O186" s="167"/>
      <c r="P186" s="167"/>
      <c r="Q186" s="168"/>
      <c r="R186" s="168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</row>
    <row r="187" spans="2:31">
      <c r="B187" s="20"/>
      <c r="C187" s="20"/>
      <c r="D187" s="20"/>
      <c r="E187" s="20"/>
      <c r="F187" s="20"/>
      <c r="G187" s="20"/>
      <c r="H187" s="20"/>
      <c r="I187" s="169" t="s">
        <v>348</v>
      </c>
      <c r="J187" s="169"/>
      <c r="K187" s="170">
        <f>K184/K182</f>
        <v>0.1</v>
      </c>
      <c r="L187" s="170">
        <f>L184/L182</f>
        <v>4.5999999999999996</v>
      </c>
      <c r="M187" s="20"/>
      <c r="N187" s="20"/>
      <c r="O187" s="169" t="s">
        <v>348</v>
      </c>
      <c r="P187" s="169"/>
      <c r="Q187" s="170" t="e">
        <f>Q185/Q182</f>
        <v>#DIV/0!</v>
      </c>
      <c r="R187" s="170" t="e">
        <f>R184/R182</f>
        <v>#DIV/0!</v>
      </c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</row>
    <row r="188" spans="2:31"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</row>
  </sheetData>
  <mergeCells count="5">
    <mergeCell ref="AD2:AE2"/>
    <mergeCell ref="AD3:AE3"/>
    <mergeCell ref="I178:K178"/>
    <mergeCell ref="O178:Q178"/>
    <mergeCell ref="K164:L164"/>
  </mergeCells>
  <pageMargins left="0.7" right="0.7" top="0.75" bottom="0.75" header="0.3" footer="0.3"/>
  <pageSetup orientation="portrait" r:id="rId1"/>
  <ignoredErrors>
    <ignoredError sqref="C155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A5" zoomScale="80" zoomScaleNormal="80" workbookViewId="0">
      <selection activeCell="F26" sqref="F26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84" t="s">
        <v>27</v>
      </c>
      <c r="K5" s="184"/>
      <c r="M5" s="184" t="s">
        <v>65</v>
      </c>
      <c r="N5" s="184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84" t="s">
        <v>36</v>
      </c>
      <c r="K14" s="184"/>
      <c r="L14" s="184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184" t="s">
        <v>27</v>
      </c>
      <c r="S5" s="184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84" t="s">
        <v>36</v>
      </c>
      <c r="S14" s="184"/>
      <c r="T14" s="184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184" t="s">
        <v>27</v>
      </c>
      <c r="C2" s="184"/>
      <c r="E2" s="184" t="s">
        <v>65</v>
      </c>
      <c r="F2" s="184"/>
      <c r="H2" s="188" t="s">
        <v>36</v>
      </c>
      <c r="I2" s="189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185" t="s">
        <v>68</v>
      </c>
      <c r="E10" s="186"/>
      <c r="F10" s="186"/>
      <c r="G10" s="186"/>
      <c r="H10" s="187"/>
      <c r="I10" s="185" t="s">
        <v>72</v>
      </c>
      <c r="J10" s="186"/>
      <c r="K10" s="186"/>
      <c r="L10" s="187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2013-12-31T09:31:15Z</dcterms:modified>
</cp:coreProperties>
</file>
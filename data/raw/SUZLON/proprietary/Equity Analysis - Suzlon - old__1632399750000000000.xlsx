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O12" i="8" l="1"/>
  <c r="O11" i="8"/>
  <c r="P15" i="18"/>
  <c r="Q26" i="18" l="1"/>
  <c r="Q28" i="18"/>
  <c r="I59" i="18" l="1"/>
  <c r="J59" i="18"/>
  <c r="K59" i="18"/>
  <c r="L59" i="18"/>
  <c r="M59" i="18"/>
  <c r="N59" i="18"/>
  <c r="O59" i="18"/>
  <c r="P59" i="18"/>
  <c r="I60" i="18"/>
  <c r="J60" i="18"/>
  <c r="K60" i="18"/>
  <c r="L60" i="18"/>
  <c r="M60" i="18"/>
  <c r="N60" i="18"/>
  <c r="O60" i="18"/>
  <c r="P60" i="18"/>
  <c r="Q60" i="18" s="1"/>
  <c r="I54" i="18"/>
  <c r="J54" i="18"/>
  <c r="K54" i="18"/>
  <c r="L54" i="18"/>
  <c r="M54" i="18"/>
  <c r="N54" i="18"/>
  <c r="O54" i="18"/>
  <c r="P54" i="18"/>
  <c r="I56" i="18"/>
  <c r="J56" i="18"/>
  <c r="K56" i="18"/>
  <c r="L56" i="18"/>
  <c r="M56" i="18"/>
  <c r="N56" i="18"/>
  <c r="O56" i="18"/>
  <c r="P56" i="18"/>
  <c r="I57" i="18"/>
  <c r="J57" i="18"/>
  <c r="K57" i="18"/>
  <c r="L57" i="18"/>
  <c r="M57" i="18"/>
  <c r="N57" i="18"/>
  <c r="O57" i="18"/>
  <c r="P57" i="18"/>
  <c r="Q57" i="18" s="1"/>
  <c r="I58" i="18"/>
  <c r="J58" i="18"/>
  <c r="K58" i="18"/>
  <c r="L58" i="18"/>
  <c r="M58" i="18"/>
  <c r="N58" i="18"/>
  <c r="O58" i="18"/>
  <c r="P58" i="18"/>
  <c r="C57" i="18"/>
  <c r="D57" i="18"/>
  <c r="E57" i="18"/>
  <c r="F57" i="18"/>
  <c r="G57" i="18"/>
  <c r="C58" i="18"/>
  <c r="D58" i="18"/>
  <c r="E58" i="18"/>
  <c r="F58" i="18"/>
  <c r="G58" i="18"/>
  <c r="C59" i="18"/>
  <c r="D59" i="18"/>
  <c r="E59" i="18"/>
  <c r="F59" i="18"/>
  <c r="G59" i="18"/>
  <c r="C56" i="18"/>
  <c r="D56" i="18"/>
  <c r="E56" i="18"/>
  <c r="F56" i="18"/>
  <c r="G56" i="18"/>
  <c r="Q56" i="18" s="1"/>
  <c r="C60" i="18"/>
  <c r="D60" i="18"/>
  <c r="E60" i="18"/>
  <c r="F60" i="18"/>
  <c r="G60" i="18"/>
  <c r="H60" i="18"/>
  <c r="H59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AB60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54" i="18"/>
  <c r="D54" i="18"/>
  <c r="E54" i="18"/>
  <c r="F54" i="18"/>
  <c r="G54" i="18"/>
  <c r="H54" i="18"/>
  <c r="H56" i="18" s="1"/>
  <c r="Q59" i="18"/>
  <c r="Q58" i="18"/>
  <c r="T83" i="18"/>
  <c r="H58" i="18"/>
  <c r="H57" i="18"/>
  <c r="AC60" i="18" l="1"/>
  <c r="AE60" i="18" s="1"/>
  <c r="T99" i="18" s="1"/>
  <c r="S99" i="18"/>
  <c r="R99" i="18" s="1"/>
  <c r="S60" i="18"/>
  <c r="Y60" i="18"/>
  <c r="U60" i="18"/>
  <c r="X60" i="18"/>
  <c r="T60" i="18"/>
  <c r="AA60" i="18"/>
  <c r="W60" i="18"/>
  <c r="Z60" i="18"/>
  <c r="V60" i="18"/>
  <c r="AC22" i="18"/>
  <c r="AE22" i="18" s="1"/>
  <c r="Q21" i="18"/>
  <c r="Q20" i="18"/>
  <c r="Q54" i="18"/>
  <c r="S19" i="18"/>
  <c r="T19" i="18" s="1"/>
  <c r="T20" i="18"/>
  <c r="AE21" i="18"/>
  <c r="S52" i="18"/>
  <c r="T52" i="18" s="1"/>
  <c r="U52" i="18" s="1"/>
  <c r="V52" i="18" s="1"/>
  <c r="W52" i="18" s="1"/>
  <c r="X52" i="18" s="1"/>
  <c r="Y52" i="18" s="1"/>
  <c r="Z52" i="18" s="1"/>
  <c r="AA52" i="18" s="1"/>
  <c r="AB52" i="18" s="1"/>
  <c r="Q52" i="18"/>
  <c r="Q103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54" i="18"/>
  <c r="S54" i="18"/>
  <c r="U20" i="18"/>
  <c r="AC52" i="18"/>
  <c r="AE52" i="18" s="1"/>
  <c r="C18" i="15"/>
  <c r="S10" i="18"/>
  <c r="T10" i="18" s="1"/>
  <c r="U10" i="18" s="1"/>
  <c r="V10" i="18" s="1"/>
  <c r="W10" i="18" s="1"/>
  <c r="X10" i="18" s="1"/>
  <c r="Y10" i="18" s="1"/>
  <c r="Z10" i="18" s="1"/>
  <c r="AA10" i="18" s="1"/>
  <c r="AB10" i="18" s="1"/>
  <c r="Q65" i="18"/>
  <c r="Q66" i="18"/>
  <c r="Q67" i="18"/>
  <c r="Q68" i="18"/>
  <c r="Q69" i="18"/>
  <c r="Q70" i="18"/>
  <c r="Q64" i="18"/>
  <c r="Q34" i="18"/>
  <c r="Q32" i="18"/>
  <c r="Q30" i="18"/>
  <c r="Q27" i="18"/>
  <c r="Q25" i="18"/>
  <c r="Q24" i="18"/>
  <c r="Q17" i="18"/>
  <c r="Q15" i="18"/>
  <c r="Q14" i="18"/>
  <c r="Q13" i="18"/>
  <c r="Q12" i="18"/>
  <c r="Q11" i="18"/>
  <c r="Q10" i="18"/>
  <c r="Q8" i="18"/>
  <c r="Q7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O50" i="18"/>
  <c r="O107" i="18" s="1"/>
  <c r="O49" i="18"/>
  <c r="O47" i="18"/>
  <c r="O46" i="18"/>
  <c r="O44" i="18"/>
  <c r="O108" i="18" s="1"/>
  <c r="O43" i="18"/>
  <c r="O42" i="18"/>
  <c r="O40" i="18"/>
  <c r="O39" i="18"/>
  <c r="O105" i="18" s="1"/>
  <c r="O38" i="18"/>
  <c r="O37" i="18"/>
  <c r="O104" i="18" s="1"/>
  <c r="V20" i="18" l="1"/>
  <c r="U54" i="18"/>
  <c r="AC30" i="18"/>
  <c r="AE30" i="18"/>
  <c r="AC24" i="18"/>
  <c r="AE24" i="18" s="1"/>
  <c r="AC25" i="18"/>
  <c r="AE25" i="18" s="1"/>
  <c r="AC27" i="18"/>
  <c r="AE27" i="18" s="1"/>
  <c r="AC28" i="18"/>
  <c r="AE28" i="18" s="1"/>
  <c r="AC17" i="18"/>
  <c r="AE17" i="18" s="1"/>
  <c r="AC10" i="18"/>
  <c r="AE10" i="18" s="1"/>
  <c r="O48" i="18"/>
  <c r="O106" i="18" s="1"/>
  <c r="D44" i="18"/>
  <c r="E44" i="18"/>
  <c r="F44" i="18"/>
  <c r="G44" i="18"/>
  <c r="G108" i="18" s="1"/>
  <c r="H44" i="18"/>
  <c r="H108" i="18" s="1"/>
  <c r="I44" i="18"/>
  <c r="I108" i="18" s="1"/>
  <c r="J44" i="18"/>
  <c r="J108" i="18" s="1"/>
  <c r="K44" i="18"/>
  <c r="K108" i="18" s="1"/>
  <c r="L44" i="18"/>
  <c r="L108" i="18" s="1"/>
  <c r="M44" i="18"/>
  <c r="M108" i="18" s="1"/>
  <c r="N44" i="18"/>
  <c r="N108" i="18" s="1"/>
  <c r="P44" i="18"/>
  <c r="C44" i="18"/>
  <c r="C43" i="18"/>
  <c r="W20" i="18" l="1"/>
  <c r="V54" i="18"/>
  <c r="S44" i="18"/>
  <c r="T44" i="18" s="1"/>
  <c r="P108" i="18"/>
  <c r="Q108" i="18" s="1"/>
  <c r="Q44" i="18"/>
  <c r="D43" i="18"/>
  <c r="E43" i="18"/>
  <c r="F43" i="18"/>
  <c r="G43" i="18"/>
  <c r="H43" i="18"/>
  <c r="I43" i="18"/>
  <c r="J43" i="18"/>
  <c r="K43" i="18"/>
  <c r="L43" i="18"/>
  <c r="M43" i="18"/>
  <c r="N43" i="18"/>
  <c r="P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D42" i="18"/>
  <c r="E42" i="18"/>
  <c r="F42" i="18"/>
  <c r="G42" i="18"/>
  <c r="H42" i="18"/>
  <c r="I42" i="18"/>
  <c r="J42" i="18"/>
  <c r="K42" i="18"/>
  <c r="L42" i="18"/>
  <c r="M42" i="18"/>
  <c r="N42" i="18"/>
  <c r="P42" i="18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C42" i="18"/>
  <c r="X20" i="18" l="1"/>
  <c r="W54" i="18"/>
  <c r="U44" i="18"/>
  <c r="AC42" i="18"/>
  <c r="AE42" i="18" s="1"/>
  <c r="Q42" i="18"/>
  <c r="AC43" i="18"/>
  <c r="AE43" i="18" s="1"/>
  <c r="T81" i="18" s="1"/>
  <c r="Q43" i="18"/>
  <c r="S82" i="18"/>
  <c r="S81" i="18"/>
  <c r="C45" i="15"/>
  <c r="Y20" i="18" l="1"/>
  <c r="X54" i="18"/>
  <c r="R81" i="18"/>
  <c r="V44" i="18"/>
  <c r="S68" i="18"/>
  <c r="T68" i="18" s="1"/>
  <c r="U68" i="18" s="1"/>
  <c r="V68" i="18" s="1"/>
  <c r="W68" i="18" s="1"/>
  <c r="X68" i="18" s="1"/>
  <c r="Y68" i="18" s="1"/>
  <c r="Z68" i="18" s="1"/>
  <c r="AA68" i="18" s="1"/>
  <c r="AB68" i="18" s="1"/>
  <c r="S103" i="18"/>
  <c r="C37" i="18"/>
  <c r="C104" i="18" s="1"/>
  <c r="C108" i="18" s="1"/>
  <c r="D37" i="18"/>
  <c r="D104" i="18" s="1"/>
  <c r="D108" i="18" s="1"/>
  <c r="E37" i="18"/>
  <c r="E104" i="18" s="1"/>
  <c r="E108" i="18" s="1"/>
  <c r="F37" i="18"/>
  <c r="F104" i="18" s="1"/>
  <c r="F108" i="18" s="1"/>
  <c r="G37" i="18"/>
  <c r="H37" i="18"/>
  <c r="H104" i="18" s="1"/>
  <c r="I37" i="18"/>
  <c r="I104" i="18" s="1"/>
  <c r="J37" i="18"/>
  <c r="J104" i="18" s="1"/>
  <c r="K37" i="18"/>
  <c r="K104" i="18" s="1"/>
  <c r="L37" i="18"/>
  <c r="M37" i="18"/>
  <c r="M104" i="18" s="1"/>
  <c r="N37" i="18"/>
  <c r="P37" i="18"/>
  <c r="D50" i="18"/>
  <c r="D107" i="18" s="1"/>
  <c r="E50" i="18"/>
  <c r="E107" i="18" s="1"/>
  <c r="F50" i="18"/>
  <c r="F107" i="18" s="1"/>
  <c r="G50" i="18"/>
  <c r="H50" i="18"/>
  <c r="H107" i="18" s="1"/>
  <c r="I50" i="18"/>
  <c r="I107" i="18" s="1"/>
  <c r="J50" i="18"/>
  <c r="J107" i="18" s="1"/>
  <c r="K50" i="18"/>
  <c r="K107" i="18" s="1"/>
  <c r="L50" i="18"/>
  <c r="L107" i="18" s="1"/>
  <c r="M50" i="18"/>
  <c r="M107" i="18" s="1"/>
  <c r="N50" i="18"/>
  <c r="P50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D47" i="18"/>
  <c r="E47" i="18"/>
  <c r="F47" i="18"/>
  <c r="G47" i="18"/>
  <c r="H47" i="18"/>
  <c r="I47" i="18"/>
  <c r="J47" i="18"/>
  <c r="K47" i="18"/>
  <c r="L47" i="18"/>
  <c r="M47" i="18"/>
  <c r="N47" i="18"/>
  <c r="P47" i="18"/>
  <c r="D46" i="18"/>
  <c r="D48" i="18" s="1"/>
  <c r="D106" i="18" s="1"/>
  <c r="E46" i="18"/>
  <c r="E48" i="18" s="1"/>
  <c r="E106" i="18" s="1"/>
  <c r="F46" i="18"/>
  <c r="F48" i="18" s="1"/>
  <c r="F106" i="18" s="1"/>
  <c r="G46" i="18"/>
  <c r="H46" i="18"/>
  <c r="H48" i="18" s="1"/>
  <c r="H106" i="18" s="1"/>
  <c r="I46" i="18"/>
  <c r="J46" i="18"/>
  <c r="J48" i="18" s="1"/>
  <c r="J106" i="18" s="1"/>
  <c r="K46" i="18"/>
  <c r="K48" i="18" s="1"/>
  <c r="K106" i="18" s="1"/>
  <c r="L46" i="18"/>
  <c r="L48" i="18" s="1"/>
  <c r="L106" i="18" s="1"/>
  <c r="M46" i="18"/>
  <c r="N46" i="18"/>
  <c r="P46" i="18"/>
  <c r="D40" i="18"/>
  <c r="E40" i="18"/>
  <c r="F40" i="18"/>
  <c r="G40" i="18"/>
  <c r="H40" i="18"/>
  <c r="I40" i="18"/>
  <c r="J40" i="18"/>
  <c r="K40" i="18"/>
  <c r="L40" i="18"/>
  <c r="M40" i="18"/>
  <c r="N40" i="18"/>
  <c r="P40" i="18"/>
  <c r="D39" i="18"/>
  <c r="D105" i="18" s="1"/>
  <c r="E39" i="18"/>
  <c r="E105" i="18" s="1"/>
  <c r="F39" i="18"/>
  <c r="F105" i="18" s="1"/>
  <c r="G39" i="18"/>
  <c r="H39" i="18"/>
  <c r="H105" i="18" s="1"/>
  <c r="I39" i="18"/>
  <c r="I105" i="18" s="1"/>
  <c r="J39" i="18"/>
  <c r="J105" i="18" s="1"/>
  <c r="K39" i="18"/>
  <c r="K105" i="18" s="1"/>
  <c r="L39" i="18"/>
  <c r="L105" i="18" s="1"/>
  <c r="M39" i="18"/>
  <c r="M105" i="18" s="1"/>
  <c r="N39" i="18"/>
  <c r="P39" i="18"/>
  <c r="C50" i="18"/>
  <c r="C107" i="18" s="1"/>
  <c r="C49" i="18"/>
  <c r="C47" i="18"/>
  <c r="C46" i="18"/>
  <c r="C40" i="18"/>
  <c r="C39" i="18"/>
  <c r="C105" i="18" s="1"/>
  <c r="D38" i="18"/>
  <c r="E38" i="18"/>
  <c r="F38" i="18"/>
  <c r="G38" i="18"/>
  <c r="H38" i="18"/>
  <c r="I38" i="18"/>
  <c r="J38" i="18"/>
  <c r="K38" i="18"/>
  <c r="L38" i="18"/>
  <c r="M38" i="18"/>
  <c r="N38" i="18"/>
  <c r="P38" i="18"/>
  <c r="C38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88" i="18" s="1"/>
  <c r="S89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Z20" i="18" l="1"/>
  <c r="Y54" i="18"/>
  <c r="AC7" i="18"/>
  <c r="AE7" i="18" s="1"/>
  <c r="AC12" i="18"/>
  <c r="AE12" i="18" s="1"/>
  <c r="T88" i="18" s="1"/>
  <c r="AC14" i="18"/>
  <c r="AE14" i="18" s="1"/>
  <c r="AC11" i="18"/>
  <c r="AE11" i="18" s="1"/>
  <c r="AC13" i="18"/>
  <c r="AE13" i="18" s="1"/>
  <c r="AC15" i="18"/>
  <c r="AE15" i="18" s="1"/>
  <c r="AC8" i="18"/>
  <c r="AE8" i="18" s="1"/>
  <c r="AC32" i="18"/>
  <c r="AE32" i="18" s="1"/>
  <c r="AC68" i="18"/>
  <c r="AE68" i="18" s="1"/>
  <c r="C48" i="18"/>
  <c r="C106" i="18" s="1"/>
  <c r="P74" i="18"/>
  <c r="T103" i="18"/>
  <c r="S108" i="18"/>
  <c r="W44" i="18"/>
  <c r="P104" i="18"/>
  <c r="I48" i="18"/>
  <c r="I106" i="18" s="1"/>
  <c r="Q38" i="18"/>
  <c r="G105" i="18"/>
  <c r="Q39" i="18"/>
  <c r="Q40" i="18"/>
  <c r="Q47" i="18"/>
  <c r="Q49" i="18"/>
  <c r="G104" i="18"/>
  <c r="Q37" i="18"/>
  <c r="G107" i="18"/>
  <c r="Q50" i="18"/>
  <c r="G48" i="18"/>
  <c r="Q46" i="18"/>
  <c r="N105" i="18"/>
  <c r="N104" i="18"/>
  <c r="N107" i="18"/>
  <c r="S49" i="18"/>
  <c r="T49" i="18" s="1"/>
  <c r="U49" i="18" s="1"/>
  <c r="V49" i="18" s="1"/>
  <c r="W49" i="18" s="1"/>
  <c r="X49" i="18" s="1"/>
  <c r="Y49" i="18" s="1"/>
  <c r="Z49" i="18" s="1"/>
  <c r="AA49" i="18" s="1"/>
  <c r="AB49" i="18" s="1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P105" i="18"/>
  <c r="S46" i="18"/>
  <c r="T46" i="18" s="1"/>
  <c r="U46" i="18" s="1"/>
  <c r="V46" i="18" s="1"/>
  <c r="W46" i="18" s="1"/>
  <c r="X46" i="18" s="1"/>
  <c r="Y46" i="18" s="1"/>
  <c r="Z46" i="18" s="1"/>
  <c r="AA46" i="18" s="1"/>
  <c r="AB46" i="18" s="1"/>
  <c r="L104" i="18"/>
  <c r="N48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M48" i="18"/>
  <c r="M106" i="18" s="1"/>
  <c r="P107" i="18"/>
  <c r="P48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S34" i="18"/>
  <c r="C6" i="12"/>
  <c r="C25" i="15"/>
  <c r="C57" i="15"/>
  <c r="C56" i="15"/>
  <c r="C53" i="15"/>
  <c r="C52" i="15"/>
  <c r="C49" i="15"/>
  <c r="C48" i="15"/>
  <c r="C44" i="15"/>
  <c r="R88" i="18" l="1"/>
  <c r="T89" i="18"/>
  <c r="R89" i="18" s="1"/>
  <c r="T34" i="18"/>
  <c r="S57" i="18"/>
  <c r="S58" i="18"/>
  <c r="S59" i="18"/>
  <c r="S56" i="18"/>
  <c r="AA20" i="18"/>
  <c r="Z54" i="18"/>
  <c r="AC69" i="18"/>
  <c r="AE69" i="18" s="1"/>
  <c r="AC70" i="18"/>
  <c r="AE70" i="18" s="1"/>
  <c r="AC46" i="18"/>
  <c r="AE46" i="18" s="1"/>
  <c r="T79" i="18" s="1"/>
  <c r="AC49" i="18"/>
  <c r="AE49" i="18" s="1"/>
  <c r="T86" i="18" s="1"/>
  <c r="AC50" i="18"/>
  <c r="AE50" i="18" s="1"/>
  <c r="AC40" i="18"/>
  <c r="AE40" i="18" s="1"/>
  <c r="T78" i="18" s="1"/>
  <c r="AC47" i="18"/>
  <c r="AE47" i="18" s="1"/>
  <c r="T85" i="18" s="1"/>
  <c r="S107" i="18"/>
  <c r="U103" i="18"/>
  <c r="T107" i="18"/>
  <c r="T108" i="18"/>
  <c r="X44" i="18"/>
  <c r="Q105" i="18"/>
  <c r="Q104" i="18"/>
  <c r="Q107" i="18"/>
  <c r="G106" i="18"/>
  <c r="Q48" i="18"/>
  <c r="N106" i="18"/>
  <c r="P106" i="18"/>
  <c r="S48" i="18"/>
  <c r="S67" i="18"/>
  <c r="T67" i="18" s="1"/>
  <c r="U67" i="18" s="1"/>
  <c r="V67" i="18" s="1"/>
  <c r="W67" i="18" s="1"/>
  <c r="X67" i="18" s="1"/>
  <c r="Y67" i="18" s="1"/>
  <c r="Z67" i="18" s="1"/>
  <c r="AA67" i="18" s="1"/>
  <c r="AB67" i="18" s="1"/>
  <c r="S39" i="18"/>
  <c r="S64" i="18"/>
  <c r="T64" i="18" s="1"/>
  <c r="U64" i="18" s="1"/>
  <c r="V64" i="18" s="1"/>
  <c r="W64" i="18" s="1"/>
  <c r="X64" i="18" s="1"/>
  <c r="Y64" i="18" s="1"/>
  <c r="Z64" i="18" s="1"/>
  <c r="AA64" i="18" s="1"/>
  <c r="AB64" i="18" s="1"/>
  <c r="S37" i="18"/>
  <c r="S66" i="18"/>
  <c r="T66" i="18" s="1"/>
  <c r="U66" i="18" s="1"/>
  <c r="V66" i="18" s="1"/>
  <c r="W66" i="18" s="1"/>
  <c r="X66" i="18" s="1"/>
  <c r="Y66" i="18" s="1"/>
  <c r="Z66" i="18" s="1"/>
  <c r="AA66" i="18" s="1"/>
  <c r="AB66" i="18" s="1"/>
  <c r="S65" i="18"/>
  <c r="T65" i="18" s="1"/>
  <c r="U65" i="18" s="1"/>
  <c r="V65" i="18" s="1"/>
  <c r="W65" i="18" s="1"/>
  <c r="X65" i="18" s="1"/>
  <c r="Y65" i="18" s="1"/>
  <c r="Z65" i="18" s="1"/>
  <c r="AA65" i="18" s="1"/>
  <c r="AB65" i="18" s="1"/>
  <c r="S85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C15" i="15"/>
  <c r="C20" i="15"/>
  <c r="C9" i="15"/>
  <c r="U34" i="18" l="1"/>
  <c r="T59" i="18"/>
  <c r="T58" i="18"/>
  <c r="T57" i="18"/>
  <c r="T56" i="18"/>
  <c r="AB20" i="18"/>
  <c r="AA54" i="18"/>
  <c r="AC66" i="18"/>
  <c r="AE66" i="18" s="1"/>
  <c r="AC67" i="18"/>
  <c r="AE67" i="18" s="1"/>
  <c r="AC38" i="18"/>
  <c r="AE38" i="18" s="1"/>
  <c r="T76" i="18" s="1"/>
  <c r="AC65" i="18"/>
  <c r="AE65" i="18" s="1"/>
  <c r="AC64" i="18"/>
  <c r="AE64" i="18" s="1"/>
  <c r="R85" i="18"/>
  <c r="T48" i="18"/>
  <c r="S106" i="18"/>
  <c r="V103" i="18"/>
  <c r="U107" i="18"/>
  <c r="U108" i="18"/>
  <c r="T37" i="18"/>
  <c r="S104" i="18"/>
  <c r="T39" i="18"/>
  <c r="S105" i="18"/>
  <c r="Y44" i="18"/>
  <c r="Q106" i="18"/>
  <c r="S76" i="18"/>
  <c r="S86" i="18"/>
  <c r="R86" i="18" s="1"/>
  <c r="S79" i="18"/>
  <c r="R79" i="18" s="1"/>
  <c r="S78" i="18"/>
  <c r="R78" i="18" s="1"/>
  <c r="D31" i="8"/>
  <c r="D29" i="8"/>
  <c r="D28" i="8"/>
  <c r="D13" i="8"/>
  <c r="D30" i="8" s="1"/>
  <c r="E14" i="8"/>
  <c r="F14" i="8" s="1"/>
  <c r="G14" i="8" s="1"/>
  <c r="H14" i="8" s="1"/>
  <c r="I14" i="8" s="1"/>
  <c r="V34" i="18" l="1"/>
  <c r="U59" i="18"/>
  <c r="U57" i="18"/>
  <c r="U58" i="18"/>
  <c r="U56" i="18"/>
  <c r="AC20" i="18"/>
  <c r="AE20" i="18" s="1"/>
  <c r="AB54" i="18"/>
  <c r="R76" i="18"/>
  <c r="U48" i="18"/>
  <c r="T106" i="18"/>
  <c r="W103" i="18"/>
  <c r="V107" i="18"/>
  <c r="V108" i="18"/>
  <c r="U37" i="18"/>
  <c r="T104" i="18"/>
  <c r="U39" i="18"/>
  <c r="T105" i="18"/>
  <c r="Z4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34" i="18" l="1"/>
  <c r="V59" i="18"/>
  <c r="V57" i="18"/>
  <c r="V58" i="18"/>
  <c r="V56" i="18"/>
  <c r="S92" i="18"/>
  <c r="AC54" i="18"/>
  <c r="AE54" i="18" s="1"/>
  <c r="T92" i="18" s="1"/>
  <c r="V48" i="18"/>
  <c r="U106" i="18"/>
  <c r="X103" i="18"/>
  <c r="W107" i="18"/>
  <c r="W108" i="18"/>
  <c r="V37" i="18"/>
  <c r="U104" i="18"/>
  <c r="V39" i="18"/>
  <c r="U105" i="18"/>
  <c r="AA4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P32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R92" i="18" l="1"/>
  <c r="O31" i="9"/>
  <c r="O32" i="9" s="1"/>
  <c r="X34" i="18"/>
  <c r="W59" i="18"/>
  <c r="W57" i="18"/>
  <c r="W58" i="18"/>
  <c r="W56" i="18"/>
  <c r="W48" i="18"/>
  <c r="V106" i="18"/>
  <c r="Y103" i="18"/>
  <c r="X107" i="18"/>
  <c r="X108" i="18"/>
  <c r="W37" i="18"/>
  <c r="V104" i="18"/>
  <c r="W39" i="18"/>
  <c r="V105" i="18"/>
  <c r="AB44" i="18"/>
  <c r="P31" i="11"/>
  <c r="N32" i="11"/>
  <c r="T19" i="9"/>
  <c r="D22" i="9"/>
  <c r="Y34" i="18" l="1"/>
  <c r="X59" i="18"/>
  <c r="X57" i="18"/>
  <c r="X58" i="18"/>
  <c r="X56" i="18"/>
  <c r="X48" i="18"/>
  <c r="W106" i="18"/>
  <c r="Z103" i="18"/>
  <c r="Y107" i="18"/>
  <c r="Y108" i="18"/>
  <c r="X37" i="18"/>
  <c r="W104" i="18"/>
  <c r="X39" i="18"/>
  <c r="W105" i="18"/>
  <c r="S83" i="18"/>
  <c r="R83" i="18" s="1"/>
  <c r="AC44" i="18"/>
  <c r="AE44" i="18" s="1"/>
  <c r="T82" i="18" s="1"/>
  <c r="R82" i="18" s="1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34" i="18" l="1"/>
  <c r="Y59" i="18"/>
  <c r="Y57" i="18"/>
  <c r="Y58" i="18"/>
  <c r="Y56" i="18"/>
  <c r="Y48" i="18"/>
  <c r="X106" i="18"/>
  <c r="AA103" i="18"/>
  <c r="Z107" i="18"/>
  <c r="Z108" i="18"/>
  <c r="Y37" i="18"/>
  <c r="X104" i="18"/>
  <c r="Y39" i="18"/>
  <c r="X105" i="18"/>
  <c r="N34" i="11"/>
  <c r="O33" i="11"/>
  <c r="D25" i="8"/>
  <c r="D23" i="8"/>
  <c r="AA34" i="18" l="1"/>
  <c r="Z59" i="18"/>
  <c r="Z57" i="18"/>
  <c r="Z58" i="18"/>
  <c r="Z56" i="18"/>
  <c r="Z48" i="18"/>
  <c r="Y106" i="18"/>
  <c r="AB103" i="18"/>
  <c r="AA107" i="18"/>
  <c r="AA108" i="18"/>
  <c r="Z37" i="18"/>
  <c r="Y104" i="18"/>
  <c r="Z39" i="18"/>
  <c r="Y105" i="18"/>
  <c r="N35" i="11"/>
  <c r="O34" i="11"/>
  <c r="D35" i="8"/>
  <c r="E5" i="8"/>
  <c r="E18" i="8" s="1"/>
  <c r="D18" i="8"/>
  <c r="D19" i="8"/>
  <c r="D21" i="8"/>
  <c r="D20" i="8"/>
  <c r="AB34" i="18" l="1"/>
  <c r="AA59" i="18"/>
  <c r="AA57" i="18"/>
  <c r="AA58" i="18"/>
  <c r="AA56" i="18"/>
  <c r="AA48" i="18"/>
  <c r="Z106" i="18"/>
  <c r="AC103" i="18"/>
  <c r="AE103" i="18" s="1"/>
  <c r="AB107" i="18"/>
  <c r="AB108" i="18"/>
  <c r="AA37" i="18"/>
  <c r="Z104" i="18"/>
  <c r="AA39" i="18"/>
  <c r="Z105" i="18"/>
  <c r="N36" i="11"/>
  <c r="O35" i="11"/>
  <c r="F5" i="8"/>
  <c r="G5" i="8" s="1"/>
  <c r="H5" i="8" s="1"/>
  <c r="I5" i="8" s="1"/>
  <c r="AB59" i="18" l="1"/>
  <c r="S97" i="18" s="1"/>
  <c r="AB57" i="18"/>
  <c r="S95" i="18" s="1"/>
  <c r="AC34" i="18"/>
  <c r="AE34" i="18" s="1"/>
  <c r="AB58" i="18"/>
  <c r="S96" i="18" s="1"/>
  <c r="AB56" i="18"/>
  <c r="S94" i="18" s="1"/>
  <c r="AC108" i="18"/>
  <c r="AE108" i="18" s="1"/>
  <c r="AC107" i="18"/>
  <c r="AE107" i="18" s="1"/>
  <c r="AB48" i="18"/>
  <c r="AA106" i="18"/>
  <c r="AB37" i="18"/>
  <c r="AA104" i="18"/>
  <c r="AB39" i="18"/>
  <c r="AA105" i="18"/>
  <c r="N37" i="11"/>
  <c r="O36" i="11"/>
  <c r="F18" i="8"/>
  <c r="G18" i="8"/>
  <c r="AC58" i="18" l="1"/>
  <c r="AE58" i="18" s="1"/>
  <c r="T96" i="18" s="1"/>
  <c r="AC57" i="18"/>
  <c r="AE57" i="18" s="1"/>
  <c r="AC56" i="18"/>
  <c r="AE56" i="18" s="1"/>
  <c r="T94" i="18" s="1"/>
  <c r="AC59" i="18"/>
  <c r="AE59" i="18" s="1"/>
  <c r="S75" i="18"/>
  <c r="AC48" i="18"/>
  <c r="AE48" i="18" s="1"/>
  <c r="AB106" i="18"/>
  <c r="AC37" i="18"/>
  <c r="AE37" i="18" s="1"/>
  <c r="T75" i="18" s="1"/>
  <c r="AB104" i="18"/>
  <c r="AC39" i="18"/>
  <c r="AE39" i="18" s="1"/>
  <c r="T77" i="18" s="1"/>
  <c r="AB105" i="18"/>
  <c r="S77" i="18"/>
  <c r="N38" i="11"/>
  <c r="O37" i="11"/>
  <c r="H18" i="8"/>
  <c r="T97" i="18" l="1"/>
  <c r="R97" i="18" s="1"/>
  <c r="T95" i="18"/>
  <c r="R95" i="18" s="1"/>
  <c r="R96" i="18"/>
  <c r="R94" i="18"/>
  <c r="R75" i="18"/>
  <c r="AC105" i="18"/>
  <c r="AE105" i="18" s="1"/>
  <c r="AC106" i="18"/>
  <c r="AE106" i="18" s="1"/>
  <c r="AC104" i="18"/>
  <c r="AE104" i="18" s="1"/>
  <c r="R77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<sst xmlns="http://schemas.openxmlformats.org/spreadsheetml/2006/main" count="451" uniqueCount="303">
  <si>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</si>
  <si>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</si>
  <si>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</si>
  <si>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</si>
  <si>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</si>
  <si>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</si>
  <si>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</si>
  <si>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</si>
  <si>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</si>
  <si>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</si>
  <si>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</si>
  <si>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</si>
  <si>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</si>
  <si>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</si>
  <si>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</si>
  <si>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</si>
  <si>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</si>
  <si>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</si>
  <si>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</si>
  <si>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</si>
  <si>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</si>
  <si>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</si>
  <si>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</si>
  <si>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</si>
  <si>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</si>
  <si>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</si>
  <si>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</si>
  <si>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</si>
  <si>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</si>
  <si>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</si>
  <si>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</si>
  <si>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</si>
  <si>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</si>
  <si>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</si>
  <si>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</si>
  <si>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</si>
  <si>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</si>
  <si>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</si>
  <si>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</si>
  <si>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</si>
  <si>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</si>
  <si>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</si>
  <si>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</si>
  <si>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</si>
  <si>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</si>
  <si>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</si>
  <si>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</si>
  <si>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</si>
  <si>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</si>
  <si>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</si>
  <si>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</si>
  <si>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</si>
  <si>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</si>
  <si>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</si>
  <si>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</si>
  <si>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</si>
  <si>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</si>
  <si>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</si>
  <si>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</si>
  <si>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</si>
  <si>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</si>
  <si>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</si>
  <si>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</si>
  <si>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</si>
  <si>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</si>
  <si>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</si>
  <si>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</si>
  <si>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</si>
  <si>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</si>
  <si>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</si>
  <si>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</si>
  <si>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</si>
  <si>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</si>
  <si>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</si>
  <si>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</si>
  <si>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</si>
  <si>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</si>
  <si>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</si>
  <si>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</si>
  <si>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</si>
  <si>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</si>
  <si>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</si>
  <si>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</si>
  <si>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</si>
  <si>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</si>
  <si>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</si>
  <si>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</si>
  <si>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</si>
  <si>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</si>
  <si>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</si>
  <si>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</si>
  <si>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</si>
  <si>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</si>
  <si>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</si>
  <si>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</si>
  <si>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</si>
  <si>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</si>
  <si>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</si>
  <si>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</si>
  <si>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</si>
  <si>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</si>
  <si>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</si>
  <si>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</si>
  <si>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</si>
  <si>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</si>
  <si>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</si>
  <si>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</si>
  <si>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</si>
  <si>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</si>
  <si>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</si>
  <si>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</si>
  <si>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</si>
  <si>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</si>
  <si>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</si>
  <si>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</si>
  <si>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</si>
  <si>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</si>
  <si>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</si>
  <si>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</si>
  <si>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</si>
  <si>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</si>
  <si>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</si>
  <si>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</si>
  <si>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</si>
  <si>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</si>
  <si>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</si>
  <si>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</si>
  <si>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</si>
  <si>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</si>
  <si>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</si>
  <si>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</si>
  <si>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</si>
  <si>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</si>
  <si>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</si>
  <si>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</si>
  <si>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</si>
  <si>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</si>
  <si>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</si>
  <si>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</si>
  <si>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</si>
  <si>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</si>
  <si>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</si>
  <si>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</si>
  <si>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</si>
  <si>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</si>
  <si>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</si>
  <si>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</si>
  <si>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</si>
  <si>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</si>
  <si>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</si>
  <si>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</si>
  <si>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</si>
  <si>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</si>
  <si>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</si>
  <si>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</si>
  <si>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</si>
  <si>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</si>
  <si>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</si>
  <si>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</si>
  <si>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</si>
  <si>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</si>
  <si>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</si>
  <si>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</si>
  <si>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</si>
  <si>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</si>
  <si>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</si>
  <si>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</si>
  <si>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</si>
  <si>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</si>
  <si>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</si>
  <si>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</si>
  <si>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</si>
  <si>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</si>
  <si>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</si>
  <si>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</si>
  <si>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</si>
  <si>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</si>
  <si>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</si>
  <si>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</si>
  <si>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</si>
  <si>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</si>
  <si>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</si>
  <si>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</si>
  <si>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</si>
  <si>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</si>
  <si>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</si>
  <si>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</si>
  <si>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</si>
  <si>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</si>
  <si>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</si>
  <si>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</si>
  <si>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</si>
  <si>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</si>
  <si>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</si>
  <si>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</si>
  <si>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</si>
  <si>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</si>
  <si>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</si>
  <si>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</si>
  <si>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</si>
  <si>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</si>
  <si>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</si>
  <si>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</si>
  <si>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</si>
  <si>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</si>
  <si>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</si>
  <si>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</si>
  <si>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</si>
  <si>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</si>
  <si>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</si>
  <si>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</si>
  <si>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</si>
  <si>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</si>
  <si>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</si>
  <si>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</si>
  <si>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</si>
  <si>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</si>
  <si>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</si>
  <si>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</si>
  <si>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</si>
  <si>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</si>
  <si>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</si>
  <si>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</si>
  <si>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</si>
  <si>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</si>
  <si>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</si>
  <si>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</si>
  <si>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</si>
  <si>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</si>
  <si>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</si>
  <si>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</si>
  <si>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</si>
  <si>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</si>
  <si>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</si>
  <si>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</si>
  <si>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</si>
  <si>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</si>
  <si>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</si>
  <si>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</si>
  <si>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</si>
  <si>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</si>
  <si>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</si>
  <si>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</si>
  <si>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</si>
  <si>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</si>
  <si>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</si>
  <si>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</si>
  <si>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</si>
  <si>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</si>
  <si>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</si>
  <si>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</si>
  <si>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</si>
  <si>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</si>
  <si>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</si>
  <si>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</si>
  <si>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</si>
  <si>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</si>
  <si>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</si>
  <si>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</si>
  <si>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</si>
  <si>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</si>
  <si>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</si>
  <si>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</si>
  <si>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</si>
  <si>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</si>
  <si>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</si>
  <si>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</si>
  <si>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</si>
  <si>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</si>
  <si>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</si>
  <si>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</si>
  <si>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</si>
  <si>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</si>
  <si>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</si>
  <si>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</si>
  <si>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</si>
  <si>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</si>
  <si>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</si>
  <si>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</si>
  <si>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</si>
  <si>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</si>
  <si>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</si>
  <si>
    <t>2nd highest Expenses Comp. ( SG&amp;A 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</si>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</sst>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4" fontId="8" fillId="5" borderId="1" xfId="0" applyNumberFormat="1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2" fontId="8" fillId="5" borderId="1" xfId="2" applyNumberFormat="1" applyFont="1" applyFill="1" applyBorder="1"/>
    <xf numFmtId="2" fontId="8" fillId="5" borderId="1" xfId="0" applyNumberFormat="1" applyFont="1" applyFill="1" applyBorder="1"/>
    <xf numFmtId="172" fontId="8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40" fontId="4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91968"/>
        <c:axId val="73493504"/>
      </c:lineChart>
      <c:catAx>
        <c:axId val="73491968"/>
        <c:scaling>
          <c:orientation val="minMax"/>
        </c:scaling>
        <c:delete val="0"/>
        <c:axPos val="b"/>
        <c:majorTickMark val="out"/>
        <c:minorTickMark val="none"/>
        <c:tickLblPos val="nextTo"/>
        <c:crossAx val="73493504"/>
        <c:crosses val="autoZero"/>
        <c:auto val="1"/>
        <c:lblAlgn val="ctr"/>
        <c:lblOffset val="100"/>
        <c:noMultiLvlLbl val="0"/>
      </c:catAx>
      <c:valAx>
        <c:axId val="7349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4919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281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2"/>
  <sheetViews>
    <sheetView tabSelected="1" zoomScale="80" zoomScaleNormal="80" workbookViewId="0">
      <pane xSplit="2" ySplit="4" topLeftCell="C86" activePane="bottomRight" state="frozen"/>
      <selection pane="topRight" activeCell="C1" sqref="C1"/>
      <selection pane="bottomLeft" activeCell="A5" sqref="A5"/>
      <selection pane="bottomRight" activeCell="E111" sqref="E111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10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 x14ac:dyDescent="0.2">
      <c r="B2" s="123" t="s">
        <v>241</v>
      </c>
      <c r="C2" s="124">
        <v>0.22</v>
      </c>
      <c r="F2" s="104" t="s">
        <v>252</v>
      </c>
      <c r="H2" s="126">
        <v>2004</v>
      </c>
    </row>
    <row r="3" spans="2:31" x14ac:dyDescent="0.2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294</v>
      </c>
      <c r="AE3" s="20"/>
    </row>
    <row r="4" spans="2:31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6" t="s">
        <v>1</v>
      </c>
      <c r="AD4" s="20" t="s">
        <v>295</v>
      </c>
      <c r="AE4" s="20"/>
    </row>
    <row r="5" spans="2:31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7"/>
      <c r="AD5" s="20"/>
      <c r="AE5" s="20"/>
    </row>
    <row r="6" spans="2:31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7"/>
      <c r="AD6" s="20"/>
      <c r="AE6" s="20"/>
    </row>
    <row r="7" spans="2:31" x14ac:dyDescent="0.2">
      <c r="B7" s="20" t="s">
        <v>16</v>
      </c>
      <c r="C7" s="141"/>
      <c r="D7" s="141"/>
      <c r="E7" s="141"/>
      <c r="F7" s="141"/>
      <c r="G7" s="141">
        <v>349.03</v>
      </c>
      <c r="H7" s="141">
        <v>702.36</v>
      </c>
      <c r="I7" s="141">
        <v>2421.71</v>
      </c>
      <c r="J7" s="141">
        <v>3122.59</v>
      </c>
      <c r="K7" s="141">
        <v>7791.7</v>
      </c>
      <c r="L7" s="141">
        <v>7823.63</v>
      </c>
      <c r="M7" s="141">
        <v>6274.21</v>
      </c>
      <c r="N7" s="141">
        <v>6149.68</v>
      </c>
      <c r="O7" s="141">
        <v>4825.37</v>
      </c>
      <c r="P7" s="141">
        <v>-34</v>
      </c>
      <c r="Q7" s="118" t="e">
        <f>((P7/G7)^(1/($H$3-$H$2) ))-1</f>
        <v>#NUM!</v>
      </c>
      <c r="R7" s="31">
        <v>0.1</v>
      </c>
      <c r="S7" s="119">
        <f>P7*(1+$R7)</f>
        <v>-37.400000000000006</v>
      </c>
      <c r="T7" s="119">
        <f>S7*(1+$R7)</f>
        <v>-41.140000000000008</v>
      </c>
      <c r="U7" s="119">
        <f t="shared" ref="U7:AB7" si="0">T7*(1+$R7)</f>
        <v>-45.254000000000012</v>
      </c>
      <c r="V7" s="119">
        <f t="shared" si="0"/>
        <v>-49.779400000000017</v>
      </c>
      <c r="W7" s="119">
        <f t="shared" si="0"/>
        <v>-54.757340000000021</v>
      </c>
      <c r="X7" s="119">
        <f t="shared" si="0"/>
        <v>-60.23307400000003</v>
      </c>
      <c r="Y7" s="119">
        <f t="shared" si="0"/>
        <v>-66.256381400000038</v>
      </c>
      <c r="Z7" s="119">
        <f t="shared" si="0"/>
        <v>-72.882019540000044</v>
      </c>
      <c r="AA7" s="119">
        <f t="shared" si="0"/>
        <v>-80.17022149400006</v>
      </c>
      <c r="AB7" s="119">
        <f t="shared" si="0"/>
        <v>-88.18724364340008</v>
      </c>
      <c r="AC7" s="138">
        <f>((AB7/G7)^(1/($AB$4-$H$2) ))-1</f>
        <v>-1.9301540798970387</v>
      </c>
      <c r="AD7" s="31">
        <v>0.08</v>
      </c>
      <c r="AE7" s="127">
        <f>(AB7*(1+AC7))/($C$2-AD7)</f>
        <v>585.91231764130555</v>
      </c>
    </row>
    <row r="8" spans="2:31" x14ac:dyDescent="0.2">
      <c r="B8" s="20" t="s">
        <v>240</v>
      </c>
      <c r="C8" s="141"/>
      <c r="D8" s="141"/>
      <c r="E8" s="141"/>
      <c r="F8" s="141"/>
      <c r="G8" s="141">
        <v>391.38</v>
      </c>
      <c r="H8" s="141">
        <v>904.63</v>
      </c>
      <c r="I8" s="141">
        <v>2737.29</v>
      </c>
      <c r="J8" s="141">
        <v>3513.58</v>
      </c>
      <c r="K8" s="141">
        <v>8103.81</v>
      </c>
      <c r="L8" s="141">
        <v>8231.23</v>
      </c>
      <c r="M8" s="141">
        <v>6603.77</v>
      </c>
      <c r="N8" s="141">
        <v>6528.08</v>
      </c>
      <c r="O8" s="141">
        <v>5186.78</v>
      </c>
      <c r="P8" s="141">
        <v>320</v>
      </c>
      <c r="Q8" s="118">
        <f>((P8/G8)^(1/($H$3-$H$2) ))-1</f>
        <v>-2.4855627810139391E-2</v>
      </c>
      <c r="R8" s="31">
        <v>0.1</v>
      </c>
      <c r="S8" s="119">
        <f t="shared" ref="S8:S15" si="1">P8*(1+$R8)</f>
        <v>352</v>
      </c>
      <c r="T8" s="119">
        <f t="shared" ref="T8:AB8" si="2">S8*(1+$R8)</f>
        <v>387.20000000000005</v>
      </c>
      <c r="U8" s="119">
        <f t="shared" si="2"/>
        <v>425.92000000000007</v>
      </c>
      <c r="V8" s="119">
        <f t="shared" si="2"/>
        <v>468.51200000000011</v>
      </c>
      <c r="W8" s="119">
        <f t="shared" si="2"/>
        <v>515.36320000000012</v>
      </c>
      <c r="X8" s="119">
        <f t="shared" si="2"/>
        <v>566.89952000000017</v>
      </c>
      <c r="Y8" s="119">
        <f t="shared" si="2"/>
        <v>623.58947200000023</v>
      </c>
      <c r="Z8" s="119">
        <f t="shared" si="2"/>
        <v>685.94841920000033</v>
      </c>
      <c r="AA8" s="119">
        <f t="shared" si="2"/>
        <v>754.54326112000047</v>
      </c>
      <c r="AB8" s="119">
        <f t="shared" si="2"/>
        <v>829.99758723200057</v>
      </c>
      <c r="AC8" s="138">
        <f>((AB8/G8)^(1/($AB$4-$H$2) ))-1</f>
        <v>4.035860393980939E-2</v>
      </c>
      <c r="AD8" s="31">
        <v>0.08</v>
      </c>
      <c r="AE8" s="127">
        <f>(AB8*(1+AC8))/($C$2-AD8)</f>
        <v>6167.8223651863873</v>
      </c>
    </row>
    <row r="9" spans="2:31" x14ac:dyDescent="0.2">
      <c r="B9" s="20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39"/>
      <c r="AD9" s="20"/>
      <c r="AE9" s="20"/>
    </row>
    <row r="10" spans="2:31" x14ac:dyDescent="0.2">
      <c r="B10" s="20" t="s">
        <v>270</v>
      </c>
      <c r="C10" s="141"/>
      <c r="D10" s="141"/>
      <c r="E10" s="141"/>
      <c r="F10" s="141"/>
      <c r="G10" s="141">
        <v>379.34</v>
      </c>
      <c r="H10" s="141">
        <v>780.9</v>
      </c>
      <c r="I10" s="141">
        <v>1707.82</v>
      </c>
      <c r="J10" s="141">
        <v>3996.37</v>
      </c>
      <c r="K10" s="141">
        <v>16412.169999999998</v>
      </c>
      <c r="L10" s="141">
        <v>10121.370000000001</v>
      </c>
      <c r="M10" s="141">
        <v>9604.41</v>
      </c>
      <c r="N10" s="141">
        <v>11994.06</v>
      </c>
      <c r="O10" s="141">
        <v>7511.38</v>
      </c>
      <c r="P10" s="141">
        <v>16251</v>
      </c>
      <c r="Q10" s="118">
        <f t="shared" ref="Q10:Q15" si="3">((P10/G10)^(1/($H$3-$H$2) ))-1</f>
        <v>0.59948963937434274</v>
      </c>
      <c r="R10" s="31">
        <v>0.1</v>
      </c>
      <c r="S10" s="119">
        <f t="shared" ref="S10" si="4">P10*(1+$R10)</f>
        <v>17876.100000000002</v>
      </c>
      <c r="T10" s="119">
        <f t="shared" ref="T10" si="5">S10*(1+$R10)</f>
        <v>19663.710000000003</v>
      </c>
      <c r="U10" s="119">
        <f t="shared" ref="U10" si="6">T10*(1+$R10)</f>
        <v>21630.081000000006</v>
      </c>
      <c r="V10" s="119">
        <f t="shared" ref="V10" si="7">U10*(1+$R10)</f>
        <v>23793.089100000008</v>
      </c>
      <c r="W10" s="119">
        <f t="shared" ref="W10" si="8">V10*(1+$R10)</f>
        <v>26172.398010000012</v>
      </c>
      <c r="X10" s="119">
        <f t="shared" ref="X10" si="9">W10*(1+$R10)</f>
        <v>28789.637811000015</v>
      </c>
      <c r="Y10" s="119">
        <f t="shared" ref="Y10" si="10">X10*(1+$R10)</f>
        <v>31668.601592100018</v>
      </c>
      <c r="Z10" s="119">
        <f t="shared" ref="Z10" si="11">Y10*(1+$R10)</f>
        <v>34835.461751310024</v>
      </c>
      <c r="AA10" s="119">
        <f t="shared" ref="AA10" si="12">Z10*(1+$R10)</f>
        <v>38319.007926441031</v>
      </c>
      <c r="AB10" s="119">
        <f t="shared" ref="AB10" si="13">AA10*(1+$R10)</f>
        <v>42150.908719085135</v>
      </c>
      <c r="AC10" s="138">
        <f>((AB10/G10)^(1/($AB$4-$H$2) ))-1</f>
        <v>0.28136407055894952</v>
      </c>
      <c r="AD10" s="31">
        <v>0.08</v>
      </c>
      <c r="AE10" s="127">
        <f t="shared" ref="AE10:AE15" si="14">(AB10*(1+AC10))/($C$2-AD10)</f>
        <v>385790.42838604026</v>
      </c>
    </row>
    <row r="11" spans="2:31" x14ac:dyDescent="0.2">
      <c r="B11" s="20" t="s">
        <v>4</v>
      </c>
      <c r="C11" s="141"/>
      <c r="D11" s="141"/>
      <c r="E11" s="141"/>
      <c r="F11" s="141"/>
      <c r="G11" s="141">
        <v>238.37</v>
      </c>
      <c r="H11" s="141">
        <v>395.81</v>
      </c>
      <c r="I11" s="141">
        <v>450.7</v>
      </c>
      <c r="J11" s="141">
        <v>5162.04</v>
      </c>
      <c r="K11" s="141">
        <v>9934.59</v>
      </c>
      <c r="L11" s="141">
        <v>14869.57</v>
      </c>
      <c r="M11" s="141">
        <v>12667.94</v>
      </c>
      <c r="N11" s="141">
        <v>12263.65</v>
      </c>
      <c r="O11" s="141">
        <v>10948.26</v>
      </c>
      <c r="P11" s="141">
        <v>10858</v>
      </c>
      <c r="Q11" s="118">
        <f t="shared" si="3"/>
        <v>0.6118041888424639</v>
      </c>
      <c r="R11" s="31">
        <v>0.1</v>
      </c>
      <c r="S11" s="119">
        <f t="shared" si="1"/>
        <v>11943.800000000001</v>
      </c>
      <c r="T11" s="119">
        <f t="shared" ref="T11:AB11" si="15">S11*(1+$R11)</f>
        <v>13138.180000000002</v>
      </c>
      <c r="U11" s="119">
        <f t="shared" si="15"/>
        <v>14451.998000000003</v>
      </c>
      <c r="V11" s="119">
        <f t="shared" si="15"/>
        <v>15897.197800000005</v>
      </c>
      <c r="W11" s="119">
        <f t="shared" si="15"/>
        <v>17486.917580000008</v>
      </c>
      <c r="X11" s="119">
        <f t="shared" si="15"/>
        <v>19235.609338000009</v>
      </c>
      <c r="Y11" s="119">
        <f t="shared" si="15"/>
        <v>21159.170271800012</v>
      </c>
      <c r="Z11" s="119">
        <f t="shared" si="15"/>
        <v>23275.087298980015</v>
      </c>
      <c r="AA11" s="119">
        <f t="shared" si="15"/>
        <v>25602.596028878019</v>
      </c>
      <c r="AB11" s="119">
        <f t="shared" si="15"/>
        <v>28162.855631765822</v>
      </c>
      <c r="AC11" s="138">
        <f t="shared" ref="AC11:AC34" si="16">((AB11/G11)^(1/($AB$4-$H$2) ))-1</f>
        <v>0.28550865465177222</v>
      </c>
      <c r="AD11" s="31">
        <v>0.08</v>
      </c>
      <c r="AE11" s="127">
        <f t="shared" si="14"/>
        <v>258597.10467388117</v>
      </c>
    </row>
    <row r="12" spans="2:31" x14ac:dyDescent="0.2">
      <c r="B12" s="20" t="s">
        <v>2</v>
      </c>
      <c r="C12" s="141"/>
      <c r="D12" s="141"/>
      <c r="E12" s="141"/>
      <c r="F12" s="141"/>
      <c r="G12" s="141">
        <v>68.06</v>
      </c>
      <c r="H12" s="141">
        <v>154</v>
      </c>
      <c r="I12" s="141">
        <v>162</v>
      </c>
      <c r="J12" s="141">
        <v>1252</v>
      </c>
      <c r="K12" s="141">
        <v>1237.29</v>
      </c>
      <c r="L12" s="141">
        <v>847.87</v>
      </c>
      <c r="M12" s="141">
        <v>1512.22</v>
      </c>
      <c r="N12" s="141">
        <v>2685.96</v>
      </c>
      <c r="O12" s="141">
        <v>2632.48</v>
      </c>
      <c r="P12" s="141">
        <v>1959</v>
      </c>
      <c r="Q12" s="118">
        <f t="shared" si="3"/>
        <v>0.52192345928061057</v>
      </c>
      <c r="R12" s="31">
        <v>0.1</v>
      </c>
      <c r="S12" s="119">
        <f t="shared" si="1"/>
        <v>2154.9</v>
      </c>
      <c r="T12" s="119">
        <f t="shared" ref="T12:AB12" si="17">S12*(1+$R12)</f>
        <v>2370.3900000000003</v>
      </c>
      <c r="U12" s="119">
        <f t="shared" si="17"/>
        <v>2607.4290000000005</v>
      </c>
      <c r="V12" s="119">
        <f t="shared" si="17"/>
        <v>2868.1719000000007</v>
      </c>
      <c r="W12" s="119">
        <f t="shared" si="17"/>
        <v>3154.9890900000009</v>
      </c>
      <c r="X12" s="119">
        <f t="shared" si="17"/>
        <v>3470.4879990000013</v>
      </c>
      <c r="Y12" s="119">
        <f t="shared" si="17"/>
        <v>3817.5367989000019</v>
      </c>
      <c r="Z12" s="119">
        <f t="shared" si="17"/>
        <v>4199.2904787900025</v>
      </c>
      <c r="AA12" s="119">
        <f t="shared" si="17"/>
        <v>4619.2195266690032</v>
      </c>
      <c r="AB12" s="119">
        <f t="shared" si="17"/>
        <v>5081.1414793359036</v>
      </c>
      <c r="AC12" s="138">
        <f t="shared" si="16"/>
        <v>0.25482336575335673</v>
      </c>
      <c r="AD12" s="31">
        <v>0.08</v>
      </c>
      <c r="AE12" s="127">
        <f t="shared" si="14"/>
        <v>45542.393235494768</v>
      </c>
    </row>
    <row r="13" spans="2:31" x14ac:dyDescent="0.2">
      <c r="B13" s="20" t="s">
        <v>218</v>
      </c>
      <c r="C13" s="141"/>
      <c r="D13" s="141"/>
      <c r="E13" s="141"/>
      <c r="F13" s="141"/>
      <c r="G13" s="141">
        <v>14.27</v>
      </c>
      <c r="H13" s="141">
        <v>7.76</v>
      </c>
      <c r="I13" s="141">
        <v>7.6</v>
      </c>
      <c r="J13" s="141">
        <v>15.57</v>
      </c>
      <c r="K13" s="141">
        <v>3141.78</v>
      </c>
      <c r="L13" s="141">
        <v>5.08</v>
      </c>
      <c r="M13" s="141">
        <v>1092.29</v>
      </c>
      <c r="N13" s="141">
        <v>966.89</v>
      </c>
      <c r="O13" s="141">
        <v>97.25</v>
      </c>
      <c r="P13" s="141">
        <v>36</v>
      </c>
      <c r="Q13" s="118">
        <f t="shared" si="3"/>
        <v>0.12262527544948609</v>
      </c>
      <c r="R13" s="31">
        <v>0.1</v>
      </c>
      <c r="S13" s="119">
        <f t="shared" si="1"/>
        <v>39.6</v>
      </c>
      <c r="T13" s="119">
        <f t="shared" ref="T13:AB13" si="18">S13*(1+$R13)</f>
        <v>43.56</v>
      </c>
      <c r="U13" s="119">
        <f t="shared" si="18"/>
        <v>47.916000000000004</v>
      </c>
      <c r="V13" s="119">
        <f t="shared" si="18"/>
        <v>52.707600000000006</v>
      </c>
      <c r="W13" s="119">
        <f t="shared" si="18"/>
        <v>57.978360000000009</v>
      </c>
      <c r="X13" s="119">
        <f t="shared" si="18"/>
        <v>63.776196000000013</v>
      </c>
      <c r="Y13" s="119">
        <f t="shared" si="18"/>
        <v>70.153815600000016</v>
      </c>
      <c r="Z13" s="119">
        <f t="shared" si="18"/>
        <v>77.169197160000024</v>
      </c>
      <c r="AA13" s="119">
        <f t="shared" si="18"/>
        <v>84.886116876000031</v>
      </c>
      <c r="AB13" s="119">
        <f t="shared" si="18"/>
        <v>93.374728563600044</v>
      </c>
      <c r="AC13" s="138">
        <f t="shared" si="16"/>
        <v>0.10391878901486451</v>
      </c>
      <c r="AD13" s="31">
        <v>0.08</v>
      </c>
      <c r="AE13" s="127">
        <f t="shared" si="14"/>
        <v>736.27226628943595</v>
      </c>
    </row>
    <row r="14" spans="2:31" x14ac:dyDescent="0.2">
      <c r="B14" s="20" t="s">
        <v>19</v>
      </c>
      <c r="C14" s="141"/>
      <c r="D14" s="141"/>
      <c r="E14" s="141"/>
      <c r="F14" s="141"/>
      <c r="G14" s="141">
        <v>379</v>
      </c>
      <c r="H14" s="141">
        <v>780</v>
      </c>
      <c r="I14" s="141">
        <v>1707</v>
      </c>
      <c r="J14" s="141">
        <v>3997</v>
      </c>
      <c r="K14" s="141">
        <v>17744.71</v>
      </c>
      <c r="L14" s="141">
        <v>22137.81</v>
      </c>
      <c r="M14" s="141">
        <v>17538.18</v>
      </c>
      <c r="N14" s="141">
        <v>16914.580000000002</v>
      </c>
      <c r="O14" s="141">
        <v>19727.939999999999</v>
      </c>
      <c r="P14" s="141">
        <v>14274</v>
      </c>
      <c r="Q14" s="118">
        <f t="shared" si="3"/>
        <v>0.57394049890496923</v>
      </c>
      <c r="R14" s="31">
        <v>0.1</v>
      </c>
      <c r="S14" s="119">
        <f t="shared" si="1"/>
        <v>15701.400000000001</v>
      </c>
      <c r="T14" s="119">
        <f t="shared" ref="T14:AB14" si="19">S14*(1+$R14)</f>
        <v>17271.540000000005</v>
      </c>
      <c r="U14" s="119">
        <f t="shared" si="19"/>
        <v>18998.694000000007</v>
      </c>
      <c r="V14" s="119">
        <f t="shared" si="19"/>
        <v>20898.56340000001</v>
      </c>
      <c r="W14" s="119">
        <f t="shared" si="19"/>
        <v>22988.419740000012</v>
      </c>
      <c r="X14" s="119">
        <f t="shared" si="19"/>
        <v>25287.261714000015</v>
      </c>
      <c r="Y14" s="119">
        <f t="shared" si="19"/>
        <v>27815.98788540002</v>
      </c>
      <c r="Z14" s="119">
        <f t="shared" si="19"/>
        <v>30597.586673940023</v>
      </c>
      <c r="AA14" s="119">
        <f t="shared" si="19"/>
        <v>33657.345341334025</v>
      </c>
      <c r="AB14" s="119">
        <f t="shared" si="19"/>
        <v>37023.079875467432</v>
      </c>
      <c r="AC14" s="138">
        <f t="shared" si="16"/>
        <v>0.27270593750702576</v>
      </c>
      <c r="AD14" s="31">
        <v>0.08</v>
      </c>
      <c r="AE14" s="127">
        <f t="shared" si="14"/>
        <v>336567.81130217336</v>
      </c>
    </row>
    <row r="15" spans="2:31" x14ac:dyDescent="0.2">
      <c r="B15" s="20" t="s">
        <v>23</v>
      </c>
      <c r="C15" s="141"/>
      <c r="D15" s="141"/>
      <c r="E15" s="141"/>
      <c r="F15" s="141"/>
      <c r="G15" s="141">
        <v>443</v>
      </c>
      <c r="H15" s="141">
        <v>990</v>
      </c>
      <c r="I15" s="141">
        <v>2544</v>
      </c>
      <c r="J15" s="141">
        <v>4600</v>
      </c>
      <c r="K15" s="141">
        <v>10233.33</v>
      </c>
      <c r="L15" s="141">
        <v>10143.75</v>
      </c>
      <c r="M15" s="141">
        <v>7933.77</v>
      </c>
      <c r="N15" s="141">
        <v>6793.21</v>
      </c>
      <c r="O15" s="141">
        <v>3315.77</v>
      </c>
      <c r="P15" s="141">
        <f>15403-16251</f>
        <v>-848</v>
      </c>
      <c r="Q15" s="118" t="e">
        <f t="shared" si="3"/>
        <v>#NUM!</v>
      </c>
      <c r="R15" s="31">
        <v>0.1</v>
      </c>
      <c r="S15" s="119">
        <f t="shared" si="1"/>
        <v>-932.80000000000007</v>
      </c>
      <c r="T15" s="119">
        <f t="shared" ref="T15:AB15" si="20">S15*(1+$R15)</f>
        <v>-1026.0800000000002</v>
      </c>
      <c r="U15" s="119">
        <f t="shared" si="20"/>
        <v>-1128.6880000000003</v>
      </c>
      <c r="V15" s="119">
        <f t="shared" si="20"/>
        <v>-1241.5568000000005</v>
      </c>
      <c r="W15" s="119">
        <f t="shared" si="20"/>
        <v>-1365.7124800000006</v>
      </c>
      <c r="X15" s="119">
        <f t="shared" si="20"/>
        <v>-1502.2837280000008</v>
      </c>
      <c r="Y15" s="119">
        <f t="shared" si="20"/>
        <v>-1652.512100800001</v>
      </c>
      <c r="Z15" s="119">
        <f t="shared" si="20"/>
        <v>-1817.7633108800012</v>
      </c>
      <c r="AA15" s="119">
        <f t="shared" si="20"/>
        <v>-1999.5396419680014</v>
      </c>
      <c r="AB15" s="119">
        <f t="shared" si="20"/>
        <v>-2199.4936061648018</v>
      </c>
      <c r="AC15" s="138">
        <f t="shared" si="16"/>
        <v>-2.0879960398904194</v>
      </c>
      <c r="AD15" s="31">
        <v>0.08</v>
      </c>
      <c r="AE15" s="127">
        <f t="shared" si="14"/>
        <v>17093.145237654298</v>
      </c>
    </row>
    <row r="16" spans="2:31" x14ac:dyDescent="0.2">
      <c r="B16" s="2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28"/>
      <c r="R16" s="128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39"/>
      <c r="AD16" s="20"/>
      <c r="AE16" s="20"/>
    </row>
    <row r="17" spans="2:31" x14ac:dyDescent="0.2">
      <c r="B17" s="20" t="s">
        <v>278</v>
      </c>
      <c r="C17" s="141"/>
      <c r="D17" s="141"/>
      <c r="E17" s="141"/>
      <c r="F17" s="141"/>
      <c r="G17" s="141">
        <v>159</v>
      </c>
      <c r="H17" s="141">
        <v>278</v>
      </c>
      <c r="I17" s="141">
        <v>475</v>
      </c>
      <c r="J17" s="141">
        <v>3619</v>
      </c>
      <c r="K17" s="141">
        <v>4568</v>
      </c>
      <c r="L17" s="141">
        <v>13281</v>
      </c>
      <c r="M17" s="141">
        <v>10161</v>
      </c>
      <c r="N17" s="141">
        <v>10918</v>
      </c>
      <c r="O17" s="141">
        <v>12232.7</v>
      </c>
      <c r="P17" s="141">
        <v>12382</v>
      </c>
      <c r="Q17" s="118">
        <f>((P17/G17)^(1/($H$3-$H$2) ))-1</f>
        <v>0.72355128050232542</v>
      </c>
      <c r="R17" s="31">
        <v>0.1</v>
      </c>
      <c r="S17" s="119">
        <f t="shared" ref="S17:S30" si="21">P17*(1+$R17)</f>
        <v>13620.2</v>
      </c>
      <c r="T17" s="119">
        <f t="shared" ref="T17:T30" si="22">S17*(1+$R17)</f>
        <v>14982.220000000001</v>
      </c>
      <c r="U17" s="119">
        <f t="shared" ref="U17:U30" si="23">T17*(1+$R17)</f>
        <v>16480.442000000003</v>
      </c>
      <c r="V17" s="119">
        <f t="shared" ref="V17:V30" si="24">U17*(1+$R17)</f>
        <v>18128.486200000003</v>
      </c>
      <c r="W17" s="119">
        <f t="shared" ref="W17:W30" si="25">V17*(1+$R17)</f>
        <v>19941.334820000004</v>
      </c>
      <c r="X17" s="119">
        <f t="shared" ref="X17:X30" si="26">W17*(1+$R17)</f>
        <v>21935.468302000005</v>
      </c>
      <c r="Y17" s="119">
        <f t="shared" ref="Y17:Y30" si="27">X17*(1+$R17)</f>
        <v>24129.015132200006</v>
      </c>
      <c r="Z17" s="119">
        <f t="shared" ref="Z17:Z30" si="28">Y17*(1+$R17)</f>
        <v>26541.916645420009</v>
      </c>
      <c r="AA17" s="119">
        <f t="shared" ref="AA17:AA30" si="29">Z17*(1+$R17)</f>
        <v>29196.108309962012</v>
      </c>
      <c r="AB17" s="119">
        <f t="shared" ref="AB17:AB30" si="30">AA17*(1+$R17)</f>
        <v>32115.719140958216</v>
      </c>
      <c r="AC17" s="138">
        <f t="shared" si="16"/>
        <v>0.32230810313977787</v>
      </c>
      <c r="AD17" s="31">
        <v>0.08</v>
      </c>
      <c r="AE17" s="127">
        <f>(AB17*(1+AC17))/($C$2-AD17)</f>
        <v>303334.82613035932</v>
      </c>
    </row>
    <row r="18" spans="2:31" x14ac:dyDescent="0.2">
      <c r="B18" s="20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28"/>
      <c r="R18" s="128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38"/>
      <c r="AD18" s="20"/>
      <c r="AE18" s="20"/>
    </row>
    <row r="19" spans="2:31" x14ac:dyDescent="0.2">
      <c r="B19" s="20" t="s">
        <v>286</v>
      </c>
      <c r="C19" s="141"/>
      <c r="D19" s="141"/>
      <c r="E19" s="141"/>
      <c r="F19" s="141"/>
      <c r="G19" s="141">
        <v>11.831</v>
      </c>
      <c r="H19" s="141">
        <v>118.14</v>
      </c>
      <c r="I19" s="141"/>
      <c r="J19" s="141"/>
      <c r="K19" s="141"/>
      <c r="L19" s="141"/>
      <c r="M19" s="141"/>
      <c r="N19" s="141">
        <v>1214.1300000000001</v>
      </c>
      <c r="O19" s="141">
        <v>838.65</v>
      </c>
      <c r="P19" s="141"/>
      <c r="Q19" s="118">
        <f>((P19/G19)^(1/($H$3-$H$2) ))-1</f>
        <v>-1</v>
      </c>
      <c r="R19" s="31">
        <v>0.05</v>
      </c>
      <c r="S19" s="119">
        <f t="shared" ref="S19:S21" si="31">P19*(1+$R19)</f>
        <v>0</v>
      </c>
      <c r="T19" s="119">
        <f t="shared" ref="T19:T21" si="32">S19*(1+$R19)</f>
        <v>0</v>
      </c>
      <c r="U19" s="119">
        <f t="shared" ref="U19:U21" si="33">T19*(1+$R19)</f>
        <v>0</v>
      </c>
      <c r="V19" s="119">
        <f t="shared" ref="V19:V21" si="34">U19*(1+$R19)</f>
        <v>0</v>
      </c>
      <c r="W19" s="119">
        <f t="shared" ref="W19:W21" si="35">V19*(1+$R19)</f>
        <v>0</v>
      </c>
      <c r="X19" s="119">
        <f t="shared" ref="X19:X21" si="36">W19*(1+$R19)</f>
        <v>0</v>
      </c>
      <c r="Y19" s="119">
        <f t="shared" ref="Y19:Y21" si="37">X19*(1+$R19)</f>
        <v>0</v>
      </c>
      <c r="Z19" s="119">
        <f t="shared" ref="Z19:Z21" si="38">Y19*(1+$R19)</f>
        <v>0</v>
      </c>
      <c r="AA19" s="119">
        <f t="shared" ref="AA19:AA21" si="39">Z19*(1+$R19)</f>
        <v>0</v>
      </c>
      <c r="AB19" s="119">
        <f t="shared" ref="AB19:AB21" si="40">AA19*(1+$R19)</f>
        <v>0</v>
      </c>
      <c r="AC19" s="138">
        <f t="shared" ref="AC19:AC21" si="41">((AB19/G19)^(1/($AB$4-$H$2) ))-1</f>
        <v>-1</v>
      </c>
      <c r="AD19" s="31">
        <v>0.05</v>
      </c>
      <c r="AE19" s="127">
        <f>(AB19*(1+AC19))/($C$2-AD19)</f>
        <v>0</v>
      </c>
    </row>
    <row r="20" spans="2:31" x14ac:dyDescent="0.2">
      <c r="B20" s="20" t="s">
        <v>287</v>
      </c>
      <c r="C20" s="141"/>
      <c r="D20" s="141"/>
      <c r="E20" s="141"/>
      <c r="F20" s="141"/>
      <c r="G20" s="141">
        <v>108.57</v>
      </c>
      <c r="H20" s="141">
        <v>270.178</v>
      </c>
      <c r="I20" s="141"/>
      <c r="J20" s="141"/>
      <c r="K20" s="141"/>
      <c r="L20" s="141"/>
      <c r="M20" s="141"/>
      <c r="N20" s="141">
        <v>-827.65</v>
      </c>
      <c r="O20" s="141">
        <v>-648.17999999999995</v>
      </c>
      <c r="P20" s="141"/>
      <c r="Q20" s="118">
        <f>((P20/G20)^(1/($H$3-$H$2) ))-1</f>
        <v>-1</v>
      </c>
      <c r="R20" s="31">
        <v>0.05</v>
      </c>
      <c r="S20" s="119">
        <f t="shared" si="31"/>
        <v>0</v>
      </c>
      <c r="T20" s="119">
        <f t="shared" si="32"/>
        <v>0</v>
      </c>
      <c r="U20" s="119">
        <f t="shared" si="33"/>
        <v>0</v>
      </c>
      <c r="V20" s="119">
        <f t="shared" si="34"/>
        <v>0</v>
      </c>
      <c r="W20" s="119">
        <f t="shared" si="35"/>
        <v>0</v>
      </c>
      <c r="X20" s="119">
        <f t="shared" si="36"/>
        <v>0</v>
      </c>
      <c r="Y20" s="119">
        <f t="shared" si="37"/>
        <v>0</v>
      </c>
      <c r="Z20" s="119">
        <f t="shared" si="38"/>
        <v>0</v>
      </c>
      <c r="AA20" s="119">
        <f t="shared" si="39"/>
        <v>0</v>
      </c>
      <c r="AB20" s="119">
        <f t="shared" si="40"/>
        <v>0</v>
      </c>
      <c r="AC20" s="138">
        <f t="shared" si="41"/>
        <v>-1</v>
      </c>
      <c r="AD20" s="31">
        <v>0.05</v>
      </c>
      <c r="AE20" s="127">
        <f>(AB20*(1+AC20))/($C$2-AD20)</f>
        <v>0</v>
      </c>
    </row>
    <row r="21" spans="2:31" x14ac:dyDescent="0.2">
      <c r="B21" s="20" t="s">
        <v>288</v>
      </c>
      <c r="C21" s="141"/>
      <c r="D21" s="141"/>
      <c r="E21" s="141"/>
      <c r="F21" s="141"/>
      <c r="G21" s="141">
        <v>108.831</v>
      </c>
      <c r="H21" s="141">
        <v>238.4</v>
      </c>
      <c r="I21" s="141"/>
      <c r="J21" s="141"/>
      <c r="K21" s="141"/>
      <c r="L21" s="141"/>
      <c r="M21" s="141"/>
      <c r="N21" s="141">
        <v>-464.41</v>
      </c>
      <c r="O21" s="141">
        <v>-249</v>
      </c>
      <c r="P21" s="141"/>
      <c r="Q21" s="118">
        <f>((P21/G21)^(1/($H$3-$H$2) ))-1</f>
        <v>-1</v>
      </c>
      <c r="R21" s="31">
        <v>0.05</v>
      </c>
      <c r="S21" s="119">
        <f t="shared" si="31"/>
        <v>0</v>
      </c>
      <c r="T21" s="119">
        <f t="shared" si="32"/>
        <v>0</v>
      </c>
      <c r="U21" s="119">
        <f t="shared" si="33"/>
        <v>0</v>
      </c>
      <c r="V21" s="119">
        <f t="shared" si="34"/>
        <v>0</v>
      </c>
      <c r="W21" s="119">
        <f t="shared" si="35"/>
        <v>0</v>
      </c>
      <c r="X21" s="119">
        <f t="shared" si="36"/>
        <v>0</v>
      </c>
      <c r="Y21" s="119">
        <f t="shared" si="37"/>
        <v>0</v>
      </c>
      <c r="Z21" s="119">
        <f t="shared" si="38"/>
        <v>0</v>
      </c>
      <c r="AA21" s="119">
        <f t="shared" si="39"/>
        <v>0</v>
      </c>
      <c r="AB21" s="119">
        <f t="shared" si="40"/>
        <v>0</v>
      </c>
      <c r="AC21" s="138">
        <f t="shared" si="41"/>
        <v>-1</v>
      </c>
      <c r="AD21" s="31">
        <v>0.05</v>
      </c>
      <c r="AE21" s="127">
        <f>(AB21*(1+AC21))/($C$2-AD21)</f>
        <v>0</v>
      </c>
    </row>
    <row r="22" spans="2:31" x14ac:dyDescent="0.2">
      <c r="B22" s="20" t="s">
        <v>298</v>
      </c>
      <c r="C22" s="141"/>
      <c r="D22" s="141"/>
      <c r="E22" s="141"/>
      <c r="F22" s="141"/>
      <c r="G22" s="141">
        <v>68</v>
      </c>
      <c r="H22" s="141"/>
      <c r="I22" s="141"/>
      <c r="J22" s="141"/>
      <c r="K22" s="141"/>
      <c r="L22" s="141"/>
      <c r="M22" s="141"/>
      <c r="N22" s="141"/>
      <c r="O22" s="141">
        <v>2632.48</v>
      </c>
      <c r="P22" s="141"/>
      <c r="Q22" s="118">
        <f>((P22/G22)^(1/($H$3-$H$2) ))-1</f>
        <v>-1</v>
      </c>
      <c r="R22" s="31">
        <v>0.05</v>
      </c>
      <c r="S22" s="119">
        <f t="shared" ref="S22" si="42">P22*(1+$R22)</f>
        <v>0</v>
      </c>
      <c r="T22" s="119">
        <f t="shared" ref="T22" si="43">S22*(1+$R22)</f>
        <v>0</v>
      </c>
      <c r="U22" s="119">
        <f t="shared" ref="U22" si="44">T22*(1+$R22)</f>
        <v>0</v>
      </c>
      <c r="V22" s="119">
        <f t="shared" ref="V22" si="45">U22*(1+$R22)</f>
        <v>0</v>
      </c>
      <c r="W22" s="119">
        <f t="shared" ref="W22" si="46">V22*(1+$R22)</f>
        <v>0</v>
      </c>
      <c r="X22" s="119">
        <f t="shared" ref="X22" si="47">W22*(1+$R22)</f>
        <v>0</v>
      </c>
      <c r="Y22" s="119">
        <f t="shared" ref="Y22" si="48">X22*(1+$R22)</f>
        <v>0</v>
      </c>
      <c r="Z22" s="119">
        <f t="shared" ref="Z22" si="49">Y22*(1+$R22)</f>
        <v>0</v>
      </c>
      <c r="AA22" s="119">
        <f t="shared" ref="AA22" si="50">Z22*(1+$R22)</f>
        <v>0</v>
      </c>
      <c r="AB22" s="119">
        <f t="shared" ref="AB22" si="51">AA22*(1+$R22)</f>
        <v>0</v>
      </c>
      <c r="AC22" s="138">
        <f t="shared" ref="AC22" si="52">((AB22/G22)^(1/($AB$4-$H$2) ))-1</f>
        <v>-1</v>
      </c>
      <c r="AD22" s="31">
        <v>0.05</v>
      </c>
      <c r="AE22" s="127">
        <f>(AB22*(1+AC22))/($C$2-AD22)</f>
        <v>0</v>
      </c>
    </row>
    <row r="23" spans="2:31" x14ac:dyDescent="0.2">
      <c r="B23" s="20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28"/>
      <c r="R23" s="128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38"/>
      <c r="AD23" s="20"/>
      <c r="AE23" s="20"/>
    </row>
    <row r="24" spans="2:31" x14ac:dyDescent="0.2">
      <c r="B24" s="20" t="s">
        <v>89</v>
      </c>
      <c r="C24" s="141"/>
      <c r="D24" s="141"/>
      <c r="E24" s="141"/>
      <c r="F24" s="141"/>
      <c r="G24" s="141">
        <v>894.97</v>
      </c>
      <c r="H24" s="141">
        <v>2027.16</v>
      </c>
      <c r="I24" s="141">
        <v>4021.7</v>
      </c>
      <c r="J24" s="141">
        <v>9141.93</v>
      </c>
      <c r="K24" s="141">
        <v>13679.43</v>
      </c>
      <c r="L24" s="141">
        <v>26081.7</v>
      </c>
      <c r="M24" s="141">
        <v>20619.66</v>
      </c>
      <c r="N24" s="141">
        <v>17879.13</v>
      </c>
      <c r="O24" s="141">
        <v>21082.37</v>
      </c>
      <c r="P24" s="141">
        <v>18913</v>
      </c>
      <c r="Q24" s="118">
        <f>((P24/G24)^(1/($H$3-$H$2) ))-1</f>
        <v>0.46426267848798886</v>
      </c>
      <c r="R24" s="31">
        <v>0.1</v>
      </c>
      <c r="S24" s="119">
        <f t="shared" si="21"/>
        <v>20804.300000000003</v>
      </c>
      <c r="T24" s="119">
        <f t="shared" si="22"/>
        <v>22884.730000000007</v>
      </c>
      <c r="U24" s="119">
        <f t="shared" si="23"/>
        <v>25173.203000000009</v>
      </c>
      <c r="V24" s="119">
        <f t="shared" si="24"/>
        <v>27690.523300000012</v>
      </c>
      <c r="W24" s="119">
        <f t="shared" si="25"/>
        <v>30459.575630000014</v>
      </c>
      <c r="X24" s="119">
        <f t="shared" si="26"/>
        <v>33505.533193000017</v>
      </c>
      <c r="Y24" s="119">
        <f t="shared" si="27"/>
        <v>36856.086512300026</v>
      </c>
      <c r="Z24" s="119">
        <f t="shared" si="28"/>
        <v>40541.695163530028</v>
      </c>
      <c r="AA24" s="119">
        <f t="shared" si="29"/>
        <v>44595.864679883038</v>
      </c>
      <c r="AB24" s="119">
        <f t="shared" si="30"/>
        <v>49055.451147871347</v>
      </c>
      <c r="AC24" s="138">
        <f t="shared" si="16"/>
        <v>0.23458198839579092</v>
      </c>
      <c r="AD24" s="31">
        <v>0.08</v>
      </c>
      <c r="AE24" s="127">
        <f>(AB24*(1+AC24))/($C$2-AD24)</f>
        <v>432592.68871279707</v>
      </c>
    </row>
    <row r="25" spans="2:31" x14ac:dyDescent="0.2">
      <c r="B25" s="20" t="s">
        <v>262</v>
      </c>
      <c r="C25" s="141"/>
      <c r="D25" s="141"/>
      <c r="E25" s="141"/>
      <c r="F25" s="141"/>
      <c r="G25" s="141">
        <v>705.4</v>
      </c>
      <c r="H25" s="141">
        <v>1534.77</v>
      </c>
      <c r="I25" s="141">
        <v>3067.83</v>
      </c>
      <c r="J25" s="141">
        <v>7723.82</v>
      </c>
      <c r="K25" s="141">
        <v>12312.69</v>
      </c>
      <c r="L25" s="141">
        <v>24318.14</v>
      </c>
      <c r="M25" s="141">
        <v>19459.25</v>
      </c>
      <c r="N25" s="141">
        <v>16507.599999999999</v>
      </c>
      <c r="O25" s="141">
        <v>19087.740000000002</v>
      </c>
      <c r="P25" s="141">
        <v>20950</v>
      </c>
      <c r="Q25" s="118">
        <f>((P25/G25)^(1/($H$3-$H$2) ))-1</f>
        <v>0.52789521747728951</v>
      </c>
      <c r="R25" s="31">
        <v>0.1</v>
      </c>
      <c r="S25" s="119">
        <f t="shared" si="21"/>
        <v>23045.000000000004</v>
      </c>
      <c r="T25" s="119">
        <f t="shared" si="22"/>
        <v>25349.500000000007</v>
      </c>
      <c r="U25" s="119">
        <f t="shared" si="23"/>
        <v>27884.450000000012</v>
      </c>
      <c r="V25" s="119">
        <f t="shared" si="24"/>
        <v>30672.895000000015</v>
      </c>
      <c r="W25" s="119">
        <f t="shared" si="25"/>
        <v>33740.184500000018</v>
      </c>
      <c r="X25" s="119">
        <f t="shared" si="26"/>
        <v>37114.202950000021</v>
      </c>
      <c r="Y25" s="119">
        <f t="shared" si="27"/>
        <v>40825.623245000024</v>
      </c>
      <c r="Z25" s="119">
        <f t="shared" si="28"/>
        <v>44908.185569500027</v>
      </c>
      <c r="AA25" s="119">
        <f t="shared" si="29"/>
        <v>49399.004126450032</v>
      </c>
      <c r="AB25" s="119">
        <f t="shared" si="30"/>
        <v>54338.904539095041</v>
      </c>
      <c r="AC25" s="138">
        <f t="shared" si="16"/>
        <v>0.2568941546722785</v>
      </c>
      <c r="AD25" s="31">
        <v>0.08</v>
      </c>
      <c r="AE25" s="127">
        <f>(AB25*(1+AC25))/($C$2-AD25)</f>
        <v>487844.65347488207</v>
      </c>
    </row>
    <row r="26" spans="2:31" x14ac:dyDescent="0.2">
      <c r="B26" s="20" t="s">
        <v>302</v>
      </c>
      <c r="C26" s="141"/>
      <c r="D26" s="141"/>
      <c r="E26" s="141"/>
      <c r="F26" s="141"/>
      <c r="G26" s="141">
        <v>1</v>
      </c>
      <c r="H26" s="141">
        <v>0</v>
      </c>
      <c r="I26" s="141">
        <v>0</v>
      </c>
      <c r="J26" s="141">
        <v>0</v>
      </c>
      <c r="K26" s="141">
        <v>0</v>
      </c>
      <c r="L26" s="141">
        <v>0</v>
      </c>
      <c r="M26" s="141">
        <v>0</v>
      </c>
      <c r="N26" s="141">
        <v>0</v>
      </c>
      <c r="O26" s="141">
        <v>0</v>
      </c>
      <c r="P26" s="141">
        <v>1</v>
      </c>
      <c r="Q26" s="118">
        <f>((P26/G26)^(1/($H$3-$H$2) ))-1</f>
        <v>0</v>
      </c>
      <c r="R26" s="31">
        <v>0.1</v>
      </c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38"/>
      <c r="AD26" s="31"/>
      <c r="AE26" s="127"/>
    </row>
    <row r="27" spans="2:31" x14ac:dyDescent="0.2">
      <c r="B27" s="20" t="s">
        <v>279</v>
      </c>
      <c r="C27" s="141"/>
      <c r="D27" s="141"/>
      <c r="E27" s="141"/>
      <c r="F27" s="141"/>
      <c r="G27" s="141">
        <v>550.65</v>
      </c>
      <c r="H27" s="141">
        <v>1210.3900000000001</v>
      </c>
      <c r="I27" s="141">
        <v>2479.5500000000002</v>
      </c>
      <c r="J27" s="141">
        <v>6000.36</v>
      </c>
      <c r="K27" s="141">
        <v>9708.27</v>
      </c>
      <c r="L27" s="141">
        <v>18270.509999999998</v>
      </c>
      <c r="M27" s="141">
        <v>13663.8</v>
      </c>
      <c r="N27" s="141">
        <v>11962.49</v>
      </c>
      <c r="O27" s="141">
        <v>13750.23</v>
      </c>
      <c r="P27" s="141">
        <v>14136</v>
      </c>
      <c r="Q27" s="118">
        <f>((P27/G27)^(1/($H$3-$H$2) ))-1</f>
        <v>0.50031123550782675</v>
      </c>
      <c r="R27" s="31">
        <v>0.1</v>
      </c>
      <c r="S27" s="119">
        <f t="shared" si="21"/>
        <v>15549.6</v>
      </c>
      <c r="T27" s="119">
        <f t="shared" si="22"/>
        <v>17104.560000000001</v>
      </c>
      <c r="U27" s="119">
        <f t="shared" si="23"/>
        <v>18815.016000000003</v>
      </c>
      <c r="V27" s="119">
        <f t="shared" si="24"/>
        <v>20696.517600000006</v>
      </c>
      <c r="W27" s="119">
        <f t="shared" si="25"/>
        <v>22766.169360000011</v>
      </c>
      <c r="X27" s="119">
        <f t="shared" si="26"/>
        <v>25042.786296000013</v>
      </c>
      <c r="Y27" s="119">
        <f t="shared" si="27"/>
        <v>27547.064925600018</v>
      </c>
      <c r="Z27" s="119">
        <f t="shared" si="28"/>
        <v>30301.77141816002</v>
      </c>
      <c r="AA27" s="119">
        <f t="shared" si="29"/>
        <v>33331.948559976023</v>
      </c>
      <c r="AB27" s="119">
        <f t="shared" si="30"/>
        <v>36665.143415973631</v>
      </c>
      <c r="AC27" s="138">
        <f t="shared" si="16"/>
        <v>0.24728945219246423</v>
      </c>
      <c r="AD27" s="31">
        <v>0.08</v>
      </c>
      <c r="AE27" s="127">
        <f>(AB27*(1+AC27))/($C$2-AD27)</f>
        <v>326657.47604191344</v>
      </c>
    </row>
    <row r="28" spans="2:31" x14ac:dyDescent="0.2">
      <c r="B28" s="20" t="s">
        <v>282</v>
      </c>
      <c r="C28" s="141"/>
      <c r="D28" s="141"/>
      <c r="E28" s="141"/>
      <c r="F28" s="141"/>
      <c r="G28" s="141">
        <v>127</v>
      </c>
      <c r="H28" s="141">
        <v>162</v>
      </c>
      <c r="I28" s="141">
        <v>243</v>
      </c>
      <c r="J28" s="141">
        <v>496</v>
      </c>
      <c r="K28" s="141">
        <v>224.57</v>
      </c>
      <c r="L28" s="141">
        <v>729.44</v>
      </c>
      <c r="M28" s="141">
        <v>386.73</v>
      </c>
      <c r="N28" s="141">
        <v>2578.73</v>
      </c>
      <c r="O28" s="141">
        <v>2911.2</v>
      </c>
      <c r="P28" s="141">
        <v>4130</v>
      </c>
      <c r="Q28" s="118">
        <f>((P28/G28)^(1/($H$3-$H$2) ))-1</f>
        <v>0.54531952294832986</v>
      </c>
      <c r="R28" s="31">
        <v>0.1</v>
      </c>
      <c r="S28" s="119">
        <f t="shared" si="21"/>
        <v>4543</v>
      </c>
      <c r="T28" s="119">
        <f t="shared" si="22"/>
        <v>4997.3</v>
      </c>
      <c r="U28" s="119">
        <f t="shared" si="23"/>
        <v>5497.0300000000007</v>
      </c>
      <c r="V28" s="119">
        <f t="shared" si="24"/>
        <v>6046.7330000000011</v>
      </c>
      <c r="W28" s="119">
        <f t="shared" si="25"/>
        <v>6651.4063000000015</v>
      </c>
      <c r="X28" s="119">
        <f t="shared" si="26"/>
        <v>7316.5469300000022</v>
      </c>
      <c r="Y28" s="119">
        <f t="shared" si="27"/>
        <v>8048.2016230000036</v>
      </c>
      <c r="Z28" s="119">
        <f t="shared" si="28"/>
        <v>8853.0217853000049</v>
      </c>
      <c r="AA28" s="119">
        <f t="shared" si="29"/>
        <v>9738.3239638300056</v>
      </c>
      <c r="AB28" s="119">
        <f t="shared" si="30"/>
        <v>10712.156360213006</v>
      </c>
      <c r="AC28" s="138">
        <f t="shared" si="16"/>
        <v>0.26290962385378558</v>
      </c>
      <c r="AD28" s="31">
        <v>0.08</v>
      </c>
      <c r="AE28" s="127">
        <f>(AB28*(1+AC28))/($C$2-AD28)</f>
        <v>96632.038282425317</v>
      </c>
    </row>
    <row r="29" spans="2:31" x14ac:dyDescent="0.2">
      <c r="B29" s="20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28"/>
      <c r="R29" s="128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39"/>
      <c r="AD29" s="20"/>
      <c r="AE29" s="20"/>
    </row>
    <row r="30" spans="2:31" x14ac:dyDescent="0.2">
      <c r="B30" s="20" t="s">
        <v>280</v>
      </c>
      <c r="C30" s="141"/>
      <c r="D30" s="141"/>
      <c r="E30" s="141"/>
      <c r="F30" s="141"/>
      <c r="G30" s="141">
        <v>145.12</v>
      </c>
      <c r="H30" s="141">
        <v>473.4</v>
      </c>
      <c r="I30" s="141">
        <v>902.03</v>
      </c>
      <c r="J30" s="141">
        <v>1364.74</v>
      </c>
      <c r="K30" s="141">
        <v>2034.7</v>
      </c>
      <c r="L30" s="141">
        <v>2849.71</v>
      </c>
      <c r="M30" s="141">
        <v>994.95</v>
      </c>
      <c r="N30" s="141">
        <v>794.46</v>
      </c>
      <c r="O30" s="141">
        <v>1544.36</v>
      </c>
      <c r="P30" s="141">
        <v>-1884.8</v>
      </c>
      <c r="Q30" s="118" t="e">
        <f>((P30/G30)^(1/($H$3-$H$2) ))-1</f>
        <v>#NUM!</v>
      </c>
      <c r="R30" s="31">
        <v>0.1</v>
      </c>
      <c r="S30" s="119">
        <f t="shared" si="21"/>
        <v>-2073.2800000000002</v>
      </c>
      <c r="T30" s="119">
        <f t="shared" si="22"/>
        <v>-2280.6080000000006</v>
      </c>
      <c r="U30" s="119">
        <f t="shared" si="23"/>
        <v>-2508.6688000000008</v>
      </c>
      <c r="V30" s="119">
        <f t="shared" si="24"/>
        <v>-2759.5356800000013</v>
      </c>
      <c r="W30" s="119">
        <f t="shared" si="25"/>
        <v>-3035.4892480000017</v>
      </c>
      <c r="X30" s="119">
        <f t="shared" si="26"/>
        <v>-3339.038172800002</v>
      </c>
      <c r="Y30" s="119">
        <f t="shared" si="27"/>
        <v>-3672.9419900800026</v>
      </c>
      <c r="Z30" s="119">
        <f t="shared" si="28"/>
        <v>-4040.2361890880034</v>
      </c>
      <c r="AA30" s="119">
        <f t="shared" si="29"/>
        <v>-4444.2598079968038</v>
      </c>
      <c r="AB30" s="119">
        <f t="shared" si="30"/>
        <v>-4888.6857887964843</v>
      </c>
      <c r="AC30" s="138">
        <f t="shared" si="16"/>
        <v>-2.2033525624545005</v>
      </c>
      <c r="AD30" s="31">
        <v>0.08</v>
      </c>
      <c r="AE30" s="127">
        <f>(AB30*(1+AC30))/($C$2-AD30)</f>
        <v>42020.089792736784</v>
      </c>
    </row>
    <row r="31" spans="2:31" x14ac:dyDescent="0.2">
      <c r="B31" s="20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28"/>
      <c r="R31" s="128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39"/>
      <c r="AD31" s="20"/>
      <c r="AE31" s="20"/>
    </row>
    <row r="32" spans="2:31" x14ac:dyDescent="0.2">
      <c r="B32" s="20" t="s">
        <v>257</v>
      </c>
      <c r="C32" s="141"/>
      <c r="D32" s="141"/>
      <c r="E32" s="141"/>
      <c r="F32" s="141"/>
      <c r="G32" s="141">
        <v>144.91999999999999</v>
      </c>
      <c r="H32" s="141">
        <v>365.12</v>
      </c>
      <c r="I32" s="141">
        <v>760.52</v>
      </c>
      <c r="J32" s="141">
        <v>864.8</v>
      </c>
      <c r="K32" s="141">
        <v>1017.15</v>
      </c>
      <c r="L32" s="141">
        <v>428.87</v>
      </c>
      <c r="M32" s="141">
        <v>-989.73</v>
      </c>
      <c r="N32" s="142">
        <v>-1316.89</v>
      </c>
      <c r="O32" s="142">
        <v>-472.59</v>
      </c>
      <c r="P32" s="142">
        <v>-4731</v>
      </c>
      <c r="Q32" s="118" t="e">
        <f>((P32/G32)^(1/($H$3-$H$2) ))-1</f>
        <v>#NUM!</v>
      </c>
      <c r="R32" s="31">
        <v>0.1</v>
      </c>
      <c r="S32" s="119">
        <f>P32*(1+$R32)</f>
        <v>-5204.1000000000004</v>
      </c>
      <c r="T32" s="119">
        <f t="shared" ref="T32:AB32" si="53">S32*(1+$R32)</f>
        <v>-5724.5100000000011</v>
      </c>
      <c r="U32" s="119">
        <f t="shared" si="53"/>
        <v>-6296.9610000000021</v>
      </c>
      <c r="V32" s="119">
        <f t="shared" si="53"/>
        <v>-6926.6571000000031</v>
      </c>
      <c r="W32" s="119">
        <f t="shared" si="53"/>
        <v>-7619.3228100000042</v>
      </c>
      <c r="X32" s="119">
        <f t="shared" si="53"/>
        <v>-8381.2550910000045</v>
      </c>
      <c r="Y32" s="119">
        <f t="shared" si="53"/>
        <v>-9219.3806001000066</v>
      </c>
      <c r="Z32" s="119">
        <f t="shared" si="53"/>
        <v>-10141.318660110008</v>
      </c>
      <c r="AA32" s="119">
        <f t="shared" si="53"/>
        <v>-11155.450526121009</v>
      </c>
      <c r="AB32" s="119">
        <f t="shared" si="53"/>
        <v>-12270.995578733111</v>
      </c>
      <c r="AC32" s="138">
        <f t="shared" si="16"/>
        <v>-2.2631665131728198</v>
      </c>
      <c r="AD32" s="31">
        <v>0.08</v>
      </c>
      <c r="AE32" s="127">
        <f>(AB32*(1+AC32))/($C$2-AD32)</f>
        <v>110716.50498819565</v>
      </c>
    </row>
    <row r="33" spans="2:31" x14ac:dyDescent="0.2">
      <c r="B33" s="2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28"/>
      <c r="R33" s="128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39"/>
      <c r="AD33" s="20"/>
      <c r="AE33" s="20"/>
    </row>
    <row r="34" spans="2:31" x14ac:dyDescent="0.2">
      <c r="B34" s="20" t="s">
        <v>239</v>
      </c>
      <c r="C34" s="143">
        <v>1</v>
      </c>
      <c r="D34" s="143">
        <v>1</v>
      </c>
      <c r="E34" s="144">
        <v>1</v>
      </c>
      <c r="F34" s="144">
        <v>1</v>
      </c>
      <c r="G34" s="145">
        <v>2.4300000000000002</v>
      </c>
      <c r="H34" s="146">
        <v>8.6922999999999995</v>
      </c>
      <c r="I34" s="146">
        <v>28.75</v>
      </c>
      <c r="J34" s="143">
        <v>28.77</v>
      </c>
      <c r="K34" s="143">
        <v>149.69</v>
      </c>
      <c r="L34" s="147">
        <v>149.82</v>
      </c>
      <c r="M34" s="147">
        <v>155.66999999999999</v>
      </c>
      <c r="N34" s="147">
        <v>177.73</v>
      </c>
      <c r="O34" s="147">
        <v>177.73</v>
      </c>
      <c r="P34" s="147">
        <v>177.73</v>
      </c>
      <c r="Q34" s="118">
        <f>((P34/G34)^(1/($H$3-$H$2) ))-1</f>
        <v>0.71009134279552888</v>
      </c>
      <c r="R34" s="31">
        <v>0</v>
      </c>
      <c r="S34" s="119">
        <f t="shared" ref="S34" si="54">P34*(1+$R34)</f>
        <v>177.73</v>
      </c>
      <c r="T34" s="119">
        <f t="shared" ref="T34:AB34" si="55">S34*(1+$R34)</f>
        <v>177.73</v>
      </c>
      <c r="U34" s="119">
        <f t="shared" si="55"/>
        <v>177.73</v>
      </c>
      <c r="V34" s="119">
        <f t="shared" si="55"/>
        <v>177.73</v>
      </c>
      <c r="W34" s="119">
        <f t="shared" si="55"/>
        <v>177.73</v>
      </c>
      <c r="X34" s="119">
        <f t="shared" si="55"/>
        <v>177.73</v>
      </c>
      <c r="Y34" s="119">
        <f t="shared" si="55"/>
        <v>177.73</v>
      </c>
      <c r="Z34" s="119">
        <f t="shared" si="55"/>
        <v>177.73</v>
      </c>
      <c r="AA34" s="119">
        <f t="shared" si="55"/>
        <v>177.73</v>
      </c>
      <c r="AB34" s="119">
        <f t="shared" si="55"/>
        <v>177.73</v>
      </c>
      <c r="AC34" s="138">
        <f t="shared" si="16"/>
        <v>0.25346840914425761</v>
      </c>
      <c r="AD34" s="31">
        <v>0.08</v>
      </c>
      <c r="AE34" s="127">
        <f>(AB34*(1+AC34))/($C$2-AD34)</f>
        <v>1591.2781454086348</v>
      </c>
    </row>
    <row r="35" spans="2:31" x14ac:dyDescent="0.2">
      <c r="B35" s="20"/>
      <c r="C35" s="20"/>
      <c r="D35" s="20"/>
      <c r="E35" s="127"/>
      <c r="F35" s="127"/>
      <c r="G35" s="127"/>
      <c r="H35" s="20"/>
      <c r="I35" s="20"/>
      <c r="J35" s="20"/>
      <c r="K35" s="20"/>
      <c r="L35" s="20"/>
      <c r="M35" s="20"/>
      <c r="N35" s="20"/>
      <c r="O35" s="20"/>
      <c r="P35" s="20"/>
      <c r="Q35" s="128"/>
      <c r="R35" s="128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39"/>
      <c r="AD35" s="20"/>
      <c r="AE35" s="20"/>
    </row>
    <row r="36" spans="2:31" x14ac:dyDescent="0.2">
      <c r="B36" s="108" t="s">
        <v>243</v>
      </c>
      <c r="C36" s="20"/>
      <c r="D36" s="20"/>
      <c r="E36" s="127"/>
      <c r="F36" s="127"/>
      <c r="G36" s="127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39"/>
      <c r="AD36" s="20"/>
      <c r="AE36" s="20"/>
    </row>
    <row r="37" spans="2:31" x14ac:dyDescent="0.2">
      <c r="B37" s="20" t="s">
        <v>258</v>
      </c>
      <c r="C37" s="133">
        <f t="shared" ref="C37:M37" si="56">C32/C34</f>
        <v>0</v>
      </c>
      <c r="D37" s="133">
        <f t="shared" si="56"/>
        <v>0</v>
      </c>
      <c r="E37" s="133">
        <f t="shared" si="56"/>
        <v>0</v>
      </c>
      <c r="F37" s="133">
        <f t="shared" si="56"/>
        <v>0</v>
      </c>
      <c r="G37" s="133">
        <f t="shared" si="56"/>
        <v>59.63786008230452</v>
      </c>
      <c r="H37" s="133">
        <f t="shared" si="56"/>
        <v>42.004992924772502</v>
      </c>
      <c r="I37" s="133">
        <f t="shared" si="56"/>
        <v>26.452869565217391</v>
      </c>
      <c r="J37" s="133">
        <f t="shared" si="56"/>
        <v>30.059089329162322</v>
      </c>
      <c r="K37" s="133">
        <f t="shared" si="56"/>
        <v>6.7950430890507043</v>
      </c>
      <c r="L37" s="133">
        <f t="shared" si="56"/>
        <v>2.8625684154318516</v>
      </c>
      <c r="M37" s="133">
        <f t="shared" si="56"/>
        <v>-6.3578724224320684</v>
      </c>
      <c r="N37" s="133">
        <f>N32/N34</f>
        <v>-7.4094975524672266</v>
      </c>
      <c r="O37" s="133">
        <f>O32/O34</f>
        <v>-2.659033365216902</v>
      </c>
      <c r="P37" s="133">
        <f>P32/P34</f>
        <v>-26.619028864007202</v>
      </c>
      <c r="Q37" s="118" t="e">
        <f>((P37/G37)^(1/($H$3-$H$2) ))-1</f>
        <v>#NUM!</v>
      </c>
      <c r="R37" s="31">
        <v>0.08</v>
      </c>
      <c r="S37" s="119">
        <f t="shared" ref="S37:S40" si="57">P37*(1+$R37)</f>
        <v>-28.74855117312778</v>
      </c>
      <c r="T37" s="119">
        <f t="shared" ref="T37:AB40" si="58">S37*(1+$R37)</f>
        <v>-31.048435266978004</v>
      </c>
      <c r="U37" s="119">
        <f t="shared" si="58"/>
        <v>-33.532310088336246</v>
      </c>
      <c r="V37" s="119">
        <f t="shared" si="58"/>
        <v>-36.214894895403148</v>
      </c>
      <c r="W37" s="119">
        <f t="shared" si="58"/>
        <v>-39.112086487035405</v>
      </c>
      <c r="X37" s="119">
        <f t="shared" si="58"/>
        <v>-42.241053405998244</v>
      </c>
      <c r="Y37" s="119">
        <f t="shared" si="58"/>
        <v>-45.620337678478109</v>
      </c>
      <c r="Z37" s="119">
        <f t="shared" si="58"/>
        <v>-49.269964692756361</v>
      </c>
      <c r="AA37" s="119">
        <f t="shared" si="58"/>
        <v>-53.211561868176872</v>
      </c>
      <c r="AB37" s="119">
        <f t="shared" si="58"/>
        <v>-57.468486817631025</v>
      </c>
      <c r="AC37" s="138">
        <f t="shared" ref="AC37:AC50" si="59">((AB37/G37)^(1/($AB$4-$H$2) ))-1</f>
        <v>-1.998051696913671</v>
      </c>
      <c r="AD37" s="31">
        <v>0.08</v>
      </c>
      <c r="AE37" s="127">
        <f>(AB37*(1+AC37))/($C$2-AD37)</f>
        <v>409.68943419569695</v>
      </c>
    </row>
    <row r="38" spans="2:31" x14ac:dyDescent="0.2">
      <c r="B38" s="20" t="s">
        <v>245</v>
      </c>
      <c r="C38" s="133">
        <f t="shared" ref="C38:P38" si="60">C8/C34</f>
        <v>0</v>
      </c>
      <c r="D38" s="133">
        <f t="shared" si="60"/>
        <v>0</v>
      </c>
      <c r="E38" s="133">
        <f t="shared" si="60"/>
        <v>0</v>
      </c>
      <c r="F38" s="133">
        <f t="shared" si="60"/>
        <v>0</v>
      </c>
      <c r="G38" s="133">
        <f t="shared" si="60"/>
        <v>161.06172839506172</v>
      </c>
      <c r="H38" s="133">
        <f t="shared" si="60"/>
        <v>104.07256997572564</v>
      </c>
      <c r="I38" s="133">
        <f t="shared" si="60"/>
        <v>95.210086956521735</v>
      </c>
      <c r="J38" s="133">
        <f t="shared" si="60"/>
        <v>122.12652068126521</v>
      </c>
      <c r="K38" s="133">
        <f t="shared" si="60"/>
        <v>54.13728371968736</v>
      </c>
      <c r="L38" s="133">
        <f t="shared" si="60"/>
        <v>54.940795621412363</v>
      </c>
      <c r="M38" s="133">
        <f t="shared" si="60"/>
        <v>42.421596967945021</v>
      </c>
      <c r="N38" s="133">
        <f t="shared" si="60"/>
        <v>36.73032127384235</v>
      </c>
      <c r="O38" s="133">
        <f t="shared" si="60"/>
        <v>29.183480560400607</v>
      </c>
      <c r="P38" s="133">
        <f t="shared" si="60"/>
        <v>1.8004838800427616</v>
      </c>
      <c r="Q38" s="118">
        <f>((P38/G38)^(1/($H$3-$H$2) ))-1</f>
        <v>-0.4297705930750062</v>
      </c>
      <c r="R38" s="31">
        <v>0.08</v>
      </c>
      <c r="S38" s="119">
        <f t="shared" si="57"/>
        <v>1.9445225904461827</v>
      </c>
      <c r="T38" s="119">
        <f t="shared" si="58"/>
        <v>2.1000843976818775</v>
      </c>
      <c r="U38" s="119">
        <f t="shared" si="58"/>
        <v>2.2680911494964278</v>
      </c>
      <c r="V38" s="119">
        <f t="shared" si="58"/>
        <v>2.4495384414561423</v>
      </c>
      <c r="W38" s="119">
        <f t="shared" si="58"/>
        <v>2.6455015167726339</v>
      </c>
      <c r="X38" s="119">
        <f t="shared" si="58"/>
        <v>2.8571416381144448</v>
      </c>
      <c r="Y38" s="119">
        <f t="shared" si="58"/>
        <v>3.0857129691636005</v>
      </c>
      <c r="Z38" s="119">
        <f t="shared" si="58"/>
        <v>3.3325700066966886</v>
      </c>
      <c r="AA38" s="119">
        <f t="shared" si="58"/>
        <v>3.5991756072324237</v>
      </c>
      <c r="AB38" s="119">
        <f t="shared" si="58"/>
        <v>3.8871096558110176</v>
      </c>
      <c r="AC38" s="138">
        <f t="shared" si="59"/>
        <v>-0.17799303636320729</v>
      </c>
      <c r="AD38" s="31">
        <v>0.08</v>
      </c>
      <c r="AE38" s="127">
        <f>(AB38*(1+AC38))/($C$2-AD38)</f>
        <v>22.823080039260518</v>
      </c>
    </row>
    <row r="39" spans="2:31" x14ac:dyDescent="0.2">
      <c r="B39" s="20" t="s">
        <v>246</v>
      </c>
      <c r="C39" s="154">
        <f t="shared" ref="C39:P39" si="61">C7/C34</f>
        <v>0</v>
      </c>
      <c r="D39" s="154">
        <f t="shared" si="61"/>
        <v>0</v>
      </c>
      <c r="E39" s="154">
        <f t="shared" si="61"/>
        <v>0</v>
      </c>
      <c r="F39" s="154">
        <f t="shared" si="61"/>
        <v>0</v>
      </c>
      <c r="G39" s="154">
        <f t="shared" si="61"/>
        <v>143.63374485596705</v>
      </c>
      <c r="H39" s="154">
        <f t="shared" si="61"/>
        <v>80.802549382787078</v>
      </c>
      <c r="I39" s="154">
        <f t="shared" si="61"/>
        <v>84.233391304347833</v>
      </c>
      <c r="J39" s="154">
        <f t="shared" si="61"/>
        <v>108.53632255822038</v>
      </c>
      <c r="K39" s="154">
        <f t="shared" si="61"/>
        <v>52.052241298683946</v>
      </c>
      <c r="L39" s="154">
        <f t="shared" si="61"/>
        <v>52.220197570417838</v>
      </c>
      <c r="M39" s="154">
        <f t="shared" si="61"/>
        <v>40.304554506327491</v>
      </c>
      <c r="N39" s="154">
        <f t="shared" si="61"/>
        <v>34.601249085691784</v>
      </c>
      <c r="O39" s="154">
        <f t="shared" si="61"/>
        <v>27.150002813256062</v>
      </c>
      <c r="P39" s="154">
        <f t="shared" si="61"/>
        <v>-0.19130141225454342</v>
      </c>
      <c r="Q39" s="118" t="e">
        <f>((P39/G39)^(1/($H$3-$H$2) ))-1</f>
        <v>#NUM!</v>
      </c>
      <c r="R39" s="31">
        <v>0.08</v>
      </c>
      <c r="S39" s="119">
        <f t="shared" si="57"/>
        <v>-0.20660552523490691</v>
      </c>
      <c r="T39" s="119">
        <f t="shared" si="58"/>
        <v>-0.22313396725369947</v>
      </c>
      <c r="U39" s="119">
        <f t="shared" si="58"/>
        <v>-0.24098468463399544</v>
      </c>
      <c r="V39" s="119">
        <f t="shared" si="58"/>
        <v>-0.26026345940471507</v>
      </c>
      <c r="W39" s="119">
        <f t="shared" si="58"/>
        <v>-0.28108453615709228</v>
      </c>
      <c r="X39" s="119">
        <f t="shared" si="58"/>
        <v>-0.30357129904965968</v>
      </c>
      <c r="Y39" s="119">
        <f t="shared" si="58"/>
        <v>-0.32785700297363246</v>
      </c>
      <c r="Z39" s="119">
        <f t="shared" si="58"/>
        <v>-0.35408556321152307</v>
      </c>
      <c r="AA39" s="119">
        <f t="shared" si="58"/>
        <v>-0.38241240826844491</v>
      </c>
      <c r="AB39" s="119">
        <f t="shared" si="58"/>
        <v>-0.41300540092992055</v>
      </c>
      <c r="AC39" s="138">
        <f t="shared" si="59"/>
        <v>-1.7349322897268753</v>
      </c>
      <c r="AD39" s="31">
        <v>0.08</v>
      </c>
      <c r="AE39" s="127">
        <f>(AB39*(1+AC39))/($C$2-AD39)</f>
        <v>2.1680786069642335</v>
      </c>
    </row>
    <row r="40" spans="2:31" x14ac:dyDescent="0.2">
      <c r="B40" s="20" t="s">
        <v>247</v>
      </c>
      <c r="C40" s="154">
        <f t="shared" ref="C40:P40" si="62">C11/C34</f>
        <v>0</v>
      </c>
      <c r="D40" s="154">
        <f t="shared" si="62"/>
        <v>0</v>
      </c>
      <c r="E40" s="154">
        <f t="shared" si="62"/>
        <v>0</v>
      </c>
      <c r="F40" s="154">
        <f t="shared" si="62"/>
        <v>0</v>
      </c>
      <c r="G40" s="154">
        <f t="shared" si="62"/>
        <v>98.094650205761312</v>
      </c>
      <c r="H40" s="154">
        <f t="shared" si="62"/>
        <v>45.535704013897359</v>
      </c>
      <c r="I40" s="154">
        <f t="shared" si="62"/>
        <v>15.676521739130434</v>
      </c>
      <c r="J40" s="154">
        <f t="shared" si="62"/>
        <v>179.42440041710114</v>
      </c>
      <c r="K40" s="154">
        <f t="shared" si="62"/>
        <v>66.367760037410648</v>
      </c>
      <c r="L40" s="154">
        <f t="shared" si="62"/>
        <v>99.249566146041914</v>
      </c>
      <c r="M40" s="154">
        <f t="shared" si="62"/>
        <v>81.376887004560942</v>
      </c>
      <c r="N40" s="154">
        <f t="shared" si="62"/>
        <v>69.001575423395039</v>
      </c>
      <c r="O40" s="154">
        <f t="shared" si="62"/>
        <v>61.600517639115516</v>
      </c>
      <c r="P40" s="154">
        <f t="shared" si="62"/>
        <v>61.092668654700951</v>
      </c>
      <c r="Q40" s="118">
        <f>((P40/G40)^(1/($H$3-$H$2) ))-1</f>
        <v>-5.7474797686766999E-2</v>
      </c>
      <c r="R40" s="31">
        <v>0.09</v>
      </c>
      <c r="S40" s="119">
        <f t="shared" si="57"/>
        <v>66.591008833624045</v>
      </c>
      <c r="T40" s="119">
        <f t="shared" si="58"/>
        <v>72.584199628650211</v>
      </c>
      <c r="U40" s="119">
        <f t="shared" si="58"/>
        <v>79.11677759522874</v>
      </c>
      <c r="V40" s="119">
        <f t="shared" si="58"/>
        <v>86.237287578799339</v>
      </c>
      <c r="W40" s="119">
        <f t="shared" si="58"/>
        <v>93.998643460891287</v>
      </c>
      <c r="X40" s="119">
        <f t="shared" si="58"/>
        <v>102.45852137237151</v>
      </c>
      <c r="Y40" s="119">
        <f t="shared" si="58"/>
        <v>111.67978829588495</v>
      </c>
      <c r="Z40" s="119">
        <f t="shared" si="58"/>
        <v>121.7309692425146</v>
      </c>
      <c r="AA40" s="119">
        <f t="shared" si="58"/>
        <v>132.68675647434094</v>
      </c>
      <c r="AB40" s="119">
        <f t="shared" si="58"/>
        <v>144.62856455703164</v>
      </c>
      <c r="AC40" s="138">
        <f t="shared" si="59"/>
        <v>2.0643666381350512E-2</v>
      </c>
      <c r="AD40" s="31">
        <v>0.08</v>
      </c>
      <c r="AE40" s="127">
        <f>(AB40*(1+AC40))/($C$2-AD40)</f>
        <v>1054.3873456640044</v>
      </c>
    </row>
    <row r="41" spans="2:31" x14ac:dyDescent="0.2">
      <c r="B41" s="20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28"/>
      <c r="R41" s="128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39"/>
      <c r="AD41" s="20"/>
      <c r="AE41" s="20"/>
    </row>
    <row r="42" spans="2:31" x14ac:dyDescent="0.2">
      <c r="B42" s="20" t="s">
        <v>271</v>
      </c>
      <c r="C42" s="154">
        <f t="shared" ref="C42:P42" si="63">(C8-C11)/C34</f>
        <v>0</v>
      </c>
      <c r="D42" s="154">
        <f t="shared" si="63"/>
        <v>0</v>
      </c>
      <c r="E42" s="154">
        <f t="shared" si="63"/>
        <v>0</v>
      </c>
      <c r="F42" s="154">
        <f t="shared" si="63"/>
        <v>0</v>
      </c>
      <c r="G42" s="154">
        <f t="shared" si="63"/>
        <v>62.967078189300402</v>
      </c>
      <c r="H42" s="154">
        <f t="shared" si="63"/>
        <v>58.53686596182829</v>
      </c>
      <c r="I42" s="154">
        <f t="shared" si="63"/>
        <v>79.533565217391313</v>
      </c>
      <c r="J42" s="154">
        <f t="shared" si="63"/>
        <v>-57.297879735835942</v>
      </c>
      <c r="K42" s="154">
        <f t="shared" si="63"/>
        <v>-12.230476317723292</v>
      </c>
      <c r="L42" s="154">
        <f t="shared" si="63"/>
        <v>-44.308770524629558</v>
      </c>
      <c r="M42" s="154">
        <f t="shared" si="63"/>
        <v>-38.955290036615921</v>
      </c>
      <c r="N42" s="154">
        <f t="shared" si="63"/>
        <v>-32.271254149552689</v>
      </c>
      <c r="O42" s="154">
        <f t="shared" si="63"/>
        <v>-32.417037078714912</v>
      </c>
      <c r="P42" s="154">
        <f t="shared" si="63"/>
        <v>-59.292184774658196</v>
      </c>
      <c r="Q42" s="118" t="e">
        <f>((P42/G42)^(1/($H$3-$H$2) ))-1</f>
        <v>#NUM!</v>
      </c>
      <c r="R42" s="31">
        <v>0.08</v>
      </c>
      <c r="S42" s="119">
        <f t="shared" ref="S42" si="64">P42*(1+$R42)</f>
        <v>-64.035559556630858</v>
      </c>
      <c r="T42" s="119">
        <f t="shared" ref="T42" si="65">S42*(1+$R42)</f>
        <v>-69.158404321161328</v>
      </c>
      <c r="U42" s="119">
        <f t="shared" ref="U42" si="66">T42*(1+$R42)</f>
        <v>-74.691076666854244</v>
      </c>
      <c r="V42" s="119">
        <f t="shared" ref="V42" si="67">U42*(1+$R42)</f>
        <v>-80.666362800202592</v>
      </c>
      <c r="W42" s="119">
        <f t="shared" ref="W42" si="68">V42*(1+$R42)</f>
        <v>-87.119671824218798</v>
      </c>
      <c r="X42" s="119">
        <f t="shared" ref="X42" si="69">W42*(1+$R42)</f>
        <v>-94.089245570156308</v>
      </c>
      <c r="Y42" s="119">
        <f t="shared" ref="Y42" si="70">X42*(1+$R42)</f>
        <v>-101.61638521576882</v>
      </c>
      <c r="Z42" s="119">
        <f t="shared" ref="Z42" si="71">Y42*(1+$R42)</f>
        <v>-109.74569603303033</v>
      </c>
      <c r="AA42" s="119">
        <f t="shared" ref="AA42" si="72">Z42*(1+$R42)</f>
        <v>-118.52535171567276</v>
      </c>
      <c r="AB42" s="119">
        <f t="shared" ref="AB42" si="73">AA42*(1+$R42)</f>
        <v>-128.00737985292659</v>
      </c>
      <c r="AC42" s="138">
        <f t="shared" si="59"/>
        <v>-2.0380467649118001</v>
      </c>
      <c r="AD42" s="31">
        <v>0.08</v>
      </c>
      <c r="AE42" s="127">
        <f>(AB42*(1+AC42))/($C$2-AD42)</f>
        <v>949.12604672261705</v>
      </c>
    </row>
    <row r="43" spans="2:31" x14ac:dyDescent="0.2">
      <c r="B43" s="20" t="s">
        <v>272</v>
      </c>
      <c r="C43" s="154">
        <f t="shared" ref="C43:P43" si="74">(C8-C11-C10)/C34</f>
        <v>0</v>
      </c>
      <c r="D43" s="154">
        <f t="shared" si="74"/>
        <v>0</v>
      </c>
      <c r="E43" s="154">
        <f t="shared" si="74"/>
        <v>0</v>
      </c>
      <c r="F43" s="154">
        <f t="shared" si="74"/>
        <v>0</v>
      </c>
      <c r="G43" s="154">
        <f t="shared" si="74"/>
        <v>-93.139917695473244</v>
      </c>
      <c r="H43" s="154">
        <f t="shared" si="74"/>
        <v>-31.301266638289061</v>
      </c>
      <c r="I43" s="154">
        <f t="shared" si="74"/>
        <v>20.131130434782616</v>
      </c>
      <c r="J43" s="154">
        <f t="shared" si="74"/>
        <v>-196.20542231491137</v>
      </c>
      <c r="K43" s="154">
        <f t="shared" si="74"/>
        <v>-121.87153450464291</v>
      </c>
      <c r="L43" s="154">
        <f t="shared" si="74"/>
        <v>-111.86563876651982</v>
      </c>
      <c r="M43" s="154">
        <f t="shared" si="74"/>
        <v>-100.6525342069763</v>
      </c>
      <c r="N43" s="154">
        <f t="shared" si="74"/>
        <v>-99.755978169132945</v>
      </c>
      <c r="O43" s="154">
        <f t="shared" si="74"/>
        <v>-74.679907725201161</v>
      </c>
      <c r="P43" s="154">
        <f t="shared" si="74"/>
        <v>-150.72863332020481</v>
      </c>
      <c r="Q43" s="118">
        <f>((P43/G43)^(1/($H$3-$H$2) ))-1</f>
        <v>6.2019494949455911E-2</v>
      </c>
      <c r="R43" s="31">
        <v>0.08</v>
      </c>
      <c r="S43" s="119">
        <f t="shared" ref="S43" si="75">P43*(1+$R43)</f>
        <v>-162.7869239858212</v>
      </c>
      <c r="T43" s="119">
        <f t="shared" ref="T43" si="76">S43*(1+$R43)</f>
        <v>-175.80987790468691</v>
      </c>
      <c r="U43" s="119">
        <f t="shared" ref="U43" si="77">T43*(1+$R43)</f>
        <v>-189.87466813706189</v>
      </c>
      <c r="V43" s="119">
        <f t="shared" ref="V43" si="78">U43*(1+$R43)</f>
        <v>-205.06464158802686</v>
      </c>
      <c r="W43" s="119">
        <f t="shared" ref="W43" si="79">V43*(1+$R43)</f>
        <v>-221.46981291506901</v>
      </c>
      <c r="X43" s="119">
        <f t="shared" ref="X43" si="80">W43*(1+$R43)</f>
        <v>-239.18739794827454</v>
      </c>
      <c r="Y43" s="119">
        <f t="shared" ref="Y43" si="81">X43*(1+$R43)</f>
        <v>-258.32238978413653</v>
      </c>
      <c r="Z43" s="119">
        <f t="shared" ref="Z43" si="82">Y43*(1+$R43)</f>
        <v>-278.98818096686745</v>
      </c>
      <c r="AA43" s="119">
        <f t="shared" ref="AA43" si="83">Z43*(1+$R43)</f>
        <v>-301.30723544421687</v>
      </c>
      <c r="AB43" s="119">
        <f t="shared" ref="AB43" si="84">AA43*(1+$R43)</f>
        <v>-325.41181427975425</v>
      </c>
      <c r="AC43" s="138">
        <f t="shared" si="59"/>
        <v>6.8057424922321585E-2</v>
      </c>
      <c r="AD43" s="31">
        <v>0.08</v>
      </c>
      <c r="AE43" s="127">
        <f>(AB43*(1+AC43))/($C$2-AD43)</f>
        <v>-2482.560745706679</v>
      </c>
    </row>
    <row r="44" spans="2:31" x14ac:dyDescent="0.2">
      <c r="B44" s="20" t="s">
        <v>277</v>
      </c>
      <c r="C44" s="154">
        <f t="shared" ref="C44:P44" si="85">(C8+C14-C11-C10)/C34</f>
        <v>0</v>
      </c>
      <c r="D44" s="154">
        <f t="shared" si="85"/>
        <v>0</v>
      </c>
      <c r="E44" s="154">
        <f t="shared" si="85"/>
        <v>0</v>
      </c>
      <c r="F44" s="154">
        <f t="shared" si="85"/>
        <v>0</v>
      </c>
      <c r="G44" s="154">
        <f t="shared" si="85"/>
        <v>62.827160493827165</v>
      </c>
      <c r="H44" s="154">
        <f t="shared" si="85"/>
        <v>58.433326047191215</v>
      </c>
      <c r="I44" s="154">
        <f t="shared" si="85"/>
        <v>79.505043478260887</v>
      </c>
      <c r="J44" s="154">
        <f t="shared" si="85"/>
        <v>-57.275981925616961</v>
      </c>
      <c r="K44" s="154">
        <f t="shared" si="85"/>
        <v>-3.3284788563030125</v>
      </c>
      <c r="L44" s="154">
        <f t="shared" si="85"/>
        <v>35.897076491790152</v>
      </c>
      <c r="M44" s="154">
        <f t="shared" si="85"/>
        <v>12.01002119868954</v>
      </c>
      <c r="N44" s="154">
        <f t="shared" si="85"/>
        <v>-4.5858887075901409</v>
      </c>
      <c r="O44" s="154">
        <f t="shared" si="85"/>
        <v>36.319585888707579</v>
      </c>
      <c r="P44" s="154">
        <f t="shared" si="85"/>
        <v>-70.415799246047385</v>
      </c>
      <c r="Q44" s="118" t="e">
        <f>((P44/G44)^(1/($H$3-$H$2) ))-1</f>
        <v>#NUM!</v>
      </c>
      <c r="R44" s="31">
        <v>0.05</v>
      </c>
      <c r="S44" s="119">
        <f t="shared" ref="S44" si="86">P44*(1+$R44)</f>
        <v>-73.936589208349758</v>
      </c>
      <c r="T44" s="119">
        <f t="shared" ref="T44" si="87">S44*(1+$R44)</f>
        <v>-77.633418668767249</v>
      </c>
      <c r="U44" s="119">
        <f t="shared" ref="U44" si="88">T44*(1+$R44)</f>
        <v>-81.51508960220562</v>
      </c>
      <c r="V44" s="119">
        <f t="shared" ref="V44" si="89">U44*(1+$R44)</f>
        <v>-85.590844082315911</v>
      </c>
      <c r="W44" s="119">
        <f t="shared" ref="W44" si="90">V44*(1+$R44)</f>
        <v>-89.87038628643171</v>
      </c>
      <c r="X44" s="119">
        <f t="shared" ref="X44" si="91">W44*(1+$R44)</f>
        <v>-94.363905600753299</v>
      </c>
      <c r="Y44" s="119">
        <f t="shared" ref="Y44" si="92">X44*(1+$R44)</f>
        <v>-99.082100880790961</v>
      </c>
      <c r="Z44" s="119">
        <f t="shared" ref="Z44" si="93">Y44*(1+$R44)</f>
        <v>-104.03620592483051</v>
      </c>
      <c r="AA44" s="119">
        <f t="shared" ref="AA44" si="94">Z44*(1+$R44)</f>
        <v>-109.23801622107204</v>
      </c>
      <c r="AB44" s="119">
        <f t="shared" ref="AB44" si="95">AA44*(1+$R44)</f>
        <v>-114.69991703212565</v>
      </c>
      <c r="AC44" s="138">
        <f t="shared" si="59"/>
        <v>-2.0321877951739102</v>
      </c>
      <c r="AD44" s="31">
        <v>0.08</v>
      </c>
      <c r="AE44" s="127">
        <f>(AB44*(1+AC44))/($C$2-AD44)</f>
        <v>845.6561033430014</v>
      </c>
    </row>
    <row r="45" spans="2:31" x14ac:dyDescent="0.2">
      <c r="B45" s="20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28"/>
      <c r="R45" s="128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39"/>
      <c r="AD45" s="20"/>
      <c r="AE45" s="20"/>
    </row>
    <row r="46" spans="2:31" x14ac:dyDescent="0.2">
      <c r="B46" s="20" t="s">
        <v>248</v>
      </c>
      <c r="C46" s="154">
        <f t="shared" ref="C46:P46" si="96">C12/C34</f>
        <v>0</v>
      </c>
      <c r="D46" s="154">
        <f t="shared" si="96"/>
        <v>0</v>
      </c>
      <c r="E46" s="154">
        <f t="shared" si="96"/>
        <v>0</v>
      </c>
      <c r="F46" s="154">
        <f t="shared" si="96"/>
        <v>0</v>
      </c>
      <c r="G46" s="154">
        <f t="shared" si="96"/>
        <v>28.008230452674898</v>
      </c>
      <c r="H46" s="154">
        <f t="shared" si="96"/>
        <v>17.716829837902512</v>
      </c>
      <c r="I46" s="154">
        <f t="shared" si="96"/>
        <v>5.6347826086956525</v>
      </c>
      <c r="J46" s="154">
        <f t="shared" si="96"/>
        <v>43.517553006604103</v>
      </c>
      <c r="K46" s="154">
        <f t="shared" si="96"/>
        <v>8.2656824103146498</v>
      </c>
      <c r="L46" s="154">
        <f t="shared" si="96"/>
        <v>5.6592577759978644</v>
      </c>
      <c r="M46" s="154">
        <f t="shared" si="96"/>
        <v>9.714267360441962</v>
      </c>
      <c r="N46" s="154">
        <f t="shared" si="96"/>
        <v>15.112586507623925</v>
      </c>
      <c r="O46" s="154">
        <f t="shared" si="96"/>
        <v>14.811680639171778</v>
      </c>
      <c r="P46" s="154">
        <f t="shared" si="96"/>
        <v>11.022337253136781</v>
      </c>
      <c r="Q46" s="118">
        <f>((P46/G46)^(1/($H$3-$H$2) ))-1</f>
        <v>-0.11003382030302278</v>
      </c>
      <c r="R46" s="31">
        <v>0.1</v>
      </c>
      <c r="S46" s="119">
        <f t="shared" ref="S46:S50" si="97">P46*(1+$R46)</f>
        <v>12.124570978450461</v>
      </c>
      <c r="T46" s="119">
        <f t="shared" ref="T46:AB50" si="98">S46*(1+$R46)</f>
        <v>13.337028076295507</v>
      </c>
      <c r="U46" s="119">
        <f t="shared" si="98"/>
        <v>14.670730883925058</v>
      </c>
      <c r="V46" s="119">
        <f t="shared" si="98"/>
        <v>16.137803972317567</v>
      </c>
      <c r="W46" s="119">
        <f t="shared" si="98"/>
        <v>17.751584369549324</v>
      </c>
      <c r="X46" s="119">
        <f t="shared" si="98"/>
        <v>19.526742806504259</v>
      </c>
      <c r="Y46" s="119">
        <f t="shared" si="98"/>
        <v>21.479417087154687</v>
      </c>
      <c r="Z46" s="119">
        <f t="shared" si="98"/>
        <v>23.627358795870158</v>
      </c>
      <c r="AA46" s="119">
        <f t="shared" si="98"/>
        <v>25.990094675457176</v>
      </c>
      <c r="AB46" s="119">
        <f t="shared" si="98"/>
        <v>28.589104143002896</v>
      </c>
      <c r="AC46" s="138">
        <f t="shared" si="59"/>
        <v>1.0809659016648432E-3</v>
      </c>
      <c r="AD46" s="31">
        <v>0.08</v>
      </c>
      <c r="AE46" s="127">
        <f>(AB46*(1+AC46))/($C$2-AD46)</f>
        <v>204.42862849814733</v>
      </c>
    </row>
    <row r="47" spans="2:31" x14ac:dyDescent="0.2">
      <c r="B47" s="20" t="s">
        <v>255</v>
      </c>
      <c r="C47" s="154">
        <f t="shared" ref="C47:P47" si="99">C13/C34</f>
        <v>0</v>
      </c>
      <c r="D47" s="154">
        <f t="shared" si="99"/>
        <v>0</v>
      </c>
      <c r="E47" s="154">
        <f t="shared" si="99"/>
        <v>0</v>
      </c>
      <c r="F47" s="154">
        <f t="shared" si="99"/>
        <v>0</v>
      </c>
      <c r="G47" s="154">
        <f t="shared" si="99"/>
        <v>5.8724279835390938</v>
      </c>
      <c r="H47" s="154">
        <f t="shared" si="99"/>
        <v>0.89274415287093178</v>
      </c>
      <c r="I47" s="154">
        <f t="shared" si="99"/>
        <v>0.26434782608695651</v>
      </c>
      <c r="J47" s="154">
        <f t="shared" si="99"/>
        <v>0.54118873826903025</v>
      </c>
      <c r="K47" s="154">
        <f t="shared" si="99"/>
        <v>20.9885763912085</v>
      </c>
      <c r="L47" s="154">
        <f t="shared" si="99"/>
        <v>3.390735549325858E-2</v>
      </c>
      <c r="M47" s="154">
        <f t="shared" si="99"/>
        <v>7.0167019978158933</v>
      </c>
      <c r="N47" s="154">
        <f t="shared" si="99"/>
        <v>5.4402183086704552</v>
      </c>
      <c r="O47" s="154">
        <f t="shared" si="99"/>
        <v>0.54717830416924551</v>
      </c>
      <c r="P47" s="154">
        <f t="shared" si="99"/>
        <v>0.20255443650481067</v>
      </c>
      <c r="Q47" s="118">
        <f>((P47/G47)^(1/($H$3-$H$2) ))-1</f>
        <v>-0.34352905756817487</v>
      </c>
      <c r="R47" s="31">
        <v>0.1</v>
      </c>
      <c r="S47" s="119">
        <f t="shared" si="97"/>
        <v>0.22280988015529177</v>
      </c>
      <c r="T47" s="119">
        <f t="shared" si="98"/>
        <v>0.24509086817082096</v>
      </c>
      <c r="U47" s="119">
        <f t="shared" si="98"/>
        <v>0.26959995498790307</v>
      </c>
      <c r="V47" s="119">
        <f t="shared" si="98"/>
        <v>0.29655995048669342</v>
      </c>
      <c r="W47" s="119">
        <f t="shared" si="98"/>
        <v>0.32621594553536282</v>
      </c>
      <c r="X47" s="119">
        <f t="shared" si="98"/>
        <v>0.35883754008889912</v>
      </c>
      <c r="Y47" s="119">
        <f t="shared" si="98"/>
        <v>0.39472129409778905</v>
      </c>
      <c r="Z47" s="119">
        <f t="shared" si="98"/>
        <v>0.43419342350756801</v>
      </c>
      <c r="AA47" s="119">
        <f t="shared" si="98"/>
        <v>0.47761276585832485</v>
      </c>
      <c r="AB47" s="119">
        <f t="shared" si="98"/>
        <v>0.52537404244415742</v>
      </c>
      <c r="AC47" s="138">
        <f t="shared" si="59"/>
        <v>-0.11930864714132727</v>
      </c>
      <c r="AD47" s="31">
        <v>0.08</v>
      </c>
      <c r="AE47" s="127">
        <f>(AB47*(1+AC47))/($C$2-AD47)</f>
        <v>3.3049455442641049</v>
      </c>
    </row>
    <row r="48" spans="2:31" x14ac:dyDescent="0.2">
      <c r="B48" s="20" t="s">
        <v>256</v>
      </c>
      <c r="C48" s="154">
        <f>(C46+C47)</f>
        <v>0</v>
      </c>
      <c r="D48" s="154">
        <f t="shared" ref="D48:P48" si="100">(D46+D47)</f>
        <v>0</v>
      </c>
      <c r="E48" s="154">
        <f t="shared" si="100"/>
        <v>0</v>
      </c>
      <c r="F48" s="154">
        <f t="shared" si="100"/>
        <v>0</v>
      </c>
      <c r="G48" s="154">
        <f t="shared" si="100"/>
        <v>33.880658436213992</v>
      </c>
      <c r="H48" s="154">
        <f t="shared" si="100"/>
        <v>18.609573990773445</v>
      </c>
      <c r="I48" s="154">
        <f t="shared" si="100"/>
        <v>5.8991304347826095</v>
      </c>
      <c r="J48" s="154">
        <f t="shared" si="100"/>
        <v>44.058741744873132</v>
      </c>
      <c r="K48" s="154">
        <f t="shared" si="100"/>
        <v>29.25425880152315</v>
      </c>
      <c r="L48" s="154">
        <f t="shared" si="100"/>
        <v>5.6931651314911234</v>
      </c>
      <c r="M48" s="154">
        <f t="shared" si="100"/>
        <v>16.730969358257855</v>
      </c>
      <c r="N48" s="154">
        <f t="shared" si="100"/>
        <v>20.55280481629438</v>
      </c>
      <c r="O48" s="154">
        <f t="shared" ref="O48" si="101">(O46+O47)</f>
        <v>15.358858943341023</v>
      </c>
      <c r="P48" s="154">
        <f t="shared" si="100"/>
        <v>11.224891689641591</v>
      </c>
      <c r="Q48" s="118">
        <f>((P48/G48)^(1/($H$3-$H$2) ))-1</f>
        <v>-0.12897867138425856</v>
      </c>
      <c r="R48" s="31">
        <v>0.1</v>
      </c>
      <c r="S48" s="119">
        <f t="shared" si="97"/>
        <v>12.347380858605751</v>
      </c>
      <c r="T48" s="119">
        <f t="shared" si="98"/>
        <v>13.582118944466327</v>
      </c>
      <c r="U48" s="119">
        <f t="shared" si="98"/>
        <v>14.94033083891296</v>
      </c>
      <c r="V48" s="119">
        <f t="shared" si="98"/>
        <v>16.434363922804256</v>
      </c>
      <c r="W48" s="119">
        <f t="shared" si="98"/>
        <v>18.077800315084684</v>
      </c>
      <c r="X48" s="119">
        <f t="shared" si="98"/>
        <v>19.885580346593155</v>
      </c>
      <c r="Y48" s="119">
        <f t="shared" si="98"/>
        <v>21.874138381252472</v>
      </c>
      <c r="Z48" s="119">
        <f t="shared" si="98"/>
        <v>24.06155221937772</v>
      </c>
      <c r="AA48" s="119">
        <f t="shared" si="98"/>
        <v>26.467707441315493</v>
      </c>
      <c r="AB48" s="119">
        <f t="shared" si="98"/>
        <v>29.114478185447044</v>
      </c>
      <c r="AC48" s="138">
        <f t="shared" si="59"/>
        <v>-7.9476554317406967E-3</v>
      </c>
      <c r="AD48" s="31">
        <v>0.08</v>
      </c>
      <c r="AE48" s="127">
        <f>(AB48*(1+AC48))/($C$2-AD48)</f>
        <v>206.30775960538696</v>
      </c>
    </row>
    <row r="49" spans="2:31" x14ac:dyDescent="0.2">
      <c r="B49" s="20" t="s">
        <v>249</v>
      </c>
      <c r="C49" s="154">
        <f t="shared" ref="C49:P49" si="102">C14/C34</f>
        <v>0</v>
      </c>
      <c r="D49" s="154">
        <f t="shared" si="102"/>
        <v>0</v>
      </c>
      <c r="E49" s="154">
        <f t="shared" si="102"/>
        <v>0</v>
      </c>
      <c r="F49" s="154">
        <f t="shared" si="102"/>
        <v>0</v>
      </c>
      <c r="G49" s="154">
        <f t="shared" si="102"/>
        <v>155.96707818930039</v>
      </c>
      <c r="H49" s="154">
        <f t="shared" si="102"/>
        <v>89.734592685480251</v>
      </c>
      <c r="I49" s="154">
        <f t="shared" si="102"/>
        <v>59.373913043478261</v>
      </c>
      <c r="J49" s="154">
        <f t="shared" si="102"/>
        <v>138.9294403892944</v>
      </c>
      <c r="K49" s="154">
        <f t="shared" si="102"/>
        <v>118.5430556483399</v>
      </c>
      <c r="L49" s="154">
        <f t="shared" si="102"/>
        <v>147.76271525830998</v>
      </c>
      <c r="M49" s="154">
        <f t="shared" si="102"/>
        <v>112.66255540566584</v>
      </c>
      <c r="N49" s="154">
        <f t="shared" si="102"/>
        <v>95.170089461542801</v>
      </c>
      <c r="O49" s="154">
        <f t="shared" si="102"/>
        <v>110.99949361390874</v>
      </c>
      <c r="P49" s="154">
        <f t="shared" si="102"/>
        <v>80.312834074157436</v>
      </c>
      <c r="Q49" s="118">
        <f>((P49/G49)^(1/($H$3-$H$2) ))-1</f>
        <v>-7.9616123702486163E-2</v>
      </c>
      <c r="R49" s="31">
        <v>0.1</v>
      </c>
      <c r="S49" s="119">
        <f t="shared" si="97"/>
        <v>88.344117481573193</v>
      </c>
      <c r="T49" s="119">
        <f t="shared" si="98"/>
        <v>97.178529229730515</v>
      </c>
      <c r="U49" s="119">
        <f t="shared" si="98"/>
        <v>106.89638215270358</v>
      </c>
      <c r="V49" s="119">
        <f t="shared" si="98"/>
        <v>117.58602036797394</v>
      </c>
      <c r="W49" s="119">
        <f t="shared" si="98"/>
        <v>129.34462240477134</v>
      </c>
      <c r="X49" s="119">
        <f t="shared" si="98"/>
        <v>142.2790846452485</v>
      </c>
      <c r="Y49" s="119">
        <f t="shared" si="98"/>
        <v>156.50699310977336</v>
      </c>
      <c r="Z49" s="119">
        <f t="shared" si="98"/>
        <v>172.15769242075072</v>
      </c>
      <c r="AA49" s="119">
        <f t="shared" si="98"/>
        <v>189.3734616628258</v>
      </c>
      <c r="AB49" s="119">
        <f t="shared" si="98"/>
        <v>208.3108078291084</v>
      </c>
      <c r="AC49" s="138">
        <f t="shared" si="59"/>
        <v>1.5347437735508285E-2</v>
      </c>
      <c r="AD49" s="31">
        <v>0.08</v>
      </c>
      <c r="AE49" s="127">
        <f>(AB49*(1+AC49))/($C$2-AD49)</f>
        <v>1510.770321299279</v>
      </c>
    </row>
    <row r="50" spans="2:31" x14ac:dyDescent="0.2">
      <c r="B50" s="20" t="s">
        <v>250</v>
      </c>
      <c r="C50" s="154">
        <f t="shared" ref="C50:P50" si="103">C15/C34</f>
        <v>0</v>
      </c>
      <c r="D50" s="154">
        <f t="shared" si="103"/>
        <v>0</v>
      </c>
      <c r="E50" s="154">
        <f t="shared" si="103"/>
        <v>0</v>
      </c>
      <c r="F50" s="154">
        <f t="shared" si="103"/>
        <v>0</v>
      </c>
      <c r="G50" s="154">
        <f t="shared" si="103"/>
        <v>182.30452674897117</v>
      </c>
      <c r="H50" s="154">
        <f t="shared" si="103"/>
        <v>113.89390610080187</v>
      </c>
      <c r="I50" s="154">
        <f t="shared" si="103"/>
        <v>88.486956521739131</v>
      </c>
      <c r="J50" s="154">
        <f t="shared" si="103"/>
        <v>159.88877302745917</v>
      </c>
      <c r="K50" s="154">
        <f t="shared" si="103"/>
        <v>68.363484534705051</v>
      </c>
      <c r="L50" s="154">
        <f t="shared" si="103"/>
        <v>67.706247496996397</v>
      </c>
      <c r="M50" s="154">
        <f t="shared" si="103"/>
        <v>50.965311235305464</v>
      </c>
      <c r="N50" s="154">
        <f t="shared" si="103"/>
        <v>38.222078433579028</v>
      </c>
      <c r="O50" s="154">
        <f t="shared" si="103"/>
        <v>18.656220109154336</v>
      </c>
      <c r="P50" s="154">
        <f t="shared" si="103"/>
        <v>-4.7712822821133178</v>
      </c>
      <c r="Q50" s="118" t="e">
        <f>((P50/G50)^(1/($H$3-$H$2) ))-1</f>
        <v>#NUM!</v>
      </c>
      <c r="R50" s="31">
        <v>0.1</v>
      </c>
      <c r="S50" s="119">
        <f t="shared" si="97"/>
        <v>-5.2484105103246499</v>
      </c>
      <c r="T50" s="119">
        <f t="shared" si="98"/>
        <v>-5.7732515613571156</v>
      </c>
      <c r="U50" s="119">
        <f t="shared" si="98"/>
        <v>-6.350576717492828</v>
      </c>
      <c r="V50" s="119">
        <f t="shared" si="98"/>
        <v>-6.9856343892421116</v>
      </c>
      <c r="W50" s="119">
        <f t="shared" si="98"/>
        <v>-7.6841978281663232</v>
      </c>
      <c r="X50" s="119">
        <f t="shared" si="98"/>
        <v>-8.4526176109829567</v>
      </c>
      <c r="Y50" s="119">
        <f t="shared" si="98"/>
        <v>-9.2978793720812529</v>
      </c>
      <c r="Z50" s="119">
        <f t="shared" si="98"/>
        <v>-10.227667309289378</v>
      </c>
      <c r="AA50" s="119">
        <f t="shared" si="98"/>
        <v>-11.250434040218318</v>
      </c>
      <c r="AB50" s="119">
        <f t="shared" si="98"/>
        <v>-12.375477444240151</v>
      </c>
      <c r="AC50" s="138">
        <f t="shared" si="59"/>
        <v>-1.8679884007872158</v>
      </c>
      <c r="AD50" s="31">
        <v>0.08</v>
      </c>
      <c r="AE50" s="127">
        <f>(AB50*(1+AC50))/($C$2-AD50)</f>
        <v>76.726934827173338</v>
      </c>
    </row>
    <row r="51" spans="2:31" x14ac:dyDescent="0.2">
      <c r="B51" s="20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28"/>
      <c r="R51" s="128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39"/>
      <c r="AD51" s="20"/>
      <c r="AE51" s="20"/>
    </row>
    <row r="52" spans="2:31" x14ac:dyDescent="0.2">
      <c r="B52" s="20" t="s">
        <v>285</v>
      </c>
      <c r="C52" s="154">
        <v>2.5</v>
      </c>
      <c r="D52" s="154">
        <v>2.5</v>
      </c>
      <c r="E52" s="154">
        <v>2.5</v>
      </c>
      <c r="F52" s="154">
        <v>2.5</v>
      </c>
      <c r="G52" s="154">
        <v>2.5</v>
      </c>
      <c r="H52" s="154">
        <v>2</v>
      </c>
      <c r="I52" s="154">
        <v>2.5</v>
      </c>
      <c r="J52" s="154">
        <v>3</v>
      </c>
      <c r="K52" s="154">
        <v>3.5</v>
      </c>
      <c r="L52" s="154">
        <v>3.7</v>
      </c>
      <c r="M52" s="154">
        <v>10</v>
      </c>
      <c r="N52" s="154">
        <v>4</v>
      </c>
      <c r="O52" s="154">
        <v>4.5</v>
      </c>
      <c r="P52" s="154">
        <v>5.25</v>
      </c>
      <c r="Q52" s="118">
        <f>((P52/G52)^(1/($H$3-$H$2) ))-1</f>
        <v>9.7178811089020156E-2</v>
      </c>
      <c r="R52" s="31">
        <v>0.05</v>
      </c>
      <c r="S52" s="119">
        <f t="shared" ref="S52" si="104">P52*(1+$R52)</f>
        <v>5.5125000000000002</v>
      </c>
      <c r="T52" s="119">
        <f t="shared" ref="T52" si="105">S52*(1+$R52)</f>
        <v>5.7881250000000009</v>
      </c>
      <c r="U52" s="119">
        <f t="shared" ref="U52" si="106">T52*(1+$R52)</f>
        <v>6.0775312500000007</v>
      </c>
      <c r="V52" s="119">
        <f t="shared" ref="V52" si="107">U52*(1+$R52)</f>
        <v>6.3814078125000009</v>
      </c>
      <c r="W52" s="119">
        <f t="shared" ref="W52" si="108">V52*(1+$R52)</f>
        <v>6.7004782031250016</v>
      </c>
      <c r="X52" s="119">
        <f t="shared" ref="X52" si="109">W52*(1+$R52)</f>
        <v>7.0355021132812521</v>
      </c>
      <c r="Y52" s="119">
        <f t="shared" ref="Y52" si="110">X52*(1+$R52)</f>
        <v>7.3872772189453153</v>
      </c>
      <c r="Z52" s="119">
        <f t="shared" ref="Z52" si="111">Y52*(1+$R52)</f>
        <v>7.7566410798925816</v>
      </c>
      <c r="AA52" s="119">
        <f t="shared" ref="AA52" si="112">Z52*(1+$R52)</f>
        <v>8.1444731338872103</v>
      </c>
      <c r="AB52" s="119">
        <f t="shared" ref="AB52" si="113">AA52*(1+$R52)</f>
        <v>8.5516967905815715</v>
      </c>
      <c r="AC52" s="138">
        <f t="shared" ref="AC52" si="114">((AB52/G52)^(1/($AB$4-$H$2) ))-1</f>
        <v>6.6869188897002108E-2</v>
      </c>
      <c r="AD52" s="31">
        <v>0.08</v>
      </c>
      <c r="AE52" s="127">
        <f>(AB52*(1+AC52))/($C$2-AD52)</f>
        <v>65.168155847577552</v>
      </c>
    </row>
    <row r="53" spans="2:31" x14ac:dyDescent="0.2">
      <c r="B53" s="20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28"/>
      <c r="R53" s="128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39"/>
      <c r="AD53" s="20"/>
      <c r="AE53" s="20"/>
    </row>
    <row r="54" spans="2:31" x14ac:dyDescent="0.2">
      <c r="B54" s="20" t="s">
        <v>293</v>
      </c>
      <c r="C54" s="154">
        <f t="shared" ref="C54:G54" si="115">C19+C20</f>
        <v>0</v>
      </c>
      <c r="D54" s="154">
        <f t="shared" si="115"/>
        <v>0</v>
      </c>
      <c r="E54" s="154">
        <f t="shared" si="115"/>
        <v>0</v>
      </c>
      <c r="F54" s="154">
        <f t="shared" si="115"/>
        <v>0</v>
      </c>
      <c r="G54" s="154">
        <f t="shared" si="115"/>
        <v>120.401</v>
      </c>
      <c r="H54" s="154">
        <f>H19+H20</f>
        <v>388.31799999999998</v>
      </c>
      <c r="I54" s="154">
        <f t="shared" ref="I54:P54" si="116">I19+I20</f>
        <v>0</v>
      </c>
      <c r="J54" s="154">
        <f t="shared" si="116"/>
        <v>0</v>
      </c>
      <c r="K54" s="154">
        <f t="shared" si="116"/>
        <v>0</v>
      </c>
      <c r="L54" s="154">
        <f t="shared" si="116"/>
        <v>0</v>
      </c>
      <c r="M54" s="154">
        <f t="shared" si="116"/>
        <v>0</v>
      </c>
      <c r="N54" s="154">
        <f t="shared" si="116"/>
        <v>386.48000000000013</v>
      </c>
      <c r="O54" s="154">
        <f t="shared" si="116"/>
        <v>190.47000000000003</v>
      </c>
      <c r="P54" s="154">
        <f t="shared" si="116"/>
        <v>0</v>
      </c>
      <c r="Q54" s="118">
        <f>((P54/G54)^(1/($H$3-$H$2) ))-1</f>
        <v>-1</v>
      </c>
      <c r="R54" s="128"/>
      <c r="S54" s="127">
        <f t="shared" ref="S54:AB54" si="117">S19-S20</f>
        <v>0</v>
      </c>
      <c r="T54" s="127">
        <f t="shared" si="117"/>
        <v>0</v>
      </c>
      <c r="U54" s="127">
        <f t="shared" si="117"/>
        <v>0</v>
      </c>
      <c r="V54" s="127">
        <f t="shared" si="117"/>
        <v>0</v>
      </c>
      <c r="W54" s="127">
        <f t="shared" si="117"/>
        <v>0</v>
      </c>
      <c r="X54" s="127">
        <f t="shared" si="117"/>
        <v>0</v>
      </c>
      <c r="Y54" s="127">
        <f t="shared" si="117"/>
        <v>0</v>
      </c>
      <c r="Z54" s="127">
        <f t="shared" si="117"/>
        <v>0</v>
      </c>
      <c r="AA54" s="127">
        <f t="shared" si="117"/>
        <v>0</v>
      </c>
      <c r="AB54" s="127">
        <f t="shared" si="117"/>
        <v>0</v>
      </c>
      <c r="AC54" s="138">
        <f t="shared" ref="AC54:AC59" si="118">((AB54/G54)^(1/($AB$4-$H$2) ))-1</f>
        <v>-1</v>
      </c>
      <c r="AD54" s="31">
        <v>0.08</v>
      </c>
      <c r="AE54" s="127">
        <f>(AB54*(1+AC54))/($C$2-AD54)</f>
        <v>0</v>
      </c>
    </row>
    <row r="55" spans="2:31" x14ac:dyDescent="0.2">
      <c r="B55" s="20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18"/>
      <c r="R55" s="128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38"/>
      <c r="AD55" s="31"/>
      <c r="AE55" s="127"/>
    </row>
    <row r="56" spans="2:31" x14ac:dyDescent="0.2">
      <c r="B56" s="20" t="s">
        <v>289</v>
      </c>
      <c r="C56" s="154">
        <f t="shared" ref="C56:G56" si="119">C54/C34</f>
        <v>0</v>
      </c>
      <c r="D56" s="154">
        <f t="shared" si="119"/>
        <v>0</v>
      </c>
      <c r="E56" s="154">
        <f t="shared" si="119"/>
        <v>0</v>
      </c>
      <c r="F56" s="154">
        <f t="shared" si="119"/>
        <v>0</v>
      </c>
      <c r="G56" s="154">
        <f t="shared" si="119"/>
        <v>49.547736625514396</v>
      </c>
      <c r="H56" s="154">
        <f t="shared" ref="H56" si="120">H54/H34</f>
        <v>44.673791746718358</v>
      </c>
      <c r="I56" s="154">
        <f t="shared" ref="I56:P56" si="121">I54/I34</f>
        <v>0</v>
      </c>
      <c r="J56" s="154">
        <f t="shared" si="121"/>
        <v>0</v>
      </c>
      <c r="K56" s="154">
        <f t="shared" si="121"/>
        <v>0</v>
      </c>
      <c r="L56" s="154">
        <f t="shared" si="121"/>
        <v>0</v>
      </c>
      <c r="M56" s="154">
        <f t="shared" si="121"/>
        <v>0</v>
      </c>
      <c r="N56" s="154">
        <f t="shared" si="121"/>
        <v>2.1745344061216461</v>
      </c>
      <c r="O56" s="154">
        <f t="shared" si="121"/>
        <v>1.0716817644742027</v>
      </c>
      <c r="P56" s="154">
        <f t="shared" si="121"/>
        <v>0</v>
      </c>
      <c r="Q56" s="118">
        <f>((P56/G56)^(1/($H$3-$H$2) ))-1</f>
        <v>-1</v>
      </c>
      <c r="R56" s="128"/>
      <c r="S56" s="127">
        <f t="shared" ref="S56:AB56" si="122">S54/S34</f>
        <v>0</v>
      </c>
      <c r="T56" s="127">
        <f t="shared" si="122"/>
        <v>0</v>
      </c>
      <c r="U56" s="127">
        <f t="shared" si="122"/>
        <v>0</v>
      </c>
      <c r="V56" s="127">
        <f t="shared" si="122"/>
        <v>0</v>
      </c>
      <c r="W56" s="127">
        <f t="shared" si="122"/>
        <v>0</v>
      </c>
      <c r="X56" s="127">
        <f t="shared" si="122"/>
        <v>0</v>
      </c>
      <c r="Y56" s="127">
        <f t="shared" si="122"/>
        <v>0</v>
      </c>
      <c r="Z56" s="127">
        <f t="shared" si="122"/>
        <v>0</v>
      </c>
      <c r="AA56" s="127">
        <f t="shared" si="122"/>
        <v>0</v>
      </c>
      <c r="AB56" s="127">
        <f t="shared" si="122"/>
        <v>0</v>
      </c>
      <c r="AC56" s="138">
        <f t="shared" si="118"/>
        <v>-1</v>
      </c>
      <c r="AD56" s="31">
        <v>0.08</v>
      </c>
      <c r="AE56" s="127">
        <f>(AB56*(1+AC56))/($C$2-AD56)</f>
        <v>0</v>
      </c>
    </row>
    <row r="57" spans="2:31" x14ac:dyDescent="0.2">
      <c r="B57" s="20" t="s">
        <v>290</v>
      </c>
      <c r="C57" s="154">
        <f t="shared" ref="C57:G57" si="123">C19/C34</f>
        <v>0</v>
      </c>
      <c r="D57" s="154">
        <f t="shared" si="123"/>
        <v>0</v>
      </c>
      <c r="E57" s="154">
        <f t="shared" si="123"/>
        <v>0</v>
      </c>
      <c r="F57" s="154">
        <f t="shared" si="123"/>
        <v>0</v>
      </c>
      <c r="G57" s="154">
        <f t="shared" si="123"/>
        <v>4.8687242798353907</v>
      </c>
      <c r="H57" s="154">
        <f t="shared" ref="H57" si="124">H19/H34</f>
        <v>13.591339461362356</v>
      </c>
      <c r="I57" s="154">
        <f t="shared" ref="I57:P57" si="125">I19/I34</f>
        <v>0</v>
      </c>
      <c r="J57" s="154">
        <f t="shared" si="125"/>
        <v>0</v>
      </c>
      <c r="K57" s="154">
        <f t="shared" si="125"/>
        <v>0</v>
      </c>
      <c r="L57" s="154">
        <f t="shared" si="125"/>
        <v>0</v>
      </c>
      <c r="M57" s="154">
        <f t="shared" si="125"/>
        <v>0</v>
      </c>
      <c r="N57" s="154">
        <f t="shared" si="125"/>
        <v>6.8313171664884944</v>
      </c>
      <c r="O57" s="154">
        <f t="shared" si="125"/>
        <v>4.7186743937433189</v>
      </c>
      <c r="P57" s="154">
        <f t="shared" si="125"/>
        <v>0</v>
      </c>
      <c r="Q57" s="118">
        <f>((P57/G57)^(1/($H$3-$H$2) ))-1</f>
        <v>-1</v>
      </c>
      <c r="R57" s="128"/>
      <c r="S57" s="127">
        <f t="shared" ref="S57:AB57" si="126">S19/S34</f>
        <v>0</v>
      </c>
      <c r="T57" s="127">
        <f t="shared" si="126"/>
        <v>0</v>
      </c>
      <c r="U57" s="127">
        <f t="shared" si="126"/>
        <v>0</v>
      </c>
      <c r="V57" s="127">
        <f t="shared" si="126"/>
        <v>0</v>
      </c>
      <c r="W57" s="127">
        <f t="shared" si="126"/>
        <v>0</v>
      </c>
      <c r="X57" s="127">
        <f t="shared" si="126"/>
        <v>0</v>
      </c>
      <c r="Y57" s="127">
        <f t="shared" si="126"/>
        <v>0</v>
      </c>
      <c r="Z57" s="127">
        <f t="shared" si="126"/>
        <v>0</v>
      </c>
      <c r="AA57" s="127">
        <f t="shared" si="126"/>
        <v>0</v>
      </c>
      <c r="AB57" s="127">
        <f t="shared" si="126"/>
        <v>0</v>
      </c>
      <c r="AC57" s="138">
        <f t="shared" si="118"/>
        <v>-1</v>
      </c>
      <c r="AD57" s="31">
        <v>0.08</v>
      </c>
      <c r="AE57" s="127">
        <f>(AB57*(1+AC57))/($C$2-AD57)</f>
        <v>0</v>
      </c>
    </row>
    <row r="58" spans="2:31" x14ac:dyDescent="0.2">
      <c r="B58" s="20" t="s">
        <v>291</v>
      </c>
      <c r="C58" s="154">
        <f t="shared" ref="C58:G58" si="127">C20/C34</f>
        <v>0</v>
      </c>
      <c r="D58" s="154">
        <f t="shared" si="127"/>
        <v>0</v>
      </c>
      <c r="E58" s="154">
        <f t="shared" si="127"/>
        <v>0</v>
      </c>
      <c r="F58" s="154">
        <f t="shared" si="127"/>
        <v>0</v>
      </c>
      <c r="G58" s="154">
        <f t="shared" si="127"/>
        <v>44.679012345679006</v>
      </c>
      <c r="H58" s="154">
        <f t="shared" ref="H58" si="128">H20/H34</f>
        <v>31.082452285356005</v>
      </c>
      <c r="I58" s="154">
        <f t="shared" ref="I58:P58" si="129">I20/I34</f>
        <v>0</v>
      </c>
      <c r="J58" s="154">
        <f t="shared" si="129"/>
        <v>0</v>
      </c>
      <c r="K58" s="154">
        <f t="shared" si="129"/>
        <v>0</v>
      </c>
      <c r="L58" s="154">
        <f t="shared" si="129"/>
        <v>0</v>
      </c>
      <c r="M58" s="154">
        <f t="shared" si="129"/>
        <v>0</v>
      </c>
      <c r="N58" s="154">
        <f t="shared" si="129"/>
        <v>-4.6567827603668484</v>
      </c>
      <c r="O58" s="154">
        <f t="shared" si="129"/>
        <v>-3.6469926292691159</v>
      </c>
      <c r="P58" s="154">
        <f t="shared" si="129"/>
        <v>0</v>
      </c>
      <c r="Q58" s="118">
        <f>((P58/G58)^(1/($H$3-$H$2) ))-1</f>
        <v>-1</v>
      </c>
      <c r="R58" s="128"/>
      <c r="S58" s="127">
        <f t="shared" ref="S58:AB58" si="130">S20/S34</f>
        <v>0</v>
      </c>
      <c r="T58" s="127">
        <f t="shared" si="130"/>
        <v>0</v>
      </c>
      <c r="U58" s="127">
        <f t="shared" si="130"/>
        <v>0</v>
      </c>
      <c r="V58" s="127">
        <f t="shared" si="130"/>
        <v>0</v>
      </c>
      <c r="W58" s="127">
        <f t="shared" si="130"/>
        <v>0</v>
      </c>
      <c r="X58" s="127">
        <f t="shared" si="130"/>
        <v>0</v>
      </c>
      <c r="Y58" s="127">
        <f t="shared" si="130"/>
        <v>0</v>
      </c>
      <c r="Z58" s="127">
        <f t="shared" si="130"/>
        <v>0</v>
      </c>
      <c r="AA58" s="127">
        <f t="shared" si="130"/>
        <v>0</v>
      </c>
      <c r="AB58" s="127">
        <f t="shared" si="130"/>
        <v>0</v>
      </c>
      <c r="AC58" s="138">
        <f t="shared" si="118"/>
        <v>-1</v>
      </c>
      <c r="AD58" s="31">
        <v>0.08</v>
      </c>
      <c r="AE58" s="127">
        <f>(AB58*(1+AC58))/($C$2-AD58)</f>
        <v>0</v>
      </c>
    </row>
    <row r="59" spans="2:31" x14ac:dyDescent="0.2">
      <c r="B59" s="20" t="s">
        <v>292</v>
      </c>
      <c r="C59" s="154">
        <f t="shared" ref="C59:G59" si="131">C21/C34</f>
        <v>0</v>
      </c>
      <c r="D59" s="154">
        <f t="shared" si="131"/>
        <v>0</v>
      </c>
      <c r="E59" s="154">
        <f t="shared" si="131"/>
        <v>0</v>
      </c>
      <c r="F59" s="154">
        <f t="shared" si="131"/>
        <v>0</v>
      </c>
      <c r="G59" s="154">
        <f t="shared" si="131"/>
        <v>44.78641975308642</v>
      </c>
      <c r="H59" s="154">
        <f>H21/H34</f>
        <v>27.426572943869864</v>
      </c>
      <c r="I59" s="154">
        <f t="shared" ref="I59:P59" si="132">I21/I34</f>
        <v>0</v>
      </c>
      <c r="J59" s="154">
        <f t="shared" si="132"/>
        <v>0</v>
      </c>
      <c r="K59" s="154">
        <f t="shared" si="132"/>
        <v>0</v>
      </c>
      <c r="L59" s="154">
        <f t="shared" si="132"/>
        <v>0</v>
      </c>
      <c r="M59" s="154">
        <f t="shared" si="132"/>
        <v>0</v>
      </c>
      <c r="N59" s="154">
        <f t="shared" si="132"/>
        <v>-2.6130084960333093</v>
      </c>
      <c r="O59" s="154">
        <f t="shared" si="132"/>
        <v>-1.4010015191582739</v>
      </c>
      <c r="P59" s="154">
        <f t="shared" si="132"/>
        <v>0</v>
      </c>
      <c r="Q59" s="118">
        <f>((P59/G59)^(1/($H$3-$H$2) ))-1</f>
        <v>-1</v>
      </c>
      <c r="R59" s="128"/>
      <c r="S59" s="127">
        <f t="shared" ref="S59:AB59" si="133">S21/S34</f>
        <v>0</v>
      </c>
      <c r="T59" s="127">
        <f t="shared" si="133"/>
        <v>0</v>
      </c>
      <c r="U59" s="127">
        <f t="shared" si="133"/>
        <v>0</v>
      </c>
      <c r="V59" s="127">
        <f t="shared" si="133"/>
        <v>0</v>
      </c>
      <c r="W59" s="127">
        <f t="shared" si="133"/>
        <v>0</v>
      </c>
      <c r="X59" s="127">
        <f t="shared" si="133"/>
        <v>0</v>
      </c>
      <c r="Y59" s="127">
        <f t="shared" si="133"/>
        <v>0</v>
      </c>
      <c r="Z59" s="127">
        <f t="shared" si="133"/>
        <v>0</v>
      </c>
      <c r="AA59" s="127">
        <f t="shared" si="133"/>
        <v>0</v>
      </c>
      <c r="AB59" s="127">
        <f t="shared" si="133"/>
        <v>0</v>
      </c>
      <c r="AC59" s="138">
        <f t="shared" si="118"/>
        <v>-1</v>
      </c>
      <c r="AD59" s="31">
        <v>0.08</v>
      </c>
      <c r="AE59" s="127">
        <f>(AB59*(1+AC59))/($C$2-AD59)</f>
        <v>0</v>
      </c>
    </row>
    <row r="60" spans="2:31" x14ac:dyDescent="0.2">
      <c r="B60" s="20" t="s">
        <v>299</v>
      </c>
      <c r="C60" s="154">
        <f t="shared" ref="C60:G60" si="134">C22/C34</f>
        <v>0</v>
      </c>
      <c r="D60" s="154">
        <f t="shared" si="134"/>
        <v>0</v>
      </c>
      <c r="E60" s="154">
        <f t="shared" si="134"/>
        <v>0</v>
      </c>
      <c r="F60" s="154">
        <f t="shared" si="134"/>
        <v>0</v>
      </c>
      <c r="G60" s="154">
        <f t="shared" si="134"/>
        <v>27.983539094650205</v>
      </c>
      <c r="H60" s="154">
        <f>H22/H34</f>
        <v>0</v>
      </c>
      <c r="I60" s="154">
        <f t="shared" ref="I60:P60" si="135">I22/I34</f>
        <v>0</v>
      </c>
      <c r="J60" s="154">
        <f t="shared" si="135"/>
        <v>0</v>
      </c>
      <c r="K60" s="154">
        <f t="shared" si="135"/>
        <v>0</v>
      </c>
      <c r="L60" s="154">
        <f t="shared" si="135"/>
        <v>0</v>
      </c>
      <c r="M60" s="154">
        <f t="shared" si="135"/>
        <v>0</v>
      </c>
      <c r="N60" s="154">
        <f t="shared" si="135"/>
        <v>0</v>
      </c>
      <c r="O60" s="154">
        <f t="shared" si="135"/>
        <v>14.811680639171778</v>
      </c>
      <c r="P60" s="154">
        <f t="shared" si="135"/>
        <v>0</v>
      </c>
      <c r="Q60" s="118">
        <f>((P60/G60)^(1/($H$3-$H$2) ))-1</f>
        <v>-1</v>
      </c>
      <c r="R60" s="128"/>
      <c r="S60" s="127">
        <f>S22/S34</f>
        <v>0</v>
      </c>
      <c r="T60" s="127">
        <f t="shared" ref="T60:AB60" si="136">T22/T34</f>
        <v>0</v>
      </c>
      <c r="U60" s="127">
        <f t="shared" si="136"/>
        <v>0</v>
      </c>
      <c r="V60" s="127">
        <f t="shared" si="136"/>
        <v>0</v>
      </c>
      <c r="W60" s="127">
        <f t="shared" si="136"/>
        <v>0</v>
      </c>
      <c r="X60" s="127">
        <f t="shared" si="136"/>
        <v>0</v>
      </c>
      <c r="Y60" s="127">
        <f t="shared" si="136"/>
        <v>0</v>
      </c>
      <c r="Z60" s="127">
        <f t="shared" si="136"/>
        <v>0</v>
      </c>
      <c r="AA60" s="127">
        <f t="shared" si="136"/>
        <v>0</v>
      </c>
      <c r="AB60" s="127">
        <f t="shared" si="136"/>
        <v>0</v>
      </c>
      <c r="AC60" s="138">
        <f t="shared" ref="AC60" si="137">((AB60/G60)^(1/($AB$4-$H$2) ))-1</f>
        <v>-1</v>
      </c>
      <c r="AD60" s="31">
        <v>0.08</v>
      </c>
      <c r="AE60" s="127">
        <f>(AB60*(1+AC60))/($C$2-AD60)</f>
        <v>0</v>
      </c>
    </row>
    <row r="61" spans="2:31" x14ac:dyDescent="0.2">
      <c r="B61" s="20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18"/>
      <c r="R61" s="128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39"/>
      <c r="AD61" s="20"/>
      <c r="AE61" s="20"/>
    </row>
    <row r="62" spans="2:31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28"/>
      <c r="R62" s="128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39"/>
      <c r="AD62" s="20"/>
      <c r="AE62" s="20"/>
    </row>
    <row r="63" spans="2:31" x14ac:dyDescent="0.2">
      <c r="B63" s="108" t="s">
        <v>83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28"/>
      <c r="R63" s="128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39"/>
      <c r="AD63" s="20"/>
      <c r="AE63" s="20"/>
    </row>
    <row r="64" spans="2:31" x14ac:dyDescent="0.2">
      <c r="B64" s="20" t="s">
        <v>82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18" t="e">
        <f>((P64/G64)^(1/($H$3-$H$2) ))-1</f>
        <v>#DIV/0!</v>
      </c>
      <c r="R64" s="31">
        <v>0.1</v>
      </c>
      <c r="S64" s="119">
        <f t="shared" ref="S64:S70" si="138">P64*(1+$R64)</f>
        <v>0</v>
      </c>
      <c r="T64" s="119">
        <f t="shared" ref="T64:AB70" si="139">S64*(1+$R64)</f>
        <v>0</v>
      </c>
      <c r="U64" s="119">
        <f t="shared" si="139"/>
        <v>0</v>
      </c>
      <c r="V64" s="119">
        <f t="shared" si="139"/>
        <v>0</v>
      </c>
      <c r="W64" s="119">
        <f t="shared" si="139"/>
        <v>0</v>
      </c>
      <c r="X64" s="119">
        <f t="shared" si="139"/>
        <v>0</v>
      </c>
      <c r="Y64" s="119">
        <f t="shared" si="139"/>
        <v>0</v>
      </c>
      <c r="Z64" s="119">
        <f t="shared" si="139"/>
        <v>0</v>
      </c>
      <c r="AA64" s="119">
        <f t="shared" si="139"/>
        <v>0</v>
      </c>
      <c r="AB64" s="119">
        <f t="shared" si="139"/>
        <v>0</v>
      </c>
      <c r="AC64" s="138" t="e">
        <f t="shared" ref="AC64:AC70" si="140">((AB64/G64)^(1/($AB$4-$H$2) ))-1</f>
        <v>#DIV/0!</v>
      </c>
      <c r="AD64" s="31">
        <v>0.08</v>
      </c>
      <c r="AE64" s="127" t="e">
        <f t="shared" ref="AE64:AE70" si="141">(AB64*(1+AC64))/($C$2-AD64)</f>
        <v>#DIV/0!</v>
      </c>
    </row>
    <row r="65" spans="2:31" x14ac:dyDescent="0.2">
      <c r="B65" s="20" t="s">
        <v>84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 t="shared" ref="Q65:Q70" si="142">((P65/G65)^(1/($H$3-$H$2) ))-1</f>
        <v>#DIV/0!</v>
      </c>
      <c r="R65" s="31">
        <v>0.1</v>
      </c>
      <c r="S65" s="119">
        <f t="shared" si="138"/>
        <v>0</v>
      </c>
      <c r="T65" s="119">
        <f t="shared" si="139"/>
        <v>0</v>
      </c>
      <c r="U65" s="119">
        <f t="shared" si="139"/>
        <v>0</v>
      </c>
      <c r="V65" s="119">
        <f t="shared" si="139"/>
        <v>0</v>
      </c>
      <c r="W65" s="119">
        <f t="shared" si="139"/>
        <v>0</v>
      </c>
      <c r="X65" s="119">
        <f t="shared" si="139"/>
        <v>0</v>
      </c>
      <c r="Y65" s="119">
        <f t="shared" si="139"/>
        <v>0</v>
      </c>
      <c r="Z65" s="119">
        <f t="shared" si="139"/>
        <v>0</v>
      </c>
      <c r="AA65" s="119">
        <f t="shared" si="139"/>
        <v>0</v>
      </c>
      <c r="AB65" s="119">
        <f t="shared" si="139"/>
        <v>0</v>
      </c>
      <c r="AC65" s="138" t="e">
        <f t="shared" si="140"/>
        <v>#DIV/0!</v>
      </c>
      <c r="AD65" s="31">
        <v>0.08</v>
      </c>
      <c r="AE65" s="127" t="e">
        <f t="shared" si="141"/>
        <v>#DIV/0!</v>
      </c>
    </row>
    <row r="66" spans="2:31" x14ac:dyDescent="0.2">
      <c r="B66" s="20" t="s">
        <v>85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si="142"/>
        <v>#DIV/0!</v>
      </c>
      <c r="R66" s="31">
        <v>0.1</v>
      </c>
      <c r="S66" s="119">
        <f t="shared" si="138"/>
        <v>0</v>
      </c>
      <c r="T66" s="119">
        <f t="shared" si="139"/>
        <v>0</v>
      </c>
      <c r="U66" s="119">
        <f t="shared" si="139"/>
        <v>0</v>
      </c>
      <c r="V66" s="119">
        <f t="shared" si="139"/>
        <v>0</v>
      </c>
      <c r="W66" s="119">
        <f t="shared" si="139"/>
        <v>0</v>
      </c>
      <c r="X66" s="119">
        <f t="shared" si="139"/>
        <v>0</v>
      </c>
      <c r="Y66" s="119">
        <f t="shared" si="139"/>
        <v>0</v>
      </c>
      <c r="Z66" s="119">
        <f t="shared" si="139"/>
        <v>0</v>
      </c>
      <c r="AA66" s="119">
        <f t="shared" si="139"/>
        <v>0</v>
      </c>
      <c r="AB66" s="119">
        <f t="shared" si="139"/>
        <v>0</v>
      </c>
      <c r="AC66" s="138" t="e">
        <f t="shared" si="140"/>
        <v>#DIV/0!</v>
      </c>
      <c r="AD66" s="31">
        <v>0.08</v>
      </c>
      <c r="AE66" s="127" t="e">
        <f t="shared" si="141"/>
        <v>#DIV/0!</v>
      </c>
    </row>
    <row r="67" spans="2:31" x14ac:dyDescent="0.2">
      <c r="B67" s="20" t="s">
        <v>81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2"/>
        <v>#DIV/0!</v>
      </c>
      <c r="R67" s="31">
        <v>0.1</v>
      </c>
      <c r="S67" s="119">
        <f t="shared" si="138"/>
        <v>0</v>
      </c>
      <c r="T67" s="119">
        <f t="shared" si="139"/>
        <v>0</v>
      </c>
      <c r="U67" s="119">
        <f t="shared" si="139"/>
        <v>0</v>
      </c>
      <c r="V67" s="119">
        <f t="shared" si="139"/>
        <v>0</v>
      </c>
      <c r="W67" s="119">
        <f t="shared" si="139"/>
        <v>0</v>
      </c>
      <c r="X67" s="119">
        <f t="shared" si="139"/>
        <v>0</v>
      </c>
      <c r="Y67" s="119">
        <f t="shared" si="139"/>
        <v>0</v>
      </c>
      <c r="Z67" s="119">
        <f t="shared" si="139"/>
        <v>0</v>
      </c>
      <c r="AA67" s="119">
        <f t="shared" si="139"/>
        <v>0</v>
      </c>
      <c r="AB67" s="119">
        <f t="shared" si="139"/>
        <v>0</v>
      </c>
      <c r="AC67" s="138" t="e">
        <f t="shared" si="140"/>
        <v>#DIV/0!</v>
      </c>
      <c r="AD67" s="31">
        <v>0.08</v>
      </c>
      <c r="AE67" s="127" t="e">
        <f t="shared" si="141"/>
        <v>#DIV/0!</v>
      </c>
    </row>
    <row r="68" spans="2:31" x14ac:dyDescent="0.2">
      <c r="B68" s="20" t="s">
        <v>78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2"/>
        <v>#DIV/0!</v>
      </c>
      <c r="R68" s="31">
        <v>0.1</v>
      </c>
      <c r="S68" s="119">
        <f t="shared" si="138"/>
        <v>0</v>
      </c>
      <c r="T68" s="119">
        <f t="shared" si="139"/>
        <v>0</v>
      </c>
      <c r="U68" s="119">
        <f t="shared" si="139"/>
        <v>0</v>
      </c>
      <c r="V68" s="119">
        <f t="shared" si="139"/>
        <v>0</v>
      </c>
      <c r="W68" s="119">
        <f t="shared" si="139"/>
        <v>0</v>
      </c>
      <c r="X68" s="119">
        <f t="shared" si="139"/>
        <v>0</v>
      </c>
      <c r="Y68" s="119">
        <f t="shared" si="139"/>
        <v>0</v>
      </c>
      <c r="Z68" s="119">
        <f t="shared" si="139"/>
        <v>0</v>
      </c>
      <c r="AA68" s="119">
        <f t="shared" si="139"/>
        <v>0</v>
      </c>
      <c r="AB68" s="119">
        <f t="shared" si="139"/>
        <v>0</v>
      </c>
      <c r="AC68" s="138" t="e">
        <f t="shared" si="140"/>
        <v>#DIV/0!</v>
      </c>
      <c r="AD68" s="31">
        <v>0.08</v>
      </c>
      <c r="AE68" s="127" t="e">
        <f t="shared" si="141"/>
        <v>#DIV/0!</v>
      </c>
    </row>
    <row r="69" spans="2:31" x14ac:dyDescent="0.2">
      <c r="B69" s="20" t="s">
        <v>79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2"/>
        <v>#DIV/0!</v>
      </c>
      <c r="R69" s="31">
        <v>0.1</v>
      </c>
      <c r="S69" s="119">
        <f t="shared" si="138"/>
        <v>0</v>
      </c>
      <c r="T69" s="119">
        <f t="shared" si="139"/>
        <v>0</v>
      </c>
      <c r="U69" s="119">
        <f t="shared" si="139"/>
        <v>0</v>
      </c>
      <c r="V69" s="119">
        <f t="shared" si="139"/>
        <v>0</v>
      </c>
      <c r="W69" s="119">
        <f t="shared" si="139"/>
        <v>0</v>
      </c>
      <c r="X69" s="119">
        <f t="shared" si="139"/>
        <v>0</v>
      </c>
      <c r="Y69" s="119">
        <f t="shared" si="139"/>
        <v>0</v>
      </c>
      <c r="Z69" s="119">
        <f t="shared" si="139"/>
        <v>0</v>
      </c>
      <c r="AA69" s="119">
        <f t="shared" si="139"/>
        <v>0</v>
      </c>
      <c r="AB69" s="119">
        <f t="shared" si="139"/>
        <v>0</v>
      </c>
      <c r="AC69" s="138" t="e">
        <f t="shared" si="140"/>
        <v>#DIV/0!</v>
      </c>
      <c r="AD69" s="31">
        <v>0.08</v>
      </c>
      <c r="AE69" s="127" t="e">
        <f t="shared" si="141"/>
        <v>#DIV/0!</v>
      </c>
    </row>
    <row r="70" spans="2:31" x14ac:dyDescent="0.2">
      <c r="B70" s="20" t="s">
        <v>80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2"/>
        <v>#DIV/0!</v>
      </c>
      <c r="R70" s="31">
        <v>0.1</v>
      </c>
      <c r="S70" s="119">
        <f t="shared" si="138"/>
        <v>0</v>
      </c>
      <c r="T70" s="119">
        <f t="shared" si="139"/>
        <v>0</v>
      </c>
      <c r="U70" s="119">
        <f t="shared" si="139"/>
        <v>0</v>
      </c>
      <c r="V70" s="119">
        <f t="shared" si="139"/>
        <v>0</v>
      </c>
      <c r="W70" s="119">
        <f t="shared" si="139"/>
        <v>0</v>
      </c>
      <c r="X70" s="119">
        <f t="shared" si="139"/>
        <v>0</v>
      </c>
      <c r="Y70" s="119">
        <f t="shared" si="139"/>
        <v>0</v>
      </c>
      <c r="Z70" s="119">
        <f t="shared" si="139"/>
        <v>0</v>
      </c>
      <c r="AA70" s="119">
        <f t="shared" si="139"/>
        <v>0</v>
      </c>
      <c r="AB70" s="119">
        <f t="shared" si="139"/>
        <v>0</v>
      </c>
      <c r="AC70" s="138" t="e">
        <f t="shared" si="140"/>
        <v>#DIV/0!</v>
      </c>
      <c r="AD70" s="31">
        <v>0.08</v>
      </c>
      <c r="AE70" s="127" t="e">
        <f t="shared" si="141"/>
        <v>#DIV/0!</v>
      </c>
    </row>
    <row r="71" spans="2:31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137"/>
      <c r="AD71" s="20"/>
      <c r="AE71" s="20"/>
    </row>
    <row r="72" spans="2:3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7"/>
      <c r="AD72" s="20"/>
      <c r="AE72" s="20"/>
    </row>
    <row r="73" spans="2:31" x14ac:dyDescent="0.2">
      <c r="B73" s="108" t="s">
        <v>244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3"/>
      <c r="R73" s="23"/>
      <c r="S73" s="122" t="s">
        <v>66</v>
      </c>
      <c r="T73" s="20"/>
      <c r="U73" s="20"/>
      <c r="V73" s="20"/>
      <c r="W73" s="20"/>
      <c r="X73" s="20"/>
      <c r="Y73" s="20"/>
      <c r="Z73" s="20"/>
      <c r="AA73" s="20"/>
      <c r="AB73" s="20"/>
      <c r="AC73" s="137"/>
      <c r="AD73" s="20"/>
      <c r="AE73" s="20"/>
    </row>
    <row r="74" spans="2:31" x14ac:dyDescent="0.2">
      <c r="B74" s="23" t="s">
        <v>283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5">
        <f>AVERAGE(G37:P38)</f>
        <v>41.322592961686034</v>
      </c>
      <c r="Q74" s="23"/>
      <c r="R74" s="23"/>
      <c r="S74" s="134"/>
      <c r="T74" s="20"/>
      <c r="U74" s="20"/>
      <c r="V74" s="20"/>
      <c r="W74" s="20"/>
      <c r="X74" s="20"/>
      <c r="Y74" s="20"/>
      <c r="Z74" s="20"/>
      <c r="AA74" s="20"/>
      <c r="AB74" s="20"/>
      <c r="AC74" s="137"/>
      <c r="AD74" s="20"/>
      <c r="AE74" s="20"/>
    </row>
    <row r="75" spans="2:31" x14ac:dyDescent="0.2">
      <c r="B75" s="20" t="s">
        <v>25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40">
        <f>S75+T75</f>
        <v>58.827000482688618</v>
      </c>
      <c r="S75" s="133">
        <f>PV($C$2, ($AB$4-$S$4), 0, -AB37)</f>
        <v>-9.598232947035374</v>
      </c>
      <c r="T75" s="133">
        <f>PV($C$2, ($AB$4-$S$4), 0, -AE37)</f>
        <v>68.425233429723988</v>
      </c>
      <c r="U75" s="20"/>
      <c r="V75" s="20"/>
      <c r="W75" s="20"/>
      <c r="X75" s="20"/>
      <c r="Y75" s="20"/>
      <c r="Z75" s="20"/>
      <c r="AA75" s="20"/>
      <c r="AB75" s="20"/>
      <c r="AC75" s="137"/>
      <c r="AD75" s="20"/>
      <c r="AE75" s="20"/>
    </row>
    <row r="76" spans="2:31" x14ac:dyDescent="0.2">
      <c r="B76" s="20" t="s">
        <v>273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0">
        <f t="shared" ref="R76:R92" si="143">S76+T76</f>
        <v>4.4610644363468293</v>
      </c>
      <c r="S76" s="133">
        <f>PV($C$2, ($AB$4-$S$4), 0, -AB38)</f>
        <v>0.64921465716578286</v>
      </c>
      <c r="T76" s="133">
        <f>PV($C$2, ($AB$4-$S$4), 0, -AE38)</f>
        <v>3.8118497791810459</v>
      </c>
      <c r="U76" s="20"/>
      <c r="V76" s="20"/>
      <c r="W76" s="20"/>
      <c r="X76" s="20"/>
      <c r="Y76" s="20"/>
      <c r="Z76" s="20"/>
      <c r="AA76" s="20"/>
      <c r="AB76" s="20"/>
      <c r="AC76" s="137"/>
      <c r="AD76" s="20"/>
      <c r="AE76" s="20"/>
    </row>
    <row r="77" spans="2:31" x14ac:dyDescent="0.2">
      <c r="B77" s="20" t="s">
        <v>274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0">
        <f t="shared" si="143"/>
        <v>0.29312763226348604</v>
      </c>
      <c r="S77" s="133">
        <f>PV($C$2, ($AB$4-$S$4), 0, -AB39)</f>
        <v>-6.8979057323864418E-2</v>
      </c>
      <c r="T77" s="133">
        <f>PV($C$2, ($AB$4-$S$4), 0, -AE39)</f>
        <v>0.36210668958735048</v>
      </c>
      <c r="U77" s="20"/>
      <c r="V77" s="20"/>
      <c r="W77" s="20"/>
      <c r="X77" s="20"/>
      <c r="Y77" s="20"/>
      <c r="Z77" s="20"/>
      <c r="AA77" s="20"/>
      <c r="AB77" s="20"/>
      <c r="AC77" s="137"/>
      <c r="AD77" s="20"/>
      <c r="AE77" s="20"/>
    </row>
    <row r="78" spans="2:31" x14ac:dyDescent="0.2">
      <c r="B78" s="20" t="s">
        <v>275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0">
        <f t="shared" si="143"/>
        <v>200.25643010270508</v>
      </c>
      <c r="S78" s="133">
        <f>PV($C$2, ($AB$4-$S$4), 0, -AB40)</f>
        <v>24.155475988413318</v>
      </c>
      <c r="T78" s="133">
        <f>PV($C$2, ($AB$4-$S$4), 0, -AE40)</f>
        <v>176.10095411429177</v>
      </c>
      <c r="U78" s="20"/>
      <c r="V78" s="20"/>
      <c r="W78" s="20"/>
      <c r="X78" s="20"/>
      <c r="Y78" s="20"/>
      <c r="Z78" s="20"/>
      <c r="AA78" s="20"/>
      <c r="AB78" s="20"/>
      <c r="AC78" s="137"/>
      <c r="AD78" s="20"/>
      <c r="AE78" s="20"/>
    </row>
    <row r="79" spans="2:31" x14ac:dyDescent="0.2">
      <c r="B79" s="20" t="s">
        <v>276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0">
        <f t="shared" si="143"/>
        <v>38.917998411498175</v>
      </c>
      <c r="S79" s="133">
        <f>PV($C$2, ($AB$4-$S$4), 0, -AB46)</f>
        <v>4.7748757015716299</v>
      </c>
      <c r="T79" s="133">
        <f>PV($C$2, ($AB$4-$S$4), 0, -AE46)</f>
        <v>34.143122709926544</v>
      </c>
      <c r="U79" s="20"/>
      <c r="V79" s="20"/>
      <c r="W79" s="20"/>
      <c r="X79" s="20"/>
      <c r="Y79" s="20"/>
      <c r="Z79" s="20"/>
      <c r="AA79" s="20"/>
      <c r="AB79" s="20"/>
      <c r="AC79" s="137"/>
      <c r="AD79" s="20"/>
      <c r="AE79" s="20"/>
    </row>
    <row r="80" spans="2:31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0"/>
      <c r="S80" s="133"/>
      <c r="T80" s="20"/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 x14ac:dyDescent="0.2">
      <c r="B81" s="20" t="s">
        <v>271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0">
        <f t="shared" si="143"/>
        <v>-436.01010537725313</v>
      </c>
      <c r="S81" s="133">
        <f>PV($C$2, ($AB$4-$S$4), 0, -AB42)</f>
        <v>-21.379450178790691</v>
      </c>
      <c r="T81" s="133">
        <f>PV($C$2, ($AB$4-$S$4), 0, -AE43)</f>
        <v>-414.63065519846242</v>
      </c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 x14ac:dyDescent="0.2">
      <c r="B82" s="20" t="s">
        <v>272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>
        <f t="shared" si="143"/>
        <v>86.889809568848733</v>
      </c>
      <c r="S82" s="133">
        <f>PV($C$2, ($AB$4-$S$4), 0, -AB43)</f>
        <v>-54.349410783794248</v>
      </c>
      <c r="T82" s="133">
        <f>PV($C$2, ($AB$4-$S$4), 0, -AE44)</f>
        <v>141.23922035264297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 x14ac:dyDescent="0.2">
      <c r="B83" s="20" t="s">
        <v>277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>
        <f t="shared" si="143"/>
        <v>-19.156873334312621</v>
      </c>
      <c r="S83" s="133">
        <f>PV($C$2, ($AB$4-$S$4), 0, -AB44)</f>
        <v>-19.156873334312621</v>
      </c>
      <c r="T83" s="133">
        <f>PV($C$2, ($AB$4-$S$4), 0, -AE45)</f>
        <v>0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 x14ac:dyDescent="0.2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/>
      <c r="S84" s="133"/>
      <c r="T84" s="20"/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 x14ac:dyDescent="0.2">
      <c r="B85" s="20" t="s">
        <v>249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>
        <f t="shared" si="143"/>
        <v>35.343497081897652</v>
      </c>
      <c r="S85" s="133">
        <f>PV($C$2, ($AB$4-$S$4), 0, -AB49)</f>
        <v>34.791513917423913</v>
      </c>
      <c r="T85" s="133">
        <f>PV($C$2, ($AB$4-$S$4), 0, -AE47)</f>
        <v>0.55198316447374174</v>
      </c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 x14ac:dyDescent="0.2">
      <c r="B86" s="20" t="s">
        <v>250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>
        <f t="shared" si="143"/>
        <v>250.25789879585022</v>
      </c>
      <c r="S86" s="133">
        <f>PV($C$2, ($AB$4-$S$4), 0, -AB50)</f>
        <v>-2.0669191398329461</v>
      </c>
      <c r="T86" s="133">
        <f>PV($C$2, ($AB$4-$S$4), 0, -AE49)</f>
        <v>252.32481793568317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/>
      <c r="S87" s="133"/>
      <c r="T87" s="133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296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 t="shared" ref="R88" si="144">S88+T88</f>
        <v>8455.0073562439138</v>
      </c>
      <c r="S88" s="133">
        <f>PV($C$2, ($AB$4-$S$4), 0, -AB12)</f>
        <v>848.63865844032557</v>
      </c>
      <c r="T88" s="133">
        <f>PV($C$2, ($AB$4-$S$4), 0, -AE12)</f>
        <v>7606.3686978035885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297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>S89+T89</f>
        <v>47.572201408000424</v>
      </c>
      <c r="S89" s="140">
        <f>S88/P34</f>
        <v>4.774875701571629</v>
      </c>
      <c r="T89" s="140">
        <f>T88/P34</f>
        <v>42.797325706428794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/>
      <c r="S90" s="140"/>
      <c r="T90" s="140"/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108" t="s">
        <v>300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33"/>
      <c r="T91" s="133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293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143"/>
        <v>0</v>
      </c>
      <c r="S92" s="133">
        <f>PV($C$2, ($AB$4-$S$4), 0, -AB54)+PV($C$2, ($AA$4-$S$4), 0, -AB54)+PV($C$2, ($Z$4-$S$4), 0, -AB54)+PV($C$2, ($Y$4-$S$4), 0, -AB54)+PV($C$2, ($X$4-$S$4), 0, -AB54)+PV($C$2, ($W$4-$S$4), 0, -AB54)+PV($C$2, ($V$4-$S$4), 0, -AB54)+PV($C$2, ($U$4-$S$4), 0, -AB54)+PV($C$2, ($T$4-$S$4), 0, -AB54)+PV($C$2, ($S$4-$S$4), 0, -AB54)</f>
        <v>0</v>
      </c>
      <c r="T92" s="133">
        <f>PV($C$2, ($AB$4-$S$4), 0, -AE54)</f>
        <v>0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133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 t="s">
        <v>289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ref="R94:R97" si="145">S94+T94</f>
        <v>0</v>
      </c>
      <c r="S94" s="133">
        <f>PV($C$2, ($AB$4-$S$4), 0, -AB56)+PV($C$2, ($AA$4-$S$4), 0, -AB56)+PV($C$2, ($Z$4-$S$4), 0, -AB56)+PV($C$2, ($Y$4-$S$4), 0, -AB56)+PV($C$2, ($X$4-$S$4), 0, -AB56)+PV($C$2, ($W$4-$S$4), 0, -AB56)+PV($C$2, ($V$4-$S$4), 0, -AB56)+PV($C$2, ($U$4-$S$4), 0, -AB56)+PV($C$2, ($T$4-$S$4), 0, -AB56)+PV($C$2, ($S$4-$S$4), 0, -AB56)</f>
        <v>0</v>
      </c>
      <c r="T94" s="133">
        <f>PV($C$2, ($AB$4-$S$4), 0, -AE56)</f>
        <v>0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290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145"/>
        <v>0</v>
      </c>
      <c r="S95" s="133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0</v>
      </c>
      <c r="T95" s="133">
        <f>PV($C$2, ($AB$4-$S$4), 0, -AE57)</f>
        <v>0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291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145"/>
        <v>0</v>
      </c>
      <c r="S96" s="133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0</v>
      </c>
      <c r="T96" s="133">
        <f>PV($C$2, ($AB$4-$S$4), 0, -AE58)</f>
        <v>0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 t="s">
        <v>292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 t="shared" si="145"/>
        <v>0</v>
      </c>
      <c r="S97" s="133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0</v>
      </c>
      <c r="T97" s="133">
        <f>PV($C$2, ($AB$4-$S$4), 0, -AE59)</f>
        <v>0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/>
      <c r="S98" s="133"/>
      <c r="T98" s="133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301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ref="R99" si="146">S99+T99</f>
        <v>0</v>
      </c>
      <c r="S99" s="133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0</v>
      </c>
      <c r="T99" s="133">
        <f>PV($C$2, ($AB$4-$S$4), 0, -AE60)</f>
        <v>0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21"/>
      <c r="T101" s="20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108" t="s">
        <v>251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 t="s">
        <v>204</v>
      </c>
      <c r="C103" s="22">
        <v>14</v>
      </c>
      <c r="D103" s="22">
        <v>14</v>
      </c>
      <c r="E103" s="22">
        <v>14</v>
      </c>
      <c r="F103" s="22">
        <v>14</v>
      </c>
      <c r="G103" s="22">
        <v>14</v>
      </c>
      <c r="H103" s="22">
        <v>14250</v>
      </c>
      <c r="I103" s="22">
        <v>14</v>
      </c>
      <c r="J103" s="22">
        <v>14</v>
      </c>
      <c r="K103" s="22">
        <v>14</v>
      </c>
      <c r="L103" s="22">
        <v>14</v>
      </c>
      <c r="M103" s="22">
        <v>14</v>
      </c>
      <c r="N103" s="22">
        <v>14</v>
      </c>
      <c r="O103" s="22">
        <v>14</v>
      </c>
      <c r="P103" s="22">
        <v>14</v>
      </c>
      <c r="Q103" s="118">
        <f t="shared" ref="Q103:Q107" si="147">((P103/G103)^(1/($H$3-$H$2) ))-1</f>
        <v>0</v>
      </c>
      <c r="R103" s="31">
        <v>0.1</v>
      </c>
      <c r="S103" s="119">
        <f t="shared" ref="S103" si="148">P103*(1+$R103)</f>
        <v>15.400000000000002</v>
      </c>
      <c r="T103" s="119">
        <f t="shared" ref="T103:AB103" si="149">S103*(1+$R103)</f>
        <v>16.940000000000005</v>
      </c>
      <c r="U103" s="119">
        <f t="shared" si="149"/>
        <v>18.634000000000007</v>
      </c>
      <c r="V103" s="119">
        <f t="shared" si="149"/>
        <v>20.49740000000001</v>
      </c>
      <c r="W103" s="119">
        <f t="shared" si="149"/>
        <v>22.547140000000013</v>
      </c>
      <c r="X103" s="119">
        <f t="shared" si="149"/>
        <v>24.801854000000016</v>
      </c>
      <c r="Y103" s="119">
        <f t="shared" si="149"/>
        <v>27.28203940000002</v>
      </c>
      <c r="Z103" s="119">
        <f t="shared" si="149"/>
        <v>30.010243340000024</v>
      </c>
      <c r="AA103" s="119">
        <f t="shared" si="149"/>
        <v>33.011267674000031</v>
      </c>
      <c r="AB103" s="119">
        <f t="shared" si="149"/>
        <v>36.312394441400038</v>
      </c>
      <c r="AC103" s="138">
        <f t="shared" ref="AC103:AC107" si="150">((AB103/G103)^(1/($AB$4-$H$2) ))-1</f>
        <v>5.1442733050422573E-2</v>
      </c>
      <c r="AD103" s="31">
        <v>0.08</v>
      </c>
      <c r="AE103" s="127">
        <f t="shared" ref="AE103:AE108" si="151">(AB103*(1+AC103))/($C$2-AD103)</f>
        <v>272.7171661076473</v>
      </c>
    </row>
    <row r="104" spans="2:31" x14ac:dyDescent="0.2">
      <c r="B104" s="20" t="s">
        <v>42</v>
      </c>
      <c r="C104" s="25" t="e">
        <f t="shared" ref="C104:P104" si="152">C103/C37</f>
        <v>#DIV/0!</v>
      </c>
      <c r="D104" s="25" t="e">
        <f t="shared" si="152"/>
        <v>#DIV/0!</v>
      </c>
      <c r="E104" s="25" t="e">
        <f t="shared" si="152"/>
        <v>#DIV/0!</v>
      </c>
      <c r="F104" s="25" t="e">
        <f t="shared" si="152"/>
        <v>#DIV/0!</v>
      </c>
      <c r="G104" s="25">
        <f t="shared" si="152"/>
        <v>0.23475020701076457</v>
      </c>
      <c r="H104" s="25">
        <f t="shared" si="152"/>
        <v>339.24538507887814</v>
      </c>
      <c r="I104" s="25">
        <f t="shared" si="152"/>
        <v>0.52924314942407824</v>
      </c>
      <c r="J104" s="25">
        <f t="shared" si="152"/>
        <v>0.46574930619796484</v>
      </c>
      <c r="K104" s="25">
        <f t="shared" si="152"/>
        <v>2.0603254190630684</v>
      </c>
      <c r="L104" s="25">
        <f t="shared" si="152"/>
        <v>4.8907128034136216</v>
      </c>
      <c r="M104" s="25">
        <f t="shared" si="152"/>
        <v>-2.2019944833439422</v>
      </c>
      <c r="N104" s="25">
        <f t="shared" si="152"/>
        <v>-1.8894668499267211</v>
      </c>
      <c r="O104" s="25">
        <f t="shared" si="152"/>
        <v>-5.2650712033686702</v>
      </c>
      <c r="P104" s="25">
        <f t="shared" si="152"/>
        <v>-0.52593954766434159</v>
      </c>
      <c r="Q104" s="118" t="e">
        <f t="shared" si="147"/>
        <v>#NUM!</v>
      </c>
      <c r="R104" s="128"/>
      <c r="S104" s="119">
        <f t="shared" ref="S104:AB104" si="153">S103/S37</f>
        <v>-0.53567916891738498</v>
      </c>
      <c r="T104" s="119">
        <f t="shared" si="153"/>
        <v>-0.5455991535269662</v>
      </c>
      <c r="U104" s="119">
        <f t="shared" si="153"/>
        <v>-0.55570284155524341</v>
      </c>
      <c r="V104" s="119">
        <f t="shared" si="153"/>
        <v>-0.56599363491737753</v>
      </c>
      <c r="W104" s="119">
        <f t="shared" si="153"/>
        <v>-0.5764749985269586</v>
      </c>
      <c r="X104" s="119">
        <f t="shared" si="153"/>
        <v>-0.58715046146264305</v>
      </c>
      <c r="Y104" s="119">
        <f t="shared" si="153"/>
        <v>-0.5980236181563956</v>
      </c>
      <c r="Z104" s="119">
        <f t="shared" si="153"/>
        <v>-0.60909812960373622</v>
      </c>
      <c r="AA104" s="119">
        <f t="shared" si="153"/>
        <v>-0.62037772459639806</v>
      </c>
      <c r="AB104" s="119">
        <f t="shared" si="153"/>
        <v>-0.63186620097781288</v>
      </c>
      <c r="AC104" s="138">
        <f t="shared" si="150"/>
        <v>-2.0534952611190942</v>
      </c>
      <c r="AD104" s="31">
        <v>0.08</v>
      </c>
      <c r="AE104" s="127">
        <f t="shared" si="151"/>
        <v>4.7547717742246496</v>
      </c>
    </row>
    <row r="105" spans="2:31" x14ac:dyDescent="0.2">
      <c r="B105" s="20" t="s">
        <v>259</v>
      </c>
      <c r="C105" s="25" t="e">
        <f t="shared" ref="C105:P105" si="154">C103/C39</f>
        <v>#DIV/0!</v>
      </c>
      <c r="D105" s="25" t="e">
        <f t="shared" si="154"/>
        <v>#DIV/0!</v>
      </c>
      <c r="E105" s="25" t="e">
        <f t="shared" si="154"/>
        <v>#DIV/0!</v>
      </c>
      <c r="F105" s="25" t="e">
        <f t="shared" si="154"/>
        <v>#DIV/0!</v>
      </c>
      <c r="G105" s="25">
        <f t="shared" si="154"/>
        <v>9.7470131507320312E-2</v>
      </c>
      <c r="H105" s="25">
        <f t="shared" si="154"/>
        <v>176.35582180078589</v>
      </c>
      <c r="I105" s="25">
        <f t="shared" si="154"/>
        <v>0.16620487176416662</v>
      </c>
      <c r="J105" s="25">
        <f t="shared" si="154"/>
        <v>0.12898907637570092</v>
      </c>
      <c r="K105" s="25">
        <f t="shared" si="154"/>
        <v>0.26896056059653223</v>
      </c>
      <c r="L105" s="25">
        <f t="shared" si="154"/>
        <v>0.26809550042627267</v>
      </c>
      <c r="M105" s="25">
        <f t="shared" si="154"/>
        <v>0.34735528456969084</v>
      </c>
      <c r="N105" s="25">
        <f t="shared" si="154"/>
        <v>0.40460967074709575</v>
      </c>
      <c r="O105" s="25">
        <f t="shared" si="154"/>
        <v>0.51565372189075653</v>
      </c>
      <c r="P105" s="25">
        <f t="shared" si="154"/>
        <v>-73.182941176470578</v>
      </c>
      <c r="Q105" s="118" t="e">
        <f t="shared" si="147"/>
        <v>#NUM!</v>
      </c>
      <c r="R105" s="128"/>
      <c r="S105" s="119">
        <f t="shared" ref="S105:AB105" si="155">S103/S39</f>
        <v>-74.538180827886706</v>
      </c>
      <c r="T105" s="119">
        <f t="shared" si="155"/>
        <v>-75.918517509884623</v>
      </c>
      <c r="U105" s="119">
        <f t="shared" si="155"/>
        <v>-77.324415982289892</v>
      </c>
      <c r="V105" s="119">
        <f t="shared" si="155"/>
        <v>-78.756349611591574</v>
      </c>
      <c r="W105" s="119">
        <f t="shared" si="155"/>
        <v>-80.214800530324752</v>
      </c>
      <c r="X105" s="119">
        <f t="shared" si="155"/>
        <v>-81.700259799404847</v>
      </c>
      <c r="Y105" s="119">
        <f t="shared" si="155"/>
        <v>-83.213227573467904</v>
      </c>
      <c r="Z105" s="119">
        <f t="shared" si="155"/>
        <v>-84.754213269272867</v>
      </c>
      <c r="AA105" s="119">
        <f t="shared" si="155"/>
        <v>-86.323735737222378</v>
      </c>
      <c r="AB105" s="119">
        <f t="shared" si="155"/>
        <v>-87.922323436059827</v>
      </c>
      <c r="AC105" s="138">
        <f t="shared" si="150"/>
        <v>-2.4306661276798343</v>
      </c>
      <c r="AD105" s="31">
        <v>0.08</v>
      </c>
      <c r="AE105" s="127">
        <f t="shared" si="151"/>
        <v>898.48207147772598</v>
      </c>
    </row>
    <row r="106" spans="2:31" x14ac:dyDescent="0.2">
      <c r="B106" s="20" t="s">
        <v>260</v>
      </c>
      <c r="C106" s="129" t="e">
        <f t="shared" ref="C106:P106" si="156">C103/C48</f>
        <v>#DIV/0!</v>
      </c>
      <c r="D106" s="129" t="e">
        <f t="shared" si="156"/>
        <v>#DIV/0!</v>
      </c>
      <c r="E106" s="129" t="e">
        <f t="shared" si="156"/>
        <v>#DIV/0!</v>
      </c>
      <c r="F106" s="129" t="e">
        <f t="shared" si="156"/>
        <v>#DIV/0!</v>
      </c>
      <c r="G106" s="129">
        <f t="shared" si="156"/>
        <v>0.41321510992347871</v>
      </c>
      <c r="H106" s="129">
        <f t="shared" si="156"/>
        <v>765.73488501483678</v>
      </c>
      <c r="I106" s="129">
        <f t="shared" si="156"/>
        <v>2.3732311320754715</v>
      </c>
      <c r="J106" s="129">
        <f t="shared" si="156"/>
        <v>0.31775759918584379</v>
      </c>
      <c r="K106" s="129">
        <f t="shared" si="156"/>
        <v>0.47856279986389799</v>
      </c>
      <c r="L106" s="129">
        <f t="shared" si="156"/>
        <v>2.4590890439064421</v>
      </c>
      <c r="M106" s="25">
        <f t="shared" si="156"/>
        <v>0.83677160003225159</v>
      </c>
      <c r="N106" s="25">
        <f t="shared" si="156"/>
        <v>0.68117223537785565</v>
      </c>
      <c r="O106" s="25">
        <f t="shared" si="156"/>
        <v>0.91152604836375761</v>
      </c>
      <c r="P106" s="25">
        <f t="shared" si="156"/>
        <v>1.2472280701754386</v>
      </c>
      <c r="Q106" s="118">
        <f t="shared" si="147"/>
        <v>0.14807751216521425</v>
      </c>
      <c r="R106" s="128"/>
      <c r="S106" s="119">
        <f t="shared" ref="S106:AB106" si="157">S103/S48</f>
        <v>1.2472280701754386</v>
      </c>
      <c r="T106" s="119">
        <f t="shared" si="157"/>
        <v>1.2472280701754388</v>
      </c>
      <c r="U106" s="119">
        <f t="shared" si="157"/>
        <v>1.247228070175439</v>
      </c>
      <c r="V106" s="119">
        <f t="shared" si="157"/>
        <v>1.247228070175439</v>
      </c>
      <c r="W106" s="119">
        <f t="shared" si="157"/>
        <v>1.247228070175439</v>
      </c>
      <c r="X106" s="119">
        <f t="shared" si="157"/>
        <v>1.247228070175439</v>
      </c>
      <c r="Y106" s="119">
        <f t="shared" si="157"/>
        <v>1.247228070175439</v>
      </c>
      <c r="Z106" s="119">
        <f t="shared" si="157"/>
        <v>1.247228070175439</v>
      </c>
      <c r="AA106" s="119">
        <f t="shared" si="157"/>
        <v>1.247228070175439</v>
      </c>
      <c r="AB106" s="119">
        <f t="shared" si="157"/>
        <v>1.247228070175439</v>
      </c>
      <c r="AC106" s="138">
        <f t="shared" si="150"/>
        <v>5.9866184286888613E-2</v>
      </c>
      <c r="AD106" s="31">
        <v>0.08</v>
      </c>
      <c r="AE106" s="127">
        <f t="shared" si="151"/>
        <v>9.4421061119453</v>
      </c>
    </row>
    <row r="107" spans="2:31" x14ac:dyDescent="0.2">
      <c r="B107" s="20" t="s">
        <v>261</v>
      </c>
      <c r="C107" s="129" t="e">
        <f t="shared" ref="C107:P107" si="158">C103/C50</f>
        <v>#DIV/0!</v>
      </c>
      <c r="D107" s="129" t="e">
        <f t="shared" si="158"/>
        <v>#DIV/0!</v>
      </c>
      <c r="E107" s="129" t="e">
        <f t="shared" si="158"/>
        <v>#DIV/0!</v>
      </c>
      <c r="F107" s="129" t="e">
        <f t="shared" si="158"/>
        <v>#DIV/0!</v>
      </c>
      <c r="G107" s="129">
        <f t="shared" si="158"/>
        <v>7.6794582392776534E-2</v>
      </c>
      <c r="H107" s="129">
        <f t="shared" si="158"/>
        <v>125.11643939393939</v>
      </c>
      <c r="I107" s="129">
        <f t="shared" si="158"/>
        <v>0.15821540880503143</v>
      </c>
      <c r="J107" s="129">
        <f t="shared" si="158"/>
        <v>8.7560869565217386E-2</v>
      </c>
      <c r="K107" s="129">
        <f t="shared" si="158"/>
        <v>0.20478768885592472</v>
      </c>
      <c r="L107" s="129">
        <f t="shared" si="158"/>
        <v>0.20677560073937154</v>
      </c>
      <c r="M107" s="25">
        <f t="shared" si="158"/>
        <v>0.27469664484853978</v>
      </c>
      <c r="N107" s="25">
        <f t="shared" si="158"/>
        <v>0.36628044768231804</v>
      </c>
      <c r="O107" s="25">
        <f t="shared" si="158"/>
        <v>0.75041996278390832</v>
      </c>
      <c r="P107" s="25">
        <f t="shared" si="158"/>
        <v>-2.9342216981132077</v>
      </c>
      <c r="Q107" s="118" t="e">
        <f t="shared" si="147"/>
        <v>#NUM!</v>
      </c>
      <c r="R107" s="128"/>
      <c r="S107" s="119">
        <f t="shared" ref="S107:AB107" si="159">S103/S50</f>
        <v>-2.9342216981132077</v>
      </c>
      <c r="T107" s="119">
        <f t="shared" si="159"/>
        <v>-2.9342216981132081</v>
      </c>
      <c r="U107" s="119">
        <f t="shared" si="159"/>
        <v>-2.9342216981132077</v>
      </c>
      <c r="V107" s="119">
        <f t="shared" si="159"/>
        <v>-2.9342216981132077</v>
      </c>
      <c r="W107" s="119">
        <f t="shared" si="159"/>
        <v>-2.9342216981132081</v>
      </c>
      <c r="X107" s="119">
        <f t="shared" si="159"/>
        <v>-2.9342216981132077</v>
      </c>
      <c r="Y107" s="119">
        <f t="shared" si="159"/>
        <v>-2.9342216981132077</v>
      </c>
      <c r="Z107" s="119">
        <f t="shared" si="159"/>
        <v>-2.9342216981132081</v>
      </c>
      <c r="AA107" s="119">
        <f t="shared" si="159"/>
        <v>-2.9342216981132081</v>
      </c>
      <c r="AB107" s="119">
        <f t="shared" si="159"/>
        <v>-2.9342216981132081</v>
      </c>
      <c r="AC107" s="138">
        <f t="shared" si="150"/>
        <v>-2.21135574173206</v>
      </c>
      <c r="AD107" s="31">
        <v>0.08</v>
      </c>
      <c r="AE107" s="127">
        <f t="shared" si="151"/>
        <v>25.388473582315925</v>
      </c>
    </row>
    <row r="108" spans="2:31" x14ac:dyDescent="0.2">
      <c r="B108" s="20" t="s">
        <v>284</v>
      </c>
      <c r="C108" s="129" t="e">
        <f>C104/C62</f>
        <v>#DIV/0!</v>
      </c>
      <c r="D108" s="129" t="e">
        <f>D104/D62</f>
        <v>#DIV/0!</v>
      </c>
      <c r="E108" s="129" t="e">
        <f>E104/E62</f>
        <v>#DIV/0!</v>
      </c>
      <c r="F108" s="129" t="e">
        <f>F104/F62</f>
        <v>#DIV/0!</v>
      </c>
      <c r="G108" s="135">
        <f t="shared" ref="G108:P108" si="160">G103/G44</f>
        <v>0.22283356258596973</v>
      </c>
      <c r="H108" s="135">
        <f t="shared" si="160"/>
        <v>243.86768585604023</v>
      </c>
      <c r="I108" s="135">
        <f t="shared" si="160"/>
        <v>0.17608945781946561</v>
      </c>
      <c r="J108" s="135">
        <f t="shared" si="160"/>
        <v>-0.24443055412269471</v>
      </c>
      <c r="K108" s="135">
        <f t="shared" si="160"/>
        <v>-4.2061255619781805</v>
      </c>
      <c r="L108" s="135">
        <f t="shared" si="160"/>
        <v>0.39000390472471685</v>
      </c>
      <c r="M108" s="135">
        <f t="shared" si="160"/>
        <v>1.1656931964056478</v>
      </c>
      <c r="N108" s="135">
        <f t="shared" si="160"/>
        <v>-3.0528433838414979</v>
      </c>
      <c r="O108" s="135">
        <f t="shared" si="160"/>
        <v>0.38546695006103732</v>
      </c>
      <c r="P108" s="135">
        <f t="shared" si="160"/>
        <v>-0.19881901717938472</v>
      </c>
      <c r="Q108" s="118" t="e">
        <f t="shared" ref="Q108" si="161">((P108/G108)^(1/($H$3-$H$2) ))-1</f>
        <v>#NUM!</v>
      </c>
      <c r="R108" s="128"/>
      <c r="S108" s="135">
        <f t="shared" ref="S108:AB108" si="162">S103/S44</f>
        <v>-0.2082865894260221</v>
      </c>
      <c r="T108" s="135">
        <f t="shared" si="162"/>
        <v>-0.21820499844630889</v>
      </c>
      <c r="U108" s="135">
        <f t="shared" si="162"/>
        <v>-0.22859571265803788</v>
      </c>
      <c r="V108" s="135">
        <f t="shared" si="162"/>
        <v>-0.23948122278461109</v>
      </c>
      <c r="W108" s="135">
        <f t="shared" si="162"/>
        <v>-0.25088509053625929</v>
      </c>
      <c r="X108" s="135">
        <f t="shared" si="162"/>
        <v>-0.2628319996094145</v>
      </c>
      <c r="Y108" s="135">
        <f t="shared" si="162"/>
        <v>-0.27534780911462475</v>
      </c>
      <c r="Z108" s="135">
        <f t="shared" si="162"/>
        <v>-0.28845960954865446</v>
      </c>
      <c r="AA108" s="135">
        <f t="shared" si="162"/>
        <v>-0.30219578143192377</v>
      </c>
      <c r="AB108" s="135">
        <f t="shared" si="162"/>
        <v>-0.31658605673820589</v>
      </c>
      <c r="AC108" s="138">
        <f t="shared" ref="AC108" si="163">((AB108/G108)^(1/($AB$4-$H$2) ))-1</f>
        <v>-2.018654490942966</v>
      </c>
      <c r="AD108" s="31">
        <v>0.08</v>
      </c>
      <c r="AE108" s="127">
        <f t="shared" si="151"/>
        <v>2.3035129176164144</v>
      </c>
    </row>
    <row r="109" spans="2:3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</sheetData>
  <pageMargins left="0.7" right="0.7" top="0.75" bottom="0.75" header="0.3" footer="0.3"/>
  <pageSetup orientation="portrait" r:id="rId1"/>
  <ignoredErrors>
    <ignoredError sqref="C104 S64:AB70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36"/>
  <sheetViews>
    <sheetView topLeftCell="D1" zoomScale="80" zoomScaleNormal="80" workbookViewId="0">
      <selection activeCell="O13" sqref="O1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4" width="9.140625" style="6"/>
    <col min="15" max="15" width="15.7109375" style="6" bestFit="1" customWidth="1"/>
    <col min="16" max="16384" width="9.140625" style="6"/>
  </cols>
  <sheetData>
    <row r="3" spans="3:15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15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15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15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15" x14ac:dyDescent="0.3">
      <c r="C7" s="6" t="s">
        <v>4</v>
      </c>
      <c r="D7" s="8">
        <v>141489.62</v>
      </c>
      <c r="E7" s="9"/>
      <c r="F7" s="9"/>
      <c r="G7" s="9"/>
      <c r="H7" s="9"/>
      <c r="I7" s="9"/>
      <c r="O7" s="9">
        <v>987074059</v>
      </c>
    </row>
    <row r="8" spans="3:15" x14ac:dyDescent="0.3">
      <c r="C8" s="6" t="s">
        <v>2</v>
      </c>
      <c r="D8" s="8">
        <v>0</v>
      </c>
      <c r="E8" s="9"/>
      <c r="F8" s="9"/>
      <c r="G8" s="9"/>
      <c r="H8" s="9"/>
      <c r="I8" s="9"/>
      <c r="O8" s="9">
        <v>789685964</v>
      </c>
    </row>
    <row r="9" spans="3:15" x14ac:dyDescent="0.3">
      <c r="C9" s="6" t="s">
        <v>19</v>
      </c>
      <c r="D9" s="8">
        <v>0</v>
      </c>
      <c r="E9" s="9"/>
      <c r="F9" s="9"/>
      <c r="G9" s="9"/>
      <c r="H9" s="9"/>
      <c r="I9" s="9"/>
      <c r="O9" s="9">
        <v>605624</v>
      </c>
    </row>
    <row r="10" spans="3:15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15" x14ac:dyDescent="0.3">
      <c r="C11" s="6" t="s">
        <v>78</v>
      </c>
      <c r="D11" s="15">
        <v>125588.57</v>
      </c>
      <c r="E11" s="9"/>
      <c r="F11" s="9"/>
      <c r="G11" s="9"/>
      <c r="H11" s="9"/>
      <c r="I11" s="9"/>
      <c r="O11" s="100">
        <f>SUM(O7:O10)</f>
        <v>1777365647</v>
      </c>
    </row>
    <row r="12" spans="3:15" x14ac:dyDescent="0.3">
      <c r="C12" s="6" t="s">
        <v>79</v>
      </c>
      <c r="D12" s="15">
        <v>90330.39</v>
      </c>
      <c r="E12" s="9"/>
      <c r="F12" s="9"/>
      <c r="G12" s="9"/>
      <c r="H12" s="9"/>
      <c r="I12" s="9"/>
      <c r="O12" s="6">
        <f>O11/10000000</f>
        <v>177.7365647</v>
      </c>
    </row>
    <row r="13" spans="3:15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15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15" x14ac:dyDescent="0.3">
      <c r="D15" s="9"/>
      <c r="E15" s="9"/>
      <c r="F15" s="9"/>
      <c r="G15" s="9"/>
      <c r="H15" s="9"/>
      <c r="I15" s="9"/>
    </row>
    <row r="16" spans="3:15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48" t="s">
        <v>27</v>
      </c>
      <c r="K5" s="148"/>
      <c r="M5" s="148" t="s">
        <v>65</v>
      </c>
      <c r="N5" s="148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48" t="s">
        <v>36</v>
      </c>
      <c r="K14" s="148"/>
      <c r="L14" s="148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48" t="s">
        <v>27</v>
      </c>
      <c r="S5" s="148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48" t="s">
        <v>36</v>
      </c>
      <c r="S14" s="148"/>
      <c r="T14" s="148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48" t="s">
        <v>27</v>
      </c>
      <c r="C2" s="148"/>
      <c r="E2" s="148" t="s">
        <v>65</v>
      </c>
      <c r="F2" s="148"/>
      <c r="H2" s="152" t="s">
        <v>36</v>
      </c>
      <c r="I2" s="153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49" t="s">
        <v>68</v>
      </c>
      <c r="E10" s="150"/>
      <c r="F10" s="150"/>
      <c r="G10" s="150"/>
      <c r="H10" s="151"/>
      <c r="I10" s="149" t="s">
        <v>72</v>
      </c>
      <c r="J10" s="150"/>
      <c r="K10" s="150"/>
      <c r="L10" s="151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2013-05-31T09:04:12Z</dcterms:modified>
</cp:coreProperties>
</file>
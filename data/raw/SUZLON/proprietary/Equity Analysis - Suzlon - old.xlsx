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5621"/>
</workbook>
</file>

<file path=xl/calcChain.xml><?xml version="1.0" encoding="utf-8"?>
<calcChain xmlns="http://schemas.openxmlformats.org/spreadsheetml/2006/main">
  <c r="P26" i="18" l="1"/>
  <c r="C18" i="15" l="1"/>
  <c r="AC72" i="18"/>
  <c r="AC48" i="18"/>
  <c r="AC49" i="18"/>
  <c r="AC50" i="18"/>
  <c r="AC51" i="18"/>
  <c r="AC52" i="18"/>
  <c r="AC53" i="18"/>
  <c r="AC47" i="18"/>
  <c r="AC41" i="18"/>
  <c r="AC42" i="18"/>
  <c r="AC43" i="18"/>
  <c r="AC44" i="18"/>
  <c r="AC40" i="18"/>
  <c r="AC37" i="18"/>
  <c r="AC38" i="18"/>
  <c r="AC36" i="18"/>
  <c r="AC32" i="18"/>
  <c r="AC33" i="18"/>
  <c r="AC34" i="18"/>
  <c r="AC28" i="18"/>
  <c r="AC24" i="18"/>
  <c r="AC20" i="18"/>
  <c r="AC21" i="18"/>
  <c r="AC22" i="18"/>
  <c r="AC19" i="18"/>
  <c r="AC17" i="18"/>
  <c r="AC11" i="18"/>
  <c r="AC12" i="18"/>
  <c r="AC13" i="18"/>
  <c r="AC14" i="18"/>
  <c r="AC15" i="18"/>
  <c r="T10" i="18"/>
  <c r="U10" i="18" s="1"/>
  <c r="V10" i="18" s="1"/>
  <c r="W10" i="18" s="1"/>
  <c r="X10" i="18" s="1"/>
  <c r="Y10" i="18" s="1"/>
  <c r="Z10" i="18" s="1"/>
  <c r="AA10" i="18" s="1"/>
  <c r="AB10" i="18" s="1"/>
  <c r="AC10" i="18" s="1"/>
  <c r="S10" i="18"/>
  <c r="AC8" i="18"/>
  <c r="AC7" i="18"/>
  <c r="S38" i="18"/>
  <c r="T38" i="18"/>
  <c r="U38" i="18" s="1"/>
  <c r="V38" i="18" s="1"/>
  <c r="W38" i="18" s="1"/>
  <c r="X38" i="18" s="1"/>
  <c r="Y38" i="18" s="1"/>
  <c r="Z38" i="18" s="1"/>
  <c r="AA38" i="18" s="1"/>
  <c r="AB38" i="18" s="1"/>
  <c r="S65" i="18" s="1"/>
  <c r="Q48" i="18"/>
  <c r="Q49" i="18"/>
  <c r="Q50" i="18"/>
  <c r="Q51" i="18"/>
  <c r="Q52" i="18"/>
  <c r="Q53" i="18"/>
  <c r="Q47" i="18"/>
  <c r="Q37" i="18"/>
  <c r="Q36" i="18"/>
  <c r="Q34" i="18"/>
  <c r="Q33" i="18"/>
  <c r="Q32" i="18"/>
  <c r="Q28" i="18"/>
  <c r="Q26" i="18"/>
  <c r="Q24" i="18"/>
  <c r="Q22" i="18"/>
  <c r="Q21" i="18"/>
  <c r="Q20" i="18"/>
  <c r="Q19" i="18"/>
  <c r="Q17" i="18"/>
  <c r="Q15" i="18"/>
  <c r="Q14" i="18"/>
  <c r="Q13" i="18"/>
  <c r="Q12" i="18"/>
  <c r="Q11" i="18"/>
  <c r="Q10" i="18"/>
  <c r="Q8" i="18"/>
  <c r="Q7" i="18"/>
  <c r="S17" i="18"/>
  <c r="T17" i="18"/>
  <c r="U17" i="18" s="1"/>
  <c r="V17" i="18" s="1"/>
  <c r="W17" i="18" s="1"/>
  <c r="X17" i="18" s="1"/>
  <c r="Y17" i="18" s="1"/>
  <c r="Z17" i="18" s="1"/>
  <c r="AA17" i="18" s="1"/>
  <c r="AB17" i="18" s="1"/>
  <c r="S19" i="18"/>
  <c r="T19" i="18" s="1"/>
  <c r="U19" i="18" s="1"/>
  <c r="V19" i="18" s="1"/>
  <c r="W19" i="18" s="1"/>
  <c r="X19" i="18" s="1"/>
  <c r="Y19" i="18" s="1"/>
  <c r="Z19" i="18" s="1"/>
  <c r="AA19" i="18" s="1"/>
  <c r="AB19" i="18" s="1"/>
  <c r="S20" i="18"/>
  <c r="T20" i="18" s="1"/>
  <c r="U20" i="18" s="1"/>
  <c r="V20" i="18" s="1"/>
  <c r="W20" i="18" s="1"/>
  <c r="X20" i="18" s="1"/>
  <c r="Y20" i="18" s="1"/>
  <c r="Z20" i="18" s="1"/>
  <c r="AA20" i="18" s="1"/>
  <c r="AB20" i="18" s="1"/>
  <c r="S21" i="18"/>
  <c r="T21" i="18"/>
  <c r="U21" i="18" s="1"/>
  <c r="V21" i="18" s="1"/>
  <c r="W21" i="18" s="1"/>
  <c r="X21" i="18" s="1"/>
  <c r="Y21" i="18" s="1"/>
  <c r="Z21" i="18" s="1"/>
  <c r="AA21" i="18" s="1"/>
  <c r="AB21" i="18" s="1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4" i="18"/>
  <c r="T24" i="18" s="1"/>
  <c r="U24" i="18" s="1"/>
  <c r="V24" i="18" s="1"/>
  <c r="W24" i="18" s="1"/>
  <c r="X24" i="18" s="1"/>
  <c r="Y24" i="18" s="1"/>
  <c r="Z24" i="18" s="1"/>
  <c r="AA24" i="18" s="1"/>
  <c r="AB24" i="18" s="1"/>
  <c r="O44" i="18"/>
  <c r="O76" i="18" s="1"/>
  <c r="O43" i="18"/>
  <c r="O41" i="18"/>
  <c r="O40" i="18"/>
  <c r="O42" i="18" s="1"/>
  <c r="O75" i="18" s="1"/>
  <c r="O38" i="18"/>
  <c r="O37" i="18"/>
  <c r="O36" i="18"/>
  <c r="O34" i="18"/>
  <c r="O33" i="18"/>
  <c r="O74" i="18" s="1"/>
  <c r="O32" i="18"/>
  <c r="O31" i="18"/>
  <c r="O73" i="18" s="1"/>
  <c r="D38" i="18" l="1"/>
  <c r="E38" i="18"/>
  <c r="F38" i="18"/>
  <c r="G38" i="18"/>
  <c r="Q38" i="18" s="1"/>
  <c r="H38" i="18"/>
  <c r="I38" i="18"/>
  <c r="J38" i="18"/>
  <c r="K38" i="18"/>
  <c r="L38" i="18"/>
  <c r="M38" i="18"/>
  <c r="N38" i="18"/>
  <c r="P38" i="18"/>
  <c r="C38" i="18"/>
  <c r="C37" i="18"/>
  <c r="D37" i="18" l="1"/>
  <c r="E37" i="18"/>
  <c r="F37" i="18"/>
  <c r="G37" i="18"/>
  <c r="H37" i="18"/>
  <c r="I37" i="18"/>
  <c r="J37" i="18"/>
  <c r="K37" i="18"/>
  <c r="L37" i="18"/>
  <c r="M37" i="18"/>
  <c r="N37" i="18"/>
  <c r="P37" i="18"/>
  <c r="S37" i="18" s="1"/>
  <c r="T37" i="18" s="1"/>
  <c r="U37" i="18" s="1"/>
  <c r="V37" i="18" s="1"/>
  <c r="W37" i="18" s="1"/>
  <c r="X37" i="18" s="1"/>
  <c r="Y37" i="18" s="1"/>
  <c r="Z37" i="18" s="1"/>
  <c r="AA37" i="18" s="1"/>
  <c r="AB37" i="18" s="1"/>
  <c r="D36" i="18"/>
  <c r="E36" i="18"/>
  <c r="F36" i="18"/>
  <c r="G36" i="18"/>
  <c r="H36" i="18"/>
  <c r="I36" i="18"/>
  <c r="J36" i="18"/>
  <c r="K36" i="18"/>
  <c r="L36" i="18"/>
  <c r="M36" i="18"/>
  <c r="N36" i="18"/>
  <c r="P36" i="18"/>
  <c r="S36" i="18" s="1"/>
  <c r="T36" i="18" s="1"/>
  <c r="U36" i="18" s="1"/>
  <c r="V36" i="18" s="1"/>
  <c r="W36" i="18" s="1"/>
  <c r="X36" i="18" s="1"/>
  <c r="Y36" i="18" s="1"/>
  <c r="Z36" i="18" s="1"/>
  <c r="AA36" i="18" s="1"/>
  <c r="AB36" i="18" s="1"/>
  <c r="C36" i="18"/>
  <c r="S64" i="18" l="1"/>
  <c r="S63" i="18"/>
  <c r="C45" i="15"/>
  <c r="S51" i="18" l="1"/>
  <c r="T51" i="18" s="1"/>
  <c r="U51" i="18" s="1"/>
  <c r="V51" i="18" s="1"/>
  <c r="W51" i="18" s="1"/>
  <c r="X51" i="18" s="1"/>
  <c r="Y51" i="18" s="1"/>
  <c r="Z51" i="18" s="1"/>
  <c r="AA51" i="18" s="1"/>
  <c r="AB51" i="18" s="1"/>
  <c r="S72" i="18"/>
  <c r="T72" i="18" s="1"/>
  <c r="U72" i="18" s="1"/>
  <c r="V72" i="18" s="1"/>
  <c r="W72" i="18" s="1"/>
  <c r="X72" i="18" s="1"/>
  <c r="Y72" i="18" s="1"/>
  <c r="Z72" i="18" s="1"/>
  <c r="AA72" i="18" s="1"/>
  <c r="AB72" i="18" s="1"/>
  <c r="D73" i="18"/>
  <c r="E73" i="18"/>
  <c r="C31" i="18"/>
  <c r="C73" i="18" s="1"/>
  <c r="D31" i="18"/>
  <c r="E31" i="18"/>
  <c r="F31" i="18"/>
  <c r="F73" i="18" s="1"/>
  <c r="G31" i="18"/>
  <c r="G73" i="18" s="1"/>
  <c r="H31" i="18"/>
  <c r="H73" i="18" s="1"/>
  <c r="I31" i="18"/>
  <c r="I73" i="18" s="1"/>
  <c r="J31" i="18"/>
  <c r="J73" i="18" s="1"/>
  <c r="K31" i="18"/>
  <c r="K73" i="18" s="1"/>
  <c r="L31" i="18"/>
  <c r="M31" i="18"/>
  <c r="M73" i="18" s="1"/>
  <c r="N31" i="18"/>
  <c r="P31" i="18"/>
  <c r="D44" i="18"/>
  <c r="D76" i="18" s="1"/>
  <c r="E44" i="18"/>
  <c r="E76" i="18" s="1"/>
  <c r="F44" i="18"/>
  <c r="F76" i="18" s="1"/>
  <c r="G44" i="18"/>
  <c r="H44" i="18"/>
  <c r="H76" i="18" s="1"/>
  <c r="I44" i="18"/>
  <c r="I76" i="18" s="1"/>
  <c r="J44" i="18"/>
  <c r="J76" i="18" s="1"/>
  <c r="K44" i="18"/>
  <c r="K76" i="18" s="1"/>
  <c r="L44" i="18"/>
  <c r="L76" i="18" s="1"/>
  <c r="M44" i="18"/>
  <c r="M76" i="18" s="1"/>
  <c r="N44" i="18"/>
  <c r="P44" i="18"/>
  <c r="D43" i="18"/>
  <c r="E43" i="18"/>
  <c r="F43" i="18"/>
  <c r="G43" i="18"/>
  <c r="Q43" i="18" s="1"/>
  <c r="H43" i="18"/>
  <c r="I43" i="18"/>
  <c r="J43" i="18"/>
  <c r="K43" i="18"/>
  <c r="L43" i="18"/>
  <c r="M43" i="18"/>
  <c r="N43" i="18"/>
  <c r="P43" i="18"/>
  <c r="D41" i="18"/>
  <c r="E41" i="18"/>
  <c r="F41" i="18"/>
  <c r="G41" i="18"/>
  <c r="Q41" i="18" s="1"/>
  <c r="H41" i="18"/>
  <c r="I41" i="18"/>
  <c r="J41" i="18"/>
  <c r="K41" i="18"/>
  <c r="L41" i="18"/>
  <c r="M41" i="18"/>
  <c r="N41" i="18"/>
  <c r="P41" i="18"/>
  <c r="D40" i="18"/>
  <c r="D42" i="18" s="1"/>
  <c r="D75" i="18" s="1"/>
  <c r="E40" i="18"/>
  <c r="E42" i="18" s="1"/>
  <c r="E75" i="18" s="1"/>
  <c r="F40" i="18"/>
  <c r="F42" i="18" s="1"/>
  <c r="F75" i="18" s="1"/>
  <c r="G40" i="18"/>
  <c r="H40" i="18"/>
  <c r="H42" i="18" s="1"/>
  <c r="H75" i="18" s="1"/>
  <c r="I40" i="18"/>
  <c r="I42" i="18" s="1"/>
  <c r="I75" i="18" s="1"/>
  <c r="J40" i="18"/>
  <c r="J42" i="18" s="1"/>
  <c r="J75" i="18" s="1"/>
  <c r="K40" i="18"/>
  <c r="K42" i="18" s="1"/>
  <c r="K75" i="18" s="1"/>
  <c r="L40" i="18"/>
  <c r="L42" i="18" s="1"/>
  <c r="L75" i="18" s="1"/>
  <c r="M40" i="18"/>
  <c r="N40" i="18"/>
  <c r="P40" i="18"/>
  <c r="D34" i="18"/>
  <c r="E34" i="18"/>
  <c r="F34" i="18"/>
  <c r="G34" i="18"/>
  <c r="H34" i="18"/>
  <c r="I34" i="18"/>
  <c r="J34" i="18"/>
  <c r="K34" i="18"/>
  <c r="L34" i="18"/>
  <c r="M34" i="18"/>
  <c r="N34" i="18"/>
  <c r="P34" i="18"/>
  <c r="D33" i="18"/>
  <c r="D74" i="18" s="1"/>
  <c r="E33" i="18"/>
  <c r="E74" i="18" s="1"/>
  <c r="F33" i="18"/>
  <c r="F74" i="18" s="1"/>
  <c r="G33" i="18"/>
  <c r="G74" i="18" s="1"/>
  <c r="H33" i="18"/>
  <c r="H74" i="18" s="1"/>
  <c r="I33" i="18"/>
  <c r="I74" i="18" s="1"/>
  <c r="J33" i="18"/>
  <c r="J74" i="18" s="1"/>
  <c r="K33" i="18"/>
  <c r="K74" i="18" s="1"/>
  <c r="L33" i="18"/>
  <c r="L74" i="18" s="1"/>
  <c r="M33" i="18"/>
  <c r="M74" i="18" s="1"/>
  <c r="N33" i="18"/>
  <c r="P33" i="18"/>
  <c r="C44" i="18"/>
  <c r="C76" i="18" s="1"/>
  <c r="C43" i="18"/>
  <c r="C41" i="18"/>
  <c r="C40" i="18"/>
  <c r="C42" i="18" s="1"/>
  <c r="C75" i="18" s="1"/>
  <c r="C34" i="18"/>
  <c r="C33" i="18"/>
  <c r="C74" i="18" s="1"/>
  <c r="D32" i="18"/>
  <c r="E32" i="18"/>
  <c r="F32" i="18"/>
  <c r="G32" i="18"/>
  <c r="H32" i="18"/>
  <c r="I32" i="18"/>
  <c r="J32" i="18"/>
  <c r="K32" i="18"/>
  <c r="L32" i="18"/>
  <c r="M32" i="18"/>
  <c r="N32" i="18"/>
  <c r="P32" i="18"/>
  <c r="C32" i="18"/>
  <c r="S14" i="18"/>
  <c r="T14" i="18" s="1"/>
  <c r="U14" i="18" s="1"/>
  <c r="V14" i="18" s="1"/>
  <c r="W14" i="18" s="1"/>
  <c r="X14" i="18" s="1"/>
  <c r="Y14" i="18" s="1"/>
  <c r="Z14" i="18" s="1"/>
  <c r="AA14" i="18" s="1"/>
  <c r="AB14" i="18" s="1"/>
  <c r="S15" i="18"/>
  <c r="T15" i="18" s="1"/>
  <c r="U15" i="18" s="1"/>
  <c r="V15" i="18" s="1"/>
  <c r="W15" i="18" s="1"/>
  <c r="X15" i="18" s="1"/>
  <c r="Y15" i="18" s="1"/>
  <c r="Z15" i="18" s="1"/>
  <c r="AA15" i="18" s="1"/>
  <c r="AB15" i="18" s="1"/>
  <c r="S26" i="18"/>
  <c r="T26" i="18" s="1"/>
  <c r="U26" i="18" s="1"/>
  <c r="V26" i="18" s="1"/>
  <c r="W26" i="18" s="1"/>
  <c r="X26" i="18" s="1"/>
  <c r="Y26" i="18" s="1"/>
  <c r="Z26" i="18" s="1"/>
  <c r="AA26" i="18" s="1"/>
  <c r="AB26" i="18" s="1"/>
  <c r="AC26" i="18" s="1"/>
  <c r="S11" i="18"/>
  <c r="T11" i="18" s="1"/>
  <c r="U11" i="18" s="1"/>
  <c r="V11" i="18" s="1"/>
  <c r="W11" i="18" s="1"/>
  <c r="X11" i="18" s="1"/>
  <c r="Y11" i="18" s="1"/>
  <c r="Z11" i="18" s="1"/>
  <c r="AA11" i="18" s="1"/>
  <c r="AB11" i="18" s="1"/>
  <c r="S12" i="18"/>
  <c r="T12" i="18" s="1"/>
  <c r="U12" i="18" s="1"/>
  <c r="V12" i="18" s="1"/>
  <c r="W12" i="18" s="1"/>
  <c r="X12" i="18" s="1"/>
  <c r="Y12" i="18" s="1"/>
  <c r="Z12" i="18" s="1"/>
  <c r="AA12" i="18" s="1"/>
  <c r="AB12" i="18" s="1"/>
  <c r="S13" i="18"/>
  <c r="T13" i="18" s="1"/>
  <c r="U13" i="18" s="1"/>
  <c r="V13" i="18" s="1"/>
  <c r="W13" i="18" s="1"/>
  <c r="X13" i="18" s="1"/>
  <c r="Y13" i="18" s="1"/>
  <c r="Z13" i="18" s="1"/>
  <c r="AA13" i="18" s="1"/>
  <c r="AB13" i="18" s="1"/>
  <c r="S8" i="18"/>
  <c r="T8" i="18" s="1"/>
  <c r="U8" i="18" s="1"/>
  <c r="V8" i="18" s="1"/>
  <c r="W8" i="18" s="1"/>
  <c r="X8" i="18" s="1"/>
  <c r="Y8" i="18" s="1"/>
  <c r="Z8" i="18" s="1"/>
  <c r="AA8" i="18" s="1"/>
  <c r="AB8" i="18" s="1"/>
  <c r="S7" i="18"/>
  <c r="T7" i="18" s="1"/>
  <c r="U7" i="18" s="1"/>
  <c r="V7" i="18" s="1"/>
  <c r="W7" i="18" s="1"/>
  <c r="X7" i="18" s="1"/>
  <c r="Y7" i="18" s="1"/>
  <c r="Z7" i="18" s="1"/>
  <c r="AA7" i="18" s="1"/>
  <c r="AB7" i="18" s="1"/>
  <c r="P73" i="18" l="1"/>
  <c r="S73" i="18" s="1"/>
  <c r="T73" i="18" s="1"/>
  <c r="U73" i="18" s="1"/>
  <c r="V73" i="18" s="1"/>
  <c r="W73" i="18" s="1"/>
  <c r="X73" i="18" s="1"/>
  <c r="Y73" i="18" s="1"/>
  <c r="Z73" i="18" s="1"/>
  <c r="AA73" i="18" s="1"/>
  <c r="AB73" i="18" s="1"/>
  <c r="AC73" i="18" s="1"/>
  <c r="Q31" i="18"/>
  <c r="Q74" i="18"/>
  <c r="AC74" i="18"/>
  <c r="Q73" i="18"/>
  <c r="G76" i="18"/>
  <c r="Q44" i="18"/>
  <c r="G42" i="18"/>
  <c r="Q40" i="18"/>
  <c r="N74" i="18"/>
  <c r="N73" i="18"/>
  <c r="N76" i="18"/>
  <c r="S43" i="18"/>
  <c r="T43" i="18" s="1"/>
  <c r="U43" i="18" s="1"/>
  <c r="V43" i="18" s="1"/>
  <c r="W43" i="18" s="1"/>
  <c r="X43" i="18" s="1"/>
  <c r="Y43" i="18" s="1"/>
  <c r="Z43" i="18" s="1"/>
  <c r="AA43" i="18" s="1"/>
  <c r="AB43" i="18" s="1"/>
  <c r="S44" i="18"/>
  <c r="T44" i="18" s="1"/>
  <c r="U44" i="18" s="1"/>
  <c r="V44" i="18" s="1"/>
  <c r="W44" i="18" s="1"/>
  <c r="X44" i="18" s="1"/>
  <c r="Y44" i="18" s="1"/>
  <c r="Z44" i="18" s="1"/>
  <c r="AA44" i="18" s="1"/>
  <c r="AB44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P74" i="18"/>
  <c r="S74" i="18" s="1"/>
  <c r="T74" i="18" s="1"/>
  <c r="U74" i="18" s="1"/>
  <c r="V74" i="18" s="1"/>
  <c r="W74" i="18" s="1"/>
  <c r="X74" i="18" s="1"/>
  <c r="Y74" i="18" s="1"/>
  <c r="Z74" i="18" s="1"/>
  <c r="AA74" i="18" s="1"/>
  <c r="AB74" i="18" s="1"/>
  <c r="S40" i="18"/>
  <c r="T40" i="18" s="1"/>
  <c r="U40" i="18" s="1"/>
  <c r="V40" i="18" s="1"/>
  <c r="W40" i="18" s="1"/>
  <c r="X40" i="18" s="1"/>
  <c r="Y40" i="18" s="1"/>
  <c r="Z40" i="18" s="1"/>
  <c r="AA40" i="18" s="1"/>
  <c r="AB40" i="18" s="1"/>
  <c r="L73" i="18"/>
  <c r="N42" i="18"/>
  <c r="S41" i="18"/>
  <c r="T41" i="18" s="1"/>
  <c r="U41" i="18" s="1"/>
  <c r="V41" i="18" s="1"/>
  <c r="W41" i="18" s="1"/>
  <c r="X41" i="18" s="1"/>
  <c r="Y41" i="18" s="1"/>
  <c r="Z41" i="18" s="1"/>
  <c r="AA41" i="18" s="1"/>
  <c r="AB41" i="18" s="1"/>
  <c r="M42" i="18"/>
  <c r="M75" i="18" s="1"/>
  <c r="P76" i="18"/>
  <c r="S76" i="18" s="1"/>
  <c r="T76" i="18" s="1"/>
  <c r="U76" i="18" s="1"/>
  <c r="V76" i="18" s="1"/>
  <c r="W76" i="18" s="1"/>
  <c r="X76" i="18" s="1"/>
  <c r="Y76" i="18" s="1"/>
  <c r="Z76" i="18" s="1"/>
  <c r="AA76" i="18" s="1"/>
  <c r="AB76" i="18" s="1"/>
  <c r="P42" i="18"/>
  <c r="S52" i="18"/>
  <c r="T52" i="18" s="1"/>
  <c r="U52" i="18" s="1"/>
  <c r="V52" i="18" s="1"/>
  <c r="W52" i="18" s="1"/>
  <c r="X52" i="18" s="1"/>
  <c r="Y52" i="18" s="1"/>
  <c r="Z52" i="18" s="1"/>
  <c r="AA52" i="18" s="1"/>
  <c r="AB52" i="18" s="1"/>
  <c r="S53" i="18"/>
  <c r="T53" i="18" s="1"/>
  <c r="U53" i="18" s="1"/>
  <c r="V53" i="18" s="1"/>
  <c r="W53" i="18" s="1"/>
  <c r="X53" i="18" s="1"/>
  <c r="Y53" i="18" s="1"/>
  <c r="Z53" i="18" s="1"/>
  <c r="AA53" i="18" s="1"/>
  <c r="AB53" i="18" s="1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C6" i="12"/>
  <c r="C25" i="15"/>
  <c r="C57" i="15"/>
  <c r="C56" i="15"/>
  <c r="C53" i="15"/>
  <c r="C52" i="15"/>
  <c r="C49" i="15"/>
  <c r="C48" i="15"/>
  <c r="C44" i="15"/>
  <c r="Q76" i="18" l="1"/>
  <c r="AC76" i="18"/>
  <c r="G75" i="18"/>
  <c r="Q42" i="18"/>
  <c r="N75" i="18"/>
  <c r="P75" i="18"/>
  <c r="S75" i="18" s="1"/>
  <c r="T75" i="18" s="1"/>
  <c r="U75" i="18" s="1"/>
  <c r="V75" i="18" s="1"/>
  <c r="W75" i="18" s="1"/>
  <c r="X75" i="18" s="1"/>
  <c r="Y75" i="18" s="1"/>
  <c r="Z75" i="18" s="1"/>
  <c r="AA75" i="18" s="1"/>
  <c r="AB75" i="18" s="1"/>
  <c r="S42" i="18"/>
  <c r="T42" i="18" s="1"/>
  <c r="U42" i="18" s="1"/>
  <c r="V42" i="18" s="1"/>
  <c r="W42" i="18" s="1"/>
  <c r="X42" i="18" s="1"/>
  <c r="Y42" i="18" s="1"/>
  <c r="Z42" i="18" s="1"/>
  <c r="AA42" i="18" s="1"/>
  <c r="AB42" i="18" s="1"/>
  <c r="S50" i="18"/>
  <c r="T50" i="18" s="1"/>
  <c r="U50" i="18" s="1"/>
  <c r="V50" i="18" s="1"/>
  <c r="W50" i="18" s="1"/>
  <c r="X50" i="18" s="1"/>
  <c r="Y50" i="18" s="1"/>
  <c r="Z50" i="18" s="1"/>
  <c r="AA50" i="18" s="1"/>
  <c r="AB50" i="18" s="1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S47" i="18"/>
  <c r="T47" i="18" s="1"/>
  <c r="U47" i="18" s="1"/>
  <c r="V47" i="18" s="1"/>
  <c r="W47" i="18" s="1"/>
  <c r="X47" i="18" s="1"/>
  <c r="Y47" i="18" s="1"/>
  <c r="Z47" i="18" s="1"/>
  <c r="AA47" i="18" s="1"/>
  <c r="AB47" i="18" s="1"/>
  <c r="S31" i="18"/>
  <c r="T31" i="18" s="1"/>
  <c r="U31" i="18" s="1"/>
  <c r="V31" i="18" s="1"/>
  <c r="W31" i="18" s="1"/>
  <c r="X31" i="18" s="1"/>
  <c r="Y31" i="18" s="1"/>
  <c r="Z31" i="18" s="1"/>
  <c r="AA31" i="18" s="1"/>
  <c r="AB31" i="18" s="1"/>
  <c r="AC31" i="18" s="1"/>
  <c r="S49" i="18"/>
  <c r="T49" i="18" s="1"/>
  <c r="U49" i="18" s="1"/>
  <c r="V49" i="18" s="1"/>
  <c r="W49" i="18" s="1"/>
  <c r="X49" i="18" s="1"/>
  <c r="Y49" i="18" s="1"/>
  <c r="Z49" i="18" s="1"/>
  <c r="AA49" i="18" s="1"/>
  <c r="AB49" i="18" s="1"/>
  <c r="S48" i="18"/>
  <c r="T48" i="18" s="1"/>
  <c r="U48" i="18" s="1"/>
  <c r="V48" i="18" s="1"/>
  <c r="W48" i="18" s="1"/>
  <c r="X48" i="18" s="1"/>
  <c r="Y48" i="18" s="1"/>
  <c r="Z48" i="18" s="1"/>
  <c r="AA48" i="18" s="1"/>
  <c r="AB48" i="18" s="1"/>
  <c r="S67" i="18"/>
  <c r="S32" i="18"/>
  <c r="T32" i="18" s="1"/>
  <c r="U32" i="18" s="1"/>
  <c r="V32" i="18" s="1"/>
  <c r="W32" i="18" s="1"/>
  <c r="X32" i="18" s="1"/>
  <c r="Y32" i="18" s="1"/>
  <c r="Z32" i="18" s="1"/>
  <c r="AA32" i="18" s="1"/>
  <c r="AB32" i="18" s="1"/>
  <c r="C15" i="15"/>
  <c r="C20" i="15"/>
  <c r="C9" i="15"/>
  <c r="Q75" i="18" l="1"/>
  <c r="AC75" i="18"/>
  <c r="S57" i="18"/>
  <c r="S58" i="18"/>
  <c r="S69" i="18"/>
  <c r="S61" i="18"/>
  <c r="S60" i="18"/>
  <c r="S59" i="18"/>
  <c r="D31" i="8"/>
  <c r="D29" i="8"/>
  <c r="D28" i="8"/>
  <c r="D13" i="8"/>
  <c r="D30" i="8" s="1"/>
  <c r="E14" i="8"/>
  <c r="F14" i="8" s="1"/>
  <c r="G14" i="8" s="1"/>
  <c r="H14" i="8" s="1"/>
  <c r="I14" i="8" s="1"/>
  <c r="K37" i="12" l="1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G40" i="12" l="1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G39" i="11"/>
  <c r="K39" i="11" s="1"/>
  <c r="F39" i="1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42" i="9"/>
  <c r="O32" i="9"/>
  <c r="P32" i="9"/>
  <c r="P31" i="9"/>
  <c r="O31" i="9"/>
  <c r="N33" i="9"/>
  <c r="N34" i="9" s="1"/>
  <c r="N35" i="9" s="1"/>
  <c r="N36" i="9" s="1"/>
  <c r="N37" i="9" s="1"/>
  <c r="N38" i="9" s="1"/>
  <c r="N39" i="9" s="1"/>
  <c r="N40" i="9" s="1"/>
  <c r="N41" i="9" s="1"/>
  <c r="N32" i="9"/>
  <c r="N31" i="9"/>
  <c r="M34" i="9"/>
  <c r="M35" i="9"/>
  <c r="M36" i="9"/>
  <c r="M37" i="9"/>
  <c r="M38" i="9" s="1"/>
  <c r="M39" i="9" s="1"/>
  <c r="M40" i="9" s="1"/>
  <c r="M41" i="9" s="1"/>
  <c r="M33" i="9"/>
  <c r="M45" i="9"/>
  <c r="M32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P31" i="11" l="1"/>
  <c r="N32" i="11"/>
  <c r="T19" i="9"/>
  <c r="D22" i="9"/>
  <c r="N33" i="11" l="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N34" i="11" l="1"/>
  <c r="O33" i="11"/>
  <c r="D25" i="8"/>
  <c r="D23" i="8"/>
  <c r="N35" i="11" l="1"/>
  <c r="O34" i="11"/>
  <c r="D35" i="8"/>
  <c r="E5" i="8"/>
  <c r="E18" i="8" s="1"/>
  <c r="D18" i="8"/>
  <c r="D19" i="8"/>
  <c r="D21" i="8"/>
  <c r="D20" i="8"/>
  <c r="N36" i="11" l="1"/>
  <c r="O35" i="11"/>
  <c r="F5" i="8"/>
  <c r="G5" i="8" s="1"/>
  <c r="H5" i="8" s="1"/>
  <c r="I5" i="8" s="1"/>
  <c r="N37" i="11" l="1"/>
  <c r="O36" i="11"/>
  <c r="F18" i="8"/>
  <c r="G18" i="8"/>
  <c r="N38" i="11" l="1"/>
  <c r="O37" i="11"/>
  <c r="H18" i="8"/>
  <c r="N39" i="11" l="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<sst xmlns="http://schemas.openxmlformats.org/spreadsheetml/2006/main" count="426" uniqueCount="283">
  <si>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</si>
  <si>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</si>
  <si>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</si>
  <si>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</si>
  <si>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</si>
  <si>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</si>
  <si>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</si>
  <si>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</si>
  <si>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</si>
  <si>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</si>
  <si>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</si>
  <si>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</si>
  <si>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</si>
  <si>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</si>
  <si>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</si>
  <si>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</si>
  <si>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</si>
  <si>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</si>
  <si>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</si>
  <si>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</si>
  <si>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</si>
  <si>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</si>
  <si>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</si>
  <si>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</si>
  <si>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</si>
  <si>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</si>
  <si>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</si>
  <si>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</si>
  <si>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</si>
  <si>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</si>
  <si>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</si>
  <si>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</si>
  <si>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</si>
  <si>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</si>
  <si>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</si>
  <si>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</si>
  <si>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</si>
  <si>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</si>
  <si>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</si>
  <si>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</si>
  <si>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</si>
  <si>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</si>
  <si>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</si>
  <si>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</si>
  <si>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</si>
  <si>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</si>
  <si>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</si>
  <si>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</si>
  <si>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</si>
  <si>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</si>
  <si>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</si>
  <si>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</si>
  <si>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</si>
  <si>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</si>
  <si>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</si>
  <si>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</si>
  <si>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</si>
  <si>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</si>
  <si>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</si>
  <si>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</si>
  <si>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</si>
  <si>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</si>
  <si>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</si>
  <si>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</si>
  <si>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</si>
  <si>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</si>
  <si>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</si>
  <si>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</si>
  <si>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</si>
  <si>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</si>
  <si>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</si>
  <si>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</si>
  <si>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</si>
  <si>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</si>
  <si>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</si>
  <si>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</si>
  <si>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</si>
  <si>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</si>
  <si>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</si>
  <si>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</si>
  <si>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</si>
  <si>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</si>
  <si>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</si>
  <si>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</si>
  <si>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</si>
  <si>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</si>
  <si>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</si>
  <si>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</si>
  <si>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</si>
  <si>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</si>
  <si>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</si>
  <si>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</si>
  <si>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</si>
  <si>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</si>
  <si>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</si>
  <si>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</si>
  <si>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</si>
  <si>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</si>
  <si>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</si>
  <si>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</si>
  <si>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</si>
  <si>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</si>
  <si>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</si>
  <si>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</si>
  <si>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</si>
  <si>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</si>
  <si>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</si>
  <si>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</si>
  <si>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</si>
  <si>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</si>
  <si>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</si>
  <si>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</si>
  <si>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</si>
  <si>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</si>
  <si>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</si>
  <si>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</si>
  <si>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</si>
  <si>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</si>
  <si>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</si>
  <si>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</si>
  <si>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</si>
  <si>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</si>
  <si>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</si>
  <si>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</si>
  <si>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</si>
  <si>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</si>
  <si>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</si>
  <si>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</si>
  <si>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</si>
  <si>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</si>
  <si>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</si>
  <si>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</si>
  <si>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</si>
  <si>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</si>
  <si>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</si>
  <si>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</si>
  <si>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</si>
  <si>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</si>
  <si>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</si>
  <si>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</si>
  <si>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</si>
  <si>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</si>
  <si>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</si>
  <si>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</si>
  <si>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</si>
  <si>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</si>
  <si>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</si>
  <si>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</si>
  <si>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</si>
  <si>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</si>
  <si>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</si>
  <si>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</si>
  <si>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</si>
  <si>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</si>
  <si>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</si>
  <si>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</si>
  <si>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</si>
  <si>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</si>
  <si>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</si>
  <si>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</si>
  <si>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</si>
  <si>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</si>
  <si>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</si>
  <si>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</si>
  <si>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</si>
  <si>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</si>
  <si>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</si>
  <si>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</si>
  <si>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</si>
  <si>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</si>
  <si>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</si>
  <si>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</si>
  <si>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</si>
  <si>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</si>
  <si>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</si>
  <si>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</si>
  <si>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</si>
  <si>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</si>
  <si>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</si>
  <si>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</si>
  <si>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</si>
  <si>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</si>
  <si>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</si>
  <si>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</si>
  <si>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</si>
  <si>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</si>
  <si>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</si>
  <si>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</si>
  <si>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</si>
  <si>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</si>
  <si>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</si>
  <si>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</si>
  <si>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</si>
  <si>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</si>
  <si>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</si>
  <si>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</si>
  <si>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</si>
  <si>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</si>
  <si>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</si>
  <si>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</si>
  <si>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</si>
  <si>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</si>
  <si>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</si>
  <si>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</si>
  <si>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</si>
  <si>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</si>
  <si>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</si>
  <si>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</si>
  <si>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</si>
  <si>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</si>
  <si>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</si>
  <si>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</si>
  <si>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</si>
  <si>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</si>
  <si>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</si>
  <si>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</si>
  <si>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</si>
  <si>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</si>
  <si>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</si>
  <si>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</si>
  <si>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</si>
  <si>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</si>
  <si>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</si>
  <si>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</si>
  <si>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</si>
  <si>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</si>
  <si>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</si>
  <si>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</si>
  <si>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</si>
  <si>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</si>
  <si>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</si>
  <si>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</si>
  <si>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</si>
  <si>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</si>
  <si>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</si>
  <si>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</si>
  <si>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</si>
  <si>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</si>
  <si>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</si>
  <si>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</si>
  <si>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</si>
  <si>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</si>
  <si>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</si>
  <si>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</si>
  <si>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</si>
  <si>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</si>
  <si>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</si>
  <si>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</si>
  <si>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</si>
  <si>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</si>
  <si>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</si>
  <si>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</si>
  <si>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</si>
  <si>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</si>
  <si>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</si>
  <si>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</si>
  <si>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</si>
  <si>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</si>
  <si>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</si>
  <si>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</si>
  <si>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</si>
  <si>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</si>
  <si>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</si>
  <si>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</si>
  <si>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</si>
  <si>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</si>
  <si>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</si>
  <si>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</si>
  <si>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</si>
  <si>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</si>
  <si>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2nd highest Expenses Comp. ( others )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</si>
  <si>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</si>
  <si>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</si>
  <si>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</si>
  <si>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</si>
  <si>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</si>
  <si>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</si>
  <si>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</si>
  <si>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</si>
  <si>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</si>
  <si>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Top Expenses ( Raw Materials )</t>
  </si>
  <si>
    <t>Operating Profit (EBITDA)</t>
  </si>
  <si>
    <t>Suzlon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</si>
</sst>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9"/>
      <color rgb="FF30303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" fontId="4" fillId="5" borderId="1" xfId="2" applyNumberFormat="1" applyFont="1" applyFill="1" applyBorder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" fontId="4" fillId="5" borderId="1" xfId="0" applyNumberFormat="1" applyFont="1" applyFill="1" applyBorder="1"/>
    <xf numFmtId="43" fontId="4" fillId="5" borderId="1" xfId="2" applyNumberFormat="1" applyFont="1" applyFill="1" applyBorder="1"/>
    <xf numFmtId="0" fontId="8" fillId="0" borderId="0" xfId="0" applyFont="1"/>
    <xf numFmtId="2" fontId="4" fillId="5" borderId="1" xfId="2" applyNumberFormat="1" applyFont="1" applyFill="1" applyBorder="1"/>
    <xf numFmtId="40" fontId="4" fillId="5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13216"/>
        <c:axId val="80714752"/>
      </c:lineChart>
      <c:catAx>
        <c:axId val="80713216"/>
        <c:scaling>
          <c:orientation val="minMax"/>
        </c:scaling>
        <c:delete val="0"/>
        <c:axPos val="b"/>
        <c:majorTickMark val="out"/>
        <c:minorTickMark val="none"/>
        <c:tickLblPos val="nextTo"/>
        <c:crossAx val="80714752"/>
        <c:crosses val="autoZero"/>
        <c:auto val="1"/>
        <c:lblAlgn val="ctr"/>
        <c:lblOffset val="100"/>
        <c:noMultiLvlLbl val="0"/>
      </c:catAx>
      <c:valAx>
        <c:axId val="80714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71321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13" zoomScale="80" zoomScaleNormal="80" workbookViewId="0">
      <selection activeCell="C28" sqref="C28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282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-2.66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1">
        <v>14</v>
      </c>
      <c r="D7" s="20"/>
      <c r="E7" s="20"/>
      <c r="F7" s="20"/>
      <c r="G7" s="20"/>
    </row>
    <row r="8" spans="2:7" x14ac:dyDescent="0.2">
      <c r="B8" s="20" t="s">
        <v>25</v>
      </c>
      <c r="C8" s="131">
        <v>-2.66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-5.2631578947368416</v>
      </c>
      <c r="D9" s="20" t="s">
        <v>269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1">
        <v>-2.66</v>
      </c>
      <c r="D12" s="20"/>
      <c r="E12" s="20"/>
      <c r="F12" s="20"/>
      <c r="G12" s="20"/>
    </row>
    <row r="13" spans="2:7" x14ac:dyDescent="0.2">
      <c r="B13" s="20" t="s">
        <v>102</v>
      </c>
      <c r="C13" s="131">
        <v>28</v>
      </c>
      <c r="D13" s="20"/>
      <c r="E13" s="20"/>
      <c r="F13" s="20"/>
      <c r="G13" s="20"/>
    </row>
    <row r="14" spans="2:7" x14ac:dyDescent="0.2">
      <c r="B14" s="20" t="s">
        <v>103</v>
      </c>
      <c r="C14" s="131">
        <v>1000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-2660</v>
      </c>
      <c r="D15" s="20" t="s">
        <v>269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1">
        <f>C4</f>
        <v>-2.66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-33.25</v>
      </c>
      <c r="D20" s="20" t="s">
        <v>269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1">
        <v>14</v>
      </c>
      <c r="D23" s="20"/>
      <c r="E23" s="20"/>
      <c r="F23" s="20"/>
      <c r="G23" s="20"/>
    </row>
    <row r="24" spans="2:7" x14ac:dyDescent="0.2">
      <c r="B24" s="20" t="s">
        <v>114</v>
      </c>
      <c r="C24" s="131">
        <v>-2.66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 x14ac:dyDescent="0.2">
      <c r="B26" s="20" t="s">
        <v>77</v>
      </c>
      <c r="C26" s="131">
        <v>15</v>
      </c>
      <c r="D26" s="20"/>
      <c r="E26" s="20"/>
      <c r="F26" s="20"/>
      <c r="G26" s="20"/>
    </row>
    <row r="27" spans="2:7" x14ac:dyDescent="0.2">
      <c r="B27" s="20" t="s">
        <v>229</v>
      </c>
      <c r="C27" s="132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3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3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3"/>
      <c r="D31" s="20"/>
      <c r="E31" s="20"/>
      <c r="F31" s="20"/>
      <c r="G31" s="20"/>
    </row>
    <row r="32" spans="2:7" x14ac:dyDescent="0.2">
      <c r="B32" s="20" t="s">
        <v>268</v>
      </c>
      <c r="C32" s="133">
        <v>3.44E-2</v>
      </c>
      <c r="D32" s="20"/>
      <c r="E32" s="20"/>
      <c r="F32" s="20"/>
      <c r="G32" s="20"/>
    </row>
    <row r="33" spans="2:7" x14ac:dyDescent="0.2">
      <c r="B33" s="20" t="s">
        <v>267</v>
      </c>
      <c r="C33" s="133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1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1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1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1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1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1">
        <v>281.95</v>
      </c>
      <c r="D43" s="20"/>
      <c r="E43" s="20"/>
      <c r="F43" s="20"/>
      <c r="G43" s="20"/>
    </row>
    <row r="44" spans="2:7" x14ac:dyDescent="0.2">
      <c r="B44" s="20" t="s">
        <v>263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1">
        <v>171.6</v>
      </c>
      <c r="D47" s="20"/>
      <c r="E47" s="20"/>
      <c r="F47" s="20"/>
      <c r="G47" s="20"/>
    </row>
    <row r="48" spans="2:7" x14ac:dyDescent="0.2">
      <c r="B48" s="20" t="s">
        <v>264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1">
        <v>110.33</v>
      </c>
      <c r="D51" s="20"/>
      <c r="E51" s="20"/>
      <c r="F51" s="20"/>
      <c r="G51" s="20"/>
    </row>
    <row r="52" spans="2:7" x14ac:dyDescent="0.2">
      <c r="B52" s="20" t="s">
        <v>265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1">
        <v>1320.99</v>
      </c>
      <c r="D55" s="20"/>
      <c r="E55" s="20"/>
      <c r="F55" s="20"/>
      <c r="G55" s="20"/>
    </row>
    <row r="56" spans="2:7" x14ac:dyDescent="0.2">
      <c r="B56" s="20" t="s">
        <v>266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81"/>
  <sheetViews>
    <sheetView tabSelected="1" zoomScale="80" zoomScaleNormal="80" workbookViewId="0">
      <selection activeCell="P26" sqref="P26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4" width="8.140625" style="104" bestFit="1" customWidth="1"/>
    <col min="5" max="14" width="8.7109375" style="104" bestFit="1" customWidth="1"/>
    <col min="15" max="15" width="8.7109375" style="104" customWidth="1"/>
    <col min="16" max="16" width="10.5703125" style="104" bestFit="1" customWidth="1"/>
    <col min="17" max="17" width="10.85546875" style="104" bestFit="1" customWidth="1"/>
    <col min="18" max="18" width="10.5703125" style="104" bestFit="1" customWidth="1"/>
    <col min="19" max="19" width="12" style="104" bestFit="1" customWidth="1"/>
    <col min="20" max="16384" width="9.140625" style="104"/>
  </cols>
  <sheetData>
    <row r="2" spans="2:29" x14ac:dyDescent="0.2">
      <c r="B2" s="123" t="s">
        <v>241</v>
      </c>
      <c r="C2" s="124">
        <v>0.22</v>
      </c>
      <c r="F2" s="104" t="s">
        <v>252</v>
      </c>
      <c r="H2" s="126">
        <v>2004</v>
      </c>
    </row>
    <row r="3" spans="2:29" x14ac:dyDescent="0.2">
      <c r="C3" s="120"/>
      <c r="F3" s="104" t="s">
        <v>253</v>
      </c>
      <c r="H3" s="126">
        <v>2012</v>
      </c>
      <c r="S3" s="115" t="s">
        <v>11</v>
      </c>
      <c r="T3" s="115" t="s">
        <v>12</v>
      </c>
      <c r="U3" s="115" t="s">
        <v>13</v>
      </c>
      <c r="V3" s="115" t="s">
        <v>14</v>
      </c>
      <c r="W3" s="115" t="s">
        <v>15</v>
      </c>
      <c r="X3" s="115" t="s">
        <v>234</v>
      </c>
      <c r="Y3" s="115" t="s">
        <v>235</v>
      </c>
      <c r="Z3" s="115" t="s">
        <v>236</v>
      </c>
      <c r="AA3" s="115" t="s">
        <v>237</v>
      </c>
      <c r="AB3" s="115" t="s">
        <v>238</v>
      </c>
    </row>
    <row r="4" spans="2:29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4">
        <v>2013</v>
      </c>
      <c r="Q4" s="116" t="s">
        <v>1</v>
      </c>
      <c r="R4" s="116" t="s">
        <v>254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5">
        <v>2023</v>
      </c>
      <c r="AC4" s="116" t="s">
        <v>1</v>
      </c>
    </row>
    <row r="5" spans="2:29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20"/>
    </row>
    <row r="6" spans="2:29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20"/>
    </row>
    <row r="7" spans="2:29" x14ac:dyDescent="0.2">
      <c r="B7" s="20" t="s">
        <v>16</v>
      </c>
      <c r="C7" s="20"/>
      <c r="D7" s="20"/>
      <c r="E7" s="20"/>
      <c r="F7" s="20"/>
      <c r="G7" s="20">
        <v>349.03</v>
      </c>
      <c r="H7" s="20">
        <v>702.36</v>
      </c>
      <c r="I7" s="20">
        <v>2421.71</v>
      </c>
      <c r="J7" s="20">
        <v>3122.59</v>
      </c>
      <c r="K7" s="20">
        <v>7791.7</v>
      </c>
      <c r="L7" s="20">
        <v>7823.63</v>
      </c>
      <c r="M7" s="20">
        <v>6274.21</v>
      </c>
      <c r="N7" s="20">
        <v>6149.68</v>
      </c>
      <c r="O7" s="20">
        <v>4825.37</v>
      </c>
      <c r="P7" s="20">
        <v>4825.37</v>
      </c>
      <c r="Q7" s="118">
        <f>((P7/G7)^(1/($H$3-$H$2) ))-1</f>
        <v>0.38862021359481558</v>
      </c>
      <c r="R7" s="31">
        <v>0.1</v>
      </c>
      <c r="S7" s="119">
        <f>P7*(1+$R7)</f>
        <v>5307.9070000000002</v>
      </c>
      <c r="T7" s="119">
        <f>S7*(1+$R7)</f>
        <v>5838.6977000000006</v>
      </c>
      <c r="U7" s="119">
        <f t="shared" ref="U7:AB7" si="0">T7*(1+$R7)</f>
        <v>6422.5674700000009</v>
      </c>
      <c r="V7" s="119">
        <f t="shared" si="0"/>
        <v>7064.8242170000012</v>
      </c>
      <c r="W7" s="119">
        <f t="shared" si="0"/>
        <v>7771.3066387000017</v>
      </c>
      <c r="X7" s="119">
        <f t="shared" si="0"/>
        <v>8548.4373025700024</v>
      </c>
      <c r="Y7" s="119">
        <f t="shared" si="0"/>
        <v>9403.2810328270043</v>
      </c>
      <c r="Z7" s="119">
        <f t="shared" si="0"/>
        <v>10343.609136109706</v>
      </c>
      <c r="AA7" s="119">
        <f t="shared" si="0"/>
        <v>11377.970049720678</v>
      </c>
      <c r="AB7" s="119">
        <f t="shared" si="0"/>
        <v>12515.767054692746</v>
      </c>
      <c r="AC7" s="118">
        <f>((AB7/G7)^(1/($AB$4-$H$2) ))-1</f>
        <v>0.20731549475619104</v>
      </c>
    </row>
    <row r="8" spans="2:29" x14ac:dyDescent="0.2">
      <c r="B8" s="20" t="s">
        <v>240</v>
      </c>
      <c r="C8" s="20"/>
      <c r="D8" s="20"/>
      <c r="E8" s="20"/>
      <c r="F8" s="20"/>
      <c r="G8" s="20">
        <v>391.38</v>
      </c>
      <c r="H8" s="20">
        <v>904.63</v>
      </c>
      <c r="I8" s="20">
        <v>2737.29</v>
      </c>
      <c r="J8" s="20">
        <v>3513.58</v>
      </c>
      <c r="K8" s="20">
        <v>8103.81</v>
      </c>
      <c r="L8" s="20">
        <v>8231.23</v>
      </c>
      <c r="M8" s="20">
        <v>6603.77</v>
      </c>
      <c r="N8" s="20">
        <v>6528.08</v>
      </c>
      <c r="O8" s="20">
        <v>5186.78</v>
      </c>
      <c r="P8" s="20">
        <v>5186.78</v>
      </c>
      <c r="Q8" s="118">
        <f>((P8/G8)^(1/($H$3-$H$2) ))-1</f>
        <v>0.38129805355957203</v>
      </c>
      <c r="R8" s="31">
        <v>0.1</v>
      </c>
      <c r="S8" s="119">
        <f t="shared" ref="S8:S15" si="1">P8*(1+$R8)</f>
        <v>5705.4580000000005</v>
      </c>
      <c r="T8" s="119">
        <f t="shared" ref="T8:AB8" si="2">S8*(1+$R8)</f>
        <v>6276.0038000000013</v>
      </c>
      <c r="U8" s="119">
        <f t="shared" si="2"/>
        <v>6903.6041800000021</v>
      </c>
      <c r="V8" s="119">
        <f t="shared" si="2"/>
        <v>7593.9645980000032</v>
      </c>
      <c r="W8" s="119">
        <f t="shared" si="2"/>
        <v>8353.3610578000043</v>
      </c>
      <c r="X8" s="119">
        <f t="shared" si="2"/>
        <v>9188.6971635800055</v>
      </c>
      <c r="Y8" s="119">
        <f t="shared" si="2"/>
        <v>10107.566879938007</v>
      </c>
      <c r="Z8" s="119">
        <f t="shared" si="2"/>
        <v>11118.32356793181</v>
      </c>
      <c r="AA8" s="119">
        <f t="shared" si="2"/>
        <v>12230.155924724992</v>
      </c>
      <c r="AB8" s="119">
        <f t="shared" si="2"/>
        <v>13453.171517197492</v>
      </c>
      <c r="AC8" s="118">
        <f>((AB8/G8)^(1/($AB$4-$H$2) ))-1</f>
        <v>0.2046309099133381</v>
      </c>
    </row>
    <row r="9" spans="2:29" x14ac:dyDescent="0.2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29"/>
    </row>
    <row r="10" spans="2:29" x14ac:dyDescent="0.2">
      <c r="B10" s="20" t="s">
        <v>271</v>
      </c>
      <c r="C10" s="20"/>
      <c r="D10" s="20"/>
      <c r="E10" s="20"/>
      <c r="F10" s="20"/>
      <c r="G10" s="20">
        <v>379.34</v>
      </c>
      <c r="H10" s="20">
        <v>780.9</v>
      </c>
      <c r="I10" s="20">
        <v>1707.82</v>
      </c>
      <c r="J10" s="20">
        <v>3996.37</v>
      </c>
      <c r="K10" s="20">
        <v>16412.169999999998</v>
      </c>
      <c r="L10" s="20">
        <v>10121.370000000001</v>
      </c>
      <c r="M10" s="20">
        <v>9604.41</v>
      </c>
      <c r="N10" s="20">
        <v>11994.06</v>
      </c>
      <c r="O10" s="20">
        <v>7511.38</v>
      </c>
      <c r="P10" s="20">
        <v>7511.38</v>
      </c>
      <c r="Q10" s="118">
        <f t="shared" ref="Q10:Q15" si="3">((P10/G10)^(1/($H$3-$H$2) ))-1</f>
        <v>0.4524004897947711</v>
      </c>
      <c r="R10" s="31">
        <v>0.1</v>
      </c>
      <c r="S10" s="119">
        <f t="shared" ref="S10" si="4">P10*(1+$R10)</f>
        <v>8262.518</v>
      </c>
      <c r="T10" s="119">
        <f t="shared" ref="T10" si="5">S10*(1+$R10)</f>
        <v>9088.7698</v>
      </c>
      <c r="U10" s="119">
        <f t="shared" ref="U10" si="6">T10*(1+$R10)</f>
        <v>9997.6467800000009</v>
      </c>
      <c r="V10" s="119">
        <f t="shared" ref="V10" si="7">U10*(1+$R10)</f>
        <v>10997.411458000002</v>
      </c>
      <c r="W10" s="119">
        <f t="shared" ref="W10" si="8">V10*(1+$R10)</f>
        <v>12097.152603800003</v>
      </c>
      <c r="X10" s="119">
        <f t="shared" ref="X10" si="9">W10*(1+$R10)</f>
        <v>13306.867864180003</v>
      </c>
      <c r="Y10" s="119">
        <f t="shared" ref="Y10" si="10">X10*(1+$R10)</f>
        <v>14637.554650598006</v>
      </c>
      <c r="Z10" s="119">
        <f t="shared" ref="Z10" si="11">Y10*(1+$R10)</f>
        <v>16101.310115657807</v>
      </c>
      <c r="AA10" s="119">
        <f t="shared" ref="AA10" si="12">Z10*(1+$R10)</f>
        <v>17711.441127223588</v>
      </c>
      <c r="AB10" s="119">
        <f t="shared" ref="AB10" si="13">AA10*(1+$R10)</f>
        <v>19482.585239945947</v>
      </c>
      <c r="AC10" s="118">
        <f>((AB10/G10)^(1/($AB$4-$H$2) ))-1</f>
        <v>0.23036090658710551</v>
      </c>
    </row>
    <row r="11" spans="2:29" x14ac:dyDescent="0.2">
      <c r="B11" s="20" t="s">
        <v>4</v>
      </c>
      <c r="C11" s="20"/>
      <c r="D11" s="20"/>
      <c r="E11" s="20"/>
      <c r="F11" s="20"/>
      <c r="G11" s="20">
        <v>238.37</v>
      </c>
      <c r="H11" s="20">
        <v>395.81</v>
      </c>
      <c r="I11" s="20">
        <v>450.7</v>
      </c>
      <c r="J11" s="20">
        <v>5162.04</v>
      </c>
      <c r="K11" s="20">
        <v>9934.59</v>
      </c>
      <c r="L11" s="20">
        <v>14869.57</v>
      </c>
      <c r="M11" s="20">
        <v>12667.94</v>
      </c>
      <c r="N11" s="20">
        <v>12263.65</v>
      </c>
      <c r="O11" s="20">
        <v>10948.26</v>
      </c>
      <c r="P11" s="20">
        <v>10948.26</v>
      </c>
      <c r="Q11" s="118">
        <f t="shared" si="3"/>
        <v>0.61347294789910389</v>
      </c>
      <c r="R11" s="31">
        <v>0.1</v>
      </c>
      <c r="S11" s="119">
        <f t="shared" si="1"/>
        <v>12043.086000000001</v>
      </c>
      <c r="T11" s="119">
        <f t="shared" ref="T11:AB11" si="14">S11*(1+$R11)</f>
        <v>13247.394600000001</v>
      </c>
      <c r="U11" s="119">
        <f t="shared" si="14"/>
        <v>14572.134060000002</v>
      </c>
      <c r="V11" s="119">
        <f t="shared" si="14"/>
        <v>16029.347466000003</v>
      </c>
      <c r="W11" s="119">
        <f t="shared" si="14"/>
        <v>17632.282212600003</v>
      </c>
      <c r="X11" s="119">
        <f t="shared" si="14"/>
        <v>19395.510433860003</v>
      </c>
      <c r="Y11" s="119">
        <f t="shared" si="14"/>
        <v>21335.061477246007</v>
      </c>
      <c r="Z11" s="119">
        <f t="shared" si="14"/>
        <v>23468.567624970608</v>
      </c>
      <c r="AA11" s="119">
        <f t="shared" si="14"/>
        <v>25815.424387467672</v>
      </c>
      <c r="AB11" s="119">
        <f t="shared" si="14"/>
        <v>28396.966826214441</v>
      </c>
      <c r="AC11" s="118">
        <f t="shared" ref="AC11:AC28" si="15">((AB11/G11)^(1/($AB$4-$H$2) ))-1</f>
        <v>0.28606887984971685</v>
      </c>
    </row>
    <row r="12" spans="2:29" x14ac:dyDescent="0.2">
      <c r="B12" s="20" t="s">
        <v>2</v>
      </c>
      <c r="C12" s="20"/>
      <c r="D12" s="20"/>
      <c r="E12" s="20"/>
      <c r="F12" s="20"/>
      <c r="G12" s="136">
        <v>68.06</v>
      </c>
      <c r="H12" s="20">
        <v>74</v>
      </c>
      <c r="I12" s="20">
        <v>162</v>
      </c>
      <c r="J12" s="20">
        <v>1252</v>
      </c>
      <c r="K12" s="20">
        <v>1237.29</v>
      </c>
      <c r="L12" s="20">
        <v>847.87</v>
      </c>
      <c r="M12" s="20">
        <v>1512.22</v>
      </c>
      <c r="N12" s="20">
        <v>3121.26</v>
      </c>
      <c r="O12" s="20">
        <v>2632.48</v>
      </c>
      <c r="P12" s="20">
        <v>2632.48</v>
      </c>
      <c r="Q12" s="118">
        <f t="shared" si="3"/>
        <v>0.57918911539932783</v>
      </c>
      <c r="R12" s="31">
        <v>0.1</v>
      </c>
      <c r="S12" s="119">
        <f t="shared" si="1"/>
        <v>2895.7280000000001</v>
      </c>
      <c r="T12" s="119">
        <f t="shared" ref="T12:AB12" si="16">S12*(1+$R12)</f>
        <v>3185.3008000000004</v>
      </c>
      <c r="U12" s="119">
        <f t="shared" si="16"/>
        <v>3503.8308800000009</v>
      </c>
      <c r="V12" s="119">
        <f t="shared" si="16"/>
        <v>3854.2139680000014</v>
      </c>
      <c r="W12" s="119">
        <f t="shared" si="16"/>
        <v>4239.6353648000022</v>
      </c>
      <c r="X12" s="119">
        <f t="shared" si="16"/>
        <v>4663.5989012800028</v>
      </c>
      <c r="Y12" s="119">
        <f t="shared" si="16"/>
        <v>5129.9587914080039</v>
      </c>
      <c r="Z12" s="119">
        <f t="shared" si="16"/>
        <v>5642.9546705488046</v>
      </c>
      <c r="AA12" s="119">
        <f t="shared" si="16"/>
        <v>6207.2501376036853</v>
      </c>
      <c r="AB12" s="119">
        <f t="shared" si="16"/>
        <v>6827.975151364054</v>
      </c>
      <c r="AC12" s="118">
        <f t="shared" si="15"/>
        <v>0.27449120086642331</v>
      </c>
    </row>
    <row r="13" spans="2:29" x14ac:dyDescent="0.2">
      <c r="B13" s="20" t="s">
        <v>218</v>
      </c>
      <c r="C13" s="20"/>
      <c r="D13" s="20"/>
      <c r="E13" s="20"/>
      <c r="F13" s="20"/>
      <c r="G13" s="20">
        <v>14.27</v>
      </c>
      <c r="H13" s="20">
        <v>7.76</v>
      </c>
      <c r="I13" s="20">
        <v>7.6</v>
      </c>
      <c r="J13" s="20">
        <v>15.57</v>
      </c>
      <c r="K13" s="20">
        <v>3141.78</v>
      </c>
      <c r="L13" s="20">
        <v>5.08</v>
      </c>
      <c r="M13" s="20">
        <v>1092.29</v>
      </c>
      <c r="N13" s="20">
        <v>966.89</v>
      </c>
      <c r="O13" s="20">
        <v>97.25</v>
      </c>
      <c r="P13" s="20">
        <v>97.25</v>
      </c>
      <c r="Q13" s="118">
        <f t="shared" si="3"/>
        <v>0.27111020259848928</v>
      </c>
      <c r="R13" s="31">
        <v>0.1</v>
      </c>
      <c r="S13" s="119">
        <f t="shared" si="1"/>
        <v>106.97500000000001</v>
      </c>
      <c r="T13" s="119">
        <f t="shared" ref="T13:AB13" si="17">S13*(1+$R13)</f>
        <v>117.67250000000001</v>
      </c>
      <c r="U13" s="119">
        <f t="shared" si="17"/>
        <v>129.43975000000003</v>
      </c>
      <c r="V13" s="119">
        <f t="shared" si="17"/>
        <v>142.38372500000006</v>
      </c>
      <c r="W13" s="119">
        <f t="shared" si="17"/>
        <v>156.62209750000008</v>
      </c>
      <c r="X13" s="119">
        <f t="shared" si="17"/>
        <v>172.2843072500001</v>
      </c>
      <c r="Y13" s="119">
        <f t="shared" si="17"/>
        <v>189.51273797500014</v>
      </c>
      <c r="Z13" s="119">
        <f t="shared" si="17"/>
        <v>208.46401177250016</v>
      </c>
      <c r="AA13" s="119">
        <f t="shared" si="17"/>
        <v>229.3104129497502</v>
      </c>
      <c r="AB13" s="119">
        <f t="shared" si="17"/>
        <v>252.24145424472525</v>
      </c>
      <c r="AC13" s="118">
        <f t="shared" si="15"/>
        <v>0.16319422202698086</v>
      </c>
    </row>
    <row r="14" spans="2:29" x14ac:dyDescent="0.2">
      <c r="B14" s="20" t="s">
        <v>19</v>
      </c>
      <c r="C14" s="20"/>
      <c r="D14" s="20"/>
      <c r="E14" s="20"/>
      <c r="F14" s="20"/>
      <c r="G14" s="20">
        <v>379</v>
      </c>
      <c r="H14" s="20">
        <v>780</v>
      </c>
      <c r="I14" s="20">
        <v>1707</v>
      </c>
      <c r="J14" s="20">
        <v>3997</v>
      </c>
      <c r="K14" s="20">
        <v>17744.71</v>
      </c>
      <c r="L14" s="20">
        <v>22137.81</v>
      </c>
      <c r="M14" s="20">
        <v>17538.18</v>
      </c>
      <c r="N14" s="20">
        <v>16914.580000000002</v>
      </c>
      <c r="O14" s="20">
        <v>19727.939999999999</v>
      </c>
      <c r="P14" s="20">
        <v>19727.939999999999</v>
      </c>
      <c r="Q14" s="118">
        <f t="shared" si="3"/>
        <v>0.63891079593149236</v>
      </c>
      <c r="R14" s="31">
        <v>0.1</v>
      </c>
      <c r="S14" s="119">
        <f t="shared" si="1"/>
        <v>21700.734</v>
      </c>
      <c r="T14" s="119">
        <f t="shared" ref="T14:AB14" si="18">S14*(1+$R14)</f>
        <v>23870.807400000002</v>
      </c>
      <c r="U14" s="119">
        <f t="shared" si="18"/>
        <v>26257.888140000003</v>
      </c>
      <c r="V14" s="119">
        <f t="shared" si="18"/>
        <v>28883.676954000006</v>
      </c>
      <c r="W14" s="119">
        <f t="shared" si="18"/>
        <v>31772.04464940001</v>
      </c>
      <c r="X14" s="119">
        <f t="shared" si="18"/>
        <v>34949.249114340011</v>
      </c>
      <c r="Y14" s="119">
        <f t="shared" si="18"/>
        <v>38444.174025774017</v>
      </c>
      <c r="Z14" s="119">
        <f t="shared" si="18"/>
        <v>42288.591428351421</v>
      </c>
      <c r="AA14" s="119">
        <f t="shared" si="18"/>
        <v>46517.450571186564</v>
      </c>
      <c r="AB14" s="119">
        <f t="shared" si="18"/>
        <v>51169.195628305228</v>
      </c>
      <c r="AC14" s="118">
        <f t="shared" si="15"/>
        <v>0.29456751286635319</v>
      </c>
    </row>
    <row r="15" spans="2:29" x14ac:dyDescent="0.2">
      <c r="B15" s="20" t="s">
        <v>23</v>
      </c>
      <c r="C15" s="20"/>
      <c r="D15" s="20"/>
      <c r="E15" s="20"/>
      <c r="F15" s="20"/>
      <c r="G15" s="20">
        <v>443</v>
      </c>
      <c r="H15" s="20">
        <v>990</v>
      </c>
      <c r="I15" s="20">
        <v>2544</v>
      </c>
      <c r="J15" s="20">
        <v>4600</v>
      </c>
      <c r="K15" s="20">
        <v>10233.33</v>
      </c>
      <c r="L15" s="20">
        <v>10143.75</v>
      </c>
      <c r="M15" s="20">
        <v>7933.77</v>
      </c>
      <c r="N15" s="20">
        <v>6793.21</v>
      </c>
      <c r="O15" s="20">
        <v>3315.77</v>
      </c>
      <c r="P15" s="20">
        <v>3315.77</v>
      </c>
      <c r="Q15" s="118">
        <f t="shared" si="3"/>
        <v>0.28609362044694864</v>
      </c>
      <c r="R15" s="31">
        <v>0.1</v>
      </c>
      <c r="S15" s="119">
        <f t="shared" si="1"/>
        <v>3647.3470000000002</v>
      </c>
      <c r="T15" s="119">
        <f t="shared" ref="T15:AB15" si="19">S15*(1+$R15)</f>
        <v>4012.0817000000006</v>
      </c>
      <c r="U15" s="119">
        <f t="shared" si="19"/>
        <v>4413.2898700000014</v>
      </c>
      <c r="V15" s="119">
        <f t="shared" si="19"/>
        <v>4854.6188570000022</v>
      </c>
      <c r="W15" s="119">
        <f t="shared" si="19"/>
        <v>5340.0807427000027</v>
      </c>
      <c r="X15" s="119">
        <f t="shared" si="19"/>
        <v>5874.0888169700038</v>
      </c>
      <c r="Y15" s="119">
        <f t="shared" si="19"/>
        <v>6461.4976986670044</v>
      </c>
      <c r="Z15" s="119">
        <f t="shared" si="19"/>
        <v>7107.6474685337053</v>
      </c>
      <c r="AA15" s="119">
        <f t="shared" si="19"/>
        <v>7818.4122153870767</v>
      </c>
      <c r="AB15" s="119">
        <f t="shared" si="19"/>
        <v>8600.2534369257846</v>
      </c>
      <c r="AC15" s="118">
        <f t="shared" si="15"/>
        <v>0.16894784000615193</v>
      </c>
    </row>
    <row r="16" spans="2:29" x14ac:dyDescent="0.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29"/>
      <c r="R16" s="12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29"/>
    </row>
    <row r="17" spans="2:29" x14ac:dyDescent="0.2">
      <c r="B17" s="20" t="s">
        <v>279</v>
      </c>
      <c r="C17" s="20"/>
      <c r="D17" s="20"/>
      <c r="E17" s="20"/>
      <c r="F17" s="20"/>
      <c r="G17" s="20">
        <v>159</v>
      </c>
      <c r="H17" s="20">
        <v>278</v>
      </c>
      <c r="I17" s="20">
        <v>475</v>
      </c>
      <c r="J17" s="20">
        <v>3619</v>
      </c>
      <c r="K17" s="20">
        <v>4568</v>
      </c>
      <c r="L17" s="20">
        <v>13281</v>
      </c>
      <c r="M17" s="20">
        <v>10161</v>
      </c>
      <c r="N17" s="20">
        <v>10918</v>
      </c>
      <c r="O17" s="20">
        <v>12232.7</v>
      </c>
      <c r="P17" s="20">
        <v>12232.7</v>
      </c>
      <c r="Q17" s="118">
        <f>((P17/G17)^(1/($H$3-$H$2) ))-1</f>
        <v>0.72093968707625344</v>
      </c>
      <c r="R17" s="31">
        <v>0.1</v>
      </c>
      <c r="S17" s="119">
        <f t="shared" ref="S17:S24" si="20">P17*(1+$R17)</f>
        <v>13455.970000000001</v>
      </c>
      <c r="T17" s="119">
        <f t="shared" ref="T17:T24" si="21">S17*(1+$R17)</f>
        <v>14801.567000000003</v>
      </c>
      <c r="U17" s="119">
        <f t="shared" ref="U17:U24" si="22">T17*(1+$R17)</f>
        <v>16281.723700000004</v>
      </c>
      <c r="V17" s="119">
        <f t="shared" ref="V17:V24" si="23">U17*(1+$R17)</f>
        <v>17909.896070000006</v>
      </c>
      <c r="W17" s="119">
        <f t="shared" ref="W17:W24" si="24">V17*(1+$R17)</f>
        <v>19700.885677000009</v>
      </c>
      <c r="X17" s="119">
        <f t="shared" ref="X17:X24" si="25">W17*(1+$R17)</f>
        <v>21670.974244700014</v>
      </c>
      <c r="Y17" s="119">
        <f t="shared" ref="Y17:Y24" si="26">X17*(1+$R17)</f>
        <v>23838.071669170018</v>
      </c>
      <c r="Z17" s="119">
        <f t="shared" ref="Z17:Z24" si="27">Y17*(1+$R17)</f>
        <v>26221.87883608702</v>
      </c>
      <c r="AA17" s="119">
        <f t="shared" ref="AA17:AA24" si="28">Z17*(1+$R17)</f>
        <v>28844.066719695726</v>
      </c>
      <c r="AB17" s="119">
        <f t="shared" ref="AB17:AB24" si="29">AA17*(1+$R17)</f>
        <v>31728.473391665302</v>
      </c>
      <c r="AC17" s="118">
        <f t="shared" si="15"/>
        <v>0.32146410594331032</v>
      </c>
    </row>
    <row r="18" spans="2:29" x14ac:dyDescent="0.2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29"/>
      <c r="R18" s="12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29"/>
    </row>
    <row r="19" spans="2:29" x14ac:dyDescent="0.2">
      <c r="B19" s="20" t="s">
        <v>89</v>
      </c>
      <c r="C19" s="20"/>
      <c r="D19" s="20"/>
      <c r="E19" s="20"/>
      <c r="F19" s="20"/>
      <c r="G19" s="20">
        <v>894.97</v>
      </c>
      <c r="H19" s="20">
        <v>2027.16</v>
      </c>
      <c r="I19" s="20">
        <v>4021.7</v>
      </c>
      <c r="J19" s="20">
        <v>9141.93</v>
      </c>
      <c r="K19" s="20">
        <v>13679.43</v>
      </c>
      <c r="L19" s="20">
        <v>26081.7</v>
      </c>
      <c r="M19" s="20">
        <v>20619.66</v>
      </c>
      <c r="N19" s="20">
        <v>17879.13</v>
      </c>
      <c r="O19" s="20">
        <v>21082.37</v>
      </c>
      <c r="P19" s="20">
        <v>22000</v>
      </c>
      <c r="Q19" s="118">
        <f>((P19/G19)^(1/($H$3-$H$2) ))-1</f>
        <v>0.49219910575059456</v>
      </c>
      <c r="R19" s="31">
        <v>0.1</v>
      </c>
      <c r="S19" s="119">
        <f t="shared" si="20"/>
        <v>24200.000000000004</v>
      </c>
      <c r="T19" s="119">
        <f t="shared" si="21"/>
        <v>26620.000000000007</v>
      </c>
      <c r="U19" s="119">
        <f t="shared" si="22"/>
        <v>29282.000000000011</v>
      </c>
      <c r="V19" s="119">
        <f t="shared" si="23"/>
        <v>32210.200000000015</v>
      </c>
      <c r="W19" s="119">
        <f t="shared" si="24"/>
        <v>35431.220000000023</v>
      </c>
      <c r="X19" s="119">
        <f t="shared" si="25"/>
        <v>38974.342000000026</v>
      </c>
      <c r="Y19" s="119">
        <f t="shared" si="26"/>
        <v>42871.776200000029</v>
      </c>
      <c r="Z19" s="119">
        <f t="shared" si="27"/>
        <v>47158.953820000039</v>
      </c>
      <c r="AA19" s="119">
        <f t="shared" si="28"/>
        <v>51874.849202000049</v>
      </c>
      <c r="AB19" s="119">
        <f t="shared" si="29"/>
        <v>57062.33412220006</v>
      </c>
      <c r="AC19" s="118">
        <f t="shared" si="15"/>
        <v>0.24444539506229224</v>
      </c>
    </row>
    <row r="20" spans="2:29" x14ac:dyDescent="0.2">
      <c r="B20" s="20" t="s">
        <v>262</v>
      </c>
      <c r="C20" s="20"/>
      <c r="D20" s="20"/>
      <c r="E20" s="20"/>
      <c r="F20" s="20"/>
      <c r="G20" s="20">
        <v>705.4</v>
      </c>
      <c r="H20" s="20">
        <v>1534.77</v>
      </c>
      <c r="I20" s="20">
        <v>3067.83</v>
      </c>
      <c r="J20" s="20">
        <v>7723.82</v>
      </c>
      <c r="K20" s="20">
        <v>12312.69</v>
      </c>
      <c r="L20" s="20">
        <v>24318.14</v>
      </c>
      <c r="M20" s="20">
        <v>19459.25</v>
      </c>
      <c r="N20" s="20">
        <v>16507.599999999999</v>
      </c>
      <c r="O20" s="20">
        <v>19087.740000000002</v>
      </c>
      <c r="P20" s="20">
        <v>20000</v>
      </c>
      <c r="Q20" s="118">
        <f>((P20/G20)^(1/($H$3-$H$2) ))-1</f>
        <v>0.51905786471565896</v>
      </c>
      <c r="R20" s="31">
        <v>0.1</v>
      </c>
      <c r="S20" s="119">
        <f t="shared" si="20"/>
        <v>22000</v>
      </c>
      <c r="T20" s="119">
        <f t="shared" si="21"/>
        <v>24200.000000000004</v>
      </c>
      <c r="U20" s="119">
        <f t="shared" si="22"/>
        <v>26620.000000000007</v>
      </c>
      <c r="V20" s="119">
        <f t="shared" si="23"/>
        <v>29282.000000000011</v>
      </c>
      <c r="W20" s="119">
        <f t="shared" si="24"/>
        <v>32210.200000000015</v>
      </c>
      <c r="X20" s="119">
        <f t="shared" si="25"/>
        <v>35431.220000000023</v>
      </c>
      <c r="Y20" s="119">
        <f t="shared" si="26"/>
        <v>38974.342000000026</v>
      </c>
      <c r="Z20" s="119">
        <f t="shared" si="27"/>
        <v>42871.776200000029</v>
      </c>
      <c r="AA20" s="119">
        <f t="shared" si="28"/>
        <v>47158.953820000039</v>
      </c>
      <c r="AB20" s="119">
        <f t="shared" si="29"/>
        <v>51874.849202000049</v>
      </c>
      <c r="AC20" s="118">
        <f t="shared" si="15"/>
        <v>0.25382801122644794</v>
      </c>
    </row>
    <row r="21" spans="2:29" x14ac:dyDescent="0.2">
      <c r="B21" s="20" t="s">
        <v>280</v>
      </c>
      <c r="C21" s="20"/>
      <c r="D21" s="20"/>
      <c r="E21" s="20"/>
      <c r="F21" s="20"/>
      <c r="G21" s="20">
        <v>550.65</v>
      </c>
      <c r="H21" s="20">
        <v>1210.3900000000001</v>
      </c>
      <c r="I21" s="20">
        <v>2479.5500000000002</v>
      </c>
      <c r="J21" s="20">
        <v>6000.36</v>
      </c>
      <c r="K21" s="20">
        <v>9708.27</v>
      </c>
      <c r="L21" s="20">
        <v>18270.509999999998</v>
      </c>
      <c r="M21" s="20">
        <v>13663.8</v>
      </c>
      <c r="N21" s="20">
        <v>11962.49</v>
      </c>
      <c r="O21" s="20">
        <v>13750.23</v>
      </c>
      <c r="P21" s="20">
        <v>13000</v>
      </c>
      <c r="Q21" s="118">
        <f>((P21/G21)^(1/($H$3-$H$2) ))-1</f>
        <v>0.48468206951298365</v>
      </c>
      <c r="R21" s="31">
        <v>0.1</v>
      </c>
      <c r="S21" s="119">
        <f t="shared" si="20"/>
        <v>14300.000000000002</v>
      </c>
      <c r="T21" s="119">
        <f t="shared" si="21"/>
        <v>15730.000000000004</v>
      </c>
      <c r="U21" s="119">
        <f t="shared" si="22"/>
        <v>17303.000000000004</v>
      </c>
      <c r="V21" s="119">
        <f t="shared" si="23"/>
        <v>19033.300000000007</v>
      </c>
      <c r="W21" s="119">
        <f t="shared" si="24"/>
        <v>20936.630000000008</v>
      </c>
      <c r="X21" s="119">
        <f t="shared" si="25"/>
        <v>23030.293000000012</v>
      </c>
      <c r="Y21" s="119">
        <f t="shared" si="26"/>
        <v>25333.322300000014</v>
      </c>
      <c r="Z21" s="119">
        <f t="shared" si="27"/>
        <v>27866.654530000018</v>
      </c>
      <c r="AA21" s="119">
        <f t="shared" si="28"/>
        <v>30653.319983000023</v>
      </c>
      <c r="AB21" s="119">
        <f t="shared" si="29"/>
        <v>33718.651981300027</v>
      </c>
      <c r="AC21" s="118">
        <f t="shared" si="15"/>
        <v>0.24180197229705125</v>
      </c>
    </row>
    <row r="22" spans="2:29" x14ac:dyDescent="0.2">
      <c r="B22" s="20" t="s">
        <v>270</v>
      </c>
      <c r="C22" s="20"/>
      <c r="D22" s="20"/>
      <c r="E22" s="20"/>
      <c r="F22" s="20"/>
      <c r="G22" s="20">
        <v>127</v>
      </c>
      <c r="H22" s="20">
        <v>162</v>
      </c>
      <c r="I22" s="20">
        <v>243</v>
      </c>
      <c r="J22" s="20">
        <v>496</v>
      </c>
      <c r="K22" s="20">
        <v>224.57</v>
      </c>
      <c r="L22" s="20">
        <v>729.44</v>
      </c>
      <c r="M22" s="20">
        <v>386.73</v>
      </c>
      <c r="N22" s="20">
        <v>2578.73</v>
      </c>
      <c r="O22" s="20">
        <v>2911.2</v>
      </c>
      <c r="P22" s="20">
        <v>3000</v>
      </c>
      <c r="Q22" s="118">
        <f>((P22/G22)^(1/($H$3-$H$2) ))-1</f>
        <v>0.48478883003884499</v>
      </c>
      <c r="R22" s="31">
        <v>0.1</v>
      </c>
      <c r="S22" s="119">
        <f t="shared" si="20"/>
        <v>3300.0000000000005</v>
      </c>
      <c r="T22" s="119">
        <f t="shared" si="21"/>
        <v>3630.0000000000009</v>
      </c>
      <c r="U22" s="119">
        <f t="shared" si="22"/>
        <v>3993.0000000000014</v>
      </c>
      <c r="V22" s="119">
        <f t="shared" si="23"/>
        <v>4392.300000000002</v>
      </c>
      <c r="W22" s="119">
        <f t="shared" si="24"/>
        <v>4831.5300000000025</v>
      </c>
      <c r="X22" s="119">
        <f t="shared" si="25"/>
        <v>5314.6830000000027</v>
      </c>
      <c r="Y22" s="119">
        <f t="shared" si="26"/>
        <v>5846.1513000000032</v>
      </c>
      <c r="Z22" s="119">
        <f t="shared" si="27"/>
        <v>6430.7664300000042</v>
      </c>
      <c r="AA22" s="119">
        <f t="shared" si="28"/>
        <v>7073.8430730000055</v>
      </c>
      <c r="AB22" s="119">
        <f t="shared" si="29"/>
        <v>7781.2273803000062</v>
      </c>
      <c r="AC22" s="118">
        <f t="shared" si="15"/>
        <v>0.24183956962081066</v>
      </c>
    </row>
    <row r="23" spans="2:29" x14ac:dyDescent="0.2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29"/>
      <c r="R23" s="12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29"/>
    </row>
    <row r="24" spans="2:29" x14ac:dyDescent="0.2">
      <c r="B24" s="20" t="s">
        <v>281</v>
      </c>
      <c r="C24" s="20"/>
      <c r="D24" s="20"/>
      <c r="E24" s="20"/>
      <c r="F24" s="20"/>
      <c r="G24" s="20">
        <v>145.12</v>
      </c>
      <c r="H24" s="20">
        <v>473.4</v>
      </c>
      <c r="I24" s="20">
        <v>902.03</v>
      </c>
      <c r="J24" s="20">
        <v>1364.74</v>
      </c>
      <c r="K24" s="20">
        <v>2034.7</v>
      </c>
      <c r="L24" s="20">
        <v>2849.71</v>
      </c>
      <c r="M24" s="20">
        <v>994.95</v>
      </c>
      <c r="N24" s="20">
        <v>794.46</v>
      </c>
      <c r="O24" s="20">
        <v>1544.36</v>
      </c>
      <c r="P24" s="20">
        <v>1544.36</v>
      </c>
      <c r="Q24" s="118">
        <f>((P24/G24)^(1/($H$3-$H$2) ))-1</f>
        <v>0.34393312772722795</v>
      </c>
      <c r="R24" s="31">
        <v>0.1</v>
      </c>
      <c r="S24" s="119">
        <f t="shared" si="20"/>
        <v>1698.796</v>
      </c>
      <c r="T24" s="119">
        <f t="shared" si="21"/>
        <v>1868.6756000000003</v>
      </c>
      <c r="U24" s="119">
        <f t="shared" si="22"/>
        <v>2055.5431600000006</v>
      </c>
      <c r="V24" s="119">
        <f t="shared" si="23"/>
        <v>2261.0974760000008</v>
      </c>
      <c r="W24" s="119">
        <f t="shared" si="24"/>
        <v>2487.2072236000013</v>
      </c>
      <c r="X24" s="119">
        <f t="shared" si="25"/>
        <v>2735.9279459600016</v>
      </c>
      <c r="Y24" s="119">
        <f t="shared" si="26"/>
        <v>3009.5207405560018</v>
      </c>
      <c r="Z24" s="119">
        <f t="shared" si="27"/>
        <v>3310.4728146116022</v>
      </c>
      <c r="AA24" s="119">
        <f t="shared" si="28"/>
        <v>3641.5200960727625</v>
      </c>
      <c r="AB24" s="119">
        <f t="shared" si="29"/>
        <v>4005.6721056800393</v>
      </c>
      <c r="AC24" s="118">
        <f t="shared" si="15"/>
        <v>0.19080150559049813</v>
      </c>
    </row>
    <row r="25" spans="2:29" x14ac:dyDescent="0.2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129"/>
      <c r="R25" s="12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29"/>
    </row>
    <row r="26" spans="2:29" x14ac:dyDescent="0.2">
      <c r="B26" s="20" t="s">
        <v>257</v>
      </c>
      <c r="C26" s="20"/>
      <c r="D26" s="20"/>
      <c r="E26" s="20"/>
      <c r="F26" s="20"/>
      <c r="G26" s="20">
        <v>144.91999999999999</v>
      </c>
      <c r="H26" s="20">
        <v>365.12</v>
      </c>
      <c r="I26" s="20">
        <v>760.52</v>
      </c>
      <c r="J26" s="20">
        <v>864.8</v>
      </c>
      <c r="K26" s="20">
        <v>1017.15</v>
      </c>
      <c r="L26" s="20">
        <v>428.87</v>
      </c>
      <c r="M26" s="20">
        <v>-989.73</v>
      </c>
      <c r="N26" s="134">
        <v>-1316.89</v>
      </c>
      <c r="O26" s="134">
        <v>-472.59</v>
      </c>
      <c r="P26" s="134">
        <f>O26</f>
        <v>-472.59</v>
      </c>
      <c r="Q26" s="118" t="e">
        <f>((P26/G26)^(1/($H$3-$H$2) ))-1</f>
        <v>#NUM!</v>
      </c>
      <c r="R26" s="31">
        <v>0.1</v>
      </c>
      <c r="S26" s="119">
        <f>P26*(1+$R26)</f>
        <v>-519.84900000000005</v>
      </c>
      <c r="T26" s="119">
        <f t="shared" ref="T26:AB26" si="30">S26*(1+$R26)</f>
        <v>-571.83390000000009</v>
      </c>
      <c r="U26" s="119">
        <f t="shared" si="30"/>
        <v>-629.01729000000012</v>
      </c>
      <c r="V26" s="119">
        <f t="shared" si="30"/>
        <v>-691.91901900000016</v>
      </c>
      <c r="W26" s="119">
        <f t="shared" si="30"/>
        <v>-761.11092090000022</v>
      </c>
      <c r="X26" s="119">
        <f t="shared" si="30"/>
        <v>-837.22201299000028</v>
      </c>
      <c r="Y26" s="119">
        <f t="shared" si="30"/>
        <v>-920.94421428900034</v>
      </c>
      <c r="Z26" s="119">
        <f t="shared" si="30"/>
        <v>-1013.0386357179004</v>
      </c>
      <c r="AA26" s="119">
        <f t="shared" si="30"/>
        <v>-1114.3424992896905</v>
      </c>
      <c r="AB26" s="119">
        <f t="shared" si="30"/>
        <v>-1225.7767492186597</v>
      </c>
      <c r="AC26" s="118">
        <f t="shared" si="15"/>
        <v>-2.1189337441892078</v>
      </c>
    </row>
    <row r="27" spans="2:29" x14ac:dyDescent="0.2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129"/>
      <c r="R27" s="12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29"/>
    </row>
    <row r="28" spans="2:29" x14ac:dyDescent="0.2">
      <c r="B28" s="20" t="s">
        <v>239</v>
      </c>
      <c r="C28" s="119">
        <v>1</v>
      </c>
      <c r="D28" s="119">
        <v>1</v>
      </c>
      <c r="E28" s="127">
        <v>1</v>
      </c>
      <c r="F28" s="127">
        <v>1</v>
      </c>
      <c r="G28" s="137">
        <v>2.4300000000000002</v>
      </c>
      <c r="H28" s="25">
        <v>8.6922999999999995</v>
      </c>
      <c r="I28" s="25">
        <v>28.75</v>
      </c>
      <c r="J28" s="119">
        <v>28.77</v>
      </c>
      <c r="K28" s="119">
        <v>149.69</v>
      </c>
      <c r="L28" s="112">
        <v>149.82</v>
      </c>
      <c r="M28" s="112">
        <v>155.66999999999999</v>
      </c>
      <c r="N28" s="112">
        <v>177.73</v>
      </c>
      <c r="O28" s="112">
        <v>177.73</v>
      </c>
      <c r="P28" s="112">
        <v>177.73</v>
      </c>
      <c r="Q28" s="118">
        <f>((P28/G28)^(1/($H$3-$H$2) ))-1</f>
        <v>0.71009134279552888</v>
      </c>
      <c r="R28" s="31">
        <v>0</v>
      </c>
      <c r="S28" s="119">
        <f t="shared" ref="S28" si="31">P28*(1+$R28)</f>
        <v>177.73</v>
      </c>
      <c r="T28" s="119">
        <f t="shared" ref="T28:AB28" si="32">S28*(1+$R28)</f>
        <v>177.73</v>
      </c>
      <c r="U28" s="119">
        <f t="shared" si="32"/>
        <v>177.73</v>
      </c>
      <c r="V28" s="119">
        <f t="shared" si="32"/>
        <v>177.73</v>
      </c>
      <c r="W28" s="119">
        <f t="shared" si="32"/>
        <v>177.73</v>
      </c>
      <c r="X28" s="119">
        <f t="shared" si="32"/>
        <v>177.73</v>
      </c>
      <c r="Y28" s="119">
        <f t="shared" si="32"/>
        <v>177.73</v>
      </c>
      <c r="Z28" s="119">
        <f t="shared" si="32"/>
        <v>177.73</v>
      </c>
      <c r="AA28" s="119">
        <f t="shared" si="32"/>
        <v>177.73</v>
      </c>
      <c r="AB28" s="119">
        <f t="shared" si="32"/>
        <v>177.73</v>
      </c>
      <c r="AC28" s="118">
        <f t="shared" si="15"/>
        <v>0.25346840914425761</v>
      </c>
    </row>
    <row r="29" spans="2:29" x14ac:dyDescent="0.2">
      <c r="B29" s="20"/>
      <c r="C29" s="20"/>
      <c r="D29" s="20"/>
      <c r="E29" s="128"/>
      <c r="F29" s="128"/>
      <c r="G29" s="128"/>
      <c r="H29" s="20"/>
      <c r="I29" s="20"/>
      <c r="J29" s="20"/>
      <c r="K29" s="20"/>
      <c r="L29" s="20"/>
      <c r="M29" s="20"/>
      <c r="N29" s="20"/>
      <c r="O29" s="20"/>
      <c r="P29" s="20"/>
      <c r="Q29" s="129"/>
      <c r="R29" s="12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29"/>
    </row>
    <row r="30" spans="2:29" x14ac:dyDescent="0.2">
      <c r="B30" s="108" t="s">
        <v>243</v>
      </c>
      <c r="C30" s="20"/>
      <c r="D30" s="20"/>
      <c r="E30" s="128"/>
      <c r="F30" s="128"/>
      <c r="G30" s="128"/>
      <c r="H30" s="20"/>
      <c r="I30" s="20"/>
      <c r="J30" s="20"/>
      <c r="K30" s="20"/>
      <c r="L30" s="20"/>
      <c r="M30" s="20"/>
      <c r="N30" s="20"/>
      <c r="O30" s="20"/>
      <c r="P30" s="20"/>
      <c r="Q30" s="129"/>
      <c r="R30" s="12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29"/>
    </row>
    <row r="31" spans="2:29" x14ac:dyDescent="0.2">
      <c r="B31" s="20" t="s">
        <v>258</v>
      </c>
      <c r="C31" s="25">
        <f t="shared" ref="C31:M31" si="33">C26/C28</f>
        <v>0</v>
      </c>
      <c r="D31" s="25">
        <f t="shared" si="33"/>
        <v>0</v>
      </c>
      <c r="E31" s="25">
        <f t="shared" si="33"/>
        <v>0</v>
      </c>
      <c r="F31" s="25">
        <f t="shared" si="33"/>
        <v>0</v>
      </c>
      <c r="G31" s="25">
        <f t="shared" si="33"/>
        <v>59.63786008230452</v>
      </c>
      <c r="H31" s="25">
        <f t="shared" si="33"/>
        <v>42.004992924772502</v>
      </c>
      <c r="I31" s="25">
        <f t="shared" si="33"/>
        <v>26.452869565217391</v>
      </c>
      <c r="J31" s="25">
        <f t="shared" si="33"/>
        <v>30.059089329162322</v>
      </c>
      <c r="K31" s="25">
        <f t="shared" si="33"/>
        <v>6.7950430890507043</v>
      </c>
      <c r="L31" s="25">
        <f t="shared" si="33"/>
        <v>2.8625684154318516</v>
      </c>
      <c r="M31" s="25">
        <f t="shared" si="33"/>
        <v>-6.3578724224320684</v>
      </c>
      <c r="N31" s="25">
        <f>N26/N28</f>
        <v>-7.4094975524672266</v>
      </c>
      <c r="O31" s="25">
        <f>O26/O28</f>
        <v>-2.659033365216902</v>
      </c>
      <c r="P31" s="25">
        <f>P26/P28</f>
        <v>-2.659033365216902</v>
      </c>
      <c r="Q31" s="118" t="e">
        <f>((P31/G31)^(1/($H$3-$H$2) ))-1</f>
        <v>#NUM!</v>
      </c>
      <c r="R31" s="31">
        <v>0.1</v>
      </c>
      <c r="S31" s="119">
        <f t="shared" ref="S31:S34" si="34">P31*(1+$R31)</f>
        <v>-2.9249367017385923</v>
      </c>
      <c r="T31" s="119">
        <f t="shared" ref="T31:AB34" si="35">S31*(1+$R31)</f>
        <v>-3.2174303719124517</v>
      </c>
      <c r="U31" s="119">
        <f t="shared" si="35"/>
        <v>-3.539173409103697</v>
      </c>
      <c r="V31" s="119">
        <f t="shared" si="35"/>
        <v>-3.8930907500140672</v>
      </c>
      <c r="W31" s="119">
        <f t="shared" si="35"/>
        <v>-4.2823998250154744</v>
      </c>
      <c r="X31" s="119">
        <f t="shared" si="35"/>
        <v>-4.7106398075170226</v>
      </c>
      <c r="Y31" s="119">
        <f t="shared" si="35"/>
        <v>-5.1817037882687256</v>
      </c>
      <c r="Z31" s="119">
        <f t="shared" si="35"/>
        <v>-5.699874167095599</v>
      </c>
      <c r="AA31" s="119">
        <f t="shared" si="35"/>
        <v>-6.2698615838051595</v>
      </c>
      <c r="AB31" s="119">
        <f t="shared" si="35"/>
        <v>-6.8968477421856758</v>
      </c>
      <c r="AC31" s="118">
        <f t="shared" ref="AC31:AC44" si="36">((AB31/G31)^(1/($AB$4-$H$2) ))-1</f>
        <v>-1.8926700792986904</v>
      </c>
    </row>
    <row r="32" spans="2:29" x14ac:dyDescent="0.2">
      <c r="B32" s="20" t="s">
        <v>245</v>
      </c>
      <c r="C32" s="25">
        <f t="shared" ref="C32:P32" si="37">C8/C28</f>
        <v>0</v>
      </c>
      <c r="D32" s="25">
        <f t="shared" si="37"/>
        <v>0</v>
      </c>
      <c r="E32" s="25">
        <f t="shared" si="37"/>
        <v>0</v>
      </c>
      <c r="F32" s="25">
        <f t="shared" si="37"/>
        <v>0</v>
      </c>
      <c r="G32" s="25">
        <f t="shared" si="37"/>
        <v>161.06172839506172</v>
      </c>
      <c r="H32" s="25">
        <f t="shared" si="37"/>
        <v>104.07256997572564</v>
      </c>
      <c r="I32" s="25">
        <f t="shared" si="37"/>
        <v>95.210086956521735</v>
      </c>
      <c r="J32" s="25">
        <f t="shared" si="37"/>
        <v>122.12652068126521</v>
      </c>
      <c r="K32" s="25">
        <f t="shared" si="37"/>
        <v>54.13728371968736</v>
      </c>
      <c r="L32" s="25">
        <f t="shared" si="37"/>
        <v>54.940795621412363</v>
      </c>
      <c r="M32" s="25">
        <f t="shared" si="37"/>
        <v>42.421596967945021</v>
      </c>
      <c r="N32" s="25">
        <f t="shared" si="37"/>
        <v>36.73032127384235</v>
      </c>
      <c r="O32" s="25">
        <f t="shared" ref="O32" si="38">O8/O28</f>
        <v>29.183480560400607</v>
      </c>
      <c r="P32" s="25">
        <f t="shared" si="37"/>
        <v>29.183480560400607</v>
      </c>
      <c r="Q32" s="118">
        <f>((P32/G32)^(1/($H$3-$H$2) ))-1</f>
        <v>-0.19226650706182169</v>
      </c>
      <c r="R32" s="31">
        <v>0.1</v>
      </c>
      <c r="S32" s="119">
        <f t="shared" si="34"/>
        <v>32.10182861644067</v>
      </c>
      <c r="T32" s="119">
        <f t="shared" si="35"/>
        <v>35.312011478084742</v>
      </c>
      <c r="U32" s="119">
        <f t="shared" si="35"/>
        <v>38.843212625893216</v>
      </c>
      <c r="V32" s="119">
        <f t="shared" si="35"/>
        <v>42.72753388848254</v>
      </c>
      <c r="W32" s="119">
        <f t="shared" si="35"/>
        <v>47.000287277330798</v>
      </c>
      <c r="X32" s="119">
        <f t="shared" si="35"/>
        <v>51.700316005063883</v>
      </c>
      <c r="Y32" s="119">
        <f t="shared" si="35"/>
        <v>56.870347605570274</v>
      </c>
      <c r="Z32" s="119">
        <f t="shared" si="35"/>
        <v>62.557382366127307</v>
      </c>
      <c r="AA32" s="119">
        <f t="shared" si="35"/>
        <v>68.813120602740042</v>
      </c>
      <c r="AB32" s="119">
        <f t="shared" si="35"/>
        <v>75.694432663014055</v>
      </c>
      <c r="AC32" s="118">
        <f t="shared" si="36"/>
        <v>-3.8961890762177931E-2</v>
      </c>
    </row>
    <row r="33" spans="2:29" x14ac:dyDescent="0.2">
      <c r="B33" s="20" t="s">
        <v>246</v>
      </c>
      <c r="C33" s="128">
        <f t="shared" ref="C33:P33" si="39">C7/C28</f>
        <v>0</v>
      </c>
      <c r="D33" s="128">
        <f t="shared" si="39"/>
        <v>0</v>
      </c>
      <c r="E33" s="128">
        <f t="shared" si="39"/>
        <v>0</v>
      </c>
      <c r="F33" s="128">
        <f t="shared" si="39"/>
        <v>0</v>
      </c>
      <c r="G33" s="128">
        <f t="shared" si="39"/>
        <v>143.63374485596705</v>
      </c>
      <c r="H33" s="128">
        <f t="shared" si="39"/>
        <v>80.802549382787078</v>
      </c>
      <c r="I33" s="128">
        <f t="shared" si="39"/>
        <v>84.233391304347833</v>
      </c>
      <c r="J33" s="128">
        <f t="shared" si="39"/>
        <v>108.53632255822038</v>
      </c>
      <c r="K33" s="128">
        <f t="shared" si="39"/>
        <v>52.052241298683946</v>
      </c>
      <c r="L33" s="128">
        <f t="shared" si="39"/>
        <v>52.220197570417838</v>
      </c>
      <c r="M33" s="128">
        <f t="shared" si="39"/>
        <v>40.304554506327491</v>
      </c>
      <c r="N33" s="128">
        <f t="shared" si="39"/>
        <v>34.601249085691784</v>
      </c>
      <c r="O33" s="128">
        <f t="shared" ref="O33" si="40">O7/O28</f>
        <v>27.150002813256062</v>
      </c>
      <c r="P33" s="128">
        <f t="shared" si="39"/>
        <v>27.150002813256062</v>
      </c>
      <c r="Q33" s="118">
        <f>((P33/G33)^(1/($H$3-$H$2) ))-1</f>
        <v>-0.18798477084574694</v>
      </c>
      <c r="R33" s="31">
        <v>0.1</v>
      </c>
      <c r="S33" s="119">
        <f t="shared" si="34"/>
        <v>29.86500309458167</v>
      </c>
      <c r="T33" s="119">
        <f t="shared" si="35"/>
        <v>32.851503404039839</v>
      </c>
      <c r="U33" s="119">
        <f t="shared" si="35"/>
        <v>36.136653744443826</v>
      </c>
      <c r="V33" s="119">
        <f t="shared" si="35"/>
        <v>39.750319118888214</v>
      </c>
      <c r="W33" s="119">
        <f t="shared" si="35"/>
        <v>43.725351030777041</v>
      </c>
      <c r="X33" s="119">
        <f t="shared" si="35"/>
        <v>48.09788613385475</v>
      </c>
      <c r="Y33" s="119">
        <f t="shared" si="35"/>
        <v>52.907674747240229</v>
      </c>
      <c r="Z33" s="119">
        <f t="shared" si="35"/>
        <v>58.198442221964257</v>
      </c>
      <c r="AA33" s="119">
        <f t="shared" si="35"/>
        <v>64.018286444160694</v>
      </c>
      <c r="AB33" s="119">
        <f t="shared" si="35"/>
        <v>70.420115088576765</v>
      </c>
      <c r="AC33" s="118">
        <f t="shared" si="36"/>
        <v>-3.6820165591229581E-2</v>
      </c>
    </row>
    <row r="34" spans="2:29" x14ac:dyDescent="0.2">
      <c r="B34" s="20" t="s">
        <v>247</v>
      </c>
      <c r="C34" s="128">
        <f t="shared" ref="C34:P34" si="41">C11/C28</f>
        <v>0</v>
      </c>
      <c r="D34" s="128">
        <f t="shared" si="41"/>
        <v>0</v>
      </c>
      <c r="E34" s="128">
        <f t="shared" si="41"/>
        <v>0</v>
      </c>
      <c r="F34" s="128">
        <f t="shared" si="41"/>
        <v>0</v>
      </c>
      <c r="G34" s="128">
        <f t="shared" si="41"/>
        <v>98.094650205761312</v>
      </c>
      <c r="H34" s="128">
        <f t="shared" si="41"/>
        <v>45.535704013897359</v>
      </c>
      <c r="I34" s="128">
        <f t="shared" si="41"/>
        <v>15.676521739130434</v>
      </c>
      <c r="J34" s="128">
        <f t="shared" si="41"/>
        <v>179.42440041710114</v>
      </c>
      <c r="K34" s="128">
        <f t="shared" si="41"/>
        <v>66.367760037410648</v>
      </c>
      <c r="L34" s="128">
        <f t="shared" si="41"/>
        <v>99.249566146041914</v>
      </c>
      <c r="M34" s="128">
        <f t="shared" si="41"/>
        <v>81.376887004560942</v>
      </c>
      <c r="N34" s="135">
        <f t="shared" si="41"/>
        <v>69.001575423395039</v>
      </c>
      <c r="O34" s="135">
        <f t="shared" ref="O34" si="42">O11/O28</f>
        <v>61.600517639115516</v>
      </c>
      <c r="P34" s="135">
        <f t="shared" si="41"/>
        <v>61.600517639115516</v>
      </c>
      <c r="Q34" s="118">
        <f>((P34/G34)^(1/($H$3-$H$2) ))-1</f>
        <v>-5.6498967323277749E-2</v>
      </c>
      <c r="R34" s="31">
        <v>0.1</v>
      </c>
      <c r="S34" s="119">
        <f t="shared" si="34"/>
        <v>67.760569403027077</v>
      </c>
      <c r="T34" s="119">
        <f t="shared" si="35"/>
        <v>74.536626343329786</v>
      </c>
      <c r="U34" s="119">
        <f t="shared" si="35"/>
        <v>81.990288977662772</v>
      </c>
      <c r="V34" s="119">
        <f t="shared" si="35"/>
        <v>90.189317875429055</v>
      </c>
      <c r="W34" s="119">
        <f t="shared" si="35"/>
        <v>99.208249662971966</v>
      </c>
      <c r="X34" s="119">
        <f t="shared" si="35"/>
        <v>109.12907462926917</v>
      </c>
      <c r="Y34" s="119">
        <f t="shared" si="35"/>
        <v>120.04198209219609</v>
      </c>
      <c r="Z34" s="119">
        <f t="shared" si="35"/>
        <v>132.04618030141572</v>
      </c>
      <c r="AA34" s="119">
        <f t="shared" si="35"/>
        <v>145.25079833155729</v>
      </c>
      <c r="AB34" s="119">
        <f t="shared" si="35"/>
        <v>159.77587816471302</v>
      </c>
      <c r="AC34" s="118">
        <f t="shared" si="36"/>
        <v>2.6008210871238058E-2</v>
      </c>
    </row>
    <row r="35" spans="2:29" x14ac:dyDescent="0.2">
      <c r="B35" s="20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9"/>
      <c r="R35" s="12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29"/>
    </row>
    <row r="36" spans="2:29" x14ac:dyDescent="0.2">
      <c r="B36" s="20" t="s">
        <v>272</v>
      </c>
      <c r="C36" s="128">
        <f>(C8-C11)/C28</f>
        <v>0</v>
      </c>
      <c r="D36" s="128">
        <f t="shared" ref="D36:P36" si="43">(D8-D11)/D28</f>
        <v>0</v>
      </c>
      <c r="E36" s="128">
        <f t="shared" si="43"/>
        <v>0</v>
      </c>
      <c r="F36" s="128">
        <f t="shared" si="43"/>
        <v>0</v>
      </c>
      <c r="G36" s="128">
        <f t="shared" si="43"/>
        <v>62.967078189300402</v>
      </c>
      <c r="H36" s="128">
        <f t="shared" si="43"/>
        <v>58.53686596182829</v>
      </c>
      <c r="I36" s="128">
        <f t="shared" si="43"/>
        <v>79.533565217391313</v>
      </c>
      <c r="J36" s="128">
        <f t="shared" si="43"/>
        <v>-57.297879735835942</v>
      </c>
      <c r="K36" s="128">
        <f t="shared" si="43"/>
        <v>-12.230476317723292</v>
      </c>
      <c r="L36" s="128">
        <f t="shared" si="43"/>
        <v>-44.308770524629558</v>
      </c>
      <c r="M36" s="128">
        <f t="shared" si="43"/>
        <v>-38.955290036615921</v>
      </c>
      <c r="N36" s="128">
        <f t="shared" si="43"/>
        <v>-32.271254149552689</v>
      </c>
      <c r="O36" s="128">
        <f t="shared" ref="O36" si="44">(O8-O11)/O28</f>
        <v>-32.417037078714912</v>
      </c>
      <c r="P36" s="128">
        <f t="shared" si="43"/>
        <v>-32.417037078714912</v>
      </c>
      <c r="Q36" s="118" t="e">
        <f>((P36/G36)^(1/($H$3-$H$2) ))-1</f>
        <v>#NUM!</v>
      </c>
      <c r="R36" s="31">
        <v>0.1</v>
      </c>
      <c r="S36" s="119">
        <f t="shared" ref="S36" si="45">P36*(1+$R36)</f>
        <v>-35.658740786586407</v>
      </c>
      <c r="T36" s="119">
        <f t="shared" ref="T36" si="46">S36*(1+$R36)</f>
        <v>-39.224614865245051</v>
      </c>
      <c r="U36" s="119">
        <f t="shared" ref="U36" si="47">T36*(1+$R36)</f>
        <v>-43.147076351769563</v>
      </c>
      <c r="V36" s="119">
        <f t="shared" ref="V36" si="48">U36*(1+$R36)</f>
        <v>-47.461783986946521</v>
      </c>
      <c r="W36" s="119">
        <f t="shared" ref="W36" si="49">V36*(1+$R36)</f>
        <v>-52.207962385641174</v>
      </c>
      <c r="X36" s="119">
        <f t="shared" ref="X36" si="50">W36*(1+$R36)</f>
        <v>-57.428758624205294</v>
      </c>
      <c r="Y36" s="119">
        <f t="shared" ref="Y36" si="51">X36*(1+$R36)</f>
        <v>-63.171634486625827</v>
      </c>
      <c r="Z36" s="119">
        <f t="shared" ref="Z36" si="52">Y36*(1+$R36)</f>
        <v>-69.488797935288417</v>
      </c>
      <c r="AA36" s="119">
        <f t="shared" ref="AA36" si="53">Z36*(1+$R36)</f>
        <v>-76.437677728817263</v>
      </c>
      <c r="AB36" s="119">
        <f t="shared" ref="AB36" si="54">AA36*(1+$R36)</f>
        <v>-84.081445501698994</v>
      </c>
      <c r="AC36" s="118">
        <f t="shared" si="36"/>
        <v>-2.0153360879218436</v>
      </c>
    </row>
    <row r="37" spans="2:29" x14ac:dyDescent="0.2">
      <c r="B37" s="20" t="s">
        <v>273</v>
      </c>
      <c r="C37" s="128">
        <f>(C8-C11-C10)/C28</f>
        <v>0</v>
      </c>
      <c r="D37" s="128">
        <f t="shared" ref="D37:P37" si="55">(D8-D11-D10)/D28</f>
        <v>0</v>
      </c>
      <c r="E37" s="128">
        <f t="shared" si="55"/>
        <v>0</v>
      </c>
      <c r="F37" s="128">
        <f t="shared" si="55"/>
        <v>0</v>
      </c>
      <c r="G37" s="128">
        <f t="shared" si="55"/>
        <v>-93.139917695473244</v>
      </c>
      <c r="H37" s="128">
        <f t="shared" si="55"/>
        <v>-31.301266638289061</v>
      </c>
      <c r="I37" s="128">
        <f t="shared" si="55"/>
        <v>20.131130434782616</v>
      </c>
      <c r="J37" s="128">
        <f t="shared" si="55"/>
        <v>-196.20542231491137</v>
      </c>
      <c r="K37" s="128">
        <f t="shared" si="55"/>
        <v>-121.87153450464291</v>
      </c>
      <c r="L37" s="128">
        <f t="shared" si="55"/>
        <v>-111.86563876651982</v>
      </c>
      <c r="M37" s="128">
        <f t="shared" si="55"/>
        <v>-100.6525342069763</v>
      </c>
      <c r="N37" s="128">
        <f t="shared" si="55"/>
        <v>-99.755978169132945</v>
      </c>
      <c r="O37" s="128">
        <f t="shared" ref="O37" si="56">(O8-O11-O10)/O28</f>
        <v>-74.679907725201161</v>
      </c>
      <c r="P37" s="128">
        <f t="shared" si="55"/>
        <v>-74.679907725201161</v>
      </c>
      <c r="Q37" s="118">
        <f>((P37/G37)^(1/($H$3-$H$2) ))-1</f>
        <v>-2.723375905891956E-2</v>
      </c>
      <c r="R37" s="31">
        <v>0.1</v>
      </c>
      <c r="S37" s="119">
        <f t="shared" ref="S37" si="57">P37*(1+$R37)</f>
        <v>-82.147898497721286</v>
      </c>
      <c r="T37" s="119">
        <f t="shared" ref="T37" si="58">S37*(1+$R37)</f>
        <v>-90.362688347493417</v>
      </c>
      <c r="U37" s="119">
        <f t="shared" ref="U37" si="59">T37*(1+$R37)</f>
        <v>-99.398957182242768</v>
      </c>
      <c r="V37" s="119">
        <f t="shared" ref="V37" si="60">U37*(1+$R37)</f>
        <v>-109.33885290046706</v>
      </c>
      <c r="W37" s="119">
        <f t="shared" ref="W37" si="61">V37*(1+$R37)</f>
        <v>-120.27273819051378</v>
      </c>
      <c r="X37" s="119">
        <f t="shared" ref="X37" si="62">W37*(1+$R37)</f>
        <v>-132.30001200956517</v>
      </c>
      <c r="Y37" s="119">
        <f t="shared" ref="Y37" si="63">X37*(1+$R37)</f>
        <v>-145.5300132105217</v>
      </c>
      <c r="Z37" s="119">
        <f t="shared" ref="Z37" si="64">Y37*(1+$R37)</f>
        <v>-160.08301453157389</v>
      </c>
      <c r="AA37" s="119">
        <f t="shared" ref="AA37" si="65">Z37*(1+$R37)</f>
        <v>-176.0913159847313</v>
      </c>
      <c r="AB37" s="119">
        <f t="shared" ref="AB37" si="66">AA37*(1+$R37)</f>
        <v>-193.70044758320444</v>
      </c>
      <c r="AC37" s="118">
        <f t="shared" si="36"/>
        <v>3.9289565731546849E-2</v>
      </c>
    </row>
    <row r="38" spans="2:29" x14ac:dyDescent="0.2">
      <c r="B38" s="20" t="s">
        <v>278</v>
      </c>
      <c r="C38" s="128">
        <f>(C8+C14-C11-C10)/C28</f>
        <v>0</v>
      </c>
      <c r="D38" s="128">
        <f t="shared" ref="D38:P38" si="67">(D8+D14-D11-D10)/D28</f>
        <v>0</v>
      </c>
      <c r="E38" s="128">
        <f t="shared" si="67"/>
        <v>0</v>
      </c>
      <c r="F38" s="128">
        <f t="shared" si="67"/>
        <v>0</v>
      </c>
      <c r="G38" s="128">
        <f t="shared" si="67"/>
        <v>62.827160493827165</v>
      </c>
      <c r="H38" s="128">
        <f t="shared" si="67"/>
        <v>58.433326047191215</v>
      </c>
      <c r="I38" s="128">
        <f t="shared" si="67"/>
        <v>79.505043478260887</v>
      </c>
      <c r="J38" s="128">
        <f t="shared" si="67"/>
        <v>-57.275981925616961</v>
      </c>
      <c r="K38" s="128">
        <f t="shared" si="67"/>
        <v>-3.3284788563030125</v>
      </c>
      <c r="L38" s="128">
        <f t="shared" si="67"/>
        <v>35.897076491790152</v>
      </c>
      <c r="M38" s="128">
        <f t="shared" si="67"/>
        <v>12.01002119868954</v>
      </c>
      <c r="N38" s="128">
        <f t="shared" si="67"/>
        <v>-4.5858887075901409</v>
      </c>
      <c r="O38" s="128">
        <f t="shared" ref="O38" si="68">(O8+O14-O11-O10)/O28</f>
        <v>36.319585888707579</v>
      </c>
      <c r="P38" s="128">
        <f t="shared" si="67"/>
        <v>36.319585888707579</v>
      </c>
      <c r="Q38" s="118">
        <f>((P38/G38)^(1/($H$3-$H$2) ))-1</f>
        <v>-6.6210078965926344E-2</v>
      </c>
      <c r="R38" s="31">
        <v>0.1</v>
      </c>
      <c r="S38" s="119">
        <f t="shared" ref="S38" si="69">P38*(1+$R38)</f>
        <v>39.951544477578338</v>
      </c>
      <c r="T38" s="119">
        <f t="shared" ref="T38" si="70">S38*(1+$R38)</f>
        <v>43.946698925336172</v>
      </c>
      <c r="U38" s="119">
        <f t="shared" ref="U38" si="71">T38*(1+$R38)</f>
        <v>48.341368817869792</v>
      </c>
      <c r="V38" s="119">
        <f t="shared" ref="V38" si="72">U38*(1+$R38)</f>
        <v>53.175505699656775</v>
      </c>
      <c r="W38" s="119">
        <f t="shared" ref="W38" si="73">V38*(1+$R38)</f>
        <v>58.493056269622457</v>
      </c>
      <c r="X38" s="119">
        <f t="shared" ref="X38" si="74">W38*(1+$R38)</f>
        <v>64.342361896584706</v>
      </c>
      <c r="Y38" s="119">
        <f t="shared" ref="Y38" si="75">X38*(1+$R38)</f>
        <v>70.776598086243183</v>
      </c>
      <c r="Z38" s="119">
        <f t="shared" ref="Z38" si="76">Y38*(1+$R38)</f>
        <v>77.854257894867501</v>
      </c>
      <c r="AA38" s="119">
        <f t="shared" ref="AA38" si="77">Z38*(1+$R38)</f>
        <v>85.639683684354253</v>
      </c>
      <c r="AB38" s="119">
        <f t="shared" ref="AB38" si="78">AA38*(1+$R38)</f>
        <v>94.203652052789693</v>
      </c>
      <c r="AC38" s="118">
        <f t="shared" si="36"/>
        <v>2.1548436797552695E-2</v>
      </c>
    </row>
    <row r="39" spans="2:29" x14ac:dyDescent="0.2">
      <c r="B39" s="20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9"/>
      <c r="R39" s="12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29"/>
    </row>
    <row r="40" spans="2:29" x14ac:dyDescent="0.2">
      <c r="B40" s="20" t="s">
        <v>248</v>
      </c>
      <c r="C40" s="128">
        <f t="shared" ref="C40:P40" si="79">C12/C28</f>
        <v>0</v>
      </c>
      <c r="D40" s="128">
        <f t="shared" si="79"/>
        <v>0</v>
      </c>
      <c r="E40" s="128">
        <f t="shared" si="79"/>
        <v>0</v>
      </c>
      <c r="F40" s="128">
        <f t="shared" si="79"/>
        <v>0</v>
      </c>
      <c r="G40" s="128">
        <f t="shared" si="79"/>
        <v>28.008230452674898</v>
      </c>
      <c r="H40" s="128">
        <f t="shared" si="79"/>
        <v>8.513281870160947</v>
      </c>
      <c r="I40" s="128">
        <f t="shared" si="79"/>
        <v>5.6347826086956525</v>
      </c>
      <c r="J40" s="128">
        <f t="shared" si="79"/>
        <v>43.517553006604103</v>
      </c>
      <c r="K40" s="128">
        <f t="shared" si="79"/>
        <v>8.2656824103146498</v>
      </c>
      <c r="L40" s="128">
        <f t="shared" si="79"/>
        <v>5.6592577759978644</v>
      </c>
      <c r="M40" s="128">
        <f t="shared" si="79"/>
        <v>9.714267360441962</v>
      </c>
      <c r="N40" s="128">
        <f t="shared" si="79"/>
        <v>17.561807235694594</v>
      </c>
      <c r="O40" s="128">
        <f t="shared" ref="O40" si="80">O12/O28</f>
        <v>14.811680639171778</v>
      </c>
      <c r="P40" s="128">
        <f t="shared" si="79"/>
        <v>14.811680639171778</v>
      </c>
      <c r="Q40" s="118">
        <f>((P40/G40)^(1/($H$3-$H$2) ))-1</f>
        <v>-7.6546921278609514E-2</v>
      </c>
      <c r="R40" s="31">
        <v>0.1</v>
      </c>
      <c r="S40" s="119">
        <f t="shared" ref="S40:S44" si="81">P40*(1+$R40)</f>
        <v>16.292848703088957</v>
      </c>
      <c r="T40" s="119">
        <f t="shared" ref="T40:AB44" si="82">S40*(1+$R40)</f>
        <v>17.922133573397854</v>
      </c>
      <c r="U40" s="119">
        <f t="shared" si="82"/>
        <v>19.714346930737641</v>
      </c>
      <c r="V40" s="119">
        <f t="shared" si="82"/>
        <v>21.685781623811405</v>
      </c>
      <c r="W40" s="119">
        <f t="shared" si="82"/>
        <v>23.854359786192546</v>
      </c>
      <c r="X40" s="119">
        <f t="shared" si="82"/>
        <v>26.239795764811802</v>
      </c>
      <c r="Y40" s="119">
        <f t="shared" si="82"/>
        <v>28.863775341292985</v>
      </c>
      <c r="Z40" s="119">
        <f t="shared" si="82"/>
        <v>31.750152875422287</v>
      </c>
      <c r="AA40" s="119">
        <f t="shared" si="82"/>
        <v>34.925168162964518</v>
      </c>
      <c r="AB40" s="119">
        <f t="shared" si="82"/>
        <v>38.417684979260976</v>
      </c>
      <c r="AC40" s="118">
        <f t="shared" si="36"/>
        <v>1.6771696493346866E-2</v>
      </c>
    </row>
    <row r="41" spans="2:29" x14ac:dyDescent="0.2">
      <c r="B41" s="20" t="s">
        <v>255</v>
      </c>
      <c r="C41" s="128">
        <f t="shared" ref="C41:P41" si="83">C13/C28</f>
        <v>0</v>
      </c>
      <c r="D41" s="128">
        <f t="shared" si="83"/>
        <v>0</v>
      </c>
      <c r="E41" s="128">
        <f t="shared" si="83"/>
        <v>0</v>
      </c>
      <c r="F41" s="128">
        <f t="shared" si="83"/>
        <v>0</v>
      </c>
      <c r="G41" s="128">
        <f t="shared" si="83"/>
        <v>5.8724279835390938</v>
      </c>
      <c r="H41" s="128">
        <f t="shared" si="83"/>
        <v>0.89274415287093178</v>
      </c>
      <c r="I41" s="128">
        <f t="shared" si="83"/>
        <v>0.26434782608695651</v>
      </c>
      <c r="J41" s="128">
        <f t="shared" si="83"/>
        <v>0.54118873826903025</v>
      </c>
      <c r="K41" s="128">
        <f t="shared" si="83"/>
        <v>20.9885763912085</v>
      </c>
      <c r="L41" s="128">
        <f t="shared" si="83"/>
        <v>3.390735549325858E-2</v>
      </c>
      <c r="M41" s="128">
        <f t="shared" si="83"/>
        <v>7.0167019978158933</v>
      </c>
      <c r="N41" s="128">
        <f t="shared" si="83"/>
        <v>5.4402183086704552</v>
      </c>
      <c r="O41" s="128">
        <f t="shared" ref="O41" si="84">O13/O28</f>
        <v>0.54717830416924551</v>
      </c>
      <c r="P41" s="128">
        <f t="shared" si="83"/>
        <v>0.54717830416924551</v>
      </c>
      <c r="Q41" s="118">
        <f>((P41/G41)^(1/($H$3-$H$2) ))-1</f>
        <v>-0.25670040494996371</v>
      </c>
      <c r="R41" s="31">
        <v>0.1</v>
      </c>
      <c r="S41" s="119">
        <f t="shared" si="81"/>
        <v>0.60189613458617008</v>
      </c>
      <c r="T41" s="119">
        <f t="shared" si="82"/>
        <v>0.66208574804478715</v>
      </c>
      <c r="U41" s="119">
        <f t="shared" si="82"/>
        <v>0.72829432284926587</v>
      </c>
      <c r="V41" s="119">
        <f t="shared" si="82"/>
        <v>0.80112375513419254</v>
      </c>
      <c r="W41" s="119">
        <f t="shared" si="82"/>
        <v>0.88123613064761186</v>
      </c>
      <c r="X41" s="119">
        <f t="shared" si="82"/>
        <v>0.9693597437123731</v>
      </c>
      <c r="Y41" s="119">
        <f t="shared" si="82"/>
        <v>1.0662957180836106</v>
      </c>
      <c r="Z41" s="119">
        <f t="shared" si="82"/>
        <v>1.1729252898919718</v>
      </c>
      <c r="AA41" s="119">
        <f t="shared" si="82"/>
        <v>1.290217818881169</v>
      </c>
      <c r="AB41" s="119">
        <f t="shared" si="82"/>
        <v>1.419239600769286</v>
      </c>
      <c r="AC41" s="118">
        <f t="shared" si="36"/>
        <v>-7.2019515177815241E-2</v>
      </c>
    </row>
    <row r="42" spans="2:29" x14ac:dyDescent="0.2">
      <c r="B42" s="20" t="s">
        <v>256</v>
      </c>
      <c r="C42" s="128">
        <f>(C40+C41)</f>
        <v>0</v>
      </c>
      <c r="D42" s="128">
        <f t="shared" ref="D42:P42" si="85">(D40+D41)</f>
        <v>0</v>
      </c>
      <c r="E42" s="128">
        <f t="shared" si="85"/>
        <v>0</v>
      </c>
      <c r="F42" s="128">
        <f t="shared" si="85"/>
        <v>0</v>
      </c>
      <c r="G42" s="128">
        <f t="shared" si="85"/>
        <v>33.880658436213992</v>
      </c>
      <c r="H42" s="128">
        <f t="shared" si="85"/>
        <v>9.4060260230318793</v>
      </c>
      <c r="I42" s="128">
        <f t="shared" si="85"/>
        <v>5.8991304347826095</v>
      </c>
      <c r="J42" s="128">
        <f t="shared" si="85"/>
        <v>44.058741744873132</v>
      </c>
      <c r="K42" s="128">
        <f t="shared" si="85"/>
        <v>29.25425880152315</v>
      </c>
      <c r="L42" s="128">
        <f t="shared" si="85"/>
        <v>5.6931651314911234</v>
      </c>
      <c r="M42" s="128">
        <f t="shared" si="85"/>
        <v>16.730969358257855</v>
      </c>
      <c r="N42" s="128">
        <f t="shared" si="85"/>
        <v>23.002025544365051</v>
      </c>
      <c r="O42" s="128">
        <f t="shared" ref="O42" si="86">(O40+O41)</f>
        <v>15.358858943341023</v>
      </c>
      <c r="P42" s="128">
        <f t="shared" si="85"/>
        <v>15.358858943341023</v>
      </c>
      <c r="Q42" s="118">
        <f>((P42/G42)^(1/($H$3-$H$2) ))-1</f>
        <v>-9.4161263049184485E-2</v>
      </c>
      <c r="R42" s="31">
        <v>0.1</v>
      </c>
      <c r="S42" s="119">
        <f t="shared" si="81"/>
        <v>16.894744837675127</v>
      </c>
      <c r="T42" s="119">
        <f t="shared" si="82"/>
        <v>18.584219321442642</v>
      </c>
      <c r="U42" s="119">
        <f t="shared" si="82"/>
        <v>20.44264125358691</v>
      </c>
      <c r="V42" s="119">
        <f t="shared" si="82"/>
        <v>22.486905378945604</v>
      </c>
      <c r="W42" s="119">
        <f t="shared" si="82"/>
        <v>24.735595916840165</v>
      </c>
      <c r="X42" s="119">
        <f t="shared" si="82"/>
        <v>27.209155508524184</v>
      </c>
      <c r="Y42" s="119">
        <f t="shared" si="82"/>
        <v>29.930071059376605</v>
      </c>
      <c r="Z42" s="119">
        <f t="shared" si="82"/>
        <v>32.923078165314266</v>
      </c>
      <c r="AA42" s="119">
        <f t="shared" si="82"/>
        <v>36.215385981845692</v>
      </c>
      <c r="AB42" s="119">
        <f t="shared" si="82"/>
        <v>39.836924580030264</v>
      </c>
      <c r="AC42" s="118">
        <f t="shared" si="36"/>
        <v>8.560110603254234E-3</v>
      </c>
    </row>
    <row r="43" spans="2:29" x14ac:dyDescent="0.2">
      <c r="B43" s="20" t="s">
        <v>249</v>
      </c>
      <c r="C43" s="128">
        <f t="shared" ref="C43:P43" si="87">C14/C28</f>
        <v>0</v>
      </c>
      <c r="D43" s="128">
        <f t="shared" si="87"/>
        <v>0</v>
      </c>
      <c r="E43" s="128">
        <f t="shared" si="87"/>
        <v>0</v>
      </c>
      <c r="F43" s="128">
        <f t="shared" si="87"/>
        <v>0</v>
      </c>
      <c r="G43" s="128">
        <f t="shared" si="87"/>
        <v>155.96707818930039</v>
      </c>
      <c r="H43" s="128">
        <f t="shared" si="87"/>
        <v>89.734592685480251</v>
      </c>
      <c r="I43" s="128">
        <f t="shared" si="87"/>
        <v>59.373913043478261</v>
      </c>
      <c r="J43" s="128">
        <f t="shared" si="87"/>
        <v>138.9294403892944</v>
      </c>
      <c r="K43" s="128">
        <f t="shared" si="87"/>
        <v>118.5430556483399</v>
      </c>
      <c r="L43" s="128">
        <f t="shared" si="87"/>
        <v>147.76271525830998</v>
      </c>
      <c r="M43" s="128">
        <f t="shared" si="87"/>
        <v>112.66255540566584</v>
      </c>
      <c r="N43" s="128">
        <f t="shared" si="87"/>
        <v>95.170089461542801</v>
      </c>
      <c r="O43" s="128">
        <f t="shared" ref="O43" si="88">O14/O28</f>
        <v>110.99949361390874</v>
      </c>
      <c r="P43" s="128">
        <f t="shared" si="87"/>
        <v>110.99949361390874</v>
      </c>
      <c r="Q43" s="118">
        <f>((P43/G43)^(1/($H$3-$H$2) ))-1</f>
        <v>-4.1623827384375756E-2</v>
      </c>
      <c r="R43" s="31">
        <v>0.1</v>
      </c>
      <c r="S43" s="119">
        <f t="shared" si="81"/>
        <v>122.09944297529962</v>
      </c>
      <c r="T43" s="119">
        <f t="shared" si="82"/>
        <v>134.30938727282961</v>
      </c>
      <c r="U43" s="119">
        <f t="shared" si="82"/>
        <v>147.74032600011259</v>
      </c>
      <c r="V43" s="119">
        <f t="shared" si="82"/>
        <v>162.51435860012387</v>
      </c>
      <c r="W43" s="119">
        <f t="shared" si="82"/>
        <v>178.76579446013628</v>
      </c>
      <c r="X43" s="119">
        <f t="shared" si="82"/>
        <v>196.64237390614991</v>
      </c>
      <c r="Y43" s="119">
        <f t="shared" si="82"/>
        <v>216.30661129676491</v>
      </c>
      <c r="Z43" s="119">
        <f t="shared" si="82"/>
        <v>237.93727242644141</v>
      </c>
      <c r="AA43" s="119">
        <f t="shared" si="82"/>
        <v>261.73099966908558</v>
      </c>
      <c r="AB43" s="119">
        <f t="shared" si="82"/>
        <v>287.90409963599416</v>
      </c>
      <c r="AC43" s="118">
        <f t="shared" si="36"/>
        <v>3.2788304373904342E-2</v>
      </c>
    </row>
    <row r="44" spans="2:29" x14ac:dyDescent="0.2">
      <c r="B44" s="20" t="s">
        <v>250</v>
      </c>
      <c r="C44" s="128">
        <f t="shared" ref="C44:P44" si="89">C15/C28</f>
        <v>0</v>
      </c>
      <c r="D44" s="128">
        <f t="shared" si="89"/>
        <v>0</v>
      </c>
      <c r="E44" s="128">
        <f t="shared" si="89"/>
        <v>0</v>
      </c>
      <c r="F44" s="128">
        <f t="shared" si="89"/>
        <v>0</v>
      </c>
      <c r="G44" s="128">
        <f t="shared" si="89"/>
        <v>182.30452674897117</v>
      </c>
      <c r="H44" s="128">
        <f t="shared" si="89"/>
        <v>113.89390610080187</v>
      </c>
      <c r="I44" s="128">
        <f t="shared" si="89"/>
        <v>88.486956521739131</v>
      </c>
      <c r="J44" s="128">
        <f t="shared" si="89"/>
        <v>159.88877302745917</v>
      </c>
      <c r="K44" s="128">
        <f t="shared" si="89"/>
        <v>68.363484534705051</v>
      </c>
      <c r="L44" s="128">
        <f t="shared" si="89"/>
        <v>67.706247496996397</v>
      </c>
      <c r="M44" s="128">
        <f t="shared" si="89"/>
        <v>50.965311235305464</v>
      </c>
      <c r="N44" s="128">
        <f t="shared" si="89"/>
        <v>38.222078433579028</v>
      </c>
      <c r="O44" s="128">
        <f t="shared" ref="O44" si="90">O15/O28</f>
        <v>18.656220109154336</v>
      </c>
      <c r="P44" s="128">
        <f t="shared" si="89"/>
        <v>18.656220109154336</v>
      </c>
      <c r="Q44" s="118">
        <f>((P44/G44)^(1/($H$3-$H$2) ))-1</f>
        <v>-0.24793864031582102</v>
      </c>
      <c r="R44" s="31">
        <v>0.1</v>
      </c>
      <c r="S44" s="119">
        <f t="shared" si="81"/>
        <v>20.52184212006977</v>
      </c>
      <c r="T44" s="119">
        <f t="shared" si="82"/>
        <v>22.574026332076748</v>
      </c>
      <c r="U44" s="119">
        <f t="shared" si="82"/>
        <v>24.831428965284424</v>
      </c>
      <c r="V44" s="119">
        <f t="shared" si="82"/>
        <v>27.314571861812869</v>
      </c>
      <c r="W44" s="119">
        <f t="shared" si="82"/>
        <v>30.046029047994157</v>
      </c>
      <c r="X44" s="119">
        <f t="shared" si="82"/>
        <v>33.050631952793573</v>
      </c>
      <c r="Y44" s="119">
        <f t="shared" si="82"/>
        <v>36.355695148072932</v>
      </c>
      <c r="Z44" s="119">
        <f t="shared" si="82"/>
        <v>39.991264662880226</v>
      </c>
      <c r="AA44" s="119">
        <f t="shared" si="82"/>
        <v>43.990391129168252</v>
      </c>
      <c r="AB44" s="119">
        <f t="shared" si="82"/>
        <v>48.389430242085083</v>
      </c>
      <c r="AC44" s="118">
        <f t="shared" si="36"/>
        <v>-6.7429357231115095E-2</v>
      </c>
    </row>
    <row r="45" spans="2:29" x14ac:dyDescent="0.2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129"/>
      <c r="R45" s="12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29"/>
    </row>
    <row r="46" spans="2:29" x14ac:dyDescent="0.2">
      <c r="B46" s="108" t="s">
        <v>83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129"/>
      <c r="R46" s="12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29"/>
    </row>
    <row r="47" spans="2:29" x14ac:dyDescent="0.2">
      <c r="B47" s="20" t="s">
        <v>82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118" t="e">
        <f>((P47/G47)^(1/($H$3-$H$2) ))-1</f>
        <v>#DIV/0!</v>
      </c>
      <c r="R47" s="31">
        <v>0.1</v>
      </c>
      <c r="S47" s="119">
        <f t="shared" ref="S47:S53" si="91">P47*(1+$R47)</f>
        <v>0</v>
      </c>
      <c r="T47" s="119">
        <f t="shared" ref="T47:AB53" si="92">S47*(1+$R47)</f>
        <v>0</v>
      </c>
      <c r="U47" s="119">
        <f t="shared" si="92"/>
        <v>0</v>
      </c>
      <c r="V47" s="119">
        <f t="shared" si="92"/>
        <v>0</v>
      </c>
      <c r="W47" s="119">
        <f t="shared" si="92"/>
        <v>0</v>
      </c>
      <c r="X47" s="119">
        <f t="shared" si="92"/>
        <v>0</v>
      </c>
      <c r="Y47" s="119">
        <f t="shared" si="92"/>
        <v>0</v>
      </c>
      <c r="Z47" s="119">
        <f t="shared" si="92"/>
        <v>0</v>
      </c>
      <c r="AA47" s="119">
        <f t="shared" si="92"/>
        <v>0</v>
      </c>
      <c r="AB47" s="119">
        <f t="shared" si="92"/>
        <v>0</v>
      </c>
      <c r="AC47" s="118" t="e">
        <f t="shared" ref="AC47:AC53" si="93">((AB47/G47)^(1/($AB$4-$H$2) ))-1</f>
        <v>#DIV/0!</v>
      </c>
    </row>
    <row r="48" spans="2:29" x14ac:dyDescent="0.2">
      <c r="B48" s="20" t="s">
        <v>84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18" t="e">
        <f t="shared" ref="Q48:Q53" si="94">((P48/G48)^(1/($H$3-$H$2) ))-1</f>
        <v>#DIV/0!</v>
      </c>
      <c r="R48" s="31">
        <v>0.1</v>
      </c>
      <c r="S48" s="119">
        <f t="shared" si="91"/>
        <v>0</v>
      </c>
      <c r="T48" s="119">
        <f t="shared" si="92"/>
        <v>0</v>
      </c>
      <c r="U48" s="119">
        <f t="shared" si="92"/>
        <v>0</v>
      </c>
      <c r="V48" s="119">
        <f t="shared" si="92"/>
        <v>0</v>
      </c>
      <c r="W48" s="119">
        <f t="shared" si="92"/>
        <v>0</v>
      </c>
      <c r="X48" s="119">
        <f t="shared" si="92"/>
        <v>0</v>
      </c>
      <c r="Y48" s="119">
        <f t="shared" si="92"/>
        <v>0</v>
      </c>
      <c r="Z48" s="119">
        <f t="shared" si="92"/>
        <v>0</v>
      </c>
      <c r="AA48" s="119">
        <f t="shared" si="92"/>
        <v>0</v>
      </c>
      <c r="AB48" s="119">
        <f t="shared" si="92"/>
        <v>0</v>
      </c>
      <c r="AC48" s="118" t="e">
        <f t="shared" si="93"/>
        <v>#DIV/0!</v>
      </c>
    </row>
    <row r="49" spans="2:29" x14ac:dyDescent="0.2">
      <c r="B49" s="20" t="s">
        <v>85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118" t="e">
        <f t="shared" si="94"/>
        <v>#DIV/0!</v>
      </c>
      <c r="R49" s="31">
        <v>0.1</v>
      </c>
      <c r="S49" s="119">
        <f t="shared" si="91"/>
        <v>0</v>
      </c>
      <c r="T49" s="119">
        <f t="shared" si="92"/>
        <v>0</v>
      </c>
      <c r="U49" s="119">
        <f t="shared" si="92"/>
        <v>0</v>
      </c>
      <c r="V49" s="119">
        <f t="shared" si="92"/>
        <v>0</v>
      </c>
      <c r="W49" s="119">
        <f t="shared" si="92"/>
        <v>0</v>
      </c>
      <c r="X49" s="119">
        <f t="shared" si="92"/>
        <v>0</v>
      </c>
      <c r="Y49" s="119">
        <f t="shared" si="92"/>
        <v>0</v>
      </c>
      <c r="Z49" s="119">
        <f t="shared" si="92"/>
        <v>0</v>
      </c>
      <c r="AA49" s="119">
        <f t="shared" si="92"/>
        <v>0</v>
      </c>
      <c r="AB49" s="119">
        <f t="shared" si="92"/>
        <v>0</v>
      </c>
      <c r="AC49" s="118" t="e">
        <f t="shared" si="93"/>
        <v>#DIV/0!</v>
      </c>
    </row>
    <row r="50" spans="2:29" x14ac:dyDescent="0.2">
      <c r="B50" s="20" t="s">
        <v>81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118" t="e">
        <f t="shared" si="94"/>
        <v>#DIV/0!</v>
      </c>
      <c r="R50" s="31">
        <v>0.1</v>
      </c>
      <c r="S50" s="119">
        <f t="shared" si="91"/>
        <v>0</v>
      </c>
      <c r="T50" s="119">
        <f t="shared" si="92"/>
        <v>0</v>
      </c>
      <c r="U50" s="119">
        <f t="shared" si="92"/>
        <v>0</v>
      </c>
      <c r="V50" s="119">
        <f t="shared" si="92"/>
        <v>0</v>
      </c>
      <c r="W50" s="119">
        <f t="shared" si="92"/>
        <v>0</v>
      </c>
      <c r="X50" s="119">
        <f t="shared" si="92"/>
        <v>0</v>
      </c>
      <c r="Y50" s="119">
        <f t="shared" si="92"/>
        <v>0</v>
      </c>
      <c r="Z50" s="119">
        <f t="shared" si="92"/>
        <v>0</v>
      </c>
      <c r="AA50" s="119">
        <f t="shared" si="92"/>
        <v>0</v>
      </c>
      <c r="AB50" s="119">
        <f t="shared" si="92"/>
        <v>0</v>
      </c>
      <c r="AC50" s="118" t="e">
        <f t="shared" si="93"/>
        <v>#DIV/0!</v>
      </c>
    </row>
    <row r="51" spans="2:29" x14ac:dyDescent="0.2">
      <c r="B51" s="20" t="s">
        <v>78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118" t="e">
        <f t="shared" si="94"/>
        <v>#DIV/0!</v>
      </c>
      <c r="R51" s="31">
        <v>0.1</v>
      </c>
      <c r="S51" s="119">
        <f t="shared" si="91"/>
        <v>0</v>
      </c>
      <c r="T51" s="119">
        <f t="shared" si="92"/>
        <v>0</v>
      </c>
      <c r="U51" s="119">
        <f t="shared" si="92"/>
        <v>0</v>
      </c>
      <c r="V51" s="119">
        <f t="shared" si="92"/>
        <v>0</v>
      </c>
      <c r="W51" s="119">
        <f t="shared" si="92"/>
        <v>0</v>
      </c>
      <c r="X51" s="119">
        <f t="shared" si="92"/>
        <v>0</v>
      </c>
      <c r="Y51" s="119">
        <f t="shared" si="92"/>
        <v>0</v>
      </c>
      <c r="Z51" s="119">
        <f t="shared" si="92"/>
        <v>0</v>
      </c>
      <c r="AA51" s="119">
        <f t="shared" si="92"/>
        <v>0</v>
      </c>
      <c r="AB51" s="119">
        <f t="shared" si="92"/>
        <v>0</v>
      </c>
      <c r="AC51" s="118" t="e">
        <f t="shared" si="93"/>
        <v>#DIV/0!</v>
      </c>
    </row>
    <row r="52" spans="2:29" x14ac:dyDescent="0.2">
      <c r="B52" s="20" t="s">
        <v>79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118" t="e">
        <f t="shared" si="94"/>
        <v>#DIV/0!</v>
      </c>
      <c r="R52" s="31">
        <v>0.1</v>
      </c>
      <c r="S52" s="119">
        <f t="shared" si="91"/>
        <v>0</v>
      </c>
      <c r="T52" s="119">
        <f t="shared" si="92"/>
        <v>0</v>
      </c>
      <c r="U52" s="119">
        <f t="shared" si="92"/>
        <v>0</v>
      </c>
      <c r="V52" s="119">
        <f t="shared" si="92"/>
        <v>0</v>
      </c>
      <c r="W52" s="119">
        <f t="shared" si="92"/>
        <v>0</v>
      </c>
      <c r="X52" s="119">
        <f t="shared" si="92"/>
        <v>0</v>
      </c>
      <c r="Y52" s="119">
        <f t="shared" si="92"/>
        <v>0</v>
      </c>
      <c r="Z52" s="119">
        <f t="shared" si="92"/>
        <v>0</v>
      </c>
      <c r="AA52" s="119">
        <f t="shared" si="92"/>
        <v>0</v>
      </c>
      <c r="AB52" s="119">
        <f t="shared" si="92"/>
        <v>0</v>
      </c>
      <c r="AC52" s="118" t="e">
        <f t="shared" si="93"/>
        <v>#DIV/0!</v>
      </c>
    </row>
    <row r="53" spans="2:29" x14ac:dyDescent="0.2">
      <c r="B53" s="20" t="s">
        <v>80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118" t="e">
        <f t="shared" si="94"/>
        <v>#DIV/0!</v>
      </c>
      <c r="R53" s="31">
        <v>0.1</v>
      </c>
      <c r="S53" s="119">
        <f t="shared" si="91"/>
        <v>0</v>
      </c>
      <c r="T53" s="119">
        <f t="shared" si="92"/>
        <v>0</v>
      </c>
      <c r="U53" s="119">
        <f t="shared" si="92"/>
        <v>0</v>
      </c>
      <c r="V53" s="119">
        <f t="shared" si="92"/>
        <v>0</v>
      </c>
      <c r="W53" s="119">
        <f t="shared" si="92"/>
        <v>0</v>
      </c>
      <c r="X53" s="119">
        <f t="shared" si="92"/>
        <v>0</v>
      </c>
      <c r="Y53" s="119">
        <f t="shared" si="92"/>
        <v>0</v>
      </c>
      <c r="Z53" s="119">
        <f t="shared" si="92"/>
        <v>0</v>
      </c>
      <c r="AA53" s="119">
        <f t="shared" si="92"/>
        <v>0</v>
      </c>
      <c r="AB53" s="119">
        <f t="shared" si="92"/>
        <v>0</v>
      </c>
      <c r="AC53" s="118" t="e">
        <f t="shared" si="93"/>
        <v>#DIV/0!</v>
      </c>
    </row>
    <row r="54" spans="2:29" x14ac:dyDescent="0.2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2:29" x14ac:dyDescent="0.2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2:29" x14ac:dyDescent="0.2">
      <c r="B56" s="108" t="s">
        <v>244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3"/>
      <c r="R56" s="23"/>
      <c r="S56" s="122" t="s">
        <v>66</v>
      </c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2:29" x14ac:dyDescent="0.2">
      <c r="B57" s="20" t="s">
        <v>25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138">
        <f>PV($C$2, ($AB$4-$S$4), 0, -AB31)</f>
        <v>-1.1518930616670426</v>
      </c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2:29" x14ac:dyDescent="0.2">
      <c r="B58" s="20" t="s">
        <v>274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138">
        <f>PV($C$2, ($AB$4-$S$4), 0, -AB32)</f>
        <v>12.642281669932462</v>
      </c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2:29" x14ac:dyDescent="0.2">
      <c r="B59" s="20" t="s">
        <v>275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138">
        <f>PV($C$2, ($AB$4-$S$4), 0, -AB33)</f>
        <v>11.761379256810972</v>
      </c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2:29" x14ac:dyDescent="0.2">
      <c r="B60" s="20" t="s">
        <v>276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138">
        <f>PV($C$2, ($AB$4-$S$4), 0, -AB34)</f>
        <v>26.685339789938027</v>
      </c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2:29" x14ac:dyDescent="0.2">
      <c r="B61" s="20" t="s">
        <v>277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138">
        <f>PV($C$2, ($AB$4-$S$4), 0, -AB40)</f>
        <v>6.416418982579521</v>
      </c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2:29" x14ac:dyDescent="0.2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138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2:29" x14ac:dyDescent="0.2">
      <c r="B63" s="20" t="s">
        <v>272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138">
        <f>PV($C$2, ($AB$4-$S$4), 0, -AB36)</f>
        <v>-14.04305812000557</v>
      </c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2:29" x14ac:dyDescent="0.2">
      <c r="B64" s="20" t="s">
        <v>273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138">
        <f>PV($C$2, ($AB$4-$S$4), 0, -AB37)</f>
        <v>-32.351330630098026</v>
      </c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2:29" x14ac:dyDescent="0.2">
      <c r="B65" s="20" t="s">
        <v>278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38">
        <f>PV($C$2, ($AB$4-$S$4), 0, -AB38)</f>
        <v>15.733641982491564</v>
      </c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2:29" x14ac:dyDescent="0.2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138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2:29" x14ac:dyDescent="0.2">
      <c r="B67" s="20" t="s">
        <v>249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138">
        <f>PV($C$2, ($AB$4-$S$4), 0, -AB43)</f>
        <v>48.084972612589596</v>
      </c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2:29" x14ac:dyDescent="0.2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138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2:29" x14ac:dyDescent="0.2">
      <c r="B69" s="20" t="s">
        <v>250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138">
        <f>PV($C$2, ($AB$4-$S$4), 0, -AB44)</f>
        <v>8.0818732031649603</v>
      </c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2:29" x14ac:dyDescent="0.2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121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2:29" x14ac:dyDescent="0.2">
      <c r="B71" s="108" t="s">
        <v>251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2:29" x14ac:dyDescent="0.2">
      <c r="B72" s="20" t="s">
        <v>204</v>
      </c>
      <c r="C72" s="22">
        <v>14</v>
      </c>
      <c r="D72" s="22">
        <v>14</v>
      </c>
      <c r="E72" s="22">
        <v>14</v>
      </c>
      <c r="F72" s="22">
        <v>14</v>
      </c>
      <c r="G72" s="22">
        <v>14</v>
      </c>
      <c r="H72" s="22">
        <v>14</v>
      </c>
      <c r="I72" s="22">
        <v>14</v>
      </c>
      <c r="J72" s="22">
        <v>14</v>
      </c>
      <c r="K72" s="22">
        <v>14</v>
      </c>
      <c r="L72" s="22">
        <v>14</v>
      </c>
      <c r="M72" s="22">
        <v>14</v>
      </c>
      <c r="N72" s="22">
        <v>14</v>
      </c>
      <c r="O72" s="22">
        <v>14</v>
      </c>
      <c r="P72" s="22">
        <v>14</v>
      </c>
      <c r="Q72" s="22">
        <v>14</v>
      </c>
      <c r="R72" s="31">
        <v>0.1</v>
      </c>
      <c r="S72" s="119">
        <f t="shared" ref="S72:S76" si="95">P72*(1+$R72)</f>
        <v>15.400000000000002</v>
      </c>
      <c r="T72" s="119">
        <f t="shared" ref="T72:AB76" si="96">S72*(1+$R72)</f>
        <v>16.940000000000005</v>
      </c>
      <c r="U72" s="119">
        <f t="shared" si="96"/>
        <v>18.634000000000007</v>
      </c>
      <c r="V72" s="119">
        <f t="shared" si="96"/>
        <v>20.49740000000001</v>
      </c>
      <c r="W72" s="119">
        <f t="shared" si="96"/>
        <v>22.547140000000013</v>
      </c>
      <c r="X72" s="119">
        <f t="shared" si="96"/>
        <v>24.801854000000016</v>
      </c>
      <c r="Y72" s="119">
        <f t="shared" si="96"/>
        <v>27.28203940000002</v>
      </c>
      <c r="Z72" s="119">
        <f t="shared" si="96"/>
        <v>30.010243340000024</v>
      </c>
      <c r="AA72" s="119">
        <f t="shared" si="96"/>
        <v>33.011267674000031</v>
      </c>
      <c r="AB72" s="119">
        <f t="shared" si="96"/>
        <v>36.312394441400038</v>
      </c>
      <c r="AC72" s="118">
        <f t="shared" ref="AC72:AC76" si="97">((AB72/G72)^(1/($AB$4-$H$2) ))-1</f>
        <v>5.1442733050422573E-2</v>
      </c>
    </row>
    <row r="73" spans="2:29" x14ac:dyDescent="0.2">
      <c r="B73" s="20" t="s">
        <v>42</v>
      </c>
      <c r="C73" s="25" t="e">
        <f>C72/C31</f>
        <v>#DIV/0!</v>
      </c>
      <c r="D73" s="25" t="e">
        <f t="shared" ref="D73:P73" si="98">D72/D31</f>
        <v>#DIV/0!</v>
      </c>
      <c r="E73" s="25" t="e">
        <f t="shared" si="98"/>
        <v>#DIV/0!</v>
      </c>
      <c r="F73" s="25" t="e">
        <f t="shared" si="98"/>
        <v>#DIV/0!</v>
      </c>
      <c r="G73" s="25">
        <f t="shared" si="98"/>
        <v>0.23475020701076457</v>
      </c>
      <c r="H73" s="25">
        <f t="shared" si="98"/>
        <v>0.33329371165644173</v>
      </c>
      <c r="I73" s="25">
        <f t="shared" si="98"/>
        <v>0.52924314942407824</v>
      </c>
      <c r="J73" s="25">
        <f t="shared" si="98"/>
        <v>0.46574930619796484</v>
      </c>
      <c r="K73" s="25">
        <f t="shared" si="98"/>
        <v>2.0603254190630684</v>
      </c>
      <c r="L73" s="25">
        <f t="shared" si="98"/>
        <v>4.8907128034136216</v>
      </c>
      <c r="M73" s="25">
        <f t="shared" si="98"/>
        <v>-2.2019944833439422</v>
      </c>
      <c r="N73" s="25">
        <f t="shared" si="98"/>
        <v>-1.8894668499267211</v>
      </c>
      <c r="O73" s="25">
        <f t="shared" ref="O73" si="99">O72/O31</f>
        <v>-5.2650712033686702</v>
      </c>
      <c r="P73" s="25">
        <f t="shared" si="98"/>
        <v>-5.2650712033686702</v>
      </c>
      <c r="Q73" s="118" t="e">
        <f t="shared" ref="Q73:Q76" si="100">((P73/G73)^(1/($H$3-$H$2) ))-1</f>
        <v>#NUM!</v>
      </c>
      <c r="R73" s="31">
        <v>0.1</v>
      </c>
      <c r="S73" s="119">
        <f t="shared" si="95"/>
        <v>-5.7915783237055374</v>
      </c>
      <c r="T73" s="119">
        <f t="shared" si="96"/>
        <v>-6.3707361560760916</v>
      </c>
      <c r="U73" s="119">
        <f t="shared" si="96"/>
        <v>-7.0078097716837009</v>
      </c>
      <c r="V73" s="119">
        <f t="shared" si="96"/>
        <v>-7.708590748852072</v>
      </c>
      <c r="W73" s="119">
        <f t="shared" si="96"/>
        <v>-8.47944982373728</v>
      </c>
      <c r="X73" s="119">
        <f t="shared" si="96"/>
        <v>-9.327394806111009</v>
      </c>
      <c r="Y73" s="119">
        <f t="shared" si="96"/>
        <v>-10.26013428672211</v>
      </c>
      <c r="Z73" s="119">
        <f t="shared" si="96"/>
        <v>-11.286147715394321</v>
      </c>
      <c r="AA73" s="119">
        <f t="shared" si="96"/>
        <v>-12.414762486933755</v>
      </c>
      <c r="AB73" s="119">
        <f t="shared" si="96"/>
        <v>-13.656238735627133</v>
      </c>
      <c r="AC73" s="118">
        <f t="shared" si="97"/>
        <v>-2.2384551095888447</v>
      </c>
    </row>
    <row r="74" spans="2:29" x14ac:dyDescent="0.2">
      <c r="B74" s="20" t="s">
        <v>259</v>
      </c>
      <c r="C74" s="25" t="e">
        <f>C72/C33</f>
        <v>#DIV/0!</v>
      </c>
      <c r="D74" s="25" t="e">
        <f t="shared" ref="D74:P74" si="101">D72/D33</f>
        <v>#DIV/0!</v>
      </c>
      <c r="E74" s="25" t="e">
        <f t="shared" si="101"/>
        <v>#DIV/0!</v>
      </c>
      <c r="F74" s="25" t="e">
        <f t="shared" si="101"/>
        <v>#DIV/0!</v>
      </c>
      <c r="G74" s="25">
        <f t="shared" si="101"/>
        <v>9.7470131507320312E-2</v>
      </c>
      <c r="H74" s="25">
        <f t="shared" si="101"/>
        <v>0.1732618600148072</v>
      </c>
      <c r="I74" s="25">
        <f t="shared" si="101"/>
        <v>0.16620487176416662</v>
      </c>
      <c r="J74" s="25">
        <f t="shared" si="101"/>
        <v>0.12898907637570092</v>
      </c>
      <c r="K74" s="25">
        <f t="shared" si="101"/>
        <v>0.26896056059653223</v>
      </c>
      <c r="L74" s="25">
        <f t="shared" si="101"/>
        <v>0.26809550042627267</v>
      </c>
      <c r="M74" s="25">
        <f t="shared" si="101"/>
        <v>0.34735528456969084</v>
      </c>
      <c r="N74" s="25">
        <f t="shared" si="101"/>
        <v>0.40460967074709575</v>
      </c>
      <c r="O74" s="25">
        <f t="shared" ref="O74" si="102">O72/O33</f>
        <v>0.51565372189075653</v>
      </c>
      <c r="P74" s="25">
        <f t="shared" si="101"/>
        <v>0.51565372189075653</v>
      </c>
      <c r="Q74" s="118">
        <f t="shared" si="100"/>
        <v>0.23150399659565579</v>
      </c>
      <c r="R74" s="31">
        <v>0.1</v>
      </c>
      <c r="S74" s="119">
        <f t="shared" si="95"/>
        <v>0.56721909407983229</v>
      </c>
      <c r="T74" s="119">
        <f t="shared" si="96"/>
        <v>0.62394100348781556</v>
      </c>
      <c r="U74" s="119">
        <f t="shared" si="96"/>
        <v>0.68633510383659713</v>
      </c>
      <c r="V74" s="119">
        <f t="shared" si="96"/>
        <v>0.75496861422025685</v>
      </c>
      <c r="W74" s="119">
        <f t="shared" si="96"/>
        <v>0.83046547564228257</v>
      </c>
      <c r="X74" s="119">
        <f t="shared" si="96"/>
        <v>0.91351202320651093</v>
      </c>
      <c r="Y74" s="119">
        <f t="shared" si="96"/>
        <v>1.0048632255271621</v>
      </c>
      <c r="Z74" s="119">
        <f t="shared" si="96"/>
        <v>1.1053495480798785</v>
      </c>
      <c r="AA74" s="119">
        <f t="shared" si="96"/>
        <v>1.2158845028878664</v>
      </c>
      <c r="AB74" s="119">
        <f t="shared" si="96"/>
        <v>1.3374729531766532</v>
      </c>
      <c r="AC74" s="118">
        <f t="shared" si="97"/>
        <v>0.14779377784954528</v>
      </c>
    </row>
    <row r="75" spans="2:29" x14ac:dyDescent="0.2">
      <c r="B75" s="20" t="s">
        <v>260</v>
      </c>
      <c r="C75" s="130" t="e">
        <f>C72/C42</f>
        <v>#DIV/0!</v>
      </c>
      <c r="D75" s="130" t="e">
        <f t="shared" ref="D75:P75" si="103">D72/D42</f>
        <v>#DIV/0!</v>
      </c>
      <c r="E75" s="130" t="e">
        <f t="shared" si="103"/>
        <v>#DIV/0!</v>
      </c>
      <c r="F75" s="130" t="e">
        <f t="shared" si="103"/>
        <v>#DIV/0!</v>
      </c>
      <c r="G75" s="130">
        <f t="shared" si="103"/>
        <v>0.41321510992347871</v>
      </c>
      <c r="H75" s="130">
        <f t="shared" si="103"/>
        <v>1.4884075342465752</v>
      </c>
      <c r="I75" s="130">
        <f t="shared" si="103"/>
        <v>2.3732311320754715</v>
      </c>
      <c r="J75" s="130">
        <f t="shared" si="103"/>
        <v>0.31775759918584379</v>
      </c>
      <c r="K75" s="130">
        <f t="shared" si="103"/>
        <v>0.47856279986389799</v>
      </c>
      <c r="L75" s="130">
        <f t="shared" si="103"/>
        <v>2.4590890439064421</v>
      </c>
      <c r="M75" s="25">
        <f t="shared" si="103"/>
        <v>0.83677160003225159</v>
      </c>
      <c r="N75" s="25">
        <f t="shared" si="103"/>
        <v>0.60864205080537648</v>
      </c>
      <c r="O75" s="25">
        <f t="shared" ref="O75" si="104">O72/O42</f>
        <v>0.91152604836375761</v>
      </c>
      <c r="P75" s="25">
        <f t="shared" si="103"/>
        <v>0.91152604836375761</v>
      </c>
      <c r="Q75" s="118">
        <f t="shared" si="100"/>
        <v>0.10394925631701835</v>
      </c>
      <c r="R75" s="31">
        <v>0.1</v>
      </c>
      <c r="S75" s="119">
        <f t="shared" si="95"/>
        <v>1.0026786532001335</v>
      </c>
      <c r="T75" s="119">
        <f t="shared" si="96"/>
        <v>1.102946518520147</v>
      </c>
      <c r="U75" s="119">
        <f t="shared" si="96"/>
        <v>1.2132411703721617</v>
      </c>
      <c r="V75" s="119">
        <f t="shared" si="96"/>
        <v>1.3345652874093781</v>
      </c>
      <c r="W75" s="119">
        <f t="shared" si="96"/>
        <v>1.468021816150316</v>
      </c>
      <c r="X75" s="119">
        <f t="shared" si="96"/>
        <v>1.6148239977653478</v>
      </c>
      <c r="Y75" s="119">
        <f t="shared" si="96"/>
        <v>1.7763063975418827</v>
      </c>
      <c r="Z75" s="119">
        <f t="shared" si="96"/>
        <v>1.9539370372960712</v>
      </c>
      <c r="AA75" s="119">
        <f t="shared" si="96"/>
        <v>2.1493307410256786</v>
      </c>
      <c r="AB75" s="119">
        <f t="shared" si="96"/>
        <v>2.3642638151282465</v>
      </c>
      <c r="AC75" s="118">
        <f t="shared" si="97"/>
        <v>9.6148667056925152E-2</v>
      </c>
    </row>
    <row r="76" spans="2:29" x14ac:dyDescent="0.2">
      <c r="B76" s="20" t="s">
        <v>261</v>
      </c>
      <c r="C76" s="130" t="e">
        <f>C72/C44</f>
        <v>#DIV/0!</v>
      </c>
      <c r="D76" s="130" t="e">
        <f t="shared" ref="D76:P76" si="105">D72/D44</f>
        <v>#DIV/0!</v>
      </c>
      <c r="E76" s="130" t="e">
        <f t="shared" si="105"/>
        <v>#DIV/0!</v>
      </c>
      <c r="F76" s="130" t="e">
        <f t="shared" si="105"/>
        <v>#DIV/0!</v>
      </c>
      <c r="G76" s="130">
        <f t="shared" si="105"/>
        <v>7.6794582392776534E-2</v>
      </c>
      <c r="H76" s="130">
        <f t="shared" si="105"/>
        <v>0.12292141414141412</v>
      </c>
      <c r="I76" s="130">
        <f t="shared" si="105"/>
        <v>0.15821540880503143</v>
      </c>
      <c r="J76" s="130">
        <f t="shared" si="105"/>
        <v>8.7560869565217386E-2</v>
      </c>
      <c r="K76" s="130">
        <f t="shared" si="105"/>
        <v>0.20478768885592472</v>
      </c>
      <c r="L76" s="130">
        <f t="shared" si="105"/>
        <v>0.20677560073937154</v>
      </c>
      <c r="M76" s="25">
        <f t="shared" si="105"/>
        <v>0.27469664484853978</v>
      </c>
      <c r="N76" s="25">
        <f t="shared" si="105"/>
        <v>0.36628044768231804</v>
      </c>
      <c r="O76" s="25">
        <f t="shared" ref="O76" si="106">O72/O44</f>
        <v>0.75041996278390832</v>
      </c>
      <c r="P76" s="25">
        <f t="shared" si="105"/>
        <v>0.75041996278390832</v>
      </c>
      <c r="Q76" s="118">
        <f t="shared" si="100"/>
        <v>0.32967873847413265</v>
      </c>
      <c r="R76" s="31">
        <v>0.1</v>
      </c>
      <c r="S76" s="119">
        <f t="shared" si="95"/>
        <v>0.82546195906229924</v>
      </c>
      <c r="T76" s="119">
        <f t="shared" si="96"/>
        <v>0.90800815496852927</v>
      </c>
      <c r="U76" s="119">
        <f t="shared" si="96"/>
        <v>0.99880897046538231</v>
      </c>
      <c r="V76" s="119">
        <f t="shared" si="96"/>
        <v>1.0986898675119205</v>
      </c>
      <c r="W76" s="119">
        <f t="shared" si="96"/>
        <v>1.2085588542631127</v>
      </c>
      <c r="X76" s="119">
        <f t="shared" si="96"/>
        <v>1.329414739689424</v>
      </c>
      <c r="Y76" s="119">
        <f t="shared" si="96"/>
        <v>1.4623562136583665</v>
      </c>
      <c r="Z76" s="119">
        <f t="shared" si="96"/>
        <v>1.6085918350242032</v>
      </c>
      <c r="AA76" s="119">
        <f t="shared" si="96"/>
        <v>1.7694510185266237</v>
      </c>
      <c r="AB76" s="119">
        <f t="shared" si="96"/>
        <v>1.9463961203792861</v>
      </c>
      <c r="AC76" s="118">
        <f t="shared" si="97"/>
        <v>0.18546710585068404</v>
      </c>
    </row>
    <row r="77" spans="2:29" x14ac:dyDescent="0.2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2:29" x14ac:dyDescent="0.2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2:29" x14ac:dyDescent="0.2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2:29" x14ac:dyDescent="0.2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2:29" x14ac:dyDescent="0.2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</sheetData>
  <pageMargins left="0.7" right="0.7" top="0.75" bottom="0.75" header="0.3" footer="0.3"/>
  <pageSetup orientation="portrait" r:id="rId1"/>
  <ignoredErrors>
    <ignoredError sqref="C73 S47:AB53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B1" zoomScale="80" zoomScaleNormal="80" workbookViewId="0">
      <selection activeCell="F25" sqref="F25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39" t="s">
        <v>27</v>
      </c>
      <c r="K5" s="139"/>
      <c r="M5" s="139" t="s">
        <v>65</v>
      </c>
      <c r="N5" s="13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39" t="s">
        <v>36</v>
      </c>
      <c r="K14" s="139"/>
      <c r="L14" s="13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39" t="s">
        <v>27</v>
      </c>
      <c r="S5" s="13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39" t="s">
        <v>36</v>
      </c>
      <c r="S14" s="139"/>
      <c r="T14" s="13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39" t="s">
        <v>27</v>
      </c>
      <c r="C2" s="139"/>
      <c r="E2" s="139" t="s">
        <v>65</v>
      </c>
      <c r="F2" s="139"/>
      <c r="H2" s="143" t="s">
        <v>36</v>
      </c>
      <c r="I2" s="14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40" t="s">
        <v>68</v>
      </c>
      <c r="E10" s="141"/>
      <c r="F10" s="141"/>
      <c r="G10" s="141"/>
      <c r="H10" s="142"/>
      <c r="I10" s="140" t="s">
        <v>72</v>
      </c>
      <c r="J10" s="141"/>
      <c r="K10" s="141"/>
      <c r="L10" s="14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2013-05-30T04:44:27Z</dcterms:modified>
</cp:coreProperties>
</file>
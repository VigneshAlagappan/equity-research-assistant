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G23" i="18" l="1"/>
  <c r="G22" i="18"/>
  <c r="G21" i="18"/>
  <c r="G20" i="18"/>
  <c r="M12" i="18"/>
  <c r="L12" i="18"/>
  <c r="K12" i="18"/>
  <c r="J12" i="18"/>
  <c r="I12" i="18"/>
  <c r="Q44" i="18"/>
  <c r="F115" i="18" l="1"/>
  <c r="F180" i="18" l="1"/>
  <c r="E180" i="18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72" i="18"/>
  <c r="Q74" i="18" s="1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97" i="18"/>
  <c r="Q103" i="18" s="1"/>
  <c r="Q100" i="18"/>
  <c r="Q102" i="18"/>
  <c r="Q106" i="18"/>
  <c r="Q107" i="18"/>
  <c r="Q108" i="18"/>
  <c r="Q109" i="18"/>
  <c r="Q111" i="18"/>
  <c r="Q112" i="18" s="1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 s="1"/>
  <c r="Q135" i="18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66" i="18" l="1"/>
  <c r="Q175" i="18" s="1"/>
  <c r="Q178" i="18"/>
  <c r="Q173" i="18"/>
  <c r="T192" i="18"/>
  <c r="T193" i="18" s="1"/>
  <c r="Q192" i="18"/>
  <c r="Q113" i="18"/>
  <c r="Q114" i="18" s="1"/>
  <c r="Q115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R52" i="18" l="1"/>
  <c r="Q180" i="18"/>
  <c r="Q181" i="18" s="1"/>
  <c r="P91" i="18"/>
  <c r="R91" i="18" s="1"/>
  <c r="S44" i="18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1" i="18"/>
  <c r="X38" i="18" l="1"/>
  <c r="U206" i="18"/>
  <c r="U207" i="18" s="1"/>
  <c r="D204" i="18"/>
  <c r="G214" i="18" s="1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G215" i="18" s="1"/>
  <c r="K215" i="18" s="1"/>
  <c r="H207" i="18"/>
  <c r="I207" i="18" s="1"/>
  <c r="J207" i="18" s="1"/>
  <c r="J208" i="18" s="1"/>
  <c r="H205" i="18"/>
  <c r="H203" i="18"/>
  <c r="H202" i="18"/>
  <c r="I202" i="18" s="1"/>
  <c r="J202" i="18" s="1"/>
  <c r="G220" i="18" l="1"/>
  <c r="G217" i="18"/>
  <c r="K214" i="18"/>
  <c r="Y38" i="18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R141" i="18" s="1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Q191" i="18" l="1"/>
  <c r="T191" i="18"/>
  <c r="T190" i="18" s="1"/>
  <c r="P191" i="18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P181" i="18" l="1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<sst xmlns="http://schemas.openxmlformats.org/spreadsheetml/2006/main" count="647" uniqueCount="455">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</sst>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9" fontId="5" fillId="5" borderId="1" xfId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84256"/>
        <c:axId val="96633216"/>
      </c:lineChart>
      <c:catAx>
        <c:axId val="95984256"/>
        <c:scaling>
          <c:orientation val="minMax"/>
        </c:scaling>
        <c:delete val="0"/>
        <c:axPos val="b"/>
        <c:majorTickMark val="out"/>
        <c:minorTickMark val="none"/>
        <c:tickLblPos val="nextTo"/>
        <c:crossAx val="96633216"/>
        <c:crosses val="autoZero"/>
        <c:auto val="1"/>
        <c:lblAlgn val="ctr"/>
        <c:lblOffset val="100"/>
        <c:noMultiLvlLbl val="0"/>
      </c:catAx>
      <c:valAx>
        <c:axId val="96633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98425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167" activePane="bottomRight" state="frozen"/>
      <selection pane="topRight" activeCell="C1" sqref="C1"/>
      <selection pane="bottomLeft" activeCell="A5" sqref="A5"/>
      <selection pane="bottomRight" activeCell="A193" sqref="A193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0.15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-1719</v>
      </c>
      <c r="H6" s="147">
        <v>-1695</v>
      </c>
      <c r="I6" s="147">
        <v>-1608</v>
      </c>
      <c r="J6" s="147">
        <v>-413</v>
      </c>
      <c r="K6" s="147">
        <v>905</v>
      </c>
      <c r="L6" s="147">
        <v>10145</v>
      </c>
      <c r="M6" s="147">
        <v>8026</v>
      </c>
      <c r="N6" s="147">
        <v>8994</v>
      </c>
      <c r="O6" s="147">
        <v>9739</v>
      </c>
      <c r="P6" s="147">
        <v>10989</v>
      </c>
      <c r="Q6" s="147">
        <v>13205</v>
      </c>
      <c r="R6" s="118">
        <f>((Q6/G6)^(1/($H$2-$H$1) ))-1</f>
        <v>-2.2542517782362665</v>
      </c>
      <c r="S6" s="31">
        <f>$L$2</f>
        <v>0.15</v>
      </c>
      <c r="T6" s="154">
        <f>Q6*(1+$S6)</f>
        <v>15185.749999999998</v>
      </c>
      <c r="U6" s="154">
        <f>T6*(1+$S6)</f>
        <v>17463.612499999996</v>
      </c>
      <c r="V6" s="154">
        <f t="shared" ref="V6:AC6" si="0">U6*(1+$S6)</f>
        <v>20083.154374999995</v>
      </c>
      <c r="W6" s="154">
        <f t="shared" si="0"/>
        <v>23095.627531249993</v>
      </c>
      <c r="X6" s="154">
        <f t="shared" si="0"/>
        <v>26559.971660937488</v>
      </c>
      <c r="Y6" s="154">
        <f t="shared" si="0"/>
        <v>30543.967410078109</v>
      </c>
      <c r="Z6" s="154">
        <f t="shared" si="0"/>
        <v>35125.562521589825</v>
      </c>
      <c r="AA6" s="154">
        <f t="shared" si="0"/>
        <v>40394.396899828294</v>
      </c>
      <c r="AB6" s="154">
        <f t="shared" si="0"/>
        <v>46453.556434802536</v>
      </c>
      <c r="AC6" s="154">
        <f t="shared" si="0"/>
        <v>53421.589900022911</v>
      </c>
      <c r="AD6" s="138" t="e">
        <f>((AC6/G6)^(1/($AC$3-$H$1) ))-1</f>
        <v>#NUM!</v>
      </c>
      <c r="AE6" s="31">
        <f>$L$1</f>
        <v>0.05</v>
      </c>
      <c r="AF6" s="146">
        <f t="shared" ref="AF6:AF44" si="1">(AC6*(1+AE6))/($C$1-AE6)</f>
        <v>329956.87879425922</v>
      </c>
    </row>
    <row r="7" spans="2:32" x14ac:dyDescent="0.2">
      <c r="B7" s="20" t="s">
        <v>240</v>
      </c>
      <c r="C7" s="141"/>
      <c r="D7" s="141"/>
      <c r="E7" s="147"/>
      <c r="F7" s="147"/>
      <c r="G7" s="147">
        <v>1022</v>
      </c>
      <c r="H7" s="147">
        <v>1046</v>
      </c>
      <c r="I7" s="147">
        <v>1133</v>
      </c>
      <c r="J7" s="147">
        <v>2179</v>
      </c>
      <c r="K7" s="147">
        <v>3544</v>
      </c>
      <c r="L7" s="147">
        <v>13265</v>
      </c>
      <c r="M7" s="147">
        <v>11372</v>
      </c>
      <c r="N7" s="147">
        <v>12299</v>
      </c>
      <c r="O7" s="147">
        <v>13050</v>
      </c>
      <c r="P7" s="147">
        <v>14305</v>
      </c>
      <c r="Q7" s="147">
        <v>16526</v>
      </c>
      <c r="R7" s="118">
        <f>((Q7/G7)^(1/($H$2-$H$1) ))-1</f>
        <v>0.36239133413425351</v>
      </c>
      <c r="S7" s="31">
        <f>$L$2</f>
        <v>0.15</v>
      </c>
      <c r="T7" s="154">
        <f t="shared" ref="T7:T44" si="2">Q7*(1+$S7)</f>
        <v>19004.899999999998</v>
      </c>
      <c r="U7" s="154">
        <f t="shared" ref="U7:AC7" si="3">T7*(1+$S7)</f>
        <v>21855.634999999995</v>
      </c>
      <c r="V7" s="154">
        <f t="shared" si="3"/>
        <v>25133.980249999993</v>
      </c>
      <c r="W7" s="154">
        <f t="shared" si="3"/>
        <v>28904.077287499989</v>
      </c>
      <c r="X7" s="154">
        <f t="shared" si="3"/>
        <v>33239.688880624984</v>
      </c>
      <c r="Y7" s="154">
        <f t="shared" si="3"/>
        <v>38225.642212718732</v>
      </c>
      <c r="Z7" s="154">
        <f t="shared" si="3"/>
        <v>43959.48854462654</v>
      </c>
      <c r="AA7" s="154">
        <f t="shared" si="3"/>
        <v>50553.411826320516</v>
      </c>
      <c r="AB7" s="154">
        <f t="shared" si="3"/>
        <v>58136.423600268587</v>
      </c>
      <c r="AC7" s="154">
        <f t="shared" si="3"/>
        <v>66856.887140308871</v>
      </c>
      <c r="AD7" s="138">
        <f>((AC7/G7)^(1/($AC$3-$H$1) ))-1</f>
        <v>0.23249385548238743</v>
      </c>
      <c r="AE7" s="31">
        <f>$L$1</f>
        <v>0.05</v>
      </c>
      <c r="AF7" s="146">
        <f t="shared" si="1"/>
        <v>412939.59704308427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2.2944550669216062E-2</v>
      </c>
      <c r="I8" s="151">
        <f t="shared" ref="I8:Q8" si="4">(I7-H7)/I7</f>
        <v>7.6787290379523393E-2</v>
      </c>
      <c r="J8" s="151">
        <f t="shared" si="4"/>
        <v>0.48003671408903165</v>
      </c>
      <c r="K8" s="151">
        <f t="shared" si="4"/>
        <v>0.38515801354401807</v>
      </c>
      <c r="L8" s="151">
        <f t="shared" si="4"/>
        <v>0.73283075763286842</v>
      </c>
      <c r="M8" s="151">
        <f t="shared" si="4"/>
        <v>-0.16646148434752023</v>
      </c>
      <c r="N8" s="151">
        <f t="shared" si="4"/>
        <v>7.5371981461907475E-2</v>
      </c>
      <c r="O8" s="151">
        <f t="shared" si="4"/>
        <v>5.7547892720306512E-2</v>
      </c>
      <c r="P8" s="151">
        <f t="shared" si="4"/>
        <v>8.7731562390772455E-2</v>
      </c>
      <c r="Q8" s="151">
        <f t="shared" si="4"/>
        <v>0.13439428778893864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448</v>
      </c>
      <c r="H9" s="147">
        <v>478</v>
      </c>
      <c r="I9" s="147">
        <v>1204</v>
      </c>
      <c r="J9" s="147">
        <v>2180</v>
      </c>
      <c r="K9" s="147">
        <v>2786</v>
      </c>
      <c r="L9" s="147">
        <v>4006</v>
      </c>
      <c r="M9" s="147">
        <v>4538</v>
      </c>
      <c r="N9" s="147">
        <v>6948</v>
      </c>
      <c r="O9" s="147">
        <v>8135</v>
      </c>
      <c r="P9" s="147">
        <v>9370</v>
      </c>
      <c r="Q9" s="147">
        <v>10568</v>
      </c>
      <c r="R9" s="118">
        <f>((Q9/G9)^(1/($H$2-$H$1) ))-1</f>
        <v>0.42077028577612818</v>
      </c>
      <c r="S9" s="31">
        <f t="shared" ref="S9:S40" si="5">$L$2</f>
        <v>0.15</v>
      </c>
      <c r="T9" s="154">
        <f t="shared" si="2"/>
        <v>12153.199999999999</v>
      </c>
      <c r="U9" s="154">
        <f t="shared" ref="U9" si="6">T9*(1+$S9)</f>
        <v>13976.179999999998</v>
      </c>
      <c r="V9" s="154">
        <f t="shared" ref="V9" si="7">U9*(1+$S9)</f>
        <v>16072.606999999996</v>
      </c>
      <c r="W9" s="154">
        <f t="shared" ref="W9" si="8">V9*(1+$S9)</f>
        <v>18483.498049999995</v>
      </c>
      <c r="X9" s="154">
        <f t="shared" ref="X9" si="9">W9*(1+$S9)</f>
        <v>21256.022757499992</v>
      </c>
      <c r="Y9" s="154">
        <f t="shared" ref="Y9" si="10">X9*(1+$S9)</f>
        <v>24444.426171124989</v>
      </c>
      <c r="Z9" s="154">
        <f t="shared" ref="Z9" si="11">Y9*(1+$S9)</f>
        <v>28111.090096793734</v>
      </c>
      <c r="AA9" s="154">
        <f t="shared" ref="AA9" si="12">Z9*(1+$S9)</f>
        <v>32327.753611312794</v>
      </c>
      <c r="AB9" s="154">
        <f t="shared" ref="AB9" si="13">AA9*(1+$S9)</f>
        <v>37176.916653009706</v>
      </c>
      <c r="AC9" s="154">
        <f t="shared" ref="AC9" si="14">AB9*(1+$S9)</f>
        <v>42753.454150961159</v>
      </c>
      <c r="AD9" s="138">
        <f>((AC9/G9)^(1/($AC$3-$H$1) ))-1</f>
        <v>0.25598559857421432</v>
      </c>
      <c r="AE9" s="31">
        <f t="shared" ref="AE9:AE81" si="15">$L$1</f>
        <v>0.05</v>
      </c>
      <c r="AF9" s="146">
        <f t="shared" si="1"/>
        <v>264065.45210887777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2263</v>
      </c>
      <c r="H10" s="147">
        <v>2698</v>
      </c>
      <c r="I10" s="147">
        <v>3285</v>
      </c>
      <c r="J10" s="147">
        <v>4250</v>
      </c>
      <c r="K10" s="147">
        <v>6515</v>
      </c>
      <c r="L10" s="147">
        <v>8912</v>
      </c>
      <c r="M10" s="147">
        <v>7859</v>
      </c>
      <c r="N10" s="147">
        <v>10785</v>
      </c>
      <c r="O10" s="147">
        <v>11249</v>
      </c>
      <c r="P10" s="147">
        <v>12263</v>
      </c>
      <c r="Q10" s="147">
        <v>18775</v>
      </c>
      <c r="R10" s="118">
        <f>((Q10/G10)^(1/($H$2-$H$1) ))-1</f>
        <v>0.26502610584715436</v>
      </c>
      <c r="S10" s="31">
        <f t="shared" si="5"/>
        <v>0.15</v>
      </c>
      <c r="T10" s="154">
        <f t="shared" si="2"/>
        <v>21591.25</v>
      </c>
      <c r="U10" s="154">
        <f t="shared" ref="U10:AC10" si="16">T10*(1+$S10)</f>
        <v>24829.937499999996</v>
      </c>
      <c r="V10" s="154">
        <f t="shared" si="16"/>
        <v>28554.428124999995</v>
      </c>
      <c r="W10" s="154">
        <f t="shared" si="16"/>
        <v>32837.592343749995</v>
      </c>
      <c r="X10" s="154">
        <f t="shared" si="16"/>
        <v>37763.231195312488</v>
      </c>
      <c r="Y10" s="154">
        <f t="shared" si="16"/>
        <v>43427.715874609356</v>
      </c>
      <c r="Z10" s="154">
        <f t="shared" si="16"/>
        <v>49941.873255800754</v>
      </c>
      <c r="AA10" s="154">
        <f t="shared" si="16"/>
        <v>57433.154244170866</v>
      </c>
      <c r="AB10" s="154">
        <f t="shared" si="16"/>
        <v>66048.12738079649</v>
      </c>
      <c r="AC10" s="154">
        <f t="shared" si="16"/>
        <v>75955.346487915958</v>
      </c>
      <c r="AD10" s="138">
        <f t="shared" ref="AD10:AD42" si="17">((AC10/G10)^(1/($AC$3-$H$1) ))-1</f>
        <v>0.19204785272097413</v>
      </c>
      <c r="AE10" s="31">
        <f t="shared" si="15"/>
        <v>0.05</v>
      </c>
      <c r="AF10" s="146">
        <f t="shared" si="1"/>
        <v>469135.96360183391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0.16123054114158636</v>
      </c>
      <c r="I11" s="148">
        <f t="shared" si="18"/>
        <v>0.17869101978691021</v>
      </c>
      <c r="J11" s="148">
        <f t="shared" si="18"/>
        <v>0.22705882352941176</v>
      </c>
      <c r="K11" s="148">
        <f t="shared" si="18"/>
        <v>0.34765924788948582</v>
      </c>
      <c r="L11" s="148">
        <f t="shared" si="18"/>
        <v>0.26896319569120286</v>
      </c>
      <c r="M11" s="148">
        <f t="shared" si="18"/>
        <v>-0.13398651227891589</v>
      </c>
      <c r="N11" s="148">
        <f t="shared" si="18"/>
        <v>0.27130273528048215</v>
      </c>
      <c r="O11" s="148">
        <f t="shared" si="18"/>
        <v>4.124811094319495E-2</v>
      </c>
      <c r="P11" s="148">
        <f t="shared" si="18"/>
        <v>8.2687759928239415E-2</v>
      </c>
      <c r="Q11" s="148">
        <f t="shared" si="18"/>
        <v>0.34684420772303592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87</v>
      </c>
      <c r="H12" s="147">
        <v>152</v>
      </c>
      <c r="I12" s="147">
        <f>94+55</f>
        <v>149</v>
      </c>
      <c r="J12" s="147">
        <f>123+1697</f>
        <v>1820</v>
      </c>
      <c r="K12" s="147">
        <f>148+350</f>
        <v>498</v>
      </c>
      <c r="L12" s="147">
        <f>188+2897</f>
        <v>3085</v>
      </c>
      <c r="M12" s="147">
        <f>132+157</f>
        <v>289</v>
      </c>
      <c r="N12" s="147">
        <v>457</v>
      </c>
      <c r="O12" s="147">
        <v>152</v>
      </c>
      <c r="P12" s="147">
        <v>950</v>
      </c>
      <c r="Q12" s="147">
        <v>800</v>
      </c>
      <c r="R12" s="118">
        <f>((Q12/G12)^(1/($H$2-$H$1) ))-1</f>
        <v>0.279568130846227</v>
      </c>
      <c r="S12" s="31">
        <f t="shared" si="5"/>
        <v>0.15</v>
      </c>
      <c r="T12" s="154">
        <f t="shared" si="2"/>
        <v>919.99999999999989</v>
      </c>
      <c r="U12" s="154">
        <f t="shared" ref="U12:AC12" si="19">T12*(1+$S12)</f>
        <v>1057.9999999999998</v>
      </c>
      <c r="V12" s="154">
        <f t="shared" si="19"/>
        <v>1216.6999999999996</v>
      </c>
      <c r="W12" s="154">
        <f t="shared" si="19"/>
        <v>1399.2049999999995</v>
      </c>
      <c r="X12" s="154">
        <f t="shared" si="19"/>
        <v>1609.0857499999993</v>
      </c>
      <c r="Y12" s="154">
        <f t="shared" si="19"/>
        <v>1850.4486124999989</v>
      </c>
      <c r="Z12" s="154">
        <f t="shared" si="19"/>
        <v>2128.0159043749986</v>
      </c>
      <c r="AA12" s="154">
        <f t="shared" si="19"/>
        <v>2447.2182900312482</v>
      </c>
      <c r="AB12" s="154">
        <f t="shared" si="19"/>
        <v>2814.3010335359354</v>
      </c>
      <c r="AC12" s="154">
        <f t="shared" si="19"/>
        <v>3236.4461885663254</v>
      </c>
      <c r="AD12" s="138">
        <f t="shared" si="17"/>
        <v>0.19819487287789328</v>
      </c>
      <c r="AE12" s="31">
        <f t="shared" si="15"/>
        <v>0.05</v>
      </c>
      <c r="AF12" s="146">
        <f t="shared" si="1"/>
        <v>19989.81469408613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92</v>
      </c>
      <c r="H13" s="147">
        <v>307</v>
      </c>
      <c r="I13" s="147">
        <v>0.01</v>
      </c>
      <c r="J13" s="147">
        <v>1.23</v>
      </c>
      <c r="K13" s="147">
        <v>556</v>
      </c>
      <c r="L13" s="147">
        <v>2045</v>
      </c>
      <c r="M13" s="147">
        <v>1130</v>
      </c>
      <c r="N13" s="147">
        <v>1020</v>
      </c>
      <c r="O13" s="147">
        <v>97</v>
      </c>
      <c r="P13" s="147">
        <v>1028</v>
      </c>
      <c r="Q13" s="147">
        <v>215</v>
      </c>
      <c r="R13" s="118">
        <f>((Q13/G13)^(1/($H$2-$H$1) ))-1</f>
        <v>9.8907611232660564E-2</v>
      </c>
      <c r="S13" s="31">
        <f t="shared" si="5"/>
        <v>0.15</v>
      </c>
      <c r="T13" s="154">
        <f t="shared" si="2"/>
        <v>247.24999999999997</v>
      </c>
      <c r="U13" s="154">
        <f t="shared" ref="U13:AC13" si="20">T13*(1+$S13)</f>
        <v>284.33749999999992</v>
      </c>
      <c r="V13" s="154">
        <f t="shared" si="20"/>
        <v>326.98812499999991</v>
      </c>
      <c r="W13" s="154">
        <f t="shared" si="20"/>
        <v>376.03634374999984</v>
      </c>
      <c r="X13" s="154">
        <f t="shared" si="20"/>
        <v>432.44179531249978</v>
      </c>
      <c r="Y13" s="154">
        <f t="shared" si="20"/>
        <v>497.3080646093747</v>
      </c>
      <c r="Z13" s="154">
        <f t="shared" si="20"/>
        <v>571.90427430078091</v>
      </c>
      <c r="AA13" s="154">
        <f t="shared" si="20"/>
        <v>657.68991544589801</v>
      </c>
      <c r="AB13" s="154">
        <f t="shared" si="20"/>
        <v>756.3434027627826</v>
      </c>
      <c r="AC13" s="154">
        <f t="shared" si="20"/>
        <v>869.79491317719987</v>
      </c>
      <c r="AD13" s="138">
        <f t="shared" si="17"/>
        <v>0.11887469514301729</v>
      </c>
      <c r="AE13" s="31">
        <f t="shared" si="15"/>
        <v>0.05</v>
      </c>
      <c r="AF13" s="146">
        <f t="shared" si="1"/>
        <v>5372.2626990356466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9</v>
      </c>
      <c r="H14" s="147">
        <v>13</v>
      </c>
      <c r="I14" s="147">
        <v>11</v>
      </c>
      <c r="J14" s="147">
        <v>18</v>
      </c>
      <c r="K14" s="147">
        <v>27</v>
      </c>
      <c r="L14" s="147">
        <v>52</v>
      </c>
      <c r="M14" s="147">
        <v>54</v>
      </c>
      <c r="N14" s="147">
        <v>66</v>
      </c>
      <c r="O14" s="147">
        <v>93</v>
      </c>
      <c r="P14" s="147">
        <v>72</v>
      </c>
      <c r="Q14" s="147">
        <v>68</v>
      </c>
      <c r="R14" s="118">
        <f>((Q14/G14)^(1/($H$2-$H$1) ))-1</f>
        <v>0.25194472872237017</v>
      </c>
      <c r="S14" s="31">
        <f t="shared" si="5"/>
        <v>0.15</v>
      </c>
      <c r="T14" s="154">
        <f t="shared" si="2"/>
        <v>78.199999999999989</v>
      </c>
      <c r="U14" s="154">
        <f t="shared" ref="U14" si="21">T14*(1+$S14)</f>
        <v>89.929999999999978</v>
      </c>
      <c r="V14" s="154">
        <f t="shared" ref="V14" si="22">U14*(1+$S14)</f>
        <v>103.41949999999997</v>
      </c>
      <c r="W14" s="154">
        <f t="shared" ref="W14" si="23">V14*(1+$S14)</f>
        <v>118.93242499999995</v>
      </c>
      <c r="X14" s="154">
        <f t="shared" ref="X14" si="24">W14*(1+$S14)</f>
        <v>136.77228874999994</v>
      </c>
      <c r="Y14" s="154">
        <f t="shared" ref="Y14" si="25">X14*(1+$S14)</f>
        <v>157.28813206249993</v>
      </c>
      <c r="Z14" s="154">
        <f t="shared" ref="Z14" si="26">Y14*(1+$S14)</f>
        <v>180.8813518718749</v>
      </c>
      <c r="AA14" s="154">
        <f t="shared" ref="AA14" si="27">Z14*(1+$S14)</f>
        <v>208.01355465265613</v>
      </c>
      <c r="AB14" s="154">
        <f t="shared" ref="AB14" si="28">AA14*(1+$S14)</f>
        <v>239.21558785055453</v>
      </c>
      <c r="AC14" s="154">
        <f t="shared" ref="AC14" si="29">AB14*(1+$S14)</f>
        <v>275.09792602813769</v>
      </c>
      <c r="AD14" s="138">
        <f t="shared" ref="AD14" si="30">((AC14/G14)^(1/($AC$3-$H$1) ))-1</f>
        <v>0.18648496795403458</v>
      </c>
      <c r="AE14" s="31">
        <f t="shared" si="15"/>
        <v>0.05</v>
      </c>
      <c r="AF14" s="146">
        <f t="shared" ref="AF14" si="31">(AC14*(1+AE14))/($C$1-AE14)</f>
        <v>1699.1342489973215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170</v>
      </c>
      <c r="H15" s="147">
        <v>275</v>
      </c>
      <c r="I15" s="147">
        <v>197</v>
      </c>
      <c r="J15" s="147">
        <v>293</v>
      </c>
      <c r="K15" s="147">
        <v>374</v>
      </c>
      <c r="L15" s="147">
        <v>602</v>
      </c>
      <c r="M15" s="147">
        <v>652</v>
      </c>
      <c r="N15" s="147">
        <v>1079</v>
      </c>
      <c r="O15" s="147">
        <v>1067</v>
      </c>
      <c r="P15" s="147">
        <v>1175</v>
      </c>
      <c r="Q15" s="147">
        <v>1057</v>
      </c>
      <c r="R15" s="118">
        <f>((Q15/G15)^(1/($H$2-$H$1) ))-1</f>
        <v>0.22512576670457984</v>
      </c>
      <c r="S15" s="31">
        <f t="shared" si="5"/>
        <v>0.15</v>
      </c>
      <c r="T15" s="154">
        <f t="shared" si="2"/>
        <v>1215.55</v>
      </c>
      <c r="U15" s="154">
        <f t="shared" ref="U15:AC15" si="32">T15*(1+$S15)</f>
        <v>1397.8824999999999</v>
      </c>
      <c r="V15" s="154">
        <f t="shared" si="32"/>
        <v>1607.5648749999998</v>
      </c>
      <c r="W15" s="154">
        <f t="shared" si="32"/>
        <v>1848.6996062499995</v>
      </c>
      <c r="X15" s="154">
        <f t="shared" si="32"/>
        <v>2126.0045471874992</v>
      </c>
      <c r="Y15" s="154">
        <f t="shared" si="32"/>
        <v>2444.9052292656238</v>
      </c>
      <c r="Z15" s="154">
        <f t="shared" si="32"/>
        <v>2811.6410136554673</v>
      </c>
      <c r="AA15" s="154">
        <f t="shared" si="32"/>
        <v>3233.3871657037871</v>
      </c>
      <c r="AB15" s="154">
        <f t="shared" si="32"/>
        <v>3718.395240559355</v>
      </c>
      <c r="AC15" s="154">
        <f t="shared" si="32"/>
        <v>4276.1545266432577</v>
      </c>
      <c r="AD15" s="138">
        <f t="shared" si="17"/>
        <v>0.1749793213950972</v>
      </c>
      <c r="AE15" s="31">
        <f t="shared" si="15"/>
        <v>0.05</v>
      </c>
      <c r="AF15" s="146">
        <f t="shared" si="1"/>
        <v>26411.542664561301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511</v>
      </c>
      <c r="H16" s="147">
        <v>695</v>
      </c>
      <c r="I16" s="147">
        <v>-637</v>
      </c>
      <c r="J16" s="147">
        <v>313</v>
      </c>
      <c r="K16" s="147">
        <v>-1218</v>
      </c>
      <c r="L16" s="147">
        <v>1219</v>
      </c>
      <c r="M16" s="147">
        <v>-619</v>
      </c>
      <c r="N16" s="147">
        <v>-4026</v>
      </c>
      <c r="O16" s="147">
        <v>-3471</v>
      </c>
      <c r="P16" s="147">
        <v>-4500</v>
      </c>
      <c r="Q16" s="147">
        <v>-5934</v>
      </c>
      <c r="R16" s="118">
        <f>((Q16/G16)^(1/($H$2-$H$1) ))-1</f>
        <v>-2.3131827900196886</v>
      </c>
      <c r="S16" s="31">
        <f t="shared" si="5"/>
        <v>0.15</v>
      </c>
      <c r="T16" s="154">
        <f t="shared" si="2"/>
        <v>-6824.0999999999995</v>
      </c>
      <c r="U16" s="154">
        <f t="shared" ref="U16:AC16" si="33">T16*(1+$S16)</f>
        <v>-7847.7149999999983</v>
      </c>
      <c r="V16" s="154">
        <f t="shared" si="33"/>
        <v>-9024.8722499999967</v>
      </c>
      <c r="W16" s="154">
        <f t="shared" si="33"/>
        <v>-10378.603087499996</v>
      </c>
      <c r="X16" s="154">
        <f t="shared" si="33"/>
        <v>-11935.393550624995</v>
      </c>
      <c r="Y16" s="154">
        <f t="shared" si="33"/>
        <v>-13725.702583218743</v>
      </c>
      <c r="Z16" s="154">
        <f t="shared" si="33"/>
        <v>-15784.557970701553</v>
      </c>
      <c r="AA16" s="154">
        <f t="shared" si="33"/>
        <v>-18152.241666306785</v>
      </c>
      <c r="AB16" s="154">
        <f t="shared" si="33"/>
        <v>-20875.077916252802</v>
      </c>
      <c r="AC16" s="154">
        <f t="shared" si="33"/>
        <v>-24006.339603690722</v>
      </c>
      <c r="AD16" s="138" t="e">
        <f t="shared" si="17"/>
        <v>#NUM!</v>
      </c>
      <c r="AE16" s="31">
        <f t="shared" si="15"/>
        <v>0.05</v>
      </c>
      <c r="AF16" s="146">
        <f t="shared" si="1"/>
        <v>-148274.45049338389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2608</v>
      </c>
      <c r="H18" s="147">
        <v>2677</v>
      </c>
      <c r="I18" s="147">
        <v>4883</v>
      </c>
      <c r="J18" s="147">
        <v>5609</v>
      </c>
      <c r="K18" s="147">
        <v>9685</v>
      </c>
      <c r="L18" s="147">
        <v>16772</v>
      </c>
      <c r="M18" s="147">
        <v>18173</v>
      </c>
      <c r="N18" s="147">
        <v>22491</v>
      </c>
      <c r="O18" s="147">
        <v>26993</v>
      </c>
      <c r="P18" s="147">
        <v>29160</v>
      </c>
      <c r="Q18" s="147">
        <v>29601</v>
      </c>
      <c r="R18" s="118">
        <f>((Q18/G18)^(1/($H$2-$H$1) ))-1</f>
        <v>0.30985158039565341</v>
      </c>
      <c r="S18" s="31">
        <f t="shared" si="5"/>
        <v>0.15</v>
      </c>
      <c r="T18" s="154">
        <f t="shared" si="2"/>
        <v>34041.149999999994</v>
      </c>
      <c r="U18" s="154">
        <f t="shared" ref="U18:U34" si="34">T18*(1+$S18)</f>
        <v>39147.322499999987</v>
      </c>
      <c r="V18" s="154">
        <f t="shared" ref="V18:V34" si="35">U18*(1+$S18)</f>
        <v>45019.420874999982</v>
      </c>
      <c r="W18" s="154">
        <f t="shared" ref="W18:W34" si="36">V18*(1+$S18)</f>
        <v>51772.334006249977</v>
      </c>
      <c r="X18" s="154">
        <f t="shared" ref="X18:X36" si="37">W18*(1+$S18)</f>
        <v>59538.184107187466</v>
      </c>
      <c r="Y18" s="154">
        <f t="shared" ref="Y18:Y36" si="38">X18*(1+$S18)</f>
        <v>68468.911723265584</v>
      </c>
      <c r="Z18" s="154">
        <f t="shared" ref="Z18:Z36" si="39">Y18*(1+$S18)</f>
        <v>78739.248481755421</v>
      </c>
      <c r="AA18" s="154">
        <f t="shared" ref="AA18:AA36" si="40">Z18*(1+$S18)</f>
        <v>90550.135754018731</v>
      </c>
      <c r="AB18" s="154">
        <f t="shared" ref="AB18:AB36" si="41">AA18*(1+$S18)</f>
        <v>104132.65611712153</v>
      </c>
      <c r="AC18" s="154">
        <f t="shared" ref="AC18:AC36" si="42">AB18*(1+$S18)</f>
        <v>119752.55453468976</v>
      </c>
      <c r="AD18" s="138">
        <f t="shared" si="17"/>
        <v>0.21087373759942007</v>
      </c>
      <c r="AE18" s="31">
        <f t="shared" si="15"/>
        <v>0.05</v>
      </c>
      <c r="AF18" s="146">
        <f t="shared" si="1"/>
        <v>739648.1309495545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f>I20</f>
        <v>822</v>
      </c>
      <c r="H20" s="147"/>
      <c r="I20" s="147">
        <v>822</v>
      </c>
      <c r="J20" s="147">
        <v>1605</v>
      </c>
      <c r="K20" s="147">
        <v>2502</v>
      </c>
      <c r="L20" s="147">
        <v>1863</v>
      </c>
      <c r="M20" s="147">
        <v>1985</v>
      </c>
      <c r="N20" s="147">
        <v>4500</v>
      </c>
      <c r="O20" s="147">
        <v>3055</v>
      </c>
      <c r="P20" s="147">
        <v>5708</v>
      </c>
      <c r="Q20" s="147">
        <v>7531</v>
      </c>
      <c r="R20" s="118">
        <f>((Q20/G20)^(1/($H$2-$H$1) ))-1</f>
        <v>0.27904775245231472</v>
      </c>
      <c r="S20" s="31">
        <f t="shared" si="5"/>
        <v>0.15</v>
      </c>
      <c r="T20" s="154">
        <f t="shared" si="2"/>
        <v>8660.65</v>
      </c>
      <c r="U20" s="154">
        <f t="shared" ref="U20:U22" si="43">T20*(1+$S20)</f>
        <v>9959.7474999999995</v>
      </c>
      <c r="V20" s="154">
        <f t="shared" ref="V20:V22" si="44">U20*(1+$S20)</f>
        <v>11453.709624999998</v>
      </c>
      <c r="W20" s="154">
        <f t="shared" ref="W20:W22" si="45">V20*(1+$S20)</f>
        <v>13171.766068749996</v>
      </c>
      <c r="X20" s="154">
        <f t="shared" ref="X20:X22" si="46">W20*(1+$S20)</f>
        <v>15147.530979062494</v>
      </c>
      <c r="Y20" s="154">
        <f t="shared" ref="Y20:Y22" si="47">X20*(1+$S20)</f>
        <v>17419.660625921868</v>
      </c>
      <c r="Z20" s="154">
        <f t="shared" ref="Z20:Z22" si="48">Y20*(1+$S20)</f>
        <v>20032.609719810145</v>
      </c>
      <c r="AA20" s="154">
        <f t="shared" ref="AA20:AA22" si="49">Z20*(1+$S20)</f>
        <v>23037.501177781665</v>
      </c>
      <c r="AB20" s="154">
        <f t="shared" ref="AB20:AB22" si="50">AA20*(1+$S20)</f>
        <v>26493.126354448912</v>
      </c>
      <c r="AC20" s="154">
        <f t="shared" ref="AC20:AC22" si="51">AB20*(1+$S20)</f>
        <v>30467.095307616248</v>
      </c>
      <c r="AD20" s="138">
        <f t="shared" ref="AD20:AD22" si="52">((AC20/G20)^(1/($AC$3-$H$1) ))-1</f>
        <v>0.19797556997009935</v>
      </c>
      <c r="AE20" s="31">
        <f t="shared" si="15"/>
        <v>0.05</v>
      </c>
      <c r="AF20" s="146">
        <f t="shared" si="1"/>
        <v>188179.11807645331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f>I21</f>
        <v>-287</v>
      </c>
      <c r="H21" s="147"/>
      <c r="I21" s="147">
        <v>-287</v>
      </c>
      <c r="J21" s="147">
        <v>-2275</v>
      </c>
      <c r="K21" s="147">
        <v>-5956</v>
      </c>
      <c r="L21" s="147">
        <v>-7655</v>
      </c>
      <c r="M21" s="147">
        <v>-2095</v>
      </c>
      <c r="N21" s="147">
        <v>-7644</v>
      </c>
      <c r="O21" s="147">
        <v>-4366</v>
      </c>
      <c r="P21" s="147">
        <v>-3125</v>
      </c>
      <c r="Q21" s="147">
        <v>-6300</v>
      </c>
      <c r="R21" s="118">
        <f>((Q21/G21)^(1/($H$2-$H$1) ))-1</f>
        <v>0.40945417828693031</v>
      </c>
      <c r="S21" s="31">
        <f t="shared" si="5"/>
        <v>0.15</v>
      </c>
      <c r="T21" s="154">
        <f t="shared" si="2"/>
        <v>-7244.9999999999991</v>
      </c>
      <c r="U21" s="154">
        <f t="shared" si="43"/>
        <v>-8331.7499999999982</v>
      </c>
      <c r="V21" s="154">
        <f t="shared" si="44"/>
        <v>-9581.5124999999971</v>
      </c>
      <c r="W21" s="154">
        <f t="shared" si="45"/>
        <v>-11018.739374999996</v>
      </c>
      <c r="X21" s="154">
        <f t="shared" si="46"/>
        <v>-12671.550281249994</v>
      </c>
      <c r="Y21" s="154">
        <f t="shared" si="47"/>
        <v>-14572.282823437492</v>
      </c>
      <c r="Z21" s="154">
        <f t="shared" si="48"/>
        <v>-16758.125246953114</v>
      </c>
      <c r="AA21" s="154">
        <f t="shared" si="49"/>
        <v>-19271.84403399608</v>
      </c>
      <c r="AB21" s="154">
        <f t="shared" si="50"/>
        <v>-22162.62063909549</v>
      </c>
      <c r="AC21" s="154">
        <f t="shared" si="51"/>
        <v>-25487.013734959812</v>
      </c>
      <c r="AD21" s="138">
        <f t="shared" si="52"/>
        <v>0.25147406184109933</v>
      </c>
      <c r="AE21" s="31">
        <f t="shared" si="15"/>
        <v>0.05</v>
      </c>
      <c r="AF21" s="146">
        <f t="shared" si="1"/>
        <v>-157419.79071592828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f>I22</f>
        <v>-558</v>
      </c>
      <c r="H22" s="147"/>
      <c r="I22" s="147">
        <v>-558</v>
      </c>
      <c r="J22" s="147">
        <v>2340</v>
      </c>
      <c r="K22" s="147">
        <v>2131</v>
      </c>
      <c r="L22" s="147">
        <v>7639</v>
      </c>
      <c r="M22" s="147">
        <v>-2530</v>
      </c>
      <c r="N22" s="147">
        <v>3314</v>
      </c>
      <c r="O22" s="147">
        <v>58</v>
      </c>
      <c r="P22" s="147">
        <v>-1671</v>
      </c>
      <c r="Q22" s="147">
        <v>-2181</v>
      </c>
      <c r="R22" s="118">
        <f>((Q22/G22)^(1/($H$2-$H$1) ))-1</f>
        <v>0.16353690550973199</v>
      </c>
      <c r="S22" s="31">
        <f t="shared" si="5"/>
        <v>0.15</v>
      </c>
      <c r="T22" s="154">
        <f t="shared" si="2"/>
        <v>-2508.1499999999996</v>
      </c>
      <c r="U22" s="154">
        <f t="shared" si="43"/>
        <v>-2884.3724999999995</v>
      </c>
      <c r="V22" s="154">
        <f t="shared" si="44"/>
        <v>-3317.028374999999</v>
      </c>
      <c r="W22" s="154">
        <f t="shared" si="45"/>
        <v>-3814.5826312499985</v>
      </c>
      <c r="X22" s="154">
        <f t="shared" si="46"/>
        <v>-4386.7700259374978</v>
      </c>
      <c r="Y22" s="154">
        <f t="shared" si="47"/>
        <v>-5044.785529828122</v>
      </c>
      <c r="Z22" s="154">
        <f t="shared" si="48"/>
        <v>-5801.50335930234</v>
      </c>
      <c r="AA22" s="154">
        <f t="shared" si="49"/>
        <v>-6671.7288631976908</v>
      </c>
      <c r="AB22" s="154">
        <f t="shared" si="50"/>
        <v>-7672.4881926773442</v>
      </c>
      <c r="AC22" s="154">
        <f t="shared" si="51"/>
        <v>-8823.3614215789457</v>
      </c>
      <c r="AD22" s="138">
        <f t="shared" si="52"/>
        <v>0.14802142587638123</v>
      </c>
      <c r="AE22" s="31">
        <f t="shared" si="15"/>
        <v>0.05</v>
      </c>
      <c r="AF22" s="146">
        <f t="shared" si="1"/>
        <v>-54497.232309752319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f>I23</f>
        <v>129</v>
      </c>
      <c r="H23" s="147"/>
      <c r="I23" s="147">
        <v>129</v>
      </c>
      <c r="J23" s="147">
        <v>1819</v>
      </c>
      <c r="K23" s="147">
        <v>497</v>
      </c>
      <c r="L23" s="147">
        <v>2344</v>
      </c>
      <c r="M23" s="147">
        <v>280</v>
      </c>
      <c r="N23" s="147">
        <v>451</v>
      </c>
      <c r="O23" s="147">
        <v>130</v>
      </c>
      <c r="P23" s="147">
        <v>1040</v>
      </c>
      <c r="Q23" s="147">
        <v>91</v>
      </c>
      <c r="R23" s="118">
        <f>((Q23/G23)^(1/($H$2-$H$1) ))-1</f>
        <v>-3.803051020095316E-2</v>
      </c>
      <c r="S23" s="31">
        <f t="shared" si="5"/>
        <v>0.15</v>
      </c>
      <c r="T23" s="154">
        <f t="shared" si="2"/>
        <v>104.64999999999999</v>
      </c>
      <c r="U23" s="154">
        <f t="shared" ref="U23" si="53">T23*(1+$S23)</f>
        <v>120.34749999999998</v>
      </c>
      <c r="V23" s="154">
        <f t="shared" ref="V23" si="54">U23*(1+$S23)</f>
        <v>138.39962499999996</v>
      </c>
      <c r="W23" s="154">
        <f t="shared" ref="W23" si="55">V23*(1+$S23)</f>
        <v>159.15956874999995</v>
      </c>
      <c r="X23" s="154">
        <f t="shared" ref="X23" si="56">W23*(1+$S23)</f>
        <v>183.03350406249993</v>
      </c>
      <c r="Y23" s="154">
        <f t="shared" ref="Y23" si="57">X23*(1+$S23)</f>
        <v>210.48852967187491</v>
      </c>
      <c r="Z23" s="154">
        <f t="shared" ref="Z23" si="58">Y23*(1+$S23)</f>
        <v>242.06180912265614</v>
      </c>
      <c r="AA23" s="154">
        <f t="shared" ref="AA23" si="59">Z23*(1+$S23)</f>
        <v>278.37108049105456</v>
      </c>
      <c r="AB23" s="154">
        <f t="shared" ref="AB23" si="60">AA23*(1+$S23)</f>
        <v>320.12674256471274</v>
      </c>
      <c r="AC23" s="154">
        <f t="shared" ref="AC23" si="61">AB23*(1+$S23)</f>
        <v>368.1457539494196</v>
      </c>
      <c r="AD23" s="138">
        <f t="shared" ref="AD23" si="62">((AC23/G23)^(1/($AC$3-$H$1) ))-1</f>
        <v>5.3832296832819093E-2</v>
      </c>
      <c r="AE23" s="31">
        <f t="shared" si="15"/>
        <v>0.05</v>
      </c>
      <c r="AF23" s="146">
        <f t="shared" si="1"/>
        <v>2273.8414214522982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1180</v>
      </c>
      <c r="H25" s="147">
        <v>1635</v>
      </c>
      <c r="I25" s="147">
        <v>2972</v>
      </c>
      <c r="J25" s="147">
        <v>4392</v>
      </c>
      <c r="K25" s="147">
        <v>6904</v>
      </c>
      <c r="L25" s="147">
        <v>10412</v>
      </c>
      <c r="M25" s="147">
        <v>12234</v>
      </c>
      <c r="N25" s="147">
        <v>15442</v>
      </c>
      <c r="O25" s="147">
        <v>19271</v>
      </c>
      <c r="P25" s="147">
        <v>22086</v>
      </c>
      <c r="Q25" s="147">
        <v>26179</v>
      </c>
      <c r="R25" s="118">
        <f>((Q25/G25)^(1/($H$2-$H$1) ))-1</f>
        <v>0.41111838290254199</v>
      </c>
      <c r="S25" s="31">
        <f t="shared" si="5"/>
        <v>0.15</v>
      </c>
      <c r="T25" s="154">
        <f t="shared" si="2"/>
        <v>30105.85</v>
      </c>
      <c r="U25" s="154">
        <f t="shared" si="34"/>
        <v>34621.727499999994</v>
      </c>
      <c r="V25" s="154">
        <f t="shared" si="35"/>
        <v>39814.98662499999</v>
      </c>
      <c r="W25" s="154">
        <f t="shared" si="36"/>
        <v>45787.234618749986</v>
      </c>
      <c r="X25" s="154">
        <f t="shared" si="37"/>
        <v>52655.319811562476</v>
      </c>
      <c r="Y25" s="154">
        <f t="shared" si="38"/>
        <v>60553.617783296846</v>
      </c>
      <c r="Z25" s="154">
        <f t="shared" si="39"/>
        <v>69636.660450791373</v>
      </c>
      <c r="AA25" s="154">
        <f t="shared" si="40"/>
        <v>80082.159518410073</v>
      </c>
      <c r="AB25" s="154">
        <f t="shared" si="41"/>
        <v>92094.48344617158</v>
      </c>
      <c r="AC25" s="154">
        <f t="shared" si="42"/>
        <v>105908.65596309731</v>
      </c>
      <c r="AD25" s="138">
        <f t="shared" si="17"/>
        <v>0.25213879780068327</v>
      </c>
      <c r="AE25" s="31">
        <f t="shared" si="15"/>
        <v>0.05</v>
      </c>
      <c r="AF25" s="146">
        <f t="shared" si="1"/>
        <v>654141.69859560113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0.27828746177370028</v>
      </c>
      <c r="I26" s="148">
        <f t="shared" ref="I26" si="63">(I25-H25)/I25</f>
        <v>0.44986541049798118</v>
      </c>
      <c r="J26" s="148">
        <f t="shared" ref="J26" si="64">(J25-I25)/J25</f>
        <v>0.3233151183970856</v>
      </c>
      <c r="K26" s="148">
        <f t="shared" ref="K26" si="65">(K25-J25)/K25</f>
        <v>0.36384704519119349</v>
      </c>
      <c r="L26" s="148">
        <f t="shared" ref="L26" si="66">(L25-K25)/L25</f>
        <v>0.33691893968497888</v>
      </c>
      <c r="M26" s="148">
        <f t="shared" ref="M26" si="67">(M25-L25)/M25</f>
        <v>0.14892921366683015</v>
      </c>
      <c r="N26" s="148">
        <f t="shared" ref="N26" si="68">(N25-M25)/N25</f>
        <v>0.20774511073695118</v>
      </c>
      <c r="O26" s="148">
        <f t="shared" ref="O26" si="69">(O25-N25)/O25</f>
        <v>0.19869233563385397</v>
      </c>
      <c r="P26" s="148">
        <f t="shared" ref="P26:Q26" si="70">(P25-O25)/P25</f>
        <v>0.12745630716290862</v>
      </c>
      <c r="Q26" s="148">
        <f t="shared" si="70"/>
        <v>0.1563466900951144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825</v>
      </c>
      <c r="H27" s="147">
        <v>1031</v>
      </c>
      <c r="I27" s="147">
        <v>1808</v>
      </c>
      <c r="J27" s="147">
        <v>2750</v>
      </c>
      <c r="K27" s="147">
        <v>4230</v>
      </c>
      <c r="L27" s="147">
        <v>7152</v>
      </c>
      <c r="M27" s="147">
        <v>8606</v>
      </c>
      <c r="N27" s="147">
        <v>11715</v>
      </c>
      <c r="O27" s="147">
        <v>14417</v>
      </c>
      <c r="P27" s="147">
        <v>16930</v>
      </c>
      <c r="Q27" s="147">
        <v>18856</v>
      </c>
      <c r="R27" s="118">
        <f>((Q27/G27)^(1/($H$2-$H$1) ))-1</f>
        <v>0.41579219378164822</v>
      </c>
      <c r="S27" s="31">
        <f t="shared" si="5"/>
        <v>0.15</v>
      </c>
      <c r="T27" s="154">
        <f t="shared" si="2"/>
        <v>21684.399999999998</v>
      </c>
      <c r="U27" s="154">
        <f t="shared" si="34"/>
        <v>24937.059999999994</v>
      </c>
      <c r="V27" s="154">
        <f t="shared" si="35"/>
        <v>28677.618999999992</v>
      </c>
      <c r="W27" s="154">
        <f t="shared" si="36"/>
        <v>32979.261849999988</v>
      </c>
      <c r="X27" s="154">
        <f t="shared" si="37"/>
        <v>37926.151127499987</v>
      </c>
      <c r="Y27" s="154">
        <f t="shared" si="38"/>
        <v>43615.07379662498</v>
      </c>
      <c r="Z27" s="154">
        <f t="shared" si="39"/>
        <v>50157.334866118726</v>
      </c>
      <c r="AA27" s="154">
        <f t="shared" si="40"/>
        <v>57680.935096036534</v>
      </c>
      <c r="AB27" s="154">
        <f t="shared" si="41"/>
        <v>66333.075360442002</v>
      </c>
      <c r="AC27" s="154">
        <f t="shared" si="42"/>
        <v>76283.036664508298</v>
      </c>
      <c r="AD27" s="138">
        <f t="shared" si="17"/>
        <v>0.25400336309571681</v>
      </c>
      <c r="AE27" s="31">
        <f t="shared" si="15"/>
        <v>0.05</v>
      </c>
      <c r="AF27" s="146">
        <f t="shared" si="1"/>
        <v>471159.93233961012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0.19980601357904948</v>
      </c>
      <c r="I28" s="148">
        <f t="shared" si="71"/>
        <v>0.42975663716814161</v>
      </c>
      <c r="J28" s="148">
        <f t="shared" si="71"/>
        <v>0.34254545454545454</v>
      </c>
      <c r="K28" s="148">
        <f t="shared" si="71"/>
        <v>0.34988179669030733</v>
      </c>
      <c r="L28" s="148">
        <f t="shared" si="71"/>
        <v>0.40855704697986578</v>
      </c>
      <c r="M28" s="148">
        <f t="shared" si="71"/>
        <v>0.16895189402742272</v>
      </c>
      <c r="N28" s="148">
        <f t="shared" ref="N28" si="72">(N27-M27)/N27</f>
        <v>0.26538625693555273</v>
      </c>
      <c r="O28" s="148">
        <f t="shared" ref="O28" si="73">(O27-N27)/O27</f>
        <v>0.18741763196226677</v>
      </c>
      <c r="P28" s="148">
        <f t="shared" ref="P28:Q28" si="74">(P27-O27)/P27</f>
        <v>0.14843473124630832</v>
      </c>
      <c r="Q28" s="148">
        <f t="shared" si="74"/>
        <v>0.10214255409418753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253</v>
      </c>
      <c r="H29" s="147">
        <v>255</v>
      </c>
      <c r="I29" s="147">
        <v>412</v>
      </c>
      <c r="J29" s="147">
        <v>478</v>
      </c>
      <c r="K29" s="147">
        <v>696</v>
      </c>
      <c r="L29" s="147">
        <v>933</v>
      </c>
      <c r="M29" s="147">
        <v>982</v>
      </c>
      <c r="N29" s="147">
        <v>894</v>
      </c>
      <c r="O29" s="147">
        <v>1488</v>
      </c>
      <c r="P29" s="147">
        <v>813</v>
      </c>
      <c r="Q29" s="147">
        <v>624</v>
      </c>
      <c r="R29" s="118">
        <f>((Q29/G29)^(1/($H$2-$H$1) ))-1</f>
        <v>0.10550999718041543</v>
      </c>
      <c r="S29" s="31">
        <f t="shared" si="5"/>
        <v>0.15</v>
      </c>
      <c r="T29" s="154">
        <f t="shared" si="2"/>
        <v>717.59999999999991</v>
      </c>
      <c r="U29" s="154">
        <f t="shared" ref="U29" si="75">T29*(1+$S29)</f>
        <v>825.23999999999978</v>
      </c>
      <c r="V29" s="154">
        <f t="shared" ref="V29" si="76">U29*(1+$S29)</f>
        <v>949.02599999999973</v>
      </c>
      <c r="W29" s="154">
        <f t="shared" ref="W29" si="77">V29*(1+$S29)</f>
        <v>1091.3798999999997</v>
      </c>
      <c r="X29" s="154">
        <f t="shared" ref="X29" si="78">W29*(1+$S29)</f>
        <v>1255.0868849999995</v>
      </c>
      <c r="Y29" s="154">
        <f t="shared" ref="Y29" si="79">X29*(1+$S29)</f>
        <v>1443.3499177499993</v>
      </c>
      <c r="Z29" s="154">
        <f t="shared" ref="Z29" si="80">Y29*(1+$S29)</f>
        <v>1659.8524054124991</v>
      </c>
      <c r="AA29" s="154">
        <f t="shared" ref="AA29" si="81">Z29*(1+$S29)</f>
        <v>1908.8302662243739</v>
      </c>
      <c r="AB29" s="154">
        <f t="shared" ref="AB29" si="82">AA29*(1+$S29)</f>
        <v>2195.1548061580297</v>
      </c>
      <c r="AC29" s="154">
        <f t="shared" ref="AC29" si="83">AB29*(1+$S29)</f>
        <v>2524.4280270817339</v>
      </c>
      <c r="AD29" s="138">
        <f t="shared" ref="AD29" si="84">((AC29/G29)^(1/($AC$3-$H$1) ))-1</f>
        <v>0.12189477038853025</v>
      </c>
      <c r="AE29" s="31">
        <f t="shared" si="15"/>
        <v>0.05</v>
      </c>
      <c r="AF29" s="146">
        <f t="shared" ref="AF29" si="85">(AC29*(1+AE29))/($C$1-AE29)</f>
        <v>15592.055461387183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7.8431372549019607E-3</v>
      </c>
      <c r="I30" s="148">
        <f t="shared" si="86"/>
        <v>0.38106796116504854</v>
      </c>
      <c r="J30" s="148">
        <f t="shared" si="86"/>
        <v>0.13807531380753138</v>
      </c>
      <c r="K30" s="148">
        <f t="shared" si="86"/>
        <v>0.31321839080459768</v>
      </c>
      <c r="L30" s="148">
        <f t="shared" si="86"/>
        <v>0.25401929260450162</v>
      </c>
      <c r="M30" s="148">
        <f t="shared" ref="M30" si="87">(M29-L29)/M29</f>
        <v>4.9898167006109981E-2</v>
      </c>
      <c r="N30" s="148">
        <f t="shared" ref="N30" si="88">(N29-M29)/N29</f>
        <v>-9.8434004474272932E-2</v>
      </c>
      <c r="O30" s="148">
        <f t="shared" ref="O30" si="89">(O29-N29)/O29</f>
        <v>0.39919354838709675</v>
      </c>
      <c r="P30" s="148">
        <f t="shared" ref="P30:Q30" si="90">(P29-O29)/P29</f>
        <v>-0.8302583025830258</v>
      </c>
      <c r="Q30" s="148">
        <f t="shared" si="90"/>
        <v>-0.30288461538461536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5"/>
        <v>0.15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5"/>
        <v>0.15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0.01</v>
      </c>
      <c r="H33" s="147">
        <v>0.01</v>
      </c>
      <c r="I33" s="147">
        <v>60</v>
      </c>
      <c r="J33" s="147">
        <v>109</v>
      </c>
      <c r="K33" s="147">
        <v>224</v>
      </c>
      <c r="L33" s="147">
        <v>555</v>
      </c>
      <c r="M33" s="147">
        <v>942</v>
      </c>
      <c r="N33" s="147">
        <v>1392</v>
      </c>
      <c r="O33" s="147">
        <v>1553</v>
      </c>
      <c r="P33" s="147">
        <v>1841</v>
      </c>
      <c r="Q33" s="147">
        <v>2233</v>
      </c>
      <c r="R33" s="118">
        <f>((Q33/G33)^(1/($H$2-$H$1) ))-1</f>
        <v>2.9293523041839591</v>
      </c>
      <c r="S33" s="31">
        <f t="shared" si="5"/>
        <v>0.15</v>
      </c>
      <c r="T33" s="154">
        <f t="shared" si="2"/>
        <v>2567.9499999999998</v>
      </c>
      <c r="U33" s="154">
        <f t="shared" si="34"/>
        <v>2953.1424999999995</v>
      </c>
      <c r="V33" s="154">
        <f t="shared" si="35"/>
        <v>3396.1138749999991</v>
      </c>
      <c r="W33" s="154">
        <f t="shared" si="36"/>
        <v>3905.5309562499988</v>
      </c>
      <c r="X33" s="154">
        <f t="shared" si="37"/>
        <v>4491.3605996874985</v>
      </c>
      <c r="Y33" s="154">
        <f t="shared" si="38"/>
        <v>5165.0646896406233</v>
      </c>
      <c r="Z33" s="154">
        <f t="shared" si="39"/>
        <v>5939.8243930867166</v>
      </c>
      <c r="AA33" s="154">
        <f t="shared" si="40"/>
        <v>6830.7980520497231</v>
      </c>
      <c r="AB33" s="154">
        <f t="shared" si="41"/>
        <v>7855.4177598571805</v>
      </c>
      <c r="AC33" s="154">
        <f t="shared" si="42"/>
        <v>9033.7304238357574</v>
      </c>
      <c r="AD33" s="138">
        <f t="shared" si="17"/>
        <v>0.98515012912256017</v>
      </c>
      <c r="AE33" s="31">
        <f t="shared" si="15"/>
        <v>0.05</v>
      </c>
      <c r="AF33" s="146">
        <f t="shared" si="1"/>
        <v>55796.570264867922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71</v>
      </c>
      <c r="H34" s="147">
        <v>103</v>
      </c>
      <c r="I34" s="147">
        <v>174</v>
      </c>
      <c r="J34" s="147">
        <v>251</v>
      </c>
      <c r="K34" s="147">
        <v>337</v>
      </c>
      <c r="L34" s="147">
        <v>512</v>
      </c>
      <c r="M34" s="147">
        <v>561</v>
      </c>
      <c r="N34" s="147">
        <v>719</v>
      </c>
      <c r="O34" s="147">
        <v>848</v>
      </c>
      <c r="P34" s="147">
        <v>1003</v>
      </c>
      <c r="Q34" s="147">
        <v>1161</v>
      </c>
      <c r="R34" s="118">
        <f>((Q34/G34)^(1/($H$2-$H$1) ))-1</f>
        <v>0.36408533903574702</v>
      </c>
      <c r="S34" s="31">
        <f t="shared" si="5"/>
        <v>0.15</v>
      </c>
      <c r="T34" s="154">
        <f t="shared" si="2"/>
        <v>1335.1499999999999</v>
      </c>
      <c r="U34" s="154">
        <f t="shared" si="34"/>
        <v>1535.4224999999997</v>
      </c>
      <c r="V34" s="154">
        <f t="shared" si="35"/>
        <v>1765.7358749999994</v>
      </c>
      <c r="W34" s="154">
        <f t="shared" si="36"/>
        <v>2030.5962562499992</v>
      </c>
      <c r="X34" s="154">
        <f t="shared" si="37"/>
        <v>2335.1856946874991</v>
      </c>
      <c r="Y34" s="154">
        <f t="shared" si="38"/>
        <v>2685.4635488906238</v>
      </c>
      <c r="Z34" s="154">
        <f t="shared" si="39"/>
        <v>3088.2830812242173</v>
      </c>
      <c r="AA34" s="154">
        <f t="shared" si="40"/>
        <v>3551.5255434078495</v>
      </c>
      <c r="AB34" s="154">
        <f t="shared" si="41"/>
        <v>4084.2543749190268</v>
      </c>
      <c r="AC34" s="154">
        <f t="shared" si="42"/>
        <v>4696.8925311568801</v>
      </c>
      <c r="AD34" s="138">
        <f t="shared" si="17"/>
        <v>0.23318324017431458</v>
      </c>
      <c r="AE34" s="31">
        <f t="shared" si="15"/>
        <v>0.05</v>
      </c>
      <c r="AF34" s="146">
        <f t="shared" si="1"/>
        <v>29010.218574792496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340</v>
      </c>
      <c r="H36" s="147">
        <v>594</v>
      </c>
      <c r="I36" s="147">
        <v>1156</v>
      </c>
      <c r="J36" s="147">
        <v>1614</v>
      </c>
      <c r="K36" s="147">
        <v>2489</v>
      </c>
      <c r="L36" s="147">
        <v>2982</v>
      </c>
      <c r="M36" s="147">
        <v>3244</v>
      </c>
      <c r="N36" s="147">
        <v>3617</v>
      </c>
      <c r="O36" s="147">
        <v>4857</v>
      </c>
      <c r="P36" s="147">
        <v>5113</v>
      </c>
      <c r="Q36" s="147">
        <v>7254</v>
      </c>
      <c r="R36" s="118">
        <f>((Q36/G36)^(1/($H$2-$H$1) ))-1</f>
        <v>0.40500421144093046</v>
      </c>
      <c r="S36" s="31">
        <f t="shared" si="5"/>
        <v>0.15</v>
      </c>
      <c r="T36" s="154">
        <f t="shared" si="2"/>
        <v>8342.0999999999985</v>
      </c>
      <c r="U36" s="154">
        <f t="shared" ref="U36" si="94">T36*(1+$S36)</f>
        <v>9593.4149999999972</v>
      </c>
      <c r="V36" s="154">
        <f t="shared" ref="V36" si="95">U36*(1+$S36)</f>
        <v>11032.427249999995</v>
      </c>
      <c r="W36" s="154">
        <f t="shared" ref="W36" si="96">V36*(1+$S36)</f>
        <v>12687.291337499993</v>
      </c>
      <c r="X36" s="154">
        <f t="shared" si="37"/>
        <v>14590.385038124992</v>
      </c>
      <c r="Y36" s="154">
        <f t="shared" si="38"/>
        <v>16778.94279384374</v>
      </c>
      <c r="Z36" s="154">
        <f t="shared" si="39"/>
        <v>19295.784212920298</v>
      </c>
      <c r="AA36" s="154">
        <f t="shared" si="40"/>
        <v>22190.151844858341</v>
      </c>
      <c r="AB36" s="154">
        <f t="shared" si="41"/>
        <v>25518.674621587092</v>
      </c>
      <c r="AC36" s="154">
        <f t="shared" si="42"/>
        <v>29346.475814825153</v>
      </c>
      <c r="AD36" s="138">
        <f t="shared" si="17"/>
        <v>0.24969448107406245</v>
      </c>
      <c r="AE36" s="31">
        <f t="shared" si="15"/>
        <v>0.05</v>
      </c>
      <c r="AF36" s="146">
        <f t="shared" si="1"/>
        <v>181257.64473862597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0.42760942760942761</v>
      </c>
      <c r="I37" s="148">
        <f t="shared" ref="I37" si="99">(I36-H36)/I36</f>
        <v>0.48615916955017302</v>
      </c>
      <c r="J37" s="148">
        <f t="shared" ref="J37" si="100">(J36-I36)/J36</f>
        <v>0.28376703841387857</v>
      </c>
      <c r="K37" s="148">
        <f t="shared" ref="K37" si="101">(K36-J36)/K36</f>
        <v>0.35154680594616311</v>
      </c>
      <c r="L37" s="148">
        <f t="shared" ref="L37" si="102">(L36-K36)/L36</f>
        <v>0.16532528504359489</v>
      </c>
      <c r="M37" s="148">
        <f t="shared" ref="M37" si="103">(M36-L36)/M36</f>
        <v>8.0764488286066582E-2</v>
      </c>
      <c r="N37" s="148">
        <f t="shared" ref="N37" si="104">(N36-M36)/N36</f>
        <v>0.10312413602432956</v>
      </c>
      <c r="O37" s="148">
        <f t="shared" ref="O37" si="105">(O36-N36)/O36</f>
        <v>0.25530162651842703</v>
      </c>
      <c r="P37" s="148">
        <f t="shared" ref="P37:Q37" si="106">(P36-O36)/P36</f>
        <v>5.0068452963035401E-2</v>
      </c>
      <c r="Q37" s="148">
        <f t="shared" si="106"/>
        <v>0.29514750482492419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v>-207</v>
      </c>
      <c r="H38" s="147">
        <v>27</v>
      </c>
      <c r="I38" s="147">
        <v>203</v>
      </c>
      <c r="J38" s="147">
        <v>492</v>
      </c>
      <c r="K38" s="147">
        <v>1100</v>
      </c>
      <c r="L38" s="147">
        <v>1078</v>
      </c>
      <c r="M38" s="147">
        <v>1094</v>
      </c>
      <c r="N38" s="147">
        <v>858</v>
      </c>
      <c r="O38" s="147">
        <v>802</v>
      </c>
      <c r="P38" s="147">
        <v>1288</v>
      </c>
      <c r="Q38" s="147">
        <v>2605</v>
      </c>
      <c r="R38" s="118">
        <f>((Q38/G38)^(1/($H$2-$H$1) ))-1</f>
        <v>-2.3249642293074571</v>
      </c>
      <c r="S38" s="31">
        <f t="shared" si="5"/>
        <v>0.15</v>
      </c>
      <c r="T38" s="154">
        <f t="shared" si="2"/>
        <v>2995.7499999999995</v>
      </c>
      <c r="U38" s="154">
        <f t="shared" ref="U38" si="107">T38*(1+$S38)</f>
        <v>3445.1124999999993</v>
      </c>
      <c r="V38" s="154">
        <f t="shared" ref="V38" si="108">U38*(1+$S38)</f>
        <v>3961.8793749999991</v>
      </c>
      <c r="W38" s="154">
        <f t="shared" ref="W38" si="109">V38*(1+$S38)</f>
        <v>4556.1612812499989</v>
      </c>
      <c r="X38" s="154">
        <f t="shared" ref="X38" si="110">W38*(1+$S38)</f>
        <v>5239.585473437498</v>
      </c>
      <c r="Y38" s="154">
        <f t="shared" ref="Y38" si="111">X38*(1+$S38)</f>
        <v>6025.5232944531226</v>
      </c>
      <c r="Z38" s="154">
        <f t="shared" ref="Z38" si="112">Y38*(1+$S38)</f>
        <v>6929.3517886210902</v>
      </c>
      <c r="AA38" s="154">
        <f t="shared" ref="AA38" si="113">Z38*(1+$S38)</f>
        <v>7968.754556914253</v>
      </c>
      <c r="AB38" s="154">
        <f t="shared" ref="AB38" si="114">AA38*(1+$S38)</f>
        <v>9164.0677404513899</v>
      </c>
      <c r="AC38" s="154">
        <f t="shared" ref="AC38" si="115">AB38*(1+$S38)</f>
        <v>10538.677901519097</v>
      </c>
      <c r="AD38" s="138" t="e">
        <f t="shared" ref="AD38" si="116">((AC38/G38)^(1/($AC$3-$H$1) ))-1</f>
        <v>#NUM!</v>
      </c>
      <c r="AE38" s="31">
        <f t="shared" si="15"/>
        <v>0.05</v>
      </c>
      <c r="AF38" s="146">
        <f t="shared" ref="AF38" si="117">(AC38*(1+AE38))/($C$1-AE38)</f>
        <v>65091.834097617961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8.6666666666666661</v>
      </c>
      <c r="I39" s="148">
        <f t="shared" ref="I39" si="120">(I38-H38)/I38</f>
        <v>0.86699507389162567</v>
      </c>
      <c r="J39" s="148">
        <f t="shared" ref="J39" si="121">(J38-I38)/J38</f>
        <v>0.58739837398373984</v>
      </c>
      <c r="K39" s="148">
        <f t="shared" ref="K39" si="122">(K38-J38)/K38</f>
        <v>0.55272727272727273</v>
      </c>
      <c r="L39" s="148">
        <f t="shared" ref="L39" si="123">(L38-K38)/L38</f>
        <v>-2.0408163265306121E-2</v>
      </c>
      <c r="M39" s="148">
        <f t="shared" ref="M39" si="124">(M38-L38)/M38</f>
        <v>1.4625228519195612E-2</v>
      </c>
      <c r="N39" s="148">
        <f t="shared" ref="N39" si="125">(N38-M38)/N38</f>
        <v>-0.27505827505827507</v>
      </c>
      <c r="O39" s="148">
        <f t="shared" ref="O39" si="126">(O38-N38)/O38</f>
        <v>-6.9825436408977551E-2</v>
      </c>
      <c r="P39" s="148">
        <f t="shared" ref="P39:Q39" si="127">(P38-O38)/P38</f>
        <v>0.37732919254658387</v>
      </c>
      <c r="Q39" s="148">
        <f t="shared" si="127"/>
        <v>0.50556621880998076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v>-207</v>
      </c>
      <c r="H40" s="147">
        <v>27</v>
      </c>
      <c r="I40" s="147">
        <v>211</v>
      </c>
      <c r="J40" s="147">
        <v>502</v>
      </c>
      <c r="K40" s="147">
        <v>1042</v>
      </c>
      <c r="L40" s="147">
        <v>882</v>
      </c>
      <c r="M40" s="147">
        <v>1053</v>
      </c>
      <c r="N40" s="147">
        <v>844</v>
      </c>
      <c r="O40" s="147">
        <v>576</v>
      </c>
      <c r="P40" s="147">
        <v>818</v>
      </c>
      <c r="Q40" s="147">
        <v>1689</v>
      </c>
      <c r="R40" s="118">
        <f>((Q40/G40)^(1/($H$2-$H$1) ))-1</f>
        <v>-2.2626863284535204</v>
      </c>
      <c r="S40" s="31">
        <f t="shared" si="5"/>
        <v>0.15</v>
      </c>
      <c r="T40" s="154">
        <f t="shared" si="2"/>
        <v>1942.35</v>
      </c>
      <c r="U40" s="154">
        <f t="shared" ref="U40:AC40" si="128">T40*(1+$S40)</f>
        <v>2233.7024999999999</v>
      </c>
      <c r="V40" s="154">
        <f t="shared" si="128"/>
        <v>2568.7578749999998</v>
      </c>
      <c r="W40" s="154">
        <f t="shared" si="128"/>
        <v>2954.0715562499995</v>
      </c>
      <c r="X40" s="154">
        <f t="shared" si="128"/>
        <v>3397.1822896874992</v>
      </c>
      <c r="Y40" s="154">
        <f t="shared" si="128"/>
        <v>3906.7596331406239</v>
      </c>
      <c r="Z40" s="154">
        <f t="shared" si="128"/>
        <v>4492.7735781117171</v>
      </c>
      <c r="AA40" s="154">
        <f t="shared" si="128"/>
        <v>5166.6896148284741</v>
      </c>
      <c r="AB40" s="154">
        <f t="shared" si="128"/>
        <v>5941.6930570527447</v>
      </c>
      <c r="AC40" s="154">
        <f t="shared" si="128"/>
        <v>6832.9470156106563</v>
      </c>
      <c r="AD40" s="138" t="e">
        <f t="shared" si="17"/>
        <v>#NUM!</v>
      </c>
      <c r="AE40" s="31">
        <f t="shared" si="15"/>
        <v>0.05</v>
      </c>
      <c r="AF40" s="146">
        <f t="shared" si="1"/>
        <v>42203.496272889352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8.6666666666666661</v>
      </c>
      <c r="I41" s="148">
        <f t="shared" si="129"/>
        <v>0.87203791469194314</v>
      </c>
      <c r="J41" s="148">
        <f t="shared" si="129"/>
        <v>0.57968127490039845</v>
      </c>
      <c r="K41" s="148">
        <f t="shared" si="129"/>
        <v>0.51823416506717845</v>
      </c>
      <c r="L41" s="148">
        <f t="shared" si="129"/>
        <v>-0.18140589569160998</v>
      </c>
      <c r="M41" s="148">
        <f t="shared" si="129"/>
        <v>0.1623931623931624</v>
      </c>
      <c r="N41" s="148">
        <f t="shared" si="129"/>
        <v>-0.24763033175355451</v>
      </c>
      <c r="O41" s="148">
        <f t="shared" si="129"/>
        <v>-0.46527777777777779</v>
      </c>
      <c r="P41" s="148">
        <f t="shared" si="129"/>
        <v>0.29584352078239606</v>
      </c>
      <c r="Q41" s="148">
        <f t="shared" si="129"/>
        <v>0.5156897572528123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274.25</v>
      </c>
      <c r="H42" s="145">
        <v>274.25</v>
      </c>
      <c r="I42" s="145">
        <v>225.95</v>
      </c>
      <c r="J42" s="145">
        <v>259.27999999999997</v>
      </c>
      <c r="K42" s="145">
        <v>263.52999999999997</v>
      </c>
      <c r="L42" s="145">
        <v>310</v>
      </c>
      <c r="M42" s="145">
        <v>329.98</v>
      </c>
      <c r="N42" s="145">
        <v>330.32</v>
      </c>
      <c r="O42" s="145">
        <v>330.88</v>
      </c>
      <c r="P42" s="145">
        <v>331.43</v>
      </c>
      <c r="Q42" s="145">
        <v>331.96</v>
      </c>
      <c r="R42" s="118">
        <f>((Q42/G42)^(1/($H$2-$H$1) ))-1</f>
        <v>2.1446107432977257E-2</v>
      </c>
      <c r="S42" s="31">
        <v>0.02</v>
      </c>
      <c r="T42" s="154">
        <f t="shared" si="2"/>
        <v>338.5992</v>
      </c>
      <c r="U42" s="154">
        <f t="shared" ref="U42:AC42" si="130">T42*(1+$S42)</f>
        <v>345.37118400000003</v>
      </c>
      <c r="V42" s="154">
        <f t="shared" si="130"/>
        <v>352.27860768000005</v>
      </c>
      <c r="W42" s="154">
        <f t="shared" si="130"/>
        <v>359.32417983360006</v>
      </c>
      <c r="X42" s="154">
        <f t="shared" si="130"/>
        <v>366.51066343027207</v>
      </c>
      <c r="Y42" s="154">
        <f t="shared" si="130"/>
        <v>373.84087669887754</v>
      </c>
      <c r="Z42" s="154">
        <f t="shared" si="130"/>
        <v>381.3176942328551</v>
      </c>
      <c r="AA42" s="154">
        <f t="shared" si="130"/>
        <v>388.94404811751224</v>
      </c>
      <c r="AB42" s="154">
        <f t="shared" si="130"/>
        <v>396.72292907986247</v>
      </c>
      <c r="AC42" s="154">
        <f t="shared" si="130"/>
        <v>404.65738766145972</v>
      </c>
      <c r="AD42" s="138">
        <f t="shared" si="17"/>
        <v>1.9640416885529755E-2</v>
      </c>
      <c r="AE42" s="31">
        <f t="shared" si="15"/>
        <v>0.05</v>
      </c>
      <c r="AF42" s="146">
        <f t="shared" si="1"/>
        <v>2499.3544532031342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0.99635369188696443</v>
      </c>
      <c r="H43" s="148">
        <f t="shared" ref="H43" si="131">(H42-G42)/H42</f>
        <v>0</v>
      </c>
      <c r="I43" s="148">
        <f t="shared" ref="I43" si="132">(I42-H42)/I42</f>
        <v>-0.21376410710334151</v>
      </c>
      <c r="J43" s="148">
        <f t="shared" ref="J43" si="133">(J42-I42)/J42</f>
        <v>0.12854828756556613</v>
      </c>
      <c r="K43" s="148">
        <f t="shared" ref="K43" si="134">(K42-J42)/K42</f>
        <v>1.6127196144651464E-2</v>
      </c>
      <c r="L43" s="148">
        <f t="shared" ref="L43" si="135">(L42-K42)/L42</f>
        <v>0.14990322580645171</v>
      </c>
      <c r="M43" s="148">
        <f t="shared" ref="M43" si="136">(M42-L42)/M42</f>
        <v>6.0549124189344862E-2</v>
      </c>
      <c r="N43" s="148">
        <f t="shared" ref="N43" si="137">(N42-M42)/N42</f>
        <v>1.029304916444584E-3</v>
      </c>
      <c r="O43" s="148">
        <f t="shared" ref="O43" si="138">(O42-N42)/O42</f>
        <v>1.6924564796905292E-3</v>
      </c>
      <c r="P43" s="148">
        <f t="shared" ref="P43:Q43" si="139">(P42-O42)/P42</f>
        <v>1.6594756057086303E-3</v>
      </c>
      <c r="Q43" s="148">
        <f t="shared" si="139"/>
        <v>1.5965779009518399E-3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>
        <v>0</v>
      </c>
      <c r="H44" s="145">
        <v>0</v>
      </c>
      <c r="I44" s="145">
        <v>0</v>
      </c>
      <c r="J44" s="145">
        <v>0</v>
      </c>
      <c r="K44" s="145">
        <v>0</v>
      </c>
      <c r="L44" s="145">
        <v>0</v>
      </c>
      <c r="M44" s="145">
        <v>0</v>
      </c>
      <c r="N44" s="145">
        <v>0</v>
      </c>
      <c r="O44" s="145">
        <v>0.3</v>
      </c>
      <c r="P44" s="145">
        <v>0.4</v>
      </c>
      <c r="Q44" s="145">
        <f>P44</f>
        <v>0.4</v>
      </c>
      <c r="R44" s="118" t="e">
        <f>((Q44/G44)^(1/($H$2-$H$1) ))-1</f>
        <v>#DIV/0!</v>
      </c>
      <c r="S44" s="31">
        <f>P1</f>
        <v>0.05</v>
      </c>
      <c r="T44" s="154">
        <f t="shared" si="2"/>
        <v>0.42000000000000004</v>
      </c>
      <c r="U44" s="154">
        <f t="shared" ref="U44" si="140">T44*(1+$S44)</f>
        <v>0.44100000000000006</v>
      </c>
      <c r="V44" s="154">
        <f t="shared" ref="V44" si="141">U44*(1+$S44)</f>
        <v>0.46305000000000007</v>
      </c>
      <c r="W44" s="154">
        <f t="shared" ref="W44" si="142">V44*(1+$S44)</f>
        <v>0.48620250000000009</v>
      </c>
      <c r="X44" s="154">
        <f t="shared" ref="X44" si="143">W44*(1+$S44)</f>
        <v>0.51051262500000016</v>
      </c>
      <c r="Y44" s="154">
        <f t="shared" ref="Y44" si="144">X44*(1+$S44)</f>
        <v>0.53603825625000023</v>
      </c>
      <c r="Z44" s="154">
        <f t="shared" ref="Z44" si="145">Y44*(1+$S44)</f>
        <v>0.56284016906250023</v>
      </c>
      <c r="AA44" s="154">
        <f t="shared" ref="AA44" si="146">Z44*(1+$S44)</f>
        <v>0.59098217751562532</v>
      </c>
      <c r="AB44" s="154">
        <f t="shared" ref="AB44" si="147">AA44*(1+$S44)</f>
        <v>0.62053128639140664</v>
      </c>
      <c r="AC44" s="154">
        <f t="shared" ref="AC44" si="148">AB44*(1+$S44)</f>
        <v>0.65155785071097705</v>
      </c>
      <c r="AD44" s="138" t="e">
        <f t="shared" ref="AD44" si="149">((AC44/G44)^(1/($AC$3-$H$1) ))-1</f>
        <v>#DIV/0!</v>
      </c>
      <c r="AE44" s="31">
        <f t="shared" si="15"/>
        <v>0.05</v>
      </c>
      <c r="AF44" s="146">
        <f t="shared" si="1"/>
        <v>4.0243279014501532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4.3026435733819506</v>
      </c>
      <c r="H50" s="133">
        <f t="shared" si="150"/>
        <v>5.9617137648131271</v>
      </c>
      <c r="I50" s="133">
        <f t="shared" si="150"/>
        <v>13.153352511617616</v>
      </c>
      <c r="J50" s="133">
        <f t="shared" si="150"/>
        <v>16.939216291268128</v>
      </c>
      <c r="K50" s="133">
        <f t="shared" si="150"/>
        <v>26.198155807687932</v>
      </c>
      <c r="L50" s="133">
        <f t="shared" si="150"/>
        <v>33.587096774193547</v>
      </c>
      <c r="M50" s="133">
        <f t="shared" si="150"/>
        <v>37.074974240863078</v>
      </c>
      <c r="N50" s="133">
        <f t="shared" si="150"/>
        <v>46.748607410995398</v>
      </c>
      <c r="O50" s="133">
        <f t="shared" si="150"/>
        <v>58.241658607350097</v>
      </c>
      <c r="P50" s="133">
        <f t="shared" si="150"/>
        <v>66.638505868509185</v>
      </c>
      <c r="Q50" s="133">
        <f t="shared" ref="Q50" si="151">Q25/Q42</f>
        <v>78.861911073623332</v>
      </c>
      <c r="R50" s="118">
        <f>((P50/G50)^(1/($H$2-$H$1) ))-1</f>
        <v>0.35587951009337049</v>
      </c>
      <c r="S50" s="128"/>
      <c r="T50" s="158">
        <f t="shared" ref="T50:AC50" si="152">T25/T42</f>
        <v>88.912938955555717</v>
      </c>
      <c r="U50" s="158">
        <f t="shared" si="152"/>
        <v>100.24498019498925</v>
      </c>
      <c r="V50" s="158">
        <f t="shared" si="152"/>
        <v>113.02130120023297</v>
      </c>
      <c r="W50" s="158">
        <f t="shared" si="152"/>
        <v>127.42597684339991</v>
      </c>
      <c r="X50" s="158">
        <f t="shared" si="152"/>
        <v>143.66654251951948</v>
      </c>
      <c r="Y50" s="158">
        <f t="shared" si="152"/>
        <v>161.97698421318373</v>
      </c>
      <c r="Z50" s="158">
        <f t="shared" si="152"/>
        <v>182.62110965211889</v>
      </c>
      <c r="AA50" s="158">
        <f t="shared" si="152"/>
        <v>205.89634911758498</v>
      </c>
      <c r="AB50" s="158">
        <f t="shared" si="152"/>
        <v>232.138040671787</v>
      </c>
      <c r="AC50" s="158">
        <f t="shared" si="152"/>
        <v>261.72426154172058</v>
      </c>
      <c r="AD50" s="138">
        <f t="shared" ref="AD50" si="153">((AC50/G50)^(1/($AC$3-$H$1) ))-1</f>
        <v>0.22801997357589543</v>
      </c>
      <c r="AE50" s="31">
        <f t="shared" si="15"/>
        <v>0.05</v>
      </c>
      <c r="AF50" s="146">
        <f t="shared" ref="AF50:AF51" si="154">(AC50*(1+AE50))/($C$1-AE50)</f>
        <v>1616.5322036400389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3.00820419325433</v>
      </c>
      <c r="H51" s="133">
        <f t="shared" si="155"/>
        <v>3.7593436645396534</v>
      </c>
      <c r="I51" s="133">
        <f t="shared" si="155"/>
        <v>8.0017703031644167</v>
      </c>
      <c r="J51" s="133">
        <f t="shared" si="155"/>
        <v>10.606294353594571</v>
      </c>
      <c r="K51" s="133">
        <f t="shared" si="155"/>
        <v>16.051303456911928</v>
      </c>
      <c r="L51" s="133">
        <f t="shared" si="155"/>
        <v>23.070967741935483</v>
      </c>
      <c r="M51" s="133">
        <f t="shared" si="155"/>
        <v>26.080368507182254</v>
      </c>
      <c r="N51" s="133">
        <f t="shared" si="155"/>
        <v>35.465609106321146</v>
      </c>
      <c r="O51" s="133">
        <f t="shared" si="155"/>
        <v>43.571687620889747</v>
      </c>
      <c r="P51" s="133">
        <f t="shared" si="155"/>
        <v>51.081676372084601</v>
      </c>
      <c r="Q51" s="133">
        <f t="shared" ref="Q51" si="156">Q27/Q42</f>
        <v>56.802024340281967</v>
      </c>
      <c r="R51" s="118">
        <f>((P51/G51)^(1/($H$2-$H$1) ))-1</f>
        <v>0.36981519998970902</v>
      </c>
      <c r="S51" s="128"/>
      <c r="T51" s="158">
        <f t="shared" ref="T51:AC51" si="157">T27/T42</f>
        <v>64.041498030710045</v>
      </c>
      <c r="U51" s="158">
        <f t="shared" si="157"/>
        <v>72.203649740506407</v>
      </c>
      <c r="V51" s="158">
        <f t="shared" si="157"/>
        <v>81.406075687825847</v>
      </c>
      <c r="W51" s="158">
        <f t="shared" si="157"/>
        <v>91.781359844117375</v>
      </c>
      <c r="X51" s="158">
        <f t="shared" si="157"/>
        <v>103.47898413797546</v>
      </c>
      <c r="Y51" s="158">
        <f t="shared" si="157"/>
        <v>116.66748211634486</v>
      </c>
      <c r="Z51" s="158">
        <f t="shared" si="157"/>
        <v>131.53686709195745</v>
      </c>
      <c r="AA51" s="158">
        <f t="shared" si="157"/>
        <v>148.30136976054024</v>
      </c>
      <c r="AB51" s="158">
        <f t="shared" si="157"/>
        <v>167.20252473002083</v>
      </c>
      <c r="AC51" s="158">
        <f t="shared" si="157"/>
        <v>188.51265043090581</v>
      </c>
      <c r="AD51" s="138">
        <f t="shared" ref="AD51" si="158">((AC51/G51)^(1/($AC$3-$H$1) ))-1</f>
        <v>0.22984862342554413</v>
      </c>
      <c r="AE51" s="31">
        <f t="shared" si="15"/>
        <v>0.05</v>
      </c>
      <c r="AF51" s="146">
        <f t="shared" si="154"/>
        <v>1164.3428408967713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0</v>
      </c>
      <c r="H52" s="133">
        <f t="shared" ref="H52:P52" si="159">H38-H40</f>
        <v>0</v>
      </c>
      <c r="I52" s="133">
        <f t="shared" si="159"/>
        <v>-8</v>
      </c>
      <c r="J52" s="133">
        <f t="shared" si="159"/>
        <v>-10</v>
      </c>
      <c r="K52" s="133">
        <f t="shared" si="159"/>
        <v>58</v>
      </c>
      <c r="L52" s="133">
        <f t="shared" si="159"/>
        <v>196</v>
      </c>
      <c r="M52" s="133">
        <f t="shared" si="159"/>
        <v>41</v>
      </c>
      <c r="N52" s="133">
        <f t="shared" si="159"/>
        <v>14</v>
      </c>
      <c r="O52" s="133">
        <f t="shared" si="159"/>
        <v>226</v>
      </c>
      <c r="P52" s="133">
        <f t="shared" si="159"/>
        <v>470</v>
      </c>
      <c r="Q52" s="133">
        <f t="shared" ref="Q52" si="160">Q38-Q40</f>
        <v>916</v>
      </c>
      <c r="R52" s="118" t="e">
        <f>((P52/G52)^(1/($H$2-$H$1) ))-1</f>
        <v>#DIV/0!</v>
      </c>
      <c r="S52" s="128"/>
      <c r="T52" s="133">
        <f t="shared" ref="T52:AC52" si="161">T38-T40</f>
        <v>1053.3999999999996</v>
      </c>
      <c r="U52" s="133">
        <f t="shared" si="161"/>
        <v>1211.4099999999994</v>
      </c>
      <c r="V52" s="133">
        <f t="shared" si="161"/>
        <v>1393.1214999999993</v>
      </c>
      <c r="W52" s="133">
        <f t="shared" si="161"/>
        <v>1602.0897249999994</v>
      </c>
      <c r="X52" s="133">
        <f t="shared" si="161"/>
        <v>1842.4031837499988</v>
      </c>
      <c r="Y52" s="133">
        <f t="shared" si="161"/>
        <v>2118.7636613124987</v>
      </c>
      <c r="Z52" s="133">
        <f t="shared" si="161"/>
        <v>2436.5782105093731</v>
      </c>
      <c r="AA52" s="133">
        <f t="shared" si="161"/>
        <v>2802.064942085779</v>
      </c>
      <c r="AB52" s="133">
        <f t="shared" si="161"/>
        <v>3222.3746833986452</v>
      </c>
      <c r="AC52" s="133">
        <f t="shared" si="161"/>
        <v>3705.7308859084405</v>
      </c>
      <c r="AD52" s="138" t="e">
        <f t="shared" ref="AD52" si="162">((AC52/G52)^(1/($AC$3-$H$1) ))-1</f>
        <v>#DIV/0!</v>
      </c>
      <c r="AE52" s="31">
        <f t="shared" si="15"/>
        <v>0.05</v>
      </c>
      <c r="AF52" s="146">
        <f t="shared" ref="AF52" si="163">(AC52*(1+AE52))/($C$1-AE52)</f>
        <v>22888.337824728605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-0.75478577939835911</v>
      </c>
      <c r="H54" s="133">
        <f t="shared" si="164"/>
        <v>9.8450319051959889E-2</v>
      </c>
      <c r="I54" s="133">
        <f t="shared" si="164"/>
        <v>0.93383491922991813</v>
      </c>
      <c r="J54" s="133">
        <f t="shared" si="164"/>
        <v>1.9361308238198089</v>
      </c>
      <c r="K54" s="133">
        <f t="shared" si="164"/>
        <v>3.9540090312298415</v>
      </c>
      <c r="L54" s="133">
        <f t="shared" si="164"/>
        <v>2.8451612903225807</v>
      </c>
      <c r="M54" s="133">
        <f t="shared" si="164"/>
        <v>3.1911024910600641</v>
      </c>
      <c r="N54" s="133">
        <f t="shared" si="164"/>
        <v>2.5550980867038025</v>
      </c>
      <c r="O54" s="133">
        <f t="shared" si="164"/>
        <v>1.7408123791102514</v>
      </c>
      <c r="P54" s="133">
        <f t="shared" si="164"/>
        <v>2.4680928099447845</v>
      </c>
      <c r="Q54" s="133">
        <f t="shared" ref="Q54" si="165">Q40/Q42</f>
        <v>5.0879624051090495</v>
      </c>
      <c r="R54" s="118">
        <f>((P54/G54)^(1/($H$2-$H$1) ))-1</f>
        <v>-2.1406984835147194</v>
      </c>
      <c r="S54" s="128"/>
      <c r="T54" s="158">
        <f t="shared" ref="T54:AC54" si="166">T40/T42</f>
        <v>5.7364282018386339</v>
      </c>
      <c r="U54" s="158">
        <f t="shared" si="166"/>
        <v>6.4675416001121846</v>
      </c>
      <c r="V54" s="158">
        <f t="shared" si="166"/>
        <v>7.2918361177735411</v>
      </c>
      <c r="W54" s="158">
        <f t="shared" si="166"/>
        <v>8.2211877798427171</v>
      </c>
      <c r="X54" s="158">
        <f t="shared" si="166"/>
        <v>9.268986222371689</v>
      </c>
      <c r="Y54" s="158">
        <f t="shared" si="166"/>
        <v>10.450327603654355</v>
      </c>
      <c r="Z54" s="158">
        <f t="shared" si="166"/>
        <v>11.78223210215932</v>
      </c>
      <c r="AA54" s="158">
        <f t="shared" si="166"/>
        <v>13.283889134787465</v>
      </c>
      <c r="AB54" s="158">
        <f t="shared" si="166"/>
        <v>14.976933828436849</v>
      </c>
      <c r="AC54" s="158">
        <f t="shared" si="166"/>
        <v>16.885758728139582</v>
      </c>
      <c r="AD54" s="138" t="e">
        <f t="shared" ref="AD54:AD68" si="167">((AC54/G54)^(1/($AC$3-$H$1) ))-1</f>
        <v>#NUM!</v>
      </c>
      <c r="AE54" s="31">
        <f t="shared" si="15"/>
        <v>0.05</v>
      </c>
      <c r="AF54" s="146">
        <f t="shared" ref="AF54:AF82" si="168">(AC54*(1+AE54))/($C$1-AE54)</f>
        <v>104.29439214439154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2.9972652689152235</v>
      </c>
      <c r="H55" s="133">
        <f t="shared" ref="H55:P55" si="170">H20/H42</f>
        <v>0</v>
      </c>
      <c r="I55" s="133">
        <f t="shared" si="170"/>
        <v>3.637973002876743</v>
      </c>
      <c r="J55" s="133">
        <f t="shared" si="170"/>
        <v>6.1902190681888314</v>
      </c>
      <c r="K55" s="133">
        <f t="shared" si="170"/>
        <v>9.494175236215991</v>
      </c>
      <c r="L55" s="133">
        <f t="shared" si="170"/>
        <v>6.0096774193548388</v>
      </c>
      <c r="M55" s="133">
        <f t="shared" si="170"/>
        <v>6.015516091884356</v>
      </c>
      <c r="N55" s="133">
        <f t="shared" si="170"/>
        <v>13.623153305885202</v>
      </c>
      <c r="O55" s="133">
        <f t="shared" si="170"/>
        <v>9.232954545454545</v>
      </c>
      <c r="P55" s="133">
        <f t="shared" si="170"/>
        <v>17.22233955888121</v>
      </c>
      <c r="Q55" s="133">
        <f t="shared" ref="Q55" si="171">Q20/Q42</f>
        <v>22.68646824918665</v>
      </c>
      <c r="R55" s="118">
        <f>((P55/G55)^(1/($H$2-$H$1) ))-1</f>
        <v>0.21443453098641041</v>
      </c>
      <c r="S55" s="128"/>
      <c r="T55" s="133">
        <f t="shared" ref="T55:AC55" si="172">T20/T42</f>
        <v>25.577880869181026</v>
      </c>
      <c r="U55" s="133">
        <f t="shared" si="172"/>
        <v>28.837806862311936</v>
      </c>
      <c r="V55" s="133">
        <f t="shared" si="172"/>
        <v>32.513213619273259</v>
      </c>
      <c r="W55" s="133">
        <f t="shared" si="172"/>
        <v>36.657054570749253</v>
      </c>
      <c r="X55" s="133">
        <f t="shared" si="172"/>
        <v>41.329032114080036</v>
      </c>
      <c r="Y55" s="133">
        <f t="shared" si="172"/>
        <v>46.596457775678466</v>
      </c>
      <c r="Z55" s="133">
        <f t="shared" si="172"/>
        <v>52.535222001990419</v>
      </c>
      <c r="AA55" s="133">
        <f t="shared" si="172"/>
        <v>59.230887551263699</v>
      </c>
      <c r="AB55" s="133">
        <f t="shared" si="172"/>
        <v>66.779922239169849</v>
      </c>
      <c r="AC55" s="133">
        <f t="shared" si="172"/>
        <v>75.291088799064042</v>
      </c>
      <c r="AD55" s="138">
        <f t="shared" ref="AD55" si="173">((AC55/G55)^(1/($AC$3-$H$1) ))-1</f>
        <v>0.17490004332045861</v>
      </c>
      <c r="AE55" s="31">
        <f t="shared" si="15"/>
        <v>0.05</v>
      </c>
      <c r="AF55" s="146">
        <f t="shared" si="168"/>
        <v>465.03319552363087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3.7265268915223335</v>
      </c>
      <c r="H56" s="133">
        <f t="shared" si="174"/>
        <v>3.8140382862351867</v>
      </c>
      <c r="I56" s="133">
        <f t="shared" si="174"/>
        <v>5.0143837132108873</v>
      </c>
      <c r="J56" s="133">
        <f t="shared" si="174"/>
        <v>8.4040419623572973</v>
      </c>
      <c r="K56" s="133">
        <f t="shared" si="174"/>
        <v>13.448184267445834</v>
      </c>
      <c r="L56" s="133">
        <f t="shared" si="174"/>
        <v>42.79032258064516</v>
      </c>
      <c r="M56" s="133">
        <f t="shared" si="174"/>
        <v>34.462694708770229</v>
      </c>
      <c r="N56" s="133">
        <f t="shared" si="174"/>
        <v>37.233591668684909</v>
      </c>
      <c r="O56" s="133">
        <f t="shared" si="174"/>
        <v>39.440280464216634</v>
      </c>
      <c r="P56" s="133">
        <f t="shared" si="174"/>
        <v>43.161451890293577</v>
      </c>
      <c r="Q56" s="133">
        <f t="shared" ref="Q56" si="175">Q7/Q42</f>
        <v>49.783106398361248</v>
      </c>
      <c r="R56" s="118">
        <f>((P56/G56)^(1/($H$2-$H$1) ))-1</f>
        <v>0.31280156964174322</v>
      </c>
      <c r="S56" s="128"/>
      <c r="T56" s="158">
        <f t="shared" ref="T56:AC56" si="176">T7/T42</f>
        <v>56.128012115799443</v>
      </c>
      <c r="U56" s="158">
        <f t="shared" si="176"/>
        <v>63.281582287420925</v>
      </c>
      <c r="V56" s="158">
        <f t="shared" si="176"/>
        <v>71.346881990719666</v>
      </c>
      <c r="W56" s="158">
        <f t="shared" si="176"/>
        <v>80.44011204836039</v>
      </c>
      <c r="X56" s="158">
        <f t="shared" si="176"/>
        <v>90.69228319177887</v>
      </c>
      <c r="Y56" s="158">
        <f t="shared" si="176"/>
        <v>102.2511035985742</v>
      </c>
      <c r="Z56" s="158">
        <f t="shared" si="176"/>
        <v>115.28310699839247</v>
      </c>
      <c r="AA56" s="158">
        <f t="shared" si="176"/>
        <v>129.97605200799148</v>
      </c>
      <c r="AB56" s="158">
        <f t="shared" si="176"/>
        <v>146.54162726391198</v>
      </c>
      <c r="AC56" s="158">
        <f t="shared" si="176"/>
        <v>165.21850132695957</v>
      </c>
      <c r="AD56" s="138">
        <f t="shared" si="167"/>
        <v>0.20875343412436931</v>
      </c>
      <c r="AE56" s="31">
        <f t="shared" si="15"/>
        <v>0.05</v>
      </c>
      <c r="AF56" s="146">
        <f t="shared" si="168"/>
        <v>1020.4672140782799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-6.268003646308113</v>
      </c>
      <c r="H57" s="144">
        <f t="shared" si="177"/>
        <v>-6.1804922515952594</v>
      </c>
      <c r="I57" s="144">
        <f t="shared" si="177"/>
        <v>-7.1166187209559642</v>
      </c>
      <c r="J57" s="144">
        <f t="shared" si="177"/>
        <v>-1.5928725701943847</v>
      </c>
      <c r="K57" s="144">
        <f t="shared" si="177"/>
        <v>3.4341441202140177</v>
      </c>
      <c r="L57" s="144">
        <f t="shared" si="177"/>
        <v>32.725806451612904</v>
      </c>
      <c r="M57" s="144">
        <f t="shared" si="177"/>
        <v>24.322686223407477</v>
      </c>
      <c r="N57" s="144">
        <f t="shared" si="177"/>
        <v>27.228142407362558</v>
      </c>
      <c r="O57" s="144">
        <f t="shared" si="177"/>
        <v>29.433631528046423</v>
      </c>
      <c r="P57" s="144">
        <f t="shared" si="177"/>
        <v>33.156322602057749</v>
      </c>
      <c r="Q57" s="144">
        <f t="shared" ref="Q57" si="178">Q6/Q42</f>
        <v>39.778889022773832</v>
      </c>
      <c r="R57" s="118">
        <f>((P57/G57)^(1/($H$2-$H$1) ))-1</f>
        <v>-2.2033221244944734</v>
      </c>
      <c r="S57" s="128"/>
      <c r="T57" s="157">
        <f t="shared" ref="T57:AC57" si="179">T6/T42</f>
        <v>44.848747427637157</v>
      </c>
      <c r="U57" s="157">
        <f t="shared" si="179"/>
        <v>50.564764256649724</v>
      </c>
      <c r="V57" s="157">
        <f t="shared" si="179"/>
        <v>57.009293034458018</v>
      </c>
      <c r="W57" s="157">
        <f t="shared" si="179"/>
        <v>64.275183323163446</v>
      </c>
      <c r="X57" s="157">
        <f t="shared" si="179"/>
        <v>72.46711845258622</v>
      </c>
      <c r="Y57" s="157">
        <f t="shared" si="179"/>
        <v>81.703123745562891</v>
      </c>
      <c r="Z57" s="157">
        <f t="shared" si="179"/>
        <v>92.116266968036584</v>
      </c>
      <c r="AA57" s="157">
        <f t="shared" si="179"/>
        <v>103.85657550317848</v>
      </c>
      <c r="AB57" s="157">
        <f t="shared" si="179"/>
        <v>117.09319787123064</v>
      </c>
      <c r="AC57" s="157">
        <f t="shared" si="179"/>
        <v>132.01684073717178</v>
      </c>
      <c r="AD57" s="138" t="e">
        <f t="shared" si="167"/>
        <v>#NUM!</v>
      </c>
      <c r="AE57" s="31">
        <f t="shared" si="15"/>
        <v>0.05</v>
      </c>
      <c r="AF57" s="146">
        <f t="shared" si="168"/>
        <v>815.39813396488466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8.2515952597994531</v>
      </c>
      <c r="H58" s="144">
        <f t="shared" si="180"/>
        <v>9.8377392889699173</v>
      </c>
      <c r="I58" s="144">
        <f t="shared" si="180"/>
        <v>14.538614737773845</v>
      </c>
      <c r="J58" s="144">
        <f t="shared" si="180"/>
        <v>16.391545819191609</v>
      </c>
      <c r="K58" s="144">
        <f t="shared" si="180"/>
        <v>24.722043031153952</v>
      </c>
      <c r="L58" s="144">
        <f t="shared" si="180"/>
        <v>28.748387096774195</v>
      </c>
      <c r="M58" s="144">
        <f t="shared" si="180"/>
        <v>23.816594945148189</v>
      </c>
      <c r="N58" s="144">
        <f t="shared" si="180"/>
        <v>32.650157423104872</v>
      </c>
      <c r="O58" s="144">
        <f t="shared" si="180"/>
        <v>33.997219535783366</v>
      </c>
      <c r="P58" s="144">
        <f t="shared" si="180"/>
        <v>37.000271550553663</v>
      </c>
      <c r="Q58" s="144">
        <f t="shared" ref="Q58" si="181">Q10/Q42</f>
        <v>56.558019038438367</v>
      </c>
      <c r="R58" s="118">
        <f>((P58/G58)^(1/($H$2-$H$1) ))-1</f>
        <v>0.1814285012675565</v>
      </c>
      <c r="S58" s="128"/>
      <c r="T58" s="157">
        <f t="shared" ref="T58:AC58" si="182">T10/T42</f>
        <v>63.766394013925613</v>
      </c>
      <c r="U58" s="157">
        <f t="shared" si="182"/>
        <v>71.893483447072967</v>
      </c>
      <c r="V58" s="157">
        <f t="shared" si="182"/>
        <v>81.056378396209723</v>
      </c>
      <c r="W58" s="157">
        <f t="shared" si="182"/>
        <v>91.387093289844287</v>
      </c>
      <c r="X58" s="157">
        <f t="shared" si="182"/>
        <v>103.03446792482443</v>
      </c>
      <c r="Y58" s="157">
        <f t="shared" si="182"/>
        <v>116.16631187602752</v>
      </c>
      <c r="Z58" s="157">
        <f t="shared" si="182"/>
        <v>130.97182221316825</v>
      </c>
      <c r="AA58" s="157">
        <f t="shared" si="182"/>
        <v>147.6643093579838</v>
      </c>
      <c r="AB58" s="157">
        <f t="shared" si="182"/>
        <v>166.48427035458957</v>
      </c>
      <c r="AC58" s="157">
        <f t="shared" si="182"/>
        <v>187.7028538311549</v>
      </c>
      <c r="AD58" s="138">
        <f t="shared" si="167"/>
        <v>0.16908650636080069</v>
      </c>
      <c r="AE58" s="31">
        <f t="shared" si="15"/>
        <v>0.05</v>
      </c>
      <c r="AF58" s="146">
        <f t="shared" si="168"/>
        <v>1159.3411560159568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-4.5250683682771191</v>
      </c>
      <c r="H60" s="144">
        <f t="shared" si="183"/>
        <v>-6.0237010027347315</v>
      </c>
      <c r="I60" s="144">
        <f t="shared" si="183"/>
        <v>-9.5242310245629564</v>
      </c>
      <c r="J60" s="144">
        <f t="shared" si="183"/>
        <v>-7.9875038568343113</v>
      </c>
      <c r="K60" s="144">
        <f t="shared" si="183"/>
        <v>-11.273858763708118</v>
      </c>
      <c r="L60" s="144">
        <f t="shared" si="183"/>
        <v>14.041935483870967</v>
      </c>
      <c r="M60" s="144">
        <f t="shared" si="183"/>
        <v>10.646099763622036</v>
      </c>
      <c r="N60" s="144">
        <f t="shared" si="183"/>
        <v>4.5834342455800439</v>
      </c>
      <c r="O60" s="144">
        <f t="shared" si="183"/>
        <v>5.4430609284332689</v>
      </c>
      <c r="P60" s="144">
        <f t="shared" si="183"/>
        <v>6.1611803397399152</v>
      </c>
      <c r="Q60" s="144">
        <f t="shared" ref="Q60" si="184">(Q7-Q10)/Q42</f>
        <v>-6.774912640077118</v>
      </c>
      <c r="R60" s="118">
        <f>((P60/G60)^(1/($H$2-$H$1) ))-1</f>
        <v>-2.0348876334221369</v>
      </c>
      <c r="S60" s="128"/>
      <c r="T60" s="157">
        <f t="shared" ref="T60:AC60" si="185">(T7-T10)/T42</f>
        <v>-7.6383818981261689</v>
      </c>
      <c r="U60" s="157">
        <f t="shared" si="185"/>
        <v>-8.6119011596520494</v>
      </c>
      <c r="V60" s="157">
        <f t="shared" si="185"/>
        <v>-9.7094964054900554</v>
      </c>
      <c r="W60" s="157">
        <f t="shared" si="185"/>
        <v>-10.946981241483895</v>
      </c>
      <c r="X60" s="157">
        <f t="shared" si="185"/>
        <v>-12.34218473304556</v>
      </c>
      <c r="Y60" s="157">
        <f t="shared" si="185"/>
        <v>-13.91520827745331</v>
      </c>
      <c r="Z60" s="157">
        <f t="shared" si="185"/>
        <v>-15.688715214775785</v>
      </c>
      <c r="AA60" s="157">
        <f t="shared" si="185"/>
        <v>-17.688257349992313</v>
      </c>
      <c r="AB60" s="157">
        <f t="shared" si="185"/>
        <v>-19.94264309067761</v>
      </c>
      <c r="AC60" s="157">
        <f t="shared" si="185"/>
        <v>-22.484352504195343</v>
      </c>
      <c r="AD60" s="138">
        <f t="shared" si="167"/>
        <v>8.3459699809019128E-2</v>
      </c>
      <c r="AE60" s="31">
        <f t="shared" si="15"/>
        <v>0.05</v>
      </c>
      <c r="AF60" s="146">
        <f t="shared" si="168"/>
        <v>-138.87394193767713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-6.1586144029170464</v>
      </c>
      <c r="H61" s="144">
        <f t="shared" si="186"/>
        <v>-7.7666362807657245</v>
      </c>
      <c r="I61" s="144">
        <f t="shared" si="186"/>
        <v>-14.852843549457845</v>
      </c>
      <c r="J61" s="144">
        <f t="shared" si="186"/>
        <v>-16.395402653502007</v>
      </c>
      <c r="K61" s="144">
        <f t="shared" si="186"/>
        <v>-21.845710165825526</v>
      </c>
      <c r="L61" s="144">
        <f t="shared" si="186"/>
        <v>1.1193548387096774</v>
      </c>
      <c r="M61" s="144">
        <f t="shared" si="186"/>
        <v>-3.106248863567489</v>
      </c>
      <c r="N61" s="144">
        <f t="shared" si="186"/>
        <v>-16.45071445870671</v>
      </c>
      <c r="O61" s="144">
        <f t="shared" si="186"/>
        <v>-19.142891682785301</v>
      </c>
      <c r="P61" s="144">
        <f t="shared" si="186"/>
        <v>-22.110249524786532</v>
      </c>
      <c r="Q61" s="144">
        <f t="shared" ref="Q61" si="187">(Q7-Q10-Q9)/Q42</f>
        <v>-38.610073502831668</v>
      </c>
      <c r="R61" s="118">
        <f>((P61/G61)^(1/($H$2-$H$1) ))-1</f>
        <v>0.15260091216506377</v>
      </c>
      <c r="S61" s="128"/>
      <c r="T61" s="157">
        <f t="shared" ref="T61:AC61" si="188">(T7-T10-T9)/T42</f>
        <v>-43.530965223780804</v>
      </c>
      <c r="U61" s="157">
        <f t="shared" si="188"/>
        <v>-49.079029418968538</v>
      </c>
      <c r="V61" s="157">
        <f t="shared" si="188"/>
        <v>-55.334199835111583</v>
      </c>
      <c r="W61" s="157">
        <f t="shared" si="188"/>
        <v>-62.38659785331209</v>
      </c>
      <c r="X61" s="157">
        <f t="shared" si="188"/>
        <v>-70.337830913047924</v>
      </c>
      <c r="Y61" s="157">
        <f t="shared" si="188"/>
        <v>-79.302456421573623</v>
      </c>
      <c r="Z61" s="157">
        <f t="shared" si="188"/>
        <v>-89.409632240009458</v>
      </c>
      <c r="AA61" s="157">
        <f t="shared" si="188"/>
        <v>-100.80497752550085</v>
      </c>
      <c r="AB61" s="157">
        <f t="shared" si="188"/>
        <v>-113.65267073953527</v>
      </c>
      <c r="AC61" s="157">
        <f t="shared" si="188"/>
        <v>-128.13781504947602</v>
      </c>
      <c r="AD61" s="138">
        <f t="shared" si="167"/>
        <v>0.16388404582329219</v>
      </c>
      <c r="AE61" s="31">
        <f t="shared" si="15"/>
        <v>0.05</v>
      </c>
      <c r="AF61" s="146">
        <f t="shared" si="168"/>
        <v>-791.43944589382249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-5.538742023701003</v>
      </c>
      <c r="H62" s="144">
        <f t="shared" si="189"/>
        <v>-6.7639015496809485</v>
      </c>
      <c r="I62" s="144">
        <f t="shared" si="189"/>
        <v>-13.980969240982519</v>
      </c>
      <c r="J62" s="144">
        <f t="shared" si="189"/>
        <v>-15.265350200555385</v>
      </c>
      <c r="K62" s="144">
        <f t="shared" si="189"/>
        <v>-20.426516905096197</v>
      </c>
      <c r="L62" s="144">
        <f t="shared" si="189"/>
        <v>3.0612903225806454</v>
      </c>
      <c r="M62" s="144">
        <f t="shared" si="189"/>
        <v>-1.1303715376689496</v>
      </c>
      <c r="N62" s="144">
        <f t="shared" si="189"/>
        <v>-13.184185032695568</v>
      </c>
      <c r="O62" s="144">
        <f t="shared" si="189"/>
        <v>-15.918157640232108</v>
      </c>
      <c r="P62" s="144">
        <f t="shared" si="189"/>
        <v>-18.565006185318165</v>
      </c>
      <c r="Q62" s="144">
        <f t="shared" ref="Q62" si="190">(Q7+Q15-Q10-Q9)/Q42</f>
        <v>-35.42595493432944</v>
      </c>
      <c r="R62" s="118">
        <f>((P62/G62)^(1/($H$2-$H$1) ))-1</f>
        <v>0.14383895911011968</v>
      </c>
      <c r="S62" s="128"/>
      <c r="T62" s="157">
        <f t="shared" ref="T62:AC62" si="191">(T7+T15-T10-T9)/T42</f>
        <v>-39.941027622038099</v>
      </c>
      <c r="U62" s="157">
        <f t="shared" si="191"/>
        <v>-45.031550750337061</v>
      </c>
      <c r="V62" s="157">
        <f t="shared" si="191"/>
        <v>-50.770866042046677</v>
      </c>
      <c r="W62" s="157">
        <f t="shared" si="191"/>
        <v>-57.241662694464395</v>
      </c>
      <c r="X62" s="157">
        <f t="shared" si="191"/>
        <v>-64.53716872415103</v>
      </c>
      <c r="Y62" s="157">
        <f t="shared" si="191"/>
        <v>-72.762494149778078</v>
      </c>
      <c r="Z62" s="157">
        <f t="shared" si="191"/>
        <v>-82.036145364945867</v>
      </c>
      <c r="AA62" s="157">
        <f t="shared" si="191"/>
        <v>-92.491732519301706</v>
      </c>
      <c r="AB62" s="157">
        <f t="shared" si="191"/>
        <v>-104.27989450705586</v>
      </c>
      <c r="AC62" s="157">
        <f t="shared" si="191"/>
        <v>-117.5704692971708</v>
      </c>
      <c r="AD62" s="138">
        <f t="shared" si="167"/>
        <v>0.16504944066190963</v>
      </c>
      <c r="AE62" s="31">
        <f t="shared" si="15"/>
        <v>0.05</v>
      </c>
      <c r="AF62" s="146">
        <f t="shared" si="168"/>
        <v>-726.17054565899628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0.31722880583409296</v>
      </c>
      <c r="H64" s="144">
        <f t="shared" si="192"/>
        <v>0.55423883318140388</v>
      </c>
      <c r="I64" s="144">
        <f t="shared" si="192"/>
        <v>0.65943792874529772</v>
      </c>
      <c r="J64" s="144">
        <f t="shared" si="192"/>
        <v>7.0194384449244067</v>
      </c>
      <c r="K64" s="144">
        <f t="shared" si="192"/>
        <v>1.8897279247144541</v>
      </c>
      <c r="L64" s="144">
        <f t="shared" si="192"/>
        <v>9.9516129032258061</v>
      </c>
      <c r="M64" s="144">
        <f t="shared" si="192"/>
        <v>0.8758106551912237</v>
      </c>
      <c r="N64" s="144">
        <f t="shared" si="192"/>
        <v>1.3835069023976749</v>
      </c>
      <c r="O64" s="144">
        <f t="shared" si="192"/>
        <v>0.45938104448742745</v>
      </c>
      <c r="P64" s="144">
        <f t="shared" si="192"/>
        <v>2.8663669553148479</v>
      </c>
      <c r="Q64" s="144">
        <f t="shared" ref="Q64" si="193">Q12/Q42</f>
        <v>2.4099289070972407</v>
      </c>
      <c r="R64" s="118">
        <f>((P64/G64)^(1/($H$2-$H$1) ))-1</f>
        <v>0.27707877143610493</v>
      </c>
      <c r="S64" s="128"/>
      <c r="T64" s="157">
        <f t="shared" ref="T64:AC64" si="194">T12/T42</f>
        <v>2.7170767089821828</v>
      </c>
      <c r="U64" s="157">
        <f t="shared" si="194"/>
        <v>3.0633707993426564</v>
      </c>
      <c r="V64" s="157">
        <f t="shared" si="194"/>
        <v>3.4538004110235825</v>
      </c>
      <c r="W64" s="157">
        <f t="shared" si="194"/>
        <v>3.8939906594873723</v>
      </c>
      <c r="X64" s="157">
        <f t="shared" si="194"/>
        <v>4.3902835866769392</v>
      </c>
      <c r="Y64" s="157">
        <f t="shared" si="194"/>
        <v>4.9498295339985088</v>
      </c>
      <c r="Z64" s="157">
        <f t="shared" si="194"/>
        <v>5.5806901608806712</v>
      </c>
      <c r="AA64" s="157">
        <f t="shared" si="194"/>
        <v>6.2919545931497751</v>
      </c>
      <c r="AB64" s="157">
        <f t="shared" si="194"/>
        <v>7.0938703746296481</v>
      </c>
      <c r="AC64" s="157">
        <f t="shared" si="194"/>
        <v>7.9979911086510738</v>
      </c>
      <c r="AD64" s="138">
        <f t="shared" si="167"/>
        <v>0.17511512199345192</v>
      </c>
      <c r="AE64" s="31">
        <f t="shared" si="15"/>
        <v>0.05</v>
      </c>
      <c r="AF64" s="146">
        <f t="shared" si="168"/>
        <v>49.399356847550756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0.33546034639927075</v>
      </c>
      <c r="H65" s="144">
        <f t="shared" si="195"/>
        <v>1.1194165907019142</v>
      </c>
      <c r="I65" s="144">
        <f t="shared" si="195"/>
        <v>4.4257579110422661E-5</v>
      </c>
      <c r="J65" s="144">
        <f t="shared" si="195"/>
        <v>4.7439062017895712E-3</v>
      </c>
      <c r="K65" s="144">
        <f t="shared" si="195"/>
        <v>2.1098167191591091</v>
      </c>
      <c r="L65" s="144">
        <f t="shared" si="195"/>
        <v>6.596774193548387</v>
      </c>
      <c r="M65" s="144">
        <f t="shared" si="195"/>
        <v>3.4244499666646462</v>
      </c>
      <c r="N65" s="144">
        <f t="shared" si="195"/>
        <v>3.0879147493339794</v>
      </c>
      <c r="O65" s="144">
        <f t="shared" si="195"/>
        <v>0.29315764023210833</v>
      </c>
      <c r="P65" s="144">
        <f t="shared" si="195"/>
        <v>3.1017107684880667</v>
      </c>
      <c r="Q65" s="144">
        <f t="shared" ref="Q65" si="196">Q13/Q42</f>
        <v>0.6476683937823835</v>
      </c>
      <c r="R65" s="118">
        <f>((P65/G65)^(1/($H$2-$H$1) ))-1</f>
        <v>0.28035057469121205</v>
      </c>
      <c r="S65" s="128"/>
      <c r="T65" s="157">
        <f t="shared" ref="T65:AC65" si="197">T13/T42</f>
        <v>0.73021436553896157</v>
      </c>
      <c r="U65" s="157">
        <f t="shared" si="197"/>
        <v>0.82328090232333884</v>
      </c>
      <c r="V65" s="157">
        <f t="shared" si="197"/>
        <v>0.92820886046258788</v>
      </c>
      <c r="W65" s="157">
        <f t="shared" si="197"/>
        <v>1.0465099897372312</v>
      </c>
      <c r="X65" s="157">
        <f t="shared" si="197"/>
        <v>1.1798887139194272</v>
      </c>
      <c r="Y65" s="157">
        <f t="shared" si="197"/>
        <v>1.3302666872620992</v>
      </c>
      <c r="Z65" s="157">
        <f t="shared" si="197"/>
        <v>1.4998104807366803</v>
      </c>
      <c r="AA65" s="157">
        <f t="shared" si="197"/>
        <v>1.6909627969090022</v>
      </c>
      <c r="AB65" s="157">
        <f t="shared" si="197"/>
        <v>1.906477663181718</v>
      </c>
      <c r="AC65" s="157">
        <f t="shared" si="197"/>
        <v>2.1494601104499758</v>
      </c>
      <c r="AD65" s="138">
        <f t="shared" si="167"/>
        <v>9.7322817548363361E-2</v>
      </c>
      <c r="AE65" s="31">
        <f t="shared" si="15"/>
        <v>0.05</v>
      </c>
      <c r="AF65" s="146">
        <f t="shared" si="168"/>
        <v>13.276077152779266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0.65268915223336377</v>
      </c>
      <c r="H66" s="144">
        <f t="shared" si="198"/>
        <v>1.6736554238833181</v>
      </c>
      <c r="I66" s="144">
        <f t="shared" si="198"/>
        <v>0.65948218632440814</v>
      </c>
      <c r="J66" s="144">
        <f t="shared" si="198"/>
        <v>7.0241823511261963</v>
      </c>
      <c r="K66" s="144">
        <f t="shared" si="198"/>
        <v>3.9995446438735631</v>
      </c>
      <c r="L66" s="144">
        <f t="shared" si="198"/>
        <v>16.548387096774192</v>
      </c>
      <c r="M66" s="144">
        <f t="shared" si="198"/>
        <v>4.3002606218558697</v>
      </c>
      <c r="N66" s="144">
        <f t="shared" si="198"/>
        <v>4.4714216517316547</v>
      </c>
      <c r="O66" s="144">
        <f t="shared" ref="O66" si="199">(O64+O65)</f>
        <v>0.75253868471953578</v>
      </c>
      <c r="P66" s="144">
        <f t="shared" si="198"/>
        <v>5.9680777238029146</v>
      </c>
      <c r="Q66" s="144">
        <f t="shared" ref="Q66" si="200">(Q64+Q65)</f>
        <v>3.0575973008796242</v>
      </c>
      <c r="R66" s="118">
        <f>((P66/G66)^(1/($H$2-$H$1) ))-1</f>
        <v>0.27876873169392247</v>
      </c>
      <c r="S66" s="128"/>
      <c r="T66" s="157">
        <f t="shared" ref="T66:AC66" si="201">(T64+T65)</f>
        <v>3.4472910745211442</v>
      </c>
      <c r="U66" s="157">
        <f t="shared" si="201"/>
        <v>3.8866517016659952</v>
      </c>
      <c r="V66" s="157">
        <f t="shared" si="201"/>
        <v>4.3820092714861705</v>
      </c>
      <c r="W66" s="157">
        <f t="shared" si="201"/>
        <v>4.9405006492246031</v>
      </c>
      <c r="X66" s="157">
        <f t="shared" si="201"/>
        <v>5.5701723005963668</v>
      </c>
      <c r="Y66" s="157">
        <f t="shared" si="201"/>
        <v>6.2800962212606084</v>
      </c>
      <c r="Z66" s="157">
        <f t="shared" si="201"/>
        <v>7.0805006416173519</v>
      </c>
      <c r="AA66" s="157">
        <f t="shared" si="201"/>
        <v>7.9829173900587769</v>
      </c>
      <c r="AB66" s="157">
        <f t="shared" si="201"/>
        <v>9.0003480378113654</v>
      </c>
      <c r="AC66" s="157">
        <f t="shared" si="201"/>
        <v>10.14745121910105</v>
      </c>
      <c r="AD66" s="138">
        <f t="shared" si="167"/>
        <v>0.14705047443866803</v>
      </c>
      <c r="AE66" s="31">
        <f t="shared" si="15"/>
        <v>0.05</v>
      </c>
      <c r="AF66" s="146">
        <f t="shared" si="168"/>
        <v>62.675434000330029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0.61987237921604377</v>
      </c>
      <c r="H67" s="144">
        <f t="shared" si="202"/>
        <v>1.0027347310847767</v>
      </c>
      <c r="I67" s="144">
        <f t="shared" si="202"/>
        <v>0.87187430847532643</v>
      </c>
      <c r="J67" s="144">
        <f t="shared" si="202"/>
        <v>1.1300524529466216</v>
      </c>
      <c r="K67" s="144">
        <f t="shared" si="202"/>
        <v>1.4191932607293289</v>
      </c>
      <c r="L67" s="144">
        <f t="shared" si="202"/>
        <v>1.9419354838709677</v>
      </c>
      <c r="M67" s="144">
        <f t="shared" si="202"/>
        <v>1.9758773258985391</v>
      </c>
      <c r="N67" s="144">
        <f t="shared" si="202"/>
        <v>3.2665294260111408</v>
      </c>
      <c r="O67" s="144">
        <f t="shared" si="202"/>
        <v>3.2247340425531914</v>
      </c>
      <c r="P67" s="144">
        <f t="shared" si="202"/>
        <v>3.5452433394683642</v>
      </c>
      <c r="Q67" s="144">
        <f t="shared" ref="Q67" si="203">Q15/Q42</f>
        <v>3.1841185685022295</v>
      </c>
      <c r="R67" s="118">
        <f>((P67/G67)^(1/($H$2-$H$1) ))-1</f>
        <v>0.21380607615858271</v>
      </c>
      <c r="S67" s="128"/>
      <c r="T67" s="157">
        <f t="shared" ref="T67:AC67" si="204">T15/T42</f>
        <v>3.5899376017427094</v>
      </c>
      <c r="U67" s="157">
        <f t="shared" si="204"/>
        <v>4.0474786686314852</v>
      </c>
      <c r="V67" s="157">
        <f t="shared" si="204"/>
        <v>4.5633337930649098</v>
      </c>
      <c r="W67" s="157">
        <f t="shared" si="204"/>
        <v>5.1449351588476917</v>
      </c>
      <c r="X67" s="157">
        <f t="shared" si="204"/>
        <v>5.8006621888969061</v>
      </c>
      <c r="Y67" s="157">
        <f t="shared" si="204"/>
        <v>6.5399622717955301</v>
      </c>
      <c r="Z67" s="157">
        <f t="shared" si="204"/>
        <v>7.3734868750635876</v>
      </c>
      <c r="AA67" s="157">
        <f t="shared" si="204"/>
        <v>8.313245006199141</v>
      </c>
      <c r="AB67" s="157">
        <f t="shared" si="204"/>
        <v>9.3727762324794242</v>
      </c>
      <c r="AC67" s="157">
        <f t="shared" si="204"/>
        <v>10.567345752305231</v>
      </c>
      <c r="AD67" s="138">
        <f t="shared" si="167"/>
        <v>0.15234675081245497</v>
      </c>
      <c r="AE67" s="31">
        <f t="shared" si="15"/>
        <v>0.05</v>
      </c>
      <c r="AF67" s="146">
        <f t="shared" si="168"/>
        <v>65.268900234826432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1.8632634457611668</v>
      </c>
      <c r="H68" s="144">
        <f t="shared" si="205"/>
        <v>2.5341841385597084</v>
      </c>
      <c r="I68" s="144">
        <f t="shared" si="205"/>
        <v>-2.8192077893339236</v>
      </c>
      <c r="J68" s="144">
        <f t="shared" si="205"/>
        <v>1.2071891391545821</v>
      </c>
      <c r="K68" s="144">
        <f t="shared" si="205"/>
        <v>-4.621864683337761</v>
      </c>
      <c r="L68" s="144">
        <f t="shared" si="205"/>
        <v>3.9322580645161289</v>
      </c>
      <c r="M68" s="144">
        <f t="shared" si="205"/>
        <v>-1.8758712649251468</v>
      </c>
      <c r="N68" s="144">
        <f t="shared" si="205"/>
        <v>-12.188181157665294</v>
      </c>
      <c r="O68" s="144">
        <f t="shared" si="205"/>
        <v>-10.490207930367506</v>
      </c>
      <c r="P68" s="144">
        <f t="shared" si="205"/>
        <v>-13.577527683070331</v>
      </c>
      <c r="Q68" s="144">
        <f t="shared" ref="Q68" si="206">Q16/Q42</f>
        <v>-17.875647668393782</v>
      </c>
      <c r="R68" s="118">
        <f>((P68/G68)^(1/($H$2-$H$1) ))-1</f>
        <v>-2.2469197177438538</v>
      </c>
      <c r="S68" s="128"/>
      <c r="T68" s="157">
        <f t="shared" ref="T68:AC68" si="207">T16/T42</f>
        <v>-20.153916488875343</v>
      </c>
      <c r="U68" s="157">
        <f t="shared" si="207"/>
        <v>-22.722552904124154</v>
      </c>
      <c r="V68" s="157">
        <f t="shared" si="207"/>
        <v>-25.618564548767424</v>
      </c>
      <c r="W68" s="157">
        <f t="shared" si="207"/>
        <v>-28.883675716747586</v>
      </c>
      <c r="X68" s="157">
        <f t="shared" si="207"/>
        <v>-32.564928504176194</v>
      </c>
      <c r="Y68" s="157">
        <f t="shared" si="207"/>
        <v>-36.715360568433937</v>
      </c>
      <c r="Z68" s="157">
        <f t="shared" si="207"/>
        <v>-41.394769268332375</v>
      </c>
      <c r="AA68" s="157">
        <f t="shared" si="207"/>
        <v>-46.670573194688458</v>
      </c>
      <c r="AB68" s="157">
        <f t="shared" si="207"/>
        <v>-52.618783503815422</v>
      </c>
      <c r="AC68" s="157">
        <f t="shared" si="207"/>
        <v>-59.325099048419347</v>
      </c>
      <c r="AD68" s="138" t="e">
        <f t="shared" si="167"/>
        <v>#NUM!</v>
      </c>
      <c r="AE68" s="137"/>
      <c r="AF68" s="146">
        <f t="shared" si="168"/>
        <v>-269.65954112917882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0</v>
      </c>
      <c r="H70" s="159">
        <f t="shared" si="208"/>
        <v>0</v>
      </c>
      <c r="I70" s="159">
        <f t="shared" si="208"/>
        <v>0</v>
      </c>
      <c r="J70" s="159">
        <f t="shared" si="208"/>
        <v>0</v>
      </c>
      <c r="K70" s="159">
        <f t="shared" si="208"/>
        <v>0</v>
      </c>
      <c r="L70" s="159">
        <f t="shared" si="208"/>
        <v>0</v>
      </c>
      <c r="M70" s="159">
        <f t="shared" si="208"/>
        <v>0</v>
      </c>
      <c r="N70" s="159">
        <f t="shared" si="208"/>
        <v>0</v>
      </c>
      <c r="O70" s="159">
        <f t="shared" si="208"/>
        <v>0.3</v>
      </c>
      <c r="P70" s="159">
        <f t="shared" si="208"/>
        <v>0.4</v>
      </c>
      <c r="Q70" s="159">
        <f t="shared" ref="Q70" si="209">Q44</f>
        <v>0.4</v>
      </c>
      <c r="R70" s="118" t="e">
        <f>((P70/G70)^(1/($H$2-$H$1) ))-1</f>
        <v>#DIV/0!</v>
      </c>
      <c r="S70" s="128"/>
      <c r="T70" s="159">
        <f t="shared" ref="T70:AC70" si="210">T44</f>
        <v>0.42000000000000004</v>
      </c>
      <c r="U70" s="159">
        <f t="shared" si="210"/>
        <v>0.44100000000000006</v>
      </c>
      <c r="V70" s="159">
        <f t="shared" si="210"/>
        <v>0.46305000000000007</v>
      </c>
      <c r="W70" s="159">
        <f t="shared" si="210"/>
        <v>0.48620250000000009</v>
      </c>
      <c r="X70" s="159">
        <f t="shared" si="210"/>
        <v>0.51051262500000016</v>
      </c>
      <c r="Y70" s="159">
        <f t="shared" si="210"/>
        <v>0.53603825625000023</v>
      </c>
      <c r="Z70" s="159">
        <f t="shared" si="210"/>
        <v>0.56284016906250023</v>
      </c>
      <c r="AA70" s="159">
        <f t="shared" si="210"/>
        <v>0.59098217751562532</v>
      </c>
      <c r="AB70" s="159">
        <f t="shared" si="210"/>
        <v>0.62053128639140664</v>
      </c>
      <c r="AC70" s="159">
        <f t="shared" si="210"/>
        <v>0.65155785071097705</v>
      </c>
      <c r="AD70" s="138" t="e">
        <f t="shared" ref="AD70" si="211">((AC70/G70)^(1/($AC$3-$H$1) ))-1</f>
        <v>#DIV/0!</v>
      </c>
      <c r="AE70" s="31">
        <f t="shared" si="15"/>
        <v>0.05</v>
      </c>
      <c r="AF70" s="146">
        <f t="shared" si="168"/>
        <v>4.0243279014501532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535</v>
      </c>
      <c r="H72" s="144">
        <f t="shared" si="212"/>
        <v>0</v>
      </c>
      <c r="I72" s="144">
        <f t="shared" si="212"/>
        <v>535</v>
      </c>
      <c r="J72" s="144">
        <f t="shared" si="212"/>
        <v>-670</v>
      </c>
      <c r="K72" s="144">
        <f t="shared" si="212"/>
        <v>-3454</v>
      </c>
      <c r="L72" s="144">
        <f t="shared" si="212"/>
        <v>-5792</v>
      </c>
      <c r="M72" s="144">
        <f t="shared" si="212"/>
        <v>-110</v>
      </c>
      <c r="N72" s="144">
        <f t="shared" si="212"/>
        <v>-3144</v>
      </c>
      <c r="O72" s="144">
        <f t="shared" si="212"/>
        <v>-1311</v>
      </c>
      <c r="P72" s="144">
        <f t="shared" si="212"/>
        <v>2583</v>
      </c>
      <c r="Q72" s="144">
        <f t="shared" ref="Q72" si="213">Q20+Q21</f>
        <v>1231</v>
      </c>
      <c r="R72" s="118">
        <f>((P72/G72)^(1/($H$2-$H$1) ))-1</f>
        <v>0.19117210304617771</v>
      </c>
      <c r="S72" s="128"/>
      <c r="T72" s="144">
        <f t="shared" ref="T72:AC72" si="214">T20+T21</f>
        <v>1415.6500000000005</v>
      </c>
      <c r="U72" s="144">
        <f t="shared" si="214"/>
        <v>1627.9975000000013</v>
      </c>
      <c r="V72" s="144">
        <f t="shared" si="214"/>
        <v>1872.1971250000006</v>
      </c>
      <c r="W72" s="144">
        <f t="shared" si="214"/>
        <v>2153.02669375</v>
      </c>
      <c r="X72" s="144">
        <f t="shared" si="214"/>
        <v>2475.9806978124998</v>
      </c>
      <c r="Y72" s="144">
        <f t="shared" si="214"/>
        <v>2847.3778024843759</v>
      </c>
      <c r="Z72" s="144">
        <f t="shared" si="214"/>
        <v>3274.4844728570315</v>
      </c>
      <c r="AA72" s="144">
        <f t="shared" si="214"/>
        <v>3765.6571437855855</v>
      </c>
      <c r="AB72" s="144">
        <f t="shared" si="214"/>
        <v>4330.5057153534217</v>
      </c>
      <c r="AC72" s="144">
        <f t="shared" si="214"/>
        <v>4980.081572656436</v>
      </c>
      <c r="AD72" s="138">
        <f t="shared" ref="AD72:AD77" si="215">((AC72/G72)^(1/($AC$3-$H$1) ))-1</f>
        <v>0.11800599855463978</v>
      </c>
      <c r="AE72" s="31">
        <f t="shared" si="15"/>
        <v>0.05</v>
      </c>
      <c r="AF72" s="146">
        <f t="shared" si="168"/>
        <v>30759.327360525051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1.9507748404740199</v>
      </c>
      <c r="H74" s="144">
        <f t="shared" si="216"/>
        <v>0</v>
      </c>
      <c r="I74" s="144">
        <f t="shared" si="216"/>
        <v>2.3677804824076123</v>
      </c>
      <c r="J74" s="144">
        <f t="shared" si="216"/>
        <v>-2.5840789879666772</v>
      </c>
      <c r="K74" s="144">
        <f t="shared" si="216"/>
        <v>-13.10666717261792</v>
      </c>
      <c r="L74" s="144">
        <f t="shared" si="216"/>
        <v>-18.683870967741935</v>
      </c>
      <c r="M74" s="144">
        <f t="shared" si="216"/>
        <v>-0.3333535365779744</v>
      </c>
      <c r="N74" s="144">
        <f t="shared" si="216"/>
        <v>-9.5180431097117957</v>
      </c>
      <c r="O74" s="144">
        <f t="shared" si="216"/>
        <v>-3.962161508704062</v>
      </c>
      <c r="P74" s="144">
        <f t="shared" si="216"/>
        <v>7.7935008900823703</v>
      </c>
      <c r="Q74" s="144">
        <f t="shared" ref="Q74" si="217">Q72/Q42</f>
        <v>3.7082781057958791</v>
      </c>
      <c r="R74" s="118">
        <f>((P74/G74)^(1/($H$2-$H$1) ))-1</f>
        <v>0.16636951575213588</v>
      </c>
      <c r="S74" s="128"/>
      <c r="T74" s="146">
        <f t="shared" ref="T74:AC74" si="218">T72/T42</f>
        <v>4.180901785946336</v>
      </c>
      <c r="U74" s="146">
        <f t="shared" si="218"/>
        <v>4.7137618174885176</v>
      </c>
      <c r="V74" s="146">
        <f t="shared" si="218"/>
        <v>5.314535382462541</v>
      </c>
      <c r="W74" s="146">
        <f t="shared" si="218"/>
        <v>5.9918781272861965</v>
      </c>
      <c r="X74" s="146">
        <f t="shared" si="218"/>
        <v>6.7555488689991421</v>
      </c>
      <c r="Y74" s="146">
        <f t="shared" si="218"/>
        <v>7.6165501954402117</v>
      </c>
      <c r="Z74" s="146">
        <f t="shared" si="218"/>
        <v>8.5872869850551385</v>
      </c>
      <c r="AA74" s="146">
        <f t="shared" si="218"/>
        <v>9.6817451302092223</v>
      </c>
      <c r="AB74" s="146">
        <f t="shared" si="218"/>
        <v>10.915693038961374</v>
      </c>
      <c r="AC74" s="146">
        <f t="shared" si="218"/>
        <v>12.306908818436845</v>
      </c>
      <c r="AD74" s="138">
        <f t="shared" si="215"/>
        <v>9.6470853881572838E-2</v>
      </c>
      <c r="AE74" s="31">
        <f t="shared" si="15"/>
        <v>0.05</v>
      </c>
      <c r="AF74" s="146">
        <f t="shared" si="168"/>
        <v>76.01326034916876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2.9972652689152235</v>
      </c>
      <c r="H75" s="144">
        <f t="shared" si="219"/>
        <v>0</v>
      </c>
      <c r="I75" s="144">
        <f t="shared" si="219"/>
        <v>3.637973002876743</v>
      </c>
      <c r="J75" s="144">
        <f t="shared" si="219"/>
        <v>6.1902190681888314</v>
      </c>
      <c r="K75" s="144">
        <f t="shared" si="219"/>
        <v>9.494175236215991</v>
      </c>
      <c r="L75" s="144">
        <f t="shared" si="219"/>
        <v>6.0096774193548388</v>
      </c>
      <c r="M75" s="144">
        <f t="shared" si="219"/>
        <v>6.015516091884356</v>
      </c>
      <c r="N75" s="144">
        <f t="shared" si="219"/>
        <v>13.623153305885202</v>
      </c>
      <c r="O75" s="144">
        <f t="shared" si="219"/>
        <v>9.232954545454545</v>
      </c>
      <c r="P75" s="144">
        <f t="shared" si="219"/>
        <v>17.22233955888121</v>
      </c>
      <c r="Q75" s="144">
        <f t="shared" ref="Q75" si="220">Q20/Q42</f>
        <v>22.68646824918665</v>
      </c>
      <c r="R75" s="118">
        <f>((P75/G75)^(1/($H$2-$H$1) ))-1</f>
        <v>0.21443453098641041</v>
      </c>
      <c r="S75" s="128"/>
      <c r="T75" s="146">
        <f t="shared" ref="T75:AC75" si="221">T20/T42</f>
        <v>25.577880869181026</v>
      </c>
      <c r="U75" s="146">
        <f t="shared" si="221"/>
        <v>28.837806862311936</v>
      </c>
      <c r="V75" s="146">
        <f t="shared" si="221"/>
        <v>32.513213619273259</v>
      </c>
      <c r="W75" s="146">
        <f t="shared" si="221"/>
        <v>36.657054570749253</v>
      </c>
      <c r="X75" s="146">
        <f t="shared" si="221"/>
        <v>41.329032114080036</v>
      </c>
      <c r="Y75" s="146">
        <f t="shared" si="221"/>
        <v>46.596457775678466</v>
      </c>
      <c r="Z75" s="146">
        <f t="shared" si="221"/>
        <v>52.535222001990419</v>
      </c>
      <c r="AA75" s="146">
        <f t="shared" si="221"/>
        <v>59.230887551263699</v>
      </c>
      <c r="AB75" s="146">
        <f t="shared" si="221"/>
        <v>66.779922239169849</v>
      </c>
      <c r="AC75" s="146">
        <f t="shared" si="221"/>
        <v>75.291088799064042</v>
      </c>
      <c r="AD75" s="138">
        <f t="shared" si="215"/>
        <v>0.17490004332045861</v>
      </c>
      <c r="AE75" s="31">
        <f t="shared" si="15"/>
        <v>0.05</v>
      </c>
      <c r="AF75" s="146">
        <f t="shared" si="168"/>
        <v>465.03319552363087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-1.0464904284412033</v>
      </c>
      <c r="H76" s="144">
        <f t="shared" si="222"/>
        <v>0</v>
      </c>
      <c r="I76" s="144">
        <f t="shared" si="222"/>
        <v>-1.2701925204691304</v>
      </c>
      <c r="J76" s="144">
        <f t="shared" si="222"/>
        <v>-8.7742980561555086</v>
      </c>
      <c r="K76" s="144">
        <f t="shared" si="222"/>
        <v>-22.600842408833913</v>
      </c>
      <c r="L76" s="144">
        <f t="shared" si="222"/>
        <v>-24.693548387096776</v>
      </c>
      <c r="M76" s="144">
        <f t="shared" si="222"/>
        <v>-6.3488696284623307</v>
      </c>
      <c r="N76" s="144">
        <f t="shared" si="222"/>
        <v>-23.141196415596998</v>
      </c>
      <c r="O76" s="144">
        <f t="shared" si="222"/>
        <v>-13.195116054158607</v>
      </c>
      <c r="P76" s="144">
        <f t="shared" si="222"/>
        <v>-9.428838668798841</v>
      </c>
      <c r="Q76" s="144">
        <f t="shared" ref="Q76" si="223">Q21/Q42</f>
        <v>-18.978190143390773</v>
      </c>
      <c r="R76" s="118">
        <f>((P76/G76)^(1/($H$2-$H$1) ))-1</f>
        <v>0.27667492089737178</v>
      </c>
      <c r="S76" s="128"/>
      <c r="T76" s="146">
        <f t="shared" ref="T76:AC76" si="224">T21/T42</f>
        <v>-21.39697908323469</v>
      </c>
      <c r="U76" s="146">
        <f t="shared" si="224"/>
        <v>-24.124045044823418</v>
      </c>
      <c r="V76" s="146">
        <f t="shared" si="224"/>
        <v>-27.198678236810714</v>
      </c>
      <c r="W76" s="146">
        <f t="shared" si="224"/>
        <v>-30.665176443463057</v>
      </c>
      <c r="X76" s="146">
        <f t="shared" si="224"/>
        <v>-34.573483245080894</v>
      </c>
      <c r="Y76" s="146">
        <f t="shared" si="224"/>
        <v>-38.979907580238255</v>
      </c>
      <c r="Z76" s="146">
        <f t="shared" si="224"/>
        <v>-43.947935016935283</v>
      </c>
      <c r="AA76" s="146">
        <f t="shared" si="224"/>
        <v>-49.549142421054476</v>
      </c>
      <c r="AB76" s="146">
        <f t="shared" si="224"/>
        <v>-55.864229200208477</v>
      </c>
      <c r="AC76" s="146">
        <f t="shared" si="224"/>
        <v>-62.984179980627204</v>
      </c>
      <c r="AD76" s="138">
        <f t="shared" si="215"/>
        <v>0.22736804182762849</v>
      </c>
      <c r="AE76" s="31">
        <f t="shared" si="15"/>
        <v>0.05</v>
      </c>
      <c r="AF76" s="146">
        <f t="shared" si="168"/>
        <v>-389.01993517446215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-2.0346399270738376</v>
      </c>
      <c r="H77" s="144">
        <f t="shared" si="225"/>
        <v>0</v>
      </c>
      <c r="I77" s="144">
        <f t="shared" si="225"/>
        <v>-2.4695729143615845</v>
      </c>
      <c r="J77" s="144">
        <f t="shared" si="225"/>
        <v>9.024992286331381</v>
      </c>
      <c r="K77" s="144">
        <f t="shared" si="225"/>
        <v>8.0863658786475927</v>
      </c>
      <c r="L77" s="144">
        <f t="shared" si="225"/>
        <v>24.641935483870967</v>
      </c>
      <c r="M77" s="144">
        <f t="shared" si="225"/>
        <v>-7.6671313412934117</v>
      </c>
      <c r="N77" s="144">
        <f t="shared" si="225"/>
        <v>10.032695567934125</v>
      </c>
      <c r="O77" s="144">
        <f t="shared" si="225"/>
        <v>0.17529013539651839</v>
      </c>
      <c r="P77" s="144">
        <f t="shared" si="225"/>
        <v>-5.0417886129801159</v>
      </c>
      <c r="Q77" s="144">
        <f t="shared" ref="Q77" si="226">Q22/Q42</f>
        <v>-6.5700686829738526</v>
      </c>
      <c r="R77" s="118">
        <f>((P77/G77)^(1/($H$2-$H$1) ))-1</f>
        <v>0.10608515440570354</v>
      </c>
      <c r="S77" s="128"/>
      <c r="T77" s="146">
        <f t="shared" ref="T77:AC77" si="227">T22/T42</f>
        <v>-7.407430377862676</v>
      </c>
      <c r="U77" s="146">
        <f t="shared" si="227"/>
        <v>-8.3515146417079169</v>
      </c>
      <c r="V77" s="146">
        <f t="shared" si="227"/>
        <v>-9.4159233705530418</v>
      </c>
      <c r="W77" s="146">
        <f t="shared" si="227"/>
        <v>-10.615992035427448</v>
      </c>
      <c r="X77" s="146">
        <f t="shared" si="227"/>
        <v>-11.969010628178005</v>
      </c>
      <c r="Y77" s="146">
        <f t="shared" si="227"/>
        <v>-13.494472767063433</v>
      </c>
      <c r="Z77" s="146">
        <f t="shared" si="227"/>
        <v>-15.214356551100929</v>
      </c>
      <c r="AA77" s="146">
        <f t="shared" si="227"/>
        <v>-17.153441209574574</v>
      </c>
      <c r="AB77" s="146">
        <f t="shared" si="227"/>
        <v>-19.339664108834079</v>
      </c>
      <c r="AC77" s="146">
        <f t="shared" si="227"/>
        <v>-21.804523259959993</v>
      </c>
      <c r="AD77" s="138">
        <f t="shared" si="215"/>
        <v>0.12590812100503901</v>
      </c>
      <c r="AE77" s="31">
        <f t="shared" si="15"/>
        <v>0.05</v>
      </c>
      <c r="AF77" s="146">
        <f t="shared" si="168"/>
        <v>-134.67499660563527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0.47037374658158615</v>
      </c>
      <c r="H78" s="144">
        <f t="shared" si="228"/>
        <v>0</v>
      </c>
      <c r="I78" s="144">
        <f t="shared" si="228"/>
        <v>0.57092277052445239</v>
      </c>
      <c r="J78" s="144">
        <f t="shared" si="228"/>
        <v>7.0155816106140092</v>
      </c>
      <c r="K78" s="144">
        <f t="shared" si="228"/>
        <v>1.8859332903274773</v>
      </c>
      <c r="L78" s="144">
        <f t="shared" si="228"/>
        <v>7.5612903225806454</v>
      </c>
      <c r="M78" s="144">
        <f t="shared" si="228"/>
        <v>0.84853627492575301</v>
      </c>
      <c r="N78" s="144">
        <f t="shared" si="228"/>
        <v>1.365342697989828</v>
      </c>
      <c r="O78" s="144">
        <f t="shared" si="228"/>
        <v>0.39289168278529979</v>
      </c>
      <c r="P78" s="144">
        <f t="shared" si="228"/>
        <v>3.1379175089762543</v>
      </c>
      <c r="Q78" s="144">
        <f t="shared" ref="Q78" si="229">Q23/Q42</f>
        <v>0.27412941318231115</v>
      </c>
      <c r="R78" s="118">
        <f>((P78/G78)^(1/($H$2-$H$1) ))-1</f>
        <v>0.23474593590130355</v>
      </c>
      <c r="S78" s="128"/>
      <c r="T78" s="146">
        <f t="shared" ref="T78:AC78" si="230">T23/T42</f>
        <v>0.30906747564672332</v>
      </c>
      <c r="U78" s="146">
        <f t="shared" si="230"/>
        <v>0.34845842842522717</v>
      </c>
      <c r="V78" s="146">
        <f t="shared" si="230"/>
        <v>0.39286979675393252</v>
      </c>
      <c r="W78" s="146">
        <f t="shared" si="230"/>
        <v>0.44294143751668863</v>
      </c>
      <c r="X78" s="146">
        <f t="shared" si="230"/>
        <v>0.49939475798450184</v>
      </c>
      <c r="Y78" s="146">
        <f t="shared" si="230"/>
        <v>0.5630431094923305</v>
      </c>
      <c r="Z78" s="146">
        <f t="shared" si="230"/>
        <v>0.63480350580017642</v>
      </c>
      <c r="AA78" s="146">
        <f t="shared" si="230"/>
        <v>0.71570983497078711</v>
      </c>
      <c r="AB78" s="146">
        <f t="shared" si="230"/>
        <v>0.80692775511412274</v>
      </c>
      <c r="AC78" s="146">
        <f t="shared" si="230"/>
        <v>0.90977148860905976</v>
      </c>
      <c r="AD78" s="138">
        <f t="shared" ref="AD78" si="231">((AC78/G78)^(1/($AC$3-$H$1) ))-1</f>
        <v>3.3533272495933186E-2</v>
      </c>
      <c r="AE78" s="31">
        <f t="shared" si="15"/>
        <v>0.05</v>
      </c>
      <c r="AF78" s="146">
        <f t="shared" si="168"/>
        <v>5.6191768414088994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1.2397447584320875</v>
      </c>
      <c r="H80" s="144">
        <f t="shared" si="232"/>
        <v>2.1659070191431176</v>
      </c>
      <c r="I80" s="144">
        <f t="shared" si="232"/>
        <v>5.11617614516486</v>
      </c>
      <c r="J80" s="144">
        <f t="shared" si="232"/>
        <v>6.2249305769824135</v>
      </c>
      <c r="K80" s="144">
        <f t="shared" si="232"/>
        <v>9.4448449891852935</v>
      </c>
      <c r="L80" s="144">
        <f t="shared" si="232"/>
        <v>9.6193548387096772</v>
      </c>
      <c r="M80" s="144">
        <f t="shared" si="232"/>
        <v>9.8308988423540811</v>
      </c>
      <c r="N80" s="144">
        <f t="shared" si="232"/>
        <v>10.949987890530394</v>
      </c>
      <c r="O80" s="144">
        <f t="shared" si="232"/>
        <v>14.679037717601547</v>
      </c>
      <c r="P80" s="144">
        <f t="shared" si="232"/>
        <v>15.427088676341912</v>
      </c>
      <c r="Q80" s="144">
        <f t="shared" ref="Q80" si="233">Q36/Q42</f>
        <v>21.85203036510423</v>
      </c>
      <c r="R80" s="118">
        <f>((P80/G80)^(1/($H$2-$H$1) ))-1</f>
        <v>0.32330910132298962</v>
      </c>
      <c r="S80" s="128"/>
      <c r="T80" s="144">
        <f t="shared" ref="T80:AC80" si="234">T36/T42</f>
        <v>24.637093058695942</v>
      </c>
      <c r="U80" s="144">
        <f t="shared" si="234"/>
        <v>27.777114723039535</v>
      </c>
      <c r="V80" s="144">
        <f t="shared" si="234"/>
        <v>31.317335226956331</v>
      </c>
      <c r="W80" s="144">
        <f t="shared" si="234"/>
        <v>35.308760304901746</v>
      </c>
      <c r="X80" s="144">
        <f t="shared" si="234"/>
        <v>39.808896422193143</v>
      </c>
      <c r="Y80" s="144">
        <f t="shared" si="234"/>
        <v>44.882579299531479</v>
      </c>
      <c r="Z80" s="144">
        <f t="shared" si="234"/>
        <v>50.602908033785475</v>
      </c>
      <c r="AA80" s="144">
        <f t="shared" si="234"/>
        <v>57.052298273385581</v>
      </c>
      <c r="AB80" s="144">
        <f t="shared" si="234"/>
        <v>64.323669621954338</v>
      </c>
      <c r="AC80" s="144">
        <f t="shared" si="234"/>
        <v>72.521784377693606</v>
      </c>
      <c r="AD80" s="138">
        <f t="shared" ref="AD80:AD82" si="235">((AC80/G80)^(1/($AC$3-$H$1) ))-1</f>
        <v>0.22562273952539869</v>
      </c>
      <c r="AE80" s="31">
        <f t="shared" si="15"/>
        <v>0.05</v>
      </c>
      <c r="AF80" s="146">
        <f t="shared" si="168"/>
        <v>447.92866821516645</v>
      </c>
    </row>
    <row r="81" spans="2:32" x14ac:dyDescent="0.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-0.75478577939835911</v>
      </c>
      <c r="H81" s="144">
        <f t="shared" si="236"/>
        <v>9.8450319051959889E-2</v>
      </c>
      <c r="I81" s="144">
        <f t="shared" si="236"/>
        <v>0.93383491922991813</v>
      </c>
      <c r="J81" s="144">
        <f t="shared" si="236"/>
        <v>1.9361308238198089</v>
      </c>
      <c r="K81" s="144">
        <f t="shared" si="236"/>
        <v>3.9540090312298415</v>
      </c>
      <c r="L81" s="144">
        <f t="shared" si="236"/>
        <v>2.8451612903225807</v>
      </c>
      <c r="M81" s="144">
        <f t="shared" si="236"/>
        <v>3.1911024910600641</v>
      </c>
      <c r="N81" s="144">
        <f t="shared" si="236"/>
        <v>2.5550980867038025</v>
      </c>
      <c r="O81" s="144">
        <f t="shared" si="236"/>
        <v>1.7408123791102514</v>
      </c>
      <c r="P81" s="144">
        <f t="shared" si="236"/>
        <v>2.4680928099447845</v>
      </c>
      <c r="Q81" s="144">
        <f t="shared" ref="Q81" si="237">Q40/Q42</f>
        <v>5.0879624051090495</v>
      </c>
      <c r="R81" s="118">
        <f>((P81/G81)^(1/($H$2-$H$1) ))-1</f>
        <v>-2.1406984835147194</v>
      </c>
      <c r="S81" s="128"/>
      <c r="T81" s="144">
        <f t="shared" ref="T81:AC81" si="238">T40/T42</f>
        <v>5.7364282018386339</v>
      </c>
      <c r="U81" s="144">
        <f t="shared" si="238"/>
        <v>6.4675416001121846</v>
      </c>
      <c r="V81" s="144">
        <f t="shared" si="238"/>
        <v>7.2918361177735411</v>
      </c>
      <c r="W81" s="144">
        <f t="shared" si="238"/>
        <v>8.2211877798427171</v>
      </c>
      <c r="X81" s="144">
        <f t="shared" si="238"/>
        <v>9.268986222371689</v>
      </c>
      <c r="Y81" s="144">
        <f t="shared" si="238"/>
        <v>10.450327603654355</v>
      </c>
      <c r="Z81" s="144">
        <f t="shared" si="238"/>
        <v>11.78223210215932</v>
      </c>
      <c r="AA81" s="144">
        <f t="shared" si="238"/>
        <v>13.283889134787465</v>
      </c>
      <c r="AB81" s="144">
        <f t="shared" si="238"/>
        <v>14.976933828436849</v>
      </c>
      <c r="AC81" s="144">
        <f t="shared" si="238"/>
        <v>16.885758728139582</v>
      </c>
      <c r="AD81" s="138" t="e">
        <f t="shared" si="235"/>
        <v>#NUM!</v>
      </c>
      <c r="AE81" s="31">
        <f t="shared" si="15"/>
        <v>0.05</v>
      </c>
      <c r="AF81" s="146">
        <f t="shared" si="168"/>
        <v>104.29439214439154</v>
      </c>
    </row>
    <row r="82" spans="2:32" x14ac:dyDescent="0.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-6.268003646308113</v>
      </c>
      <c r="H82" s="144">
        <f t="shared" si="239"/>
        <v>-6.1804922515952594</v>
      </c>
      <c r="I82" s="144">
        <f t="shared" si="239"/>
        <v>-7.1166187209559642</v>
      </c>
      <c r="J82" s="144">
        <f t="shared" si="239"/>
        <v>-1.5928725701943847</v>
      </c>
      <c r="K82" s="144">
        <f t="shared" si="239"/>
        <v>3.4341441202140177</v>
      </c>
      <c r="L82" s="144">
        <f t="shared" si="239"/>
        <v>32.725806451612904</v>
      </c>
      <c r="M82" s="144">
        <f t="shared" si="239"/>
        <v>24.322686223407477</v>
      </c>
      <c r="N82" s="144">
        <f t="shared" si="239"/>
        <v>27.228142407362558</v>
      </c>
      <c r="O82" s="144">
        <f t="shared" si="239"/>
        <v>29.433631528046423</v>
      </c>
      <c r="P82" s="144">
        <f t="shared" si="239"/>
        <v>33.156322602057749</v>
      </c>
      <c r="Q82" s="144">
        <f t="shared" ref="Q82" si="240">Q6/Q42</f>
        <v>39.778889022773832</v>
      </c>
      <c r="R82" s="118">
        <f>((P82/G82)^(1/($H$2-$H$1) ))-1</f>
        <v>-2.2033221244944734</v>
      </c>
      <c r="S82" s="128"/>
      <c r="T82" s="144">
        <f t="shared" ref="T82:AC82" si="241">T6/T42</f>
        <v>44.848747427637157</v>
      </c>
      <c r="U82" s="144">
        <f t="shared" si="241"/>
        <v>50.564764256649724</v>
      </c>
      <c r="V82" s="144">
        <f t="shared" si="241"/>
        <v>57.009293034458018</v>
      </c>
      <c r="W82" s="144">
        <f t="shared" si="241"/>
        <v>64.275183323163446</v>
      </c>
      <c r="X82" s="144">
        <f t="shared" si="241"/>
        <v>72.46711845258622</v>
      </c>
      <c r="Y82" s="144">
        <f t="shared" si="241"/>
        <v>81.703123745562891</v>
      </c>
      <c r="Z82" s="144">
        <f t="shared" si="241"/>
        <v>92.116266968036584</v>
      </c>
      <c r="AA82" s="144">
        <f t="shared" si="241"/>
        <v>103.85657550317848</v>
      </c>
      <c r="AB82" s="144">
        <f t="shared" si="241"/>
        <v>117.09319787123064</v>
      </c>
      <c r="AC82" s="144">
        <f t="shared" si="241"/>
        <v>132.01684073717178</v>
      </c>
      <c r="AD82" s="138" t="e">
        <f t="shared" si="235"/>
        <v>#NUM!</v>
      </c>
      <c r="AE82" s="31">
        <f t="shared" ref="AE82" si="242">$L$1</f>
        <v>0.05</v>
      </c>
      <c r="AF82" s="146">
        <f t="shared" si="168"/>
        <v>815.39813396488466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0.28813559322033899</v>
      </c>
      <c r="H86" s="152">
        <f t="shared" si="243"/>
        <v>0.363302752293578</v>
      </c>
      <c r="I86" s="152">
        <f t="shared" si="243"/>
        <v>0.38896366083445494</v>
      </c>
      <c r="J86" s="152">
        <f t="shared" si="243"/>
        <v>0.36748633879781423</v>
      </c>
      <c r="K86" s="152">
        <f t="shared" si="243"/>
        <v>0.36051564310544609</v>
      </c>
      <c r="L86" s="152">
        <f t="shared" si="243"/>
        <v>0.28640030733768729</v>
      </c>
      <c r="M86" s="152">
        <f t="shared" si="243"/>
        <v>0.26516266143534412</v>
      </c>
      <c r="N86" s="152">
        <f t="shared" si="243"/>
        <v>0.23423131718689288</v>
      </c>
      <c r="O86" s="152">
        <f t="shared" si="243"/>
        <v>0.25203673914171554</v>
      </c>
      <c r="P86" s="152">
        <f t="shared" si="243"/>
        <v>0.23150412025717648</v>
      </c>
      <c r="Q86" s="152">
        <f t="shared" ref="Q86" si="244">Q36/Q25</f>
        <v>0.27709232591008059</v>
      </c>
      <c r="R86" s="118">
        <f t="shared" ref="R86:R138" si="245">((P86/G86)^(1/($H$2-$H$1) ))-1</f>
        <v>-2.4021609979295255E-2</v>
      </c>
      <c r="S86" s="152"/>
      <c r="T86" s="152">
        <f t="shared" ref="T86:AC86" si="246">T36/T25</f>
        <v>0.27709232591008054</v>
      </c>
      <c r="U86" s="152">
        <f t="shared" si="246"/>
        <v>0.27709232591008059</v>
      </c>
      <c r="V86" s="152">
        <f t="shared" si="246"/>
        <v>0.27709232591008054</v>
      </c>
      <c r="W86" s="152">
        <f t="shared" si="246"/>
        <v>0.27709232591008054</v>
      </c>
      <c r="X86" s="152">
        <f t="shared" si="246"/>
        <v>0.27709232591008059</v>
      </c>
      <c r="Y86" s="152">
        <f t="shared" si="246"/>
        <v>0.27709232591008059</v>
      </c>
      <c r="Z86" s="152">
        <f t="shared" si="246"/>
        <v>0.27709232591008054</v>
      </c>
      <c r="AA86" s="152">
        <f t="shared" si="246"/>
        <v>0.27709232591008054</v>
      </c>
      <c r="AB86" s="152">
        <f t="shared" si="246"/>
        <v>0.27709232591008054</v>
      </c>
      <c r="AC86" s="152">
        <f t="shared" si="246"/>
        <v>0.27709232591008054</v>
      </c>
      <c r="AD86" s="138">
        <f t="shared" ref="AD86:AD125" si="247">((AC86/G86)^(1/($AC$3-$H$1) ))-1</f>
        <v>-1.9521132408915065E-3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-0.17542372881355933</v>
      </c>
      <c r="H87" s="152">
        <f t="shared" si="248"/>
        <v>1.6513761467889909E-2</v>
      </c>
      <c r="I87" s="152">
        <f t="shared" si="248"/>
        <v>7.0995962314939431E-2</v>
      </c>
      <c r="J87" s="152">
        <f t="shared" si="248"/>
        <v>0.11429872495446267</v>
      </c>
      <c r="K87" s="152">
        <f t="shared" si="248"/>
        <v>0.15092699884125144</v>
      </c>
      <c r="L87" s="152">
        <f t="shared" si="248"/>
        <v>8.4709950057625813E-2</v>
      </c>
      <c r="M87" s="152">
        <f t="shared" si="248"/>
        <v>8.6071603727317314E-2</v>
      </c>
      <c r="N87" s="152">
        <f t="shared" si="248"/>
        <v>5.46561326253076E-2</v>
      </c>
      <c r="O87" s="152">
        <f t="shared" si="248"/>
        <v>2.98894712261948E-2</v>
      </c>
      <c r="P87" s="152">
        <f t="shared" si="248"/>
        <v>3.7037037037037035E-2</v>
      </c>
      <c r="Q87" s="152">
        <f t="shared" ref="Q87" si="249">Q40/Q25</f>
        <v>6.4517361243744992E-2</v>
      </c>
      <c r="R87" s="118">
        <f t="shared" si="245"/>
        <v>-1.8412978255244574</v>
      </c>
      <c r="S87" s="152"/>
      <c r="T87" s="152">
        <f t="shared" ref="T87:AC87" si="250">T40/T25</f>
        <v>6.4517361243744992E-2</v>
      </c>
      <c r="U87" s="152">
        <f t="shared" si="250"/>
        <v>6.4517361243744992E-2</v>
      </c>
      <c r="V87" s="152">
        <f t="shared" si="250"/>
        <v>6.4517361243744992E-2</v>
      </c>
      <c r="W87" s="152">
        <f t="shared" si="250"/>
        <v>6.4517361243744992E-2</v>
      </c>
      <c r="X87" s="152">
        <f t="shared" si="250"/>
        <v>6.4517361243745006E-2</v>
      </c>
      <c r="Y87" s="152">
        <f t="shared" si="250"/>
        <v>6.4517361243745006E-2</v>
      </c>
      <c r="Z87" s="152">
        <f t="shared" si="250"/>
        <v>6.4517361243744992E-2</v>
      </c>
      <c r="AA87" s="152">
        <f t="shared" si="250"/>
        <v>6.4517361243744992E-2</v>
      </c>
      <c r="AB87" s="152">
        <f t="shared" si="250"/>
        <v>6.4517361243744992E-2</v>
      </c>
      <c r="AC87" s="152">
        <f t="shared" si="250"/>
        <v>6.4517361243744992E-2</v>
      </c>
      <c r="AD87" s="138" t="e">
        <f t="shared" si="247"/>
        <v>#NUM!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-0.20254403131115459</v>
      </c>
      <c r="H88" s="152">
        <f t="shared" si="251"/>
        <v>2.5812619502868069E-2</v>
      </c>
      <c r="I88" s="152">
        <f t="shared" si="251"/>
        <v>0.18623124448367168</v>
      </c>
      <c r="J88" s="152">
        <f t="shared" si="251"/>
        <v>0.23038090867370353</v>
      </c>
      <c r="K88" s="152">
        <f t="shared" si="251"/>
        <v>0.29401805869074493</v>
      </c>
      <c r="L88" s="152">
        <f t="shared" si="251"/>
        <v>6.6490765171503957E-2</v>
      </c>
      <c r="M88" s="152">
        <f t="shared" si="251"/>
        <v>9.259584945480126E-2</v>
      </c>
      <c r="N88" s="152">
        <f t="shared" si="251"/>
        <v>6.8623465322383934E-2</v>
      </c>
      <c r="O88" s="152">
        <f t="shared" si="251"/>
        <v>4.4137931034482755E-2</v>
      </c>
      <c r="P88" s="152">
        <f t="shared" ref="P88:Q88" si="252">P40/P7</f>
        <v>5.7182803215658863E-2</v>
      </c>
      <c r="Q88" s="152">
        <f t="shared" si="252"/>
        <v>0.10220258985840494</v>
      </c>
      <c r="R88" s="118">
        <f t="shared" si="245"/>
        <v>-1.868903960730341</v>
      </c>
      <c r="S88" s="20"/>
      <c r="T88" s="152">
        <f t="shared" ref="T88" si="253">T40/T7</f>
        <v>0.10220258985840494</v>
      </c>
      <c r="U88" s="152">
        <f t="shared" ref="U88:AC88" si="254">U40/U7</f>
        <v>0.10220258985840495</v>
      </c>
      <c r="V88" s="152">
        <f t="shared" si="254"/>
        <v>0.10220258985840495</v>
      </c>
      <c r="W88" s="152">
        <f t="shared" si="254"/>
        <v>0.10220258985840495</v>
      </c>
      <c r="X88" s="152">
        <f t="shared" si="254"/>
        <v>0.10220258985840495</v>
      </c>
      <c r="Y88" s="152">
        <f t="shared" si="254"/>
        <v>0.10220258985840495</v>
      </c>
      <c r="Z88" s="152">
        <f t="shared" si="254"/>
        <v>0.10220258985840495</v>
      </c>
      <c r="AA88" s="152">
        <f t="shared" si="254"/>
        <v>0.10220258985840495</v>
      </c>
      <c r="AB88" s="152">
        <f t="shared" si="254"/>
        <v>0.10220258985840495</v>
      </c>
      <c r="AC88" s="152">
        <f t="shared" si="254"/>
        <v>0.10220258985840495</v>
      </c>
      <c r="AD88" s="138" t="e">
        <f t="shared" si="247"/>
        <v>#NUM!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-6.3013698630136991E-2</v>
      </c>
      <c r="H89" s="152">
        <f t="shared" ref="H89:O89" si="256">(H40)/(H7+H10)</f>
        <v>7.2115384615384619E-3</v>
      </c>
      <c r="I89" s="152">
        <f t="shared" si="256"/>
        <v>4.7759167043911269E-2</v>
      </c>
      <c r="J89" s="152">
        <f t="shared" si="256"/>
        <v>7.8083683310001553E-2</v>
      </c>
      <c r="K89" s="152">
        <f t="shared" si="256"/>
        <v>0.10358882592703052</v>
      </c>
      <c r="L89" s="152">
        <f t="shared" si="256"/>
        <v>3.9770933850385534E-2</v>
      </c>
      <c r="M89" s="152">
        <f t="shared" si="256"/>
        <v>5.4755342935884771E-2</v>
      </c>
      <c r="N89" s="152">
        <f t="shared" si="256"/>
        <v>3.6562120949575463E-2</v>
      </c>
      <c r="O89" s="152">
        <f t="shared" si="256"/>
        <v>2.370467920490555E-2</v>
      </c>
      <c r="P89" s="152">
        <f t="shared" ref="P89:Q89" si="257">(P40)/(P7+P10)</f>
        <v>3.0788919000301115E-2</v>
      </c>
      <c r="Q89" s="152">
        <f t="shared" si="257"/>
        <v>4.7845670094331605E-2</v>
      </c>
      <c r="R89" s="118">
        <f t="shared" si="245"/>
        <v>-1.9235064671171749</v>
      </c>
      <c r="S89" s="20"/>
      <c r="T89" s="152">
        <f t="shared" ref="T89:AC89" si="258">(T40)/(T7+T10)</f>
        <v>4.7845670094331612E-2</v>
      </c>
      <c r="U89" s="152">
        <f t="shared" si="258"/>
        <v>4.7845670094331605E-2</v>
      </c>
      <c r="V89" s="152">
        <f t="shared" si="258"/>
        <v>4.7845670094331612E-2</v>
      </c>
      <c r="W89" s="152">
        <f t="shared" si="258"/>
        <v>4.7845670094331612E-2</v>
      </c>
      <c r="X89" s="152">
        <f t="shared" si="258"/>
        <v>4.7845670094331619E-2</v>
      </c>
      <c r="Y89" s="152">
        <f t="shared" si="258"/>
        <v>4.7845670094331612E-2</v>
      </c>
      <c r="Z89" s="152">
        <f t="shared" si="258"/>
        <v>4.7845670094331619E-2</v>
      </c>
      <c r="AA89" s="152">
        <f t="shared" si="258"/>
        <v>4.7845670094331605E-2</v>
      </c>
      <c r="AB89" s="152">
        <f t="shared" si="258"/>
        <v>4.7845670094331612E-2</v>
      </c>
      <c r="AC89" s="152">
        <f t="shared" si="258"/>
        <v>4.7845670094331619E-2</v>
      </c>
      <c r="AD89" s="138" t="e">
        <f t="shared" si="247"/>
        <v>#NUM!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0.69661016949152543</v>
      </c>
      <c r="H90" s="152">
        <f t="shared" ref="H90:P90" si="259">H20/H25</f>
        <v>0</v>
      </c>
      <c r="I90" s="152">
        <f t="shared" si="259"/>
        <v>0.27658142664872137</v>
      </c>
      <c r="J90" s="152">
        <f t="shared" si="259"/>
        <v>0.36543715846994534</v>
      </c>
      <c r="K90" s="152">
        <f t="shared" si="259"/>
        <v>0.36239860950173813</v>
      </c>
      <c r="L90" s="152">
        <f t="shared" si="259"/>
        <v>0.1789281598155974</v>
      </c>
      <c r="M90" s="152">
        <f t="shared" si="259"/>
        <v>0.16225273827039399</v>
      </c>
      <c r="N90" s="152">
        <f t="shared" si="259"/>
        <v>0.29141302940033675</v>
      </c>
      <c r="O90" s="152">
        <f t="shared" si="259"/>
        <v>0.15852835867365472</v>
      </c>
      <c r="P90" s="152">
        <f t="shared" si="259"/>
        <v>0.25844426333423887</v>
      </c>
      <c r="Q90" s="152">
        <f t="shared" ref="Q90" si="260">Q20/Q25</f>
        <v>0.28767332594827916</v>
      </c>
      <c r="R90" s="118">
        <f t="shared" si="245"/>
        <v>-0.10431972609219498</v>
      </c>
      <c r="S90" s="20"/>
      <c r="T90" s="152">
        <f t="shared" ref="T90:AC90" si="261">T20/T25</f>
        <v>0.28767332594827916</v>
      </c>
      <c r="U90" s="152">
        <f t="shared" si="261"/>
        <v>0.28767332594827921</v>
      </c>
      <c r="V90" s="152">
        <f t="shared" si="261"/>
        <v>0.28767332594827916</v>
      </c>
      <c r="W90" s="152">
        <f t="shared" si="261"/>
        <v>0.28767332594827916</v>
      </c>
      <c r="X90" s="152">
        <f t="shared" si="261"/>
        <v>0.28767332594827916</v>
      </c>
      <c r="Y90" s="152">
        <f t="shared" si="261"/>
        <v>0.28767332594827916</v>
      </c>
      <c r="Z90" s="152">
        <f t="shared" si="261"/>
        <v>0.28767332594827916</v>
      </c>
      <c r="AA90" s="152">
        <f t="shared" si="261"/>
        <v>0.28767332594827916</v>
      </c>
      <c r="AB90" s="152">
        <f t="shared" si="261"/>
        <v>0.2876733259482791</v>
      </c>
      <c r="AC90" s="152">
        <f t="shared" si="261"/>
        <v>0.28767332594827916</v>
      </c>
      <c r="AD90" s="138">
        <f t="shared" si="247"/>
        <v>-4.3256568621401037E-2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0</v>
      </c>
      <c r="H91" s="152">
        <f t="shared" ref="H91:P91" si="262">H52/H25</f>
        <v>0</v>
      </c>
      <c r="I91" s="152">
        <f t="shared" si="262"/>
        <v>-2.6917900403768506E-3</v>
      </c>
      <c r="J91" s="152">
        <f t="shared" si="262"/>
        <v>-2.2768670309653918E-3</v>
      </c>
      <c r="K91" s="152">
        <f t="shared" si="262"/>
        <v>8.4009269988412523E-3</v>
      </c>
      <c r="L91" s="152">
        <f t="shared" si="262"/>
        <v>1.882443334613907E-2</v>
      </c>
      <c r="M91" s="152">
        <f t="shared" si="262"/>
        <v>3.351316004577407E-3</v>
      </c>
      <c r="N91" s="152">
        <f t="shared" si="262"/>
        <v>9.0661831368993653E-4</v>
      </c>
      <c r="O91" s="152">
        <f t="shared" si="262"/>
        <v>1.1727466140833377E-2</v>
      </c>
      <c r="P91" s="152">
        <f t="shared" si="262"/>
        <v>2.1280449153309788E-2</v>
      </c>
      <c r="Q91" s="152">
        <f t="shared" ref="Q91" si="263">Q52/Q25</f>
        <v>3.4989877382634933E-2</v>
      </c>
      <c r="R91" s="118" t="e">
        <f t="shared" si="245"/>
        <v>#DIV/0!</v>
      </c>
      <c r="S91" s="20"/>
      <c r="T91" s="152">
        <f t="shared" ref="T91:AC91" si="264">T52/T25</f>
        <v>3.4989877382634926E-2</v>
      </c>
      <c r="U91" s="152">
        <f t="shared" si="264"/>
        <v>3.4989877382634926E-2</v>
      </c>
      <c r="V91" s="152">
        <f t="shared" si="264"/>
        <v>3.4989877382634926E-2</v>
      </c>
      <c r="W91" s="152">
        <f t="shared" si="264"/>
        <v>3.4989877382634933E-2</v>
      </c>
      <c r="X91" s="152">
        <f t="shared" si="264"/>
        <v>3.4989877382634926E-2</v>
      </c>
      <c r="Y91" s="152">
        <f t="shared" si="264"/>
        <v>3.4989877382634933E-2</v>
      </c>
      <c r="Z91" s="152">
        <f t="shared" si="264"/>
        <v>3.4989877382634926E-2</v>
      </c>
      <c r="AA91" s="152">
        <f t="shared" si="264"/>
        <v>3.4989877382634926E-2</v>
      </c>
      <c r="AB91" s="152">
        <f t="shared" si="264"/>
        <v>3.4989877382634919E-2</v>
      </c>
      <c r="AC91" s="152">
        <f t="shared" si="264"/>
        <v>3.4989877382634912E-2</v>
      </c>
      <c r="AD91" s="138" t="e">
        <f t="shared" si="247"/>
        <v>#DIV/0!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0.21440677966101696</v>
      </c>
      <c r="H93" s="152">
        <f t="shared" ref="H93:P93" si="265">H29/H25</f>
        <v>0.15596330275229359</v>
      </c>
      <c r="I93" s="152">
        <f t="shared" si="265"/>
        <v>0.1386271870794078</v>
      </c>
      <c r="J93" s="152">
        <f t="shared" si="265"/>
        <v>0.10883424408014572</v>
      </c>
      <c r="K93" s="152">
        <f t="shared" si="265"/>
        <v>0.10081112398609501</v>
      </c>
      <c r="L93" s="152">
        <f t="shared" si="265"/>
        <v>8.9608144448713026E-2</v>
      </c>
      <c r="M93" s="152">
        <f t="shared" si="265"/>
        <v>8.0268105280366195E-2</v>
      </c>
      <c r="N93" s="152">
        <f t="shared" si="265"/>
        <v>5.789405517420023E-2</v>
      </c>
      <c r="O93" s="152">
        <f t="shared" si="265"/>
        <v>7.7214467334336567E-2</v>
      </c>
      <c r="P93" s="152">
        <f t="shared" si="265"/>
        <v>3.6810649280086934E-2</v>
      </c>
      <c r="Q93" s="152">
        <f t="shared" ref="Q93" si="266">Q29/Q25</f>
        <v>2.3835899003017687E-2</v>
      </c>
      <c r="R93" s="118">
        <f t="shared" si="245"/>
        <v>-0.17781310244390724</v>
      </c>
      <c r="S93" s="20"/>
      <c r="T93" s="152">
        <f t="shared" ref="T93:AC93" si="267">T29/T25</f>
        <v>2.3835899003017684E-2</v>
      </c>
      <c r="U93" s="152">
        <f t="shared" si="267"/>
        <v>2.3835899003017684E-2</v>
      </c>
      <c r="V93" s="152">
        <f t="shared" si="267"/>
        <v>2.3835899003017684E-2</v>
      </c>
      <c r="W93" s="152">
        <f t="shared" si="267"/>
        <v>2.3835899003017687E-2</v>
      </c>
      <c r="X93" s="152">
        <f t="shared" si="267"/>
        <v>2.3835899003017687E-2</v>
      </c>
      <c r="Y93" s="152">
        <f t="shared" si="267"/>
        <v>2.3835899003017687E-2</v>
      </c>
      <c r="Z93" s="152">
        <f t="shared" si="267"/>
        <v>2.3835899003017684E-2</v>
      </c>
      <c r="AA93" s="152">
        <f t="shared" si="267"/>
        <v>2.3835899003017684E-2</v>
      </c>
      <c r="AB93" s="152">
        <f t="shared" si="267"/>
        <v>2.3835899003017684E-2</v>
      </c>
      <c r="AC93" s="152">
        <f t="shared" si="267"/>
        <v>2.3835899003017684E-2</v>
      </c>
      <c r="AD93" s="138">
        <f t="shared" si="247"/>
        <v>-0.10401724444679761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0.74411764705882355</v>
      </c>
      <c r="H94" s="152">
        <f t="shared" ref="H94:P94" si="268">H29/H36</f>
        <v>0.42929292929292928</v>
      </c>
      <c r="I94" s="152">
        <f t="shared" si="268"/>
        <v>0.356401384083045</v>
      </c>
      <c r="J94" s="152">
        <f t="shared" si="268"/>
        <v>0.29615861214374223</v>
      </c>
      <c r="K94" s="152">
        <f t="shared" si="268"/>
        <v>0.27963037364403376</v>
      </c>
      <c r="L94" s="152">
        <f t="shared" si="268"/>
        <v>0.31287726358148893</v>
      </c>
      <c r="M94" s="152">
        <f t="shared" si="268"/>
        <v>0.30271270036991371</v>
      </c>
      <c r="N94" s="152">
        <f t="shared" si="268"/>
        <v>0.24716615980094001</v>
      </c>
      <c r="O94" s="152">
        <f t="shared" si="268"/>
        <v>0.3063619518221124</v>
      </c>
      <c r="P94" s="152">
        <f t="shared" si="268"/>
        <v>0.15900645413651476</v>
      </c>
      <c r="Q94" s="152">
        <f t="shared" ref="Q94" si="269">Q29/Q36</f>
        <v>8.6021505376344093E-2</v>
      </c>
      <c r="R94" s="118">
        <f t="shared" ref="R94" si="270">((P94/G94)^(1/($H$2-$H$1) ))-1</f>
        <v>-0.15757673944127948</v>
      </c>
      <c r="S94" s="20"/>
      <c r="T94" s="152">
        <f t="shared" ref="T94:AC94" si="271">T29/T36</f>
        <v>8.6021505376344093E-2</v>
      </c>
      <c r="U94" s="152">
        <f t="shared" si="271"/>
        <v>8.6021505376344093E-2</v>
      </c>
      <c r="V94" s="152">
        <f t="shared" si="271"/>
        <v>8.6021505376344093E-2</v>
      </c>
      <c r="W94" s="152">
        <f t="shared" si="271"/>
        <v>8.6021505376344107E-2</v>
      </c>
      <c r="X94" s="152">
        <f t="shared" si="271"/>
        <v>8.6021505376344093E-2</v>
      </c>
      <c r="Y94" s="152">
        <f t="shared" si="271"/>
        <v>8.6021505376344093E-2</v>
      </c>
      <c r="Z94" s="152">
        <f t="shared" si="271"/>
        <v>8.6021505376344107E-2</v>
      </c>
      <c r="AA94" s="152">
        <f t="shared" si="271"/>
        <v>8.6021505376344107E-2</v>
      </c>
      <c r="AB94" s="152">
        <f t="shared" si="271"/>
        <v>8.6021505376344093E-2</v>
      </c>
      <c r="AC94" s="152">
        <f t="shared" si="271"/>
        <v>8.6021505376344093E-2</v>
      </c>
      <c r="AD94" s="138">
        <f t="shared" ref="AD94" si="272">((AC94/G94)^(1/($AC$3-$H$1) ))-1</f>
        <v>-0.10226476360501613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3">G29/G40</f>
        <v>-1.2222222222222223</v>
      </c>
      <c r="H95" s="171">
        <f t="shared" si="273"/>
        <v>9.4444444444444446</v>
      </c>
      <c r="I95" s="171">
        <f t="shared" si="273"/>
        <v>1.95260663507109</v>
      </c>
      <c r="J95" s="171">
        <f t="shared" si="273"/>
        <v>0.952191235059761</v>
      </c>
      <c r="K95" s="171">
        <f t="shared" si="273"/>
        <v>0.66794625719769674</v>
      </c>
      <c r="L95" s="171">
        <f t="shared" si="273"/>
        <v>1.0578231292517006</v>
      </c>
      <c r="M95" s="171">
        <f t="shared" si="273"/>
        <v>0.93257359924026595</v>
      </c>
      <c r="N95" s="171">
        <f t="shared" si="273"/>
        <v>1.0592417061611374</v>
      </c>
      <c r="O95" s="171">
        <f t="shared" si="273"/>
        <v>2.5833333333333335</v>
      </c>
      <c r="P95" s="171">
        <f t="shared" si="273"/>
        <v>0.99388753056234724</v>
      </c>
      <c r="Q95" s="171">
        <f t="shared" ref="Q95" si="274">Q29/Q40</f>
        <v>0.369449378330373</v>
      </c>
      <c r="R95" s="118">
        <f t="shared" ref="R95" si="275">((P95/G95)^(1/($H$2-$H$1) ))-1</f>
        <v>-1.9772839921980649</v>
      </c>
      <c r="S95" s="20"/>
      <c r="T95" s="171">
        <f t="shared" ref="T95:AC95" si="276">T29/T40</f>
        <v>0.36944937833037295</v>
      </c>
      <c r="U95" s="171">
        <f t="shared" si="276"/>
        <v>0.36944937833037295</v>
      </c>
      <c r="V95" s="171">
        <f t="shared" si="276"/>
        <v>0.36944937833037295</v>
      </c>
      <c r="W95" s="171">
        <f t="shared" si="276"/>
        <v>0.36944937833037295</v>
      </c>
      <c r="X95" s="171">
        <f t="shared" si="276"/>
        <v>0.36944937833037295</v>
      </c>
      <c r="Y95" s="171">
        <f t="shared" si="276"/>
        <v>0.36944937833037295</v>
      </c>
      <c r="Z95" s="171">
        <f t="shared" si="276"/>
        <v>0.36944937833037295</v>
      </c>
      <c r="AA95" s="171">
        <f t="shared" si="276"/>
        <v>0.36944937833037295</v>
      </c>
      <c r="AB95" s="171">
        <f t="shared" si="276"/>
        <v>0.36944937833037295</v>
      </c>
      <c r="AC95" s="171">
        <f t="shared" si="276"/>
        <v>0.36944937833037295</v>
      </c>
      <c r="AD95" s="138" t="e">
        <f t="shared" ref="AD95" si="277">((AC95/G95)^(1/($AC$3-$H$1) ))-1</f>
        <v>#NUM!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78">G29/G12</f>
        <v>2.9080459770114944</v>
      </c>
      <c r="H96" s="171">
        <f t="shared" si="278"/>
        <v>1.6776315789473684</v>
      </c>
      <c r="I96" s="171">
        <f t="shared" si="278"/>
        <v>2.7651006711409396</v>
      </c>
      <c r="J96" s="171">
        <f t="shared" si="278"/>
        <v>0.26263736263736265</v>
      </c>
      <c r="K96" s="171">
        <f t="shared" si="278"/>
        <v>1.3975903614457832</v>
      </c>
      <c r="L96" s="171">
        <f t="shared" si="278"/>
        <v>0.30243111831442465</v>
      </c>
      <c r="M96" s="171">
        <f t="shared" si="278"/>
        <v>3.3979238754325261</v>
      </c>
      <c r="N96" s="171">
        <f t="shared" si="278"/>
        <v>1.9562363238512035</v>
      </c>
      <c r="O96" s="171">
        <f t="shared" si="278"/>
        <v>9.7894736842105257</v>
      </c>
      <c r="P96" s="171">
        <f t="shared" si="278"/>
        <v>0.85578947368421054</v>
      </c>
      <c r="Q96" s="171">
        <f t="shared" ref="Q96" si="279">Q29/Q12</f>
        <v>0.78</v>
      </c>
      <c r="R96" s="118">
        <f t="shared" si="245"/>
        <v>-0.12708096571839522</v>
      </c>
      <c r="S96" s="20"/>
      <c r="T96" s="152">
        <f t="shared" ref="T96:AC96" si="280">T29/T12</f>
        <v>0.78</v>
      </c>
      <c r="U96" s="152">
        <f t="shared" si="280"/>
        <v>0.77999999999999992</v>
      </c>
      <c r="V96" s="152">
        <f t="shared" si="280"/>
        <v>0.78</v>
      </c>
      <c r="W96" s="152">
        <f t="shared" si="280"/>
        <v>0.78</v>
      </c>
      <c r="X96" s="152">
        <f t="shared" si="280"/>
        <v>0.78</v>
      </c>
      <c r="Y96" s="152">
        <f t="shared" si="280"/>
        <v>0.78000000000000014</v>
      </c>
      <c r="Z96" s="152">
        <f t="shared" si="280"/>
        <v>0.78000000000000014</v>
      </c>
      <c r="AA96" s="152">
        <f t="shared" si="280"/>
        <v>0.78000000000000014</v>
      </c>
      <c r="AB96" s="152">
        <f t="shared" si="280"/>
        <v>0.78</v>
      </c>
      <c r="AC96" s="152">
        <f t="shared" si="280"/>
        <v>0.78</v>
      </c>
      <c r="AD96" s="138">
        <f t="shared" si="247"/>
        <v>-6.36792096314861E-2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1.9612403100775193</v>
      </c>
      <c r="H97" s="171" t="e">
        <f t="shared" ref="H97:P97" si="281">H29/H23</f>
        <v>#DIV/0!</v>
      </c>
      <c r="I97" s="171">
        <f t="shared" si="281"/>
        <v>3.193798449612403</v>
      </c>
      <c r="J97" s="171">
        <f t="shared" si="281"/>
        <v>0.26278174821330402</v>
      </c>
      <c r="K97" s="171">
        <f t="shared" si="281"/>
        <v>1.4004024144869216</v>
      </c>
      <c r="L97" s="171">
        <f t="shared" si="281"/>
        <v>0.39803754266211605</v>
      </c>
      <c r="M97" s="171">
        <f t="shared" si="281"/>
        <v>3.5071428571428571</v>
      </c>
      <c r="N97" s="171">
        <f t="shared" si="281"/>
        <v>1.9822616407982261</v>
      </c>
      <c r="O97" s="171">
        <f t="shared" si="281"/>
        <v>11.446153846153846</v>
      </c>
      <c r="P97" s="171">
        <f t="shared" si="281"/>
        <v>0.78173076923076923</v>
      </c>
      <c r="Q97" s="171">
        <f t="shared" ref="Q97" si="282">Q29/Q23</f>
        <v>6.8571428571428568</v>
      </c>
      <c r="R97" s="118">
        <f t="shared" ref="R97" si="283">((P97/G97)^(1/($H$2-$H$1) ))-1</f>
        <v>-9.7153239828398963E-2</v>
      </c>
      <c r="S97" s="20"/>
      <c r="T97" s="171">
        <f t="shared" ref="T97:AC97" si="284">T29/T23</f>
        <v>6.8571428571428568</v>
      </c>
      <c r="U97" s="171">
        <f t="shared" si="284"/>
        <v>6.8571428571428568</v>
      </c>
      <c r="V97" s="171">
        <f t="shared" si="284"/>
        <v>6.8571428571428577</v>
      </c>
      <c r="W97" s="171">
        <f t="shared" si="284"/>
        <v>6.8571428571428577</v>
      </c>
      <c r="X97" s="171">
        <f t="shared" si="284"/>
        <v>6.8571428571428568</v>
      </c>
      <c r="Y97" s="171">
        <f t="shared" si="284"/>
        <v>6.8571428571428568</v>
      </c>
      <c r="Z97" s="171">
        <f t="shared" si="284"/>
        <v>6.8571428571428568</v>
      </c>
      <c r="AA97" s="171">
        <f t="shared" si="284"/>
        <v>6.8571428571428568</v>
      </c>
      <c r="AB97" s="171">
        <f t="shared" si="284"/>
        <v>6.8571428571428559</v>
      </c>
      <c r="AC97" s="171">
        <f t="shared" si="284"/>
        <v>6.8571428571428559</v>
      </c>
      <c r="AD97" s="138">
        <f t="shared" ref="AD97" si="285">((AC97/G97)^(1/($AC$3-$H$1) ))-1</f>
        <v>6.4585678157962789E-2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4.6640316205533594</v>
      </c>
      <c r="H99" s="127">
        <f t="shared" ref="H99:P99" si="286">1/H93</f>
        <v>6.4117647058823524</v>
      </c>
      <c r="I99" s="127">
        <f t="shared" si="286"/>
        <v>7.2135922330097095</v>
      </c>
      <c r="J99" s="127">
        <f t="shared" si="286"/>
        <v>9.1882845188284517</v>
      </c>
      <c r="K99" s="127">
        <f t="shared" si="286"/>
        <v>9.9195402298850581</v>
      </c>
      <c r="L99" s="127">
        <f t="shared" si="286"/>
        <v>11.159699892818864</v>
      </c>
      <c r="M99" s="127">
        <f t="shared" si="286"/>
        <v>12.458248472505092</v>
      </c>
      <c r="N99" s="127">
        <f t="shared" si="286"/>
        <v>17.272930648769577</v>
      </c>
      <c r="O99" s="127">
        <f t="shared" si="286"/>
        <v>12.950940860215054</v>
      </c>
      <c r="P99" s="127">
        <f t="shared" si="286"/>
        <v>27.166051660516604</v>
      </c>
      <c r="Q99" s="127">
        <f t="shared" ref="Q99" si="287">1/Q93</f>
        <v>41.953525641025635</v>
      </c>
      <c r="R99" s="118">
        <f t="shared" si="245"/>
        <v>0.21626847006738648</v>
      </c>
      <c r="S99" s="20"/>
      <c r="T99" s="127">
        <f t="shared" ref="T99:AC99" si="288">1/T93</f>
        <v>41.953525641025642</v>
      </c>
      <c r="U99" s="127">
        <f t="shared" si="288"/>
        <v>41.953525641025642</v>
      </c>
      <c r="V99" s="127">
        <f t="shared" si="288"/>
        <v>41.953525641025642</v>
      </c>
      <c r="W99" s="127">
        <f t="shared" si="288"/>
        <v>41.953525641025635</v>
      </c>
      <c r="X99" s="127">
        <f t="shared" si="288"/>
        <v>41.953525641025635</v>
      </c>
      <c r="Y99" s="127">
        <f t="shared" si="288"/>
        <v>41.953525641025635</v>
      </c>
      <c r="Z99" s="127">
        <f t="shared" si="288"/>
        <v>41.953525641025642</v>
      </c>
      <c r="AA99" s="127">
        <f t="shared" si="288"/>
        <v>41.953525641025642</v>
      </c>
      <c r="AB99" s="127">
        <f t="shared" si="288"/>
        <v>41.953525641025642</v>
      </c>
      <c r="AC99" s="127">
        <f t="shared" si="288"/>
        <v>41.953525641025642</v>
      </c>
      <c r="AD99" s="138">
        <f t="shared" si="247"/>
        <v>0.11609290893391666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89">1/G94</f>
        <v>1.3438735177865613</v>
      </c>
      <c r="H100" s="127">
        <f t="shared" si="289"/>
        <v>2.3294117647058825</v>
      </c>
      <c r="I100" s="127">
        <f t="shared" si="289"/>
        <v>2.8058252427184462</v>
      </c>
      <c r="J100" s="127">
        <f t="shared" si="289"/>
        <v>3.3765690376569042</v>
      </c>
      <c r="K100" s="127">
        <f t="shared" si="289"/>
        <v>3.576149425287356</v>
      </c>
      <c r="L100" s="127">
        <f t="shared" si="289"/>
        <v>3.1961414790996785</v>
      </c>
      <c r="M100" s="127">
        <f t="shared" si="289"/>
        <v>3.3034623217922605</v>
      </c>
      <c r="N100" s="127">
        <f t="shared" si="289"/>
        <v>4.0458612975391501</v>
      </c>
      <c r="O100" s="127">
        <f t="shared" si="289"/>
        <v>3.2641129032258065</v>
      </c>
      <c r="P100" s="127">
        <f t="shared" si="289"/>
        <v>6.2890528905289056</v>
      </c>
      <c r="Q100" s="127">
        <f t="shared" ref="Q100" si="290">1/Q94</f>
        <v>11.624999999999998</v>
      </c>
      <c r="R100" s="118">
        <f t="shared" si="245"/>
        <v>0.18705174324931373</v>
      </c>
      <c r="S100" s="20"/>
      <c r="T100" s="127">
        <f t="shared" ref="T100:AC100" si="291">1/T94</f>
        <v>11.624999999999998</v>
      </c>
      <c r="U100" s="127">
        <f t="shared" si="291"/>
        <v>11.624999999999998</v>
      </c>
      <c r="V100" s="127">
        <f t="shared" si="291"/>
        <v>11.624999999999998</v>
      </c>
      <c r="W100" s="127">
        <f t="shared" si="291"/>
        <v>11.624999999999996</v>
      </c>
      <c r="X100" s="127">
        <f t="shared" si="291"/>
        <v>11.624999999999998</v>
      </c>
      <c r="Y100" s="127">
        <f t="shared" si="291"/>
        <v>11.624999999999998</v>
      </c>
      <c r="Z100" s="127">
        <f t="shared" si="291"/>
        <v>11.624999999999996</v>
      </c>
      <c r="AA100" s="127">
        <f t="shared" si="291"/>
        <v>11.624999999999996</v>
      </c>
      <c r="AB100" s="127">
        <f t="shared" si="291"/>
        <v>11.624999999999998</v>
      </c>
      <c r="AC100" s="127">
        <f t="shared" si="291"/>
        <v>11.624999999999998</v>
      </c>
      <c r="AD100" s="138">
        <f t="shared" si="247"/>
        <v>0.11391416918832165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89"/>
        <v>-0.81818181818181812</v>
      </c>
      <c r="H101" s="127">
        <f t="shared" si="289"/>
        <v>0.10588235294117647</v>
      </c>
      <c r="I101" s="127">
        <f t="shared" si="289"/>
        <v>0.51213592233009708</v>
      </c>
      <c r="J101" s="127">
        <f t="shared" si="289"/>
        <v>1.0502092050209204</v>
      </c>
      <c r="K101" s="127">
        <f t="shared" si="289"/>
        <v>1.4971264367816093</v>
      </c>
      <c r="L101" s="127">
        <f t="shared" si="289"/>
        <v>0.94533762057877813</v>
      </c>
      <c r="M101" s="127">
        <f t="shared" si="289"/>
        <v>1.0723014256619143</v>
      </c>
      <c r="N101" s="127">
        <f t="shared" si="289"/>
        <v>0.94407158836689042</v>
      </c>
      <c r="O101" s="127">
        <f t="shared" si="289"/>
        <v>0.38709677419354838</v>
      </c>
      <c r="P101" s="127">
        <f t="shared" si="289"/>
        <v>1.0061500615006149</v>
      </c>
      <c r="Q101" s="127">
        <f t="shared" ref="Q101" si="292">1/Q95</f>
        <v>2.7067307692307692</v>
      </c>
      <c r="R101" s="118">
        <f t="shared" si="245"/>
        <v>-2.023244019121651</v>
      </c>
      <c r="S101" s="20"/>
      <c r="T101" s="127">
        <f t="shared" ref="T101:AC101" si="293">1/T95</f>
        <v>2.7067307692307696</v>
      </c>
      <c r="U101" s="127">
        <f t="shared" si="293"/>
        <v>2.7067307692307696</v>
      </c>
      <c r="V101" s="127">
        <f t="shared" si="293"/>
        <v>2.7067307692307696</v>
      </c>
      <c r="W101" s="127">
        <f t="shared" si="293"/>
        <v>2.7067307692307696</v>
      </c>
      <c r="X101" s="127">
        <f t="shared" si="293"/>
        <v>2.7067307692307696</v>
      </c>
      <c r="Y101" s="127">
        <f t="shared" si="293"/>
        <v>2.7067307692307696</v>
      </c>
      <c r="Z101" s="127">
        <f t="shared" si="293"/>
        <v>2.7067307692307696</v>
      </c>
      <c r="AA101" s="127">
        <f t="shared" si="293"/>
        <v>2.7067307692307696</v>
      </c>
      <c r="AB101" s="127">
        <f t="shared" si="293"/>
        <v>2.7067307692307696</v>
      </c>
      <c r="AC101" s="127">
        <f t="shared" si="293"/>
        <v>2.7067307692307696</v>
      </c>
      <c r="AD101" s="138" t="e">
        <f t="shared" si="247"/>
        <v>#NUM!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89"/>
        <v>0.34387351778656128</v>
      </c>
      <c r="H102" s="127">
        <f t="shared" si="289"/>
        <v>0.59607843137254901</v>
      </c>
      <c r="I102" s="127">
        <f t="shared" si="289"/>
        <v>0.36165048543689321</v>
      </c>
      <c r="J102" s="127">
        <f t="shared" si="289"/>
        <v>3.8075313807531379</v>
      </c>
      <c r="K102" s="127">
        <f t="shared" si="289"/>
        <v>0.71551724137931028</v>
      </c>
      <c r="L102" s="127">
        <f t="shared" si="289"/>
        <v>3.3065380493033225</v>
      </c>
      <c r="M102" s="127">
        <f t="shared" si="289"/>
        <v>0.29429735234215887</v>
      </c>
      <c r="N102" s="127">
        <f t="shared" si="289"/>
        <v>0.51118568232662187</v>
      </c>
      <c r="O102" s="127">
        <f t="shared" si="289"/>
        <v>0.10215053763440861</v>
      </c>
      <c r="P102" s="127">
        <f t="shared" si="289"/>
        <v>1.1685116851168511</v>
      </c>
      <c r="Q102" s="127">
        <f t="shared" ref="Q102" si="294">1/Q96</f>
        <v>1.2820512820512819</v>
      </c>
      <c r="R102" s="118">
        <f t="shared" si="245"/>
        <v>0.14558161837194938</v>
      </c>
      <c r="S102" s="20"/>
      <c r="T102" s="127">
        <f t="shared" ref="T102:AC102" si="295">1/T96</f>
        <v>1.2820512820512819</v>
      </c>
      <c r="U102" s="127">
        <f t="shared" si="295"/>
        <v>1.2820512820512822</v>
      </c>
      <c r="V102" s="127">
        <f t="shared" si="295"/>
        <v>1.2820512820512819</v>
      </c>
      <c r="W102" s="127">
        <f t="shared" si="295"/>
        <v>1.2820512820512819</v>
      </c>
      <c r="X102" s="127">
        <f t="shared" si="295"/>
        <v>1.2820512820512819</v>
      </c>
      <c r="Y102" s="127">
        <f t="shared" si="295"/>
        <v>1.2820512820512817</v>
      </c>
      <c r="Z102" s="127">
        <f t="shared" si="295"/>
        <v>1.2820512820512817</v>
      </c>
      <c r="AA102" s="127">
        <f t="shared" si="295"/>
        <v>1.2820512820512817</v>
      </c>
      <c r="AB102" s="127">
        <f t="shared" si="295"/>
        <v>1.2820512820512819</v>
      </c>
      <c r="AC102" s="127">
        <f t="shared" si="295"/>
        <v>1.2820512820512819</v>
      </c>
      <c r="AD102" s="138">
        <f t="shared" si="247"/>
        <v>6.801003490099089E-2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>
        <f t="shared" si="289"/>
        <v>0.50988142292490124</v>
      </c>
      <c r="H103" s="127" t="e">
        <f t="shared" si="289"/>
        <v>#DIV/0!</v>
      </c>
      <c r="I103" s="127">
        <f t="shared" si="289"/>
        <v>0.31310679611650488</v>
      </c>
      <c r="J103" s="127">
        <f t="shared" si="289"/>
        <v>3.8054393305439329</v>
      </c>
      <c r="K103" s="127">
        <f t="shared" si="289"/>
        <v>0.71408045977011492</v>
      </c>
      <c r="L103" s="127">
        <f t="shared" si="289"/>
        <v>2.512325830653805</v>
      </c>
      <c r="M103" s="127">
        <f t="shared" si="289"/>
        <v>0.285132382892057</v>
      </c>
      <c r="N103" s="127">
        <f t="shared" si="289"/>
        <v>0.50447427293064884</v>
      </c>
      <c r="O103" s="127">
        <f t="shared" si="289"/>
        <v>8.7365591397849454E-2</v>
      </c>
      <c r="P103" s="127">
        <f t="shared" si="289"/>
        <v>1.2792127921279213</v>
      </c>
      <c r="Q103" s="127">
        <f t="shared" ref="Q103" si="296">1/Q97</f>
        <v>0.14583333333333334</v>
      </c>
      <c r="R103" s="118">
        <f t="shared" si="245"/>
        <v>0.10760767398659477</v>
      </c>
      <c r="S103" s="20"/>
      <c r="T103" s="127">
        <f t="shared" ref="T103:AC103" si="297">1/T97</f>
        <v>0.14583333333333334</v>
      </c>
      <c r="U103" s="127">
        <f t="shared" si="297"/>
        <v>0.14583333333333334</v>
      </c>
      <c r="V103" s="127">
        <f t="shared" si="297"/>
        <v>0.14583333333333331</v>
      </c>
      <c r="W103" s="127">
        <f t="shared" si="297"/>
        <v>0.14583333333333331</v>
      </c>
      <c r="X103" s="127">
        <f t="shared" si="297"/>
        <v>0.14583333333333334</v>
      </c>
      <c r="Y103" s="127">
        <f t="shared" si="297"/>
        <v>0.14583333333333334</v>
      </c>
      <c r="Z103" s="127">
        <f t="shared" si="297"/>
        <v>0.14583333333333334</v>
      </c>
      <c r="AA103" s="127">
        <f t="shared" si="297"/>
        <v>0.14583333333333334</v>
      </c>
      <c r="AB103" s="127">
        <f t="shared" si="297"/>
        <v>0.14583333333333337</v>
      </c>
      <c r="AC103" s="127">
        <f t="shared" si="297"/>
        <v>0.14583333333333337</v>
      </c>
      <c r="AD103" s="138">
        <f t="shared" si="247"/>
        <v>-6.0667430985652859E-2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2084</v>
      </c>
      <c r="H106" s="163">
        <f t="shared" si="298"/>
        <v>2239</v>
      </c>
      <c r="I106" s="163">
        <f t="shared" si="298"/>
        <v>3135.99</v>
      </c>
      <c r="J106" s="163">
        <f t="shared" si="298"/>
        <v>2428.77</v>
      </c>
      <c r="K106" s="163">
        <f t="shared" si="298"/>
        <v>5461</v>
      </c>
      <c r="L106" s="163">
        <f t="shared" si="298"/>
        <v>3782</v>
      </c>
      <c r="M106" s="163">
        <f t="shared" si="298"/>
        <v>6440</v>
      </c>
      <c r="N106" s="163">
        <f t="shared" si="298"/>
        <v>9308</v>
      </c>
      <c r="O106" s="163">
        <f t="shared" si="298"/>
        <v>11000</v>
      </c>
      <c r="P106" s="163">
        <f>P10-(P12+P13)</f>
        <v>10285</v>
      </c>
      <c r="Q106" s="163">
        <f>Q10-(Q12+Q13)</f>
        <v>17760</v>
      </c>
      <c r="R106" s="118">
        <f t="shared" si="245"/>
        <v>0.19408176055355808</v>
      </c>
      <c r="S106" s="20"/>
      <c r="T106" s="163">
        <f>T10-(T12+T13)</f>
        <v>20424</v>
      </c>
      <c r="U106" s="163">
        <f t="shared" ref="U106:AC106" si="299">U10-(U12+U13)</f>
        <v>23487.599999999999</v>
      </c>
      <c r="V106" s="163">
        <f t="shared" si="299"/>
        <v>27010.739999999994</v>
      </c>
      <c r="W106" s="163">
        <f t="shared" si="299"/>
        <v>31062.350999999995</v>
      </c>
      <c r="X106" s="163">
        <f t="shared" si="299"/>
        <v>35721.703649999989</v>
      </c>
      <c r="Y106" s="163">
        <f t="shared" si="299"/>
        <v>41079.959197499978</v>
      </c>
      <c r="Z106" s="163">
        <f t="shared" si="299"/>
        <v>47241.953077124977</v>
      </c>
      <c r="AA106" s="163">
        <f t="shared" si="299"/>
        <v>54328.246038693716</v>
      </c>
      <c r="AB106" s="163">
        <f t="shared" si="299"/>
        <v>62477.482944497773</v>
      </c>
      <c r="AC106" s="163">
        <f t="shared" si="299"/>
        <v>71849.105386172436</v>
      </c>
      <c r="AD106" s="138">
        <f t="shared" si="247"/>
        <v>0.19364774663061324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00">G40/G18</f>
        <v>-7.9371165644171779E-2</v>
      </c>
      <c r="H107" s="152">
        <f t="shared" si="300"/>
        <v>1.0085917071348524E-2</v>
      </c>
      <c r="I107" s="152">
        <f t="shared" si="300"/>
        <v>4.3211140692197419E-2</v>
      </c>
      <c r="J107" s="152">
        <f t="shared" si="300"/>
        <v>8.9499019433054022E-2</v>
      </c>
      <c r="K107" s="152">
        <f t="shared" si="300"/>
        <v>0.10758905524006195</v>
      </c>
      <c r="L107" s="152">
        <f t="shared" si="300"/>
        <v>5.2587646076794656E-2</v>
      </c>
      <c r="M107" s="152">
        <f t="shared" si="300"/>
        <v>5.7943102404666262E-2</v>
      </c>
      <c r="N107" s="152">
        <f t="shared" si="300"/>
        <v>3.7526121559735004E-2</v>
      </c>
      <c r="O107" s="152">
        <f t="shared" si="300"/>
        <v>2.1338865631830475E-2</v>
      </c>
      <c r="P107" s="152">
        <f t="shared" si="300"/>
        <v>2.8052126200274349E-2</v>
      </c>
      <c r="Q107" s="152">
        <f t="shared" ref="Q107" si="301">Q40/Q18</f>
        <v>5.7058883145839664E-2</v>
      </c>
      <c r="R107" s="118">
        <f t="shared" si="245"/>
        <v>-1.8908640778109946</v>
      </c>
      <c r="S107" s="20"/>
      <c r="T107" s="152">
        <f t="shared" ref="T107:AC107" si="302">T40/T18</f>
        <v>5.7058883145839671E-2</v>
      </c>
      <c r="U107" s="152">
        <f t="shared" si="302"/>
        <v>5.7058883145839685E-2</v>
      </c>
      <c r="V107" s="152">
        <f t="shared" si="302"/>
        <v>5.7058883145839685E-2</v>
      </c>
      <c r="W107" s="152">
        <f t="shared" si="302"/>
        <v>5.7058883145839685E-2</v>
      </c>
      <c r="X107" s="152">
        <f t="shared" si="302"/>
        <v>5.7058883145839685E-2</v>
      </c>
      <c r="Y107" s="152">
        <f t="shared" si="302"/>
        <v>5.7058883145839685E-2</v>
      </c>
      <c r="Z107" s="152">
        <f t="shared" si="302"/>
        <v>5.7058883145839678E-2</v>
      </c>
      <c r="AA107" s="152">
        <f t="shared" si="302"/>
        <v>5.7058883145839678E-2</v>
      </c>
      <c r="AB107" s="152">
        <f t="shared" si="302"/>
        <v>5.7058883145839678E-2</v>
      </c>
      <c r="AC107" s="152">
        <f t="shared" si="302"/>
        <v>5.7058883145839678E-2</v>
      </c>
      <c r="AD107" s="138" t="e">
        <f t="shared" si="247"/>
        <v>#NUM!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3">G40/G25</f>
        <v>-0.17542372881355933</v>
      </c>
      <c r="H108" s="152">
        <f t="shared" si="303"/>
        <v>1.6513761467889909E-2</v>
      </c>
      <c r="I108" s="152">
        <f t="shared" si="303"/>
        <v>7.0995962314939431E-2</v>
      </c>
      <c r="J108" s="152">
        <f t="shared" si="303"/>
        <v>0.11429872495446267</v>
      </c>
      <c r="K108" s="152">
        <f t="shared" si="303"/>
        <v>0.15092699884125144</v>
      </c>
      <c r="L108" s="152">
        <f t="shared" si="303"/>
        <v>8.4709950057625813E-2</v>
      </c>
      <c r="M108" s="152">
        <f t="shared" si="303"/>
        <v>8.6071603727317314E-2</v>
      </c>
      <c r="N108" s="152">
        <f t="shared" si="303"/>
        <v>5.46561326253076E-2</v>
      </c>
      <c r="O108" s="152">
        <f t="shared" si="303"/>
        <v>2.98894712261948E-2</v>
      </c>
      <c r="P108" s="152">
        <f t="shared" si="303"/>
        <v>3.7037037037037035E-2</v>
      </c>
      <c r="Q108" s="152">
        <f t="shared" ref="Q108" si="304">Q40/Q25</f>
        <v>6.4517361243744992E-2</v>
      </c>
      <c r="R108" s="118">
        <f t="shared" si="245"/>
        <v>-1.8412978255244574</v>
      </c>
      <c r="S108" s="20"/>
      <c r="T108" s="152">
        <f t="shared" ref="T108:AC108" si="305">T40/T25</f>
        <v>6.4517361243744992E-2</v>
      </c>
      <c r="U108" s="152">
        <f t="shared" si="305"/>
        <v>6.4517361243744992E-2</v>
      </c>
      <c r="V108" s="152">
        <f t="shared" si="305"/>
        <v>6.4517361243744992E-2</v>
      </c>
      <c r="W108" s="152">
        <f t="shared" si="305"/>
        <v>6.4517361243744992E-2</v>
      </c>
      <c r="X108" s="152">
        <f t="shared" si="305"/>
        <v>6.4517361243745006E-2</v>
      </c>
      <c r="Y108" s="152">
        <f t="shared" si="305"/>
        <v>6.4517361243745006E-2</v>
      </c>
      <c r="Z108" s="152">
        <f t="shared" si="305"/>
        <v>6.4517361243744992E-2</v>
      </c>
      <c r="AA108" s="152">
        <f t="shared" si="305"/>
        <v>6.4517361243744992E-2</v>
      </c>
      <c r="AB108" s="152">
        <f t="shared" si="305"/>
        <v>6.4517361243744992E-2</v>
      </c>
      <c r="AC108" s="152">
        <f t="shared" si="305"/>
        <v>6.4517361243744992E-2</v>
      </c>
      <c r="AD108" s="138" t="e">
        <f t="shared" si="247"/>
        <v>#NUM!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06">G25/G18</f>
        <v>0.45245398773006135</v>
      </c>
      <c r="H109" s="152">
        <f t="shared" si="306"/>
        <v>0.61075831154277171</v>
      </c>
      <c r="I109" s="152">
        <f t="shared" si="306"/>
        <v>0.60864222813843949</v>
      </c>
      <c r="J109" s="152">
        <f t="shared" si="306"/>
        <v>0.78302727758958812</v>
      </c>
      <c r="K109" s="152">
        <f t="shared" si="306"/>
        <v>0.71285493030459468</v>
      </c>
      <c r="L109" s="152">
        <f t="shared" si="306"/>
        <v>0.62079656570474595</v>
      </c>
      <c r="M109" s="152">
        <f t="shared" si="306"/>
        <v>0.67319650030264677</v>
      </c>
      <c r="N109" s="152">
        <f t="shared" si="306"/>
        <v>0.68658574540927486</v>
      </c>
      <c r="O109" s="152">
        <f t="shared" si="306"/>
        <v>0.71392583262327269</v>
      </c>
      <c r="P109" s="152">
        <f>P25/P18</f>
        <v>0.75740740740740742</v>
      </c>
      <c r="Q109" s="152">
        <f>Q25/Q18</f>
        <v>0.88439579743927565</v>
      </c>
      <c r="R109" s="118">
        <f t="shared" si="245"/>
        <v>5.8916415545990475E-2</v>
      </c>
      <c r="S109" s="20"/>
      <c r="T109" s="152">
        <f>T25/T18</f>
        <v>0.88439579743927577</v>
      </c>
      <c r="U109" s="152">
        <f t="shared" ref="U109:AC109" si="307">U25/U18</f>
        <v>0.88439579743927577</v>
      </c>
      <c r="V109" s="152">
        <f t="shared" si="307"/>
        <v>0.88439579743927588</v>
      </c>
      <c r="W109" s="152">
        <f t="shared" si="307"/>
        <v>0.88439579743927577</v>
      </c>
      <c r="X109" s="152">
        <f t="shared" si="307"/>
        <v>0.88439579743927577</v>
      </c>
      <c r="Y109" s="152">
        <f t="shared" si="307"/>
        <v>0.88439579743927577</v>
      </c>
      <c r="Z109" s="152">
        <f t="shared" si="307"/>
        <v>0.88439579743927577</v>
      </c>
      <c r="AA109" s="152">
        <f t="shared" si="307"/>
        <v>0.88439579743927577</v>
      </c>
      <c r="AB109" s="152">
        <f t="shared" si="307"/>
        <v>0.88439579743927588</v>
      </c>
      <c r="AC109" s="152">
        <f t="shared" si="307"/>
        <v>0.88439579743927577</v>
      </c>
      <c r="AD109" s="138">
        <f t="shared" si="247"/>
        <v>3.4078747370532403E-2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0</v>
      </c>
      <c r="H111" s="165">
        <f t="shared" ref="H111:P111" si="309">H70*H42</f>
        <v>0</v>
      </c>
      <c r="I111" s="165">
        <f t="shared" si="309"/>
        <v>0</v>
      </c>
      <c r="J111" s="165">
        <f t="shared" si="309"/>
        <v>0</v>
      </c>
      <c r="K111" s="165">
        <f t="shared" si="309"/>
        <v>0</v>
      </c>
      <c r="L111" s="165">
        <f t="shared" si="309"/>
        <v>0</v>
      </c>
      <c r="M111" s="165">
        <f t="shared" si="309"/>
        <v>0</v>
      </c>
      <c r="N111" s="165">
        <f t="shared" si="309"/>
        <v>0</v>
      </c>
      <c r="O111" s="165">
        <f t="shared" si="309"/>
        <v>99.263999999999996</v>
      </c>
      <c r="P111" s="165">
        <f t="shared" si="309"/>
        <v>132.572</v>
      </c>
      <c r="Q111" s="165">
        <f t="shared" ref="Q111" si="310">Q70*Q42</f>
        <v>132.78399999999999</v>
      </c>
      <c r="R111" s="118" t="e">
        <f t="shared" si="245"/>
        <v>#DIV/0!</v>
      </c>
      <c r="S111" s="20"/>
      <c r="T111" s="165">
        <f t="shared" ref="T111:AC111" si="311">T70*T42</f>
        <v>142.21166400000001</v>
      </c>
      <c r="U111" s="165">
        <f t="shared" si="311"/>
        <v>152.30869214400002</v>
      </c>
      <c r="V111" s="165">
        <f t="shared" si="311"/>
        <v>163.12260928622405</v>
      </c>
      <c r="W111" s="165">
        <f t="shared" si="311"/>
        <v>174.70431454554597</v>
      </c>
      <c r="X111" s="165">
        <f t="shared" si="311"/>
        <v>187.10832087827976</v>
      </c>
      <c r="Y111" s="165">
        <f t="shared" si="311"/>
        <v>200.39301166063765</v>
      </c>
      <c r="Z111" s="165">
        <f t="shared" si="311"/>
        <v>214.62091548854295</v>
      </c>
      <c r="AA111" s="165">
        <f t="shared" si="311"/>
        <v>229.85900048822953</v>
      </c>
      <c r="AB111" s="165">
        <f t="shared" si="311"/>
        <v>246.17898952289386</v>
      </c>
      <c r="AC111" s="165">
        <f t="shared" si="311"/>
        <v>263.65769777901932</v>
      </c>
      <c r="AD111" s="138" t="e">
        <f t="shared" si="247"/>
        <v>#DIV/0!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0</v>
      </c>
      <c r="H112" s="165">
        <f t="shared" si="312"/>
        <v>0</v>
      </c>
      <c r="I112" s="165">
        <f t="shared" si="312"/>
        <v>0</v>
      </c>
      <c r="J112" s="165">
        <f t="shared" si="312"/>
        <v>0</v>
      </c>
      <c r="K112" s="165">
        <f t="shared" si="312"/>
        <v>0</v>
      </c>
      <c r="L112" s="165">
        <f t="shared" si="312"/>
        <v>0</v>
      </c>
      <c r="M112" s="165">
        <f t="shared" si="312"/>
        <v>0</v>
      </c>
      <c r="N112" s="165">
        <f t="shared" si="312"/>
        <v>0</v>
      </c>
      <c r="O112" s="165">
        <f t="shared" si="312"/>
        <v>116.13888</v>
      </c>
      <c r="P112" s="165">
        <f t="shared" si="312"/>
        <v>155.10924</v>
      </c>
      <c r="Q112" s="165">
        <f t="shared" ref="Q112" si="313">(Q111*0.17)+Q111</f>
        <v>155.35728</v>
      </c>
      <c r="R112" s="118" t="e">
        <f t="shared" si="245"/>
        <v>#DIV/0!</v>
      </c>
      <c r="S112" s="20"/>
      <c r="T112" s="165">
        <f t="shared" ref="T112:AC112" si="314">(T111*0.17)+T111</f>
        <v>166.38764688000001</v>
      </c>
      <c r="U112" s="165">
        <f t="shared" si="314"/>
        <v>178.20116980848002</v>
      </c>
      <c r="V112" s="165">
        <f t="shared" si="314"/>
        <v>190.85345286488214</v>
      </c>
      <c r="W112" s="165">
        <f t="shared" si="314"/>
        <v>204.40404801828879</v>
      </c>
      <c r="X112" s="165">
        <f t="shared" si="314"/>
        <v>218.91673542758733</v>
      </c>
      <c r="Y112" s="165">
        <f t="shared" si="314"/>
        <v>234.45982364294605</v>
      </c>
      <c r="Z112" s="165">
        <f t="shared" si="314"/>
        <v>251.10647112159526</v>
      </c>
      <c r="AA112" s="165">
        <f t="shared" si="314"/>
        <v>268.93503057122854</v>
      </c>
      <c r="AB112" s="165">
        <f t="shared" si="314"/>
        <v>288.02941774178584</v>
      </c>
      <c r="AC112" s="165">
        <f t="shared" si="314"/>
        <v>308.47950640145262</v>
      </c>
      <c r="AD112" s="138" t="e">
        <f t="shared" si="247"/>
        <v>#DIV/0!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0</v>
      </c>
      <c r="H113" s="152">
        <f t="shared" si="315"/>
        <v>0</v>
      </c>
      <c r="I113" s="152">
        <f t="shared" si="315"/>
        <v>0</v>
      </c>
      <c r="J113" s="152">
        <f t="shared" si="315"/>
        <v>0</v>
      </c>
      <c r="K113" s="152">
        <f t="shared" si="315"/>
        <v>0</v>
      </c>
      <c r="L113" s="152">
        <f t="shared" si="315"/>
        <v>0</v>
      </c>
      <c r="M113" s="152">
        <f t="shared" si="315"/>
        <v>0</v>
      </c>
      <c r="N113" s="152">
        <f t="shared" si="315"/>
        <v>0</v>
      </c>
      <c r="O113" s="152">
        <f t="shared" si="315"/>
        <v>0.20163</v>
      </c>
      <c r="P113" s="152">
        <f t="shared" si="315"/>
        <v>0.189620097799511</v>
      </c>
      <c r="Q113" s="152">
        <f t="shared" ref="Q113" si="316">Q112/Q40</f>
        <v>9.1981811722912962E-2</v>
      </c>
      <c r="R113" s="118" t="e">
        <f t="shared" si="245"/>
        <v>#DIV/0!</v>
      </c>
      <c r="S113" s="20"/>
      <c r="T113" s="152">
        <f t="shared" ref="T113:AC113" si="317">T112/T40</f>
        <v>8.5663061178469391E-2</v>
      </c>
      <c r="U113" s="152">
        <f t="shared" si="317"/>
        <v>7.9778381323600628E-2</v>
      </c>
      <c r="V113" s="152">
        <f t="shared" si="317"/>
        <v>7.4297953389196772E-2</v>
      </c>
      <c r="W113" s="152">
        <f t="shared" si="317"/>
        <v>6.9194007025938919E-2</v>
      </c>
      <c r="X113" s="152">
        <f t="shared" si="317"/>
        <v>6.4440679586765734E-2</v>
      </c>
      <c r="Y113" s="152">
        <f t="shared" si="317"/>
        <v>6.0013885076022712E-2</v>
      </c>
      <c r="Z113" s="152">
        <f t="shared" si="317"/>
        <v>5.5891192101235075E-2</v>
      </c>
      <c r="AA113" s="152">
        <f t="shared" si="317"/>
        <v>5.2051710209063289E-2</v>
      </c>
      <c r="AB113" s="152">
        <f t="shared" si="317"/>
        <v>4.8475984029484172E-2</v>
      </c>
      <c r="AC113" s="152">
        <f t="shared" si="317"/>
        <v>4.5145894691806562E-2</v>
      </c>
      <c r="AD113" s="138" t="e">
        <f t="shared" si="247"/>
        <v>#DIV/0!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1</v>
      </c>
      <c r="H114" s="152">
        <f t="shared" ref="H114:P114" si="318">1-H113</f>
        <v>1</v>
      </c>
      <c r="I114" s="152">
        <f t="shared" si="318"/>
        <v>1</v>
      </c>
      <c r="J114" s="152">
        <f t="shared" si="318"/>
        <v>1</v>
      </c>
      <c r="K114" s="152">
        <f t="shared" si="318"/>
        <v>1</v>
      </c>
      <c r="L114" s="152">
        <f t="shared" si="318"/>
        <v>1</v>
      </c>
      <c r="M114" s="152">
        <f t="shared" si="318"/>
        <v>1</v>
      </c>
      <c r="N114" s="152">
        <f t="shared" si="318"/>
        <v>1</v>
      </c>
      <c r="O114" s="152">
        <f t="shared" si="318"/>
        <v>0.79837000000000002</v>
      </c>
      <c r="P114" s="152">
        <f t="shared" si="318"/>
        <v>0.81037990220048894</v>
      </c>
      <c r="Q114" s="152">
        <f t="shared" ref="Q114" si="319">1-Q113</f>
        <v>0.90801818827708702</v>
      </c>
      <c r="R114" s="118">
        <f t="shared" si="245"/>
        <v>-2.3090583647793261E-2</v>
      </c>
      <c r="S114" s="20"/>
      <c r="T114" s="152">
        <f t="shared" ref="T114:AC114" si="320">1-T113</f>
        <v>0.91433693882153055</v>
      </c>
      <c r="U114" s="152">
        <f t="shared" si="320"/>
        <v>0.9202216186763994</v>
      </c>
      <c r="V114" s="152">
        <f t="shared" si="320"/>
        <v>0.92570204661080324</v>
      </c>
      <c r="W114" s="152">
        <f t="shared" si="320"/>
        <v>0.93080599297406108</v>
      </c>
      <c r="X114" s="152">
        <f t="shared" si="320"/>
        <v>0.93555932041323431</v>
      </c>
      <c r="Y114" s="152">
        <f t="shared" si="320"/>
        <v>0.93998611492397732</v>
      </c>
      <c r="Z114" s="152">
        <f t="shared" si="320"/>
        <v>0.94410880789876495</v>
      </c>
      <c r="AA114" s="152">
        <f t="shared" si="320"/>
        <v>0.9479482897909367</v>
      </c>
      <c r="AB114" s="152">
        <f t="shared" si="320"/>
        <v>0.95152401597051584</v>
      </c>
      <c r="AC114" s="152">
        <f t="shared" si="320"/>
        <v>0.95485410530819348</v>
      </c>
      <c r="AD114" s="138">
        <f t="shared" si="247"/>
        <v>-2.3071703557926426E-3</v>
      </c>
      <c r="AE114" s="20"/>
      <c r="AF114" s="20"/>
    </row>
    <row r="115" spans="2:32" x14ac:dyDescent="0.2">
      <c r="B115" s="20" t="s">
        <v>452</v>
      </c>
      <c r="C115" s="20"/>
      <c r="D115" s="20"/>
      <c r="E115" s="20"/>
      <c r="F115" s="152" t="e">
        <f t="shared" ref="F115:P115" si="321">F112/F20</f>
        <v>#DIV/0!</v>
      </c>
      <c r="G115" s="152">
        <f t="shared" si="321"/>
        <v>0</v>
      </c>
      <c r="H115" s="152" t="e">
        <f t="shared" si="321"/>
        <v>#DIV/0!</v>
      </c>
      <c r="I115" s="152">
        <f t="shared" si="321"/>
        <v>0</v>
      </c>
      <c r="J115" s="152">
        <f t="shared" si="321"/>
        <v>0</v>
      </c>
      <c r="K115" s="152">
        <f t="shared" si="321"/>
        <v>0</v>
      </c>
      <c r="L115" s="152">
        <f t="shared" si="321"/>
        <v>0</v>
      </c>
      <c r="M115" s="152">
        <f t="shared" si="321"/>
        <v>0</v>
      </c>
      <c r="N115" s="152">
        <f t="shared" si="321"/>
        <v>0</v>
      </c>
      <c r="O115" s="152">
        <f t="shared" si="321"/>
        <v>3.8016000000000001E-2</v>
      </c>
      <c r="P115" s="152">
        <f t="shared" si="321"/>
        <v>2.7174008409250175E-2</v>
      </c>
      <c r="Q115" s="152">
        <f>Q112/Q20</f>
        <v>2.0629037312441909E-2</v>
      </c>
      <c r="R115" s="118" t="e">
        <f t="shared" si="245"/>
        <v>#DIV/0!</v>
      </c>
      <c r="S115" s="20"/>
      <c r="T115" s="152">
        <f>T112/T20</f>
        <v>1.9211912140543724E-2</v>
      </c>
      <c r="U115" s="152">
        <f t="shared" ref="U115:AC115" si="322">U112/U20</f>
        <v>1.7892137306541156E-2</v>
      </c>
      <c r="V115" s="152">
        <f t="shared" si="322"/>
        <v>1.666302526548312E-2</v>
      </c>
      <c r="W115" s="152">
        <f t="shared" si="322"/>
        <v>1.5518347877680369E-2</v>
      </c>
      <c r="X115" s="152">
        <f t="shared" si="322"/>
        <v>1.445230484956146E-2</v>
      </c>
      <c r="Y115" s="152">
        <f t="shared" si="322"/>
        <v>1.3459494342504629E-2</v>
      </c>
      <c r="Z115" s="152">
        <f t="shared" si="322"/>
        <v>1.2534885600715185E-2</v>
      </c>
      <c r="AA115" s="152">
        <f t="shared" si="322"/>
        <v>1.1673793459448665E-2</v>
      </c>
      <c r="AB115" s="152">
        <f t="shared" si="322"/>
        <v>1.0871854604408282E-2</v>
      </c>
      <c r="AC115" s="152">
        <f t="shared" si="322"/>
        <v>1.0125005462018498E-2</v>
      </c>
      <c r="AD115" s="138" t="s">
        <v>453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3">H31/H25</f>
        <v>0</v>
      </c>
      <c r="I117" s="152">
        <f t="shared" si="323"/>
        <v>0</v>
      </c>
      <c r="J117" s="152">
        <f t="shared" si="323"/>
        <v>0</v>
      </c>
      <c r="K117" s="152">
        <f t="shared" si="323"/>
        <v>0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6">H32/H25</f>
        <v>0</v>
      </c>
      <c r="I118" s="152">
        <f t="shared" si="326"/>
        <v>0</v>
      </c>
      <c r="J118" s="152">
        <f t="shared" si="326"/>
        <v>0</v>
      </c>
      <c r="K118" s="152">
        <f t="shared" si="326"/>
        <v>0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0.69915254237288138</v>
      </c>
      <c r="H120" s="152">
        <f t="shared" ref="H120:P120" si="329">H27/H25</f>
        <v>0.63058103975535174</v>
      </c>
      <c r="I120" s="152">
        <f t="shared" si="329"/>
        <v>0.60834454912516822</v>
      </c>
      <c r="J120" s="152">
        <f t="shared" si="329"/>
        <v>0.62613843351548271</v>
      </c>
      <c r="K120" s="152">
        <f t="shared" si="329"/>
        <v>0.6126882966396292</v>
      </c>
      <c r="L120" s="152">
        <f t="shared" si="329"/>
        <v>0.68689973107952362</v>
      </c>
      <c r="M120" s="152">
        <f t="shared" si="329"/>
        <v>0.70344940330227235</v>
      </c>
      <c r="N120" s="152">
        <f t="shared" si="329"/>
        <v>0.75864525320554332</v>
      </c>
      <c r="O120" s="152">
        <f t="shared" si="329"/>
        <v>0.74811893518758754</v>
      </c>
      <c r="P120" s="152">
        <f t="shared" si="329"/>
        <v>0.7665489450330526</v>
      </c>
      <c r="Q120" s="152">
        <f t="shared" ref="Q120" si="330">Q27/Q25</f>
        <v>0.72027197371939344</v>
      </c>
      <c r="R120" s="118">
        <f t="shared" si="245"/>
        <v>1.0277970713916007E-2</v>
      </c>
      <c r="S120" s="20"/>
      <c r="T120" s="152">
        <f t="shared" ref="T120:AC120" si="331">T27/T25</f>
        <v>0.72027197371939333</v>
      </c>
      <c r="U120" s="152">
        <f t="shared" si="331"/>
        <v>0.72027197371939333</v>
      </c>
      <c r="V120" s="152">
        <f t="shared" si="331"/>
        <v>0.72027197371939333</v>
      </c>
      <c r="W120" s="152">
        <f t="shared" si="331"/>
        <v>0.72027197371939333</v>
      </c>
      <c r="X120" s="152">
        <f t="shared" si="331"/>
        <v>0.72027197371939344</v>
      </c>
      <c r="Y120" s="152">
        <f t="shared" si="331"/>
        <v>0.72027197371939344</v>
      </c>
      <c r="Z120" s="152">
        <f t="shared" si="331"/>
        <v>0.72027197371939344</v>
      </c>
      <c r="AA120" s="152">
        <f t="shared" si="331"/>
        <v>0.72027197371939344</v>
      </c>
      <c r="AB120" s="152">
        <f t="shared" si="331"/>
        <v>0.72027197371939333</v>
      </c>
      <c r="AC120" s="152">
        <f t="shared" si="331"/>
        <v>0.72027197371939333</v>
      </c>
      <c r="AD120" s="138">
        <f t="shared" si="247"/>
        <v>1.4891043215883304E-3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8.4745762711864406E-6</v>
      </c>
      <c r="H121" s="152">
        <f t="shared" ref="H121:P121" si="332">H33/H25</f>
        <v>6.1162079510703365E-6</v>
      </c>
      <c r="I121" s="152">
        <f t="shared" si="332"/>
        <v>2.0188425302826378E-2</v>
      </c>
      <c r="J121" s="152">
        <f t="shared" si="332"/>
        <v>2.481785063752277E-2</v>
      </c>
      <c r="K121" s="152">
        <f t="shared" si="332"/>
        <v>3.2444959443800693E-2</v>
      </c>
      <c r="L121" s="152">
        <f t="shared" si="332"/>
        <v>5.3303880138301958E-2</v>
      </c>
      <c r="M121" s="152">
        <f t="shared" si="332"/>
        <v>7.6998528690534571E-2</v>
      </c>
      <c r="N121" s="152">
        <f t="shared" si="332"/>
        <v>9.0143763761170836E-2</v>
      </c>
      <c r="O121" s="152">
        <f t="shared" si="332"/>
        <v>8.0587411135903689E-2</v>
      </c>
      <c r="P121" s="152">
        <f t="shared" si="332"/>
        <v>8.3355972109028342E-2</v>
      </c>
      <c r="Q121" s="152">
        <f t="shared" ref="Q121" si="333">Q33/Q25</f>
        <v>8.5297375759196298E-2</v>
      </c>
      <c r="R121" s="118">
        <f t="shared" si="245"/>
        <v>1.7774517642827519</v>
      </c>
      <c r="S121" s="20"/>
      <c r="T121" s="152">
        <f t="shared" ref="T121:AC121" si="334">T33/T25</f>
        <v>8.5297375759196298E-2</v>
      </c>
      <c r="U121" s="152">
        <f t="shared" si="334"/>
        <v>8.5297375759196298E-2</v>
      </c>
      <c r="V121" s="152">
        <f t="shared" si="334"/>
        <v>8.5297375759196298E-2</v>
      </c>
      <c r="W121" s="152">
        <f t="shared" si="334"/>
        <v>8.5297375759196298E-2</v>
      </c>
      <c r="X121" s="152">
        <f t="shared" si="334"/>
        <v>8.5297375759196312E-2</v>
      </c>
      <c r="Y121" s="152">
        <f t="shared" si="334"/>
        <v>8.5297375759196312E-2</v>
      </c>
      <c r="Z121" s="152">
        <f t="shared" si="334"/>
        <v>8.5297375759196312E-2</v>
      </c>
      <c r="AA121" s="152">
        <f t="shared" si="334"/>
        <v>8.5297375759196312E-2</v>
      </c>
      <c r="AB121" s="152">
        <f t="shared" si="334"/>
        <v>8.5297375759196298E-2</v>
      </c>
      <c r="AC121" s="152">
        <f t="shared" si="334"/>
        <v>8.5297375759196312E-2</v>
      </c>
      <c r="AD121" s="138">
        <f t="shared" si="247"/>
        <v>0.58540741059168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6.0169491525423731E-2</v>
      </c>
      <c r="H122" s="152">
        <f t="shared" ref="H122:P122" si="335">H34/H25</f>
        <v>6.2996941896024464E-2</v>
      </c>
      <c r="I122" s="152">
        <f t="shared" si="335"/>
        <v>5.8546433378196504E-2</v>
      </c>
      <c r="J122" s="152">
        <f t="shared" si="335"/>
        <v>5.7149362477231333E-2</v>
      </c>
      <c r="K122" s="152">
        <f t="shared" si="335"/>
        <v>4.8812282734646585E-2</v>
      </c>
      <c r="L122" s="152">
        <f t="shared" si="335"/>
        <v>4.9174029965424512E-2</v>
      </c>
      <c r="M122" s="152">
        <f t="shared" si="335"/>
        <v>4.5855811672388426E-2</v>
      </c>
      <c r="N122" s="152">
        <f t="shared" si="335"/>
        <v>4.6561326253076026E-2</v>
      </c>
      <c r="O122" s="152">
        <f t="shared" si="335"/>
        <v>4.4003943749675679E-2</v>
      </c>
      <c r="P122" s="152">
        <f t="shared" si="335"/>
        <v>4.5413384044190888E-2</v>
      </c>
      <c r="Q122" s="152">
        <f t="shared" ref="Q122" si="336">Q34/Q25</f>
        <v>4.4348523625806942E-2</v>
      </c>
      <c r="R122" s="118">
        <f t="shared" si="245"/>
        <v>-3.0778458091901717E-2</v>
      </c>
      <c r="S122" s="20"/>
      <c r="T122" s="152">
        <f t="shared" ref="T122:AC122" si="337">T34/T25</f>
        <v>4.4348523625806942E-2</v>
      </c>
      <c r="U122" s="152">
        <f t="shared" si="337"/>
        <v>4.4348523625806942E-2</v>
      </c>
      <c r="V122" s="152">
        <f t="shared" si="337"/>
        <v>4.4348523625806942E-2</v>
      </c>
      <c r="W122" s="152">
        <f t="shared" si="337"/>
        <v>4.4348523625806942E-2</v>
      </c>
      <c r="X122" s="152">
        <f t="shared" si="337"/>
        <v>4.4348523625806949E-2</v>
      </c>
      <c r="Y122" s="152">
        <f t="shared" si="337"/>
        <v>4.4348523625806949E-2</v>
      </c>
      <c r="Z122" s="152">
        <f t="shared" si="337"/>
        <v>4.4348523625806949E-2</v>
      </c>
      <c r="AA122" s="152">
        <f t="shared" si="337"/>
        <v>4.4348523625806942E-2</v>
      </c>
      <c r="AB122" s="152">
        <f t="shared" si="337"/>
        <v>4.4348523625806942E-2</v>
      </c>
      <c r="AC122" s="152">
        <f t="shared" si="337"/>
        <v>4.4348523625806942E-2</v>
      </c>
      <c r="AD122" s="138">
        <f t="shared" si="247"/>
        <v>-1.5138543474304322E-2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0.3794642857142857</v>
      </c>
      <c r="H125" s="25">
        <f t="shared" ref="H125:AC125" si="338">H15/H9</f>
        <v>0.57531380753138073</v>
      </c>
      <c r="I125" s="25">
        <f t="shared" si="338"/>
        <v>0.16362126245847175</v>
      </c>
      <c r="J125" s="25">
        <f t="shared" si="338"/>
        <v>0.13440366972477064</v>
      </c>
      <c r="K125" s="25">
        <f t="shared" si="338"/>
        <v>0.13424264178033021</v>
      </c>
      <c r="L125" s="25">
        <f t="shared" si="338"/>
        <v>0.15027458811782327</v>
      </c>
      <c r="M125" s="25">
        <f t="shared" si="338"/>
        <v>0.14367562802996914</v>
      </c>
      <c r="N125" s="25">
        <f t="shared" si="338"/>
        <v>0.15529648819804259</v>
      </c>
      <c r="O125" s="25">
        <f t="shared" si="338"/>
        <v>0.13116164720344192</v>
      </c>
      <c r="P125" s="25">
        <f t="shared" si="338"/>
        <v>0.12540021344717184</v>
      </c>
      <c r="Q125" s="25">
        <f t="shared" ref="Q125" si="339">Q15/Q9</f>
        <v>0.10001892505677518</v>
      </c>
      <c r="R125" s="118">
        <f t="shared" si="245"/>
        <v>-0.11576091503805286</v>
      </c>
      <c r="S125" s="20"/>
      <c r="T125" s="20">
        <f t="shared" si="338"/>
        <v>0.10001892505677518</v>
      </c>
      <c r="U125" s="20">
        <f t="shared" si="338"/>
        <v>0.10001892505677518</v>
      </c>
      <c r="V125" s="20">
        <f t="shared" si="338"/>
        <v>0.10001892505677518</v>
      </c>
      <c r="W125" s="20">
        <f t="shared" si="338"/>
        <v>0.10001892505677518</v>
      </c>
      <c r="X125" s="20">
        <f t="shared" si="338"/>
        <v>0.10001892505677518</v>
      </c>
      <c r="Y125" s="20">
        <f t="shared" si="338"/>
        <v>0.10001892505677516</v>
      </c>
      <c r="Z125" s="20">
        <f t="shared" si="338"/>
        <v>0.10001892505677518</v>
      </c>
      <c r="AA125" s="20">
        <f t="shared" si="338"/>
        <v>0.10001892505677516</v>
      </c>
      <c r="AB125" s="20">
        <f t="shared" si="338"/>
        <v>0.10001892505677518</v>
      </c>
      <c r="AC125" s="20">
        <f t="shared" si="338"/>
        <v>0.10001892505677518</v>
      </c>
      <c r="AD125" s="138">
        <f t="shared" si="247"/>
        <v>-6.4496183133847085E-2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0.19419642857142858</v>
      </c>
      <c r="H126" s="25">
        <f t="shared" ref="H126:P126" si="340">H12/H9</f>
        <v>0.31799163179916318</v>
      </c>
      <c r="I126" s="25">
        <f t="shared" si="340"/>
        <v>0.12375415282392027</v>
      </c>
      <c r="J126" s="25">
        <f t="shared" si="340"/>
        <v>0.83486238532110091</v>
      </c>
      <c r="K126" s="25">
        <f t="shared" si="340"/>
        <v>0.17875089734386218</v>
      </c>
      <c r="L126" s="25">
        <f t="shared" si="340"/>
        <v>0.77009485771342989</v>
      </c>
      <c r="M126" s="25">
        <f t="shared" si="340"/>
        <v>6.3684442485676507E-2</v>
      </c>
      <c r="N126" s="25">
        <f t="shared" si="340"/>
        <v>6.5774323546344271E-2</v>
      </c>
      <c r="O126" s="25">
        <f t="shared" si="340"/>
        <v>1.8684695759065766E-2</v>
      </c>
      <c r="P126" s="25">
        <f t="shared" si="340"/>
        <v>0.10138740661686232</v>
      </c>
      <c r="Q126" s="25">
        <f t="shared" ref="Q126" si="341">Q12/Q9</f>
        <v>7.5700227100681305E-2</v>
      </c>
      <c r="R126" s="118">
        <f t="shared" si="245"/>
        <v>-6.9667728264482309E-2</v>
      </c>
      <c r="S126" s="128"/>
      <c r="T126" s="20">
        <f t="shared" ref="T126:AC126" si="342">T12/T9</f>
        <v>7.5700227100681305E-2</v>
      </c>
      <c r="U126" s="20">
        <f t="shared" si="342"/>
        <v>7.5700227100681292E-2</v>
      </c>
      <c r="V126" s="20">
        <f t="shared" si="342"/>
        <v>7.5700227100681292E-2</v>
      </c>
      <c r="W126" s="20">
        <f t="shared" si="342"/>
        <v>7.5700227100681292E-2</v>
      </c>
      <c r="X126" s="20">
        <f t="shared" si="342"/>
        <v>7.5700227100681292E-2</v>
      </c>
      <c r="Y126" s="20">
        <f t="shared" si="342"/>
        <v>7.5700227100681292E-2</v>
      </c>
      <c r="Z126" s="20">
        <f t="shared" si="342"/>
        <v>7.5700227100681292E-2</v>
      </c>
      <c r="AA126" s="20">
        <f t="shared" si="342"/>
        <v>7.5700227100681292E-2</v>
      </c>
      <c r="AB126" s="20">
        <f t="shared" si="342"/>
        <v>7.5700227100681305E-2</v>
      </c>
      <c r="AC126" s="20">
        <f t="shared" si="342"/>
        <v>7.5700227100681305E-2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3.2777777777777777</v>
      </c>
      <c r="H127" s="25">
        <f t="shared" ref="H127:P127" si="344">H25/360</f>
        <v>4.541666666666667</v>
      </c>
      <c r="I127" s="25">
        <f t="shared" si="344"/>
        <v>8.2555555555555564</v>
      </c>
      <c r="J127" s="25">
        <f t="shared" si="344"/>
        <v>12.2</v>
      </c>
      <c r="K127" s="25">
        <f t="shared" si="344"/>
        <v>19.177777777777777</v>
      </c>
      <c r="L127" s="25">
        <f t="shared" si="344"/>
        <v>28.922222222222221</v>
      </c>
      <c r="M127" s="25">
        <f t="shared" si="344"/>
        <v>33.983333333333334</v>
      </c>
      <c r="N127" s="25">
        <f t="shared" si="344"/>
        <v>42.894444444444446</v>
      </c>
      <c r="O127" s="25">
        <f t="shared" si="344"/>
        <v>53.530555555555559</v>
      </c>
      <c r="P127" s="25">
        <f t="shared" si="344"/>
        <v>61.35</v>
      </c>
      <c r="Q127" s="25">
        <f t="shared" ref="Q127" si="345">Q25/360</f>
        <v>72.719444444444449</v>
      </c>
      <c r="R127" s="118">
        <f t="shared" si="245"/>
        <v>0.38471198509817839</v>
      </c>
      <c r="S127" s="128"/>
      <c r="T127" s="25">
        <f t="shared" ref="T127:AC127" si="346">T25/360</f>
        <v>83.627361111111114</v>
      </c>
      <c r="U127" s="25">
        <f t="shared" si="346"/>
        <v>96.171465277777756</v>
      </c>
      <c r="V127" s="25">
        <f t="shared" si="346"/>
        <v>110.59718506944442</v>
      </c>
      <c r="W127" s="25">
        <f t="shared" si="346"/>
        <v>127.18676282986107</v>
      </c>
      <c r="X127" s="25">
        <f t="shared" si="346"/>
        <v>146.2647772543402</v>
      </c>
      <c r="Y127" s="25">
        <f t="shared" si="346"/>
        <v>168.20449384249125</v>
      </c>
      <c r="Z127" s="25">
        <f t="shared" si="346"/>
        <v>193.43516791886492</v>
      </c>
      <c r="AA127" s="25">
        <f t="shared" si="346"/>
        <v>222.45044310669465</v>
      </c>
      <c r="AB127" s="25">
        <f t="shared" si="346"/>
        <v>255.81800957269883</v>
      </c>
      <c r="AC127" s="25">
        <f t="shared" si="346"/>
        <v>294.19071100860361</v>
      </c>
      <c r="AD127" s="118">
        <f t="shared" ref="AD127:AD138" si="347">((AC127/T127)^(1/($H$2-$H$1) ))-1</f>
        <v>0.14999999999999991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2.2916666666666665</v>
      </c>
      <c r="H128" s="25">
        <f t="shared" ref="H128:P128" si="348">H27/360</f>
        <v>2.8638888888888889</v>
      </c>
      <c r="I128" s="25">
        <f t="shared" si="348"/>
        <v>5.0222222222222221</v>
      </c>
      <c r="J128" s="25">
        <f t="shared" si="348"/>
        <v>7.6388888888888893</v>
      </c>
      <c r="K128" s="25">
        <f t="shared" si="348"/>
        <v>11.75</v>
      </c>
      <c r="L128" s="25">
        <f t="shared" si="348"/>
        <v>19.866666666666667</v>
      </c>
      <c r="M128" s="25">
        <f t="shared" si="348"/>
        <v>23.905555555555555</v>
      </c>
      <c r="N128" s="25">
        <f t="shared" si="348"/>
        <v>32.541666666666664</v>
      </c>
      <c r="O128" s="25">
        <f t="shared" si="348"/>
        <v>40.047222222222224</v>
      </c>
      <c r="P128" s="25">
        <f t="shared" si="348"/>
        <v>47.027777777777779</v>
      </c>
      <c r="Q128" s="25">
        <f t="shared" ref="Q128" si="349">Q27/360</f>
        <v>52.37777777777778</v>
      </c>
      <c r="R128" s="118">
        <f t="shared" si="245"/>
        <v>0.39894401432822613</v>
      </c>
      <c r="S128" s="128"/>
      <c r="T128" s="25">
        <f t="shared" ref="T128:AC128" si="350">T27/360</f>
        <v>60.234444444444435</v>
      </c>
      <c r="U128" s="25">
        <f t="shared" si="350"/>
        <v>69.269611111111089</v>
      </c>
      <c r="V128" s="25">
        <f t="shared" si="350"/>
        <v>79.66005277777775</v>
      </c>
      <c r="W128" s="25">
        <f t="shared" si="350"/>
        <v>91.609060694444409</v>
      </c>
      <c r="X128" s="25">
        <f t="shared" si="350"/>
        <v>105.35041979861107</v>
      </c>
      <c r="Y128" s="25">
        <f t="shared" si="350"/>
        <v>121.15298276840272</v>
      </c>
      <c r="Z128" s="25">
        <f t="shared" si="350"/>
        <v>139.32593018366313</v>
      </c>
      <c r="AA128" s="25">
        <f t="shared" si="350"/>
        <v>160.2248197112126</v>
      </c>
      <c r="AB128" s="25">
        <f t="shared" si="350"/>
        <v>184.25854266789446</v>
      </c>
      <c r="AC128" s="25">
        <f t="shared" si="350"/>
        <v>211.8973240680786</v>
      </c>
      <c r="AD128" s="118">
        <f t="shared" si="347"/>
        <v>0.14999999999999991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2.2142857142857144</v>
      </c>
      <c r="H130" s="25">
        <f t="shared" ref="H130:P130" si="351">H10/H7</f>
        <v>2.5793499043977057</v>
      </c>
      <c r="I130" s="25">
        <f t="shared" si="351"/>
        <v>2.8993821712268315</v>
      </c>
      <c r="J130" s="25">
        <f t="shared" si="351"/>
        <v>1.950435979807251</v>
      </c>
      <c r="K130" s="25">
        <f t="shared" si="351"/>
        <v>1.8383182844243793</v>
      </c>
      <c r="L130" s="25">
        <f t="shared" si="351"/>
        <v>0.67184319638145495</v>
      </c>
      <c r="M130" s="25">
        <f t="shared" si="351"/>
        <v>0.69108336264509318</v>
      </c>
      <c r="N130" s="25">
        <f t="shared" si="351"/>
        <v>0.87690056102122127</v>
      </c>
      <c r="O130" s="25">
        <f t="shared" si="351"/>
        <v>0.86199233716475099</v>
      </c>
      <c r="P130" s="25">
        <f t="shared" si="351"/>
        <v>0.85725270884306182</v>
      </c>
      <c r="Q130" s="25">
        <f t="shared" ref="Q130" si="352">Q10/Q7</f>
        <v>1.1360885876800193</v>
      </c>
      <c r="R130" s="118">
        <f t="shared" si="245"/>
        <v>-0.10007077338431103</v>
      </c>
      <c r="S130" s="128"/>
      <c r="T130" s="25">
        <f t="shared" ref="T130:AC130" si="353">T10/T7</f>
        <v>1.1360885876800195</v>
      </c>
      <c r="U130" s="25">
        <f t="shared" si="353"/>
        <v>1.1360885876800195</v>
      </c>
      <c r="V130" s="25">
        <f t="shared" si="353"/>
        <v>1.1360885876800195</v>
      </c>
      <c r="W130" s="25">
        <f t="shared" si="353"/>
        <v>1.1360885876800195</v>
      </c>
      <c r="X130" s="25">
        <f t="shared" si="353"/>
        <v>1.1360885876800195</v>
      </c>
      <c r="Y130" s="25">
        <f t="shared" si="353"/>
        <v>1.1360885876800193</v>
      </c>
      <c r="Z130" s="25">
        <f t="shared" si="353"/>
        <v>1.1360885876800193</v>
      </c>
      <c r="AA130" s="25">
        <f t="shared" si="353"/>
        <v>1.1360885876800193</v>
      </c>
      <c r="AB130" s="25">
        <f t="shared" si="353"/>
        <v>1.1360885876800195</v>
      </c>
      <c r="AC130" s="25">
        <f t="shared" si="353"/>
        <v>1.1360885876800195</v>
      </c>
      <c r="AD130" s="118">
        <f t="shared" si="347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0.68888888888888888</v>
      </c>
      <c r="H131" s="25">
        <f t="shared" ref="H131:P131" si="354">H10/(H10+H7)</f>
        <v>0.72061965811965811</v>
      </c>
      <c r="I131" s="25">
        <f t="shared" si="354"/>
        <v>0.7435491172476234</v>
      </c>
      <c r="J131" s="25">
        <f t="shared" si="354"/>
        <v>0.66106703997511274</v>
      </c>
      <c r="K131" s="25">
        <f t="shared" si="354"/>
        <v>0.64767869569539716</v>
      </c>
      <c r="L131" s="25">
        <f t="shared" si="354"/>
        <v>0.40185778058348742</v>
      </c>
      <c r="M131" s="25">
        <f t="shared" si="354"/>
        <v>0.40866309604284751</v>
      </c>
      <c r="N131" s="25">
        <f t="shared" si="354"/>
        <v>0.46720672327153007</v>
      </c>
      <c r="O131" s="25">
        <f t="shared" si="354"/>
        <v>0.46294086176385857</v>
      </c>
      <c r="P131" s="25">
        <f t="shared" si="354"/>
        <v>0.4615703101475459</v>
      </c>
      <c r="Q131" s="25">
        <f t="shared" ref="Q131" si="355">Q10/(Q10+Q7)</f>
        <v>0.53185462168210529</v>
      </c>
      <c r="R131" s="118">
        <f t="shared" si="245"/>
        <v>-4.3518618526276587E-2</v>
      </c>
      <c r="S131" s="128"/>
      <c r="T131" s="25">
        <f t="shared" ref="T131:AC131" si="356">T10/(T10+T7)</f>
        <v>0.5318546216821054</v>
      </c>
      <c r="U131" s="25">
        <f t="shared" si="356"/>
        <v>0.53185462168210529</v>
      </c>
      <c r="V131" s="25">
        <f t="shared" si="356"/>
        <v>0.5318546216821054</v>
      </c>
      <c r="W131" s="25">
        <f t="shared" si="356"/>
        <v>0.5318546216821054</v>
      </c>
      <c r="X131" s="25">
        <f t="shared" si="356"/>
        <v>0.5318546216821054</v>
      </c>
      <c r="Y131" s="25">
        <f t="shared" si="356"/>
        <v>0.53185462168210529</v>
      </c>
      <c r="Z131" s="25">
        <f t="shared" si="356"/>
        <v>0.5318546216821054</v>
      </c>
      <c r="AA131" s="25">
        <f t="shared" si="356"/>
        <v>0.53185462168210529</v>
      </c>
      <c r="AB131" s="25">
        <f t="shared" si="356"/>
        <v>0.53185462168210529</v>
      </c>
      <c r="AC131" s="25">
        <f t="shared" si="356"/>
        <v>0.5318546216821054</v>
      </c>
      <c r="AD131" s="118">
        <f t="shared" si="347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511</v>
      </c>
      <c r="H133" s="25">
        <f t="shared" ref="H133:P133" si="357">H16</f>
        <v>695</v>
      </c>
      <c r="I133" s="25">
        <f t="shared" si="357"/>
        <v>-637</v>
      </c>
      <c r="J133" s="25">
        <f t="shared" si="357"/>
        <v>313</v>
      </c>
      <c r="K133" s="25">
        <f t="shared" si="357"/>
        <v>-1218</v>
      </c>
      <c r="L133" s="25">
        <f t="shared" si="357"/>
        <v>1219</v>
      </c>
      <c r="M133" s="25">
        <f t="shared" si="357"/>
        <v>-619</v>
      </c>
      <c r="N133" s="25">
        <f t="shared" si="357"/>
        <v>-4026</v>
      </c>
      <c r="O133" s="25">
        <f t="shared" si="357"/>
        <v>-3471</v>
      </c>
      <c r="P133" s="25">
        <f t="shared" si="357"/>
        <v>-4500</v>
      </c>
      <c r="Q133" s="25">
        <f t="shared" ref="Q133" si="358">Q16</f>
        <v>-5934</v>
      </c>
      <c r="R133" s="118">
        <f t="shared" si="245"/>
        <v>-2.2734351870958287</v>
      </c>
      <c r="S133" s="128"/>
      <c r="T133" s="25">
        <f t="shared" ref="T133:AC133" si="359">T16</f>
        <v>-6824.0999999999995</v>
      </c>
      <c r="U133" s="25">
        <f t="shared" si="359"/>
        <v>-7847.7149999999983</v>
      </c>
      <c r="V133" s="25">
        <f t="shared" si="359"/>
        <v>-9024.8722499999967</v>
      </c>
      <c r="W133" s="25">
        <f t="shared" si="359"/>
        <v>-10378.603087499996</v>
      </c>
      <c r="X133" s="25">
        <f t="shared" si="359"/>
        <v>-11935.393550624995</v>
      </c>
      <c r="Y133" s="25">
        <f t="shared" si="359"/>
        <v>-13725.702583218743</v>
      </c>
      <c r="Z133" s="25">
        <f t="shared" si="359"/>
        <v>-15784.557970701553</v>
      </c>
      <c r="AA133" s="25">
        <f t="shared" si="359"/>
        <v>-18152.241666306785</v>
      </c>
      <c r="AB133" s="25">
        <f t="shared" si="359"/>
        <v>-20875.077916252802</v>
      </c>
      <c r="AC133" s="25">
        <f t="shared" si="359"/>
        <v>-24006.339603690722</v>
      </c>
      <c r="AD133" s="118">
        <f t="shared" si="347"/>
        <v>0.14999999999999991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0">G133*365/G25</f>
        <v>158.06355932203391</v>
      </c>
      <c r="H134" s="119">
        <f t="shared" si="360"/>
        <v>155.15290519877675</v>
      </c>
      <c r="I134" s="119">
        <f t="shared" si="360"/>
        <v>-78.231830417227457</v>
      </c>
      <c r="J134" s="119">
        <f t="shared" si="360"/>
        <v>26.012067395264115</v>
      </c>
      <c r="K134" s="119">
        <f t="shared" si="360"/>
        <v>-64.393105446118199</v>
      </c>
      <c r="L134" s="119">
        <f t="shared" si="360"/>
        <v>42.732904341144831</v>
      </c>
      <c r="M134" s="119">
        <f t="shared" si="360"/>
        <v>-18.467794670590159</v>
      </c>
      <c r="N134" s="119">
        <f t="shared" si="360"/>
        <v>-95.161896127444635</v>
      </c>
      <c r="O134" s="119">
        <f t="shared" si="360"/>
        <v>-65.742047636344765</v>
      </c>
      <c r="P134" s="119">
        <f t="shared" si="360"/>
        <v>-74.368378158109209</v>
      </c>
      <c r="Q134" s="119">
        <f t="shared" ref="Q134" si="361">Q133*365/Q25</f>
        <v>-82.734634630810959</v>
      </c>
      <c r="R134" s="118">
        <f t="shared" si="245"/>
        <v>-1.9196390302099828</v>
      </c>
      <c r="S134" s="128"/>
      <c r="T134" s="119">
        <f t="shared" ref="T134:AC134" si="362">T133*365/T25</f>
        <v>-82.734634630810959</v>
      </c>
      <c r="U134" s="119">
        <f t="shared" si="362"/>
        <v>-82.734634630810945</v>
      </c>
      <c r="V134" s="119">
        <f t="shared" si="362"/>
        <v>-82.734634630810945</v>
      </c>
      <c r="W134" s="119">
        <f t="shared" si="362"/>
        <v>-82.734634630810945</v>
      </c>
      <c r="X134" s="119">
        <f t="shared" si="362"/>
        <v>-82.734634630810959</v>
      </c>
      <c r="Y134" s="119">
        <f t="shared" si="362"/>
        <v>-82.734634630810959</v>
      </c>
      <c r="Z134" s="119">
        <f t="shared" si="362"/>
        <v>-82.734634630810945</v>
      </c>
      <c r="AA134" s="119">
        <f t="shared" si="362"/>
        <v>-82.734634630810945</v>
      </c>
      <c r="AB134" s="119">
        <f t="shared" si="362"/>
        <v>-82.734634630810945</v>
      </c>
      <c r="AC134" s="119">
        <f t="shared" si="362"/>
        <v>-82.734634630810959</v>
      </c>
      <c r="AD134" s="118">
        <f t="shared" si="347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4.9001769107987645E-3</v>
      </c>
      <c r="H135" s="133">
        <f t="shared" ref="H135:P135" si="363">H80/H29</f>
        <v>8.4937530162475204E-3</v>
      </c>
      <c r="I135" s="133">
        <f t="shared" si="363"/>
        <v>1.2417903264963252E-2</v>
      </c>
      <c r="J135" s="133">
        <f t="shared" si="363"/>
        <v>1.302286731586279E-2</v>
      </c>
      <c r="K135" s="133">
        <f t="shared" si="363"/>
        <v>1.3570179582162778E-2</v>
      </c>
      <c r="L135" s="133">
        <f t="shared" si="363"/>
        <v>1.0310133803547349E-2</v>
      </c>
      <c r="M135" s="133">
        <f t="shared" si="363"/>
        <v>1.0011098617468515E-2</v>
      </c>
      <c r="N135" s="133">
        <f t="shared" si="363"/>
        <v>1.2248308602382992E-2</v>
      </c>
      <c r="O135" s="133">
        <f t="shared" si="363"/>
        <v>9.8649447026892111E-3</v>
      </c>
      <c r="P135" s="133">
        <f t="shared" si="363"/>
        <v>1.897550882698882E-2</v>
      </c>
      <c r="Q135" s="133">
        <f t="shared" ref="Q135" si="364">Q80/Q29</f>
        <v>3.5019279431256781E-2</v>
      </c>
      <c r="R135" s="118">
        <f t="shared" si="245"/>
        <v>0.16233495009306553</v>
      </c>
      <c r="S135" s="128"/>
      <c r="T135" s="133">
        <f t="shared" ref="T135:AC135" si="365">T80/T29</f>
        <v>3.4332626893389E-2</v>
      </c>
      <c r="U135" s="133">
        <f t="shared" si="365"/>
        <v>3.3659438130773524E-2</v>
      </c>
      <c r="V135" s="133">
        <f t="shared" si="365"/>
        <v>3.2999449147817175E-2</v>
      </c>
      <c r="W135" s="133">
        <f t="shared" si="365"/>
        <v>3.2352401125310952E-2</v>
      </c>
      <c r="X135" s="133">
        <f t="shared" si="365"/>
        <v>3.1718040318932307E-2</v>
      </c>
      <c r="Y135" s="133">
        <f t="shared" si="365"/>
        <v>3.1096117959737556E-2</v>
      </c>
      <c r="Z135" s="133">
        <f t="shared" si="365"/>
        <v>3.0486390156605439E-2</v>
      </c>
      <c r="AA135" s="133">
        <f t="shared" si="365"/>
        <v>2.988861780059357E-2</v>
      </c>
      <c r="AB135" s="133">
        <f t="shared" si="365"/>
        <v>2.9302566471170171E-2</v>
      </c>
      <c r="AC135" s="133">
        <f t="shared" si="365"/>
        <v>2.872800634428448E-2</v>
      </c>
      <c r="AD135" s="118">
        <f t="shared" si="347"/>
        <v>-1.9607843137254943E-2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131.11111111111111</v>
      </c>
      <c r="H137" s="180">
        <f t="shared" ref="H137:P137" si="366">H25/H14</f>
        <v>125.76923076923077</v>
      </c>
      <c r="I137" s="180">
        <f t="shared" si="366"/>
        <v>270.18181818181819</v>
      </c>
      <c r="J137" s="180">
        <f t="shared" si="366"/>
        <v>244</v>
      </c>
      <c r="K137" s="180">
        <f t="shared" si="366"/>
        <v>255.7037037037037</v>
      </c>
      <c r="L137" s="180">
        <f t="shared" si="366"/>
        <v>200.23076923076923</v>
      </c>
      <c r="M137" s="180">
        <f t="shared" si="366"/>
        <v>226.55555555555554</v>
      </c>
      <c r="N137" s="180">
        <f t="shared" si="366"/>
        <v>233.96969696969697</v>
      </c>
      <c r="O137" s="180">
        <f t="shared" si="366"/>
        <v>207.21505376344086</v>
      </c>
      <c r="P137" s="180">
        <f t="shared" si="366"/>
        <v>306.75</v>
      </c>
      <c r="Q137" s="180">
        <f t="shared" ref="Q137" si="367">Q25/Q14</f>
        <v>384.98529411764707</v>
      </c>
      <c r="R137" s="118">
        <f t="shared" si="245"/>
        <v>9.9046630908911082E-2</v>
      </c>
      <c r="S137" s="128"/>
      <c r="T137" s="20">
        <f t="shared" ref="T137" si="368">T25/T14</f>
        <v>384.98529411764707</v>
      </c>
      <c r="U137" s="20">
        <f t="shared" ref="U137:AC137" si="369">U25/U14</f>
        <v>384.98529411764707</v>
      </c>
      <c r="V137" s="20">
        <f t="shared" si="369"/>
        <v>384.98529411764707</v>
      </c>
      <c r="W137" s="20">
        <f t="shared" si="369"/>
        <v>384.98529411764707</v>
      </c>
      <c r="X137" s="20">
        <f t="shared" si="369"/>
        <v>384.98529411764702</v>
      </c>
      <c r="Y137" s="20">
        <f t="shared" si="369"/>
        <v>384.98529411764707</v>
      </c>
      <c r="Z137" s="20">
        <f t="shared" si="369"/>
        <v>384.98529411764707</v>
      </c>
      <c r="AA137" s="20">
        <f t="shared" si="369"/>
        <v>384.98529411764707</v>
      </c>
      <c r="AB137" s="20">
        <f t="shared" si="369"/>
        <v>384.98529411764707</v>
      </c>
      <c r="AC137" s="20">
        <f t="shared" si="369"/>
        <v>384.98529411764707</v>
      </c>
      <c r="AD137" s="118">
        <f t="shared" si="347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91.666666666666671</v>
      </c>
      <c r="H138" s="180">
        <f t="shared" ref="H138:P138" si="370">H27/H14</f>
        <v>79.307692307692307</v>
      </c>
      <c r="I138" s="180">
        <f t="shared" si="370"/>
        <v>164.36363636363637</v>
      </c>
      <c r="J138" s="180">
        <f t="shared" si="370"/>
        <v>152.77777777777777</v>
      </c>
      <c r="K138" s="180">
        <f t="shared" si="370"/>
        <v>156.66666666666666</v>
      </c>
      <c r="L138" s="180">
        <f t="shared" si="370"/>
        <v>137.53846153846155</v>
      </c>
      <c r="M138" s="180">
        <f t="shared" si="370"/>
        <v>159.37037037037038</v>
      </c>
      <c r="N138" s="180">
        <f t="shared" si="370"/>
        <v>177.5</v>
      </c>
      <c r="O138" s="180">
        <f t="shared" si="370"/>
        <v>155.02150537634409</v>
      </c>
      <c r="P138" s="180">
        <f t="shared" si="370"/>
        <v>235.13888888888889</v>
      </c>
      <c r="Q138" s="180">
        <f t="shared" ref="Q138" si="371">Q27/Q14</f>
        <v>277.29411764705884</v>
      </c>
      <c r="R138" s="118">
        <f t="shared" si="245"/>
        <v>0.11034259999462104</v>
      </c>
      <c r="S138" s="128"/>
      <c r="T138" s="20">
        <f t="shared" ref="T138:AC138" si="372">T27/T14</f>
        <v>277.29411764705884</v>
      </c>
      <c r="U138" s="20">
        <f t="shared" si="372"/>
        <v>277.29411764705884</v>
      </c>
      <c r="V138" s="20">
        <f t="shared" si="372"/>
        <v>277.29411764705884</v>
      </c>
      <c r="W138" s="20">
        <f t="shared" si="372"/>
        <v>277.29411764705884</v>
      </c>
      <c r="X138" s="20">
        <f t="shared" si="372"/>
        <v>277.29411764705884</v>
      </c>
      <c r="Y138" s="20">
        <f t="shared" si="372"/>
        <v>277.29411764705884</v>
      </c>
      <c r="Z138" s="20">
        <f t="shared" si="372"/>
        <v>277.29411764705884</v>
      </c>
      <c r="AA138" s="20">
        <f t="shared" si="372"/>
        <v>277.29411764705884</v>
      </c>
      <c r="AB138" s="20">
        <f t="shared" si="372"/>
        <v>277.29411764705884</v>
      </c>
      <c r="AC138" s="20">
        <f t="shared" si="372"/>
        <v>277.29411764705884</v>
      </c>
      <c r="AD138" s="118">
        <f t="shared" si="34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2.1868971614712458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20.239184656496089</v>
      </c>
      <c r="T142" s="133">
        <f>PV($C$1, ($AC$3-$T$3), 0, -AC54)</f>
        <v>2.8202142554133891</v>
      </c>
      <c r="U142" s="133">
        <f>PV($C$1, ($AC$3-$T$3), 0, -AF54)</f>
        <v>17.418970401082699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198.03005662122817</v>
      </c>
      <c r="T143" s="133">
        <f>PV($C$1, ($AC$3-$T$3), 0, -AC56)</f>
        <v>27.594352152138345</v>
      </c>
      <c r="U143" s="133">
        <f>PV($C$1, ($AC$3-$T$3), 0, -AF56)</f>
        <v>170.43570446908981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158.23471485436994</v>
      </c>
      <c r="T144" s="133">
        <f>PV($C$1, ($AC$3-$T$3), 0, -AC57)</f>
        <v>22.049099610854825</v>
      </c>
      <c r="U144" s="133">
        <f>PV($C$1, ($AC$3-$T$3), 0, -AF57)</f>
        <v>136.18561524351512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224.97968734500535</v>
      </c>
      <c r="T145" s="133">
        <f>PV($C$1, ($AC$3-$T$3), 0, -AC58)</f>
        <v>31.349628564467956</v>
      </c>
      <c r="U145" s="133">
        <f>PV($C$1, ($AC$3-$T$3), 0, -AF58)</f>
        <v>193.63005878053738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9.586351524687311</v>
      </c>
      <c r="T146" s="133">
        <f>PV($C$1, ($AC$3-$T$3), 0, -AC64)</f>
        <v>1.3358030813088875</v>
      </c>
      <c r="U146" s="133">
        <f>PV($C$1, ($AC$3-$T$3), 0, -AF64)</f>
        <v>8.250548443378424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-26.949630723777219</v>
      </c>
      <c r="T148" s="133">
        <f>PV($C$1, ($AC$3-$T$3), 0, -AC60)</f>
        <v>-3.7552764123296121</v>
      </c>
      <c r="U148" s="133">
        <f>PV($C$1, ($AC$3-$T$3), 0, -$AF$60)</f>
        <v>-23.194354311447608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-153.5853343648966</v>
      </c>
      <c r="T149" s="133">
        <f>PV($C$1, ($AC$3-$T$3), 0, -AC61)</f>
        <v>-21.401235116420015</v>
      </c>
      <c r="U149" s="133">
        <f>PV($C$1, ($AC$3-$T$3), 0, -$AF$61)</f>
        <v>-132.18409924847657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-140.91936741290351</v>
      </c>
      <c r="T150" s="133">
        <f>PV($C$1, ($AC$3-$T$3), 0, -AC62)</f>
        <v>-19.63630529524065</v>
      </c>
      <c r="U150" s="133">
        <f>PV($C$1, ($AC$3-$T$3), 0, -$AF$62)</f>
        <v>-121.28306211766287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12.665966951993109</v>
      </c>
      <c r="T152" s="133">
        <f>PV($C$1, ($AC$3-$T$3), 0, -AC67)</f>
        <v>1.7649298211793676</v>
      </c>
      <c r="U152" s="133">
        <f>PV($C$1, ($AC$3-$T$3), 0, -AF67)</f>
        <v>10.901037130813743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-54.946134608375374</v>
      </c>
      <c r="T153" s="133">
        <f>PV($C$1, ($AC$3-$T$3), 0, -AC68)</f>
        <v>-9.9083193556086755</v>
      </c>
      <c r="U153" s="133">
        <f>PV($C$1, ($AC$3-$T$3), 0, -AF68)</f>
        <v>-45.037815252766698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3879.1879651844188</v>
      </c>
      <c r="T155" s="133">
        <f>PV($C$1, ($AC$3-$T$3), 0, -AC12)</f>
        <v>540.5425853125829</v>
      </c>
      <c r="U155" s="133">
        <f>PV($C$1, ($AC$3-$T$3), 0, -AF12)</f>
        <v>3338.6453798718358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11.70439599669438</v>
      </c>
      <c r="T156" s="140">
        <f>T155/P42</f>
        <v>1.6309404257688891</v>
      </c>
      <c r="U156" s="140">
        <f>U155/P42</f>
        <v>10.073455570925491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3.7906739746012388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3.1185414930910036</v>
      </c>
      <c r="U159" s="133">
        <f>PV($C$1, ($AC$3-$T$3), 0, -AF70)</f>
        <v>0.6721324815102353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28973.429739601044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23836.089161323252</v>
      </c>
      <c r="U161" s="133">
        <f>PV($C$1, ($AC$3-$T$3), 0, -AF72)</f>
        <v>5137.3405782777909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71.599903086016283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58.90437166876773</v>
      </c>
      <c r="U163" s="133">
        <f>PV($C$1, ($AC$3-$T$3), 0, -AF74)</f>
        <v>12.695531417248556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438.03320076424728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360.36460035539363</v>
      </c>
      <c r="U164" s="133">
        <f>PV($C$1, ($AC$3-$T$3), 0, -AF75)</f>
        <v>77.668600408853635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-366.43329767823104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-301.46022868662595</v>
      </c>
      <c r="U165" s="133">
        <f>PV($C$1, ($AC$3-$T$3), 0, -AF76)</f>
        <v>-64.973068991605075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-126.85571781527334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-104.3626601215129</v>
      </c>
      <c r="U166" s="133">
        <f>PV($C$1, ($AC$3-$T$3), 0, -AF77)</f>
        <v>-22.493057693760434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5.2929254109077828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4.3544255254734869</v>
      </c>
      <c r="U168" s="133">
        <f>PV($C$1, ($AC$3-$T$3), 0, -AF78)</f>
        <v>0.93849988543429586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130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136</v>
      </c>
      <c r="Q170" s="20"/>
      <c r="R170" s="20">
        <v>60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86</v>
      </c>
      <c r="K171" s="22">
        <v>88</v>
      </c>
      <c r="L171" s="22">
        <v>44</v>
      </c>
      <c r="M171" s="22">
        <v>59</v>
      </c>
      <c r="N171" s="22">
        <v>59</v>
      </c>
      <c r="O171" s="22">
        <v>86</v>
      </c>
      <c r="P171" s="22">
        <v>101</v>
      </c>
      <c r="Q171" s="22">
        <v>136</v>
      </c>
      <c r="R171" s="118" t="e">
        <f t="shared" ref="R171:R176" si="377">((P171/G171)^(1/($H$2-$H$1) ))-1</f>
        <v>#DIV/0!</v>
      </c>
      <c r="S171" s="31">
        <f>L2-3%</f>
        <v>0.12</v>
      </c>
      <c r="T171" s="119">
        <f t="shared" ref="T171" si="378">P171*(1+$S171)</f>
        <v>113.12</v>
      </c>
      <c r="U171" s="119">
        <f t="shared" ref="U171:AC171" si="379">T171*(1+$S171)</f>
        <v>126.69440000000002</v>
      </c>
      <c r="V171" s="119">
        <f t="shared" si="379"/>
        <v>141.89772800000003</v>
      </c>
      <c r="W171" s="119">
        <f t="shared" si="379"/>
        <v>158.92545536000006</v>
      </c>
      <c r="X171" s="119">
        <f t="shared" si="379"/>
        <v>177.99651000320009</v>
      </c>
      <c r="Y171" s="119">
        <f t="shared" si="379"/>
        <v>199.35609120358413</v>
      </c>
      <c r="Z171" s="119">
        <f t="shared" si="379"/>
        <v>223.27882214801426</v>
      </c>
      <c r="AA171" s="119">
        <f t="shared" si="379"/>
        <v>250.07228080577599</v>
      </c>
      <c r="AB171" s="119">
        <f t="shared" si="379"/>
        <v>280.08095450246913</v>
      </c>
      <c r="AC171" s="119">
        <f t="shared" si="379"/>
        <v>313.69066904276548</v>
      </c>
      <c r="AD171" s="138" t="e">
        <f t="shared" ref="AD171:AD176" si="380">((AC171/G171)^(1/($AC$3-$H$1) ))-1</f>
        <v>#DIV/0!</v>
      </c>
      <c r="AE171" s="31">
        <v>0.08</v>
      </c>
      <c r="AF171" s="127" t="e">
        <f t="shared" ref="AF171:AF179" si="381">(AC171*(1+AD171))/($C$1-AE171)</f>
        <v>#DIV/0!</v>
      </c>
    </row>
    <row r="172" spans="2:32" x14ac:dyDescent="0.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>
        <f t="shared" si="382"/>
        <v>0</v>
      </c>
      <c r="H172" s="25">
        <f t="shared" si="382"/>
        <v>0</v>
      </c>
      <c r="I172" s="25">
        <f t="shared" si="382"/>
        <v>0</v>
      </c>
      <c r="J172" s="25">
        <f t="shared" si="382"/>
        <v>5.0769763205828777</v>
      </c>
      <c r="K172" s="25">
        <f t="shared" si="382"/>
        <v>3.35901506373117</v>
      </c>
      <c r="L172" s="25">
        <f t="shared" si="382"/>
        <v>1.3100268920476374</v>
      </c>
      <c r="M172" s="25">
        <f t="shared" si="382"/>
        <v>1.5913699525911396</v>
      </c>
      <c r="N172" s="25">
        <f t="shared" si="382"/>
        <v>1.2620696800932523</v>
      </c>
      <c r="O172" s="25">
        <f t="shared" si="382"/>
        <v>1.4766062996211924</v>
      </c>
      <c r="P172" s="25">
        <f t="shared" si="382"/>
        <v>1.5156402245766549</v>
      </c>
      <c r="Q172" s="25">
        <f t="shared" ref="Q172" si="383">Q171/Q50</f>
        <v>1.7245334046373046</v>
      </c>
      <c r="R172" s="118" t="e">
        <f t="shared" ref="R172" si="384">((P172/G172)^(1/($H$2-$H$1) ))-1</f>
        <v>#DIV/0!</v>
      </c>
      <c r="S172" s="128"/>
      <c r="T172" s="25">
        <f t="shared" ref="T172:AC172" si="385">T171/T50</f>
        <v>1.2722557743428602</v>
      </c>
      <c r="U172" s="25">
        <f t="shared" si="385"/>
        <v>1.263847823138508</v>
      </c>
      <c r="V172" s="25">
        <f t="shared" si="385"/>
        <v>1.2554954375247234</v>
      </c>
      <c r="W172" s="25">
        <f t="shared" si="385"/>
        <v>1.2471982502854297</v>
      </c>
      <c r="X172" s="25">
        <f t="shared" si="385"/>
        <v>1.2389558966313698</v>
      </c>
      <c r="Y172" s="25">
        <f t="shared" si="385"/>
        <v>1.2307680141840671</v>
      </c>
      <c r="Z172" s="25">
        <f t="shared" si="385"/>
        <v>1.2226342429598944</v>
      </c>
      <c r="AA172" s="25">
        <f t="shared" si="385"/>
        <v>1.214554225354247</v>
      </c>
      <c r="AB172" s="25">
        <f t="shared" si="385"/>
        <v>1.2065276061258188</v>
      </c>
      <c r="AC172" s="25">
        <f t="shared" si="385"/>
        <v>1.1985540323809878</v>
      </c>
      <c r="AD172" s="138" t="e">
        <f t="shared" ref="AD172" si="386">((AC172/G172)^(1/($AC$3-$H$1) ))-1</f>
        <v>#DIV/0!</v>
      </c>
      <c r="AE172" s="31">
        <v>0.08</v>
      </c>
      <c r="AF172" s="127" t="e">
        <f t="shared" ref="AF172" si="387">(AC172*(1+AD172))/($C$1-AE172)</f>
        <v>#DIV/0!</v>
      </c>
    </row>
    <row r="173" spans="2:32" x14ac:dyDescent="0.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>
        <f t="shared" si="388"/>
        <v>0</v>
      </c>
      <c r="H173" s="25">
        <f t="shared" si="388"/>
        <v>0</v>
      </c>
      <c r="I173" s="25">
        <f t="shared" si="388"/>
        <v>0</v>
      </c>
      <c r="J173" s="25">
        <f t="shared" si="388"/>
        <v>44.418486055776889</v>
      </c>
      <c r="K173" s="25">
        <f t="shared" si="388"/>
        <v>22.255892514395391</v>
      </c>
      <c r="L173" s="25">
        <f t="shared" si="388"/>
        <v>15.46485260770975</v>
      </c>
      <c r="M173" s="25">
        <f t="shared" si="388"/>
        <v>18.488907882241218</v>
      </c>
      <c r="N173" s="25">
        <f t="shared" si="388"/>
        <v>23.091090047393365</v>
      </c>
      <c r="O173" s="25">
        <f t="shared" si="388"/>
        <v>49.402222222222221</v>
      </c>
      <c r="P173" s="25">
        <f t="shared" si="388"/>
        <v>40.922286063569686</v>
      </c>
      <c r="Q173" s="25">
        <f t="shared" ref="Q173" si="389">Q171/Q54</f>
        <v>26.729757252812313</v>
      </c>
      <c r="R173" s="118" t="e">
        <f t="shared" si="377"/>
        <v>#DIV/0!</v>
      </c>
      <c r="S173" s="128"/>
      <c r="T173" s="119">
        <f t="shared" ref="T173:AC173" si="390">T171/T54</f>
        <v>19.719587872422583</v>
      </c>
      <c r="U173" s="119">
        <f t="shared" si="390"/>
        <v>19.589267117787447</v>
      </c>
      <c r="V173" s="119">
        <f t="shared" si="390"/>
        <v>19.459807613356851</v>
      </c>
      <c r="W173" s="119">
        <f t="shared" si="390"/>
        <v>19.331203667390326</v>
      </c>
      <c r="X173" s="119">
        <f t="shared" si="390"/>
        <v>19.20344962576236</v>
      </c>
      <c r="Y173" s="119">
        <f t="shared" si="390"/>
        <v>19.076539871713848</v>
      </c>
      <c r="Z173" s="119">
        <f t="shared" si="390"/>
        <v>18.950468825605135</v>
      </c>
      <c r="AA173" s="119">
        <f t="shared" si="390"/>
        <v>18.825230944670707</v>
      </c>
      <c r="AB173" s="119">
        <f t="shared" si="390"/>
        <v>18.700820722775493</v>
      </c>
      <c r="AC173" s="119">
        <f t="shared" si="390"/>
        <v>18.57723269017281</v>
      </c>
      <c r="AD173" s="138" t="e">
        <f t="shared" si="380"/>
        <v>#DIV/0!</v>
      </c>
      <c r="AE173" s="31">
        <v>0.08</v>
      </c>
      <c r="AF173" s="127" t="e">
        <f t="shared" si="381"/>
        <v>#DIV/0!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>
        <f t="shared" si="391"/>
        <v>0</v>
      </c>
      <c r="H174" s="25">
        <f t="shared" si="391"/>
        <v>0</v>
      </c>
      <c r="I174" s="25">
        <f t="shared" si="391"/>
        <v>0</v>
      </c>
      <c r="J174" s="25">
        <f t="shared" si="391"/>
        <v>-53.990508474576266</v>
      </c>
      <c r="K174" s="25">
        <f t="shared" si="391"/>
        <v>25.625016574585633</v>
      </c>
      <c r="L174" s="25">
        <f t="shared" si="391"/>
        <v>1.3445046821094135</v>
      </c>
      <c r="M174" s="25">
        <f t="shared" si="391"/>
        <v>2.4257189135310244</v>
      </c>
      <c r="N174" s="25">
        <f t="shared" si="391"/>
        <v>2.1668756949077164</v>
      </c>
      <c r="O174" s="25">
        <f t="shared" si="391"/>
        <v>2.9218277030495945</v>
      </c>
      <c r="P174" s="25">
        <f t="shared" si="391"/>
        <v>3.0461761761761763</v>
      </c>
      <c r="Q174" s="25">
        <f t="shared" ref="Q174" si="392">Q171/Q57</f>
        <v>3.4188989019310863</v>
      </c>
      <c r="R174" s="118" t="e">
        <f t="shared" si="377"/>
        <v>#DIV/0!</v>
      </c>
      <c r="S174" s="128"/>
      <c r="T174" s="119">
        <f t="shared" ref="T174:AC174" si="393">T171/T57</f>
        <v>2.5222555029550731</v>
      </c>
      <c r="U174" s="119">
        <f t="shared" si="393"/>
        <v>2.5055866839790233</v>
      </c>
      <c r="V174" s="119">
        <f t="shared" si="393"/>
        <v>2.4890280241544667</v>
      </c>
      <c r="W174" s="119">
        <f t="shared" si="393"/>
        <v>2.4725787954730984</v>
      </c>
      <c r="X174" s="119">
        <f t="shared" si="393"/>
        <v>2.4562382747377987</v>
      </c>
      <c r="Y174" s="119">
        <f t="shared" si="393"/>
        <v>2.4400057435308367</v>
      </c>
      <c r="Z174" s="119">
        <f t="shared" si="393"/>
        <v>2.4238804881822857</v>
      </c>
      <c r="AA174" s="119">
        <f t="shared" si="393"/>
        <v>2.4078617997386469</v>
      </c>
      <c r="AB174" s="119">
        <f t="shared" si="393"/>
        <v>2.3919489739316786</v>
      </c>
      <c r="AC174" s="119">
        <f t="shared" si="393"/>
        <v>2.376141311147435</v>
      </c>
      <c r="AD174" s="138" t="e">
        <f t="shared" si="380"/>
        <v>#DIV/0!</v>
      </c>
      <c r="AE174" s="31">
        <v>0.08</v>
      </c>
      <c r="AF174" s="127" t="e">
        <f t="shared" si="381"/>
        <v>#DIV/0!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>
        <f t="shared" si="394"/>
        <v>0</v>
      </c>
      <c r="H175" s="25">
        <f t="shared" si="394"/>
        <v>0</v>
      </c>
      <c r="I175" s="25">
        <f t="shared" si="394"/>
        <v>0</v>
      </c>
      <c r="J175" s="25">
        <f t="shared" si="394"/>
        <v>12.243417909874095</v>
      </c>
      <c r="K175" s="25">
        <f t="shared" si="394"/>
        <v>22.002504743833015</v>
      </c>
      <c r="L175" s="25">
        <f t="shared" si="394"/>
        <v>2.658869395711501</v>
      </c>
      <c r="M175" s="25">
        <f t="shared" si="394"/>
        <v>13.720098661028894</v>
      </c>
      <c r="N175" s="25">
        <f t="shared" si="394"/>
        <v>13.194908598510493</v>
      </c>
      <c r="O175" s="25">
        <f t="shared" si="394"/>
        <v>114.27983935742972</v>
      </c>
      <c r="P175" s="25">
        <f t="shared" si="394"/>
        <v>16.923372093023257</v>
      </c>
      <c r="Q175" s="25">
        <f t="shared" ref="Q175" si="395">Q171/Q66</f>
        <v>44.479369458128076</v>
      </c>
      <c r="R175" s="118" t="e">
        <f t="shared" si="377"/>
        <v>#DIV/0!</v>
      </c>
      <c r="S175" s="128"/>
      <c r="T175" s="119">
        <f t="shared" ref="T175:AC175" si="396">T171/T66</f>
        <v>32.814171346326845</v>
      </c>
      <c r="U175" s="119">
        <f t="shared" si="396"/>
        <v>32.59731247482069</v>
      </c>
      <c r="V175" s="119">
        <f t="shared" si="396"/>
        <v>32.381886757595794</v>
      </c>
      <c r="W175" s="119">
        <f t="shared" si="396"/>
        <v>32.167884723371699</v>
      </c>
      <c r="X175" s="119">
        <f t="shared" si="396"/>
        <v>31.955296963460718</v>
      </c>
      <c r="Y175" s="119">
        <f t="shared" si="396"/>
        <v>31.74411413135438</v>
      </c>
      <c r="Z175" s="119">
        <f t="shared" si="396"/>
        <v>31.534326942312394</v>
      </c>
      <c r="AA175" s="119">
        <f t="shared" si="396"/>
        <v>31.325926172954514</v>
      </c>
      <c r="AB175" s="119">
        <f t="shared" si="396"/>
        <v>31.118902660854996</v>
      </c>
      <c r="AC175" s="119">
        <f t="shared" si="396"/>
        <v>30.91324730413978</v>
      </c>
      <c r="AD175" s="138" t="e">
        <f t="shared" si="380"/>
        <v>#DIV/0!</v>
      </c>
      <c r="AE175" s="31">
        <v>0.08</v>
      </c>
      <c r="AF175" s="127" t="e">
        <f t="shared" si="381"/>
        <v>#DIV/0!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>
        <f t="shared" si="397"/>
        <v>0</v>
      </c>
      <c r="H176" s="25">
        <f t="shared" si="397"/>
        <v>0</v>
      </c>
      <c r="I176" s="25">
        <f t="shared" si="397"/>
        <v>0</v>
      </c>
      <c r="J176" s="25">
        <f t="shared" si="397"/>
        <v>71.239872204472832</v>
      </c>
      <c r="K176" s="25">
        <f t="shared" si="397"/>
        <v>-19.039934318555005</v>
      </c>
      <c r="L176" s="25">
        <f t="shared" si="397"/>
        <v>11.189499589827728</v>
      </c>
      <c r="M176" s="25">
        <f t="shared" si="397"/>
        <v>-31.452051696284332</v>
      </c>
      <c r="N176" s="25">
        <f t="shared" si="397"/>
        <v>-4.8407550919026328</v>
      </c>
      <c r="O176" s="25">
        <f t="shared" si="397"/>
        <v>-8.1981215787957353</v>
      </c>
      <c r="P176" s="25">
        <f t="shared" si="397"/>
        <v>-7.4387622222222225</v>
      </c>
      <c r="Q176" s="25">
        <f t="shared" ref="Q176" si="398">Q171/Q68</f>
        <v>-7.6081159420289861</v>
      </c>
      <c r="R176" s="118" t="e">
        <f t="shared" si="377"/>
        <v>#DIV/0!</v>
      </c>
      <c r="S176" s="128"/>
      <c r="T176" s="119">
        <f t="shared" ref="T176:AC176" si="399">T171/T68</f>
        <v>-5.6128048393194714</v>
      </c>
      <c r="U176" s="119">
        <f t="shared" si="399"/>
        <v>-5.5757115203813621</v>
      </c>
      <c r="V176" s="119">
        <f t="shared" si="399"/>
        <v>-5.5388633398988434</v>
      </c>
      <c r="W176" s="119">
        <f t="shared" si="399"/>
        <v>-5.502258677826469</v>
      </c>
      <c r="X176" s="119">
        <f t="shared" si="399"/>
        <v>-5.4658959248251824</v>
      </c>
      <c r="Y176" s="119">
        <f t="shared" si="399"/>
        <v>-5.4297734821915569</v>
      </c>
      <c r="Z176" s="119">
        <f t="shared" si="399"/>
        <v>-5.3938897617875101</v>
      </c>
      <c r="AA176" s="119">
        <f t="shared" si="399"/>
        <v>-5.3582431859704807</v>
      </c>
      <c r="AB176" s="119">
        <f t="shared" si="399"/>
        <v>-5.3228321875240665</v>
      </c>
      <c r="AC176" s="119">
        <f t="shared" si="399"/>
        <v>-5.2876552095891265</v>
      </c>
      <c r="AD176" s="138" t="e">
        <f t="shared" si="380"/>
        <v>#DIV/0!</v>
      </c>
      <c r="AE176" s="31">
        <v>0.08</v>
      </c>
      <c r="AF176" s="127" t="e">
        <f t="shared" si="381"/>
        <v>#DIV/0!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0</v>
      </c>
      <c r="H177" s="182">
        <f t="shared" si="400"/>
        <v>0</v>
      </c>
      <c r="I177" s="182">
        <f t="shared" si="400"/>
        <v>0</v>
      </c>
      <c r="J177" s="182">
        <f t="shared" si="400"/>
        <v>-5.6336735725113689</v>
      </c>
      <c r="K177" s="182">
        <f t="shared" si="400"/>
        <v>-4.3081255805313017</v>
      </c>
      <c r="L177" s="182">
        <f t="shared" si="400"/>
        <v>14.373024236037933</v>
      </c>
      <c r="M177" s="182">
        <f t="shared" si="400"/>
        <v>-52.195227882037535</v>
      </c>
      <c r="N177" s="182">
        <f t="shared" si="400"/>
        <v>-4.4750585533869112</v>
      </c>
      <c r="O177" s="182">
        <f t="shared" si="400"/>
        <v>-5.4026352762483389</v>
      </c>
      <c r="P177" s="182">
        <f t="shared" si="400"/>
        <v>-5.440342922151796</v>
      </c>
      <c r="Q177" s="182">
        <f t="shared" ref="Q177" si="401">Q171/Q62</f>
        <v>-3.8389931972789113</v>
      </c>
      <c r="R177" s="118" t="e">
        <f t="shared" ref="R177:R180" si="402">((P177/G177)^(1/($H$2-$H$1) ))-1</f>
        <v>#DIV/0!</v>
      </c>
      <c r="S177" s="128"/>
      <c r="T177" s="135">
        <f t="shared" ref="T177:AC177" si="403">T171/T62</f>
        <v>-2.8321755031055895</v>
      </c>
      <c r="U177" s="135">
        <f t="shared" si="403"/>
        <v>-2.8134585171720232</v>
      </c>
      <c r="V177" s="135">
        <f t="shared" si="403"/>
        <v>-2.7948652261020177</v>
      </c>
      <c r="W177" s="135">
        <f t="shared" si="403"/>
        <v>-2.7763948124338653</v>
      </c>
      <c r="X177" s="135">
        <f t="shared" si="403"/>
        <v>-2.7580464641082161</v>
      </c>
      <c r="Y177" s="135">
        <f t="shared" si="403"/>
        <v>-2.7398193744323724</v>
      </c>
      <c r="Z177" s="135">
        <f t="shared" si="403"/>
        <v>-2.7217127420448199</v>
      </c>
      <c r="AA177" s="135">
        <f t="shared" si="403"/>
        <v>-2.7037257708800024</v>
      </c>
      <c r="AB177" s="135">
        <f t="shared" si="403"/>
        <v>-2.6858576701333168</v>
      </c>
      <c r="AC177" s="135">
        <f t="shared" si="403"/>
        <v>-2.66810765422635</v>
      </c>
      <c r="AD177" s="138" t="e">
        <f t="shared" ref="AD177" si="404">((AC177/G177)^(1/($AC$3-$H$1) ))-1</f>
        <v>#DIV/0!</v>
      </c>
      <c r="AE177" s="31">
        <v>0.08</v>
      </c>
      <c r="AF177" s="127" t="e">
        <f t="shared" si="381"/>
        <v>#DIV/0!</v>
      </c>
    </row>
    <row r="178" spans="2:46" x14ac:dyDescent="0.2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 t="e">
        <f t="shared" si="405"/>
        <v>#DIV/0!</v>
      </c>
      <c r="H178" s="161" t="e">
        <f t="shared" si="405"/>
        <v>#DIV/0!</v>
      </c>
      <c r="I178" s="161" t="e">
        <f t="shared" si="405"/>
        <v>#DIV/0!</v>
      </c>
      <c r="J178" s="161">
        <f t="shared" si="405"/>
        <v>2.2513149114183825E-2</v>
      </c>
      <c r="K178" s="161">
        <f t="shared" si="405"/>
        <v>4.4931920809430016E-2</v>
      </c>
      <c r="L178" s="161">
        <f t="shared" si="405"/>
        <v>6.4662756598240473E-2</v>
      </c>
      <c r="M178" s="161">
        <f t="shared" si="405"/>
        <v>5.4086482899323121E-2</v>
      </c>
      <c r="N178" s="161">
        <f t="shared" si="405"/>
        <v>4.3306747232267837E-2</v>
      </c>
      <c r="O178" s="161">
        <f t="shared" si="405"/>
        <v>2.0242004408258737E-2</v>
      </c>
      <c r="P178" s="161">
        <f t="shared" si="405"/>
        <v>2.4436562474700836E-2</v>
      </c>
      <c r="Q178" s="161">
        <f t="shared" ref="Q178" si="406">Q54/Q171</f>
        <v>3.7411488272860657E-2</v>
      </c>
      <c r="R178" s="118" t="e">
        <f t="shared" si="402"/>
        <v>#DIV/0!</v>
      </c>
      <c r="S178" s="128"/>
      <c r="T178" s="161">
        <f t="shared" ref="T178:AC178" si="407">T54/T171</f>
        <v>5.0710998955433469E-2</v>
      </c>
      <c r="U178" s="161">
        <f t="shared" si="407"/>
        <v>5.1048362043722408E-2</v>
      </c>
      <c r="V178" s="161">
        <f t="shared" si="407"/>
        <v>5.1387969494293383E-2</v>
      </c>
      <c r="W178" s="161">
        <f t="shared" si="407"/>
        <v>5.1729836238127949E-2</v>
      </c>
      <c r="X178" s="161">
        <f t="shared" si="407"/>
        <v>5.2073977305538449E-2</v>
      </c>
      <c r="Y178" s="161">
        <f t="shared" si="407"/>
        <v>5.2420407826828788E-2</v>
      </c>
      <c r="Z178" s="161">
        <f t="shared" si="407"/>
        <v>5.2769143032959633E-2</v>
      </c>
      <c r="AA178" s="161">
        <f t="shared" si="407"/>
        <v>5.3120198256218103E-2</v>
      </c>
      <c r="AB178" s="161">
        <f t="shared" si="407"/>
        <v>5.3473588930891817E-2</v>
      </c>
      <c r="AC178" s="161">
        <f t="shared" si="407"/>
        <v>5.3829330593947455E-2</v>
      </c>
      <c r="AD178" s="138" t="e">
        <f t="shared" ref="AD178:AD180" si="408">((AC178/G178)^(1/($AC$3-$H$1) ))-1</f>
        <v>#DIV/0!</v>
      </c>
      <c r="AE178" s="31">
        <v>0.08</v>
      </c>
      <c r="AF178" s="127" t="e">
        <f t="shared" si="381"/>
        <v>#DIV/0!</v>
      </c>
    </row>
    <row r="179" spans="2:46" x14ac:dyDescent="0.2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 t="e">
        <f t="shared" si="409"/>
        <v>#DIV/0!</v>
      </c>
      <c r="H179" s="152" t="e">
        <f t="shared" si="409"/>
        <v>#DIV/0!</v>
      </c>
      <c r="I179" s="152" t="e">
        <f t="shared" si="409"/>
        <v>#DIV/0!</v>
      </c>
      <c r="J179" s="152">
        <f t="shared" si="409"/>
        <v>0</v>
      </c>
      <c r="K179" s="152">
        <f t="shared" si="409"/>
        <v>0</v>
      </c>
      <c r="L179" s="152">
        <f t="shared" si="409"/>
        <v>0</v>
      </c>
      <c r="M179" s="152">
        <f t="shared" si="409"/>
        <v>0</v>
      </c>
      <c r="N179" s="152">
        <f t="shared" si="409"/>
        <v>0</v>
      </c>
      <c r="O179" s="152">
        <f t="shared" si="409"/>
        <v>3.4883720930232558E-3</v>
      </c>
      <c r="P179" s="152">
        <f t="shared" si="409"/>
        <v>3.9603960396039604E-3</v>
      </c>
      <c r="Q179" s="152">
        <f t="shared" ref="Q179" si="410">Q44/Q171</f>
        <v>2.9411764705882353E-3</v>
      </c>
      <c r="R179" s="118" t="e">
        <f t="shared" si="402"/>
        <v>#DIV/0!</v>
      </c>
      <c r="S179" s="128"/>
      <c r="T179" s="152">
        <f t="shared" ref="T179:AC179" si="411">T44/T171</f>
        <v>3.7128712871287131E-3</v>
      </c>
      <c r="U179" s="152">
        <f t="shared" si="411"/>
        <v>3.4808168316831684E-3</v>
      </c>
      <c r="V179" s="152">
        <f t="shared" si="411"/>
        <v>3.2632657797029702E-3</v>
      </c>
      <c r="W179" s="152">
        <f t="shared" si="411"/>
        <v>3.0593116684715341E-3</v>
      </c>
      <c r="X179" s="152">
        <f t="shared" si="411"/>
        <v>2.8681046891920635E-3</v>
      </c>
      <c r="Y179" s="152">
        <f t="shared" si="411"/>
        <v>2.6888481461175592E-3</v>
      </c>
      <c r="Z179" s="152">
        <f t="shared" si="411"/>
        <v>2.5207951369852111E-3</v>
      </c>
      <c r="AA179" s="152">
        <f t="shared" si="411"/>
        <v>2.3632454409236356E-3</v>
      </c>
      <c r="AB179" s="152">
        <f t="shared" si="411"/>
        <v>2.2155426008659087E-3</v>
      </c>
      <c r="AC179" s="152">
        <f t="shared" si="411"/>
        <v>2.0770711883117891E-3</v>
      </c>
      <c r="AD179" s="138" t="e">
        <f t="shared" si="408"/>
        <v>#DIV/0!</v>
      </c>
      <c r="AE179" s="31">
        <v>0.08</v>
      </c>
      <c r="AF179" s="127" t="e">
        <f t="shared" si="381"/>
        <v>#DIV/0!</v>
      </c>
    </row>
    <row r="180" spans="2:46" x14ac:dyDescent="0.2">
      <c r="B180" s="20" t="s">
        <v>446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>
        <f t="shared" si="412"/>
        <v>0</v>
      </c>
      <c r="H180" s="181">
        <f t="shared" si="412"/>
        <v>0</v>
      </c>
      <c r="I180" s="181">
        <f t="shared" si="412"/>
        <v>0</v>
      </c>
      <c r="J180" s="181">
        <f t="shared" si="412"/>
        <v>2.9612324037184594</v>
      </c>
      <c r="K180" s="181">
        <f t="shared" si="412"/>
        <v>1.4837261676263593</v>
      </c>
      <c r="L180" s="181">
        <f t="shared" si="412"/>
        <v>1.0309901738473166</v>
      </c>
      <c r="M180" s="181">
        <f t="shared" si="412"/>
        <v>1.2325938588160812</v>
      </c>
      <c r="N180" s="181">
        <f t="shared" si="412"/>
        <v>1.5394060031595578</v>
      </c>
      <c r="O180" s="181">
        <f t="shared" si="412"/>
        <v>3.2934814814814812</v>
      </c>
      <c r="P180" s="181">
        <f>(P173)/($L$2*100)</f>
        <v>2.7281524042379792</v>
      </c>
      <c r="Q180" s="181">
        <f>(Q173)/($L$2*100)</f>
        <v>1.7819838168541542</v>
      </c>
      <c r="R180" s="118" t="e">
        <f t="shared" si="402"/>
        <v>#DIV/0!</v>
      </c>
      <c r="S180" s="128"/>
      <c r="T180" s="181">
        <f>(T173)/($L$2*100)</f>
        <v>1.3146391914948388</v>
      </c>
      <c r="U180" s="181">
        <f t="shared" ref="U180:AC180" si="413">(U173)/($L$2*100)</f>
        <v>1.3059511411858298</v>
      </c>
      <c r="V180" s="181">
        <f t="shared" si="413"/>
        <v>1.2973205075571235</v>
      </c>
      <c r="W180" s="181">
        <f t="shared" si="413"/>
        <v>1.288746911159355</v>
      </c>
      <c r="X180" s="181">
        <f t="shared" si="413"/>
        <v>1.2802299750508239</v>
      </c>
      <c r="Y180" s="181">
        <f t="shared" si="413"/>
        <v>1.2717693247809232</v>
      </c>
      <c r="Z180" s="181">
        <f t="shared" si="413"/>
        <v>1.2633645883736757</v>
      </c>
      <c r="AA180" s="181">
        <f t="shared" si="413"/>
        <v>1.2550153963113806</v>
      </c>
      <c r="AB180" s="181">
        <f t="shared" si="413"/>
        <v>1.2467213815183662</v>
      </c>
      <c r="AC180" s="181">
        <f t="shared" si="413"/>
        <v>1.2384821793448539</v>
      </c>
      <c r="AD180" s="138" t="e">
        <f t="shared" si="408"/>
        <v>#DIV/0!</v>
      </c>
      <c r="AE180" s="31">
        <v>0.08</v>
      </c>
      <c r="AF180" s="181" t="e">
        <f>(AF173)/($L$2*100)</f>
        <v>#DIV/0!</v>
      </c>
    </row>
    <row r="181" spans="2:46" x14ac:dyDescent="0.2">
      <c r="B181" s="20" t="s">
        <v>447</v>
      </c>
      <c r="C181" s="152"/>
      <c r="D181" s="152"/>
      <c r="E181" s="152"/>
      <c r="F181" s="152"/>
      <c r="G181" s="152">
        <f t="shared" ref="G181:P181" si="414">G180-1</f>
        <v>-1</v>
      </c>
      <c r="H181" s="152">
        <f t="shared" si="414"/>
        <v>-1</v>
      </c>
      <c r="I181" s="152">
        <f t="shared" si="414"/>
        <v>-1</v>
      </c>
      <c r="J181" s="152">
        <f t="shared" si="414"/>
        <v>1.9612324037184594</v>
      </c>
      <c r="K181" s="152">
        <f t="shared" si="414"/>
        <v>0.48372616762635934</v>
      </c>
      <c r="L181" s="152">
        <f t="shared" si="414"/>
        <v>3.0990173847316616E-2</v>
      </c>
      <c r="M181" s="152">
        <f t="shared" si="414"/>
        <v>0.23259385881608119</v>
      </c>
      <c r="N181" s="152">
        <f t="shared" si="414"/>
        <v>0.53940600315955778</v>
      </c>
      <c r="O181" s="152">
        <f t="shared" si="414"/>
        <v>2.2934814814814812</v>
      </c>
      <c r="P181" s="152">
        <f t="shared" si="414"/>
        <v>1.7281524042379792</v>
      </c>
      <c r="Q181" s="152">
        <f>Q180-1</f>
        <v>0.78198381685415419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3" t="s">
        <v>351</v>
      </c>
      <c r="L183" s="204"/>
      <c r="M183" s="20"/>
      <c r="N183" s="20"/>
      <c r="O183" s="20"/>
      <c r="P183" s="108" t="s">
        <v>430</v>
      </c>
      <c r="Q183" s="108" t="s">
        <v>429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0.97212739724557906</v>
      </c>
      <c r="Q184" s="128">
        <f>(Q171-T159)/Q171</f>
        <v>0.97706954784491895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2.3952412615138963</v>
      </c>
      <c r="N185" s="20"/>
      <c r="O185" s="20"/>
      <c r="P185" s="128">
        <f>(Q171-S150)/Q171</f>
        <v>2.0361718192125258</v>
      </c>
      <c r="Q185" s="128">
        <f>(Q171-T150)/Q171</f>
        <v>1.1443845977591225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-0.96069362991315022</v>
      </c>
      <c r="N186" s="20"/>
      <c r="O186" s="20"/>
      <c r="P186" s="128">
        <f>(Q171-S143)/Q171</f>
        <v>-0.45610335750903064</v>
      </c>
      <c r="Q186" s="128">
        <f>(Q171-T143)/Q171</f>
        <v>0.79710035182251215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0.88411489112183772</v>
      </c>
      <c r="N187" s="20"/>
      <c r="O187" s="20"/>
      <c r="P187" s="128">
        <f>(Q171-S156)/Q171</f>
        <v>0.91393826473018835</v>
      </c>
      <c r="Q187" s="128">
        <f>(Q171-T156)/Q171</f>
        <v>0.98800779098699343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399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0.94759479791180412</v>
      </c>
      <c r="N188" s="20"/>
      <c r="O188" s="20"/>
      <c r="P188" s="128">
        <f>(Q171-S168)/Q171</f>
        <v>0.9610814308021487</v>
      </c>
      <c r="Q188" s="128">
        <f>(Q171-T168)/Q171</f>
        <v>0.96798216525387137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6.7196382812955182</v>
      </c>
      <c r="Q189" s="25">
        <f>Q171/T142</f>
        <v>48.223286489297251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407</v>
      </c>
      <c r="AE189" s="115" t="s">
        <v>408</v>
      </c>
      <c r="AF189" s="115" t="s">
        <v>409</v>
      </c>
      <c r="AG189" s="115" t="s">
        <v>410</v>
      </c>
      <c r="AH189" s="115" t="s">
        <v>411</v>
      </c>
      <c r="AI189" s="115" t="s">
        <v>412</v>
      </c>
      <c r="AJ189" s="115" t="s">
        <v>413</v>
      </c>
      <c r="AK189" s="115" t="s">
        <v>414</v>
      </c>
      <c r="AL189" s="115" t="s">
        <v>415</v>
      </c>
      <c r="AM189" s="115" t="s">
        <v>416</v>
      </c>
      <c r="AN189" s="115" t="s">
        <v>417</v>
      </c>
      <c r="AO189" s="115" t="s">
        <v>418</v>
      </c>
      <c r="AP189" s="115" t="s">
        <v>419</v>
      </c>
      <c r="AQ189" s="115" t="s">
        <v>420</v>
      </c>
      <c r="AR189" s="115" t="s">
        <v>421</v>
      </c>
      <c r="AS189" s="115" t="s">
        <v>422</v>
      </c>
      <c r="AT189" s="115" t="s">
        <v>423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448</v>
      </c>
      <c r="H190" s="190"/>
      <c r="I190" s="189" t="s">
        <v>449</v>
      </c>
      <c r="J190" s="190"/>
      <c r="K190" s="20"/>
      <c r="L190" s="189" t="s">
        <v>450</v>
      </c>
      <c r="M190" s="190"/>
      <c r="N190" s="189" t="s">
        <v>451</v>
      </c>
      <c r="O190" s="190"/>
      <c r="P190" s="152">
        <f>1/P189</f>
        <v>0.14881753423894184</v>
      </c>
      <c r="Q190" s="152">
        <f>1/Q189</f>
        <v>2.0736869525098449E-2</v>
      </c>
      <c r="R190" s="20"/>
      <c r="S190" s="20"/>
      <c r="T190" s="129">
        <f>Q171-T191</f>
        <v>133.70375798045518</v>
      </c>
      <c r="U190" s="185">
        <f>T190-U191</f>
        <v>131.29270385993314</v>
      </c>
      <c r="V190" s="185">
        <f t="shared" ref="V190:X190" si="415">U190-V191</f>
        <v>128.761097033385</v>
      </c>
      <c r="W190" s="185">
        <f t="shared" si="415"/>
        <v>126.10290986550945</v>
      </c>
      <c r="X190" s="185">
        <f t="shared" si="415"/>
        <v>123.3118133392401</v>
      </c>
      <c r="Y190" s="185">
        <f>X190-Y191</f>
        <v>120.3811619866573</v>
      </c>
      <c r="Z190" s="185">
        <f t="shared" ref="Z190:AC190" si="416">Y190-Z191</f>
        <v>117.30397806644535</v>
      </c>
      <c r="AA190" s="185">
        <f t="shared" si="416"/>
        <v>114.07293495022282</v>
      </c>
      <c r="AB190" s="185">
        <f t="shared" si="416"/>
        <v>110.68033967818914</v>
      </c>
      <c r="AC190" s="185">
        <f t="shared" si="416"/>
        <v>107.11811464255379</v>
      </c>
      <c r="AD190" s="185">
        <f t="shared" ref="AD190" si="417">AC190-AD191</f>
        <v>103.37777835513667</v>
      </c>
      <c r="AE190" s="185">
        <f t="shared" ref="AE190" si="418">AD190-AE191</f>
        <v>99.450425253348698</v>
      </c>
      <c r="AF190" s="185">
        <f t="shared" ref="AF190" si="419">AE190-AF191</f>
        <v>95.326704496471322</v>
      </c>
      <c r="AG190" s="185">
        <f t="shared" ref="AG190" si="420">AF190-AG191</f>
        <v>90.996797701750083</v>
      </c>
      <c r="AH190" s="185">
        <f t="shared" ref="AH190" si="421">AG190-AH191</f>
        <v>86.450395567292773</v>
      </c>
      <c r="AI190" s="185">
        <f t="shared" ref="AI190" si="422">AH190-AI191</f>
        <v>81.676673326112606</v>
      </c>
      <c r="AJ190" s="185">
        <f t="shared" ref="AJ190" si="423">AI190-AJ191</f>
        <v>76.664264972873426</v>
      </c>
      <c r="AK190" s="185">
        <f t="shared" ref="AK190" si="424">AJ190-AK191</f>
        <v>71.401236201972281</v>
      </c>
      <c r="AL190" s="185">
        <f t="shared" ref="AL190" si="425">AK190-AL191</f>
        <v>65.875055992526086</v>
      </c>
      <c r="AM190" s="185">
        <f t="shared" ref="AM190" si="426">AL190-AM191</f>
        <v>60.072566772607573</v>
      </c>
      <c r="AN190" s="185">
        <f t="shared" ref="AN190" si="427">AM190-AN191</f>
        <v>53.97995309169314</v>
      </c>
      <c r="AO190" s="185">
        <f t="shared" ref="AO190" si="428">AN190-AO191</f>
        <v>47.582708726732982</v>
      </c>
      <c r="AP190" s="185">
        <f t="shared" ref="AP190" si="429">AO190-AP191</f>
        <v>40.865602143524818</v>
      </c>
      <c r="AQ190" s="185">
        <f t="shared" ref="AQ190" si="430">AP190-AQ191</f>
        <v>33.812640231156244</v>
      </c>
      <c r="AR190" s="185">
        <f t="shared" ref="AR190" si="431">AQ190-AR191</f>
        <v>26.407030223169244</v>
      </c>
      <c r="AS190" s="185">
        <f t="shared" ref="AS190" si="432">AR190-AS191</f>
        <v>18.63113971478289</v>
      </c>
      <c r="AT190" s="185">
        <f t="shared" ref="AT190" si="433">AS190-AT191</f>
        <v>10.466454680977218</v>
      </c>
    </row>
    <row r="191" spans="2:46" x14ac:dyDescent="0.2">
      <c r="B191" s="20" t="s">
        <v>396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62.188566703568874</v>
      </c>
      <c r="Q191" s="181">
        <f>Q171/R141</f>
        <v>62.188566703568874</v>
      </c>
      <c r="R191" s="20"/>
      <c r="S191" s="20"/>
      <c r="T191" s="186">
        <f>R141*(1+$K$191)</f>
        <v>2.2962420195448083</v>
      </c>
      <c r="U191" s="186">
        <f>T191*(1+$K$191)</f>
        <v>2.4110541205220488</v>
      </c>
      <c r="V191" s="186">
        <f t="shared" ref="V191:AC191" si="434">U191*(1+$K$191)</f>
        <v>2.5316068265481513</v>
      </c>
      <c r="W191" s="186">
        <f t="shared" si="434"/>
        <v>2.6581871678755591</v>
      </c>
      <c r="X191" s="186">
        <f t="shared" si="434"/>
        <v>2.791096526269337</v>
      </c>
      <c r="Y191" s="186">
        <f t="shared" si="434"/>
        <v>2.930651352582804</v>
      </c>
      <c r="Z191" s="186">
        <f t="shared" si="434"/>
        <v>3.0771839202119442</v>
      </c>
      <c r="AA191" s="186">
        <f t="shared" si="434"/>
        <v>3.2310431162225415</v>
      </c>
      <c r="AB191" s="186">
        <f t="shared" si="434"/>
        <v>3.3925952720336685</v>
      </c>
      <c r="AC191" s="186">
        <f t="shared" si="434"/>
        <v>3.5622250356353522</v>
      </c>
      <c r="AD191" s="186">
        <f t="shared" ref="AD191" si="435">AC191*(1+$K$191)</f>
        <v>3.74033628741712</v>
      </c>
      <c r="AE191" s="186">
        <f t="shared" ref="AE191" si="436">AD191*(1+$K$191)</f>
        <v>3.9273531017879764</v>
      </c>
      <c r="AF191" s="186">
        <f t="shared" ref="AF191" si="437">AE191*(1+$K$191)</f>
        <v>4.1237207568773755</v>
      </c>
      <c r="AG191" s="186">
        <f t="shared" ref="AG191" si="438">AF191*(1+$K$191)</f>
        <v>4.3299067947212446</v>
      </c>
      <c r="AH191" s="186">
        <f t="shared" ref="AH191" si="439">AG191*(1+$K$191)</f>
        <v>4.5464021344573071</v>
      </c>
      <c r="AI191" s="186">
        <f t="shared" ref="AI191" si="440">AH191*(1+$K$191)</f>
        <v>4.773722241180173</v>
      </c>
      <c r="AJ191" s="186">
        <f t="shared" ref="AJ191" si="441">AI191*(1+$K$191)</f>
        <v>5.0124083532391817</v>
      </c>
      <c r="AK191" s="186">
        <f t="shared" ref="AK191" si="442">AJ191*(1+$K$191)</f>
        <v>5.2630287709011414</v>
      </c>
      <c r="AL191" s="186">
        <f t="shared" ref="AL191" si="443">AK191*(1+$K$191)</f>
        <v>5.5261802094461991</v>
      </c>
      <c r="AM191" s="186">
        <f t="shared" ref="AM191" si="444">AL191*(1+$K$191)</f>
        <v>5.8024892199185096</v>
      </c>
      <c r="AN191" s="186">
        <f t="shared" ref="AN191" si="445">AM191*(1+$K$191)</f>
        <v>6.0926136809144351</v>
      </c>
      <c r="AO191" s="186">
        <f t="shared" ref="AO191" si="446">AN191*(1+$K$191)</f>
        <v>6.3972443649601569</v>
      </c>
      <c r="AP191" s="186">
        <f t="shared" ref="AP191" si="447">AO191*(1+$K$191)</f>
        <v>6.7171065832081647</v>
      </c>
      <c r="AQ191" s="186">
        <f t="shared" ref="AQ191" si="448">AP191*(1+$K$191)</f>
        <v>7.0529619123685734</v>
      </c>
      <c r="AR191" s="186">
        <f t="shared" ref="AR191" si="449">AQ191*(1+$K$191)</f>
        <v>7.4056100079870024</v>
      </c>
      <c r="AS191" s="186">
        <f t="shared" ref="AS191" si="450">AR191*(1+$K$191)</f>
        <v>7.775890508386353</v>
      </c>
      <c r="AT191" s="186">
        <f t="shared" ref="AT191" si="451">AS191*(1+$K$191)</f>
        <v>8.1646850338056716</v>
      </c>
    </row>
    <row r="192" spans="2:46" x14ac:dyDescent="0.2">
      <c r="B192" s="20" t="s">
        <v>395</v>
      </c>
      <c r="C192" s="20"/>
      <c r="D192" s="20"/>
      <c r="E192" s="23" t="s">
        <v>391</v>
      </c>
      <c r="F192" s="22">
        <v>60</v>
      </c>
      <c r="G192" s="191">
        <v>0</v>
      </c>
      <c r="H192" s="192">
        <v>12</v>
      </c>
      <c r="I192" s="191">
        <v>0.05</v>
      </c>
      <c r="J192" s="190">
        <v>9</v>
      </c>
      <c r="K192" s="184">
        <v>0.2</v>
      </c>
      <c r="L192" s="191">
        <v>0.12</v>
      </c>
      <c r="M192" s="190">
        <v>7</v>
      </c>
      <c r="N192" s="191">
        <v>0.2</v>
      </c>
      <c r="O192" s="190">
        <v>5</v>
      </c>
      <c r="P192" s="181">
        <f>Q171/Q54</f>
        <v>26.729757252812313</v>
      </c>
      <c r="Q192" s="181">
        <f>Q171/Q54</f>
        <v>26.729757252812313</v>
      </c>
      <c r="R192" s="20"/>
      <c r="S192" s="20"/>
      <c r="T192" s="186">
        <f>Q54*(1+$K$192)</f>
        <v>6.1055548861308591</v>
      </c>
      <c r="U192" s="186">
        <f>T192*(1+$K$192)</f>
        <v>7.3266658633570305</v>
      </c>
      <c r="V192" s="186">
        <f t="shared" ref="V192:AC192" si="452">U192*(1+$K$192)</f>
        <v>8.7919990360284359</v>
      </c>
      <c r="W192" s="186">
        <f t="shared" si="452"/>
        <v>10.550398843234122</v>
      </c>
      <c r="X192" s="186">
        <f t="shared" si="452"/>
        <v>12.660478611880945</v>
      </c>
      <c r="Y192" s="186">
        <f t="shared" si="452"/>
        <v>15.192574334257134</v>
      </c>
      <c r="Z192" s="186">
        <f t="shared" si="452"/>
        <v>18.23108920110856</v>
      </c>
      <c r="AA192" s="186">
        <f t="shared" si="452"/>
        <v>21.877307041330273</v>
      </c>
      <c r="AB192" s="186">
        <f t="shared" si="452"/>
        <v>26.252768449596328</v>
      </c>
      <c r="AC192" s="186">
        <f t="shared" si="452"/>
        <v>31.503322139515593</v>
      </c>
      <c r="AD192" s="186">
        <f t="shared" ref="AD192" si="453">AC192*(1+$K$192)</f>
        <v>37.803986567418711</v>
      </c>
      <c r="AE192" s="186">
        <f t="shared" ref="AE192" si="454">AD192*(1+$K$192)</f>
        <v>45.364783880902451</v>
      </c>
      <c r="AF192" s="186">
        <f t="shared" ref="AF192" si="455">AE192*(1+$K$192)</f>
        <v>54.437740657082941</v>
      </c>
      <c r="AG192" s="186">
        <f t="shared" ref="AG192" si="456">AF192*(1+$K$192)</f>
        <v>65.32528878849952</v>
      </c>
      <c r="AH192" s="186">
        <f t="shared" ref="AH192" si="457">AG192*(1+$K$192)</f>
        <v>78.390346546199424</v>
      </c>
      <c r="AI192" s="186">
        <f t="shared" ref="AI192" si="458">AH192*(1+$K$192)</f>
        <v>94.068415855439312</v>
      </c>
      <c r="AJ192" s="186">
        <f t="shared" ref="AJ192" si="459">AI192*(1+$K$192)</f>
        <v>112.88209902652717</v>
      </c>
      <c r="AK192" s="186">
        <f t="shared" ref="AK192" si="460">AJ192*(1+$K$192)</f>
        <v>135.45851883183261</v>
      </c>
      <c r="AL192" s="186">
        <f t="shared" ref="AL192" si="461">AK192*(1+$K$192)</f>
        <v>162.55022259819913</v>
      </c>
      <c r="AM192" s="186">
        <f t="shared" ref="AM192" si="462">AL192*(1+$K$192)</f>
        <v>195.06026711783895</v>
      </c>
      <c r="AN192" s="186">
        <f t="shared" ref="AN192" si="463">AM192*(1+$K$192)</f>
        <v>234.07232054140673</v>
      </c>
      <c r="AO192" s="186">
        <f t="shared" ref="AO192" si="464">AN192*(1+$K$192)</f>
        <v>280.88678464968808</v>
      </c>
      <c r="AP192" s="186">
        <f t="shared" ref="AP192" si="465">AO192*(1+$K$192)</f>
        <v>337.0641415796257</v>
      </c>
      <c r="AQ192" s="186">
        <f t="shared" ref="AQ192" si="466">AP192*(1+$K$192)</f>
        <v>404.47696989555084</v>
      </c>
      <c r="AR192" s="186">
        <f t="shared" ref="AR192" si="467">AQ192*(1+$K$192)</f>
        <v>485.372363874661</v>
      </c>
      <c r="AS192" s="186">
        <f t="shared" ref="AS192" si="468">AR192*(1+$K$192)</f>
        <v>582.44683664959314</v>
      </c>
      <c r="AT192" s="186">
        <f t="shared" ref="AT192" si="469">AS192*(1+$K$192)</f>
        <v>698.93620397951179</v>
      </c>
    </row>
    <row r="193" spans="2:46" x14ac:dyDescent="0.2">
      <c r="B193" s="20"/>
      <c r="C193" s="20"/>
      <c r="D193" s="20"/>
      <c r="E193" s="23" t="s">
        <v>454</v>
      </c>
      <c r="F193" s="22">
        <v>136</v>
      </c>
      <c r="G193" s="191">
        <v>0</v>
      </c>
      <c r="H193" s="192">
        <v>27</v>
      </c>
      <c r="I193" s="191">
        <v>0.05</v>
      </c>
      <c r="J193" s="190">
        <v>16</v>
      </c>
      <c r="K193" s="190"/>
      <c r="L193" s="191">
        <v>0.12</v>
      </c>
      <c r="M193" s="190">
        <v>11</v>
      </c>
      <c r="N193" s="191">
        <v>0.2</v>
      </c>
      <c r="O193" s="190">
        <v>9</v>
      </c>
      <c r="P193" s="20"/>
      <c r="Q193" s="20"/>
      <c r="R193" s="20"/>
      <c r="S193" s="20"/>
      <c r="T193" s="129">
        <f>Q171-T192</f>
        <v>129.89444511386915</v>
      </c>
      <c r="U193" s="185">
        <f>T193-U192</f>
        <v>122.56777925051212</v>
      </c>
      <c r="V193" s="185">
        <f t="shared" ref="V193:AA193" si="470">U193-V192</f>
        <v>113.77578021448369</v>
      </c>
      <c r="W193" s="185">
        <f t="shared" si="470"/>
        <v>103.22538137124957</v>
      </c>
      <c r="X193" s="185">
        <f t="shared" si="470"/>
        <v>90.564902759368621</v>
      </c>
      <c r="Y193" s="185">
        <f t="shared" si="470"/>
        <v>75.37232842511149</v>
      </c>
      <c r="Z193" s="185">
        <f t="shared" si="470"/>
        <v>57.141239224002931</v>
      </c>
      <c r="AA193" s="185">
        <f t="shared" si="470"/>
        <v>35.263932182672661</v>
      </c>
      <c r="AB193" s="185">
        <f>AA193-AB192</f>
        <v>9.0111637330763337</v>
      </c>
      <c r="AC193" s="185">
        <f t="shared" ref="AC193" si="471">AB193-AC192</f>
        <v>-22.492158406439259</v>
      </c>
      <c r="AD193" s="185">
        <f t="shared" ref="AD193" si="472">AC193-AD192</f>
        <v>-60.29614497385797</v>
      </c>
      <c r="AE193" s="185">
        <f t="shared" ref="AE193" si="473">AD193-AE192</f>
        <v>-105.66092885476041</v>
      </c>
      <c r="AF193" s="185">
        <f t="shared" ref="AF193" si="474">AE193-AF192</f>
        <v>-160.09866951184335</v>
      </c>
      <c r="AG193" s="185">
        <f t="shared" ref="AG193" si="475">AF193-AG192</f>
        <v>-225.42395830034286</v>
      </c>
      <c r="AH193" s="185">
        <f t="shared" ref="AH193" si="476">AG193-AH192</f>
        <v>-303.81430484654231</v>
      </c>
      <c r="AI193" s="185">
        <f t="shared" ref="AI193" si="477">AH193-AI192</f>
        <v>-397.88272070198161</v>
      </c>
      <c r="AJ193" s="185">
        <f t="shared" ref="AJ193" si="478">AI193-AJ192</f>
        <v>-510.76481972850877</v>
      </c>
      <c r="AK193" s="185">
        <f t="shared" ref="AK193" si="479">AJ193-AK192</f>
        <v>-646.2233385603414</v>
      </c>
      <c r="AL193" s="185">
        <f t="shared" ref="AL193" si="480">AK193-AL192</f>
        <v>-808.77356115854059</v>
      </c>
      <c r="AM193" s="185">
        <f t="shared" ref="AM193" si="481">AL193-AM192</f>
        <v>-1003.8338282763796</v>
      </c>
      <c r="AN193" s="185">
        <f t="shared" ref="AN193" si="482">AM193-AN192</f>
        <v>-1237.9061488177863</v>
      </c>
      <c r="AO193" s="185">
        <f t="shared" ref="AO193" si="483">AN193-AO192</f>
        <v>-1518.7929334674743</v>
      </c>
      <c r="AP193" s="185">
        <f t="shared" ref="AP193" si="484">AO193-AP192</f>
        <v>-1855.8570750470999</v>
      </c>
      <c r="AQ193" s="185">
        <f t="shared" ref="AQ193" si="485">AP193-AQ192</f>
        <v>-2260.3340449426505</v>
      </c>
      <c r="AR193" s="185">
        <f t="shared" ref="AR193" si="486">AQ193-AR192</f>
        <v>-2745.7064088173115</v>
      </c>
      <c r="AS193" s="185">
        <f t="shared" ref="AS193" si="487">AR193-AS192</f>
        <v>-3328.1532454669045</v>
      </c>
      <c r="AT193" s="185">
        <f t="shared" ref="AT193" si="488">AS193-AT192</f>
        <v>-4027.0894494464164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>
        <f t="shared" si="489"/>
        <v>2.2142857142857144</v>
      </c>
      <c r="H195" s="25">
        <f t="shared" si="489"/>
        <v>2.5793499043977057</v>
      </c>
      <c r="I195" s="25">
        <f t="shared" si="489"/>
        <v>2.8993821712268315</v>
      </c>
      <c r="J195" s="25">
        <f t="shared" si="489"/>
        <v>1.950435979807251</v>
      </c>
      <c r="K195" s="25">
        <f t="shared" si="489"/>
        <v>1.8383182844243793</v>
      </c>
      <c r="L195" s="25">
        <f t="shared" si="489"/>
        <v>0.67184319638145495</v>
      </c>
      <c r="M195" s="25">
        <f t="shared" si="489"/>
        <v>0.69108336264509318</v>
      </c>
      <c r="N195" s="25">
        <f t="shared" si="489"/>
        <v>0.87690056102122127</v>
      </c>
      <c r="O195" s="25">
        <f t="shared" si="489"/>
        <v>0.86199233716475099</v>
      </c>
      <c r="P195" s="25">
        <f t="shared" si="489"/>
        <v>0.85725270884306182</v>
      </c>
      <c r="Q195" s="25">
        <f t="shared" ref="Q195" si="490">Q10/Q7</f>
        <v>1.1360885876800193</v>
      </c>
      <c r="R195" s="118">
        <f t="shared" ref="R195:R197" si="491">((P195/G195)^(1/($H$2-$H$1) ))-1</f>
        <v>-0.10007077338431103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26.011494252873565</v>
      </c>
      <c r="H196" s="112">
        <f t="shared" ref="H196:P196" si="492">H10/H12</f>
        <v>17.75</v>
      </c>
      <c r="I196" s="112">
        <f t="shared" si="492"/>
        <v>22.046979865771814</v>
      </c>
      <c r="J196" s="112">
        <f t="shared" si="492"/>
        <v>2.3351648351648353</v>
      </c>
      <c r="K196" s="112">
        <f t="shared" si="492"/>
        <v>13.082329317269076</v>
      </c>
      <c r="L196" s="112">
        <f t="shared" si="492"/>
        <v>2.8888168557536469</v>
      </c>
      <c r="M196" s="112">
        <f t="shared" si="492"/>
        <v>27.193771626297579</v>
      </c>
      <c r="N196" s="112">
        <f t="shared" si="492"/>
        <v>23.599562363238512</v>
      </c>
      <c r="O196" s="112">
        <f t="shared" si="492"/>
        <v>74.006578947368425</v>
      </c>
      <c r="P196" s="112">
        <f t="shared" si="492"/>
        <v>12.90842105263158</v>
      </c>
      <c r="Q196" s="112">
        <f t="shared" ref="Q196" si="493">Q10/Q12</f>
        <v>23.46875</v>
      </c>
      <c r="R196" s="118">
        <f t="shared" si="491"/>
        <v>-7.4897705848627982E-2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12.64245810055866</v>
      </c>
      <c r="H197" s="25">
        <f t="shared" ref="H197:P197" si="494">H10/(H12+H13)</f>
        <v>5.8779956427015252</v>
      </c>
      <c r="I197" s="25">
        <f t="shared" si="494"/>
        <v>22.045500301993155</v>
      </c>
      <c r="J197" s="25">
        <f t="shared" si="494"/>
        <v>2.3335877401536322</v>
      </c>
      <c r="K197" s="25">
        <f t="shared" si="494"/>
        <v>6.1812144212523723</v>
      </c>
      <c r="L197" s="25">
        <f t="shared" si="494"/>
        <v>1.7372319688109161</v>
      </c>
      <c r="M197" s="25">
        <f t="shared" si="494"/>
        <v>5.5384073291050031</v>
      </c>
      <c r="N197" s="25">
        <f t="shared" si="494"/>
        <v>7.3019634394041981</v>
      </c>
      <c r="O197" s="25">
        <f t="shared" si="494"/>
        <v>45.176706827309239</v>
      </c>
      <c r="P197" s="25">
        <f t="shared" si="494"/>
        <v>6.1996966632962591</v>
      </c>
      <c r="Q197" s="25">
        <f t="shared" ref="Q197" si="495">Q10/(Q12+Q13)</f>
        <v>18.497536945812808</v>
      </c>
      <c r="R197" s="118">
        <f t="shared" si="491"/>
        <v>-7.6120277274393522E-2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0" t="s">
        <v>337</v>
      </c>
      <c r="M200" s="201"/>
      <c r="N200" s="202"/>
      <c r="O200" s="23" t="s">
        <v>340</v>
      </c>
      <c r="P200" s="20"/>
      <c r="Q200" s="137"/>
      <c r="R200" s="200" t="s">
        <v>338</v>
      </c>
      <c r="S200" s="201"/>
      <c r="T200" s="202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92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92</v>
      </c>
      <c r="O202" s="173">
        <f>N202</f>
        <v>92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92</v>
      </c>
      <c r="E204" s="176" t="s">
        <v>397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92</v>
      </c>
      <c r="O204" s="173">
        <f>N204</f>
        <v>92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140</v>
      </c>
      <c r="O205" s="21">
        <v>190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140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140</v>
      </c>
      <c r="O206" s="168">
        <f>O205*O203</f>
        <v>190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140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1.5217391304347827</v>
      </c>
      <c r="O209" s="170">
        <f>O206/O204</f>
        <v>2.0652173913043477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1.5217391304347827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3" t="s">
        <v>27</v>
      </c>
      <c r="E213" s="194"/>
      <c r="F213" s="194"/>
      <c r="G213" s="195"/>
      <c r="H213" s="20"/>
      <c r="I213" s="193" t="s">
        <v>392</v>
      </c>
      <c r="J213" s="194"/>
      <c r="K213" s="195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92</v>
      </c>
      <c r="H214" s="20"/>
      <c r="I214" s="20" t="s">
        <v>28</v>
      </c>
      <c r="J214" s="127"/>
      <c r="K214" s="21">
        <f>G214</f>
        <v>92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140</v>
      </c>
      <c r="H215" s="20"/>
      <c r="I215" s="20" t="s">
        <v>29</v>
      </c>
      <c r="J215" s="20"/>
      <c r="K215" s="21">
        <f>G215</f>
        <v>140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7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6.1814376473156907E-2</v>
      </c>
      <c r="H217" s="20"/>
      <c r="I217" s="23" t="s">
        <v>393</v>
      </c>
      <c r="J217" s="23"/>
      <c r="K217" s="213">
        <f>(K215-K214)/K214</f>
        <v>0.52173913043478259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84</v>
      </c>
      <c r="H218" s="20"/>
      <c r="I218" s="23" t="s">
        <v>394</v>
      </c>
      <c r="J218" s="23"/>
      <c r="K218" s="23">
        <f>K215/K214</f>
        <v>1.5217391304347827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7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6.1814376473156907E-2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431</v>
      </c>
      <c r="C3" s="212"/>
      <c r="F3" s="211" t="s">
        <v>432</v>
      </c>
      <c r="G3" s="212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292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2014-06-23T16:54:09Z</dcterms:modified>
</cp:coreProperties>
</file>
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43" i="18" l="1"/>
  <c r="Q41" i="18"/>
  <c r="Q39" i="18"/>
  <c r="Q37" i="18"/>
  <c r="Q30" i="18"/>
  <c r="Q28" i="18"/>
  <c r="Q26" i="18"/>
  <c r="Q11" i="18"/>
  <c r="Q8" i="18"/>
  <c r="K220" i="18" l="1"/>
  <c r="Q44" i="18"/>
  <c r="Q42" i="18"/>
  <c r="F115" i="18" l="1"/>
  <c r="F180" i="18" l="1"/>
  <c r="E180" i="18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72" i="18"/>
  <c r="Q74" i="18" s="1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102" i="18" s="1"/>
  <c r="Q97" i="18"/>
  <c r="Q103" i="18" s="1"/>
  <c r="Q100" i="18"/>
  <c r="Q106" i="18"/>
  <c r="Q107" i="18"/>
  <c r="Q108" i="18"/>
  <c r="Q109" i="18"/>
  <c r="Q111" i="18"/>
  <c r="Q112" i="18" s="1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 s="1"/>
  <c r="Q135" i="18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113" i="18" l="1"/>
  <c r="Q114" i="18" s="1"/>
  <c r="Q115" i="18"/>
  <c r="Q178" i="18"/>
  <c r="Q173" i="18"/>
  <c r="T192" i="18"/>
  <c r="T193" i="18" s="1"/>
  <c r="Q192" i="18"/>
  <c r="Q66" i="18"/>
  <c r="Q175" i="18" s="1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R52" i="18" l="1"/>
  <c r="H192" i="18"/>
  <c r="Q180" i="18"/>
  <c r="Q181" i="18" s="1"/>
  <c r="P91" i="18"/>
  <c r="R91" i="18" s="1"/>
  <c r="S44" i="18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G214" i="18" s="1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G215" i="18" s="1"/>
  <c r="K215" i="18" s="1"/>
  <c r="H207" i="18"/>
  <c r="I207" i="18" s="1"/>
  <c r="J207" i="18" s="1"/>
  <c r="J208" i="18" s="1"/>
  <c r="H205" i="18"/>
  <c r="H203" i="18"/>
  <c r="H202" i="18"/>
  <c r="I202" i="18" s="1"/>
  <c r="J202" i="18" s="1"/>
  <c r="G217" i="18" l="1"/>
  <c r="G220" i="18"/>
  <c r="K214" i="18"/>
  <c r="K217" i="18" s="1"/>
  <c r="Y38" i="18"/>
  <c r="D210" i="18"/>
  <c r="R55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K218" i="18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U32" i="18"/>
  <c r="V32" i="18" s="1"/>
  <c r="W32" i="18" s="1"/>
  <c r="X32" i="18" s="1"/>
  <c r="Y32" i="18" s="1"/>
  <c r="Z32" i="18" s="1"/>
  <c r="AA32" i="18" s="1"/>
  <c r="AB32" i="18" s="1"/>
  <c r="AC32" i="18" s="1"/>
  <c r="AD32" i="18" s="1"/>
  <c r="T32" i="18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U31" i="18"/>
  <c r="V31" i="18" s="1"/>
  <c r="W31" i="18" s="1"/>
  <c r="X31" i="18" s="1"/>
  <c r="Y31" i="18" s="1"/>
  <c r="Z31" i="18" s="1"/>
  <c r="AA31" i="18" s="1"/>
  <c r="AB31" i="18" s="1"/>
  <c r="AC31" i="18" s="1"/>
  <c r="T31" i="18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R141" i="18" l="1"/>
  <c r="Q191" i="18" s="1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P191" i="18" l="1"/>
  <c r="T191" i="18"/>
  <c r="T190" i="18" s="1"/>
  <c r="P181" i="18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<sst xmlns="http://schemas.openxmlformats.org/spreadsheetml/2006/main" count="650" uniqueCount="458">
  <si>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</si>
  <si>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</si>
  <si>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</si>
  <si>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</si>
  <si>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</si>
  <si>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</si>
  <si>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</si>
  <si>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</si>
  <si>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</si>
  <si>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</si>
  <si>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</si>
  <si>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</si>
  <si>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</si>
  <si>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</si>
  <si>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</si>
  <si>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</si>
  <si>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</si>
  <si>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</si>
  <si>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</si>
  <si>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</si>
  <si>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</si>
  <si>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</si>
  <si>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</si>
  <si>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</si>
  <si>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</si>
  <si>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</si>
  <si>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</si>
  <si>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</si>
  <si>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</si>
  <si>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</si>
  <si>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</si>
  <si>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</si>
  <si>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</si>
  <si>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</si>
  <si>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</si>
  <si>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</si>
  <si>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</si>
  <si>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</si>
  <si>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</si>
  <si>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</si>
  <si>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</si>
  <si>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</si>
  <si>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</si>
  <si>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</si>
  <si>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</si>
  <si>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</si>
  <si>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</si>
  <si>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</si>
  <si>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</si>
  <si>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</si>
  <si>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</si>
  <si>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</si>
  <si>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</si>
  <si>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</si>
  <si>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</si>
  <si>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</si>
  <si>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</si>
  <si>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</si>
  <si>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</si>
  <si>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</si>
  <si>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</si>
  <si>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</si>
  <si>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</si>
  <si>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</si>
  <si>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</si>
  <si>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</si>
  <si>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</si>
  <si>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</si>
  <si>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</si>
  <si>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</si>
  <si>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</si>
  <si>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</si>
  <si>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</si>
  <si>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</si>
  <si>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</si>
  <si>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</si>
  <si>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</si>
  <si>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</si>
  <si>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</si>
  <si>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</si>
  <si>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</si>
  <si>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</si>
  <si>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</si>
  <si>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</si>
  <si>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</si>
  <si>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</si>
  <si>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</si>
  <si>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</si>
  <si>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</si>
  <si>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</si>
  <si>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</si>
  <si>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</si>
  <si>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</si>
  <si>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</si>
  <si>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</si>
  <si>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</si>
  <si>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</si>
  <si>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</si>
  <si>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</si>
  <si>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</si>
  <si>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</si>
  <si>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</si>
  <si>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</si>
  <si>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</si>
  <si>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</si>
  <si>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</si>
  <si>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</si>
  <si>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</si>
  <si>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</si>
  <si>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</si>
  <si>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</si>
  <si>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</si>
  <si>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</si>
  <si>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</si>
  <si>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</si>
  <si>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</si>
  <si>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</si>
  <si>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</si>
  <si>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</si>
  <si>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</si>
  <si>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</si>
  <si>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</si>
  <si>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</si>
  <si>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</si>
  <si>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</si>
  <si>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</si>
  <si>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</si>
  <si>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</si>
  <si>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</si>
  <si>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</si>
  <si>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</si>
  <si>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</si>
  <si>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</si>
  <si>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</si>
  <si>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</si>
  <si>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</si>
  <si>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</si>
  <si>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</si>
  <si>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</si>
  <si>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</si>
  <si>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</si>
  <si>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</si>
  <si>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</si>
  <si>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</si>
  <si>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</si>
  <si>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</si>
  <si>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</si>
  <si>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</si>
  <si>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</si>
  <si>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</si>
  <si>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</si>
  <si>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</si>
  <si>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</si>
  <si>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</si>
  <si>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</si>
  <si>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</si>
  <si>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</si>
  <si>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</si>
  <si>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</si>
  <si>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</si>
  <si>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</si>
  <si>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</si>
  <si>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</si>
  <si>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</si>
  <si>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</si>
  <si>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</si>
  <si>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</si>
  <si>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</si>
  <si>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</si>
  <si>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</si>
  <si>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</si>
  <si>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</si>
  <si>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</si>
  <si>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</si>
  <si>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</si>
  <si>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</si>
  <si>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</si>
  <si>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</si>
  <si>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</si>
  <si>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</si>
  <si>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</si>
  <si>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</si>
  <si>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</si>
  <si>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</si>
  <si>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</si>
  <si>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</si>
  <si>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</si>
  <si>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</si>
  <si>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</si>
  <si>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</si>
  <si>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</si>
  <si>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</si>
  <si>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</si>
  <si>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</si>
  <si>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</si>
  <si>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</si>
  <si>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</si>
  <si>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</si>
  <si>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</si>
  <si>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</si>
  <si>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</si>
  <si>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</si>
  <si>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</si>
  <si>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</si>
  <si>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</si>
  <si>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</si>
  <si>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</si>
  <si>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</si>
  <si>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</si>
  <si>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</si>
  <si>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</si>
  <si>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</si>
  <si>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</si>
  <si>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</si>
  <si>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</si>
  <si>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</si>
  <si>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</si>
  <si>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</si>
  <si>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</si>
  <si>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</si>
  <si>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</si>
  <si>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</si>
  <si>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</si>
  <si>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</si>
  <si>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</si>
  <si>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</si>
  <si>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</si>
  <si>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</si>
  <si>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</si>
  <si>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</si>
  <si>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</si>
  <si>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</si>
  <si>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</si>
  <si>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</si>
  <si>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</si>
  <si>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</si>
  <si>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</si>
  <si>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</si>
  <si>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</si>
  <si>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</si>
  <si>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</si>
  <si>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</si>
  <si>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</si>
  <si>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</si>
  <si>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</si>
  <si>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</si>
  <si>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</si>
  <si>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</si>
  <si>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</si>
  <si>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</si>
  <si>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</si>
  <si>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</si>
  <si>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</si>
  <si>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</si>
  <si>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</si>
  <si>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</si>
  <si>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</si>
  <si>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</si>
  <si>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</si>
  <si>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</si>
  <si>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</si>
  <si>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</si>
  <si>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</si>
  <si>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</si>
  <si>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</si>
  <si>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</si>
  <si>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</si>
  <si>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</si>
  <si>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</si>
  <si>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</si>
  <si>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</si>
  <si>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</si>
  <si>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</si>
  <si>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</si>
  <si>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</si>
  <si>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</si>
  <si>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</si>
  <si>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</si>
  <si>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</si>
  <si>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</si>
  <si>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</si>
  <si>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</si>
  <si>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</si>
  <si>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</si>
  <si>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</si>
  <si>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</si>
  <si>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</si>
  <si>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</si>
  <si>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</si>
  <si>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</si>
  <si>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</si>
  <si>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</si>
  <si>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</si>
  <si>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</si>
  <si>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</si>
  <si>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</si>
  <si>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</si>
  <si>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</si>
  <si>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</si>
  <si>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</si>
  <si>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</si>
  <si>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</si>
  <si>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</si>
  <si>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</si>
  <si>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</si>
  <si>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</si>
  <si>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</si>
  <si>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</si>
  <si>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</si>
  <si>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</si>
  <si>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</si>
  <si>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</si>
  <si>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</si>
  <si>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</si>
  <si>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</si>
  <si>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</si>
  <si>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</si>
  <si>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</si>
  <si>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</si>
  <si>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</si>
  <si>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</si>
  <si>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</si>
  <si>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</si>
  <si>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</si>
  <si>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</si>
  <si>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</si>
  <si>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</si>
  <si>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</si>
  <si>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</si>
  <si>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</si>
  <si>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</si>
  <si>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</si>
  <si>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</si>
  <si>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</si>
  <si>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</si>
  <si>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</si>
  <si>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</si>
  <si>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</si>
  <si>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</si>
  <si>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</si>
  <si>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</si>
  <si>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</si>
  <si>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</si>
  <si>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</si>
  <si>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</si>
  <si>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</si>
  <si>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</si>
  <si>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</si>
  <si>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</si>
  <si>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</si>
  <si>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</si>
  <si>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</si>
  <si>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</si>
  <si>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</si>
  <si>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</si>
  <si>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</si>
  <si>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</si>
  <si>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</si>
  <si>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</si>
  <si>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</si>
  <si>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</si>
  <si>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</si>
  <si>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</si>
  <si>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</si>
  <si>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</si>
  <si>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</si>
  <si>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</si>
  <si>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</si>
  <si>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</si>
  <si>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</si>
  <si>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</si>
  <si>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</si>
  <si>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</si>
  <si>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</si>
  <si>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</si>
  <si>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</si>
  <si>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</si>
  <si>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</si>
  <si>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</si>
  <si>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</si>
  <si>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</si>
  <si>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</si>
  <si>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</si>
  <si>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</si>
  <si>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</si>
  <si>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</si>
  <si>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</si>
  <si>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</si>
  <si>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</si>
  <si>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</si>
  <si>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</si>
  <si>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</si>
  <si>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</si>
  <si>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</si>
  <si>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</si>
  <si>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</si>
  <si>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</si>
  <si>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</si>
  <si>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</si>
  <si>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</si>
  <si>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</si>
  <si>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</si>
  <si>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</si>
  <si>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</si>
  <si>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</si>
  <si>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</si>
  <si>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</si>
  <si>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</si>
  <si>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</si>
  <si>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</si>
  <si>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</si>
  <si>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</si>
  <si>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</si>
  <si>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</si>
  <si>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</si>
  <si>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</si>
  <si>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</si>
  <si>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</si>
  <si>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</si>
  <si>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</si>
  <si>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</si>
  <si>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</si>
  <si>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</si>
  <si>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</si>
  <si>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</si>
  <si>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</si>
  <si>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</si>
  <si>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</si>
  <si>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</si>
  <si>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</si>
  <si>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</si>
  <si>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</si>
  <si>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</si>
  <si>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</si>
  <si>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</si>
  <si>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</si>
  <si>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</si>
  <si>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</si>
  <si>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</si>
  <si>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</si>
  <si>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</si>
  <si>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</si>
  <si>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</si>
  <si>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</si>
  <si>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</si>
  <si>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</si>
  <si>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</si>
  <si>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</si>
  <si>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</si>
  <si>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</si>
  <si>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</si>
  <si>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</si>
  <si>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</si>
  <si>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</si>
  <si>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</si>
  <si>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</si>
  <si>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1x1</t>
  </si>
  <si>
    <t>Final Value in Rs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</si>
</sst>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5" fontId="16" fillId="5" borderId="1" xfId="2" applyNumberFormat="1" applyFont="1" applyFill="1" applyBorder="1"/>
    <xf numFmtId="0" fontId="16" fillId="5" borderId="1" xfId="0" applyFont="1" applyFill="1" applyBorder="1"/>
    <xf numFmtId="9" fontId="5" fillId="5" borderId="1" xfId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009280"/>
        <c:axId val="103658240"/>
      </c:lineChart>
      <c:catAx>
        <c:axId val="103009280"/>
        <c:scaling>
          <c:orientation val="minMax"/>
        </c:scaling>
        <c:delete val="0"/>
        <c:axPos val="b"/>
        <c:majorTickMark val="out"/>
        <c:minorTickMark val="none"/>
        <c:tickLblPos val="nextTo"/>
        <c:crossAx val="103658240"/>
        <c:crosses val="autoZero"/>
        <c:auto val="1"/>
        <c:lblAlgn val="ctr"/>
        <c:lblOffset val="100"/>
        <c:noMultiLvlLbl val="0"/>
      </c:catAx>
      <c:valAx>
        <c:axId val="103658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300928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141" activePane="bottomRight" state="frozen"/>
      <selection pane="topRight" activeCell="C1" sqref="C1"/>
      <selection pane="bottomLeft" activeCell="A5" sqref="A5"/>
      <selection pane="bottomRight" activeCell="O149" sqref="O149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9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0.15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9" t="s">
        <v>291</v>
      </c>
      <c r="AF2" s="200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201" t="s">
        <v>292</v>
      </c>
      <c r="AF3" s="202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93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18</v>
      </c>
      <c r="H6" s="147">
        <v>20</v>
      </c>
      <c r="I6" s="147">
        <v>26</v>
      </c>
      <c r="J6" s="147">
        <v>44</v>
      </c>
      <c r="K6" s="147">
        <v>55</v>
      </c>
      <c r="L6" s="147">
        <v>67</v>
      </c>
      <c r="M6" s="147">
        <v>85</v>
      </c>
      <c r="N6" s="147">
        <v>105</v>
      </c>
      <c r="O6" s="147">
        <v>132</v>
      </c>
      <c r="P6" s="147">
        <v>173</v>
      </c>
      <c r="Q6" s="147">
        <v>217</v>
      </c>
      <c r="R6" s="118">
        <f>((Q6/G6)^(1/($H$2-$H$1) ))-1</f>
        <v>0.31865721183317675</v>
      </c>
      <c r="S6" s="31">
        <f>$L$2</f>
        <v>0.15</v>
      </c>
      <c r="T6" s="154">
        <f>Q6*(1+$S6)</f>
        <v>249.54999999999998</v>
      </c>
      <c r="U6" s="154">
        <f>T6*(1+$S6)</f>
        <v>286.98249999999996</v>
      </c>
      <c r="V6" s="154">
        <f t="shared" ref="V6:AC6" si="0">U6*(1+$S6)</f>
        <v>330.02987499999995</v>
      </c>
      <c r="W6" s="154">
        <f t="shared" si="0"/>
        <v>379.53435624999992</v>
      </c>
      <c r="X6" s="154">
        <f t="shared" si="0"/>
        <v>436.46450968749986</v>
      </c>
      <c r="Y6" s="154">
        <f t="shared" si="0"/>
        <v>501.93418614062477</v>
      </c>
      <c r="Z6" s="154">
        <f t="shared" si="0"/>
        <v>577.22431406171847</v>
      </c>
      <c r="AA6" s="154">
        <f t="shared" si="0"/>
        <v>663.80796117097623</v>
      </c>
      <c r="AB6" s="154">
        <f t="shared" si="0"/>
        <v>763.37915534662261</v>
      </c>
      <c r="AC6" s="154">
        <f t="shared" si="0"/>
        <v>877.88602864861593</v>
      </c>
      <c r="AD6" s="138">
        <f>((AC6/G6)^(1/($AC$3-$H$1) ))-1</f>
        <v>0.21453009751646479</v>
      </c>
      <c r="AE6" s="31">
        <f>$L$1</f>
        <v>0.05</v>
      </c>
      <c r="AF6" s="146">
        <f t="shared" ref="AF6:AF44" si="1">(AC6*(1+AE6))/($C$1-AE6)</f>
        <v>5422.2372357708637</v>
      </c>
    </row>
    <row r="7" spans="2:32" x14ac:dyDescent="0.2">
      <c r="B7" s="20" t="s">
        <v>240</v>
      </c>
      <c r="C7" s="141"/>
      <c r="D7" s="141"/>
      <c r="E7" s="147"/>
      <c r="F7" s="147"/>
      <c r="G7" s="147">
        <v>21</v>
      </c>
      <c r="H7" s="147">
        <v>23</v>
      </c>
      <c r="I7" s="147">
        <v>28</v>
      </c>
      <c r="J7" s="147">
        <v>48</v>
      </c>
      <c r="K7" s="147">
        <v>58</v>
      </c>
      <c r="L7" s="147">
        <v>70</v>
      </c>
      <c r="M7" s="147">
        <v>88</v>
      </c>
      <c r="N7" s="147">
        <v>111</v>
      </c>
      <c r="O7" s="147">
        <v>139</v>
      </c>
      <c r="P7" s="147">
        <v>179</v>
      </c>
      <c r="Q7" s="147">
        <v>224</v>
      </c>
      <c r="R7" s="118">
        <f>((Q7/G7)^(1/($H$2-$H$1) ))-1</f>
        <v>0.30084458580389573</v>
      </c>
      <c r="S7" s="31">
        <f>$L$2</f>
        <v>0.15</v>
      </c>
      <c r="T7" s="154">
        <f t="shared" ref="T7:T44" si="2">Q7*(1+$S7)</f>
        <v>257.59999999999997</v>
      </c>
      <c r="U7" s="154">
        <f t="shared" ref="U7:AC7" si="3">T7*(1+$S7)</f>
        <v>296.23999999999995</v>
      </c>
      <c r="V7" s="154">
        <f t="shared" si="3"/>
        <v>340.67599999999993</v>
      </c>
      <c r="W7" s="154">
        <f t="shared" si="3"/>
        <v>391.77739999999989</v>
      </c>
      <c r="X7" s="154">
        <f t="shared" si="3"/>
        <v>450.54400999999984</v>
      </c>
      <c r="Y7" s="154">
        <f t="shared" si="3"/>
        <v>518.12561149999976</v>
      </c>
      <c r="Z7" s="154">
        <f t="shared" si="3"/>
        <v>595.84445322499971</v>
      </c>
      <c r="AA7" s="154">
        <f t="shared" si="3"/>
        <v>685.22112120874965</v>
      </c>
      <c r="AB7" s="154">
        <f t="shared" si="3"/>
        <v>788.00428939006201</v>
      </c>
      <c r="AC7" s="154">
        <f t="shared" si="3"/>
        <v>906.20493279857124</v>
      </c>
      <c r="AD7" s="138">
        <f>((AC7/G7)^(1/($AC$3-$H$1) ))-1</f>
        <v>0.2071197521431638</v>
      </c>
      <c r="AE7" s="31">
        <f>$L$1</f>
        <v>0.05</v>
      </c>
      <c r="AF7" s="146">
        <f t="shared" si="1"/>
        <v>5597.1481143441169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8.6956521739130432E-2</v>
      </c>
      <c r="I8" s="151">
        <f t="shared" ref="I8:Q8" si="4">(I7-H7)/I7</f>
        <v>0.17857142857142858</v>
      </c>
      <c r="J8" s="151">
        <f t="shared" si="4"/>
        <v>0.41666666666666669</v>
      </c>
      <c r="K8" s="151">
        <f t="shared" si="4"/>
        <v>0.17241379310344829</v>
      </c>
      <c r="L8" s="151">
        <f t="shared" si="4"/>
        <v>0.17142857142857143</v>
      </c>
      <c r="M8" s="151">
        <f t="shared" si="4"/>
        <v>0.20454545454545456</v>
      </c>
      <c r="N8" s="151">
        <f t="shared" si="4"/>
        <v>0.2072072072072072</v>
      </c>
      <c r="O8" s="151">
        <f t="shared" si="4"/>
        <v>0.20143884892086331</v>
      </c>
      <c r="P8" s="151">
        <f t="shared" si="4"/>
        <v>0.22346368715083798</v>
      </c>
      <c r="Q8" s="151">
        <f t="shared" si="4"/>
        <v>0.20089285714285715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24</v>
      </c>
      <c r="H9" s="147">
        <v>26</v>
      </c>
      <c r="I9" s="147">
        <v>28</v>
      </c>
      <c r="J9" s="147">
        <v>40</v>
      </c>
      <c r="K9" s="147">
        <v>43</v>
      </c>
      <c r="L9" s="147">
        <v>46</v>
      </c>
      <c r="M9" s="147">
        <v>58</v>
      </c>
      <c r="N9" s="147">
        <v>66</v>
      </c>
      <c r="O9" s="147">
        <v>87</v>
      </c>
      <c r="P9" s="147">
        <v>112</v>
      </c>
      <c r="Q9" s="147">
        <v>142</v>
      </c>
      <c r="R9" s="118">
        <f>((Q9/G9)^(1/($H$2-$H$1) ))-1</f>
        <v>0.21839005300458969</v>
      </c>
      <c r="S9" s="31">
        <f t="shared" ref="S9:S40" si="5">$L$2</f>
        <v>0.15</v>
      </c>
      <c r="T9" s="154">
        <f t="shared" si="2"/>
        <v>163.29999999999998</v>
      </c>
      <c r="U9" s="154">
        <f t="shared" ref="U9" si="6">T9*(1+$S9)</f>
        <v>187.79499999999996</v>
      </c>
      <c r="V9" s="154">
        <f t="shared" ref="V9" si="7">U9*(1+$S9)</f>
        <v>215.96424999999994</v>
      </c>
      <c r="W9" s="154">
        <f t="shared" ref="W9" si="8">V9*(1+$S9)</f>
        <v>248.35888749999989</v>
      </c>
      <c r="X9" s="154">
        <f t="shared" ref="X9" si="9">W9*(1+$S9)</f>
        <v>285.61272062499984</v>
      </c>
      <c r="Y9" s="154">
        <f t="shared" ref="Y9" si="10">X9*(1+$S9)</f>
        <v>328.4546287187498</v>
      </c>
      <c r="Z9" s="154">
        <f t="shared" ref="Z9" si="11">Y9*(1+$S9)</f>
        <v>377.72282302656225</v>
      </c>
      <c r="AA9" s="154">
        <f t="shared" ref="AA9" si="12">Z9*(1+$S9)</f>
        <v>434.38124648054657</v>
      </c>
      <c r="AB9" s="154">
        <f t="shared" ref="AB9" si="13">AA9*(1+$S9)</f>
        <v>499.53843345262851</v>
      </c>
      <c r="AC9" s="154">
        <f t="shared" ref="AC9" si="14">AB9*(1+$S9)</f>
        <v>574.46919847052277</v>
      </c>
      <c r="AD9" s="138">
        <f>((AC9/G9)^(1/($AC$3-$H$1) ))-1</f>
        <v>0.17206790928279747</v>
      </c>
      <c r="AE9" s="31">
        <f t="shared" ref="AE9:AE81" si="15">$L$1</f>
        <v>0.05</v>
      </c>
      <c r="AF9" s="146">
        <f t="shared" si="1"/>
        <v>3548.1921082002882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14</v>
      </c>
      <c r="H10" s="147">
        <v>13</v>
      </c>
      <c r="I10" s="147">
        <v>20</v>
      </c>
      <c r="J10" s="147">
        <v>30</v>
      </c>
      <c r="K10" s="147">
        <v>39</v>
      </c>
      <c r="L10" s="147">
        <v>37</v>
      </c>
      <c r="M10" s="147">
        <v>27</v>
      </c>
      <c r="N10" s="147">
        <v>38</v>
      </c>
      <c r="O10" s="147">
        <v>41</v>
      </c>
      <c r="P10" s="147">
        <v>55</v>
      </c>
      <c r="Q10" s="147">
        <v>42</v>
      </c>
      <c r="R10" s="118">
        <f>((Q10/G10)^(1/($H$2-$H$1) ))-1</f>
        <v>0.12983096390975302</v>
      </c>
      <c r="S10" s="31">
        <f t="shared" si="5"/>
        <v>0.15</v>
      </c>
      <c r="T10" s="154">
        <f t="shared" si="2"/>
        <v>48.3</v>
      </c>
      <c r="U10" s="154">
        <f t="shared" ref="U10:AC10" si="16">T10*(1+$S10)</f>
        <v>55.544999999999995</v>
      </c>
      <c r="V10" s="154">
        <f t="shared" si="16"/>
        <v>63.876749999999987</v>
      </c>
      <c r="W10" s="154">
        <f t="shared" si="16"/>
        <v>73.458262499999975</v>
      </c>
      <c r="X10" s="154">
        <f t="shared" si="16"/>
        <v>84.477001874999971</v>
      </c>
      <c r="Y10" s="154">
        <f t="shared" si="16"/>
        <v>97.148552156249963</v>
      </c>
      <c r="Z10" s="154">
        <f t="shared" si="16"/>
        <v>111.72083497968745</v>
      </c>
      <c r="AA10" s="154">
        <f t="shared" si="16"/>
        <v>128.47896022664057</v>
      </c>
      <c r="AB10" s="154">
        <f t="shared" si="16"/>
        <v>147.75080426063664</v>
      </c>
      <c r="AC10" s="154">
        <f t="shared" si="16"/>
        <v>169.91342489973212</v>
      </c>
      <c r="AD10" s="138">
        <f t="shared" ref="AD10:AD42" si="17">((AC10/G10)^(1/($AC$3-$H$1) ))-1</f>
        <v>0.13293497171681934</v>
      </c>
      <c r="AE10" s="31">
        <f t="shared" si="15"/>
        <v>0.05</v>
      </c>
      <c r="AF10" s="146">
        <f t="shared" si="1"/>
        <v>1049.4652714395222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-7.6923076923076927E-2</v>
      </c>
      <c r="I11" s="148">
        <f t="shared" si="18"/>
        <v>0.35</v>
      </c>
      <c r="J11" s="148">
        <f t="shared" si="18"/>
        <v>0.33333333333333331</v>
      </c>
      <c r="K11" s="148">
        <f t="shared" si="18"/>
        <v>0.23076923076923078</v>
      </c>
      <c r="L11" s="148">
        <f t="shared" si="18"/>
        <v>-5.4054054054054057E-2</v>
      </c>
      <c r="M11" s="148">
        <f t="shared" si="18"/>
        <v>-0.37037037037037035</v>
      </c>
      <c r="N11" s="148">
        <f t="shared" si="18"/>
        <v>0.28947368421052633</v>
      </c>
      <c r="O11" s="148">
        <f t="shared" si="18"/>
        <v>7.3170731707317069E-2</v>
      </c>
      <c r="P11" s="148">
        <f t="shared" si="18"/>
        <v>0.25454545454545452</v>
      </c>
      <c r="Q11" s="148">
        <f t="shared" si="18"/>
        <v>-0.30952380952380953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2</v>
      </c>
      <c r="H12" s="147">
        <v>3</v>
      </c>
      <c r="I12" s="147">
        <v>3</v>
      </c>
      <c r="J12" s="147">
        <v>11</v>
      </c>
      <c r="K12" s="147">
        <v>11</v>
      </c>
      <c r="L12" s="147">
        <v>21</v>
      </c>
      <c r="M12" s="147">
        <v>33</v>
      </c>
      <c r="N12" s="147">
        <v>36</v>
      </c>
      <c r="O12" s="147">
        <v>31</v>
      </c>
      <c r="P12" s="147">
        <v>40</v>
      </c>
      <c r="Q12" s="147">
        <v>31</v>
      </c>
      <c r="R12" s="118">
        <f>((Q12/G12)^(1/($H$2-$H$1) ))-1</f>
        <v>0.35599808928605858</v>
      </c>
      <c r="S12" s="31">
        <f t="shared" si="5"/>
        <v>0.15</v>
      </c>
      <c r="T12" s="154">
        <f t="shared" si="2"/>
        <v>35.65</v>
      </c>
      <c r="U12" s="154">
        <f t="shared" ref="U12:AC12" si="19">T12*(1+$S12)</f>
        <v>40.997499999999995</v>
      </c>
      <c r="V12" s="154">
        <f t="shared" si="19"/>
        <v>47.147124999999988</v>
      </c>
      <c r="W12" s="154">
        <f t="shared" si="19"/>
        <v>54.219193749999981</v>
      </c>
      <c r="X12" s="154">
        <f t="shared" si="19"/>
        <v>62.352072812499976</v>
      </c>
      <c r="Y12" s="154">
        <f t="shared" si="19"/>
        <v>71.704883734374974</v>
      </c>
      <c r="Z12" s="154">
        <f t="shared" si="19"/>
        <v>82.460616294531221</v>
      </c>
      <c r="AA12" s="154">
        <f t="shared" si="19"/>
        <v>94.829708738710892</v>
      </c>
      <c r="AB12" s="154">
        <f t="shared" si="19"/>
        <v>109.05416504951752</v>
      </c>
      <c r="AC12" s="154">
        <f t="shared" si="19"/>
        <v>125.41228980694514</v>
      </c>
      <c r="AD12" s="138">
        <f t="shared" si="17"/>
        <v>0.22988783280413494</v>
      </c>
      <c r="AE12" s="31">
        <f t="shared" si="15"/>
        <v>0.05</v>
      </c>
      <c r="AF12" s="146">
        <f t="shared" si="1"/>
        <v>774.60531939583768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0.01</v>
      </c>
      <c r="H13" s="147">
        <v>0</v>
      </c>
      <c r="I13" s="147">
        <v>0</v>
      </c>
      <c r="J13" s="147">
        <v>0</v>
      </c>
      <c r="K13" s="147">
        <v>0</v>
      </c>
      <c r="L13" s="147">
        <v>0</v>
      </c>
      <c r="M13" s="147">
        <v>0</v>
      </c>
      <c r="N13" s="147">
        <v>8</v>
      </c>
      <c r="O13" s="147">
        <v>1</v>
      </c>
      <c r="P13" s="147">
        <v>1</v>
      </c>
      <c r="Q13" s="147">
        <v>12</v>
      </c>
      <c r="R13" s="118">
        <f>((Q13/G13)^(1/($H$2-$H$1) ))-1</f>
        <v>1.1985241956094801</v>
      </c>
      <c r="S13" s="31">
        <f t="shared" si="5"/>
        <v>0.15</v>
      </c>
      <c r="T13" s="154">
        <f t="shared" si="2"/>
        <v>13.799999999999999</v>
      </c>
      <c r="U13" s="154">
        <f t="shared" ref="U13:AC13" si="20">T13*(1+$S13)</f>
        <v>15.869999999999997</v>
      </c>
      <c r="V13" s="154">
        <f t="shared" si="20"/>
        <v>18.250499999999995</v>
      </c>
      <c r="W13" s="154">
        <f t="shared" si="20"/>
        <v>20.988074999999991</v>
      </c>
      <c r="X13" s="154">
        <f t="shared" si="20"/>
        <v>24.136286249999987</v>
      </c>
      <c r="Y13" s="154">
        <f t="shared" si="20"/>
        <v>27.756729187499982</v>
      </c>
      <c r="Z13" s="154">
        <f t="shared" si="20"/>
        <v>31.920238565624977</v>
      </c>
      <c r="AA13" s="154">
        <f t="shared" si="20"/>
        <v>36.70827435046872</v>
      </c>
      <c r="AB13" s="154">
        <f t="shared" si="20"/>
        <v>42.214515503039024</v>
      </c>
      <c r="AC13" s="154">
        <f t="shared" si="20"/>
        <v>48.546692828494876</v>
      </c>
      <c r="AD13" s="138">
        <f t="shared" si="17"/>
        <v>0.52864972486703765</v>
      </c>
      <c r="AE13" s="31">
        <f t="shared" si="15"/>
        <v>0.05</v>
      </c>
      <c r="AF13" s="146">
        <f t="shared" si="1"/>
        <v>299.84722041129191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12</v>
      </c>
      <c r="H14" s="147">
        <v>13</v>
      </c>
      <c r="I14" s="147">
        <v>17</v>
      </c>
      <c r="J14" s="147">
        <v>20</v>
      </c>
      <c r="K14" s="147">
        <v>27</v>
      </c>
      <c r="L14" s="147">
        <v>27</v>
      </c>
      <c r="M14" s="147">
        <v>36</v>
      </c>
      <c r="N14" s="147">
        <v>50</v>
      </c>
      <c r="O14" s="147">
        <v>92</v>
      </c>
      <c r="P14" s="147">
        <v>94</v>
      </c>
      <c r="Q14" s="147">
        <v>105</v>
      </c>
      <c r="R14" s="118">
        <f>((Q14/G14)^(1/($H$2-$H$1) ))-1</f>
        <v>0.27252862809197231</v>
      </c>
      <c r="S14" s="31">
        <f t="shared" si="5"/>
        <v>0.15</v>
      </c>
      <c r="T14" s="154">
        <f t="shared" si="2"/>
        <v>120.74999999999999</v>
      </c>
      <c r="U14" s="154">
        <f t="shared" ref="U14" si="21">T14*(1+$S14)</f>
        <v>138.86249999999998</v>
      </c>
      <c r="V14" s="154">
        <f t="shared" ref="V14" si="22">U14*(1+$S14)</f>
        <v>159.69187499999998</v>
      </c>
      <c r="W14" s="154">
        <f t="shared" ref="W14" si="23">V14*(1+$S14)</f>
        <v>183.64565624999997</v>
      </c>
      <c r="X14" s="154">
        <f t="shared" ref="X14" si="24">W14*(1+$S14)</f>
        <v>211.19250468749996</v>
      </c>
      <c r="Y14" s="154">
        <f t="shared" ref="Y14" si="25">X14*(1+$S14)</f>
        <v>242.87138039062495</v>
      </c>
      <c r="Z14" s="154">
        <f t="shared" ref="Z14" si="26">Y14*(1+$S14)</f>
        <v>279.30208744921867</v>
      </c>
      <c r="AA14" s="154">
        <f t="shared" ref="AA14" si="27">Z14*(1+$S14)</f>
        <v>321.19740056660146</v>
      </c>
      <c r="AB14" s="154">
        <f t="shared" ref="AB14" si="28">AA14*(1+$S14)</f>
        <v>369.37701065159166</v>
      </c>
      <c r="AC14" s="154">
        <f t="shared" ref="AC14" si="29">AB14*(1+$S14)</f>
        <v>424.78356224933037</v>
      </c>
      <c r="AD14" s="138">
        <f t="shared" ref="AD14" si="30">((AC14/G14)^(1/($AC$3-$H$1) ))-1</f>
        <v>0.19522404863361942</v>
      </c>
      <c r="AE14" s="31">
        <f t="shared" si="15"/>
        <v>0.05</v>
      </c>
      <c r="AF14" s="146">
        <f t="shared" ref="AF14" si="31">(AC14*(1+AE14))/($C$1-AE14)</f>
        <v>2623.6631785988056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27</v>
      </c>
      <c r="H15" s="147">
        <v>28</v>
      </c>
      <c r="I15" s="147">
        <v>33</v>
      </c>
      <c r="J15" s="147">
        <v>46</v>
      </c>
      <c r="K15" s="147">
        <v>56</v>
      </c>
      <c r="L15" s="147">
        <v>61</v>
      </c>
      <c r="M15" s="147">
        <v>75</v>
      </c>
      <c r="N15" s="147">
        <v>97</v>
      </c>
      <c r="O15" s="147">
        <v>168</v>
      </c>
      <c r="P15" s="147">
        <v>217</v>
      </c>
      <c r="Q15" s="147">
        <v>242</v>
      </c>
      <c r="R15" s="118">
        <f>((Q15/G15)^(1/($H$2-$H$1) ))-1</f>
        <v>0.27593325217955589</v>
      </c>
      <c r="S15" s="31">
        <f t="shared" si="5"/>
        <v>0.15</v>
      </c>
      <c r="T15" s="154">
        <f t="shared" si="2"/>
        <v>278.29999999999995</v>
      </c>
      <c r="U15" s="154">
        <f t="shared" ref="U15:AC15" si="32">T15*(1+$S15)</f>
        <v>320.0449999999999</v>
      </c>
      <c r="V15" s="154">
        <f t="shared" si="32"/>
        <v>368.05174999999986</v>
      </c>
      <c r="W15" s="154">
        <f t="shared" si="32"/>
        <v>423.2595124999998</v>
      </c>
      <c r="X15" s="154">
        <f t="shared" si="32"/>
        <v>486.74843937499975</v>
      </c>
      <c r="Y15" s="154">
        <f t="shared" si="32"/>
        <v>559.76070528124967</v>
      </c>
      <c r="Z15" s="154">
        <f t="shared" si="32"/>
        <v>643.72481107343708</v>
      </c>
      <c r="AA15" s="154">
        <f t="shared" si="32"/>
        <v>740.28353273445259</v>
      </c>
      <c r="AB15" s="154">
        <f t="shared" si="32"/>
        <v>851.32606264462038</v>
      </c>
      <c r="AC15" s="154">
        <f t="shared" si="32"/>
        <v>979.02497204131339</v>
      </c>
      <c r="AD15" s="138">
        <f t="shared" si="17"/>
        <v>0.19666200011029855</v>
      </c>
      <c r="AE15" s="31">
        <f t="shared" si="15"/>
        <v>0.05</v>
      </c>
      <c r="AF15" s="146">
        <f t="shared" si="1"/>
        <v>6046.918944961054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5</v>
      </c>
      <c r="H16" s="147">
        <v>5</v>
      </c>
      <c r="I16" s="147">
        <v>8</v>
      </c>
      <c r="J16" s="147">
        <v>18</v>
      </c>
      <c r="K16" s="147">
        <v>21</v>
      </c>
      <c r="L16" s="147">
        <v>32</v>
      </c>
      <c r="M16" s="147">
        <v>45</v>
      </c>
      <c r="N16" s="147">
        <v>57</v>
      </c>
      <c r="O16" s="147">
        <v>78</v>
      </c>
      <c r="P16" s="147">
        <v>104</v>
      </c>
      <c r="Q16" s="147">
        <v>97</v>
      </c>
      <c r="R16" s="118">
        <f>((Q16/G16)^(1/($H$2-$H$1) ))-1</f>
        <v>0.39023776311961189</v>
      </c>
      <c r="S16" s="31">
        <f t="shared" si="5"/>
        <v>0.15</v>
      </c>
      <c r="T16" s="154">
        <f t="shared" si="2"/>
        <v>111.55</v>
      </c>
      <c r="U16" s="154">
        <f t="shared" ref="U16:AC16" si="33">T16*(1+$S16)</f>
        <v>128.2825</v>
      </c>
      <c r="V16" s="154">
        <f t="shared" si="33"/>
        <v>147.52487499999998</v>
      </c>
      <c r="W16" s="154">
        <f t="shared" si="33"/>
        <v>169.65360624999997</v>
      </c>
      <c r="X16" s="154">
        <f t="shared" si="33"/>
        <v>195.10164718749994</v>
      </c>
      <c r="Y16" s="154">
        <f t="shared" si="33"/>
        <v>224.36689426562492</v>
      </c>
      <c r="Z16" s="154">
        <f t="shared" si="33"/>
        <v>258.02192840546866</v>
      </c>
      <c r="AA16" s="154">
        <f t="shared" si="33"/>
        <v>296.72521766628893</v>
      </c>
      <c r="AB16" s="154">
        <f t="shared" si="33"/>
        <v>341.23400031623225</v>
      </c>
      <c r="AC16" s="154">
        <f t="shared" si="33"/>
        <v>392.41910036366704</v>
      </c>
      <c r="AD16" s="138">
        <f t="shared" si="17"/>
        <v>0.24376693377199654</v>
      </c>
      <c r="AE16" s="31">
        <f t="shared" si="15"/>
        <v>0.05</v>
      </c>
      <c r="AF16" s="146">
        <f t="shared" si="1"/>
        <v>2423.7650316579438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30</v>
      </c>
      <c r="H18" s="147">
        <v>30</v>
      </c>
      <c r="I18" s="147">
        <v>40</v>
      </c>
      <c r="J18" s="147">
        <v>49</v>
      </c>
      <c r="K18" s="147">
        <v>76</v>
      </c>
      <c r="L18" s="147">
        <v>74</v>
      </c>
      <c r="M18" s="147">
        <v>68</v>
      </c>
      <c r="N18" s="147">
        <v>78</v>
      </c>
      <c r="O18" s="147">
        <v>90</v>
      </c>
      <c r="P18" s="147">
        <v>125</v>
      </c>
      <c r="Q18" s="147">
        <v>152</v>
      </c>
      <c r="R18" s="118">
        <f>((Q18/G18)^(1/($H$2-$H$1) ))-1</f>
        <v>0.19757433864432272</v>
      </c>
      <c r="S18" s="31">
        <f t="shared" si="5"/>
        <v>0.15</v>
      </c>
      <c r="T18" s="154">
        <f t="shared" si="2"/>
        <v>174.79999999999998</v>
      </c>
      <c r="U18" s="154">
        <f t="shared" ref="U18:U34" si="34">T18*(1+$S18)</f>
        <v>201.01999999999995</v>
      </c>
      <c r="V18" s="154">
        <f t="shared" ref="V18:V34" si="35">U18*(1+$S18)</f>
        <v>231.17299999999992</v>
      </c>
      <c r="W18" s="154">
        <f t="shared" ref="W18:W34" si="36">V18*(1+$S18)</f>
        <v>265.84894999999989</v>
      </c>
      <c r="X18" s="154">
        <f t="shared" ref="X18:X36" si="37">W18*(1+$S18)</f>
        <v>305.72629249999983</v>
      </c>
      <c r="Y18" s="154">
        <f t="shared" ref="Y18:Y36" si="38">X18*(1+$S18)</f>
        <v>351.58523637499979</v>
      </c>
      <c r="Z18" s="154">
        <f t="shared" ref="Z18:Z36" si="39">Y18*(1+$S18)</f>
        <v>404.32302183124972</v>
      </c>
      <c r="AA18" s="154">
        <f t="shared" ref="AA18:AA36" si="40">Z18*(1+$S18)</f>
        <v>464.97147510593715</v>
      </c>
      <c r="AB18" s="154">
        <f t="shared" ref="AB18:AB36" si="41">AA18*(1+$S18)</f>
        <v>534.71719637182764</v>
      </c>
      <c r="AC18" s="154">
        <f t="shared" ref="AC18:AC36" si="42">AB18*(1+$S18)</f>
        <v>614.92477582760171</v>
      </c>
      <c r="AD18" s="138">
        <f t="shared" si="17"/>
        <v>0.16301425219905741</v>
      </c>
      <c r="AE18" s="31">
        <f t="shared" si="15"/>
        <v>0.05</v>
      </c>
      <c r="AF18" s="146">
        <f t="shared" si="1"/>
        <v>3798.0647918763643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5</v>
      </c>
      <c r="H20" s="147">
        <v>4</v>
      </c>
      <c r="I20" s="147">
        <v>7</v>
      </c>
      <c r="J20" s="147">
        <v>10</v>
      </c>
      <c r="K20" s="147">
        <v>10</v>
      </c>
      <c r="L20" s="147">
        <v>18</v>
      </c>
      <c r="M20" s="147">
        <v>23</v>
      </c>
      <c r="N20" s="147">
        <v>21</v>
      </c>
      <c r="O20" s="147">
        <v>5</v>
      </c>
      <c r="P20" s="147">
        <v>35</v>
      </c>
      <c r="Q20" s="147">
        <v>63</v>
      </c>
      <c r="R20" s="118">
        <f>((Q20/G20)^(1/($H$2-$H$1) ))-1</f>
        <v>0.32514497456318203</v>
      </c>
      <c r="S20" s="31">
        <f t="shared" si="5"/>
        <v>0.15</v>
      </c>
      <c r="T20" s="154">
        <f t="shared" si="2"/>
        <v>72.449999999999989</v>
      </c>
      <c r="U20" s="154">
        <f t="shared" ref="U20:U22" si="43">T20*(1+$S20)</f>
        <v>83.317499999999981</v>
      </c>
      <c r="V20" s="154">
        <f t="shared" ref="V20:V22" si="44">U20*(1+$S20)</f>
        <v>95.815124999999966</v>
      </c>
      <c r="W20" s="154">
        <f t="shared" ref="W20:W22" si="45">V20*(1+$S20)</f>
        <v>110.18739374999996</v>
      </c>
      <c r="X20" s="154">
        <f t="shared" ref="X20:X22" si="46">W20*(1+$S20)</f>
        <v>126.71550281249993</v>
      </c>
      <c r="Y20" s="154">
        <f t="shared" ref="Y20:Y22" si="47">X20*(1+$S20)</f>
        <v>145.7228282343749</v>
      </c>
      <c r="Z20" s="154">
        <f t="shared" ref="Z20:Z22" si="48">Y20*(1+$S20)</f>
        <v>167.58125246953114</v>
      </c>
      <c r="AA20" s="154">
        <f t="shared" ref="AA20:AA22" si="49">Z20*(1+$S20)</f>
        <v>192.71844033996078</v>
      </c>
      <c r="AB20" s="154">
        <f t="shared" ref="AB20:AB22" si="50">AA20*(1+$S20)</f>
        <v>221.62620639095488</v>
      </c>
      <c r="AC20" s="154">
        <f t="shared" ref="AC20:AC22" si="51">AB20*(1+$S20)</f>
        <v>254.87013734959808</v>
      </c>
      <c r="AD20" s="138">
        <f t="shared" ref="AD20:AD22" si="52">((AC20/G20)^(1/($AC$3-$H$1) ))-1</f>
        <v>0.21721542548439854</v>
      </c>
      <c r="AE20" s="31">
        <f t="shared" si="15"/>
        <v>0.05</v>
      </c>
      <c r="AF20" s="146">
        <f t="shared" si="1"/>
        <v>1574.1979071592825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-4</v>
      </c>
      <c r="H21" s="147">
        <v>-3</v>
      </c>
      <c r="I21" s="147">
        <v>-13</v>
      </c>
      <c r="J21" s="147">
        <v>-22</v>
      </c>
      <c r="K21" s="147">
        <v>-21</v>
      </c>
      <c r="L21" s="147">
        <v>-4</v>
      </c>
      <c r="M21" s="147">
        <v>-1</v>
      </c>
      <c r="N21" s="147">
        <v>-28</v>
      </c>
      <c r="O21" s="147">
        <v>-15</v>
      </c>
      <c r="P21" s="147">
        <v>-36</v>
      </c>
      <c r="Q21" s="147">
        <v>-48</v>
      </c>
      <c r="R21" s="118">
        <f>((Q21/G21)^(1/($H$2-$H$1) ))-1</f>
        <v>0.3179806292130023</v>
      </c>
      <c r="S21" s="31">
        <f t="shared" si="5"/>
        <v>0.15</v>
      </c>
      <c r="T21" s="154">
        <f t="shared" si="2"/>
        <v>-55.199999999999996</v>
      </c>
      <c r="U21" s="154">
        <f t="shared" si="43"/>
        <v>-63.47999999999999</v>
      </c>
      <c r="V21" s="154">
        <f t="shared" si="44"/>
        <v>-73.001999999999981</v>
      </c>
      <c r="W21" s="154">
        <f t="shared" si="45"/>
        <v>-83.952299999999966</v>
      </c>
      <c r="X21" s="154">
        <f t="shared" si="46"/>
        <v>-96.545144999999948</v>
      </c>
      <c r="Y21" s="154">
        <f t="shared" si="47"/>
        <v>-111.02691674999993</v>
      </c>
      <c r="Z21" s="154">
        <f t="shared" si="48"/>
        <v>-127.68095426249991</v>
      </c>
      <c r="AA21" s="154">
        <f t="shared" si="49"/>
        <v>-146.83309740187488</v>
      </c>
      <c r="AB21" s="154">
        <f t="shared" si="50"/>
        <v>-168.8580620121561</v>
      </c>
      <c r="AC21" s="154">
        <f t="shared" si="51"/>
        <v>-194.18677131397951</v>
      </c>
      <c r="AD21" s="138">
        <f t="shared" si="52"/>
        <v>0.21424963746539283</v>
      </c>
      <c r="AE21" s="31">
        <f t="shared" si="15"/>
        <v>0.05</v>
      </c>
      <c r="AF21" s="146">
        <f t="shared" si="1"/>
        <v>-1199.3888816451677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-1</v>
      </c>
      <c r="H22" s="147">
        <v>-1</v>
      </c>
      <c r="I22" s="147">
        <v>6</v>
      </c>
      <c r="J22" s="147">
        <v>20</v>
      </c>
      <c r="K22" s="147">
        <v>11</v>
      </c>
      <c r="L22" s="147">
        <v>-3</v>
      </c>
      <c r="M22" s="147">
        <v>-9</v>
      </c>
      <c r="N22" s="147">
        <v>9</v>
      </c>
      <c r="O22" s="147">
        <v>6</v>
      </c>
      <c r="P22" s="147">
        <v>9</v>
      </c>
      <c r="Q22" s="147">
        <v>-25</v>
      </c>
      <c r="R22" s="118">
        <f>((Q22/G22)^(1/($H$2-$H$1) ))-1</f>
        <v>0.42996914830872868</v>
      </c>
      <c r="S22" s="31">
        <f t="shared" si="5"/>
        <v>0.15</v>
      </c>
      <c r="T22" s="154">
        <f t="shared" si="2"/>
        <v>-28.749999999999996</v>
      </c>
      <c r="U22" s="154">
        <f t="shared" si="43"/>
        <v>-33.062499999999993</v>
      </c>
      <c r="V22" s="154">
        <f t="shared" si="44"/>
        <v>-38.021874999999987</v>
      </c>
      <c r="W22" s="154">
        <f t="shared" si="45"/>
        <v>-43.725156249999984</v>
      </c>
      <c r="X22" s="154">
        <f t="shared" si="46"/>
        <v>-50.283929687499977</v>
      </c>
      <c r="Y22" s="154">
        <f t="shared" si="47"/>
        <v>-57.826519140624967</v>
      </c>
      <c r="Z22" s="154">
        <f t="shared" si="48"/>
        <v>-66.500497011718707</v>
      </c>
      <c r="AA22" s="154">
        <f t="shared" si="49"/>
        <v>-76.475571563476507</v>
      </c>
      <c r="AB22" s="154">
        <f t="shared" si="50"/>
        <v>-87.946907297997981</v>
      </c>
      <c r="AC22" s="154">
        <f t="shared" si="51"/>
        <v>-101.13894339269767</v>
      </c>
      <c r="AD22" s="138">
        <f t="shared" si="52"/>
        <v>0.25963848412169321</v>
      </c>
      <c r="AE22" s="31">
        <f t="shared" si="15"/>
        <v>0.05</v>
      </c>
      <c r="AF22" s="146">
        <f t="shared" si="1"/>
        <v>-624.68170919019155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2</v>
      </c>
      <c r="H23" s="147">
        <v>3</v>
      </c>
      <c r="I23" s="147">
        <v>2.6</v>
      </c>
      <c r="J23" s="147">
        <v>10</v>
      </c>
      <c r="K23" s="147">
        <v>11</v>
      </c>
      <c r="L23" s="147">
        <v>22</v>
      </c>
      <c r="M23" s="147">
        <v>34</v>
      </c>
      <c r="N23" s="147">
        <v>36</v>
      </c>
      <c r="O23" s="147">
        <v>31</v>
      </c>
      <c r="P23" s="147">
        <v>40</v>
      </c>
      <c r="Q23" s="147">
        <v>30</v>
      </c>
      <c r="R23" s="118">
        <f>((Q23/G23)^(1/($H$2-$H$1) ))-1</f>
        <v>0.35106675160177092</v>
      </c>
      <c r="S23" s="31">
        <f t="shared" si="5"/>
        <v>0.15</v>
      </c>
      <c r="T23" s="154">
        <f t="shared" si="2"/>
        <v>34.5</v>
      </c>
      <c r="U23" s="154">
        <f t="shared" ref="U23" si="53">T23*(1+$S23)</f>
        <v>39.674999999999997</v>
      </c>
      <c r="V23" s="154">
        <f t="shared" ref="V23" si="54">U23*(1+$S23)</f>
        <v>45.626249999999992</v>
      </c>
      <c r="W23" s="154">
        <f t="shared" ref="W23" si="55">V23*(1+$S23)</f>
        <v>52.470187499999987</v>
      </c>
      <c r="X23" s="154">
        <f t="shared" ref="X23" si="56">W23*(1+$S23)</f>
        <v>60.34071562499998</v>
      </c>
      <c r="Y23" s="154">
        <f t="shared" ref="Y23" si="57">X23*(1+$S23)</f>
        <v>69.391822968749977</v>
      </c>
      <c r="Z23" s="154">
        <f t="shared" ref="Z23" si="58">Y23*(1+$S23)</f>
        <v>79.800596414062468</v>
      </c>
      <c r="AA23" s="154">
        <f t="shared" ref="AA23" si="59">Z23*(1+$S23)</f>
        <v>91.770685876171825</v>
      </c>
      <c r="AB23" s="154">
        <f t="shared" ref="AB23" si="60">AA23*(1+$S23)</f>
        <v>105.53628875759759</v>
      </c>
      <c r="AC23" s="154">
        <f t="shared" ref="AC23" si="61">AB23*(1+$S23)</f>
        <v>121.36673207123722</v>
      </c>
      <c r="AD23" s="138">
        <f t="shared" ref="AD23" si="62">((AC23/G23)^(1/($AC$3-$H$1) ))-1</f>
        <v>0.22787309462163563</v>
      </c>
      <c r="AE23" s="31">
        <f t="shared" si="15"/>
        <v>0.05</v>
      </c>
      <c r="AF23" s="146">
        <f t="shared" si="1"/>
        <v>749.61805102822996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51</v>
      </c>
      <c r="H25" s="147">
        <v>62</v>
      </c>
      <c r="I25" s="147">
        <v>84</v>
      </c>
      <c r="J25" s="147">
        <v>110</v>
      </c>
      <c r="K25" s="147">
        <v>133</v>
      </c>
      <c r="L25" s="147">
        <v>161</v>
      </c>
      <c r="M25" s="147">
        <v>201</v>
      </c>
      <c r="N25" s="147">
        <v>255</v>
      </c>
      <c r="O25" s="147">
        <v>361</v>
      </c>
      <c r="P25" s="147">
        <v>496</v>
      </c>
      <c r="Q25" s="147">
        <v>681</v>
      </c>
      <c r="R25" s="118">
        <f>((Q25/G25)^(1/($H$2-$H$1) ))-1</f>
        <v>0.33371828094509759</v>
      </c>
      <c r="S25" s="31">
        <f t="shared" si="5"/>
        <v>0.15</v>
      </c>
      <c r="T25" s="154">
        <f t="shared" si="2"/>
        <v>783.15</v>
      </c>
      <c r="U25" s="154">
        <f t="shared" si="34"/>
        <v>900.62249999999995</v>
      </c>
      <c r="V25" s="154">
        <f t="shared" si="35"/>
        <v>1035.7158749999999</v>
      </c>
      <c r="W25" s="154">
        <f t="shared" si="36"/>
        <v>1191.0732562499998</v>
      </c>
      <c r="X25" s="154">
        <f t="shared" si="37"/>
        <v>1369.7342446874995</v>
      </c>
      <c r="Y25" s="154">
        <f t="shared" si="38"/>
        <v>1575.1943813906244</v>
      </c>
      <c r="Z25" s="154">
        <f t="shared" si="39"/>
        <v>1811.4735385992178</v>
      </c>
      <c r="AA25" s="154">
        <f t="shared" si="40"/>
        <v>2083.1945693891003</v>
      </c>
      <c r="AB25" s="154">
        <f t="shared" si="41"/>
        <v>2395.6737547974649</v>
      </c>
      <c r="AC25" s="154">
        <f t="shared" si="42"/>
        <v>2755.0248180170843</v>
      </c>
      <c r="AD25" s="138">
        <f t="shared" si="17"/>
        <v>0.22075290648616575</v>
      </c>
      <c r="AE25" s="31">
        <f t="shared" si="15"/>
        <v>0.05</v>
      </c>
      <c r="AF25" s="146">
        <f t="shared" si="1"/>
        <v>17016.329758340817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0.17741935483870969</v>
      </c>
      <c r="I26" s="148">
        <f t="shared" ref="I26" si="63">(I25-H25)/I25</f>
        <v>0.26190476190476192</v>
      </c>
      <c r="J26" s="148">
        <f t="shared" ref="J26" si="64">(J25-I25)/J25</f>
        <v>0.23636363636363636</v>
      </c>
      <c r="K26" s="148">
        <f t="shared" ref="K26" si="65">(K25-J25)/K25</f>
        <v>0.17293233082706766</v>
      </c>
      <c r="L26" s="148">
        <f t="shared" ref="L26" si="66">(L25-K25)/L25</f>
        <v>0.17391304347826086</v>
      </c>
      <c r="M26" s="148">
        <f t="shared" ref="M26" si="67">(M25-L25)/M25</f>
        <v>0.19900497512437812</v>
      </c>
      <c r="N26" s="148">
        <f t="shared" ref="N26" si="68">(N25-M25)/N25</f>
        <v>0.21176470588235294</v>
      </c>
      <c r="O26" s="148">
        <f t="shared" ref="O26" si="69">(O25-N25)/O25</f>
        <v>0.29362880886426596</v>
      </c>
      <c r="P26" s="148">
        <f t="shared" ref="P26:Q30" si="70">(P25-O25)/P25</f>
        <v>0.27217741935483869</v>
      </c>
      <c r="Q26" s="148">
        <f t="shared" si="70"/>
        <v>0.27165932452276065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45</v>
      </c>
      <c r="H27" s="147">
        <v>55</v>
      </c>
      <c r="I27" s="147">
        <v>71</v>
      </c>
      <c r="J27" s="147">
        <v>90</v>
      </c>
      <c r="K27" s="147">
        <v>110</v>
      </c>
      <c r="L27" s="147">
        <v>131</v>
      </c>
      <c r="M27" s="147">
        <v>162</v>
      </c>
      <c r="N27" s="147">
        <v>205</v>
      </c>
      <c r="O27" s="147">
        <v>301</v>
      </c>
      <c r="P27" s="147">
        <v>412</v>
      </c>
      <c r="Q27" s="147">
        <v>580</v>
      </c>
      <c r="R27" s="118">
        <f>((Q27/G27)^(1/($H$2-$H$1) ))-1</f>
        <v>0.32848689777920304</v>
      </c>
      <c r="S27" s="31">
        <f t="shared" si="5"/>
        <v>0.15</v>
      </c>
      <c r="T27" s="154">
        <f t="shared" si="2"/>
        <v>667</v>
      </c>
      <c r="U27" s="154">
        <f t="shared" si="34"/>
        <v>767.05</v>
      </c>
      <c r="V27" s="154">
        <f t="shared" si="35"/>
        <v>882.10749999999985</v>
      </c>
      <c r="W27" s="154">
        <f t="shared" si="36"/>
        <v>1014.4236249999998</v>
      </c>
      <c r="X27" s="154">
        <f t="shared" si="37"/>
        <v>1166.5871687499996</v>
      </c>
      <c r="Y27" s="154">
        <f t="shared" si="38"/>
        <v>1341.5752440624995</v>
      </c>
      <c r="Z27" s="154">
        <f t="shared" si="39"/>
        <v>1542.8115306718742</v>
      </c>
      <c r="AA27" s="154">
        <f t="shared" si="40"/>
        <v>1774.2332602726551</v>
      </c>
      <c r="AB27" s="154">
        <f t="shared" si="41"/>
        <v>2040.3682493135532</v>
      </c>
      <c r="AC27" s="154">
        <f t="shared" si="42"/>
        <v>2346.4234867105861</v>
      </c>
      <c r="AD27" s="138">
        <f t="shared" si="17"/>
        <v>0.21859584829028322</v>
      </c>
      <c r="AE27" s="31">
        <f t="shared" si="15"/>
        <v>0.05</v>
      </c>
      <c r="AF27" s="146">
        <f t="shared" si="1"/>
        <v>14492.615653212446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0.18181818181818182</v>
      </c>
      <c r="I28" s="148">
        <f t="shared" si="71"/>
        <v>0.22535211267605634</v>
      </c>
      <c r="J28" s="148">
        <f t="shared" si="71"/>
        <v>0.21111111111111111</v>
      </c>
      <c r="K28" s="148">
        <f t="shared" si="71"/>
        <v>0.18181818181818182</v>
      </c>
      <c r="L28" s="148">
        <f t="shared" si="71"/>
        <v>0.16030534351145037</v>
      </c>
      <c r="M28" s="148">
        <f t="shared" si="71"/>
        <v>0.19135802469135801</v>
      </c>
      <c r="N28" s="148">
        <f t="shared" ref="N28" si="72">(N27-M27)/N27</f>
        <v>0.2097560975609756</v>
      </c>
      <c r="O28" s="148">
        <f t="shared" ref="O28" si="73">(O27-N27)/O27</f>
        <v>0.31893687707641194</v>
      </c>
      <c r="P28" s="148">
        <f t="shared" ref="P28:Q28" si="74">(P27-O27)/P27</f>
        <v>0.26941747572815533</v>
      </c>
      <c r="Q28" s="148">
        <f t="shared" si="70"/>
        <v>0.28965517241379313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1.22</v>
      </c>
      <c r="H29" s="147">
        <v>1</v>
      </c>
      <c r="I29" s="147">
        <v>1.3</v>
      </c>
      <c r="J29" s="147">
        <v>2.2000000000000002</v>
      </c>
      <c r="K29" s="147">
        <v>3</v>
      </c>
      <c r="L29" s="147">
        <v>4</v>
      </c>
      <c r="M29" s="147">
        <v>2.5</v>
      </c>
      <c r="N29" s="147">
        <v>2.7</v>
      </c>
      <c r="O29" s="147">
        <v>4</v>
      </c>
      <c r="P29" s="147">
        <v>7</v>
      </c>
      <c r="Q29" s="147">
        <v>7</v>
      </c>
      <c r="R29" s="118">
        <f>((Q29/G29)^(1/($H$2-$H$1) ))-1</f>
        <v>0.21423918919136997</v>
      </c>
      <c r="S29" s="31">
        <f t="shared" si="5"/>
        <v>0.15</v>
      </c>
      <c r="T29" s="154">
        <f t="shared" si="2"/>
        <v>8.0499999999999989</v>
      </c>
      <c r="U29" s="154">
        <f t="shared" ref="U29" si="75">T29*(1+$S29)</f>
        <v>9.2574999999999985</v>
      </c>
      <c r="V29" s="154">
        <f t="shared" ref="V29" si="76">U29*(1+$S29)</f>
        <v>10.646124999999998</v>
      </c>
      <c r="W29" s="154">
        <f t="shared" ref="W29" si="77">V29*(1+$S29)</f>
        <v>12.243043749999996</v>
      </c>
      <c r="X29" s="154">
        <f t="shared" ref="X29" si="78">W29*(1+$S29)</f>
        <v>14.079500312499995</v>
      </c>
      <c r="Y29" s="154">
        <f t="shared" ref="Y29" si="79">X29*(1+$S29)</f>
        <v>16.191425359374993</v>
      </c>
      <c r="Z29" s="154">
        <f t="shared" ref="Z29" si="80">Y29*(1+$S29)</f>
        <v>18.620139163281241</v>
      </c>
      <c r="AA29" s="154">
        <f t="shared" ref="AA29" si="81">Z29*(1+$S29)</f>
        <v>21.413160037773427</v>
      </c>
      <c r="AB29" s="154">
        <f t="shared" ref="AB29" si="82">AA29*(1+$S29)</f>
        <v>24.625134043439438</v>
      </c>
      <c r="AC29" s="154">
        <f t="shared" ref="AC29" si="83">AB29*(1+$S29)</f>
        <v>28.318904149955351</v>
      </c>
      <c r="AD29" s="138">
        <f t="shared" ref="AD29" si="84">((AC29/G29)^(1/($AC$3-$H$1) ))-1</f>
        <v>0.17026934966449558</v>
      </c>
      <c r="AE29" s="31">
        <f t="shared" si="15"/>
        <v>0.05</v>
      </c>
      <c r="AF29" s="146">
        <f t="shared" ref="AF29" si="85">(AC29*(1+AE29))/($C$1-AE29)</f>
        <v>174.91087857325365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-0.21999999999999997</v>
      </c>
      <c r="I30" s="148">
        <f t="shared" si="86"/>
        <v>0.23076923076923078</v>
      </c>
      <c r="J30" s="148">
        <f t="shared" si="86"/>
        <v>0.40909090909090912</v>
      </c>
      <c r="K30" s="148">
        <f t="shared" si="86"/>
        <v>0.26666666666666661</v>
      </c>
      <c r="L30" s="148">
        <f t="shared" si="86"/>
        <v>0.25</v>
      </c>
      <c r="M30" s="148">
        <f t="shared" ref="M30" si="87">(M29-L29)/M29</f>
        <v>-0.6</v>
      </c>
      <c r="N30" s="148">
        <f t="shared" ref="N30" si="88">(N29-M29)/N29</f>
        <v>7.4074074074074139E-2</v>
      </c>
      <c r="O30" s="148">
        <f t="shared" ref="O30" si="89">(O29-N29)/O29</f>
        <v>0.32499999999999996</v>
      </c>
      <c r="P30" s="148">
        <f t="shared" ref="P30:Q30" si="90">(P29-O29)/P29</f>
        <v>0.42857142857142855</v>
      </c>
      <c r="Q30" s="148">
        <f t="shared" si="70"/>
        <v>0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5"/>
        <v>0.15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5"/>
        <v>0.15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20</v>
      </c>
      <c r="H33" s="147">
        <v>27</v>
      </c>
      <c r="I33" s="147">
        <v>36</v>
      </c>
      <c r="J33" s="147">
        <v>48</v>
      </c>
      <c r="K33" s="147">
        <v>58</v>
      </c>
      <c r="L33" s="147">
        <v>68</v>
      </c>
      <c r="M33" s="147">
        <v>85</v>
      </c>
      <c r="N33" s="147">
        <v>110</v>
      </c>
      <c r="O33" s="147">
        <v>170</v>
      </c>
      <c r="P33" s="147">
        <v>235</v>
      </c>
      <c r="Q33" s="147">
        <v>344</v>
      </c>
      <c r="R33" s="118">
        <f>((Q33/G33)^(1/($H$2-$H$1) ))-1</f>
        <v>0.37176885577937413</v>
      </c>
      <c r="S33" s="31">
        <f t="shared" si="5"/>
        <v>0.15</v>
      </c>
      <c r="T33" s="154">
        <f t="shared" si="2"/>
        <v>395.59999999999997</v>
      </c>
      <c r="U33" s="154">
        <f t="shared" si="34"/>
        <v>454.93999999999994</v>
      </c>
      <c r="V33" s="154">
        <f t="shared" si="35"/>
        <v>523.18099999999993</v>
      </c>
      <c r="W33" s="154">
        <f t="shared" si="36"/>
        <v>601.65814999999986</v>
      </c>
      <c r="X33" s="154">
        <f t="shared" si="37"/>
        <v>691.90687249999974</v>
      </c>
      <c r="Y33" s="154">
        <f t="shared" si="38"/>
        <v>795.69290337499967</v>
      </c>
      <c r="Z33" s="154">
        <f t="shared" si="39"/>
        <v>915.04683888124953</v>
      </c>
      <c r="AA33" s="154">
        <f t="shared" si="40"/>
        <v>1052.303864713437</v>
      </c>
      <c r="AB33" s="154">
        <f t="shared" si="41"/>
        <v>1210.1494444204525</v>
      </c>
      <c r="AC33" s="154">
        <f t="shared" si="42"/>
        <v>1391.6718610835203</v>
      </c>
      <c r="AD33" s="138">
        <f t="shared" si="17"/>
        <v>0.23630419396670543</v>
      </c>
      <c r="AE33" s="31">
        <f t="shared" si="15"/>
        <v>0.05</v>
      </c>
      <c r="AF33" s="146">
        <f t="shared" si="1"/>
        <v>8595.6203184570386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9</v>
      </c>
      <c r="H34" s="147">
        <v>10</v>
      </c>
      <c r="I34" s="147">
        <v>12</v>
      </c>
      <c r="J34" s="147">
        <v>15</v>
      </c>
      <c r="K34" s="147">
        <v>20</v>
      </c>
      <c r="L34" s="147">
        <v>23</v>
      </c>
      <c r="M34" s="147">
        <v>25</v>
      </c>
      <c r="N34" s="147">
        <v>32</v>
      </c>
      <c r="O34" s="147">
        <v>43</v>
      </c>
      <c r="P34" s="147">
        <v>58</v>
      </c>
      <c r="Q34" s="147">
        <v>74</v>
      </c>
      <c r="R34" s="118">
        <f>((Q34/G34)^(1/($H$2-$H$1) ))-1</f>
        <v>0.26376251030160192</v>
      </c>
      <c r="S34" s="31">
        <f t="shared" si="5"/>
        <v>0.15</v>
      </c>
      <c r="T34" s="154">
        <f t="shared" si="2"/>
        <v>85.1</v>
      </c>
      <c r="U34" s="154">
        <f t="shared" si="34"/>
        <v>97.864999999999981</v>
      </c>
      <c r="V34" s="154">
        <f t="shared" si="35"/>
        <v>112.54474999999996</v>
      </c>
      <c r="W34" s="154">
        <f t="shared" si="36"/>
        <v>129.42646249999996</v>
      </c>
      <c r="X34" s="154">
        <f t="shared" si="37"/>
        <v>148.84043187499995</v>
      </c>
      <c r="Y34" s="154">
        <f t="shared" si="38"/>
        <v>171.16649665624993</v>
      </c>
      <c r="Z34" s="154">
        <f t="shared" si="39"/>
        <v>196.84147115468741</v>
      </c>
      <c r="AA34" s="154">
        <f t="shared" si="40"/>
        <v>226.3676918278905</v>
      </c>
      <c r="AB34" s="154">
        <f t="shared" si="41"/>
        <v>260.32284560207404</v>
      </c>
      <c r="AC34" s="154">
        <f t="shared" si="42"/>
        <v>299.37127244238513</v>
      </c>
      <c r="AD34" s="138">
        <f t="shared" si="17"/>
        <v>0.19151189054340412</v>
      </c>
      <c r="AE34" s="31">
        <f t="shared" si="15"/>
        <v>0.05</v>
      </c>
      <c r="AF34" s="146">
        <f t="shared" si="1"/>
        <v>1849.0578592029674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6</v>
      </c>
      <c r="H36" s="147">
        <v>7</v>
      </c>
      <c r="I36" s="147">
        <v>12</v>
      </c>
      <c r="J36" s="147">
        <v>19</v>
      </c>
      <c r="K36" s="147">
        <v>21</v>
      </c>
      <c r="L36" s="147">
        <v>30</v>
      </c>
      <c r="M36" s="147">
        <v>36</v>
      </c>
      <c r="N36" s="147">
        <v>47</v>
      </c>
      <c r="O36" s="147">
        <v>53</v>
      </c>
      <c r="P36" s="147">
        <v>75</v>
      </c>
      <c r="Q36" s="147">
        <v>95</v>
      </c>
      <c r="R36" s="118">
        <f>((Q36/G36)^(1/($H$2-$H$1) ))-1</f>
        <v>0.35920767194936576</v>
      </c>
      <c r="S36" s="31">
        <f t="shared" si="5"/>
        <v>0.15</v>
      </c>
      <c r="T36" s="154">
        <f t="shared" si="2"/>
        <v>109.24999999999999</v>
      </c>
      <c r="U36" s="154">
        <f t="shared" ref="U36" si="94">T36*(1+$S36)</f>
        <v>125.63749999999997</v>
      </c>
      <c r="V36" s="154">
        <f t="shared" ref="V36" si="95">U36*(1+$S36)</f>
        <v>144.48312499999997</v>
      </c>
      <c r="W36" s="154">
        <f t="shared" ref="W36" si="96">V36*(1+$S36)</f>
        <v>166.15559374999995</v>
      </c>
      <c r="X36" s="154">
        <f t="shared" si="37"/>
        <v>191.07893281249994</v>
      </c>
      <c r="Y36" s="154">
        <f t="shared" si="38"/>
        <v>219.74077273437493</v>
      </c>
      <c r="Z36" s="154">
        <f t="shared" si="39"/>
        <v>252.70188864453115</v>
      </c>
      <c r="AA36" s="154">
        <f t="shared" si="40"/>
        <v>290.60717194121082</v>
      </c>
      <c r="AB36" s="154">
        <f t="shared" si="41"/>
        <v>334.19824773239242</v>
      </c>
      <c r="AC36" s="154">
        <f t="shared" si="42"/>
        <v>384.32798489225127</v>
      </c>
      <c r="AD36" s="138">
        <f t="shared" si="17"/>
        <v>0.23119696972956105</v>
      </c>
      <c r="AE36" s="31">
        <f t="shared" si="15"/>
        <v>0.05</v>
      </c>
      <c r="AF36" s="146">
        <f t="shared" si="1"/>
        <v>2373.7904949227291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0.14285714285714285</v>
      </c>
      <c r="I37" s="148">
        <f t="shared" ref="I37" si="99">(I36-H36)/I36</f>
        <v>0.41666666666666669</v>
      </c>
      <c r="J37" s="148">
        <f t="shared" ref="J37" si="100">(J36-I36)/J36</f>
        <v>0.36842105263157893</v>
      </c>
      <c r="K37" s="148">
        <f t="shared" ref="K37" si="101">(K36-J36)/K36</f>
        <v>9.5238095238095233E-2</v>
      </c>
      <c r="L37" s="148">
        <f t="shared" ref="L37" si="102">(L36-K36)/L36</f>
        <v>0.3</v>
      </c>
      <c r="M37" s="148">
        <f t="shared" ref="M37" si="103">(M36-L36)/M36</f>
        <v>0.16666666666666666</v>
      </c>
      <c r="N37" s="148">
        <f t="shared" ref="N37" si="104">(N36-M36)/N36</f>
        <v>0.23404255319148937</v>
      </c>
      <c r="O37" s="148">
        <f t="shared" ref="O37" si="105">(O36-N36)/O36</f>
        <v>0.11320754716981132</v>
      </c>
      <c r="P37" s="148">
        <f t="shared" ref="P37:Q37" si="106">(P36-O36)/P36</f>
        <v>0.29333333333333333</v>
      </c>
      <c r="Q37" s="148">
        <f t="shared" si="106"/>
        <v>0.21052631578947367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401</v>
      </c>
      <c r="C38" s="149"/>
      <c r="D38" s="149"/>
      <c r="E38" s="150"/>
      <c r="F38" s="150"/>
      <c r="G38" s="147">
        <v>3</v>
      </c>
      <c r="H38" s="147">
        <v>4</v>
      </c>
      <c r="I38" s="147">
        <v>9</v>
      </c>
      <c r="J38" s="147">
        <v>14</v>
      </c>
      <c r="K38" s="147">
        <v>15</v>
      </c>
      <c r="L38" s="147">
        <v>20</v>
      </c>
      <c r="M38" s="147">
        <v>30</v>
      </c>
      <c r="N38" s="147">
        <v>40</v>
      </c>
      <c r="O38" s="147">
        <v>48</v>
      </c>
      <c r="P38" s="147">
        <v>68</v>
      </c>
      <c r="Q38" s="147">
        <v>82</v>
      </c>
      <c r="R38" s="118">
        <f>((Q38/G38)^(1/($H$2-$H$1) ))-1</f>
        <v>0.4442171930276011</v>
      </c>
      <c r="S38" s="31">
        <f t="shared" si="5"/>
        <v>0.15</v>
      </c>
      <c r="T38" s="154">
        <f t="shared" si="2"/>
        <v>94.3</v>
      </c>
      <c r="U38" s="154">
        <f t="shared" ref="U38" si="107">T38*(1+$S38)</f>
        <v>108.44499999999999</v>
      </c>
      <c r="V38" s="154">
        <f t="shared" ref="V38" si="108">U38*(1+$S38)</f>
        <v>124.71174999999998</v>
      </c>
      <c r="W38" s="154">
        <f t="shared" ref="W38" si="109">V38*(1+$S38)</f>
        <v>143.41851249999996</v>
      </c>
      <c r="X38" s="154">
        <f t="shared" ref="X38" si="110">W38*(1+$S38)</f>
        <v>164.93128937499995</v>
      </c>
      <c r="Y38" s="154">
        <f t="shared" ref="Y38" si="111">X38*(1+$S38)</f>
        <v>189.67098278124993</v>
      </c>
      <c r="Z38" s="154">
        <f t="shared" ref="Z38" si="112">Y38*(1+$S38)</f>
        <v>218.1216301984374</v>
      </c>
      <c r="AA38" s="154">
        <f t="shared" ref="AA38" si="113">Z38*(1+$S38)</f>
        <v>250.839874728203</v>
      </c>
      <c r="AB38" s="154">
        <f t="shared" ref="AB38" si="114">AA38*(1+$S38)</f>
        <v>288.46585593743345</v>
      </c>
      <c r="AC38" s="154">
        <f t="shared" ref="AC38" si="115">AB38*(1+$S38)</f>
        <v>331.73573432804841</v>
      </c>
      <c r="AD38" s="138">
        <f t="shared" ref="AD38" si="116">((AC38/G38)^(1/($AC$3-$H$1) ))-1</f>
        <v>0.26527098814782679</v>
      </c>
      <c r="AE38" s="31">
        <f t="shared" si="15"/>
        <v>0.05</v>
      </c>
      <c r="AF38" s="146">
        <f t="shared" ref="AF38" si="117">(AC38*(1+AE38))/($C$1-AE38)</f>
        <v>2048.9560061438287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0.25</v>
      </c>
      <c r="I39" s="148">
        <f t="shared" ref="I39" si="120">(I38-H38)/I38</f>
        <v>0.55555555555555558</v>
      </c>
      <c r="J39" s="148">
        <f t="shared" ref="J39" si="121">(J38-I38)/J38</f>
        <v>0.35714285714285715</v>
      </c>
      <c r="K39" s="148">
        <f t="shared" ref="K39" si="122">(K38-J38)/K38</f>
        <v>6.6666666666666666E-2</v>
      </c>
      <c r="L39" s="148">
        <f t="shared" ref="L39" si="123">(L38-K38)/L38</f>
        <v>0.25</v>
      </c>
      <c r="M39" s="148">
        <f t="shared" ref="M39" si="124">(M38-L38)/M38</f>
        <v>0.33333333333333331</v>
      </c>
      <c r="N39" s="148">
        <f t="shared" ref="N39" si="125">(N38-M38)/N38</f>
        <v>0.25</v>
      </c>
      <c r="O39" s="148">
        <f t="shared" ref="O39" si="126">(O38-N38)/O38</f>
        <v>0.16666666666666666</v>
      </c>
      <c r="P39" s="148">
        <f t="shared" ref="P39:Q39" si="127">(P38-O38)/P38</f>
        <v>0.29411764705882354</v>
      </c>
      <c r="Q39" s="148">
        <f t="shared" si="127"/>
        <v>0.17073170731707318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402</v>
      </c>
      <c r="C40" s="141"/>
      <c r="D40" s="141"/>
      <c r="E40" s="147"/>
      <c r="F40" s="147"/>
      <c r="G40" s="147">
        <v>1.6</v>
      </c>
      <c r="H40" s="147">
        <v>2.2999999999999998</v>
      </c>
      <c r="I40" s="147">
        <v>6</v>
      </c>
      <c r="J40" s="147">
        <v>9</v>
      </c>
      <c r="K40" s="147">
        <v>10</v>
      </c>
      <c r="L40" s="147">
        <v>13</v>
      </c>
      <c r="M40" s="147">
        <v>19</v>
      </c>
      <c r="N40" s="147">
        <v>26</v>
      </c>
      <c r="O40" s="147">
        <v>32</v>
      </c>
      <c r="P40" s="147">
        <v>46</v>
      </c>
      <c r="Q40" s="147">
        <v>52</v>
      </c>
      <c r="R40" s="118">
        <f>((Q40/G40)^(1/($H$2-$H$1) ))-1</f>
        <v>0.47226856743931123</v>
      </c>
      <c r="S40" s="31">
        <f t="shared" si="5"/>
        <v>0.15</v>
      </c>
      <c r="T40" s="154">
        <f t="shared" si="2"/>
        <v>59.8</v>
      </c>
      <c r="U40" s="154">
        <f t="shared" ref="U40:AC40" si="128">T40*(1+$S40)</f>
        <v>68.77</v>
      </c>
      <c r="V40" s="154">
        <f t="shared" si="128"/>
        <v>79.085499999999996</v>
      </c>
      <c r="W40" s="154">
        <f t="shared" si="128"/>
        <v>90.948324999999983</v>
      </c>
      <c r="X40" s="154">
        <f t="shared" si="128"/>
        <v>104.59057374999998</v>
      </c>
      <c r="Y40" s="154">
        <f t="shared" si="128"/>
        <v>120.27915981249997</v>
      </c>
      <c r="Z40" s="154">
        <f t="shared" si="128"/>
        <v>138.32103378437495</v>
      </c>
      <c r="AA40" s="154">
        <f t="shared" si="128"/>
        <v>159.06918885203117</v>
      </c>
      <c r="AB40" s="154">
        <f t="shared" si="128"/>
        <v>182.92956717983583</v>
      </c>
      <c r="AC40" s="154">
        <f t="shared" si="128"/>
        <v>210.3690022568112</v>
      </c>
      <c r="AD40" s="138">
        <f t="shared" si="17"/>
        <v>0.27627154986435554</v>
      </c>
      <c r="AE40" s="31">
        <f t="shared" si="15"/>
        <v>0.05</v>
      </c>
      <c r="AF40" s="146">
        <f t="shared" si="1"/>
        <v>1299.3379551155988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0.30434782608695643</v>
      </c>
      <c r="I41" s="148">
        <f t="shared" si="129"/>
        <v>0.6166666666666667</v>
      </c>
      <c r="J41" s="148">
        <f t="shared" si="129"/>
        <v>0.33333333333333331</v>
      </c>
      <c r="K41" s="148">
        <f t="shared" si="129"/>
        <v>0.1</v>
      </c>
      <c r="L41" s="148">
        <f t="shared" si="129"/>
        <v>0.23076923076923078</v>
      </c>
      <c r="M41" s="148">
        <f t="shared" si="129"/>
        <v>0.31578947368421051</v>
      </c>
      <c r="N41" s="148">
        <f t="shared" si="129"/>
        <v>0.26923076923076922</v>
      </c>
      <c r="O41" s="148">
        <f t="shared" si="129"/>
        <v>0.1875</v>
      </c>
      <c r="P41" s="148">
        <f t="shared" si="129"/>
        <v>0.30434782608695654</v>
      </c>
      <c r="Q41" s="148">
        <f t="shared" si="129"/>
        <v>0.11538461538461539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0.53</v>
      </c>
      <c r="H42" s="145">
        <v>0.53</v>
      </c>
      <c r="I42" s="145">
        <v>0.53</v>
      </c>
      <c r="J42" s="145">
        <v>0.6</v>
      </c>
      <c r="K42" s="145">
        <v>0.62</v>
      </c>
      <c r="L42" s="145">
        <v>0.62</v>
      </c>
      <c r="M42" s="145">
        <v>0.63</v>
      </c>
      <c r="N42" s="145">
        <v>1.26</v>
      </c>
      <c r="O42" s="145">
        <v>1.26</v>
      </c>
      <c r="P42" s="145">
        <v>1.26</v>
      </c>
      <c r="Q42" s="147">
        <f>P42</f>
        <v>1.26</v>
      </c>
      <c r="R42" s="118">
        <f>((Q42/G42)^(1/($H$2-$H$1) ))-1</f>
        <v>0.1010024801563103</v>
      </c>
      <c r="S42" s="31">
        <v>0.01</v>
      </c>
      <c r="T42" s="154">
        <f t="shared" si="2"/>
        <v>1.2726</v>
      </c>
      <c r="U42" s="154">
        <f t="shared" ref="U42:AC42" si="130">T42*(1+$S42)</f>
        <v>1.285326</v>
      </c>
      <c r="V42" s="154">
        <f t="shared" si="130"/>
        <v>1.2981792599999999</v>
      </c>
      <c r="W42" s="154">
        <f t="shared" si="130"/>
        <v>1.3111610525999999</v>
      </c>
      <c r="X42" s="154">
        <f t="shared" si="130"/>
        <v>1.324272663126</v>
      </c>
      <c r="Y42" s="154">
        <f t="shared" si="130"/>
        <v>1.33751538975726</v>
      </c>
      <c r="Z42" s="154">
        <f t="shared" si="130"/>
        <v>1.3508905436548326</v>
      </c>
      <c r="AA42" s="154">
        <f t="shared" si="130"/>
        <v>1.3643994490913809</v>
      </c>
      <c r="AB42" s="154">
        <f t="shared" si="130"/>
        <v>1.3780434435822948</v>
      </c>
      <c r="AC42" s="154">
        <f t="shared" si="130"/>
        <v>1.3918238780181178</v>
      </c>
      <c r="AD42" s="138">
        <f t="shared" si="17"/>
        <v>4.9458865462635337E-2</v>
      </c>
      <c r="AE42" s="31">
        <f t="shared" si="15"/>
        <v>0.05</v>
      </c>
      <c r="AF42" s="146">
        <f t="shared" si="1"/>
        <v>8.596559246582494</v>
      </c>
    </row>
    <row r="43" spans="2:32" x14ac:dyDescent="0.2">
      <c r="B43" s="20"/>
      <c r="C43" s="142"/>
      <c r="D43" s="142"/>
      <c r="E43" s="143"/>
      <c r="F43" s="147"/>
      <c r="G43" s="148">
        <f>(G42-F42)/G42</f>
        <v>-0.88679245283018859</v>
      </c>
      <c r="H43" s="148">
        <f t="shared" ref="H43" si="131">(H42-G42)/H42</f>
        <v>0</v>
      </c>
      <c r="I43" s="148">
        <f t="shared" ref="I43" si="132">(I42-H42)/I42</f>
        <v>0</v>
      </c>
      <c r="J43" s="148">
        <f t="shared" ref="J43" si="133">(J42-I42)/J42</f>
        <v>0.11666666666666659</v>
      </c>
      <c r="K43" s="148">
        <f t="shared" ref="K43" si="134">(K42-J42)/K42</f>
        <v>3.2258064516129059E-2</v>
      </c>
      <c r="L43" s="148">
        <f t="shared" ref="L43" si="135">(L42-K42)/L42</f>
        <v>0</v>
      </c>
      <c r="M43" s="148">
        <f t="shared" ref="M43" si="136">(M42-L42)/M42</f>
        <v>1.5873015873015886E-2</v>
      </c>
      <c r="N43" s="148">
        <f t="shared" ref="N43" si="137">(N42-M42)/N42</f>
        <v>0.5</v>
      </c>
      <c r="O43" s="148">
        <f t="shared" ref="O43" si="138">(O42-N42)/O42</f>
        <v>0</v>
      </c>
      <c r="P43" s="148">
        <f t="shared" ref="P43:Q43" si="139">(P42-O42)/P42</f>
        <v>0</v>
      </c>
      <c r="Q43" s="148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>
        <v>0.75</v>
      </c>
      <c r="H44" s="145">
        <v>0.8</v>
      </c>
      <c r="I44" s="145">
        <v>0.9</v>
      </c>
      <c r="J44" s="145">
        <v>1.1000000000000001</v>
      </c>
      <c r="K44" s="145">
        <v>1.5</v>
      </c>
      <c r="L44" s="145">
        <v>2</v>
      </c>
      <c r="M44" s="145">
        <v>2.5</v>
      </c>
      <c r="N44" s="145">
        <v>2.5</v>
      </c>
      <c r="O44" s="145">
        <v>3</v>
      </c>
      <c r="P44" s="145">
        <v>4</v>
      </c>
      <c r="Q44" s="147">
        <f>P44</f>
        <v>4</v>
      </c>
      <c r="R44" s="118">
        <f>((Q44/G44)^(1/($H$2-$H$1) ))-1</f>
        <v>0.20441910661166141</v>
      </c>
      <c r="S44" s="31">
        <f>P1</f>
        <v>0.05</v>
      </c>
      <c r="T44" s="154">
        <f t="shared" si="2"/>
        <v>4.2</v>
      </c>
      <c r="U44" s="154">
        <f t="shared" ref="U44" si="140">T44*(1+$S44)</f>
        <v>4.41</v>
      </c>
      <c r="V44" s="154">
        <f t="shared" ref="V44" si="141">U44*(1+$S44)</f>
        <v>4.6305000000000005</v>
      </c>
      <c r="W44" s="154">
        <f t="shared" ref="W44" si="142">V44*(1+$S44)</f>
        <v>4.8620250000000009</v>
      </c>
      <c r="X44" s="154">
        <f t="shared" ref="X44" si="143">W44*(1+$S44)</f>
        <v>5.1051262500000014</v>
      </c>
      <c r="Y44" s="154">
        <f t="shared" ref="Y44" si="144">X44*(1+$S44)</f>
        <v>5.3603825625000017</v>
      </c>
      <c r="Z44" s="154">
        <f t="shared" ref="Z44" si="145">Y44*(1+$S44)</f>
        <v>5.6284016906250018</v>
      </c>
      <c r="AA44" s="154">
        <f t="shared" ref="AA44" si="146">Z44*(1+$S44)</f>
        <v>5.9098217751562521</v>
      </c>
      <c r="AB44" s="154">
        <f t="shared" ref="AB44" si="147">AA44*(1+$S44)</f>
        <v>6.2053128639140649</v>
      </c>
      <c r="AC44" s="154">
        <f t="shared" ref="AC44" si="148">AB44*(1+$S44)</f>
        <v>6.515578507109768</v>
      </c>
      <c r="AD44" s="138">
        <f t="shared" ref="AD44" si="149">((AC44/G44)^(1/($AC$3-$H$1) ))-1</f>
        <v>0.11415236357419878</v>
      </c>
      <c r="AE44" s="31">
        <f t="shared" si="15"/>
        <v>0.05</v>
      </c>
      <c r="AF44" s="146">
        <f t="shared" si="1"/>
        <v>40.243279014501518</v>
      </c>
    </row>
    <row r="45" spans="2:32" x14ac:dyDescent="0.2">
      <c r="B45" s="20" t="s">
        <v>427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28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425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 t="s">
        <v>456</v>
      </c>
      <c r="O46" s="147">
        <v>0</v>
      </c>
      <c r="P46" s="147">
        <v>0</v>
      </c>
      <c r="Q46" s="147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426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94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96.226415094339615</v>
      </c>
      <c r="H50" s="133">
        <f t="shared" si="150"/>
        <v>116.98113207547169</v>
      </c>
      <c r="I50" s="133">
        <f t="shared" si="150"/>
        <v>158.49056603773585</v>
      </c>
      <c r="J50" s="133">
        <f t="shared" si="150"/>
        <v>183.33333333333334</v>
      </c>
      <c r="K50" s="133">
        <f t="shared" si="150"/>
        <v>214.51612903225808</v>
      </c>
      <c r="L50" s="133">
        <f t="shared" si="150"/>
        <v>259.67741935483872</v>
      </c>
      <c r="M50" s="133">
        <f t="shared" si="150"/>
        <v>319.04761904761904</v>
      </c>
      <c r="N50" s="133">
        <f t="shared" si="150"/>
        <v>202.38095238095238</v>
      </c>
      <c r="O50" s="133">
        <f t="shared" si="150"/>
        <v>286.50793650793651</v>
      </c>
      <c r="P50" s="133">
        <f t="shared" si="150"/>
        <v>393.65079365079367</v>
      </c>
      <c r="Q50" s="133">
        <f t="shared" ref="Q50" si="151">Q25/Q42</f>
        <v>540.47619047619048</v>
      </c>
      <c r="R50" s="118">
        <f>((P50/G50)^(1/($H$2-$H$1) ))-1</f>
        <v>0.16944458484421254</v>
      </c>
      <c r="S50" s="128"/>
      <c r="T50" s="158">
        <f t="shared" ref="T50:AC50" si="152">T25/T42</f>
        <v>615.39368222536541</v>
      </c>
      <c r="U50" s="158">
        <f t="shared" si="152"/>
        <v>700.69577679125757</v>
      </c>
      <c r="V50" s="158">
        <f t="shared" si="152"/>
        <v>797.82192406925367</v>
      </c>
      <c r="W50" s="158">
        <f t="shared" si="152"/>
        <v>908.41110166301155</v>
      </c>
      <c r="X50" s="158">
        <f t="shared" si="152"/>
        <v>1034.3294721905575</v>
      </c>
      <c r="Y50" s="158">
        <f t="shared" si="152"/>
        <v>1177.7018742763773</v>
      </c>
      <c r="Z50" s="158">
        <f t="shared" si="152"/>
        <v>1340.9476786315186</v>
      </c>
      <c r="AA50" s="158">
        <f t="shared" si="152"/>
        <v>1526.8216142834121</v>
      </c>
      <c r="AB50" s="158">
        <f t="shared" si="152"/>
        <v>1738.4602538870529</v>
      </c>
      <c r="AC50" s="158">
        <f t="shared" si="152"/>
        <v>1979.434942544664</v>
      </c>
      <c r="AD50" s="138">
        <f t="shared" ref="AD50" si="153">((AC50/G50)^(1/($AC$3-$H$1) ))-1</f>
        <v>0.16322130067291241</v>
      </c>
      <c r="AE50" s="31">
        <f t="shared" si="15"/>
        <v>0.05</v>
      </c>
      <c r="AF50" s="146">
        <f t="shared" ref="AF50:AF51" si="154">(AC50*(1+AE50))/($C$1-AE50)</f>
        <v>12225.921703952337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84.905660377358487</v>
      </c>
      <c r="H51" s="133">
        <f t="shared" si="155"/>
        <v>103.77358490566037</v>
      </c>
      <c r="I51" s="133">
        <f t="shared" si="155"/>
        <v>133.96226415094338</v>
      </c>
      <c r="J51" s="133">
        <f t="shared" si="155"/>
        <v>150</v>
      </c>
      <c r="K51" s="133">
        <f t="shared" si="155"/>
        <v>177.41935483870967</v>
      </c>
      <c r="L51" s="133">
        <f t="shared" si="155"/>
        <v>211.29032258064515</v>
      </c>
      <c r="M51" s="133">
        <f t="shared" si="155"/>
        <v>257.14285714285717</v>
      </c>
      <c r="N51" s="133">
        <f t="shared" si="155"/>
        <v>162.69841269841271</v>
      </c>
      <c r="O51" s="133">
        <f t="shared" si="155"/>
        <v>238.88888888888889</v>
      </c>
      <c r="P51" s="133">
        <f t="shared" si="155"/>
        <v>326.98412698412699</v>
      </c>
      <c r="Q51" s="133">
        <f t="shared" ref="Q51" si="156">Q27/Q42</f>
        <v>460.3174603174603</v>
      </c>
      <c r="R51" s="118">
        <f>((P51/G51)^(1/($H$2-$H$1) ))-1</f>
        <v>0.1616239524885501</v>
      </c>
      <c r="S51" s="128"/>
      <c r="T51" s="158">
        <f t="shared" ref="T51:AC51" si="157">T27/T42</f>
        <v>524.12384095552409</v>
      </c>
      <c r="U51" s="158">
        <f t="shared" si="157"/>
        <v>596.77467039490364</v>
      </c>
      <c r="V51" s="158">
        <f t="shared" si="157"/>
        <v>679.49591183578138</v>
      </c>
      <c r="W51" s="158">
        <f t="shared" si="157"/>
        <v>773.68346397143421</v>
      </c>
      <c r="X51" s="158">
        <f t="shared" si="157"/>
        <v>880.92671640311801</v>
      </c>
      <c r="Y51" s="158">
        <f t="shared" si="157"/>
        <v>1003.0353701619659</v>
      </c>
      <c r="Z51" s="158">
        <f t="shared" si="157"/>
        <v>1142.0699759269908</v>
      </c>
      <c r="AA51" s="158">
        <f t="shared" si="157"/>
        <v>1300.3767052634053</v>
      </c>
      <c r="AB51" s="158">
        <f t="shared" si="157"/>
        <v>1480.6269416365503</v>
      </c>
      <c r="AC51" s="158">
        <f t="shared" si="157"/>
        <v>1685.8623592891413</v>
      </c>
      <c r="AD51" s="138">
        <f t="shared" ref="AD51" si="158">((AC51/G51)^(1/($AC$3-$H$1) ))-1</f>
        <v>0.16116590025001765</v>
      </c>
      <c r="AE51" s="31">
        <f t="shared" si="15"/>
        <v>0.05</v>
      </c>
      <c r="AF51" s="146">
        <f t="shared" si="154"/>
        <v>10412.679277962345</v>
      </c>
    </row>
    <row r="52" spans="2:32" x14ac:dyDescent="0.2">
      <c r="B52" s="20" t="s">
        <v>428</v>
      </c>
      <c r="C52" s="133"/>
      <c r="D52" s="133"/>
      <c r="E52" s="133"/>
      <c r="F52" s="133"/>
      <c r="G52" s="133">
        <f>G38-G40</f>
        <v>1.4</v>
      </c>
      <c r="H52" s="133">
        <f t="shared" ref="H52:P52" si="159">H38-H40</f>
        <v>1.7000000000000002</v>
      </c>
      <c r="I52" s="133">
        <f t="shared" si="159"/>
        <v>3</v>
      </c>
      <c r="J52" s="133">
        <f t="shared" si="159"/>
        <v>5</v>
      </c>
      <c r="K52" s="133">
        <f t="shared" si="159"/>
        <v>5</v>
      </c>
      <c r="L52" s="133">
        <f t="shared" si="159"/>
        <v>7</v>
      </c>
      <c r="M52" s="133">
        <f t="shared" si="159"/>
        <v>11</v>
      </c>
      <c r="N52" s="133">
        <f t="shared" si="159"/>
        <v>14</v>
      </c>
      <c r="O52" s="133">
        <f t="shared" si="159"/>
        <v>16</v>
      </c>
      <c r="P52" s="133">
        <f t="shared" si="159"/>
        <v>22</v>
      </c>
      <c r="Q52" s="133">
        <f t="shared" ref="Q52" si="160">Q38-Q40</f>
        <v>30</v>
      </c>
      <c r="R52" s="118">
        <f>((P52/G52)^(1/($H$2-$H$1) ))-1</f>
        <v>0.35806834752240646</v>
      </c>
      <c r="S52" s="128"/>
      <c r="T52" s="133">
        <f t="shared" ref="T52:AC52" si="161">T38-T40</f>
        <v>34.5</v>
      </c>
      <c r="U52" s="133">
        <f t="shared" si="161"/>
        <v>39.674999999999997</v>
      </c>
      <c r="V52" s="133">
        <f t="shared" si="161"/>
        <v>45.626249999999985</v>
      </c>
      <c r="W52" s="133">
        <f t="shared" si="161"/>
        <v>52.47018749999998</v>
      </c>
      <c r="X52" s="133">
        <f t="shared" si="161"/>
        <v>60.340715624999973</v>
      </c>
      <c r="Y52" s="133">
        <f t="shared" si="161"/>
        <v>69.391822968749963</v>
      </c>
      <c r="Z52" s="133">
        <f t="shared" si="161"/>
        <v>79.800596414062454</v>
      </c>
      <c r="AA52" s="133">
        <f t="shared" si="161"/>
        <v>91.770685876171825</v>
      </c>
      <c r="AB52" s="133">
        <f t="shared" si="161"/>
        <v>105.53628875759762</v>
      </c>
      <c r="AC52" s="133">
        <f t="shared" si="161"/>
        <v>121.36673207123721</v>
      </c>
      <c r="AD52" s="138">
        <f t="shared" ref="AD52" si="162">((AC52/G52)^(1/($AC$3-$H$1) ))-1</f>
        <v>0.24996709683982554</v>
      </c>
      <c r="AE52" s="31">
        <f t="shared" si="15"/>
        <v>0.05</v>
      </c>
      <c r="AF52" s="146">
        <f t="shared" ref="AF52" si="163">(AC52*(1+AE52))/($C$1-AE52)</f>
        <v>749.61805102822984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3.0188679245283021</v>
      </c>
      <c r="H54" s="133">
        <f t="shared" si="164"/>
        <v>4.3396226415094334</v>
      </c>
      <c r="I54" s="133">
        <f t="shared" si="164"/>
        <v>11.320754716981131</v>
      </c>
      <c r="J54" s="133">
        <f t="shared" si="164"/>
        <v>15</v>
      </c>
      <c r="K54" s="133">
        <f t="shared" si="164"/>
        <v>16.129032258064516</v>
      </c>
      <c r="L54" s="133">
        <f t="shared" si="164"/>
        <v>20.967741935483872</v>
      </c>
      <c r="M54" s="133">
        <f t="shared" si="164"/>
        <v>30.158730158730158</v>
      </c>
      <c r="N54" s="133">
        <f t="shared" si="164"/>
        <v>20.634920634920636</v>
      </c>
      <c r="O54" s="133">
        <f t="shared" si="164"/>
        <v>25.396825396825395</v>
      </c>
      <c r="P54" s="133">
        <f t="shared" si="164"/>
        <v>36.507936507936506</v>
      </c>
      <c r="Q54" s="133">
        <f t="shared" ref="Q54" si="165">Q40/Q42</f>
        <v>41.269841269841272</v>
      </c>
      <c r="R54" s="118">
        <f>((P54/G54)^(1/($H$2-$H$1) ))-1</f>
        <v>0.3191147448340832</v>
      </c>
      <c r="S54" s="128"/>
      <c r="T54" s="158">
        <f t="shared" ref="T54:AC54" si="166">T40/T42</f>
        <v>46.990413327046987</v>
      </c>
      <c r="U54" s="158">
        <f t="shared" si="166"/>
        <v>53.503935966439641</v>
      </c>
      <c r="V54" s="158">
        <f t="shared" si="166"/>
        <v>60.920323130104542</v>
      </c>
      <c r="W54" s="158">
        <f t="shared" si="166"/>
        <v>69.364724356059625</v>
      </c>
      <c r="X54" s="158">
        <f t="shared" si="166"/>
        <v>78.979636643038177</v>
      </c>
      <c r="Y54" s="158">
        <f t="shared" si="166"/>
        <v>89.927309049003853</v>
      </c>
      <c r="Z54" s="158">
        <f t="shared" si="166"/>
        <v>102.39248060035091</v>
      </c>
      <c r="AA54" s="158">
        <f t="shared" si="166"/>
        <v>116.58549771327084</v>
      </c>
      <c r="AB54" s="158">
        <f t="shared" si="166"/>
        <v>132.74586373293212</v>
      </c>
      <c r="AC54" s="158">
        <f t="shared" si="166"/>
        <v>151.14628048799202</v>
      </c>
      <c r="AD54" s="138">
        <f t="shared" ref="AD54:AD68" si="167">((AC54/G54)^(1/($AC$3-$H$1) ))-1</f>
        <v>0.21612346311614017</v>
      </c>
      <c r="AE54" s="31">
        <f t="shared" si="15"/>
        <v>0.05</v>
      </c>
      <c r="AF54" s="146">
        <f t="shared" ref="AF54:AF82" si="168">(AC54*(1+AE54))/($C$1-AE54)</f>
        <v>933.55055595524493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9.4339622641509422</v>
      </c>
      <c r="H55" s="133">
        <f t="shared" ref="H55:P55" si="170">H20/H42</f>
        <v>7.5471698113207539</v>
      </c>
      <c r="I55" s="133">
        <f t="shared" si="170"/>
        <v>13.20754716981132</v>
      </c>
      <c r="J55" s="133">
        <f t="shared" si="170"/>
        <v>16.666666666666668</v>
      </c>
      <c r="K55" s="133">
        <f t="shared" si="170"/>
        <v>16.129032258064516</v>
      </c>
      <c r="L55" s="133">
        <f t="shared" si="170"/>
        <v>29.032258064516128</v>
      </c>
      <c r="M55" s="133">
        <f t="shared" si="170"/>
        <v>36.507936507936506</v>
      </c>
      <c r="N55" s="133">
        <f t="shared" si="170"/>
        <v>16.666666666666668</v>
      </c>
      <c r="O55" s="133">
        <f t="shared" si="170"/>
        <v>3.9682539682539684</v>
      </c>
      <c r="P55" s="133">
        <f t="shared" si="170"/>
        <v>27.777777777777779</v>
      </c>
      <c r="Q55" s="133">
        <f t="shared" ref="Q55" si="171">Q20/Q42</f>
        <v>50</v>
      </c>
      <c r="R55" s="118">
        <f>((P55/G55)^(1/($H$2-$H$1) ))-1</f>
        <v>0.1274868489296872</v>
      </c>
      <c r="S55" s="128"/>
      <c r="T55" s="133">
        <f t="shared" ref="T55:AC55" si="172">T20/T42</f>
        <v>56.930693069306926</v>
      </c>
      <c r="U55" s="133">
        <f t="shared" si="172"/>
        <v>64.822076267032628</v>
      </c>
      <c r="V55" s="133">
        <f t="shared" si="172"/>
        <v>73.807314561472793</v>
      </c>
      <c r="W55" s="133">
        <f t="shared" si="172"/>
        <v>84.038031431379906</v>
      </c>
      <c r="X55" s="133">
        <f t="shared" si="172"/>
        <v>95.686867471373148</v>
      </c>
      <c r="Y55" s="133">
        <f t="shared" si="172"/>
        <v>108.95039365552385</v>
      </c>
      <c r="Z55" s="133">
        <f t="shared" si="172"/>
        <v>124.05242841965588</v>
      </c>
      <c r="AA55" s="133">
        <f t="shared" si="172"/>
        <v>141.24781453723193</v>
      </c>
      <c r="AB55" s="133">
        <f t="shared" si="172"/>
        <v>160.82671952259079</v>
      </c>
      <c r="AC55" s="133">
        <f t="shared" si="172"/>
        <v>183.11953212968254</v>
      </c>
      <c r="AD55" s="138">
        <f t="shared" ref="AD55" si="173">((AC55/G55)^(1/($AC$3-$H$1) ))-1</f>
        <v>0.15985053396810422</v>
      </c>
      <c r="AE55" s="31">
        <f t="shared" si="15"/>
        <v>0.05</v>
      </c>
      <c r="AF55" s="146">
        <f t="shared" si="168"/>
        <v>1131.0324043303922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39.622641509433961</v>
      </c>
      <c r="H56" s="133">
        <f t="shared" si="174"/>
        <v>43.39622641509434</v>
      </c>
      <c r="I56" s="133">
        <f t="shared" si="174"/>
        <v>52.830188679245282</v>
      </c>
      <c r="J56" s="133">
        <f t="shared" si="174"/>
        <v>80</v>
      </c>
      <c r="K56" s="133">
        <f t="shared" si="174"/>
        <v>93.548387096774192</v>
      </c>
      <c r="L56" s="133">
        <f t="shared" si="174"/>
        <v>112.90322580645162</v>
      </c>
      <c r="M56" s="133">
        <f t="shared" si="174"/>
        <v>139.68253968253967</v>
      </c>
      <c r="N56" s="133">
        <f t="shared" si="174"/>
        <v>88.095238095238088</v>
      </c>
      <c r="O56" s="133">
        <f t="shared" si="174"/>
        <v>110.31746031746032</v>
      </c>
      <c r="P56" s="133">
        <f t="shared" si="174"/>
        <v>142.06349206349205</v>
      </c>
      <c r="Q56" s="133">
        <f t="shared" ref="Q56" si="175">Q7/Q42</f>
        <v>177.77777777777777</v>
      </c>
      <c r="R56" s="118">
        <f>((P56/G56)^(1/($H$2-$H$1) ))-1</f>
        <v>0.15243237734586823</v>
      </c>
      <c r="S56" s="128"/>
      <c r="T56" s="158">
        <f t="shared" ref="T56:AC56" si="176">T7/T42</f>
        <v>202.42024202420239</v>
      </c>
      <c r="U56" s="158">
        <f t="shared" si="176"/>
        <v>230.47849339389381</v>
      </c>
      <c r="V56" s="158">
        <f t="shared" si="176"/>
        <v>262.42600732968106</v>
      </c>
      <c r="W56" s="158">
        <f t="shared" si="176"/>
        <v>298.80188953379525</v>
      </c>
      <c r="X56" s="158">
        <f t="shared" si="176"/>
        <v>340.21997323154903</v>
      </c>
      <c r="Y56" s="158">
        <f t="shared" si="176"/>
        <v>387.37917744186268</v>
      </c>
      <c r="Z56" s="158">
        <f t="shared" si="176"/>
        <v>441.07530104766545</v>
      </c>
      <c r="AA56" s="158">
        <f t="shared" si="176"/>
        <v>502.21445168793588</v>
      </c>
      <c r="AB56" s="158">
        <f t="shared" si="176"/>
        <v>571.82833608032297</v>
      </c>
      <c r="AC56" s="158">
        <f t="shared" si="176"/>
        <v>651.09166979442705</v>
      </c>
      <c r="AD56" s="138">
        <f t="shared" si="167"/>
        <v>0.15023064921275053</v>
      </c>
      <c r="AE56" s="31">
        <f t="shared" si="15"/>
        <v>0.05</v>
      </c>
      <c r="AF56" s="146">
        <f t="shared" si="168"/>
        <v>4021.4485487302854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33.962264150943398</v>
      </c>
      <c r="H57" s="144">
        <f t="shared" si="177"/>
        <v>37.735849056603769</v>
      </c>
      <c r="I57" s="144">
        <f t="shared" si="177"/>
        <v>49.056603773584904</v>
      </c>
      <c r="J57" s="144">
        <f t="shared" si="177"/>
        <v>73.333333333333343</v>
      </c>
      <c r="K57" s="144">
        <f t="shared" si="177"/>
        <v>88.709677419354833</v>
      </c>
      <c r="L57" s="144">
        <f t="shared" si="177"/>
        <v>108.06451612903226</v>
      </c>
      <c r="M57" s="144">
        <f t="shared" si="177"/>
        <v>134.92063492063491</v>
      </c>
      <c r="N57" s="144">
        <f t="shared" si="177"/>
        <v>83.333333333333329</v>
      </c>
      <c r="O57" s="144">
        <f t="shared" si="177"/>
        <v>104.76190476190476</v>
      </c>
      <c r="P57" s="144">
        <f t="shared" si="177"/>
        <v>137.30158730158729</v>
      </c>
      <c r="Q57" s="144">
        <f t="shared" ref="Q57" si="178">Q6/Q42</f>
        <v>172.22222222222223</v>
      </c>
      <c r="R57" s="118">
        <f>((P57/G57)^(1/($H$2-$H$1) ))-1</f>
        <v>0.16790836537075293</v>
      </c>
      <c r="S57" s="128"/>
      <c r="T57" s="157">
        <f t="shared" ref="T57:AC57" si="179">T6/T42</f>
        <v>196.09460946094609</v>
      </c>
      <c r="U57" s="157">
        <f t="shared" si="179"/>
        <v>223.27604047533464</v>
      </c>
      <c r="V57" s="157">
        <f t="shared" si="179"/>
        <v>254.22519460062856</v>
      </c>
      <c r="W57" s="157">
        <f t="shared" si="179"/>
        <v>289.4643304858642</v>
      </c>
      <c r="X57" s="157">
        <f t="shared" si="179"/>
        <v>329.58809906806312</v>
      </c>
      <c r="Y57" s="157">
        <f t="shared" si="179"/>
        <v>375.27357814680448</v>
      </c>
      <c r="Z57" s="157">
        <f t="shared" si="179"/>
        <v>427.2916978899259</v>
      </c>
      <c r="AA57" s="157">
        <f t="shared" si="179"/>
        <v>486.52025007268787</v>
      </c>
      <c r="AB57" s="157">
        <f t="shared" si="179"/>
        <v>553.95870057781292</v>
      </c>
      <c r="AC57" s="157">
        <f t="shared" si="179"/>
        <v>630.74505511335121</v>
      </c>
      <c r="AD57" s="138">
        <f t="shared" si="167"/>
        <v>0.15729176005489331</v>
      </c>
      <c r="AE57" s="31">
        <f t="shared" si="15"/>
        <v>0.05</v>
      </c>
      <c r="AF57" s="146">
        <f t="shared" si="168"/>
        <v>3895.7782815824639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26.415094339622641</v>
      </c>
      <c r="H58" s="144">
        <f t="shared" si="180"/>
        <v>24.528301886792452</v>
      </c>
      <c r="I58" s="144">
        <f t="shared" si="180"/>
        <v>37.735849056603769</v>
      </c>
      <c r="J58" s="144">
        <f t="shared" si="180"/>
        <v>50</v>
      </c>
      <c r="K58" s="144">
        <f t="shared" si="180"/>
        <v>62.903225806451616</v>
      </c>
      <c r="L58" s="144">
        <f t="shared" si="180"/>
        <v>59.677419354838712</v>
      </c>
      <c r="M58" s="144">
        <f t="shared" si="180"/>
        <v>42.857142857142854</v>
      </c>
      <c r="N58" s="144">
        <f t="shared" si="180"/>
        <v>30.158730158730158</v>
      </c>
      <c r="O58" s="144">
        <f t="shared" si="180"/>
        <v>32.539682539682538</v>
      </c>
      <c r="P58" s="144">
        <f t="shared" si="180"/>
        <v>43.650793650793652</v>
      </c>
      <c r="Q58" s="144">
        <f t="shared" ref="Q58" si="181">Q10/Q42</f>
        <v>33.333333333333336</v>
      </c>
      <c r="R58" s="118">
        <f>((P58/G58)^(1/($H$2-$H$1) ))-1</f>
        <v>5.7396273123305752E-2</v>
      </c>
      <c r="S58" s="128"/>
      <c r="T58" s="157">
        <f t="shared" ref="T58:AC58" si="182">T10/T42</f>
        <v>37.953795379537951</v>
      </c>
      <c r="U58" s="157">
        <f t="shared" si="182"/>
        <v>43.21471751135509</v>
      </c>
      <c r="V58" s="157">
        <f t="shared" si="182"/>
        <v>49.204876374315198</v>
      </c>
      <c r="W58" s="157">
        <f t="shared" si="182"/>
        <v>56.025354287586609</v>
      </c>
      <c r="X58" s="157">
        <f t="shared" si="182"/>
        <v>63.791244980915437</v>
      </c>
      <c r="Y58" s="157">
        <f t="shared" si="182"/>
        <v>72.63359577034926</v>
      </c>
      <c r="Z58" s="157">
        <f t="shared" si="182"/>
        <v>82.701618946437279</v>
      </c>
      <c r="AA58" s="157">
        <f t="shared" si="182"/>
        <v>94.165209691487988</v>
      </c>
      <c r="AB58" s="157">
        <f t="shared" si="182"/>
        <v>107.21781301506056</v>
      </c>
      <c r="AC58" s="157">
        <f t="shared" si="182"/>
        <v>122.07968808645508</v>
      </c>
      <c r="AD58" s="138">
        <f t="shared" si="167"/>
        <v>7.9542046859916615E-2</v>
      </c>
      <c r="AE58" s="31">
        <f t="shared" si="15"/>
        <v>0.05</v>
      </c>
      <c r="AF58" s="146">
        <f t="shared" si="168"/>
        <v>754.02160288692858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13.20754716981132</v>
      </c>
      <c r="H60" s="144">
        <f t="shared" si="183"/>
        <v>18.867924528301884</v>
      </c>
      <c r="I60" s="144">
        <f t="shared" si="183"/>
        <v>15.094339622641508</v>
      </c>
      <c r="J60" s="144">
        <f t="shared" si="183"/>
        <v>30</v>
      </c>
      <c r="K60" s="144">
        <f t="shared" si="183"/>
        <v>30.64516129032258</v>
      </c>
      <c r="L60" s="144">
        <f t="shared" si="183"/>
        <v>53.225806451612904</v>
      </c>
      <c r="M60" s="144">
        <f t="shared" si="183"/>
        <v>96.825396825396822</v>
      </c>
      <c r="N60" s="144">
        <f t="shared" si="183"/>
        <v>57.936507936507937</v>
      </c>
      <c r="O60" s="144">
        <f t="shared" si="183"/>
        <v>77.777777777777771</v>
      </c>
      <c r="P60" s="144">
        <f t="shared" si="183"/>
        <v>98.412698412698418</v>
      </c>
      <c r="Q60" s="144">
        <f t="shared" ref="Q60" si="184">(Q7-Q10)/Q42</f>
        <v>144.44444444444446</v>
      </c>
      <c r="R60" s="118">
        <f>((P60/G60)^(1/($H$2-$H$1) ))-1</f>
        <v>0.2500124252454321</v>
      </c>
      <c r="S60" s="128"/>
      <c r="T60" s="157">
        <f t="shared" ref="T60:AC60" si="185">(T7-T10)/T42</f>
        <v>164.46644664466444</v>
      </c>
      <c r="U60" s="157">
        <f t="shared" si="185"/>
        <v>187.26377588253874</v>
      </c>
      <c r="V60" s="157">
        <f t="shared" si="185"/>
        <v>213.22113095536585</v>
      </c>
      <c r="W60" s="157">
        <f t="shared" si="185"/>
        <v>242.77653524620862</v>
      </c>
      <c r="X60" s="157">
        <f t="shared" si="185"/>
        <v>276.42872825063358</v>
      </c>
      <c r="Y60" s="157">
        <f t="shared" si="185"/>
        <v>314.74558167151343</v>
      </c>
      <c r="Z60" s="157">
        <f t="shared" si="185"/>
        <v>358.37368210122816</v>
      </c>
      <c r="AA60" s="157">
        <f t="shared" si="185"/>
        <v>408.0492419964479</v>
      </c>
      <c r="AB60" s="157">
        <f t="shared" si="185"/>
        <v>464.61052306526238</v>
      </c>
      <c r="AC60" s="157">
        <f t="shared" si="185"/>
        <v>529.01198170797193</v>
      </c>
      <c r="AD60" s="138">
        <f t="shared" si="167"/>
        <v>0.20263037008475493</v>
      </c>
      <c r="AE60" s="31">
        <f t="shared" si="15"/>
        <v>0.05</v>
      </c>
      <c r="AF60" s="146">
        <f t="shared" si="168"/>
        <v>3267.4269458433564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-32.075471698113205</v>
      </c>
      <c r="H61" s="144">
        <f t="shared" si="186"/>
        <v>-30.188679245283016</v>
      </c>
      <c r="I61" s="144">
        <f t="shared" si="186"/>
        <v>-37.735849056603769</v>
      </c>
      <c r="J61" s="144">
        <f t="shared" si="186"/>
        <v>-36.666666666666671</v>
      </c>
      <c r="K61" s="144">
        <f t="shared" si="186"/>
        <v>-38.70967741935484</v>
      </c>
      <c r="L61" s="144">
        <f t="shared" si="186"/>
        <v>-20.967741935483872</v>
      </c>
      <c r="M61" s="144">
        <f t="shared" si="186"/>
        <v>4.7619047619047619</v>
      </c>
      <c r="N61" s="144">
        <f t="shared" si="186"/>
        <v>5.5555555555555554</v>
      </c>
      <c r="O61" s="144">
        <f t="shared" si="186"/>
        <v>8.7301587301587293</v>
      </c>
      <c r="P61" s="144">
        <f t="shared" si="186"/>
        <v>9.5238095238095237</v>
      </c>
      <c r="Q61" s="144">
        <f t="shared" ref="Q61" si="187">(Q7-Q10-Q9)/Q42</f>
        <v>31.746031746031747</v>
      </c>
      <c r="R61" s="118">
        <f>((P61/G61)^(1/($H$2-$H$1) ))-1</f>
        <v>-1.8737841915976419</v>
      </c>
      <c r="S61" s="128"/>
      <c r="T61" s="157">
        <f t="shared" ref="T61:AC61" si="188">(T7-T10-T9)/T42</f>
        <v>36.146471790036124</v>
      </c>
      <c r="U61" s="157">
        <f t="shared" si="188"/>
        <v>41.156873820338191</v>
      </c>
      <c r="V61" s="157">
        <f t="shared" si="188"/>
        <v>46.861787023157326</v>
      </c>
      <c r="W61" s="157">
        <f t="shared" si="188"/>
        <v>53.35748027389203</v>
      </c>
      <c r="X61" s="157">
        <f t="shared" si="188"/>
        <v>60.753566648490931</v>
      </c>
      <c r="Y61" s="157">
        <f t="shared" si="188"/>
        <v>69.174853114618386</v>
      </c>
      <c r="Z61" s="157">
        <f t="shared" si="188"/>
        <v>78.763446615654601</v>
      </c>
      <c r="AA61" s="157">
        <f t="shared" si="188"/>
        <v>89.681152087131494</v>
      </c>
      <c r="AB61" s="157">
        <f t="shared" si="188"/>
        <v>102.11220287148629</v>
      </c>
      <c r="AC61" s="157">
        <f t="shared" si="188"/>
        <v>116.26636960614771</v>
      </c>
      <c r="AD61" s="138" t="e">
        <f t="shared" si="167"/>
        <v>#NUM!</v>
      </c>
      <c r="AE61" s="31">
        <f t="shared" si="15"/>
        <v>0.05</v>
      </c>
      <c r="AF61" s="146">
        <f t="shared" si="168"/>
        <v>718.11581227326531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18.867924528301884</v>
      </c>
      <c r="H62" s="144">
        <f t="shared" si="189"/>
        <v>22.641509433962263</v>
      </c>
      <c r="I62" s="144">
        <f t="shared" si="189"/>
        <v>24.528301886792452</v>
      </c>
      <c r="J62" s="144">
        <f t="shared" si="189"/>
        <v>40</v>
      </c>
      <c r="K62" s="144">
        <f t="shared" si="189"/>
        <v>51.612903225806456</v>
      </c>
      <c r="L62" s="144">
        <f t="shared" si="189"/>
        <v>77.41935483870968</v>
      </c>
      <c r="M62" s="144">
        <f t="shared" si="189"/>
        <v>123.80952380952381</v>
      </c>
      <c r="N62" s="144">
        <f t="shared" si="189"/>
        <v>82.539682539682545</v>
      </c>
      <c r="O62" s="144">
        <f t="shared" si="189"/>
        <v>142.06349206349205</v>
      </c>
      <c r="P62" s="144">
        <f t="shared" si="189"/>
        <v>181.74603174603175</v>
      </c>
      <c r="Q62" s="144">
        <f t="shared" ref="Q62" si="190">(Q7+Q15-Q10-Q9)/Q42</f>
        <v>223.8095238095238</v>
      </c>
      <c r="R62" s="118">
        <f>((P62/G62)^(1/($H$2-$H$1) ))-1</f>
        <v>0.28618823914003721</v>
      </c>
      <c r="S62" s="128"/>
      <c r="T62" s="157">
        <f t="shared" ref="T62:AC62" si="191">(T7+T15-T10-T9)/T42</f>
        <v>254.83262611975471</v>
      </c>
      <c r="U62" s="157">
        <f t="shared" si="191"/>
        <v>290.15596043338417</v>
      </c>
      <c r="V62" s="157">
        <f t="shared" si="191"/>
        <v>330.37559851325915</v>
      </c>
      <c r="W62" s="157">
        <f t="shared" si="191"/>
        <v>376.1702359309387</v>
      </c>
      <c r="X62" s="157">
        <f t="shared" si="191"/>
        <v>428.31264487186081</v>
      </c>
      <c r="Y62" s="157">
        <f t="shared" si="191"/>
        <v>487.68271445805931</v>
      </c>
      <c r="Z62" s="157">
        <f t="shared" si="191"/>
        <v>555.2822986403645</v>
      </c>
      <c r="AA62" s="157">
        <f t="shared" si="191"/>
        <v>632.25212221427648</v>
      </c>
      <c r="AB62" s="157">
        <f t="shared" si="191"/>
        <v>719.89103024397787</v>
      </c>
      <c r="AC62" s="157">
        <f t="shared" si="191"/>
        <v>819.67790572334104</v>
      </c>
      <c r="AD62" s="138">
        <f t="shared" si="167"/>
        <v>0.20752451061945831</v>
      </c>
      <c r="AE62" s="31">
        <f t="shared" si="15"/>
        <v>0.05</v>
      </c>
      <c r="AF62" s="146">
        <f t="shared" si="168"/>
        <v>5062.7164765265188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3.773584905660377</v>
      </c>
      <c r="H64" s="144">
        <f t="shared" si="192"/>
        <v>5.6603773584905657</v>
      </c>
      <c r="I64" s="144">
        <f t="shared" si="192"/>
        <v>5.6603773584905657</v>
      </c>
      <c r="J64" s="144">
        <f t="shared" si="192"/>
        <v>18.333333333333336</v>
      </c>
      <c r="K64" s="144">
        <f t="shared" si="192"/>
        <v>17.741935483870968</v>
      </c>
      <c r="L64" s="144">
        <f t="shared" si="192"/>
        <v>33.870967741935488</v>
      </c>
      <c r="M64" s="144">
        <f t="shared" si="192"/>
        <v>52.38095238095238</v>
      </c>
      <c r="N64" s="144">
        <f t="shared" si="192"/>
        <v>28.571428571428573</v>
      </c>
      <c r="O64" s="144">
        <f t="shared" si="192"/>
        <v>24.603174603174605</v>
      </c>
      <c r="P64" s="144">
        <f t="shared" si="192"/>
        <v>31.746031746031747</v>
      </c>
      <c r="Q64" s="144">
        <f t="shared" ref="Q64" si="193">Q12/Q42</f>
        <v>24.603174603174605</v>
      </c>
      <c r="R64" s="118">
        <f>((P64/G64)^(1/($H$2-$H$1) ))-1</f>
        <v>0.26698242656490523</v>
      </c>
      <c r="S64" s="128"/>
      <c r="T64" s="157">
        <f t="shared" ref="T64:AC64" si="194">T12/T42</f>
        <v>28.013515637278015</v>
      </c>
      <c r="U64" s="157">
        <f t="shared" si="194"/>
        <v>31.896577210762093</v>
      </c>
      <c r="V64" s="157">
        <f t="shared" si="194"/>
        <v>36.317884942946932</v>
      </c>
      <c r="W64" s="157">
        <f t="shared" si="194"/>
        <v>41.352047212266307</v>
      </c>
      <c r="X64" s="157">
        <f t="shared" si="194"/>
        <v>47.084014152580444</v>
      </c>
      <c r="Y64" s="157">
        <f t="shared" si="194"/>
        <v>53.610511163829216</v>
      </c>
      <c r="Z64" s="157">
        <f t="shared" si="194"/>
        <v>61.041671127132275</v>
      </c>
      <c r="AA64" s="157">
        <f t="shared" si="194"/>
        <v>69.502892867526839</v>
      </c>
      <c r="AB64" s="157">
        <f t="shared" si="194"/>
        <v>79.136957225401844</v>
      </c>
      <c r="AC64" s="157">
        <f t="shared" si="194"/>
        <v>90.106436444764469</v>
      </c>
      <c r="AD64" s="138">
        <f t="shared" si="167"/>
        <v>0.17192571646146471</v>
      </c>
      <c r="AE64" s="31">
        <f t="shared" si="15"/>
        <v>0.05</v>
      </c>
      <c r="AF64" s="146">
        <f t="shared" si="168"/>
        <v>556.53975451178064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1.8867924528301886E-2</v>
      </c>
      <c r="H65" s="144">
        <f t="shared" si="195"/>
        <v>0</v>
      </c>
      <c r="I65" s="144">
        <f t="shared" si="195"/>
        <v>0</v>
      </c>
      <c r="J65" s="144">
        <f t="shared" si="195"/>
        <v>0</v>
      </c>
      <c r="K65" s="144">
        <f t="shared" si="195"/>
        <v>0</v>
      </c>
      <c r="L65" s="144">
        <f t="shared" si="195"/>
        <v>0</v>
      </c>
      <c r="M65" s="144">
        <f t="shared" si="195"/>
        <v>0</v>
      </c>
      <c r="N65" s="144">
        <f t="shared" si="195"/>
        <v>6.3492063492063489</v>
      </c>
      <c r="O65" s="144">
        <f t="shared" si="195"/>
        <v>0.79365079365079361</v>
      </c>
      <c r="P65" s="144">
        <f t="shared" si="195"/>
        <v>0.79365079365079361</v>
      </c>
      <c r="Q65" s="144">
        <f t="shared" ref="Q65" si="196">Q13/Q42</f>
        <v>9.5238095238095237</v>
      </c>
      <c r="R65" s="118">
        <f>((P65/G65)^(1/($H$2-$H$1) ))-1</f>
        <v>0.5150742775468018</v>
      </c>
      <c r="S65" s="128"/>
      <c r="T65" s="157">
        <f t="shared" ref="T65:AC65" si="197">T13/T42</f>
        <v>10.843941537010844</v>
      </c>
      <c r="U65" s="157">
        <f t="shared" si="197"/>
        <v>12.347062146101454</v>
      </c>
      <c r="V65" s="157">
        <f t="shared" si="197"/>
        <v>14.0585361069472</v>
      </c>
      <c r="W65" s="157">
        <f t="shared" si="197"/>
        <v>16.007244082167603</v>
      </c>
      <c r="X65" s="157">
        <f t="shared" si="197"/>
        <v>18.226069994547267</v>
      </c>
      <c r="Y65" s="157">
        <f t="shared" si="197"/>
        <v>20.752455934385498</v>
      </c>
      <c r="Z65" s="157">
        <f t="shared" si="197"/>
        <v>23.629033984696356</v>
      </c>
      <c r="AA65" s="157">
        <f t="shared" si="197"/>
        <v>26.904345626139413</v>
      </c>
      <c r="AB65" s="157">
        <f t="shared" si="197"/>
        <v>30.633660861445861</v>
      </c>
      <c r="AC65" s="157">
        <f t="shared" si="197"/>
        <v>34.879910881844296</v>
      </c>
      <c r="AD65" s="138">
        <f t="shared" si="167"/>
        <v>0.45660756717049567</v>
      </c>
      <c r="AE65" s="31">
        <f t="shared" si="15"/>
        <v>0.05</v>
      </c>
      <c r="AF65" s="146">
        <f t="shared" si="168"/>
        <v>215.43474368197948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3.7924528301886791</v>
      </c>
      <c r="H66" s="144">
        <f t="shared" si="198"/>
        <v>5.6603773584905657</v>
      </c>
      <c r="I66" s="144">
        <f t="shared" si="198"/>
        <v>5.6603773584905657</v>
      </c>
      <c r="J66" s="144">
        <f t="shared" si="198"/>
        <v>18.333333333333336</v>
      </c>
      <c r="K66" s="144">
        <f t="shared" si="198"/>
        <v>17.741935483870968</v>
      </c>
      <c r="L66" s="144">
        <f t="shared" si="198"/>
        <v>33.870967741935488</v>
      </c>
      <c r="M66" s="144">
        <f t="shared" si="198"/>
        <v>52.38095238095238</v>
      </c>
      <c r="N66" s="144">
        <f t="shared" si="198"/>
        <v>34.920634920634924</v>
      </c>
      <c r="O66" s="144">
        <f t="shared" ref="O66" si="199">(O64+O65)</f>
        <v>25.396825396825399</v>
      </c>
      <c r="P66" s="144">
        <f t="shared" si="198"/>
        <v>32.539682539682538</v>
      </c>
      <c r="Q66" s="144">
        <f t="shared" ref="Q66" si="200">(Q64+Q65)</f>
        <v>34.126984126984127</v>
      </c>
      <c r="R66" s="118">
        <f>((P66/G66)^(1/($H$2-$H$1) ))-1</f>
        <v>0.26975946319152433</v>
      </c>
      <c r="S66" s="128"/>
      <c r="T66" s="157">
        <f t="shared" ref="T66:AC66" si="201">(T64+T65)</f>
        <v>38.857457174288861</v>
      </c>
      <c r="U66" s="157">
        <f t="shared" si="201"/>
        <v>44.243639356863547</v>
      </c>
      <c r="V66" s="157">
        <f t="shared" si="201"/>
        <v>50.376421049894134</v>
      </c>
      <c r="W66" s="157">
        <f t="shared" si="201"/>
        <v>57.359291294433909</v>
      </c>
      <c r="X66" s="157">
        <f t="shared" si="201"/>
        <v>65.310084147127711</v>
      </c>
      <c r="Y66" s="157">
        <f t="shared" si="201"/>
        <v>74.36296709821471</v>
      </c>
      <c r="Z66" s="157">
        <f t="shared" si="201"/>
        <v>84.670705111828624</v>
      </c>
      <c r="AA66" s="157">
        <f t="shared" si="201"/>
        <v>96.407238493666256</v>
      </c>
      <c r="AB66" s="157">
        <f t="shared" si="201"/>
        <v>109.7706180868477</v>
      </c>
      <c r="AC66" s="157">
        <f t="shared" si="201"/>
        <v>124.98634732660877</v>
      </c>
      <c r="AD66" s="138">
        <f t="shared" si="167"/>
        <v>0.19095984658708298</v>
      </c>
      <c r="AE66" s="31">
        <f t="shared" si="15"/>
        <v>0.05</v>
      </c>
      <c r="AF66" s="146">
        <f t="shared" si="168"/>
        <v>771.97449819376004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50.943396226415089</v>
      </c>
      <c r="H67" s="144">
        <f t="shared" si="202"/>
        <v>52.830188679245282</v>
      </c>
      <c r="I67" s="144">
        <f t="shared" si="202"/>
        <v>62.264150943396224</v>
      </c>
      <c r="J67" s="144">
        <f t="shared" si="202"/>
        <v>76.666666666666671</v>
      </c>
      <c r="K67" s="144">
        <f t="shared" si="202"/>
        <v>90.322580645161295</v>
      </c>
      <c r="L67" s="144">
        <f t="shared" si="202"/>
        <v>98.387096774193552</v>
      </c>
      <c r="M67" s="144">
        <f t="shared" si="202"/>
        <v>119.04761904761905</v>
      </c>
      <c r="N67" s="144">
        <f t="shared" si="202"/>
        <v>76.984126984126988</v>
      </c>
      <c r="O67" s="144">
        <f t="shared" si="202"/>
        <v>133.33333333333334</v>
      </c>
      <c r="P67" s="144">
        <f t="shared" si="202"/>
        <v>172.22222222222223</v>
      </c>
      <c r="Q67" s="144">
        <f t="shared" ref="Q67" si="203">Q15/Q42</f>
        <v>192.06349206349205</v>
      </c>
      <c r="R67" s="118">
        <f>((P67/G67)^(1/($H$2-$H$1) ))-1</f>
        <v>0.14492732802160391</v>
      </c>
      <c r="S67" s="128"/>
      <c r="T67" s="157">
        <f t="shared" ref="T67:AC67" si="204">T15/T42</f>
        <v>218.68615432971865</v>
      </c>
      <c r="U67" s="157">
        <f t="shared" si="204"/>
        <v>248.99908661304596</v>
      </c>
      <c r="V67" s="157">
        <f t="shared" si="204"/>
        <v>283.51381149010183</v>
      </c>
      <c r="W67" s="157">
        <f t="shared" si="204"/>
        <v>322.81275565704658</v>
      </c>
      <c r="X67" s="157">
        <f t="shared" si="204"/>
        <v>367.55907822336985</v>
      </c>
      <c r="Y67" s="157">
        <f t="shared" si="204"/>
        <v>418.50786134344088</v>
      </c>
      <c r="Z67" s="157">
        <f t="shared" si="204"/>
        <v>476.51885202470987</v>
      </c>
      <c r="AA67" s="157">
        <f t="shared" si="204"/>
        <v>542.57097012714496</v>
      </c>
      <c r="AB67" s="157">
        <f t="shared" si="204"/>
        <v>617.77882737249161</v>
      </c>
      <c r="AC67" s="157">
        <f t="shared" si="204"/>
        <v>703.41153611719335</v>
      </c>
      <c r="AD67" s="138">
        <f t="shared" si="167"/>
        <v>0.14026574979932271</v>
      </c>
      <c r="AE67" s="31">
        <f t="shared" si="15"/>
        <v>0.05</v>
      </c>
      <c r="AF67" s="146">
        <f t="shared" si="168"/>
        <v>4344.6006642532539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9.4339622641509422</v>
      </c>
      <c r="H68" s="144">
        <f t="shared" si="205"/>
        <v>9.4339622641509422</v>
      </c>
      <c r="I68" s="144">
        <f t="shared" si="205"/>
        <v>15.094339622641508</v>
      </c>
      <c r="J68" s="144">
        <f t="shared" si="205"/>
        <v>30</v>
      </c>
      <c r="K68" s="144">
        <f t="shared" si="205"/>
        <v>33.870967741935488</v>
      </c>
      <c r="L68" s="144">
        <f t="shared" si="205"/>
        <v>51.612903225806456</v>
      </c>
      <c r="M68" s="144">
        <f t="shared" si="205"/>
        <v>71.428571428571431</v>
      </c>
      <c r="N68" s="144">
        <f t="shared" si="205"/>
        <v>45.238095238095241</v>
      </c>
      <c r="O68" s="144">
        <f t="shared" si="205"/>
        <v>61.904761904761905</v>
      </c>
      <c r="P68" s="144">
        <f t="shared" si="205"/>
        <v>82.539682539682545</v>
      </c>
      <c r="Q68" s="144">
        <f t="shared" ref="Q68" si="206">Q16/Q42</f>
        <v>76.984126984126988</v>
      </c>
      <c r="R68" s="118">
        <f>((P68/G68)^(1/($H$2-$H$1) ))-1</f>
        <v>0.27251580289741728</v>
      </c>
      <c r="S68" s="128"/>
      <c r="T68" s="157">
        <f t="shared" ref="T68:AC68" si="207">T16/T42</f>
        <v>87.655194090837654</v>
      </c>
      <c r="U68" s="157">
        <f t="shared" si="207"/>
        <v>99.805419014320108</v>
      </c>
      <c r="V68" s="157">
        <f t="shared" si="207"/>
        <v>113.63983353115654</v>
      </c>
      <c r="W68" s="157">
        <f t="shared" si="207"/>
        <v>129.39188966418814</v>
      </c>
      <c r="X68" s="157">
        <f t="shared" si="207"/>
        <v>147.32739912259044</v>
      </c>
      <c r="Y68" s="157">
        <f t="shared" si="207"/>
        <v>167.74901880294948</v>
      </c>
      <c r="Z68" s="157">
        <f t="shared" si="207"/>
        <v>191.00135804296229</v>
      </c>
      <c r="AA68" s="157">
        <f t="shared" si="207"/>
        <v>217.47679381129367</v>
      </c>
      <c r="AB68" s="157">
        <f t="shared" si="207"/>
        <v>247.62209196335417</v>
      </c>
      <c r="AC68" s="157">
        <f t="shared" si="207"/>
        <v>281.94594629490814</v>
      </c>
      <c r="AD68" s="138">
        <f t="shared" si="167"/>
        <v>0.18515072358143714</v>
      </c>
      <c r="AE68" s="137"/>
      <c r="AF68" s="146">
        <f t="shared" si="168"/>
        <v>1281.5724831586733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0.75</v>
      </c>
      <c r="H70" s="159">
        <f t="shared" si="208"/>
        <v>0.8</v>
      </c>
      <c r="I70" s="159">
        <f t="shared" si="208"/>
        <v>0.9</v>
      </c>
      <c r="J70" s="159">
        <f t="shared" si="208"/>
        <v>1.1000000000000001</v>
      </c>
      <c r="K70" s="159">
        <f t="shared" si="208"/>
        <v>1.5</v>
      </c>
      <c r="L70" s="159">
        <f t="shared" si="208"/>
        <v>2</v>
      </c>
      <c r="M70" s="159">
        <f t="shared" si="208"/>
        <v>2.5</v>
      </c>
      <c r="N70" s="159">
        <f t="shared" si="208"/>
        <v>2.5</v>
      </c>
      <c r="O70" s="159">
        <f t="shared" si="208"/>
        <v>3</v>
      </c>
      <c r="P70" s="159">
        <f t="shared" si="208"/>
        <v>4</v>
      </c>
      <c r="Q70" s="159">
        <f t="shared" ref="Q70" si="209">Q44</f>
        <v>4</v>
      </c>
      <c r="R70" s="118">
        <f>((P70/G70)^(1/($H$2-$H$1) ))-1</f>
        <v>0.20441910661166141</v>
      </c>
      <c r="S70" s="128"/>
      <c r="T70" s="159">
        <f t="shared" ref="T70:AC70" si="210">T44</f>
        <v>4.2</v>
      </c>
      <c r="U70" s="159">
        <f t="shared" si="210"/>
        <v>4.41</v>
      </c>
      <c r="V70" s="159">
        <f t="shared" si="210"/>
        <v>4.6305000000000005</v>
      </c>
      <c r="W70" s="159">
        <f t="shared" si="210"/>
        <v>4.8620250000000009</v>
      </c>
      <c r="X70" s="159">
        <f t="shared" si="210"/>
        <v>5.1051262500000014</v>
      </c>
      <c r="Y70" s="159">
        <f t="shared" si="210"/>
        <v>5.3603825625000017</v>
      </c>
      <c r="Z70" s="159">
        <f t="shared" si="210"/>
        <v>5.6284016906250018</v>
      </c>
      <c r="AA70" s="159">
        <f t="shared" si="210"/>
        <v>5.9098217751562521</v>
      </c>
      <c r="AB70" s="159">
        <f t="shared" si="210"/>
        <v>6.2053128639140649</v>
      </c>
      <c r="AC70" s="159">
        <f t="shared" si="210"/>
        <v>6.515578507109768</v>
      </c>
      <c r="AD70" s="138">
        <f t="shared" ref="AD70" si="211">((AC70/G70)^(1/($AC$3-$H$1) ))-1</f>
        <v>0.11415236357419878</v>
      </c>
      <c r="AE70" s="31">
        <f t="shared" si="15"/>
        <v>0.05</v>
      </c>
      <c r="AF70" s="146">
        <f t="shared" si="168"/>
        <v>40.243279014501518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1</v>
      </c>
      <c r="H72" s="144">
        <f t="shared" si="212"/>
        <v>1</v>
      </c>
      <c r="I72" s="144">
        <f t="shared" si="212"/>
        <v>-6</v>
      </c>
      <c r="J72" s="144">
        <f t="shared" si="212"/>
        <v>-12</v>
      </c>
      <c r="K72" s="144">
        <f t="shared" si="212"/>
        <v>-11</v>
      </c>
      <c r="L72" s="144">
        <f t="shared" si="212"/>
        <v>14</v>
      </c>
      <c r="M72" s="144">
        <f t="shared" si="212"/>
        <v>22</v>
      </c>
      <c r="N72" s="144">
        <f t="shared" si="212"/>
        <v>-7</v>
      </c>
      <c r="O72" s="144">
        <f t="shared" si="212"/>
        <v>-10</v>
      </c>
      <c r="P72" s="144">
        <f t="shared" si="212"/>
        <v>-1</v>
      </c>
      <c r="Q72" s="144">
        <f t="shared" ref="Q72" si="213">Q20+Q21</f>
        <v>15</v>
      </c>
      <c r="R72" s="118">
        <f>((P72/G72)^(1/($H$2-$H$1) ))-1</f>
        <v>-2</v>
      </c>
      <c r="S72" s="128"/>
      <c r="T72" s="144">
        <f t="shared" ref="T72:AC72" si="214">T20+T21</f>
        <v>17.249999999999993</v>
      </c>
      <c r="U72" s="144">
        <f t="shared" si="214"/>
        <v>19.837499999999991</v>
      </c>
      <c r="V72" s="144">
        <f t="shared" si="214"/>
        <v>22.813124999999985</v>
      </c>
      <c r="W72" s="144">
        <f t="shared" si="214"/>
        <v>26.23509374999999</v>
      </c>
      <c r="X72" s="144">
        <f t="shared" si="214"/>
        <v>30.170357812499986</v>
      </c>
      <c r="Y72" s="144">
        <f t="shared" si="214"/>
        <v>34.695911484374975</v>
      </c>
      <c r="Z72" s="144">
        <f t="shared" si="214"/>
        <v>39.900298207031227</v>
      </c>
      <c r="AA72" s="144">
        <f t="shared" si="214"/>
        <v>45.885342938085898</v>
      </c>
      <c r="AB72" s="144">
        <f t="shared" si="214"/>
        <v>52.76814437879878</v>
      </c>
      <c r="AC72" s="144">
        <f t="shared" si="214"/>
        <v>60.683366035618576</v>
      </c>
      <c r="AD72" s="138">
        <f t="shared" ref="AD72:AD77" si="215">((AC72/G72)^(1/($AC$3-$H$1) ))-1</f>
        <v>0.22787309462163563</v>
      </c>
      <c r="AE72" s="31">
        <f t="shared" si="15"/>
        <v>0.05</v>
      </c>
      <c r="AF72" s="146">
        <f t="shared" si="168"/>
        <v>374.80902551411475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1.8867924528301885</v>
      </c>
      <c r="H74" s="144">
        <f t="shared" si="216"/>
        <v>1.8867924528301885</v>
      </c>
      <c r="I74" s="144">
        <f t="shared" si="216"/>
        <v>-11.320754716981131</v>
      </c>
      <c r="J74" s="144">
        <f t="shared" si="216"/>
        <v>-20</v>
      </c>
      <c r="K74" s="144">
        <f t="shared" si="216"/>
        <v>-17.741935483870968</v>
      </c>
      <c r="L74" s="144">
        <f t="shared" si="216"/>
        <v>22.580645161290324</v>
      </c>
      <c r="M74" s="144">
        <f t="shared" si="216"/>
        <v>34.920634920634917</v>
      </c>
      <c r="N74" s="144">
        <f t="shared" si="216"/>
        <v>-5.5555555555555554</v>
      </c>
      <c r="O74" s="144">
        <f t="shared" si="216"/>
        <v>-7.9365079365079367</v>
      </c>
      <c r="P74" s="144">
        <f t="shared" si="216"/>
        <v>-0.79365079365079361</v>
      </c>
      <c r="Q74" s="144">
        <f t="shared" ref="Q74" si="217">Q72/Q42</f>
        <v>11.904761904761905</v>
      </c>
      <c r="R74" s="118">
        <f>((P74/G74)^(1/($H$2-$H$1) ))-1</f>
        <v>-1.9082631674526556</v>
      </c>
      <c r="S74" s="128"/>
      <c r="T74" s="146">
        <f t="shared" ref="T74:AC74" si="218">T72/T42</f>
        <v>13.554926921263549</v>
      </c>
      <c r="U74" s="146">
        <f t="shared" si="218"/>
        <v>15.433827682626815</v>
      </c>
      <c r="V74" s="146">
        <f t="shared" si="218"/>
        <v>17.573170133683991</v>
      </c>
      <c r="W74" s="146">
        <f t="shared" si="218"/>
        <v>20.009055102709503</v>
      </c>
      <c r="X74" s="146">
        <f t="shared" si="218"/>
        <v>22.782587493184085</v>
      </c>
      <c r="Y74" s="146">
        <f t="shared" si="218"/>
        <v>25.940569917981868</v>
      </c>
      <c r="Z74" s="146">
        <f t="shared" si="218"/>
        <v>29.536292480870451</v>
      </c>
      <c r="AA74" s="146">
        <f t="shared" si="218"/>
        <v>33.630432032674264</v>
      </c>
      <c r="AB74" s="146">
        <f t="shared" si="218"/>
        <v>38.292076076807327</v>
      </c>
      <c r="AC74" s="146">
        <f t="shared" si="218"/>
        <v>43.599888602305356</v>
      </c>
      <c r="AD74" s="138">
        <f t="shared" si="215"/>
        <v>0.17000592879869525</v>
      </c>
      <c r="AE74" s="31">
        <f t="shared" si="15"/>
        <v>0.05</v>
      </c>
      <c r="AF74" s="146">
        <f t="shared" si="168"/>
        <v>269.2934296024743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9.4339622641509422</v>
      </c>
      <c r="H75" s="144">
        <f t="shared" si="219"/>
        <v>7.5471698113207539</v>
      </c>
      <c r="I75" s="144">
        <f t="shared" si="219"/>
        <v>13.20754716981132</v>
      </c>
      <c r="J75" s="144">
        <f t="shared" si="219"/>
        <v>16.666666666666668</v>
      </c>
      <c r="K75" s="144">
        <f t="shared" si="219"/>
        <v>16.129032258064516</v>
      </c>
      <c r="L75" s="144">
        <f t="shared" si="219"/>
        <v>29.032258064516128</v>
      </c>
      <c r="M75" s="144">
        <f t="shared" si="219"/>
        <v>36.507936507936506</v>
      </c>
      <c r="N75" s="144">
        <f t="shared" si="219"/>
        <v>16.666666666666668</v>
      </c>
      <c r="O75" s="144">
        <f t="shared" si="219"/>
        <v>3.9682539682539684</v>
      </c>
      <c r="P75" s="144">
        <f t="shared" si="219"/>
        <v>27.777777777777779</v>
      </c>
      <c r="Q75" s="144">
        <f t="shared" ref="Q75" si="220">Q20/Q42</f>
        <v>50</v>
      </c>
      <c r="R75" s="118">
        <f>((P75/G75)^(1/($H$2-$H$1) ))-1</f>
        <v>0.1274868489296872</v>
      </c>
      <c r="S75" s="128"/>
      <c r="T75" s="146">
        <f t="shared" ref="T75:AC75" si="221">T20/T42</f>
        <v>56.930693069306926</v>
      </c>
      <c r="U75" s="146">
        <f t="shared" si="221"/>
        <v>64.822076267032628</v>
      </c>
      <c r="V75" s="146">
        <f t="shared" si="221"/>
        <v>73.807314561472793</v>
      </c>
      <c r="W75" s="146">
        <f t="shared" si="221"/>
        <v>84.038031431379906</v>
      </c>
      <c r="X75" s="146">
        <f t="shared" si="221"/>
        <v>95.686867471373148</v>
      </c>
      <c r="Y75" s="146">
        <f t="shared" si="221"/>
        <v>108.95039365552385</v>
      </c>
      <c r="Z75" s="146">
        <f t="shared" si="221"/>
        <v>124.05242841965588</v>
      </c>
      <c r="AA75" s="146">
        <f t="shared" si="221"/>
        <v>141.24781453723193</v>
      </c>
      <c r="AB75" s="146">
        <f t="shared" si="221"/>
        <v>160.82671952259079</v>
      </c>
      <c r="AC75" s="146">
        <f t="shared" si="221"/>
        <v>183.11953212968254</v>
      </c>
      <c r="AD75" s="138">
        <f t="shared" si="215"/>
        <v>0.15985053396810422</v>
      </c>
      <c r="AE75" s="31">
        <f t="shared" si="15"/>
        <v>0.05</v>
      </c>
      <c r="AF75" s="146">
        <f t="shared" si="168"/>
        <v>1131.0324043303922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-7.5471698113207539</v>
      </c>
      <c r="H76" s="144">
        <f t="shared" si="222"/>
        <v>-5.6603773584905657</v>
      </c>
      <c r="I76" s="144">
        <f t="shared" si="222"/>
        <v>-24.528301886792452</v>
      </c>
      <c r="J76" s="144">
        <f t="shared" si="222"/>
        <v>-36.666666666666671</v>
      </c>
      <c r="K76" s="144">
        <f t="shared" si="222"/>
        <v>-33.870967741935488</v>
      </c>
      <c r="L76" s="144">
        <f t="shared" si="222"/>
        <v>-6.4516129032258069</v>
      </c>
      <c r="M76" s="144">
        <f t="shared" si="222"/>
        <v>-1.5873015873015872</v>
      </c>
      <c r="N76" s="144">
        <f t="shared" si="222"/>
        <v>-22.222222222222221</v>
      </c>
      <c r="O76" s="144">
        <f t="shared" si="222"/>
        <v>-11.904761904761905</v>
      </c>
      <c r="P76" s="144">
        <f t="shared" si="222"/>
        <v>-28.571428571428573</v>
      </c>
      <c r="Q76" s="144">
        <f t="shared" ref="Q76" si="223">Q21/Q42</f>
        <v>-38.095238095238095</v>
      </c>
      <c r="R76" s="118">
        <f>((P76/G76)^(1/($H$2-$H$1) ))-1</f>
        <v>0.15941428835656501</v>
      </c>
      <c r="S76" s="128"/>
      <c r="T76" s="146">
        <f t="shared" ref="T76:AC76" si="224">T21/T42</f>
        <v>-43.375766148043375</v>
      </c>
      <c r="U76" s="146">
        <f t="shared" si="224"/>
        <v>-49.388248584405815</v>
      </c>
      <c r="V76" s="146">
        <f t="shared" si="224"/>
        <v>-56.234144427788799</v>
      </c>
      <c r="W76" s="146">
        <f t="shared" si="224"/>
        <v>-64.02897632867041</v>
      </c>
      <c r="X76" s="146">
        <f t="shared" si="224"/>
        <v>-72.904279978189066</v>
      </c>
      <c r="Y76" s="146">
        <f t="shared" si="224"/>
        <v>-83.009823737541993</v>
      </c>
      <c r="Z76" s="146">
        <f t="shared" si="224"/>
        <v>-94.516135938785425</v>
      </c>
      <c r="AA76" s="146">
        <f t="shared" si="224"/>
        <v>-107.61738250455765</v>
      </c>
      <c r="AB76" s="146">
        <f t="shared" si="224"/>
        <v>-122.53464344578344</v>
      </c>
      <c r="AC76" s="146">
        <f t="shared" si="224"/>
        <v>-139.51964352737718</v>
      </c>
      <c r="AD76" s="138">
        <f t="shared" si="215"/>
        <v>0.15702451751657009</v>
      </c>
      <c r="AE76" s="31">
        <f t="shared" si="15"/>
        <v>0.05</v>
      </c>
      <c r="AF76" s="146">
        <f t="shared" si="168"/>
        <v>-861.73897472791793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-1.8867924528301885</v>
      </c>
      <c r="H77" s="144">
        <f t="shared" si="225"/>
        <v>-1.8867924528301885</v>
      </c>
      <c r="I77" s="144">
        <f t="shared" si="225"/>
        <v>11.320754716981131</v>
      </c>
      <c r="J77" s="144">
        <f t="shared" si="225"/>
        <v>33.333333333333336</v>
      </c>
      <c r="K77" s="144">
        <f t="shared" si="225"/>
        <v>17.741935483870968</v>
      </c>
      <c r="L77" s="144">
        <f t="shared" si="225"/>
        <v>-4.838709677419355</v>
      </c>
      <c r="M77" s="144">
        <f t="shared" si="225"/>
        <v>-14.285714285714286</v>
      </c>
      <c r="N77" s="144">
        <f t="shared" si="225"/>
        <v>7.1428571428571432</v>
      </c>
      <c r="O77" s="144">
        <f t="shared" si="225"/>
        <v>4.7619047619047619</v>
      </c>
      <c r="P77" s="144">
        <f t="shared" si="225"/>
        <v>7.1428571428571432</v>
      </c>
      <c r="Q77" s="144">
        <f t="shared" ref="Q77" si="226">Q22/Q42</f>
        <v>-19.841269841269842</v>
      </c>
      <c r="R77" s="118">
        <f>((P77/G77)^(1/($H$2-$H$1) ))-1</f>
        <v>-2.1594142883565652</v>
      </c>
      <c r="S77" s="128"/>
      <c r="T77" s="146">
        <f t="shared" ref="T77:AC77" si="227">T22/T42</f>
        <v>-22.591544868772591</v>
      </c>
      <c r="U77" s="146">
        <f t="shared" si="227"/>
        <v>-25.723046137711361</v>
      </c>
      <c r="V77" s="146">
        <f t="shared" si="227"/>
        <v>-29.288616889473328</v>
      </c>
      <c r="W77" s="146">
        <f t="shared" si="227"/>
        <v>-33.348425171182505</v>
      </c>
      <c r="X77" s="146">
        <f t="shared" si="227"/>
        <v>-37.970979155306807</v>
      </c>
      <c r="Y77" s="146">
        <f t="shared" si="227"/>
        <v>-43.234283196636454</v>
      </c>
      <c r="Z77" s="146">
        <f t="shared" si="227"/>
        <v>-49.22715413478408</v>
      </c>
      <c r="AA77" s="146">
        <f t="shared" si="227"/>
        <v>-56.050720054457116</v>
      </c>
      <c r="AB77" s="146">
        <f t="shared" si="227"/>
        <v>-63.820126794678892</v>
      </c>
      <c r="AC77" s="146">
        <f t="shared" si="227"/>
        <v>-72.666481003842293</v>
      </c>
      <c r="AD77" s="138">
        <f t="shared" si="215"/>
        <v>0.20027427998943415</v>
      </c>
      <c r="AE77" s="31">
        <f t="shared" si="15"/>
        <v>0.05</v>
      </c>
      <c r="AF77" s="146">
        <f t="shared" si="168"/>
        <v>-448.82238267079066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3.773584905660377</v>
      </c>
      <c r="H78" s="144">
        <f t="shared" si="228"/>
        <v>5.6603773584905657</v>
      </c>
      <c r="I78" s="144">
        <f t="shared" si="228"/>
        <v>4.9056603773584904</v>
      </c>
      <c r="J78" s="144">
        <f t="shared" si="228"/>
        <v>16.666666666666668</v>
      </c>
      <c r="K78" s="144">
        <f t="shared" si="228"/>
        <v>17.741935483870968</v>
      </c>
      <c r="L78" s="144">
        <f t="shared" si="228"/>
        <v>35.483870967741936</v>
      </c>
      <c r="M78" s="144">
        <f t="shared" si="228"/>
        <v>53.968253968253968</v>
      </c>
      <c r="N78" s="144">
        <f t="shared" si="228"/>
        <v>28.571428571428573</v>
      </c>
      <c r="O78" s="144">
        <f t="shared" si="228"/>
        <v>24.603174603174605</v>
      </c>
      <c r="P78" s="144">
        <f t="shared" si="228"/>
        <v>31.746031746031747</v>
      </c>
      <c r="Q78" s="144">
        <f t="shared" ref="Q78" si="229">Q23/Q42</f>
        <v>23.80952380952381</v>
      </c>
      <c r="R78" s="118">
        <f>((P78/G78)^(1/($H$2-$H$1) ))-1</f>
        <v>0.26698242656490523</v>
      </c>
      <c r="S78" s="128"/>
      <c r="T78" s="146">
        <f t="shared" ref="T78:AC78" si="230">T23/T42</f>
        <v>27.109853842527112</v>
      </c>
      <c r="U78" s="146">
        <f t="shared" si="230"/>
        <v>30.86765536525364</v>
      </c>
      <c r="V78" s="146">
        <f t="shared" si="230"/>
        <v>35.146340267368004</v>
      </c>
      <c r="W78" s="146">
        <f t="shared" si="230"/>
        <v>40.018110205419006</v>
      </c>
      <c r="X78" s="146">
        <f t="shared" si="230"/>
        <v>45.56517498636817</v>
      </c>
      <c r="Y78" s="146">
        <f t="shared" si="230"/>
        <v>51.881139835963758</v>
      </c>
      <c r="Z78" s="146">
        <f t="shared" si="230"/>
        <v>59.072584961740908</v>
      </c>
      <c r="AA78" s="146">
        <f t="shared" si="230"/>
        <v>67.260864065348557</v>
      </c>
      <c r="AB78" s="146">
        <f t="shared" si="230"/>
        <v>76.584152153614681</v>
      </c>
      <c r="AC78" s="146">
        <f t="shared" si="230"/>
        <v>87.199777204610768</v>
      </c>
      <c r="AD78" s="138">
        <f t="shared" ref="AD78" si="231">((AC78/G78)^(1/($AC$3-$H$1) ))-1</f>
        <v>0.17000592879869525</v>
      </c>
      <c r="AE78" s="31">
        <f t="shared" si="15"/>
        <v>0.05</v>
      </c>
      <c r="AF78" s="146">
        <f t="shared" si="168"/>
        <v>538.58685920494895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11.320754716981131</v>
      </c>
      <c r="H80" s="144">
        <f t="shared" si="232"/>
        <v>13.20754716981132</v>
      </c>
      <c r="I80" s="144">
        <f t="shared" si="232"/>
        <v>22.641509433962263</v>
      </c>
      <c r="J80" s="144">
        <f t="shared" si="232"/>
        <v>31.666666666666668</v>
      </c>
      <c r="K80" s="144">
        <f t="shared" si="232"/>
        <v>33.870967741935488</v>
      </c>
      <c r="L80" s="144">
        <f t="shared" si="232"/>
        <v>48.387096774193552</v>
      </c>
      <c r="M80" s="144">
        <f t="shared" si="232"/>
        <v>57.142857142857146</v>
      </c>
      <c r="N80" s="144">
        <f t="shared" si="232"/>
        <v>37.301587301587304</v>
      </c>
      <c r="O80" s="144">
        <f t="shared" si="232"/>
        <v>42.063492063492063</v>
      </c>
      <c r="P80" s="144">
        <f t="shared" si="232"/>
        <v>59.523809523809526</v>
      </c>
      <c r="Q80" s="144">
        <f t="shared" ref="Q80" si="233">Q36/Q42</f>
        <v>75.396825396825392</v>
      </c>
      <c r="R80" s="118">
        <f>((P80/G80)^(1/($H$2-$H$1) ))-1</f>
        <v>0.20251525099387657</v>
      </c>
      <c r="S80" s="128"/>
      <c r="T80" s="144">
        <f t="shared" ref="T80:AC80" si="234">T36/T42</f>
        <v>85.847870501335834</v>
      </c>
      <c r="U80" s="144">
        <f t="shared" si="234"/>
        <v>97.747575323303181</v>
      </c>
      <c r="V80" s="144">
        <f t="shared" si="234"/>
        <v>111.29674417999867</v>
      </c>
      <c r="W80" s="144">
        <f t="shared" si="234"/>
        <v>126.72401565049353</v>
      </c>
      <c r="X80" s="144">
        <f t="shared" si="234"/>
        <v>144.28972079016589</v>
      </c>
      <c r="Y80" s="144">
        <f t="shared" si="234"/>
        <v>164.29027614721858</v>
      </c>
      <c r="Z80" s="144">
        <f t="shared" si="234"/>
        <v>187.06318571217955</v>
      </c>
      <c r="AA80" s="144">
        <f t="shared" si="234"/>
        <v>212.99273620693711</v>
      </c>
      <c r="AB80" s="144">
        <f t="shared" si="234"/>
        <v>242.51648181977984</v>
      </c>
      <c r="AC80" s="144">
        <f t="shared" si="234"/>
        <v>276.13262781460082</v>
      </c>
      <c r="AD80" s="138">
        <f t="shared" ref="AD80:AD82" si="235">((AC80/G80)^(1/($AC$3-$H$1) ))-1</f>
        <v>0.17317315642172382</v>
      </c>
      <c r="AE80" s="31">
        <f t="shared" si="15"/>
        <v>0.05</v>
      </c>
      <c r="AF80" s="146">
        <f t="shared" si="168"/>
        <v>1705.5250541490052</v>
      </c>
    </row>
    <row r="81" spans="2:32" x14ac:dyDescent="0.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3.0188679245283021</v>
      </c>
      <c r="H81" s="144">
        <f t="shared" si="236"/>
        <v>4.3396226415094334</v>
      </c>
      <c r="I81" s="144">
        <f t="shared" si="236"/>
        <v>11.320754716981131</v>
      </c>
      <c r="J81" s="144">
        <f t="shared" si="236"/>
        <v>15</v>
      </c>
      <c r="K81" s="144">
        <f t="shared" si="236"/>
        <v>16.129032258064516</v>
      </c>
      <c r="L81" s="144">
        <f t="shared" si="236"/>
        <v>20.967741935483872</v>
      </c>
      <c r="M81" s="144">
        <f t="shared" si="236"/>
        <v>30.158730158730158</v>
      </c>
      <c r="N81" s="144">
        <f t="shared" si="236"/>
        <v>20.634920634920636</v>
      </c>
      <c r="O81" s="144">
        <f t="shared" si="236"/>
        <v>25.396825396825395</v>
      </c>
      <c r="P81" s="144">
        <f t="shared" si="236"/>
        <v>36.507936507936506</v>
      </c>
      <c r="Q81" s="144">
        <f t="shared" ref="Q81" si="237">Q40/Q42</f>
        <v>41.269841269841272</v>
      </c>
      <c r="R81" s="118">
        <f>((P81/G81)^(1/($H$2-$H$1) ))-1</f>
        <v>0.3191147448340832</v>
      </c>
      <c r="S81" s="128"/>
      <c r="T81" s="144">
        <f t="shared" ref="T81:AC81" si="238">T40/T42</f>
        <v>46.990413327046987</v>
      </c>
      <c r="U81" s="144">
        <f t="shared" si="238"/>
        <v>53.503935966439641</v>
      </c>
      <c r="V81" s="144">
        <f t="shared" si="238"/>
        <v>60.920323130104542</v>
      </c>
      <c r="W81" s="144">
        <f t="shared" si="238"/>
        <v>69.364724356059625</v>
      </c>
      <c r="X81" s="144">
        <f t="shared" si="238"/>
        <v>78.979636643038177</v>
      </c>
      <c r="Y81" s="144">
        <f t="shared" si="238"/>
        <v>89.927309049003853</v>
      </c>
      <c r="Z81" s="144">
        <f t="shared" si="238"/>
        <v>102.39248060035091</v>
      </c>
      <c r="AA81" s="144">
        <f t="shared" si="238"/>
        <v>116.58549771327084</v>
      </c>
      <c r="AB81" s="144">
        <f t="shared" si="238"/>
        <v>132.74586373293212</v>
      </c>
      <c r="AC81" s="144">
        <f t="shared" si="238"/>
        <v>151.14628048799202</v>
      </c>
      <c r="AD81" s="138">
        <f t="shared" si="235"/>
        <v>0.21612346311614017</v>
      </c>
      <c r="AE81" s="31">
        <f t="shared" si="15"/>
        <v>0.05</v>
      </c>
      <c r="AF81" s="146">
        <f t="shared" si="168"/>
        <v>933.55055595524493</v>
      </c>
    </row>
    <row r="82" spans="2:32" x14ac:dyDescent="0.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33.962264150943398</v>
      </c>
      <c r="H82" s="144">
        <f t="shared" si="239"/>
        <v>37.735849056603769</v>
      </c>
      <c r="I82" s="144">
        <f t="shared" si="239"/>
        <v>49.056603773584904</v>
      </c>
      <c r="J82" s="144">
        <f t="shared" si="239"/>
        <v>73.333333333333343</v>
      </c>
      <c r="K82" s="144">
        <f t="shared" si="239"/>
        <v>88.709677419354833</v>
      </c>
      <c r="L82" s="144">
        <f t="shared" si="239"/>
        <v>108.06451612903226</v>
      </c>
      <c r="M82" s="144">
        <f t="shared" si="239"/>
        <v>134.92063492063491</v>
      </c>
      <c r="N82" s="144">
        <f t="shared" si="239"/>
        <v>83.333333333333329</v>
      </c>
      <c r="O82" s="144">
        <f t="shared" si="239"/>
        <v>104.76190476190476</v>
      </c>
      <c r="P82" s="144">
        <f t="shared" si="239"/>
        <v>137.30158730158729</v>
      </c>
      <c r="Q82" s="144">
        <f t="shared" ref="Q82" si="240">Q6/Q42</f>
        <v>172.22222222222223</v>
      </c>
      <c r="R82" s="118">
        <f>((P82/G82)^(1/($H$2-$H$1) ))-1</f>
        <v>0.16790836537075293</v>
      </c>
      <c r="S82" s="128"/>
      <c r="T82" s="144">
        <f t="shared" ref="T82:AC82" si="241">T6/T42</f>
        <v>196.09460946094609</v>
      </c>
      <c r="U82" s="144">
        <f t="shared" si="241"/>
        <v>223.27604047533464</v>
      </c>
      <c r="V82" s="144">
        <f t="shared" si="241"/>
        <v>254.22519460062856</v>
      </c>
      <c r="W82" s="144">
        <f t="shared" si="241"/>
        <v>289.4643304858642</v>
      </c>
      <c r="X82" s="144">
        <f t="shared" si="241"/>
        <v>329.58809906806312</v>
      </c>
      <c r="Y82" s="144">
        <f t="shared" si="241"/>
        <v>375.27357814680448</v>
      </c>
      <c r="Z82" s="144">
        <f t="shared" si="241"/>
        <v>427.2916978899259</v>
      </c>
      <c r="AA82" s="144">
        <f t="shared" si="241"/>
        <v>486.52025007268787</v>
      </c>
      <c r="AB82" s="144">
        <f t="shared" si="241"/>
        <v>553.95870057781292</v>
      </c>
      <c r="AC82" s="144">
        <f t="shared" si="241"/>
        <v>630.74505511335121</v>
      </c>
      <c r="AD82" s="138">
        <f t="shared" si="235"/>
        <v>0.15729176005489331</v>
      </c>
      <c r="AE82" s="31">
        <f t="shared" ref="AE82" si="242">$L$1</f>
        <v>0.05</v>
      </c>
      <c r="AF82" s="146">
        <f t="shared" si="168"/>
        <v>3895.7782815824639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0.11764705882352941</v>
      </c>
      <c r="H86" s="152">
        <f t="shared" si="243"/>
        <v>0.11290322580645161</v>
      </c>
      <c r="I86" s="152">
        <f t="shared" si="243"/>
        <v>0.14285714285714285</v>
      </c>
      <c r="J86" s="152">
        <f t="shared" si="243"/>
        <v>0.17272727272727273</v>
      </c>
      <c r="K86" s="152">
        <f t="shared" si="243"/>
        <v>0.15789473684210525</v>
      </c>
      <c r="L86" s="152">
        <f t="shared" si="243"/>
        <v>0.18633540372670807</v>
      </c>
      <c r="M86" s="152">
        <f t="shared" si="243"/>
        <v>0.17910447761194029</v>
      </c>
      <c r="N86" s="152">
        <f t="shared" si="243"/>
        <v>0.18431372549019609</v>
      </c>
      <c r="O86" s="152">
        <f t="shared" si="243"/>
        <v>0.14681440443213298</v>
      </c>
      <c r="P86" s="152">
        <f t="shared" si="243"/>
        <v>0.15120967741935484</v>
      </c>
      <c r="Q86" s="152">
        <f t="shared" ref="Q86" si="244">Q36/Q25</f>
        <v>0.1395007342143906</v>
      </c>
      <c r="R86" s="118">
        <f t="shared" ref="R86:R138" si="245">((P86/G86)^(1/($H$2-$H$1) ))-1</f>
        <v>2.8278951032185473E-2</v>
      </c>
      <c r="S86" s="152"/>
      <c r="T86" s="152">
        <f t="shared" ref="T86:AC86" si="246">T36/T25</f>
        <v>0.13950073421439058</v>
      </c>
      <c r="U86" s="152">
        <f t="shared" si="246"/>
        <v>0.13950073421439058</v>
      </c>
      <c r="V86" s="152">
        <f t="shared" si="246"/>
        <v>0.1395007342143906</v>
      </c>
      <c r="W86" s="152">
        <f t="shared" si="246"/>
        <v>0.13950073421439058</v>
      </c>
      <c r="X86" s="152">
        <f t="shared" si="246"/>
        <v>0.1395007342143906</v>
      </c>
      <c r="Y86" s="152">
        <f t="shared" si="246"/>
        <v>0.1395007342143906</v>
      </c>
      <c r="Z86" s="152">
        <f t="shared" si="246"/>
        <v>0.13950073421439063</v>
      </c>
      <c r="AA86" s="152">
        <f t="shared" si="246"/>
        <v>0.13950073421439063</v>
      </c>
      <c r="AB86" s="152">
        <f t="shared" si="246"/>
        <v>0.13950073421439066</v>
      </c>
      <c r="AC86" s="152">
        <f t="shared" si="246"/>
        <v>0.13950073421439066</v>
      </c>
      <c r="AD86" s="138">
        <f t="shared" ref="AD86:AD125" si="247">((AC86/G86)^(1/($AC$3-$H$1) ))-1</f>
        <v>8.5554277101478338E-3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3.1372549019607843E-2</v>
      </c>
      <c r="H87" s="152">
        <f t="shared" si="248"/>
        <v>3.7096774193548385E-2</v>
      </c>
      <c r="I87" s="152">
        <f t="shared" si="248"/>
        <v>7.1428571428571425E-2</v>
      </c>
      <c r="J87" s="152">
        <f t="shared" si="248"/>
        <v>8.1818181818181818E-2</v>
      </c>
      <c r="K87" s="152">
        <f t="shared" si="248"/>
        <v>7.5187969924812026E-2</v>
      </c>
      <c r="L87" s="152">
        <f t="shared" si="248"/>
        <v>8.0745341614906832E-2</v>
      </c>
      <c r="M87" s="152">
        <f t="shared" si="248"/>
        <v>9.4527363184079602E-2</v>
      </c>
      <c r="N87" s="152">
        <f t="shared" si="248"/>
        <v>0.10196078431372549</v>
      </c>
      <c r="O87" s="152">
        <f t="shared" si="248"/>
        <v>8.8642659279778394E-2</v>
      </c>
      <c r="P87" s="152">
        <f t="shared" si="248"/>
        <v>9.2741935483870969E-2</v>
      </c>
      <c r="Q87" s="152">
        <f t="shared" ref="Q87" si="249">Q40/Q25</f>
        <v>7.63582966226138E-2</v>
      </c>
      <c r="R87" s="118">
        <f t="shared" si="245"/>
        <v>0.12798396942409118</v>
      </c>
      <c r="S87" s="152"/>
      <c r="T87" s="152">
        <f t="shared" ref="T87:AC87" si="250">T40/T25</f>
        <v>7.63582966226138E-2</v>
      </c>
      <c r="U87" s="152">
        <f t="shared" si="250"/>
        <v>7.63582966226138E-2</v>
      </c>
      <c r="V87" s="152">
        <f t="shared" si="250"/>
        <v>7.6358296622613814E-2</v>
      </c>
      <c r="W87" s="152">
        <f t="shared" si="250"/>
        <v>7.63582966226138E-2</v>
      </c>
      <c r="X87" s="152">
        <f t="shared" si="250"/>
        <v>7.6358296622613814E-2</v>
      </c>
      <c r="Y87" s="152">
        <f t="shared" si="250"/>
        <v>7.6358296622613814E-2</v>
      </c>
      <c r="Z87" s="152">
        <f t="shared" si="250"/>
        <v>7.6358296622613814E-2</v>
      </c>
      <c r="AA87" s="152">
        <f t="shared" si="250"/>
        <v>7.6358296622613814E-2</v>
      </c>
      <c r="AB87" s="152">
        <f t="shared" si="250"/>
        <v>7.6358296622613814E-2</v>
      </c>
      <c r="AC87" s="152">
        <f t="shared" si="250"/>
        <v>7.6358296622613828E-2</v>
      </c>
      <c r="AD87" s="138">
        <f t="shared" si="247"/>
        <v>4.5479017975878167E-2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7.6190476190476197E-2</v>
      </c>
      <c r="H88" s="152">
        <f t="shared" si="251"/>
        <v>9.9999999999999992E-2</v>
      </c>
      <c r="I88" s="152">
        <f t="shared" si="251"/>
        <v>0.21428571428571427</v>
      </c>
      <c r="J88" s="152">
        <f t="shared" si="251"/>
        <v>0.1875</v>
      </c>
      <c r="K88" s="152">
        <f t="shared" si="251"/>
        <v>0.17241379310344829</v>
      </c>
      <c r="L88" s="152">
        <f t="shared" si="251"/>
        <v>0.18571428571428572</v>
      </c>
      <c r="M88" s="152">
        <f t="shared" si="251"/>
        <v>0.21590909090909091</v>
      </c>
      <c r="N88" s="152">
        <f t="shared" si="251"/>
        <v>0.23423423423423423</v>
      </c>
      <c r="O88" s="152">
        <f t="shared" si="251"/>
        <v>0.23021582733812951</v>
      </c>
      <c r="P88" s="152">
        <f t="shared" ref="P88:Q88" si="252">P40/P7</f>
        <v>0.25698324022346369</v>
      </c>
      <c r="Q88" s="152">
        <f t="shared" si="252"/>
        <v>0.23214285714285715</v>
      </c>
      <c r="R88" s="118">
        <f t="shared" si="245"/>
        <v>0.14463526950891126</v>
      </c>
      <c r="S88" s="20"/>
      <c r="T88" s="152">
        <f t="shared" ref="T88" si="253">T40/T7</f>
        <v>0.23214285714285715</v>
      </c>
      <c r="U88" s="152">
        <f t="shared" ref="U88:AC88" si="254">U40/U7</f>
        <v>0.23214285714285718</v>
      </c>
      <c r="V88" s="152">
        <f t="shared" si="254"/>
        <v>0.23214285714285718</v>
      </c>
      <c r="W88" s="152">
        <f t="shared" si="254"/>
        <v>0.23214285714285718</v>
      </c>
      <c r="X88" s="152">
        <f t="shared" si="254"/>
        <v>0.23214285714285718</v>
      </c>
      <c r="Y88" s="152">
        <f t="shared" si="254"/>
        <v>0.23214285714285718</v>
      </c>
      <c r="Z88" s="152">
        <f t="shared" si="254"/>
        <v>0.23214285714285718</v>
      </c>
      <c r="AA88" s="152">
        <f t="shared" si="254"/>
        <v>0.23214285714285715</v>
      </c>
      <c r="AB88" s="152">
        <f t="shared" si="254"/>
        <v>0.23214285714285715</v>
      </c>
      <c r="AC88" s="152">
        <f t="shared" si="254"/>
        <v>0.23214285714285718</v>
      </c>
      <c r="AD88" s="138">
        <f t="shared" si="247"/>
        <v>5.7286609384377352E-2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4.5714285714285714E-2</v>
      </c>
      <c r="H89" s="152">
        <f t="shared" ref="H89:O89" si="256">(H40)/(H7+H10)</f>
        <v>6.3888888888888884E-2</v>
      </c>
      <c r="I89" s="152">
        <f t="shared" si="256"/>
        <v>0.125</v>
      </c>
      <c r="J89" s="152">
        <f t="shared" si="256"/>
        <v>0.11538461538461539</v>
      </c>
      <c r="K89" s="152">
        <f t="shared" si="256"/>
        <v>0.10309278350515463</v>
      </c>
      <c r="L89" s="152">
        <f t="shared" si="256"/>
        <v>0.12149532710280374</v>
      </c>
      <c r="M89" s="152">
        <f t="shared" si="256"/>
        <v>0.16521739130434782</v>
      </c>
      <c r="N89" s="152">
        <f t="shared" si="256"/>
        <v>0.17449664429530201</v>
      </c>
      <c r="O89" s="152">
        <f t="shared" si="256"/>
        <v>0.17777777777777778</v>
      </c>
      <c r="P89" s="152">
        <f t="shared" ref="P89:Q89" si="257">(P40)/(P7+P10)</f>
        <v>0.19658119658119658</v>
      </c>
      <c r="Q89" s="152">
        <f t="shared" si="257"/>
        <v>0.19548872180451127</v>
      </c>
      <c r="R89" s="118">
        <f t="shared" si="245"/>
        <v>0.17594709008700349</v>
      </c>
      <c r="S89" s="20"/>
      <c r="T89" s="152">
        <f t="shared" ref="T89:AC89" si="258">(T40)/(T7+T10)</f>
        <v>0.1954887218045113</v>
      </c>
      <c r="U89" s="152">
        <f t="shared" si="258"/>
        <v>0.1954887218045113</v>
      </c>
      <c r="V89" s="152">
        <f t="shared" si="258"/>
        <v>0.1954887218045113</v>
      </c>
      <c r="W89" s="152">
        <f t="shared" si="258"/>
        <v>0.1954887218045113</v>
      </c>
      <c r="X89" s="152">
        <f t="shared" si="258"/>
        <v>0.19548872180451132</v>
      </c>
      <c r="Y89" s="152">
        <f t="shared" si="258"/>
        <v>0.19548872180451132</v>
      </c>
      <c r="Z89" s="152">
        <f t="shared" si="258"/>
        <v>0.1954887218045113</v>
      </c>
      <c r="AA89" s="152">
        <f t="shared" si="258"/>
        <v>0.1954887218045113</v>
      </c>
      <c r="AB89" s="152">
        <f t="shared" si="258"/>
        <v>0.19548872180451127</v>
      </c>
      <c r="AC89" s="152">
        <f t="shared" si="258"/>
        <v>0.19548872180451132</v>
      </c>
      <c r="AD89" s="138">
        <f t="shared" si="247"/>
        <v>7.5359035254813911E-2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9.8039215686274508E-2</v>
      </c>
      <c r="H90" s="152">
        <f t="shared" ref="H90:P90" si="259">H20/H25</f>
        <v>6.4516129032258063E-2</v>
      </c>
      <c r="I90" s="152">
        <f t="shared" si="259"/>
        <v>8.3333333333333329E-2</v>
      </c>
      <c r="J90" s="152">
        <f t="shared" si="259"/>
        <v>9.0909090909090912E-2</v>
      </c>
      <c r="K90" s="152">
        <f t="shared" si="259"/>
        <v>7.5187969924812026E-2</v>
      </c>
      <c r="L90" s="152">
        <f t="shared" si="259"/>
        <v>0.11180124223602485</v>
      </c>
      <c r="M90" s="152">
        <f t="shared" si="259"/>
        <v>0.11442786069651742</v>
      </c>
      <c r="N90" s="152">
        <f t="shared" si="259"/>
        <v>8.2352941176470587E-2</v>
      </c>
      <c r="O90" s="152">
        <f t="shared" si="259"/>
        <v>1.3850415512465374E-2</v>
      </c>
      <c r="P90" s="152">
        <f t="shared" si="259"/>
        <v>7.0564516129032265E-2</v>
      </c>
      <c r="Q90" s="152">
        <f t="shared" ref="Q90" si="260">Q20/Q25</f>
        <v>9.2511013215859028E-2</v>
      </c>
      <c r="R90" s="118">
        <f t="shared" si="245"/>
        <v>-3.587834469310458E-2</v>
      </c>
      <c r="S90" s="20"/>
      <c r="T90" s="152">
        <f t="shared" ref="T90:AC90" si="261">T20/T25</f>
        <v>9.2511013215859014E-2</v>
      </c>
      <c r="U90" s="152">
        <f t="shared" si="261"/>
        <v>9.2511013215859014E-2</v>
      </c>
      <c r="V90" s="152">
        <f t="shared" si="261"/>
        <v>9.2511013215859014E-2</v>
      </c>
      <c r="W90" s="152">
        <f t="shared" si="261"/>
        <v>9.2511013215859014E-2</v>
      </c>
      <c r="X90" s="152">
        <f t="shared" si="261"/>
        <v>9.2511013215859014E-2</v>
      </c>
      <c r="Y90" s="152">
        <f t="shared" si="261"/>
        <v>9.2511013215859E-2</v>
      </c>
      <c r="Z90" s="152">
        <f t="shared" si="261"/>
        <v>9.2511013215859014E-2</v>
      </c>
      <c r="AA90" s="152">
        <f t="shared" si="261"/>
        <v>9.2511013215859014E-2</v>
      </c>
      <c r="AB90" s="152">
        <f t="shared" si="261"/>
        <v>9.2511013215859014E-2</v>
      </c>
      <c r="AC90" s="152">
        <f t="shared" si="261"/>
        <v>9.2511013215859028E-2</v>
      </c>
      <c r="AD90" s="138">
        <f t="shared" si="247"/>
        <v>-2.8977862620450656E-3</v>
      </c>
      <c r="AE90" s="146"/>
      <c r="AF90" s="146"/>
    </row>
    <row r="91" spans="2:32" x14ac:dyDescent="0.2">
      <c r="B91" s="20" t="s">
        <v>429</v>
      </c>
      <c r="C91" s="152"/>
      <c r="D91" s="152"/>
      <c r="E91" s="152"/>
      <c r="F91" s="152"/>
      <c r="G91" s="152">
        <f>G52/G25</f>
        <v>2.7450980392156862E-2</v>
      </c>
      <c r="H91" s="152">
        <f t="shared" ref="H91:P91" si="262">H52/H25</f>
        <v>2.7419354838709682E-2</v>
      </c>
      <c r="I91" s="152">
        <f t="shared" si="262"/>
        <v>3.5714285714285712E-2</v>
      </c>
      <c r="J91" s="152">
        <f t="shared" si="262"/>
        <v>4.5454545454545456E-2</v>
      </c>
      <c r="K91" s="152">
        <f t="shared" si="262"/>
        <v>3.7593984962406013E-2</v>
      </c>
      <c r="L91" s="152">
        <f t="shared" si="262"/>
        <v>4.3478260869565216E-2</v>
      </c>
      <c r="M91" s="152">
        <f t="shared" si="262"/>
        <v>5.4726368159203981E-2</v>
      </c>
      <c r="N91" s="152">
        <f t="shared" si="262"/>
        <v>5.4901960784313725E-2</v>
      </c>
      <c r="O91" s="152">
        <f t="shared" si="262"/>
        <v>4.4321329639889197E-2</v>
      </c>
      <c r="P91" s="152">
        <f t="shared" si="262"/>
        <v>4.4354838709677422E-2</v>
      </c>
      <c r="Q91" s="152">
        <f t="shared" ref="Q91" si="263">Q52/Q25</f>
        <v>4.405286343612335E-2</v>
      </c>
      <c r="R91" s="118">
        <f t="shared" si="245"/>
        <v>5.4760075786073559E-2</v>
      </c>
      <c r="S91" s="20"/>
      <c r="T91" s="152">
        <f t="shared" ref="T91:AC91" si="264">T52/T25</f>
        <v>4.405286343612335E-2</v>
      </c>
      <c r="U91" s="152">
        <f t="shared" si="264"/>
        <v>4.405286343612335E-2</v>
      </c>
      <c r="V91" s="152">
        <f t="shared" si="264"/>
        <v>4.4052863436123336E-2</v>
      </c>
      <c r="W91" s="152">
        <f t="shared" si="264"/>
        <v>4.4052863436123343E-2</v>
      </c>
      <c r="X91" s="152">
        <f t="shared" si="264"/>
        <v>4.4052863436123343E-2</v>
      </c>
      <c r="Y91" s="152">
        <f t="shared" si="264"/>
        <v>4.4052863436123343E-2</v>
      </c>
      <c r="Z91" s="152">
        <f t="shared" si="264"/>
        <v>4.4052863436123343E-2</v>
      </c>
      <c r="AA91" s="152">
        <f t="shared" si="264"/>
        <v>4.405286343612335E-2</v>
      </c>
      <c r="AB91" s="152">
        <f t="shared" si="264"/>
        <v>4.4052863436123364E-2</v>
      </c>
      <c r="AC91" s="152">
        <f t="shared" si="264"/>
        <v>4.4052863436123357E-2</v>
      </c>
      <c r="AD91" s="138">
        <f t="shared" si="247"/>
        <v>2.3931288795986161E-2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2.3921568627450981E-2</v>
      </c>
      <c r="H93" s="152">
        <f t="shared" ref="H93:P93" si="265">H29/H25</f>
        <v>1.6129032258064516E-2</v>
      </c>
      <c r="I93" s="152">
        <f t="shared" si="265"/>
        <v>1.5476190476190477E-2</v>
      </c>
      <c r="J93" s="152">
        <f t="shared" si="265"/>
        <v>0.02</v>
      </c>
      <c r="K93" s="152">
        <f t="shared" si="265"/>
        <v>2.2556390977443608E-2</v>
      </c>
      <c r="L93" s="152">
        <f t="shared" si="265"/>
        <v>2.4844720496894408E-2</v>
      </c>
      <c r="M93" s="152">
        <f t="shared" si="265"/>
        <v>1.2437810945273632E-2</v>
      </c>
      <c r="N93" s="152">
        <f t="shared" si="265"/>
        <v>1.0588235294117648E-2</v>
      </c>
      <c r="O93" s="152">
        <f t="shared" si="265"/>
        <v>1.1080332409972299E-2</v>
      </c>
      <c r="P93" s="152">
        <f t="shared" si="265"/>
        <v>1.4112903225806451E-2</v>
      </c>
      <c r="Q93" s="152">
        <f t="shared" ref="Q93" si="266">Q29/Q25</f>
        <v>1.0279001468428781E-2</v>
      </c>
      <c r="R93" s="118">
        <f t="shared" si="245"/>
        <v>-5.6946565649355518E-2</v>
      </c>
      <c r="S93" s="20"/>
      <c r="T93" s="152">
        <f t="shared" ref="T93:AC93" si="267">T29/T25</f>
        <v>1.027900146842878E-2</v>
      </c>
      <c r="U93" s="152">
        <f t="shared" si="267"/>
        <v>1.027900146842878E-2</v>
      </c>
      <c r="V93" s="152">
        <f t="shared" si="267"/>
        <v>1.027900146842878E-2</v>
      </c>
      <c r="W93" s="152">
        <f t="shared" si="267"/>
        <v>1.027900146842878E-2</v>
      </c>
      <c r="X93" s="152">
        <f t="shared" si="267"/>
        <v>1.0279001468428781E-2</v>
      </c>
      <c r="Y93" s="152">
        <f t="shared" si="267"/>
        <v>1.0279001468428781E-2</v>
      </c>
      <c r="Z93" s="152">
        <f t="shared" si="267"/>
        <v>1.0279001468428781E-2</v>
      </c>
      <c r="AA93" s="152">
        <f t="shared" si="267"/>
        <v>1.0279001468428783E-2</v>
      </c>
      <c r="AB93" s="152">
        <f t="shared" si="267"/>
        <v>1.0279001468428783E-2</v>
      </c>
      <c r="AC93" s="152">
        <f t="shared" si="267"/>
        <v>1.0279001468428783E-2</v>
      </c>
      <c r="AD93" s="138">
        <f t="shared" si="247"/>
        <v>-4.1354443273031283E-2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0.20333333333333334</v>
      </c>
      <c r="H94" s="152">
        <f t="shared" ref="H94:P94" si="268">H29/H36</f>
        <v>0.14285714285714285</v>
      </c>
      <c r="I94" s="152">
        <f t="shared" si="268"/>
        <v>0.10833333333333334</v>
      </c>
      <c r="J94" s="152">
        <f t="shared" si="268"/>
        <v>0.11578947368421054</v>
      </c>
      <c r="K94" s="152">
        <f t="shared" si="268"/>
        <v>0.14285714285714285</v>
      </c>
      <c r="L94" s="152">
        <f t="shared" si="268"/>
        <v>0.13333333333333333</v>
      </c>
      <c r="M94" s="152">
        <f t="shared" si="268"/>
        <v>6.9444444444444448E-2</v>
      </c>
      <c r="N94" s="152">
        <f t="shared" si="268"/>
        <v>5.7446808510638304E-2</v>
      </c>
      <c r="O94" s="152">
        <f t="shared" si="268"/>
        <v>7.5471698113207544E-2</v>
      </c>
      <c r="P94" s="152">
        <f t="shared" si="268"/>
        <v>9.3333333333333338E-2</v>
      </c>
      <c r="Q94" s="152">
        <f t="shared" ref="Q94" si="269">Q29/Q36</f>
        <v>7.3684210526315783E-2</v>
      </c>
      <c r="R94" s="118">
        <f t="shared" ref="R94" si="270">((P94/G94)^(1/($H$2-$H$1) ))-1</f>
        <v>-8.2881708894256612E-2</v>
      </c>
      <c r="S94" s="20"/>
      <c r="T94" s="152">
        <f t="shared" ref="T94:AC94" si="271">T29/T36</f>
        <v>7.3684210526315783E-2</v>
      </c>
      <c r="U94" s="152">
        <f t="shared" si="271"/>
        <v>7.3684210526315796E-2</v>
      </c>
      <c r="V94" s="152">
        <f t="shared" si="271"/>
        <v>7.3684210526315783E-2</v>
      </c>
      <c r="W94" s="152">
        <f t="shared" si="271"/>
        <v>7.3684210526315796E-2</v>
      </c>
      <c r="X94" s="152">
        <f t="shared" si="271"/>
        <v>7.3684210526315783E-2</v>
      </c>
      <c r="Y94" s="152">
        <f t="shared" si="271"/>
        <v>7.3684210526315783E-2</v>
      </c>
      <c r="Z94" s="152">
        <f t="shared" si="271"/>
        <v>7.3684210526315783E-2</v>
      </c>
      <c r="AA94" s="152">
        <f t="shared" si="271"/>
        <v>7.3684210526315783E-2</v>
      </c>
      <c r="AB94" s="152">
        <f t="shared" si="271"/>
        <v>7.3684210526315783E-2</v>
      </c>
      <c r="AC94" s="152">
        <f t="shared" si="271"/>
        <v>7.3684210526315769E-2</v>
      </c>
      <c r="AD94" s="138">
        <f t="shared" ref="AD94" si="272">((AC94/G94)^(1/($AC$3-$H$1) ))-1</f>
        <v>-4.9486492870794319E-2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3">G29/G40</f>
        <v>0.76249999999999996</v>
      </c>
      <c r="H95" s="171">
        <f t="shared" si="273"/>
        <v>0.43478260869565222</v>
      </c>
      <c r="I95" s="171">
        <f t="shared" si="273"/>
        <v>0.21666666666666667</v>
      </c>
      <c r="J95" s="171">
        <f t="shared" si="273"/>
        <v>0.24444444444444446</v>
      </c>
      <c r="K95" s="171">
        <f t="shared" si="273"/>
        <v>0.3</v>
      </c>
      <c r="L95" s="171">
        <f t="shared" si="273"/>
        <v>0.30769230769230771</v>
      </c>
      <c r="M95" s="171">
        <f t="shared" si="273"/>
        <v>0.13157894736842105</v>
      </c>
      <c r="N95" s="171">
        <f t="shared" si="273"/>
        <v>0.10384615384615385</v>
      </c>
      <c r="O95" s="171">
        <f t="shared" si="273"/>
        <v>0.125</v>
      </c>
      <c r="P95" s="171">
        <f t="shared" si="273"/>
        <v>0.15217391304347827</v>
      </c>
      <c r="Q95" s="171">
        <f t="shared" ref="Q95" si="274">Q29/Q40</f>
        <v>0.13461538461538461</v>
      </c>
      <c r="R95" s="118">
        <f t="shared" ref="R95" si="275">((P95/G95)^(1/($H$2-$H$1) ))-1</f>
        <v>-0.1639478397621783</v>
      </c>
      <c r="S95" s="20"/>
      <c r="T95" s="171">
        <f t="shared" ref="T95:AC95" si="276">T29/T40</f>
        <v>0.13461538461538461</v>
      </c>
      <c r="U95" s="171">
        <f t="shared" si="276"/>
        <v>0.13461538461538461</v>
      </c>
      <c r="V95" s="171">
        <f t="shared" si="276"/>
        <v>0.13461538461538458</v>
      </c>
      <c r="W95" s="171">
        <f t="shared" si="276"/>
        <v>0.13461538461538461</v>
      </c>
      <c r="X95" s="171">
        <f t="shared" si="276"/>
        <v>0.13461538461538461</v>
      </c>
      <c r="Y95" s="171">
        <f t="shared" si="276"/>
        <v>0.13461538461538458</v>
      </c>
      <c r="Z95" s="171">
        <f t="shared" si="276"/>
        <v>0.13461538461538461</v>
      </c>
      <c r="AA95" s="171">
        <f t="shared" si="276"/>
        <v>0.13461538461538461</v>
      </c>
      <c r="AB95" s="171">
        <f t="shared" si="276"/>
        <v>0.13461538461538461</v>
      </c>
      <c r="AC95" s="171">
        <f t="shared" si="276"/>
        <v>0.13461538461538461</v>
      </c>
      <c r="AD95" s="138">
        <f t="shared" ref="AD95" si="277">((AC95/G95)^(1/($AC$3-$H$1) ))-1</f>
        <v>-8.3056149148765468E-2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78">G29/G12</f>
        <v>0.61</v>
      </c>
      <c r="H96" s="171">
        <f t="shared" si="278"/>
        <v>0.33333333333333331</v>
      </c>
      <c r="I96" s="171">
        <f t="shared" si="278"/>
        <v>0.43333333333333335</v>
      </c>
      <c r="J96" s="171">
        <f t="shared" si="278"/>
        <v>0.2</v>
      </c>
      <c r="K96" s="171">
        <f t="shared" si="278"/>
        <v>0.27272727272727271</v>
      </c>
      <c r="L96" s="171">
        <f t="shared" si="278"/>
        <v>0.19047619047619047</v>
      </c>
      <c r="M96" s="171">
        <f t="shared" si="278"/>
        <v>7.575757575757576E-2</v>
      </c>
      <c r="N96" s="171">
        <f t="shared" si="278"/>
        <v>7.5000000000000011E-2</v>
      </c>
      <c r="O96" s="171">
        <f t="shared" si="278"/>
        <v>0.12903225806451613</v>
      </c>
      <c r="P96" s="171">
        <f t="shared" si="278"/>
        <v>0.17499999999999999</v>
      </c>
      <c r="Q96" s="171">
        <f t="shared" ref="Q96" si="279">Q29/Q12</f>
        <v>0.22580645161290322</v>
      </c>
      <c r="R96" s="118">
        <f t="shared" si="245"/>
        <v>-0.12954693853948174</v>
      </c>
      <c r="S96" s="20"/>
      <c r="T96" s="152">
        <f t="shared" ref="T96:AC96" si="280">T29/T12</f>
        <v>0.22580645161290319</v>
      </c>
      <c r="U96" s="152">
        <f t="shared" si="280"/>
        <v>0.22580645161290322</v>
      </c>
      <c r="V96" s="152">
        <f t="shared" si="280"/>
        <v>0.22580645161290325</v>
      </c>
      <c r="W96" s="152">
        <f t="shared" si="280"/>
        <v>0.22580645161290325</v>
      </c>
      <c r="X96" s="152">
        <f t="shared" si="280"/>
        <v>0.22580645161290322</v>
      </c>
      <c r="Y96" s="152">
        <f t="shared" si="280"/>
        <v>0.22580645161290319</v>
      </c>
      <c r="Z96" s="152">
        <f t="shared" si="280"/>
        <v>0.22580645161290319</v>
      </c>
      <c r="AA96" s="152">
        <f t="shared" si="280"/>
        <v>0.22580645161290322</v>
      </c>
      <c r="AB96" s="152">
        <f t="shared" si="280"/>
        <v>0.22580645161290319</v>
      </c>
      <c r="AC96" s="152">
        <f t="shared" si="280"/>
        <v>0.22580645161290319</v>
      </c>
      <c r="AD96" s="138">
        <f t="shared" si="247"/>
        <v>-4.8474732044230029E-2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0.61</v>
      </c>
      <c r="H97" s="171">
        <f t="shared" ref="H97:P97" si="281">H29/H23</f>
        <v>0.33333333333333331</v>
      </c>
      <c r="I97" s="171">
        <f t="shared" si="281"/>
        <v>0.5</v>
      </c>
      <c r="J97" s="171">
        <f t="shared" si="281"/>
        <v>0.22000000000000003</v>
      </c>
      <c r="K97" s="171">
        <f t="shared" si="281"/>
        <v>0.27272727272727271</v>
      </c>
      <c r="L97" s="171">
        <f t="shared" si="281"/>
        <v>0.18181818181818182</v>
      </c>
      <c r="M97" s="171">
        <f t="shared" si="281"/>
        <v>7.3529411764705885E-2</v>
      </c>
      <c r="N97" s="171">
        <f t="shared" si="281"/>
        <v>7.5000000000000011E-2</v>
      </c>
      <c r="O97" s="171">
        <f t="shared" si="281"/>
        <v>0.12903225806451613</v>
      </c>
      <c r="P97" s="171">
        <f t="shared" si="281"/>
        <v>0.17499999999999999</v>
      </c>
      <c r="Q97" s="171">
        <f t="shared" ref="Q97" si="282">Q29/Q23</f>
        <v>0.23333333333333334</v>
      </c>
      <c r="R97" s="118">
        <f t="shared" ref="R97" si="283">((P97/G97)^(1/($H$2-$H$1) ))-1</f>
        <v>-0.12954693853948174</v>
      </c>
      <c r="S97" s="20"/>
      <c r="T97" s="171">
        <f t="shared" ref="T97:AC97" si="284">T29/T23</f>
        <v>0.23333333333333331</v>
      </c>
      <c r="U97" s="171">
        <f t="shared" si="284"/>
        <v>0.23333333333333331</v>
      </c>
      <c r="V97" s="171">
        <f t="shared" si="284"/>
        <v>0.23333333333333334</v>
      </c>
      <c r="W97" s="171">
        <f t="shared" si="284"/>
        <v>0.23333333333333331</v>
      </c>
      <c r="X97" s="171">
        <f t="shared" si="284"/>
        <v>0.23333333333333334</v>
      </c>
      <c r="Y97" s="171">
        <f t="shared" si="284"/>
        <v>0.23333333333333331</v>
      </c>
      <c r="Z97" s="171">
        <f t="shared" si="284"/>
        <v>0.23333333333333331</v>
      </c>
      <c r="AA97" s="171">
        <f t="shared" si="284"/>
        <v>0.23333333333333334</v>
      </c>
      <c r="AB97" s="171">
        <f t="shared" si="284"/>
        <v>0.23333333333333334</v>
      </c>
      <c r="AC97" s="171">
        <f t="shared" si="284"/>
        <v>0.23333333333333334</v>
      </c>
      <c r="AD97" s="138">
        <f t="shared" ref="AD97" si="285">((AC97/G97)^(1/($AC$3-$H$1) ))-1</f>
        <v>-4.6913435280451665E-2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403</v>
      </c>
      <c r="C99" s="152"/>
      <c r="D99" s="152"/>
      <c r="E99" s="152"/>
      <c r="F99" s="152"/>
      <c r="G99" s="127">
        <f>1/G93</f>
        <v>41.803278688524593</v>
      </c>
      <c r="H99" s="127">
        <f t="shared" ref="H99:P99" si="286">1/H93</f>
        <v>62</v>
      </c>
      <c r="I99" s="127">
        <f t="shared" si="286"/>
        <v>64.615384615384613</v>
      </c>
      <c r="J99" s="127">
        <f t="shared" si="286"/>
        <v>50</v>
      </c>
      <c r="K99" s="127">
        <f t="shared" si="286"/>
        <v>44.333333333333336</v>
      </c>
      <c r="L99" s="127">
        <f t="shared" si="286"/>
        <v>40.25</v>
      </c>
      <c r="M99" s="127">
        <f t="shared" si="286"/>
        <v>80.399999999999991</v>
      </c>
      <c r="N99" s="127">
        <f t="shared" si="286"/>
        <v>94.444444444444429</v>
      </c>
      <c r="O99" s="127">
        <f t="shared" si="286"/>
        <v>90.25</v>
      </c>
      <c r="P99" s="127">
        <f t="shared" si="286"/>
        <v>70.857142857142861</v>
      </c>
      <c r="Q99" s="127">
        <f t="shared" ref="Q99" si="287">1/Q93</f>
        <v>97.285714285714292</v>
      </c>
      <c r="R99" s="118">
        <f t="shared" si="245"/>
        <v>6.0385301166489214E-2</v>
      </c>
      <c r="S99" s="20"/>
      <c r="T99" s="127">
        <f t="shared" ref="T99:AC99" si="288">1/T93</f>
        <v>97.285714285714306</v>
      </c>
      <c r="U99" s="127">
        <f t="shared" si="288"/>
        <v>97.285714285714306</v>
      </c>
      <c r="V99" s="127">
        <f t="shared" si="288"/>
        <v>97.285714285714306</v>
      </c>
      <c r="W99" s="127">
        <f t="shared" si="288"/>
        <v>97.285714285714306</v>
      </c>
      <c r="X99" s="127">
        <f t="shared" si="288"/>
        <v>97.285714285714292</v>
      </c>
      <c r="Y99" s="127">
        <f t="shared" si="288"/>
        <v>97.285714285714292</v>
      </c>
      <c r="Z99" s="127">
        <f t="shared" si="288"/>
        <v>97.285714285714292</v>
      </c>
      <c r="AA99" s="127">
        <f t="shared" si="288"/>
        <v>97.285714285714263</v>
      </c>
      <c r="AB99" s="127">
        <f t="shared" si="288"/>
        <v>97.285714285714263</v>
      </c>
      <c r="AC99" s="127">
        <f t="shared" si="288"/>
        <v>97.285714285714263</v>
      </c>
      <c r="AD99" s="138">
        <f t="shared" si="247"/>
        <v>4.3138408124713479E-2</v>
      </c>
      <c r="AE99" s="146"/>
      <c r="AF99" s="146"/>
    </row>
    <row r="100" spans="2:32" ht="12" customHeight="1" x14ac:dyDescent="0.2">
      <c r="B100" s="20" t="s">
        <v>404</v>
      </c>
      <c r="C100" s="152"/>
      <c r="D100" s="152"/>
      <c r="E100" s="152"/>
      <c r="F100" s="152"/>
      <c r="G100" s="127">
        <f t="shared" ref="G100:P103" si="289">1/G94</f>
        <v>4.918032786885246</v>
      </c>
      <c r="H100" s="127">
        <f t="shared" si="289"/>
        <v>7</v>
      </c>
      <c r="I100" s="127">
        <f t="shared" si="289"/>
        <v>9.2307692307692299</v>
      </c>
      <c r="J100" s="127">
        <f t="shared" si="289"/>
        <v>8.6363636363636349</v>
      </c>
      <c r="K100" s="127">
        <f t="shared" si="289"/>
        <v>7</v>
      </c>
      <c r="L100" s="127">
        <f t="shared" si="289"/>
        <v>7.5</v>
      </c>
      <c r="M100" s="127">
        <f t="shared" si="289"/>
        <v>14.399999999999999</v>
      </c>
      <c r="N100" s="127">
        <f t="shared" si="289"/>
        <v>17.407407407407405</v>
      </c>
      <c r="O100" s="127">
        <f t="shared" si="289"/>
        <v>13.25</v>
      </c>
      <c r="P100" s="127">
        <f t="shared" si="289"/>
        <v>10.714285714285714</v>
      </c>
      <c r="Q100" s="127">
        <f t="shared" ref="Q100" si="290">1/Q94</f>
        <v>13.571428571428573</v>
      </c>
      <c r="R100" s="118">
        <f t="shared" si="245"/>
        <v>9.0371885173425648E-2</v>
      </c>
      <c r="S100" s="20"/>
      <c r="T100" s="127">
        <f t="shared" ref="T100:AC100" si="291">1/T94</f>
        <v>13.571428571428573</v>
      </c>
      <c r="U100" s="127">
        <f t="shared" si="291"/>
        <v>13.571428571428569</v>
      </c>
      <c r="V100" s="127">
        <f t="shared" si="291"/>
        <v>13.571428571428573</v>
      </c>
      <c r="W100" s="127">
        <f t="shared" si="291"/>
        <v>13.571428571428569</v>
      </c>
      <c r="X100" s="127">
        <f t="shared" si="291"/>
        <v>13.571428571428573</v>
      </c>
      <c r="Y100" s="127">
        <f t="shared" si="291"/>
        <v>13.571428571428573</v>
      </c>
      <c r="Z100" s="127">
        <f t="shared" si="291"/>
        <v>13.571428571428573</v>
      </c>
      <c r="AA100" s="127">
        <f t="shared" si="291"/>
        <v>13.571428571428573</v>
      </c>
      <c r="AB100" s="127">
        <f t="shared" si="291"/>
        <v>13.571428571428573</v>
      </c>
      <c r="AC100" s="127">
        <f t="shared" si="291"/>
        <v>13.571428571428575</v>
      </c>
      <c r="AD100" s="138">
        <f t="shared" si="247"/>
        <v>5.2062903367103397E-2</v>
      </c>
      <c r="AE100" s="146"/>
      <c r="AF100" s="146"/>
    </row>
    <row r="101" spans="2:32" ht="12" customHeight="1" x14ac:dyDescent="0.2">
      <c r="B101" s="20" t="s">
        <v>405</v>
      </c>
      <c r="C101" s="152"/>
      <c r="D101" s="152"/>
      <c r="E101" s="152"/>
      <c r="F101" s="152"/>
      <c r="G101" s="127">
        <f t="shared" si="289"/>
        <v>1.3114754098360657</v>
      </c>
      <c r="H101" s="127">
        <f t="shared" si="289"/>
        <v>2.2999999999999998</v>
      </c>
      <c r="I101" s="127">
        <f t="shared" si="289"/>
        <v>4.615384615384615</v>
      </c>
      <c r="J101" s="127">
        <f t="shared" si="289"/>
        <v>4.0909090909090908</v>
      </c>
      <c r="K101" s="127">
        <f t="shared" si="289"/>
        <v>3.3333333333333335</v>
      </c>
      <c r="L101" s="127">
        <f t="shared" si="289"/>
        <v>3.25</v>
      </c>
      <c r="M101" s="127">
        <f t="shared" si="289"/>
        <v>7.6000000000000005</v>
      </c>
      <c r="N101" s="127">
        <f t="shared" si="289"/>
        <v>9.6296296296296298</v>
      </c>
      <c r="O101" s="127">
        <f t="shared" si="289"/>
        <v>8</v>
      </c>
      <c r="P101" s="127">
        <f t="shared" si="289"/>
        <v>6.5714285714285712</v>
      </c>
      <c r="Q101" s="127">
        <f t="shared" ref="Q101" si="292">1/Q95</f>
        <v>7.4285714285714288</v>
      </c>
      <c r="R101" s="118">
        <f t="shared" si="245"/>
        <v>0.19609762112873685</v>
      </c>
      <c r="S101" s="20"/>
      <c r="T101" s="127">
        <f t="shared" ref="T101:AC101" si="293">1/T95</f>
        <v>7.4285714285714288</v>
      </c>
      <c r="U101" s="127">
        <f t="shared" si="293"/>
        <v>7.4285714285714288</v>
      </c>
      <c r="V101" s="127">
        <f t="shared" si="293"/>
        <v>7.4285714285714306</v>
      </c>
      <c r="W101" s="127">
        <f t="shared" si="293"/>
        <v>7.4285714285714288</v>
      </c>
      <c r="X101" s="127">
        <f t="shared" si="293"/>
        <v>7.4285714285714288</v>
      </c>
      <c r="Y101" s="127">
        <f t="shared" si="293"/>
        <v>7.4285714285714306</v>
      </c>
      <c r="Z101" s="127">
        <f t="shared" si="293"/>
        <v>7.4285714285714288</v>
      </c>
      <c r="AA101" s="127">
        <f t="shared" si="293"/>
        <v>7.4285714285714288</v>
      </c>
      <c r="AB101" s="127">
        <f t="shared" si="293"/>
        <v>7.4285714285714288</v>
      </c>
      <c r="AC101" s="127">
        <f t="shared" si="293"/>
        <v>7.4285714285714288</v>
      </c>
      <c r="AD101" s="138">
        <f t="shared" si="247"/>
        <v>9.0579318539146358E-2</v>
      </c>
      <c r="AE101" s="146"/>
      <c r="AF101" s="146"/>
    </row>
    <row r="102" spans="2:32" ht="12" customHeight="1" x14ac:dyDescent="0.2">
      <c r="B102" s="20" t="s">
        <v>406</v>
      </c>
      <c r="C102" s="152"/>
      <c r="D102" s="152"/>
      <c r="E102" s="152"/>
      <c r="F102" s="152"/>
      <c r="G102" s="127">
        <f t="shared" si="289"/>
        <v>1.639344262295082</v>
      </c>
      <c r="H102" s="127">
        <f t="shared" si="289"/>
        <v>3</v>
      </c>
      <c r="I102" s="127">
        <f t="shared" si="289"/>
        <v>2.3076923076923075</v>
      </c>
      <c r="J102" s="127">
        <f t="shared" si="289"/>
        <v>5</v>
      </c>
      <c r="K102" s="127">
        <f t="shared" si="289"/>
        <v>3.666666666666667</v>
      </c>
      <c r="L102" s="127">
        <f t="shared" si="289"/>
        <v>5.25</v>
      </c>
      <c r="M102" s="127">
        <f t="shared" si="289"/>
        <v>13.2</v>
      </c>
      <c r="N102" s="127">
        <f t="shared" si="289"/>
        <v>13.333333333333332</v>
      </c>
      <c r="O102" s="127">
        <f t="shared" si="289"/>
        <v>7.75</v>
      </c>
      <c r="P102" s="127">
        <f t="shared" si="289"/>
        <v>5.7142857142857144</v>
      </c>
      <c r="Q102" s="127">
        <f t="shared" ref="Q102" si="294">1/Q96</f>
        <v>4.4285714285714288</v>
      </c>
      <c r="R102" s="118">
        <f t="shared" si="245"/>
        <v>0.14882702385136892</v>
      </c>
      <c r="S102" s="20"/>
      <c r="T102" s="127">
        <f t="shared" ref="T102:AC102" si="295">1/T96</f>
        <v>4.4285714285714288</v>
      </c>
      <c r="U102" s="127">
        <f t="shared" si="295"/>
        <v>4.4285714285714288</v>
      </c>
      <c r="V102" s="127">
        <f t="shared" si="295"/>
        <v>4.4285714285714279</v>
      </c>
      <c r="W102" s="127">
        <f t="shared" si="295"/>
        <v>4.4285714285714279</v>
      </c>
      <c r="X102" s="127">
        <f t="shared" si="295"/>
        <v>4.4285714285714288</v>
      </c>
      <c r="Y102" s="127">
        <f t="shared" si="295"/>
        <v>4.4285714285714288</v>
      </c>
      <c r="Z102" s="127">
        <f t="shared" si="295"/>
        <v>4.4285714285714288</v>
      </c>
      <c r="AA102" s="127">
        <f t="shared" si="295"/>
        <v>4.4285714285714288</v>
      </c>
      <c r="AB102" s="127">
        <f t="shared" si="295"/>
        <v>4.4285714285714288</v>
      </c>
      <c r="AC102" s="127">
        <f t="shared" si="295"/>
        <v>4.4285714285714288</v>
      </c>
      <c r="AD102" s="138">
        <f t="shared" si="247"/>
        <v>5.0944240449201983E-2</v>
      </c>
      <c r="AE102" s="146"/>
      <c r="AF102" s="146"/>
    </row>
    <row r="103" spans="2:32" ht="12" customHeight="1" x14ac:dyDescent="0.2">
      <c r="B103" s="20" t="s">
        <v>407</v>
      </c>
      <c r="C103" s="152"/>
      <c r="D103" s="152"/>
      <c r="E103" s="152"/>
      <c r="F103" s="152"/>
      <c r="G103" s="127">
        <f t="shared" si="289"/>
        <v>1.639344262295082</v>
      </c>
      <c r="H103" s="127">
        <f t="shared" si="289"/>
        <v>3</v>
      </c>
      <c r="I103" s="127">
        <f t="shared" si="289"/>
        <v>2</v>
      </c>
      <c r="J103" s="127">
        <f t="shared" si="289"/>
        <v>4.545454545454545</v>
      </c>
      <c r="K103" s="127">
        <f t="shared" si="289"/>
        <v>3.666666666666667</v>
      </c>
      <c r="L103" s="127">
        <f t="shared" si="289"/>
        <v>5.5</v>
      </c>
      <c r="M103" s="127">
        <f t="shared" si="289"/>
        <v>13.6</v>
      </c>
      <c r="N103" s="127">
        <f t="shared" si="289"/>
        <v>13.333333333333332</v>
      </c>
      <c r="O103" s="127">
        <f t="shared" si="289"/>
        <v>7.75</v>
      </c>
      <c r="P103" s="127">
        <f t="shared" si="289"/>
        <v>5.7142857142857144</v>
      </c>
      <c r="Q103" s="127">
        <f t="shared" ref="Q103" si="296">1/Q97</f>
        <v>4.2857142857142856</v>
      </c>
      <c r="R103" s="118">
        <f t="shared" si="245"/>
        <v>0.14882702385136892</v>
      </c>
      <c r="S103" s="20"/>
      <c r="T103" s="127">
        <f t="shared" ref="T103:AC103" si="297">1/T97</f>
        <v>4.2857142857142865</v>
      </c>
      <c r="U103" s="127">
        <f t="shared" si="297"/>
        <v>4.2857142857142865</v>
      </c>
      <c r="V103" s="127">
        <f t="shared" si="297"/>
        <v>4.2857142857142856</v>
      </c>
      <c r="W103" s="127">
        <f t="shared" si="297"/>
        <v>4.2857142857142865</v>
      </c>
      <c r="X103" s="127">
        <f t="shared" si="297"/>
        <v>4.2857142857142856</v>
      </c>
      <c r="Y103" s="127">
        <f t="shared" si="297"/>
        <v>4.2857142857142865</v>
      </c>
      <c r="Z103" s="127">
        <f t="shared" si="297"/>
        <v>4.2857142857142865</v>
      </c>
      <c r="AA103" s="127">
        <f t="shared" si="297"/>
        <v>4.2857142857142856</v>
      </c>
      <c r="AB103" s="127">
        <f t="shared" si="297"/>
        <v>4.2857142857142856</v>
      </c>
      <c r="AC103" s="127">
        <f t="shared" si="297"/>
        <v>4.2857142857142856</v>
      </c>
      <c r="AD103" s="138">
        <f t="shared" si="247"/>
        <v>4.9222638338476843E-2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11.99</v>
      </c>
      <c r="H106" s="163">
        <f t="shared" si="298"/>
        <v>10</v>
      </c>
      <c r="I106" s="163">
        <f t="shared" si="298"/>
        <v>17</v>
      </c>
      <c r="J106" s="163">
        <f t="shared" si="298"/>
        <v>19</v>
      </c>
      <c r="K106" s="163">
        <f t="shared" si="298"/>
        <v>28</v>
      </c>
      <c r="L106" s="163">
        <f t="shared" si="298"/>
        <v>16</v>
      </c>
      <c r="M106" s="163">
        <f t="shared" si="298"/>
        <v>-6</v>
      </c>
      <c r="N106" s="163">
        <f t="shared" si="298"/>
        <v>-6</v>
      </c>
      <c r="O106" s="163">
        <f t="shared" si="298"/>
        <v>9</v>
      </c>
      <c r="P106" s="163">
        <f>P10-(P12+P13)</f>
        <v>14</v>
      </c>
      <c r="Q106" s="163">
        <f>Q10-(Q12+Q13)</f>
        <v>-1</v>
      </c>
      <c r="R106" s="118">
        <f t="shared" si="245"/>
        <v>1.7369611836904442E-2</v>
      </c>
      <c r="S106" s="20"/>
      <c r="T106" s="163">
        <f>T10-(T12+T13)</f>
        <v>-1.1499999999999986</v>
      </c>
      <c r="U106" s="163">
        <f t="shared" ref="U106:AC106" si="299">U10-(U12+U13)</f>
        <v>-1.322499999999998</v>
      </c>
      <c r="V106" s="163">
        <f t="shared" si="299"/>
        <v>-1.5208749999999895</v>
      </c>
      <c r="W106" s="163">
        <f t="shared" si="299"/>
        <v>-1.7490062499999937</v>
      </c>
      <c r="X106" s="163">
        <f t="shared" si="299"/>
        <v>-2.0113571874999963</v>
      </c>
      <c r="Y106" s="163">
        <f t="shared" si="299"/>
        <v>-2.3130607656249964</v>
      </c>
      <c r="Z106" s="163">
        <f t="shared" si="299"/>
        <v>-2.6600198804687523</v>
      </c>
      <c r="AA106" s="163">
        <f t="shared" si="299"/>
        <v>-3.0590228625390523</v>
      </c>
      <c r="AB106" s="163">
        <f t="shared" si="299"/>
        <v>-3.5178762919198903</v>
      </c>
      <c r="AC106" s="163">
        <f t="shared" si="299"/>
        <v>-4.045557735707888</v>
      </c>
      <c r="AD106" s="138" t="e">
        <f t="shared" si="247"/>
        <v>#NUM!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00">G40/G18</f>
        <v>5.3333333333333337E-2</v>
      </c>
      <c r="H107" s="152">
        <f t="shared" si="300"/>
        <v>7.6666666666666661E-2</v>
      </c>
      <c r="I107" s="152">
        <f t="shared" si="300"/>
        <v>0.15</v>
      </c>
      <c r="J107" s="152">
        <f t="shared" si="300"/>
        <v>0.18367346938775511</v>
      </c>
      <c r="K107" s="152">
        <f t="shared" si="300"/>
        <v>0.13157894736842105</v>
      </c>
      <c r="L107" s="152">
        <f t="shared" si="300"/>
        <v>0.17567567567567569</v>
      </c>
      <c r="M107" s="152">
        <f t="shared" si="300"/>
        <v>0.27941176470588236</v>
      </c>
      <c r="N107" s="152">
        <f t="shared" si="300"/>
        <v>0.33333333333333331</v>
      </c>
      <c r="O107" s="152">
        <f t="shared" si="300"/>
        <v>0.35555555555555557</v>
      </c>
      <c r="P107" s="152">
        <f t="shared" si="300"/>
        <v>0.36799999999999999</v>
      </c>
      <c r="Q107" s="152">
        <f t="shared" ref="Q107" si="301">Q40/Q18</f>
        <v>0.34210526315789475</v>
      </c>
      <c r="R107" s="118">
        <f t="shared" si="245"/>
        <v>0.23938277076458414</v>
      </c>
      <c r="S107" s="20"/>
      <c r="T107" s="152">
        <f t="shared" ref="T107:AC107" si="302">T40/T18</f>
        <v>0.34210526315789475</v>
      </c>
      <c r="U107" s="152">
        <f t="shared" si="302"/>
        <v>0.3421052631578948</v>
      </c>
      <c r="V107" s="152">
        <f t="shared" si="302"/>
        <v>0.34210526315789486</v>
      </c>
      <c r="W107" s="152">
        <f t="shared" si="302"/>
        <v>0.3421052631578948</v>
      </c>
      <c r="X107" s="152">
        <f t="shared" si="302"/>
        <v>0.34210526315789486</v>
      </c>
      <c r="Y107" s="152">
        <f t="shared" si="302"/>
        <v>0.34210526315789486</v>
      </c>
      <c r="Z107" s="152">
        <f t="shared" si="302"/>
        <v>0.34210526315789486</v>
      </c>
      <c r="AA107" s="152">
        <f t="shared" si="302"/>
        <v>0.34210526315789486</v>
      </c>
      <c r="AB107" s="152">
        <f t="shared" si="302"/>
        <v>0.34210526315789486</v>
      </c>
      <c r="AC107" s="152">
        <f t="shared" si="302"/>
        <v>0.34210526315789486</v>
      </c>
      <c r="AD107" s="138">
        <f t="shared" si="247"/>
        <v>9.7382553525159565E-2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3">G40/G25</f>
        <v>3.1372549019607843E-2</v>
      </c>
      <c r="H108" s="152">
        <f t="shared" si="303"/>
        <v>3.7096774193548385E-2</v>
      </c>
      <c r="I108" s="152">
        <f t="shared" si="303"/>
        <v>7.1428571428571425E-2</v>
      </c>
      <c r="J108" s="152">
        <f t="shared" si="303"/>
        <v>8.1818181818181818E-2</v>
      </c>
      <c r="K108" s="152">
        <f t="shared" si="303"/>
        <v>7.5187969924812026E-2</v>
      </c>
      <c r="L108" s="152">
        <f t="shared" si="303"/>
        <v>8.0745341614906832E-2</v>
      </c>
      <c r="M108" s="152">
        <f t="shared" si="303"/>
        <v>9.4527363184079602E-2</v>
      </c>
      <c r="N108" s="152">
        <f t="shared" si="303"/>
        <v>0.10196078431372549</v>
      </c>
      <c r="O108" s="152">
        <f t="shared" si="303"/>
        <v>8.8642659279778394E-2</v>
      </c>
      <c r="P108" s="152">
        <f t="shared" si="303"/>
        <v>9.2741935483870969E-2</v>
      </c>
      <c r="Q108" s="152">
        <f t="shared" ref="Q108" si="304">Q40/Q25</f>
        <v>7.63582966226138E-2</v>
      </c>
      <c r="R108" s="118">
        <f t="shared" si="245"/>
        <v>0.12798396942409118</v>
      </c>
      <c r="S108" s="20"/>
      <c r="T108" s="152">
        <f t="shared" ref="T108:AC108" si="305">T40/T25</f>
        <v>7.63582966226138E-2</v>
      </c>
      <c r="U108" s="152">
        <f t="shared" si="305"/>
        <v>7.63582966226138E-2</v>
      </c>
      <c r="V108" s="152">
        <f t="shared" si="305"/>
        <v>7.6358296622613814E-2</v>
      </c>
      <c r="W108" s="152">
        <f t="shared" si="305"/>
        <v>7.63582966226138E-2</v>
      </c>
      <c r="X108" s="152">
        <f t="shared" si="305"/>
        <v>7.6358296622613814E-2</v>
      </c>
      <c r="Y108" s="152">
        <f t="shared" si="305"/>
        <v>7.6358296622613814E-2</v>
      </c>
      <c r="Z108" s="152">
        <f t="shared" si="305"/>
        <v>7.6358296622613814E-2</v>
      </c>
      <c r="AA108" s="152">
        <f t="shared" si="305"/>
        <v>7.6358296622613814E-2</v>
      </c>
      <c r="AB108" s="152">
        <f t="shared" si="305"/>
        <v>7.6358296622613814E-2</v>
      </c>
      <c r="AC108" s="152">
        <f t="shared" si="305"/>
        <v>7.6358296622613828E-2</v>
      </c>
      <c r="AD108" s="138">
        <f t="shared" si="247"/>
        <v>4.5479017975878167E-2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06">G25/G18</f>
        <v>1.7</v>
      </c>
      <c r="H109" s="152">
        <f t="shared" si="306"/>
        <v>2.0666666666666669</v>
      </c>
      <c r="I109" s="152">
        <f t="shared" si="306"/>
        <v>2.1</v>
      </c>
      <c r="J109" s="152">
        <f t="shared" si="306"/>
        <v>2.2448979591836733</v>
      </c>
      <c r="K109" s="152">
        <f t="shared" si="306"/>
        <v>1.75</v>
      </c>
      <c r="L109" s="152">
        <f t="shared" si="306"/>
        <v>2.1756756756756759</v>
      </c>
      <c r="M109" s="152">
        <f t="shared" si="306"/>
        <v>2.9558823529411766</v>
      </c>
      <c r="N109" s="152">
        <f t="shared" si="306"/>
        <v>3.2692307692307692</v>
      </c>
      <c r="O109" s="152">
        <f t="shared" si="306"/>
        <v>4.0111111111111111</v>
      </c>
      <c r="P109" s="152">
        <f>P25/P18</f>
        <v>3.968</v>
      </c>
      <c r="Q109" s="152">
        <f>Q25/Q18</f>
        <v>4.4802631578947372</v>
      </c>
      <c r="R109" s="118">
        <f t="shared" si="245"/>
        <v>9.8759206123620213E-2</v>
      </c>
      <c r="S109" s="20"/>
      <c r="T109" s="152">
        <f>T25/T18</f>
        <v>4.4802631578947372</v>
      </c>
      <c r="U109" s="152">
        <f t="shared" ref="U109:AC109" si="307">U25/U18</f>
        <v>4.4802631578947372</v>
      </c>
      <c r="V109" s="152">
        <f t="shared" si="307"/>
        <v>4.4802631578947381</v>
      </c>
      <c r="W109" s="152">
        <f t="shared" si="307"/>
        <v>4.4802631578947381</v>
      </c>
      <c r="X109" s="152">
        <f t="shared" si="307"/>
        <v>4.4802631578947381</v>
      </c>
      <c r="Y109" s="152">
        <f t="shared" si="307"/>
        <v>4.4802631578947381</v>
      </c>
      <c r="Z109" s="152">
        <f t="shared" si="307"/>
        <v>4.4802631578947381</v>
      </c>
      <c r="AA109" s="152">
        <f t="shared" si="307"/>
        <v>4.4802631578947372</v>
      </c>
      <c r="AB109" s="152">
        <f t="shared" si="307"/>
        <v>4.4802631578947372</v>
      </c>
      <c r="AC109" s="152">
        <f t="shared" si="307"/>
        <v>4.4802631578947372</v>
      </c>
      <c r="AD109" s="138">
        <f t="shared" si="247"/>
        <v>4.9645697959362689E-2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0.39750000000000002</v>
      </c>
      <c r="H111" s="165">
        <f t="shared" ref="H111:P111" si="309">H70*H42</f>
        <v>0.42400000000000004</v>
      </c>
      <c r="I111" s="165">
        <f t="shared" si="309"/>
        <v>0.47700000000000004</v>
      </c>
      <c r="J111" s="165">
        <f t="shared" si="309"/>
        <v>0.66</v>
      </c>
      <c r="K111" s="165">
        <f t="shared" si="309"/>
        <v>0.92999999999999994</v>
      </c>
      <c r="L111" s="165">
        <f t="shared" si="309"/>
        <v>1.24</v>
      </c>
      <c r="M111" s="165">
        <f t="shared" si="309"/>
        <v>1.575</v>
      </c>
      <c r="N111" s="165">
        <f t="shared" si="309"/>
        <v>3.15</v>
      </c>
      <c r="O111" s="165">
        <f t="shared" si="309"/>
        <v>3.7800000000000002</v>
      </c>
      <c r="P111" s="165">
        <f t="shared" si="309"/>
        <v>5.04</v>
      </c>
      <c r="Q111" s="165">
        <f t="shared" ref="Q111" si="310">Q70*Q42</f>
        <v>5.04</v>
      </c>
      <c r="R111" s="118">
        <f t="shared" si="245"/>
        <v>0.32606842352708654</v>
      </c>
      <c r="S111" s="20"/>
      <c r="T111" s="165">
        <f t="shared" ref="T111:AC111" si="311">T70*T42</f>
        <v>5.3449200000000001</v>
      </c>
      <c r="U111" s="165">
        <f t="shared" si="311"/>
        <v>5.6682876599999998</v>
      </c>
      <c r="V111" s="165">
        <f t="shared" si="311"/>
        <v>6.0112190634300005</v>
      </c>
      <c r="W111" s="165">
        <f t="shared" si="311"/>
        <v>6.3748978167675157</v>
      </c>
      <c r="X111" s="165">
        <f t="shared" si="311"/>
        <v>6.7605791346819517</v>
      </c>
      <c r="Y111" s="165">
        <f t="shared" si="311"/>
        <v>7.1695941723302097</v>
      </c>
      <c r="Z111" s="165">
        <f t="shared" si="311"/>
        <v>7.6033546197561881</v>
      </c>
      <c r="AA111" s="165">
        <f t="shared" si="311"/>
        <v>8.0633575742514374</v>
      </c>
      <c r="AB111" s="165">
        <f t="shared" si="311"/>
        <v>8.5511907074936495</v>
      </c>
      <c r="AC111" s="165">
        <f t="shared" si="311"/>
        <v>9.0685377452970162</v>
      </c>
      <c r="AD111" s="138">
        <f t="shared" si="247"/>
        <v>0.1692570754290923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0.46507500000000002</v>
      </c>
      <c r="H112" s="165">
        <f t="shared" si="312"/>
        <v>0.49608000000000008</v>
      </c>
      <c r="I112" s="165">
        <f t="shared" si="312"/>
        <v>0.55809000000000009</v>
      </c>
      <c r="J112" s="165">
        <f t="shared" si="312"/>
        <v>0.7722</v>
      </c>
      <c r="K112" s="165">
        <f t="shared" si="312"/>
        <v>1.0880999999999998</v>
      </c>
      <c r="L112" s="165">
        <f t="shared" si="312"/>
        <v>1.4508000000000001</v>
      </c>
      <c r="M112" s="165">
        <f t="shared" si="312"/>
        <v>1.8427499999999999</v>
      </c>
      <c r="N112" s="165">
        <f t="shared" si="312"/>
        <v>3.6854999999999998</v>
      </c>
      <c r="O112" s="165">
        <f t="shared" si="312"/>
        <v>4.4226000000000001</v>
      </c>
      <c r="P112" s="165">
        <f t="shared" si="312"/>
        <v>5.8967999999999998</v>
      </c>
      <c r="Q112" s="165">
        <f t="shared" ref="Q112" si="313">(Q111*0.17)+Q111</f>
        <v>5.8967999999999998</v>
      </c>
      <c r="R112" s="118">
        <f t="shared" si="245"/>
        <v>0.32606842352708654</v>
      </c>
      <c r="S112" s="20"/>
      <c r="T112" s="165">
        <f t="shared" ref="T112:AC112" si="314">(T111*0.17)+T111</f>
        <v>6.2535563999999999</v>
      </c>
      <c r="U112" s="165">
        <f t="shared" si="314"/>
        <v>6.6318965621999997</v>
      </c>
      <c r="V112" s="165">
        <f t="shared" si="314"/>
        <v>7.0331263042131003</v>
      </c>
      <c r="W112" s="165">
        <f t="shared" si="314"/>
        <v>7.4586304456179935</v>
      </c>
      <c r="X112" s="165">
        <f t="shared" si="314"/>
        <v>7.9098775875778831</v>
      </c>
      <c r="Y112" s="165">
        <f t="shared" si="314"/>
        <v>8.3884251816263458</v>
      </c>
      <c r="Z112" s="165">
        <f t="shared" si="314"/>
        <v>8.8959249051147395</v>
      </c>
      <c r="AA112" s="165">
        <f t="shared" si="314"/>
        <v>9.4341283618741816</v>
      </c>
      <c r="AB112" s="165">
        <f t="shared" si="314"/>
        <v>10.00489312776757</v>
      </c>
      <c r="AC112" s="165">
        <f t="shared" si="314"/>
        <v>10.610189161997509</v>
      </c>
      <c r="AD112" s="138">
        <f t="shared" si="247"/>
        <v>0.1692570754290923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0.29067187499999997</v>
      </c>
      <c r="H113" s="152">
        <f t="shared" si="315"/>
        <v>0.21568695652173919</v>
      </c>
      <c r="I113" s="152">
        <f t="shared" si="315"/>
        <v>9.3015000000000014E-2</v>
      </c>
      <c r="J113" s="152">
        <f t="shared" si="315"/>
        <v>8.5800000000000001E-2</v>
      </c>
      <c r="K113" s="152">
        <f t="shared" si="315"/>
        <v>0.10880999999999999</v>
      </c>
      <c r="L113" s="152">
        <f t="shared" si="315"/>
        <v>0.1116</v>
      </c>
      <c r="M113" s="152">
        <f t="shared" si="315"/>
        <v>9.6986842105263149E-2</v>
      </c>
      <c r="N113" s="152">
        <f t="shared" si="315"/>
        <v>0.14174999999999999</v>
      </c>
      <c r="O113" s="152">
        <f t="shared" si="315"/>
        <v>0.13820625</v>
      </c>
      <c r="P113" s="152">
        <f t="shared" si="315"/>
        <v>0.12819130434782608</v>
      </c>
      <c r="Q113" s="152">
        <f t="shared" ref="Q113" si="316">Q112/Q40</f>
        <v>0.1134</v>
      </c>
      <c r="R113" s="118">
        <f t="shared" si="245"/>
        <v>-8.6948947141704536E-2</v>
      </c>
      <c r="S113" s="20"/>
      <c r="T113" s="152">
        <f t="shared" ref="T113:AC113" si="317">T112/T40</f>
        <v>0.10457452173913044</v>
      </c>
      <c r="U113" s="152">
        <f t="shared" si="317"/>
        <v>9.6435895916824194E-2</v>
      </c>
      <c r="V113" s="152">
        <f t="shared" si="317"/>
        <v>8.8930667495471363E-2</v>
      </c>
      <c r="W113" s="152">
        <f t="shared" si="317"/>
        <v>8.2009541633867311E-2</v>
      </c>
      <c r="X113" s="152">
        <f t="shared" si="317"/>
        <v>7.562705991540547E-2</v>
      </c>
      <c r="Y113" s="152">
        <f t="shared" si="317"/>
        <v>6.9741301774163059E-2</v>
      </c>
      <c r="Z113" s="152">
        <f t="shared" si="317"/>
        <v>6.4313609157826024E-2</v>
      </c>
      <c r="AA113" s="152">
        <f t="shared" si="317"/>
        <v>5.9308332619021312E-2</v>
      </c>
      <c r="AB113" s="152">
        <f t="shared" si="317"/>
        <v>5.4692597167367053E-2</v>
      </c>
      <c r="AC113" s="152">
        <f t="shared" si="317"/>
        <v>5.0436086344341532E-2</v>
      </c>
      <c r="AD113" s="138">
        <f t="shared" si="247"/>
        <v>-8.384929872223279E-2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0.70932812500000009</v>
      </c>
      <c r="H114" s="152">
        <f t="shared" ref="H114:P114" si="318">1-H113</f>
        <v>0.78431304347826081</v>
      </c>
      <c r="I114" s="152">
        <f t="shared" si="318"/>
        <v>0.90698499999999993</v>
      </c>
      <c r="J114" s="152">
        <f t="shared" si="318"/>
        <v>0.91420000000000001</v>
      </c>
      <c r="K114" s="152">
        <f t="shared" si="318"/>
        <v>0.89119000000000004</v>
      </c>
      <c r="L114" s="152">
        <f t="shared" si="318"/>
        <v>0.88839999999999997</v>
      </c>
      <c r="M114" s="152">
        <f t="shared" si="318"/>
        <v>0.90301315789473691</v>
      </c>
      <c r="N114" s="152">
        <f t="shared" si="318"/>
        <v>0.85824999999999996</v>
      </c>
      <c r="O114" s="152">
        <f t="shared" si="318"/>
        <v>0.86179375000000003</v>
      </c>
      <c r="P114" s="152">
        <f t="shared" si="318"/>
        <v>0.87180869565217389</v>
      </c>
      <c r="Q114" s="152">
        <f t="shared" ref="Q114" si="319">1-Q113</f>
        <v>0.88660000000000005</v>
      </c>
      <c r="R114" s="118">
        <f t="shared" si="245"/>
        <v>2.3181474948284153E-2</v>
      </c>
      <c r="S114" s="20"/>
      <c r="T114" s="152">
        <f t="shared" ref="T114:AC114" si="320">1-T113</f>
        <v>0.8954254782608696</v>
      </c>
      <c r="U114" s="152">
        <f t="shared" si="320"/>
        <v>0.90356410408317578</v>
      </c>
      <c r="V114" s="152">
        <f t="shared" si="320"/>
        <v>0.9110693325045286</v>
      </c>
      <c r="W114" s="152">
        <f t="shared" si="320"/>
        <v>0.91799045836613269</v>
      </c>
      <c r="X114" s="152">
        <f t="shared" si="320"/>
        <v>0.92437294008459459</v>
      </c>
      <c r="Y114" s="152">
        <f t="shared" si="320"/>
        <v>0.93025869822583696</v>
      </c>
      <c r="Z114" s="152">
        <f t="shared" si="320"/>
        <v>0.93568639084217398</v>
      </c>
      <c r="AA114" s="152">
        <f t="shared" si="320"/>
        <v>0.94069166738097865</v>
      </c>
      <c r="AB114" s="152">
        <f t="shared" si="320"/>
        <v>0.94530740283263293</v>
      </c>
      <c r="AC114" s="152">
        <f t="shared" si="320"/>
        <v>0.94956391365565851</v>
      </c>
      <c r="AD114" s="138">
        <f t="shared" si="247"/>
        <v>1.4691099887059744E-2</v>
      </c>
      <c r="AE114" s="20"/>
      <c r="AF114" s="20"/>
    </row>
    <row r="115" spans="2:32" x14ac:dyDescent="0.2">
      <c r="B115" s="20" t="s">
        <v>453</v>
      </c>
      <c r="C115" s="20"/>
      <c r="D115" s="20"/>
      <c r="E115" s="20"/>
      <c r="F115" s="152" t="e">
        <f t="shared" ref="F115:P115" si="321">F112/F20</f>
        <v>#DIV/0!</v>
      </c>
      <c r="G115" s="152">
        <f t="shared" si="321"/>
        <v>9.3015E-2</v>
      </c>
      <c r="H115" s="152">
        <f t="shared" si="321"/>
        <v>0.12402000000000002</v>
      </c>
      <c r="I115" s="152">
        <f t="shared" si="321"/>
        <v>7.9727142857142871E-2</v>
      </c>
      <c r="J115" s="152">
        <f t="shared" si="321"/>
        <v>7.7219999999999997E-2</v>
      </c>
      <c r="K115" s="152">
        <f t="shared" si="321"/>
        <v>0.10880999999999999</v>
      </c>
      <c r="L115" s="152">
        <f t="shared" si="321"/>
        <v>8.0600000000000005E-2</v>
      </c>
      <c r="M115" s="152">
        <f t="shared" si="321"/>
        <v>8.0119565217391303E-2</v>
      </c>
      <c r="N115" s="152">
        <f t="shared" si="321"/>
        <v>0.17549999999999999</v>
      </c>
      <c r="O115" s="152">
        <f t="shared" si="321"/>
        <v>0.88451999999999997</v>
      </c>
      <c r="P115" s="152">
        <f t="shared" si="321"/>
        <v>0.16847999999999999</v>
      </c>
      <c r="Q115" s="152">
        <f>Q112/Q20</f>
        <v>9.3600000000000003E-2</v>
      </c>
      <c r="R115" s="118">
        <f t="shared" si="245"/>
        <v>6.8233396917228184E-2</v>
      </c>
      <c r="S115" s="20"/>
      <c r="T115" s="152">
        <f>T112/T20</f>
        <v>8.6315478260869577E-2</v>
      </c>
      <c r="U115" s="152">
        <f t="shared" ref="U115:AC115" si="322">U112/U20</f>
        <v>7.9597882344045384E-2</v>
      </c>
      <c r="V115" s="152">
        <f t="shared" si="322"/>
        <v>7.3403090631182735E-2</v>
      </c>
      <c r="W115" s="152">
        <f t="shared" si="322"/>
        <v>6.7690415316842875E-2</v>
      </c>
      <c r="X115" s="152">
        <f t="shared" si="322"/>
        <v>6.2422335168271205E-2</v>
      </c>
      <c r="Y115" s="152">
        <f t="shared" si="322"/>
        <v>5.7564249083436193E-2</v>
      </c>
      <c r="Z115" s="152">
        <f t="shared" si="322"/>
        <v>5.3084248828681811E-2</v>
      </c>
      <c r="AA115" s="152">
        <f t="shared" si="322"/>
        <v>4.8952909463319191E-2</v>
      </c>
      <c r="AB115" s="152">
        <f t="shared" si="322"/>
        <v>4.5143096074652181E-2</v>
      </c>
      <c r="AC115" s="152">
        <f t="shared" si="322"/>
        <v>4.1629785554059696E-2</v>
      </c>
      <c r="AD115" s="138" t="s">
        <v>454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3">H31/H25</f>
        <v>0</v>
      </c>
      <c r="I117" s="152">
        <f t="shared" si="323"/>
        <v>0</v>
      </c>
      <c r="J117" s="152">
        <f t="shared" si="323"/>
        <v>0</v>
      </c>
      <c r="K117" s="152">
        <f t="shared" si="323"/>
        <v>0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6">H32/H25</f>
        <v>0</v>
      </c>
      <c r="I118" s="152">
        <f t="shared" si="326"/>
        <v>0</v>
      </c>
      <c r="J118" s="152">
        <f t="shared" si="326"/>
        <v>0</v>
      </c>
      <c r="K118" s="152">
        <f t="shared" si="326"/>
        <v>0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0.88235294117647056</v>
      </c>
      <c r="H120" s="152">
        <f t="shared" ref="H120:P120" si="329">H27/H25</f>
        <v>0.88709677419354838</v>
      </c>
      <c r="I120" s="152">
        <f t="shared" si="329"/>
        <v>0.84523809523809523</v>
      </c>
      <c r="J120" s="152">
        <f t="shared" si="329"/>
        <v>0.81818181818181823</v>
      </c>
      <c r="K120" s="152">
        <f t="shared" si="329"/>
        <v>0.82706766917293228</v>
      </c>
      <c r="L120" s="152">
        <f t="shared" si="329"/>
        <v>0.81366459627329191</v>
      </c>
      <c r="M120" s="152">
        <f t="shared" si="329"/>
        <v>0.80597014925373134</v>
      </c>
      <c r="N120" s="152">
        <f t="shared" si="329"/>
        <v>0.80392156862745101</v>
      </c>
      <c r="O120" s="152">
        <f t="shared" si="329"/>
        <v>0.83379501385041555</v>
      </c>
      <c r="P120" s="152">
        <f t="shared" si="329"/>
        <v>0.83064516129032262</v>
      </c>
      <c r="Q120" s="152">
        <f t="shared" ref="Q120" si="330">Q27/Q25</f>
        <v>0.85168869309838469</v>
      </c>
      <c r="R120" s="118">
        <f t="shared" si="245"/>
        <v>-6.6874757957892106E-3</v>
      </c>
      <c r="S120" s="20"/>
      <c r="T120" s="152">
        <f t="shared" ref="T120:AC120" si="331">T27/T25</f>
        <v>0.8516886930983848</v>
      </c>
      <c r="U120" s="152">
        <f t="shared" si="331"/>
        <v>0.85168869309838469</v>
      </c>
      <c r="V120" s="152">
        <f t="shared" si="331"/>
        <v>0.85168869309838469</v>
      </c>
      <c r="W120" s="152">
        <f t="shared" si="331"/>
        <v>0.85168869309838469</v>
      </c>
      <c r="X120" s="152">
        <f t="shared" si="331"/>
        <v>0.85168869309838469</v>
      </c>
      <c r="Y120" s="152">
        <f t="shared" si="331"/>
        <v>0.85168869309838469</v>
      </c>
      <c r="Z120" s="152">
        <f t="shared" si="331"/>
        <v>0.85168869309838469</v>
      </c>
      <c r="AA120" s="152">
        <f t="shared" si="331"/>
        <v>0.85168869309838469</v>
      </c>
      <c r="AB120" s="152">
        <f t="shared" si="331"/>
        <v>0.8516886930983848</v>
      </c>
      <c r="AC120" s="152">
        <f t="shared" si="331"/>
        <v>0.85168869309838491</v>
      </c>
      <c r="AD120" s="138">
        <f t="shared" si="247"/>
        <v>-1.7669900144587913E-3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0.39215686274509803</v>
      </c>
      <c r="H121" s="152">
        <f t="shared" ref="H121:P121" si="332">H33/H25</f>
        <v>0.43548387096774194</v>
      </c>
      <c r="I121" s="152">
        <f t="shared" si="332"/>
        <v>0.42857142857142855</v>
      </c>
      <c r="J121" s="152">
        <f t="shared" si="332"/>
        <v>0.43636363636363634</v>
      </c>
      <c r="K121" s="152">
        <f t="shared" si="332"/>
        <v>0.43609022556390975</v>
      </c>
      <c r="L121" s="152">
        <f t="shared" si="332"/>
        <v>0.42236024844720499</v>
      </c>
      <c r="M121" s="152">
        <f t="shared" si="332"/>
        <v>0.4228855721393035</v>
      </c>
      <c r="N121" s="152">
        <f t="shared" si="332"/>
        <v>0.43137254901960786</v>
      </c>
      <c r="O121" s="152">
        <f t="shared" si="332"/>
        <v>0.47091412742382271</v>
      </c>
      <c r="P121" s="152">
        <f t="shared" si="332"/>
        <v>0.47379032258064518</v>
      </c>
      <c r="Q121" s="152">
        <f t="shared" ref="Q121" si="333">Q33/Q25</f>
        <v>0.50513950073421443</v>
      </c>
      <c r="R121" s="118">
        <f t="shared" si="245"/>
        <v>2.1233732962937735E-2</v>
      </c>
      <c r="S121" s="20"/>
      <c r="T121" s="152">
        <f t="shared" ref="T121:AC121" si="334">T33/T25</f>
        <v>0.50513950073421432</v>
      </c>
      <c r="U121" s="152">
        <f t="shared" si="334"/>
        <v>0.50513950073421432</v>
      </c>
      <c r="V121" s="152">
        <f t="shared" si="334"/>
        <v>0.50513950073421443</v>
      </c>
      <c r="W121" s="152">
        <f t="shared" si="334"/>
        <v>0.50513950073421443</v>
      </c>
      <c r="X121" s="152">
        <f t="shared" si="334"/>
        <v>0.50513950073421432</v>
      </c>
      <c r="Y121" s="152">
        <f t="shared" si="334"/>
        <v>0.50513950073421443</v>
      </c>
      <c r="Z121" s="152">
        <f t="shared" si="334"/>
        <v>0.50513950073421443</v>
      </c>
      <c r="AA121" s="152">
        <f t="shared" si="334"/>
        <v>0.50513950073421443</v>
      </c>
      <c r="AB121" s="152">
        <f t="shared" si="334"/>
        <v>0.50513950073421454</v>
      </c>
      <c r="AC121" s="152">
        <f t="shared" si="334"/>
        <v>0.50513950073421454</v>
      </c>
      <c r="AD121" s="138">
        <f t="shared" si="247"/>
        <v>1.2739095191100391E-2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0.17647058823529413</v>
      </c>
      <c r="H122" s="152">
        <f t="shared" ref="H122:P122" si="335">H34/H25</f>
        <v>0.16129032258064516</v>
      </c>
      <c r="I122" s="152">
        <f t="shared" si="335"/>
        <v>0.14285714285714285</v>
      </c>
      <c r="J122" s="152">
        <f t="shared" si="335"/>
        <v>0.13636363636363635</v>
      </c>
      <c r="K122" s="152">
        <f t="shared" si="335"/>
        <v>0.15037593984962405</v>
      </c>
      <c r="L122" s="152">
        <f t="shared" si="335"/>
        <v>0.14285714285714285</v>
      </c>
      <c r="M122" s="152">
        <f t="shared" si="335"/>
        <v>0.12437810945273632</v>
      </c>
      <c r="N122" s="152">
        <f t="shared" si="335"/>
        <v>0.12549019607843137</v>
      </c>
      <c r="O122" s="152">
        <f t="shared" si="335"/>
        <v>0.11911357340720222</v>
      </c>
      <c r="P122" s="152">
        <f t="shared" si="335"/>
        <v>0.11693548387096774</v>
      </c>
      <c r="Q122" s="152">
        <f t="shared" ref="Q122" si="336">Q34/Q25</f>
        <v>0.10866372980910426</v>
      </c>
      <c r="R122" s="118">
        <f t="shared" si="245"/>
        <v>-4.4696093391889402E-2</v>
      </c>
      <c r="S122" s="20"/>
      <c r="T122" s="152">
        <f t="shared" ref="T122:AC122" si="337">T34/T25</f>
        <v>0.10866372980910426</v>
      </c>
      <c r="U122" s="152">
        <f t="shared" si="337"/>
        <v>0.10866372980910424</v>
      </c>
      <c r="V122" s="152">
        <f t="shared" si="337"/>
        <v>0.10866372980910424</v>
      </c>
      <c r="W122" s="152">
        <f t="shared" si="337"/>
        <v>0.10866372980910424</v>
      </c>
      <c r="X122" s="152">
        <f t="shared" si="337"/>
        <v>0.10866372980910426</v>
      </c>
      <c r="Y122" s="152">
        <f t="shared" si="337"/>
        <v>0.10866372980910426</v>
      </c>
      <c r="Z122" s="152">
        <f t="shared" si="337"/>
        <v>0.10866372980910427</v>
      </c>
      <c r="AA122" s="152">
        <f t="shared" si="337"/>
        <v>0.10866372980910427</v>
      </c>
      <c r="AB122" s="152">
        <f t="shared" si="337"/>
        <v>0.10866372980910427</v>
      </c>
      <c r="AC122" s="152">
        <f t="shared" si="337"/>
        <v>0.10866372980910428</v>
      </c>
      <c r="AD122" s="138">
        <f t="shared" si="247"/>
        <v>-2.3953263422431315E-2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1.125</v>
      </c>
      <c r="H125" s="25">
        <f t="shared" ref="H125:AC125" si="338">H15/H9</f>
        <v>1.0769230769230769</v>
      </c>
      <c r="I125" s="25">
        <f t="shared" si="338"/>
        <v>1.1785714285714286</v>
      </c>
      <c r="J125" s="25">
        <f t="shared" si="338"/>
        <v>1.1499999999999999</v>
      </c>
      <c r="K125" s="25">
        <f t="shared" si="338"/>
        <v>1.3023255813953489</v>
      </c>
      <c r="L125" s="25">
        <f t="shared" si="338"/>
        <v>1.326086956521739</v>
      </c>
      <c r="M125" s="25">
        <f t="shared" si="338"/>
        <v>1.2931034482758621</v>
      </c>
      <c r="N125" s="25">
        <f t="shared" si="338"/>
        <v>1.4696969696969697</v>
      </c>
      <c r="O125" s="25">
        <f t="shared" si="338"/>
        <v>1.9310344827586208</v>
      </c>
      <c r="P125" s="25">
        <f t="shared" si="338"/>
        <v>1.9375</v>
      </c>
      <c r="Q125" s="25">
        <f t="shared" ref="Q125" si="339">Q15/Q9</f>
        <v>1.704225352112676</v>
      </c>
      <c r="R125" s="118">
        <f t="shared" si="245"/>
        <v>6.2263189269872621E-2</v>
      </c>
      <c r="S125" s="20"/>
      <c r="T125" s="20">
        <f t="shared" si="338"/>
        <v>1.704225352112676</v>
      </c>
      <c r="U125" s="20">
        <f t="shared" si="338"/>
        <v>1.704225352112676</v>
      </c>
      <c r="V125" s="20">
        <f t="shared" si="338"/>
        <v>1.704225352112676</v>
      </c>
      <c r="W125" s="20">
        <f t="shared" si="338"/>
        <v>1.704225352112676</v>
      </c>
      <c r="X125" s="20">
        <f t="shared" si="338"/>
        <v>1.7042253521126762</v>
      </c>
      <c r="Y125" s="20">
        <f t="shared" si="338"/>
        <v>1.704225352112676</v>
      </c>
      <c r="Z125" s="20">
        <f t="shared" si="338"/>
        <v>1.704225352112676</v>
      </c>
      <c r="AA125" s="20">
        <f t="shared" si="338"/>
        <v>1.704225352112676</v>
      </c>
      <c r="AB125" s="20">
        <f t="shared" si="338"/>
        <v>1.704225352112676</v>
      </c>
      <c r="AC125" s="20">
        <f t="shared" si="338"/>
        <v>1.704225352112676</v>
      </c>
      <c r="AD125" s="138">
        <f t="shared" si="247"/>
        <v>2.0983503287407945E-2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8.3333333333333329E-2</v>
      </c>
      <c r="H126" s="25">
        <f t="shared" ref="H126:P126" si="340">H12/H9</f>
        <v>0.11538461538461539</v>
      </c>
      <c r="I126" s="25">
        <f t="shared" si="340"/>
        <v>0.10714285714285714</v>
      </c>
      <c r="J126" s="25">
        <f t="shared" si="340"/>
        <v>0.27500000000000002</v>
      </c>
      <c r="K126" s="25">
        <f t="shared" si="340"/>
        <v>0.2558139534883721</v>
      </c>
      <c r="L126" s="25">
        <f t="shared" si="340"/>
        <v>0.45652173913043476</v>
      </c>
      <c r="M126" s="25">
        <f t="shared" si="340"/>
        <v>0.56896551724137934</v>
      </c>
      <c r="N126" s="25">
        <f t="shared" si="340"/>
        <v>0.54545454545454541</v>
      </c>
      <c r="O126" s="25">
        <f t="shared" si="340"/>
        <v>0.35632183908045978</v>
      </c>
      <c r="P126" s="25">
        <f t="shared" si="340"/>
        <v>0.35714285714285715</v>
      </c>
      <c r="Q126" s="25">
        <f t="shared" ref="Q126" si="341">Q12/Q9</f>
        <v>0.21830985915492956</v>
      </c>
      <c r="R126" s="118">
        <f t="shared" si="245"/>
        <v>0.17550586858410888</v>
      </c>
      <c r="S126" s="128"/>
      <c r="T126" s="20">
        <f t="shared" ref="T126:AC126" si="342">T12/T9</f>
        <v>0.21830985915492959</v>
      </c>
      <c r="U126" s="20">
        <f t="shared" si="342"/>
        <v>0.21830985915492959</v>
      </c>
      <c r="V126" s="20">
        <f t="shared" si="342"/>
        <v>0.21830985915492959</v>
      </c>
      <c r="W126" s="20">
        <f t="shared" si="342"/>
        <v>0.21830985915492959</v>
      </c>
      <c r="X126" s="20">
        <f t="shared" si="342"/>
        <v>0.21830985915492962</v>
      </c>
      <c r="Y126" s="20">
        <f t="shared" si="342"/>
        <v>0.21830985915492962</v>
      </c>
      <c r="Z126" s="20">
        <f t="shared" si="342"/>
        <v>0.21830985915492965</v>
      </c>
      <c r="AA126" s="20">
        <f t="shared" si="342"/>
        <v>0.21830985915492962</v>
      </c>
      <c r="AB126" s="20">
        <f t="shared" si="342"/>
        <v>0.21830985915492965</v>
      </c>
      <c r="AC126" s="20">
        <f t="shared" si="342"/>
        <v>0.21830985915492962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0.14166666666666666</v>
      </c>
      <c r="H127" s="25">
        <f t="shared" ref="H127:P127" si="344">H25/360</f>
        <v>0.17222222222222222</v>
      </c>
      <c r="I127" s="25">
        <f t="shared" si="344"/>
        <v>0.23333333333333334</v>
      </c>
      <c r="J127" s="25">
        <f t="shared" si="344"/>
        <v>0.30555555555555558</v>
      </c>
      <c r="K127" s="25">
        <f t="shared" si="344"/>
        <v>0.36944444444444446</v>
      </c>
      <c r="L127" s="25">
        <f t="shared" si="344"/>
        <v>0.44722222222222224</v>
      </c>
      <c r="M127" s="25">
        <f t="shared" si="344"/>
        <v>0.55833333333333335</v>
      </c>
      <c r="N127" s="25">
        <f t="shared" si="344"/>
        <v>0.70833333333333337</v>
      </c>
      <c r="O127" s="25">
        <f t="shared" si="344"/>
        <v>1.0027777777777778</v>
      </c>
      <c r="P127" s="25">
        <f t="shared" si="344"/>
        <v>1.3777777777777778</v>
      </c>
      <c r="Q127" s="25">
        <f t="shared" ref="Q127" si="345">Q25/360</f>
        <v>1.8916666666666666</v>
      </c>
      <c r="R127" s="118">
        <f t="shared" si="245"/>
        <v>0.28756138831884459</v>
      </c>
      <c r="S127" s="128"/>
      <c r="T127" s="25">
        <f t="shared" ref="T127:AC127" si="346">T25/360</f>
        <v>2.1754166666666666</v>
      </c>
      <c r="U127" s="25">
        <f t="shared" si="346"/>
        <v>2.5017291666666663</v>
      </c>
      <c r="V127" s="25">
        <f t="shared" si="346"/>
        <v>2.8769885416666665</v>
      </c>
      <c r="W127" s="25">
        <f t="shared" si="346"/>
        <v>3.3085368229166661</v>
      </c>
      <c r="X127" s="25">
        <f t="shared" si="346"/>
        <v>3.8048173463541652</v>
      </c>
      <c r="Y127" s="25">
        <f t="shared" si="346"/>
        <v>4.3755399483072903</v>
      </c>
      <c r="Z127" s="25">
        <f t="shared" si="346"/>
        <v>5.0318709405533832</v>
      </c>
      <c r="AA127" s="25">
        <f t="shared" si="346"/>
        <v>5.7866515816363897</v>
      </c>
      <c r="AB127" s="25">
        <f t="shared" si="346"/>
        <v>6.6546493188818472</v>
      </c>
      <c r="AC127" s="25">
        <f t="shared" si="346"/>
        <v>7.652846716714123</v>
      </c>
      <c r="AD127" s="118">
        <f t="shared" ref="AD127:AD138" si="347">((AC127/T127)^(1/($H$2-$H$1) ))-1</f>
        <v>0.14999999999999991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0.125</v>
      </c>
      <c r="H128" s="25">
        <f t="shared" ref="H128:P128" si="348">H27/360</f>
        <v>0.15277777777777779</v>
      </c>
      <c r="I128" s="25">
        <f t="shared" si="348"/>
        <v>0.19722222222222222</v>
      </c>
      <c r="J128" s="25">
        <f t="shared" si="348"/>
        <v>0.25</v>
      </c>
      <c r="K128" s="25">
        <f t="shared" si="348"/>
        <v>0.30555555555555558</v>
      </c>
      <c r="L128" s="25">
        <f t="shared" si="348"/>
        <v>0.36388888888888887</v>
      </c>
      <c r="M128" s="25">
        <f t="shared" si="348"/>
        <v>0.45</v>
      </c>
      <c r="N128" s="25">
        <f t="shared" si="348"/>
        <v>0.56944444444444442</v>
      </c>
      <c r="O128" s="25">
        <f t="shared" si="348"/>
        <v>0.83611111111111114</v>
      </c>
      <c r="P128" s="25">
        <f t="shared" si="348"/>
        <v>1.1444444444444444</v>
      </c>
      <c r="Q128" s="25">
        <f t="shared" ref="Q128" si="349">Q27/360</f>
        <v>1.6111111111111112</v>
      </c>
      <c r="R128" s="118">
        <f t="shared" si="245"/>
        <v>0.27895085269886954</v>
      </c>
      <c r="S128" s="128"/>
      <c r="T128" s="25">
        <f t="shared" ref="T128:AC128" si="350">T27/360</f>
        <v>1.8527777777777779</v>
      </c>
      <c r="U128" s="25">
        <f t="shared" si="350"/>
        <v>2.1306944444444444</v>
      </c>
      <c r="V128" s="25">
        <f t="shared" si="350"/>
        <v>2.4502986111111107</v>
      </c>
      <c r="W128" s="25">
        <f t="shared" si="350"/>
        <v>2.8178434027777772</v>
      </c>
      <c r="X128" s="25">
        <f t="shared" si="350"/>
        <v>3.2405199131944431</v>
      </c>
      <c r="Y128" s="25">
        <f t="shared" si="350"/>
        <v>3.7265979001736094</v>
      </c>
      <c r="Z128" s="25">
        <f t="shared" si="350"/>
        <v>4.2855875851996501</v>
      </c>
      <c r="AA128" s="25">
        <f t="shared" si="350"/>
        <v>4.9284257229795978</v>
      </c>
      <c r="AB128" s="25">
        <f t="shared" si="350"/>
        <v>5.6676895814265364</v>
      </c>
      <c r="AC128" s="25">
        <f t="shared" si="350"/>
        <v>6.5178430186405167</v>
      </c>
      <c r="AD128" s="118">
        <f t="shared" si="347"/>
        <v>0.14999999999999991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0.66666666666666663</v>
      </c>
      <c r="H130" s="25">
        <f t="shared" ref="H130:P130" si="351">H10/H7</f>
        <v>0.56521739130434778</v>
      </c>
      <c r="I130" s="25">
        <f t="shared" si="351"/>
        <v>0.7142857142857143</v>
      </c>
      <c r="J130" s="25">
        <f t="shared" si="351"/>
        <v>0.625</v>
      </c>
      <c r="K130" s="25">
        <f t="shared" si="351"/>
        <v>0.67241379310344829</v>
      </c>
      <c r="L130" s="25">
        <f t="shared" si="351"/>
        <v>0.52857142857142858</v>
      </c>
      <c r="M130" s="25">
        <f t="shared" si="351"/>
        <v>0.30681818181818182</v>
      </c>
      <c r="N130" s="25">
        <f t="shared" si="351"/>
        <v>0.34234234234234234</v>
      </c>
      <c r="O130" s="25">
        <f t="shared" si="351"/>
        <v>0.29496402877697842</v>
      </c>
      <c r="P130" s="25">
        <f t="shared" si="351"/>
        <v>0.30726256983240224</v>
      </c>
      <c r="Q130" s="25">
        <f t="shared" ref="Q130" si="352">Q10/Q7</f>
        <v>0.1875</v>
      </c>
      <c r="R130" s="118">
        <f t="shared" si="245"/>
        <v>-8.2465666611551858E-2</v>
      </c>
      <c r="S130" s="128"/>
      <c r="T130" s="25">
        <f t="shared" ref="T130:AC130" si="353">T10/T7</f>
        <v>0.1875</v>
      </c>
      <c r="U130" s="25">
        <f t="shared" si="353"/>
        <v>0.1875</v>
      </c>
      <c r="V130" s="25">
        <f t="shared" si="353"/>
        <v>0.1875</v>
      </c>
      <c r="W130" s="25">
        <f t="shared" si="353"/>
        <v>0.1875</v>
      </c>
      <c r="X130" s="25">
        <f t="shared" si="353"/>
        <v>0.1875</v>
      </c>
      <c r="Y130" s="25">
        <f t="shared" si="353"/>
        <v>0.1875</v>
      </c>
      <c r="Z130" s="25">
        <f t="shared" si="353"/>
        <v>0.1875</v>
      </c>
      <c r="AA130" s="25">
        <f t="shared" si="353"/>
        <v>0.1875</v>
      </c>
      <c r="AB130" s="25">
        <f t="shared" si="353"/>
        <v>0.18750000000000003</v>
      </c>
      <c r="AC130" s="25">
        <f t="shared" si="353"/>
        <v>0.18750000000000003</v>
      </c>
      <c r="AD130" s="118">
        <f t="shared" si="347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0.4</v>
      </c>
      <c r="H131" s="25">
        <f t="shared" ref="H131:P131" si="354">H10/(H10+H7)</f>
        <v>0.3611111111111111</v>
      </c>
      <c r="I131" s="25">
        <f t="shared" si="354"/>
        <v>0.41666666666666669</v>
      </c>
      <c r="J131" s="25">
        <f t="shared" si="354"/>
        <v>0.38461538461538464</v>
      </c>
      <c r="K131" s="25">
        <f t="shared" si="354"/>
        <v>0.40206185567010311</v>
      </c>
      <c r="L131" s="25">
        <f t="shared" si="354"/>
        <v>0.34579439252336447</v>
      </c>
      <c r="M131" s="25">
        <f t="shared" si="354"/>
        <v>0.23478260869565218</v>
      </c>
      <c r="N131" s="25">
        <f t="shared" si="354"/>
        <v>0.25503355704697989</v>
      </c>
      <c r="O131" s="25">
        <f t="shared" si="354"/>
        <v>0.22777777777777777</v>
      </c>
      <c r="P131" s="25">
        <f t="shared" si="354"/>
        <v>0.23504273504273504</v>
      </c>
      <c r="Q131" s="25">
        <f t="shared" ref="Q131" si="355">Q10/(Q10+Q7)</f>
        <v>0.15789473684210525</v>
      </c>
      <c r="R131" s="118">
        <f t="shared" si="245"/>
        <v>-5.7366256182215247E-2</v>
      </c>
      <c r="S131" s="128"/>
      <c r="T131" s="25">
        <f t="shared" ref="T131:AC131" si="356">T10/(T10+T7)</f>
        <v>0.15789473684210525</v>
      </c>
      <c r="U131" s="25">
        <f t="shared" si="356"/>
        <v>0.15789473684210525</v>
      </c>
      <c r="V131" s="25">
        <f t="shared" si="356"/>
        <v>0.15789473684210525</v>
      </c>
      <c r="W131" s="25">
        <f t="shared" si="356"/>
        <v>0.15789473684210525</v>
      </c>
      <c r="X131" s="25">
        <f t="shared" si="356"/>
        <v>0.15789473684210528</v>
      </c>
      <c r="Y131" s="25">
        <f t="shared" si="356"/>
        <v>0.15789473684210528</v>
      </c>
      <c r="Z131" s="25">
        <f t="shared" si="356"/>
        <v>0.15789473684210528</v>
      </c>
      <c r="AA131" s="25">
        <f t="shared" si="356"/>
        <v>0.15789473684210528</v>
      </c>
      <c r="AB131" s="25">
        <f t="shared" si="356"/>
        <v>0.15789473684210528</v>
      </c>
      <c r="AC131" s="25">
        <f t="shared" si="356"/>
        <v>0.15789473684210528</v>
      </c>
      <c r="AD131" s="118">
        <f t="shared" si="347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5</v>
      </c>
      <c r="H133" s="25">
        <f t="shared" ref="H133:P133" si="357">H16</f>
        <v>5</v>
      </c>
      <c r="I133" s="25">
        <f t="shared" si="357"/>
        <v>8</v>
      </c>
      <c r="J133" s="25">
        <f t="shared" si="357"/>
        <v>18</v>
      </c>
      <c r="K133" s="25">
        <f t="shared" si="357"/>
        <v>21</v>
      </c>
      <c r="L133" s="25">
        <f t="shared" si="357"/>
        <v>32</v>
      </c>
      <c r="M133" s="25">
        <f t="shared" si="357"/>
        <v>45</v>
      </c>
      <c r="N133" s="25">
        <f t="shared" si="357"/>
        <v>57</v>
      </c>
      <c r="O133" s="25">
        <f t="shared" si="357"/>
        <v>78</v>
      </c>
      <c r="P133" s="25">
        <f t="shared" si="357"/>
        <v>104</v>
      </c>
      <c r="Q133" s="25">
        <f t="shared" ref="Q133" si="358">Q16</f>
        <v>97</v>
      </c>
      <c r="R133" s="118">
        <f t="shared" si="245"/>
        <v>0.40104305502815496</v>
      </c>
      <c r="S133" s="128"/>
      <c r="T133" s="25">
        <f t="shared" ref="T133:AC133" si="359">T16</f>
        <v>111.55</v>
      </c>
      <c r="U133" s="25">
        <f t="shared" si="359"/>
        <v>128.2825</v>
      </c>
      <c r="V133" s="25">
        <f t="shared" si="359"/>
        <v>147.52487499999998</v>
      </c>
      <c r="W133" s="25">
        <f t="shared" si="359"/>
        <v>169.65360624999997</v>
      </c>
      <c r="X133" s="25">
        <f t="shared" si="359"/>
        <v>195.10164718749994</v>
      </c>
      <c r="Y133" s="25">
        <f t="shared" si="359"/>
        <v>224.36689426562492</v>
      </c>
      <c r="Z133" s="25">
        <f t="shared" si="359"/>
        <v>258.02192840546866</v>
      </c>
      <c r="AA133" s="25">
        <f t="shared" si="359"/>
        <v>296.72521766628893</v>
      </c>
      <c r="AB133" s="25">
        <f t="shared" si="359"/>
        <v>341.23400031623225</v>
      </c>
      <c r="AC133" s="25">
        <f t="shared" si="359"/>
        <v>392.41910036366704</v>
      </c>
      <c r="AD133" s="118">
        <f t="shared" si="347"/>
        <v>0.14999999999999991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0">G133*365/G25</f>
        <v>35.784313725490193</v>
      </c>
      <c r="H134" s="119">
        <f t="shared" si="360"/>
        <v>29.43548387096774</v>
      </c>
      <c r="I134" s="119">
        <f t="shared" si="360"/>
        <v>34.761904761904759</v>
      </c>
      <c r="J134" s="119">
        <f t="shared" si="360"/>
        <v>59.727272727272727</v>
      </c>
      <c r="K134" s="119">
        <f t="shared" si="360"/>
        <v>57.631578947368418</v>
      </c>
      <c r="L134" s="119">
        <f t="shared" si="360"/>
        <v>72.546583850931682</v>
      </c>
      <c r="M134" s="119">
        <f t="shared" si="360"/>
        <v>81.71641791044776</v>
      </c>
      <c r="N134" s="119">
        <f t="shared" si="360"/>
        <v>81.588235294117652</v>
      </c>
      <c r="O134" s="119">
        <f t="shared" si="360"/>
        <v>78.86426592797784</v>
      </c>
      <c r="P134" s="119">
        <f t="shared" si="360"/>
        <v>76.532258064516128</v>
      </c>
      <c r="Q134" s="119">
        <f t="shared" ref="Q134" si="361">Q133*365/Q25</f>
        <v>51.989720998531574</v>
      </c>
      <c r="R134" s="118">
        <f t="shared" si="245"/>
        <v>8.8136897967624028E-2</v>
      </c>
      <c r="S134" s="128"/>
      <c r="T134" s="119">
        <f t="shared" ref="T134:AC134" si="362">T133*365/T25</f>
        <v>51.989720998531574</v>
      </c>
      <c r="U134" s="119">
        <f t="shared" si="362"/>
        <v>51.989720998531581</v>
      </c>
      <c r="V134" s="119">
        <f t="shared" si="362"/>
        <v>51.989720998531574</v>
      </c>
      <c r="W134" s="119">
        <f t="shared" si="362"/>
        <v>51.989720998531574</v>
      </c>
      <c r="X134" s="119">
        <f t="shared" si="362"/>
        <v>51.989720998531574</v>
      </c>
      <c r="Y134" s="119">
        <f t="shared" si="362"/>
        <v>51.989720998531574</v>
      </c>
      <c r="Z134" s="119">
        <f t="shared" si="362"/>
        <v>51.989720998531574</v>
      </c>
      <c r="AA134" s="119">
        <f t="shared" si="362"/>
        <v>51.989720998531581</v>
      </c>
      <c r="AB134" s="119">
        <f t="shared" si="362"/>
        <v>51.989720998531588</v>
      </c>
      <c r="AC134" s="119">
        <f t="shared" si="362"/>
        <v>51.989720998531588</v>
      </c>
      <c r="AD134" s="118">
        <f t="shared" si="347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9.2793071450665021</v>
      </c>
      <c r="H135" s="133">
        <f t="shared" ref="H135:P135" si="363">H80/H29</f>
        <v>13.20754716981132</v>
      </c>
      <c r="I135" s="133">
        <f t="shared" si="363"/>
        <v>17.416545718432509</v>
      </c>
      <c r="J135" s="133">
        <f t="shared" si="363"/>
        <v>14.393939393939393</v>
      </c>
      <c r="K135" s="133">
        <f t="shared" si="363"/>
        <v>11.290322580645162</v>
      </c>
      <c r="L135" s="133">
        <f t="shared" si="363"/>
        <v>12.096774193548388</v>
      </c>
      <c r="M135" s="133">
        <f t="shared" si="363"/>
        <v>22.857142857142858</v>
      </c>
      <c r="N135" s="133">
        <f t="shared" si="363"/>
        <v>13.815402704291593</v>
      </c>
      <c r="O135" s="133">
        <f t="shared" si="363"/>
        <v>10.515873015873016</v>
      </c>
      <c r="P135" s="133">
        <f t="shared" si="363"/>
        <v>8.5034013605442187</v>
      </c>
      <c r="Q135" s="133">
        <f t="shared" ref="Q135" si="364">Q80/Q29</f>
        <v>10.770975056689341</v>
      </c>
      <c r="R135" s="118">
        <f t="shared" si="245"/>
        <v>-9.6553778710610771E-3</v>
      </c>
      <c r="S135" s="128"/>
      <c r="T135" s="133">
        <f t="shared" ref="T135:AC135" si="365">T80/T29</f>
        <v>10.664331739296378</v>
      </c>
      <c r="U135" s="133">
        <f t="shared" si="365"/>
        <v>10.558744296333048</v>
      </c>
      <c r="V135" s="133">
        <f t="shared" si="365"/>
        <v>10.454202273597078</v>
      </c>
      <c r="W135" s="133">
        <f t="shared" si="365"/>
        <v>10.350695320393147</v>
      </c>
      <c r="X135" s="133">
        <f t="shared" si="365"/>
        <v>10.248213188508066</v>
      </c>
      <c r="Y135" s="133">
        <f t="shared" si="365"/>
        <v>10.146745731196106</v>
      </c>
      <c r="Z135" s="133">
        <f t="shared" si="365"/>
        <v>10.046282902174362</v>
      </c>
      <c r="AA135" s="133">
        <f t="shared" si="365"/>
        <v>9.9468147546280807</v>
      </c>
      <c r="AB135" s="133">
        <f t="shared" si="365"/>
        <v>9.848331440225822</v>
      </c>
      <c r="AC135" s="133">
        <f t="shared" si="365"/>
        <v>9.7508232081443804</v>
      </c>
      <c r="AD135" s="118">
        <f t="shared" si="347"/>
        <v>-9.9009900990099098E-3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4.25</v>
      </c>
      <c r="H137" s="180">
        <f t="shared" ref="H137:P137" si="366">H25/H14</f>
        <v>4.7692307692307692</v>
      </c>
      <c r="I137" s="180">
        <f t="shared" si="366"/>
        <v>4.9411764705882355</v>
      </c>
      <c r="J137" s="180">
        <f t="shared" si="366"/>
        <v>5.5</v>
      </c>
      <c r="K137" s="180">
        <f t="shared" si="366"/>
        <v>4.9259259259259256</v>
      </c>
      <c r="L137" s="180">
        <f t="shared" si="366"/>
        <v>5.9629629629629628</v>
      </c>
      <c r="M137" s="180">
        <f t="shared" si="366"/>
        <v>5.583333333333333</v>
      </c>
      <c r="N137" s="180">
        <f t="shared" si="366"/>
        <v>5.0999999999999996</v>
      </c>
      <c r="O137" s="180">
        <f t="shared" si="366"/>
        <v>3.9239130434782608</v>
      </c>
      <c r="P137" s="180">
        <f t="shared" si="366"/>
        <v>5.2765957446808507</v>
      </c>
      <c r="Q137" s="180">
        <f t="shared" ref="Q137" si="367">Q25/Q14</f>
        <v>6.4857142857142858</v>
      </c>
      <c r="R137" s="118">
        <f t="shared" si="245"/>
        <v>2.4331536335158166E-2</v>
      </c>
      <c r="S137" s="128"/>
      <c r="T137" s="20">
        <f t="shared" ref="T137" si="368">T25/T14</f>
        <v>6.4857142857142867</v>
      </c>
      <c r="U137" s="20">
        <f t="shared" ref="U137:AC137" si="369">U25/U14</f>
        <v>6.4857142857142858</v>
      </c>
      <c r="V137" s="20">
        <f t="shared" si="369"/>
        <v>6.4857142857142858</v>
      </c>
      <c r="W137" s="20">
        <f t="shared" si="369"/>
        <v>6.4857142857142858</v>
      </c>
      <c r="X137" s="20">
        <f t="shared" si="369"/>
        <v>6.4857142857142849</v>
      </c>
      <c r="Y137" s="20">
        <f t="shared" si="369"/>
        <v>6.485714285714284</v>
      </c>
      <c r="Z137" s="20">
        <f t="shared" si="369"/>
        <v>6.485714285714284</v>
      </c>
      <c r="AA137" s="20">
        <f t="shared" si="369"/>
        <v>6.485714285714284</v>
      </c>
      <c r="AB137" s="20">
        <f t="shared" si="369"/>
        <v>6.4857142857142831</v>
      </c>
      <c r="AC137" s="20">
        <f t="shared" si="369"/>
        <v>6.4857142857142831</v>
      </c>
      <c r="AD137" s="118">
        <f t="shared" si="347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3.75</v>
      </c>
      <c r="H138" s="180">
        <f t="shared" ref="H138:P138" si="370">H27/H14</f>
        <v>4.2307692307692308</v>
      </c>
      <c r="I138" s="180">
        <f t="shared" si="370"/>
        <v>4.1764705882352944</v>
      </c>
      <c r="J138" s="180">
        <f t="shared" si="370"/>
        <v>4.5</v>
      </c>
      <c r="K138" s="180">
        <f t="shared" si="370"/>
        <v>4.0740740740740744</v>
      </c>
      <c r="L138" s="180">
        <f t="shared" si="370"/>
        <v>4.8518518518518521</v>
      </c>
      <c r="M138" s="180">
        <f t="shared" si="370"/>
        <v>4.5</v>
      </c>
      <c r="N138" s="180">
        <f t="shared" si="370"/>
        <v>4.0999999999999996</v>
      </c>
      <c r="O138" s="180">
        <f t="shared" si="370"/>
        <v>3.2717391304347827</v>
      </c>
      <c r="P138" s="180">
        <f t="shared" si="370"/>
        <v>4.3829787234042552</v>
      </c>
      <c r="Q138" s="180">
        <f t="shared" ref="Q138" si="371">Q27/Q14</f>
        <v>5.5238095238095237</v>
      </c>
      <c r="R138" s="118">
        <f t="shared" si="245"/>
        <v>1.7481343979053321E-2</v>
      </c>
      <c r="S138" s="128"/>
      <c r="T138" s="20">
        <f t="shared" ref="T138:AC138" si="372">T27/T14</f>
        <v>5.5238095238095246</v>
      </c>
      <c r="U138" s="20">
        <f t="shared" si="372"/>
        <v>5.5238095238095237</v>
      </c>
      <c r="V138" s="20">
        <f t="shared" si="372"/>
        <v>5.5238095238095237</v>
      </c>
      <c r="W138" s="20">
        <f t="shared" si="372"/>
        <v>5.5238095238095237</v>
      </c>
      <c r="X138" s="20">
        <f t="shared" si="372"/>
        <v>5.5238095238095228</v>
      </c>
      <c r="Y138" s="20">
        <f t="shared" si="372"/>
        <v>5.5238095238095228</v>
      </c>
      <c r="Z138" s="20">
        <f t="shared" si="372"/>
        <v>5.5238095238095219</v>
      </c>
      <c r="AA138" s="20">
        <f t="shared" si="372"/>
        <v>5.5238095238095219</v>
      </c>
      <c r="AB138" s="20">
        <f t="shared" si="372"/>
        <v>5.5238095238095219</v>
      </c>
      <c r="AC138" s="20">
        <f t="shared" si="372"/>
        <v>5.5238095238095219</v>
      </c>
      <c r="AD138" s="118">
        <f t="shared" si="34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20.431297585892835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181.1631641900205</v>
      </c>
      <c r="T142" s="133">
        <f>PV($C$1, ($AC$3-$T$3), 0, -AC54)</f>
        <v>25.244047469101211</v>
      </c>
      <c r="U142" s="133">
        <f>PV($C$1, ($AC$3-$T$3), 0, -AF54)</f>
        <v>155.91911672091928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780.39516881854956</v>
      </c>
      <c r="T143" s="133">
        <f>PV($C$1, ($AC$3-$T$3), 0, -AC56)</f>
        <v>108.74358909766674</v>
      </c>
      <c r="U143" s="133">
        <f>PV($C$1, ($AC$3-$T$3), 0, -AF56)</f>
        <v>671.65157972088286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756.00781979296994</v>
      </c>
      <c r="T144" s="133">
        <f>PV($C$1, ($AC$3-$T$3), 0, -AC57)</f>
        <v>105.34535193836466</v>
      </c>
      <c r="U144" s="133">
        <f>PV($C$1, ($AC$3-$T$3), 0, -AF57)</f>
        <v>650.66246785460532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146.32409415347806</v>
      </c>
      <c r="T145" s="133">
        <f>PV($C$1, ($AC$3-$T$3), 0, -AC58)</f>
        <v>20.389422955812513</v>
      </c>
      <c r="U145" s="133">
        <f>PV($C$1, ($AC$3-$T$3), 0, -AF58)</f>
        <v>125.93467119766555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108.00111711328144</v>
      </c>
      <c r="T146" s="133">
        <f>PV($C$1, ($AC$3-$T$3), 0, -AC64)</f>
        <v>15.049335991194953</v>
      </c>
      <c r="U146" s="133">
        <f>PV($C$1, ($AC$3-$T$3), 0, -AF64)</f>
        <v>92.951781122086487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634.07107466507148</v>
      </c>
      <c r="T148" s="133">
        <f>PV($C$1, ($AC$3-$T$3), 0, -AC60)</f>
        <v>88.354166141854222</v>
      </c>
      <c r="U148" s="133">
        <f>PV($C$1, ($AC$3-$T$3), 0, -$AF$60)</f>
        <v>545.71690852321728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139.35628014616958</v>
      </c>
      <c r="T149" s="133">
        <f>PV($C$1, ($AC$3-$T$3), 0, -AC61)</f>
        <v>19.418498053154778</v>
      </c>
      <c r="U149" s="133">
        <f>PV($C$1, ($AC$3-$T$3), 0, -$AF$61)</f>
        <v>119.93778209301482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982.46177503049535</v>
      </c>
      <c r="T150" s="133">
        <f>PV($C$1, ($AC$3-$T$3), 0, -AC62)</f>
        <v>136.90041127474115</v>
      </c>
      <c r="U150" s="133">
        <f>PV($C$1, ($AC$3-$T$3), 0, -$AF$62)</f>
        <v>845.5613637557542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843.10549488432571</v>
      </c>
      <c r="T152" s="133">
        <f>PV($C$1, ($AC$3-$T$3), 0, -AC67)</f>
        <v>117.48191322158635</v>
      </c>
      <c r="U152" s="133">
        <f>PV($C$1, ($AC$3-$T$3), 0, -AF67)</f>
        <v>725.62358166273941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261.13466586481093</v>
      </c>
      <c r="T153" s="133">
        <f>PV($C$1, ($AC$3-$T$3), 0, -AC68)</f>
        <v>47.089857778900331</v>
      </c>
      <c r="U153" s="133">
        <f>PV($C$1, ($AC$3-$T$3), 0, -AF68)</f>
        <v>214.04480808591057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150.31853365089626</v>
      </c>
      <c r="T155" s="133">
        <f>PV($C$1, ($AC$3-$T$3), 0, -AC12)</f>
        <v>20.946025180862591</v>
      </c>
      <c r="U155" s="133">
        <f>PV($C$1, ($AC$3-$T$3), 0, -AF12)</f>
        <v>129.37250847003367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119.30042353245734</v>
      </c>
      <c r="T156" s="140">
        <f>T155/P42</f>
        <v>16.623829508621103</v>
      </c>
      <c r="U156" s="140">
        <f>U155/P42</f>
        <v>102.67659402383624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37.90673974601237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31.185414930910021</v>
      </c>
      <c r="U159" s="133">
        <f>PV($C$1, ($AC$3-$T$3), 0, -AF70)</f>
        <v>6.7213248151023501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353.04747854915939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290.44787767656248</v>
      </c>
      <c r="U161" s="133">
        <f>PV($C$1, ($AC$3-$T$3), 0, -AF72)</f>
        <v>62.599600872596895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253.65815612524193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208.6814878403614</v>
      </c>
      <c r="U163" s="133">
        <f>PV($C$1, ($AC$3-$T$3), 0, -AF74)</f>
        <v>44.976668284880525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1065.3642557260162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876.46224892951795</v>
      </c>
      <c r="U164" s="133">
        <f>PV($C$1, ($AC$3-$T$3), 0, -AF75)</f>
        <v>188.90200679649823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-811.70609960077434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-667.78076108915661</v>
      </c>
      <c r="U165" s="133">
        <f>PV($C$1, ($AC$3-$T$3), 0, -AF76)</f>
        <v>-143.9253385116177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-422.76359354207011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-347.80247973393585</v>
      </c>
      <c r="U166" s="133">
        <f>PV($C$1, ($AC$3-$T$3), 0, -AF77)</f>
        <v>-74.961113808134229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507.31631225048415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417.36297568072303</v>
      </c>
      <c r="U168" s="133">
        <f>PV($C$1, ($AC$3-$T$3), 0, -AF78)</f>
        <v>89.953336569761106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800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1260</v>
      </c>
      <c r="Q170" s="20"/>
      <c r="R170" s="20" t="s">
        <v>392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15</v>
      </c>
      <c r="H171" s="22">
        <v>26</v>
      </c>
      <c r="I171" s="22">
        <v>80</v>
      </c>
      <c r="J171" s="22">
        <v>120</v>
      </c>
      <c r="K171" s="22">
        <v>101</v>
      </c>
      <c r="L171" s="22">
        <v>53</v>
      </c>
      <c r="M171" s="22">
        <v>235</v>
      </c>
      <c r="N171" s="22">
        <v>152</v>
      </c>
      <c r="O171" s="22">
        <v>220</v>
      </c>
      <c r="P171" s="22">
        <v>415</v>
      </c>
      <c r="Q171" s="22">
        <v>250</v>
      </c>
      <c r="R171" s="118">
        <f t="shared" ref="R171:R176" si="377">((P171/G171)^(1/($H$2-$H$1) ))-1</f>
        <v>0.4461636009377945</v>
      </c>
      <c r="S171" s="31">
        <f>L2-3%</f>
        <v>0.12</v>
      </c>
      <c r="T171" s="119">
        <f t="shared" ref="T171" si="378">P171*(1+$S171)</f>
        <v>464.80000000000007</v>
      </c>
      <c r="U171" s="119">
        <f t="shared" ref="U171:AC171" si="379">T171*(1+$S171)</f>
        <v>520.57600000000014</v>
      </c>
      <c r="V171" s="119">
        <f t="shared" si="379"/>
        <v>583.04512000000022</v>
      </c>
      <c r="W171" s="119">
        <f t="shared" si="379"/>
        <v>653.01053440000032</v>
      </c>
      <c r="X171" s="119">
        <f t="shared" si="379"/>
        <v>731.37179852800045</v>
      </c>
      <c r="Y171" s="119">
        <f t="shared" si="379"/>
        <v>819.1364143513606</v>
      </c>
      <c r="Z171" s="119">
        <f t="shared" si="379"/>
        <v>917.43278407352398</v>
      </c>
      <c r="AA171" s="119">
        <f t="shared" si="379"/>
        <v>1027.524718162347</v>
      </c>
      <c r="AB171" s="119">
        <f t="shared" si="379"/>
        <v>1150.8276843418287</v>
      </c>
      <c r="AC171" s="119">
        <f t="shared" si="379"/>
        <v>1288.9270064628483</v>
      </c>
      <c r="AD171" s="138">
        <f t="shared" ref="AD171:AD176" si="380">((AC171/G171)^(1/($AC$3-$H$1) ))-1</f>
        <v>0.24941539586708039</v>
      </c>
      <c r="AE171" s="31">
        <v>0.08</v>
      </c>
      <c r="AF171" s="127">
        <f t="shared" ref="AF171:AF179" si="381">(AC171*(1+AD171))/($C$1-AE171)</f>
        <v>11502.894614453931</v>
      </c>
    </row>
    <row r="172" spans="2:32" x14ac:dyDescent="0.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>
        <f t="shared" si="382"/>
        <v>0.15588235294117647</v>
      </c>
      <c r="H172" s="25">
        <f t="shared" si="382"/>
        <v>0.22225806451612903</v>
      </c>
      <c r="I172" s="25">
        <f t="shared" si="382"/>
        <v>0.50476190476190474</v>
      </c>
      <c r="J172" s="25">
        <f t="shared" si="382"/>
        <v>0.65454545454545454</v>
      </c>
      <c r="K172" s="25">
        <f t="shared" si="382"/>
        <v>0.47082706766917293</v>
      </c>
      <c r="L172" s="25">
        <f t="shared" si="382"/>
        <v>0.20409937888198756</v>
      </c>
      <c r="M172" s="25">
        <f t="shared" si="382"/>
        <v>0.73656716417910451</v>
      </c>
      <c r="N172" s="25">
        <f t="shared" si="382"/>
        <v>0.75105882352941178</v>
      </c>
      <c r="O172" s="25">
        <f t="shared" si="382"/>
        <v>0.76786703601108031</v>
      </c>
      <c r="P172" s="25">
        <f t="shared" si="382"/>
        <v>1.0542338709677419</v>
      </c>
      <c r="Q172" s="25">
        <f t="shared" ref="Q172" si="383">Q171/Q50</f>
        <v>0.46255506607929514</v>
      </c>
      <c r="R172" s="118">
        <f t="shared" ref="R172" si="384">((P172/G172)^(1/($H$2-$H$1) ))-1</f>
        <v>0.23662430839375359</v>
      </c>
      <c r="S172" s="128"/>
      <c r="T172" s="25">
        <f t="shared" ref="T172:AC172" si="385">T171/T50</f>
        <v>0.7552888718636277</v>
      </c>
      <c r="U172" s="25">
        <f t="shared" si="385"/>
        <v>0.74294154074098773</v>
      </c>
      <c r="V172" s="25">
        <f t="shared" si="385"/>
        <v>0.73079606164017863</v>
      </c>
      <c r="W172" s="25">
        <f t="shared" si="385"/>
        <v>0.71884913471945233</v>
      </c>
      <c r="X172" s="25">
        <f t="shared" si="385"/>
        <v>0.70709751408229982</v>
      </c>
      <c r="Y172" s="25">
        <f t="shared" si="385"/>
        <v>0.69553800689556311</v>
      </c>
      <c r="Z172" s="25">
        <f t="shared" si="385"/>
        <v>0.6841674725219663</v>
      </c>
      <c r="AA172" s="25">
        <f t="shared" si="385"/>
        <v>0.67298282166682466</v>
      </c>
      <c r="AB172" s="25">
        <f t="shared" si="385"/>
        <v>0.66198101553870647</v>
      </c>
      <c r="AC172" s="25">
        <f t="shared" si="385"/>
        <v>0.65115906502381293</v>
      </c>
      <c r="AD172" s="138">
        <f t="shared" ref="AD172" si="386">((AC172/G172)^(1/($AC$3-$H$1) ))-1</f>
        <v>7.409948145233014E-2</v>
      </c>
      <c r="AE172" s="31">
        <v>0.08</v>
      </c>
      <c r="AF172" s="127">
        <f t="shared" ref="AF172" si="387">(AC172*(1+AD172))/($C$1-AE172)</f>
        <v>4.99578295775044</v>
      </c>
    </row>
    <row r="173" spans="2:32" x14ac:dyDescent="0.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>
        <f t="shared" si="388"/>
        <v>4.96875</v>
      </c>
      <c r="H173" s="25">
        <f t="shared" si="388"/>
        <v>5.9913043478260875</v>
      </c>
      <c r="I173" s="25">
        <f t="shared" si="388"/>
        <v>7.0666666666666673</v>
      </c>
      <c r="J173" s="25">
        <f t="shared" si="388"/>
        <v>8</v>
      </c>
      <c r="K173" s="25">
        <f t="shared" si="388"/>
        <v>6.2620000000000005</v>
      </c>
      <c r="L173" s="25">
        <f t="shared" si="388"/>
        <v>2.5276923076923077</v>
      </c>
      <c r="M173" s="25">
        <f t="shared" si="388"/>
        <v>7.7921052631578949</v>
      </c>
      <c r="N173" s="25">
        <f t="shared" si="388"/>
        <v>7.3661538461538454</v>
      </c>
      <c r="O173" s="25">
        <f t="shared" si="388"/>
        <v>8.6624999999999996</v>
      </c>
      <c r="P173" s="25">
        <f t="shared" si="388"/>
        <v>11.367391304347827</v>
      </c>
      <c r="Q173" s="25">
        <f t="shared" ref="Q173" si="389">Q171/Q54</f>
        <v>6.0576923076923075</v>
      </c>
      <c r="R173" s="118">
        <f t="shared" si="377"/>
        <v>9.6313726005459399E-2</v>
      </c>
      <c r="S173" s="128"/>
      <c r="T173" s="119">
        <f t="shared" ref="T173:AC173" si="390">T171/T54</f>
        <v>9.8913792642140486</v>
      </c>
      <c r="U173" s="119">
        <f t="shared" si="390"/>
        <v>9.729676716242551</v>
      </c>
      <c r="V173" s="119">
        <f t="shared" si="390"/>
        <v>9.570617653403108</v>
      </c>
      <c r="W173" s="119">
        <f t="shared" si="390"/>
        <v>9.4141588604605193</v>
      </c>
      <c r="X173" s="119">
        <f t="shared" si="390"/>
        <v>9.2602578286547317</v>
      </c>
      <c r="Y173" s="119">
        <f t="shared" si="390"/>
        <v>9.10887274415151</v>
      </c>
      <c r="Z173" s="119">
        <f t="shared" si="390"/>
        <v>8.9599624766819037</v>
      </c>
      <c r="AA173" s="119">
        <f t="shared" si="390"/>
        <v>8.8134865683674537</v>
      </c>
      <c r="AB173" s="119">
        <f t="shared" si="390"/>
        <v>8.6694052227280576</v>
      </c>
      <c r="AC173" s="119">
        <f t="shared" si="390"/>
        <v>8.5276792938695483</v>
      </c>
      <c r="AD173" s="138">
        <f t="shared" si="380"/>
        <v>2.7375454680920619E-2</v>
      </c>
      <c r="AE173" s="31">
        <v>0.08</v>
      </c>
      <c r="AF173" s="127">
        <f t="shared" si="381"/>
        <v>62.579488513659278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>
        <f t="shared" si="391"/>
        <v>0.44166666666666665</v>
      </c>
      <c r="H174" s="25">
        <f t="shared" si="391"/>
        <v>0.68900000000000006</v>
      </c>
      <c r="I174" s="25">
        <f t="shared" si="391"/>
        <v>1.6307692307692307</v>
      </c>
      <c r="J174" s="25">
        <f t="shared" si="391"/>
        <v>1.6363636363636362</v>
      </c>
      <c r="K174" s="25">
        <f t="shared" si="391"/>
        <v>1.1385454545454545</v>
      </c>
      <c r="L174" s="25">
        <f t="shared" si="391"/>
        <v>0.49044776119402989</v>
      </c>
      <c r="M174" s="25">
        <f t="shared" si="391"/>
        <v>1.7417647058823531</v>
      </c>
      <c r="N174" s="25">
        <f t="shared" si="391"/>
        <v>1.8240000000000001</v>
      </c>
      <c r="O174" s="25">
        <f t="shared" si="391"/>
        <v>2.1</v>
      </c>
      <c r="P174" s="25">
        <f t="shared" si="391"/>
        <v>3.0225433526011565</v>
      </c>
      <c r="Q174" s="25">
        <f t="shared" ref="Q174" si="392">Q171/Q57</f>
        <v>1.4516129032258065</v>
      </c>
      <c r="R174" s="118">
        <f t="shared" si="377"/>
        <v>0.23825091404213827</v>
      </c>
      <c r="S174" s="128"/>
      <c r="T174" s="119">
        <f t="shared" ref="T174:AC174" si="393">T171/T57</f>
        <v>2.3702844319775602</v>
      </c>
      <c r="U174" s="119">
        <f t="shared" si="393"/>
        <v>2.331535434306971</v>
      </c>
      <c r="V174" s="119">
        <f t="shared" si="393"/>
        <v>2.2934198985113441</v>
      </c>
      <c r="W174" s="119">
        <f t="shared" si="393"/>
        <v>2.2559274688661155</v>
      </c>
      <c r="X174" s="119">
        <f t="shared" si="393"/>
        <v>2.2190479589403047</v>
      </c>
      <c r="Y174" s="119">
        <f t="shared" si="393"/>
        <v>2.1827713488289335</v>
      </c>
      <c r="Z174" s="119">
        <f t="shared" si="393"/>
        <v>2.1470877824306869</v>
      </c>
      <c r="AA174" s="119">
        <f t="shared" si="393"/>
        <v>2.111987564770081</v>
      </c>
      <c r="AB174" s="119">
        <f t="shared" si="393"/>
        <v>2.0774611593634051</v>
      </c>
      <c r="AC174" s="119">
        <f t="shared" si="393"/>
        <v>2.0434991856277258</v>
      </c>
      <c r="AD174" s="138">
        <f t="shared" si="380"/>
        <v>7.9602775196305986E-2</v>
      </c>
      <c r="AE174" s="31">
        <v>0.08</v>
      </c>
      <c r="AF174" s="127">
        <f t="shared" si="381"/>
        <v>15.75833851367917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>
        <f t="shared" si="394"/>
        <v>3.955223880597015</v>
      </c>
      <c r="H175" s="25">
        <f t="shared" si="394"/>
        <v>4.5933333333333337</v>
      </c>
      <c r="I175" s="25">
        <f t="shared" si="394"/>
        <v>14.133333333333335</v>
      </c>
      <c r="J175" s="25">
        <f t="shared" si="394"/>
        <v>6.545454545454545</v>
      </c>
      <c r="K175" s="25">
        <f t="shared" si="394"/>
        <v>5.6927272727272724</v>
      </c>
      <c r="L175" s="25">
        <f t="shared" si="394"/>
        <v>1.5647619047619046</v>
      </c>
      <c r="M175" s="25">
        <f t="shared" si="394"/>
        <v>4.4863636363636363</v>
      </c>
      <c r="N175" s="25">
        <f t="shared" si="394"/>
        <v>4.3527272727272726</v>
      </c>
      <c r="O175" s="25">
        <f t="shared" si="394"/>
        <v>8.6624999999999996</v>
      </c>
      <c r="P175" s="25">
        <f t="shared" si="394"/>
        <v>12.753658536585366</v>
      </c>
      <c r="Q175" s="25">
        <f t="shared" ref="Q175" si="395">Q171/Q66</f>
        <v>7.3255813953488369</v>
      </c>
      <c r="R175" s="118">
        <f t="shared" si="377"/>
        <v>0.13892720854616081</v>
      </c>
      <c r="S175" s="128"/>
      <c r="T175" s="119">
        <f t="shared" ref="T175:AC175" si="396">T171/T66</f>
        <v>11.961667947421638</v>
      </c>
      <c r="U175" s="119">
        <f t="shared" si="396"/>
        <v>11.766120680107271</v>
      </c>
      <c r="V175" s="119">
        <f t="shared" si="396"/>
        <v>11.573770185510737</v>
      </c>
      <c r="W175" s="119">
        <f t="shared" si="396"/>
        <v>11.384564203347608</v>
      </c>
      <c r="X175" s="119">
        <f t="shared" si="396"/>
        <v>11.198451327675492</v>
      </c>
      <c r="Y175" s="119">
        <f t="shared" si="396"/>
        <v>11.015380992927408</v>
      </c>
      <c r="Z175" s="119">
        <f t="shared" si="396"/>
        <v>10.835303460173467</v>
      </c>
      <c r="AA175" s="119">
        <f t="shared" si="396"/>
        <v>10.658169803607155</v>
      </c>
      <c r="AB175" s="119">
        <f t="shared" si="396"/>
        <v>10.483931897252535</v>
      </c>
      <c r="AC175" s="119">
        <f t="shared" si="396"/>
        <v>10.312542401888757</v>
      </c>
      <c r="AD175" s="138">
        <f t="shared" si="380"/>
        <v>4.9082720502721111E-2</v>
      </c>
      <c r="AE175" s="31">
        <v>0.08</v>
      </c>
      <c r="AF175" s="127">
        <f t="shared" si="381"/>
        <v>77.276500273379455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>
        <f t="shared" si="397"/>
        <v>1.5900000000000003</v>
      </c>
      <c r="H176" s="25">
        <f t="shared" si="397"/>
        <v>2.7560000000000002</v>
      </c>
      <c r="I176" s="25">
        <f t="shared" si="397"/>
        <v>5.3000000000000007</v>
      </c>
      <c r="J176" s="25">
        <f t="shared" si="397"/>
        <v>4</v>
      </c>
      <c r="K176" s="25">
        <f t="shared" si="397"/>
        <v>2.9819047619047616</v>
      </c>
      <c r="L176" s="25">
        <f t="shared" si="397"/>
        <v>1.026875</v>
      </c>
      <c r="M176" s="25">
        <f t="shared" si="397"/>
        <v>3.29</v>
      </c>
      <c r="N176" s="25">
        <f t="shared" si="397"/>
        <v>3.36</v>
      </c>
      <c r="O176" s="25">
        <f t="shared" si="397"/>
        <v>3.5538461538461537</v>
      </c>
      <c r="P176" s="25">
        <f t="shared" si="397"/>
        <v>5.0278846153846155</v>
      </c>
      <c r="Q176" s="25">
        <f t="shared" ref="Q176" si="398">Q171/Q68</f>
        <v>3.2474226804123711</v>
      </c>
      <c r="R176" s="118">
        <f t="shared" si="377"/>
        <v>0.13646022913428268</v>
      </c>
      <c r="S176" s="128"/>
      <c r="T176" s="119">
        <f t="shared" ref="T176:AC176" si="399">T171/T68</f>
        <v>5.3025950694755721</v>
      </c>
      <c r="U176" s="119">
        <f t="shared" si="399"/>
        <v>5.2159091674702331</v>
      </c>
      <c r="V176" s="119">
        <f t="shared" si="399"/>
        <v>5.1306403915150689</v>
      </c>
      <c r="W176" s="119">
        <f t="shared" si="399"/>
        <v>5.0467655746798661</v>
      </c>
      <c r="X176" s="119">
        <f t="shared" si="399"/>
        <v>4.9642619287633618</v>
      </c>
      <c r="Y176" s="119">
        <f t="shared" si="399"/>
        <v>4.8831070381018407</v>
      </c>
      <c r="Z176" s="119">
        <f t="shared" si="399"/>
        <v>4.8032788534789583</v>
      </c>
      <c r="AA176" s="119">
        <f t="shared" si="399"/>
        <v>4.7247556861351301</v>
      </c>
      <c r="AB176" s="119">
        <f t="shared" si="399"/>
        <v>4.6475162018748346</v>
      </c>
      <c r="AC176" s="119">
        <f t="shared" si="399"/>
        <v>4.5715394152702737</v>
      </c>
      <c r="AD176" s="138">
        <f t="shared" si="380"/>
        <v>5.4224893937068197E-2</v>
      </c>
      <c r="AE176" s="31">
        <v>0.08</v>
      </c>
      <c r="AF176" s="127">
        <f t="shared" si="381"/>
        <v>34.424504679945933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0.79500000000000015</v>
      </c>
      <c r="H177" s="182">
        <f t="shared" si="400"/>
        <v>1.1483333333333334</v>
      </c>
      <c r="I177" s="182">
        <f t="shared" si="400"/>
        <v>3.2615384615384615</v>
      </c>
      <c r="J177" s="182">
        <f t="shared" si="400"/>
        <v>3</v>
      </c>
      <c r="K177" s="182">
        <f t="shared" si="400"/>
        <v>1.9568749999999999</v>
      </c>
      <c r="L177" s="182">
        <f t="shared" si="400"/>
        <v>0.68458333333333332</v>
      </c>
      <c r="M177" s="182">
        <f t="shared" si="400"/>
        <v>1.898076923076923</v>
      </c>
      <c r="N177" s="182">
        <f t="shared" si="400"/>
        <v>1.8415384615384613</v>
      </c>
      <c r="O177" s="182">
        <f t="shared" si="400"/>
        <v>1.5486033519553075</v>
      </c>
      <c r="P177" s="182">
        <f t="shared" si="400"/>
        <v>2.2834061135371178</v>
      </c>
      <c r="Q177" s="182">
        <f t="shared" ref="Q177" si="401">Q171/Q62</f>
        <v>1.1170212765957448</v>
      </c>
      <c r="R177" s="118">
        <f t="shared" ref="R177:R180" si="402">((P177/G177)^(1/($H$2-$H$1) ))-1</f>
        <v>0.12437943135346896</v>
      </c>
      <c r="S177" s="128"/>
      <c r="T177" s="135">
        <f t="shared" ref="T177:AC177" si="403">T171/T62</f>
        <v>1.8239422756706765</v>
      </c>
      <c r="U177" s="135">
        <f t="shared" si="403"/>
        <v>1.7941247845553641</v>
      </c>
      <c r="V177" s="135">
        <f t="shared" si="403"/>
        <v>1.7647947445991552</v>
      </c>
      <c r="W177" s="135">
        <f t="shared" si="403"/>
        <v>1.7359441870352732</v>
      </c>
      <c r="X177" s="135">
        <f t="shared" si="403"/>
        <v>1.7075652733689581</v>
      </c>
      <c r="Y177" s="135">
        <f t="shared" si="403"/>
        <v>1.6796502932477964</v>
      </c>
      <c r="Z177" s="135">
        <f t="shared" si="403"/>
        <v>1.6521916623668762</v>
      </c>
      <c r="AA177" s="135">
        <f t="shared" si="403"/>
        <v>1.6251819204081828</v>
      </c>
      <c r="AB177" s="135">
        <f t="shared" si="403"/>
        <v>1.5986137290136846</v>
      </c>
      <c r="AC177" s="135">
        <f t="shared" si="403"/>
        <v>1.5724798697915483</v>
      </c>
      <c r="AD177" s="138">
        <f t="shared" ref="AD177" si="404">((AC177/G177)^(1/($AC$3-$H$1) ))-1</f>
        <v>3.4691540320065162E-2</v>
      </c>
      <c r="AE177" s="31">
        <v>0.08</v>
      </c>
      <c r="AF177" s="127">
        <f t="shared" si="381"/>
        <v>11.621654418549376</v>
      </c>
    </row>
    <row r="178" spans="2:46" x14ac:dyDescent="0.2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>
        <f t="shared" si="405"/>
        <v>0.20125786163522014</v>
      </c>
      <c r="H178" s="161">
        <f t="shared" si="405"/>
        <v>0.16690856313497821</v>
      </c>
      <c r="I178" s="161">
        <f t="shared" si="405"/>
        <v>0.14150943396226415</v>
      </c>
      <c r="J178" s="161">
        <f t="shared" si="405"/>
        <v>0.125</v>
      </c>
      <c r="K178" s="161">
        <f t="shared" si="405"/>
        <v>0.15969338869370808</v>
      </c>
      <c r="L178" s="161">
        <f t="shared" si="405"/>
        <v>0.39561777236762025</v>
      </c>
      <c r="M178" s="161">
        <f t="shared" si="405"/>
        <v>0.12833502195204322</v>
      </c>
      <c r="N178" s="161">
        <f t="shared" si="405"/>
        <v>0.13575605680868841</v>
      </c>
      <c r="O178" s="161">
        <f t="shared" si="405"/>
        <v>0.11544011544011544</v>
      </c>
      <c r="P178" s="161">
        <f t="shared" si="405"/>
        <v>8.797093134442531E-2</v>
      </c>
      <c r="Q178" s="161">
        <f t="shared" ref="Q178" si="406">Q54/Q171</f>
        <v>0.1650793650793651</v>
      </c>
      <c r="R178" s="118">
        <f t="shared" si="402"/>
        <v>-8.7852339819176728E-2</v>
      </c>
      <c r="S178" s="128"/>
      <c r="T178" s="161">
        <f t="shared" ref="T178:AC178" si="407">T54/T171</f>
        <v>0.10109813538521295</v>
      </c>
      <c r="U178" s="161">
        <f t="shared" si="407"/>
        <v>0.10277833777669279</v>
      </c>
      <c r="V178" s="161">
        <f t="shared" si="407"/>
        <v>0.10448646432390089</v>
      </c>
      <c r="W178" s="161">
        <f t="shared" si="407"/>
        <v>0.10622297911287661</v>
      </c>
      <c r="X178" s="161">
        <f t="shared" si="407"/>
        <v>0.10798835394254602</v>
      </c>
      <c r="Y178" s="161">
        <f t="shared" si="407"/>
        <v>0.10978306845290656</v>
      </c>
      <c r="Z178" s="161">
        <f t="shared" si="407"/>
        <v>0.11160761025534169</v>
      </c>
      <c r="AA178" s="161">
        <f t="shared" si="407"/>
        <v>0.1134624750651016</v>
      </c>
      <c r="AB178" s="161">
        <f t="shared" si="407"/>
        <v>0.11534816683598551</v>
      </c>
      <c r="AC178" s="161">
        <f t="shared" si="407"/>
        <v>0.11726519789726247</v>
      </c>
      <c r="AD178" s="138">
        <f t="shared" ref="AD178:AD180" si="408">((AC178/G178)^(1/($AC$3-$H$1) ))-1</f>
        <v>-2.6646008093918039E-2</v>
      </c>
      <c r="AE178" s="31">
        <v>0.08</v>
      </c>
      <c r="AF178" s="127">
        <f t="shared" si="381"/>
        <v>0.81528963203540794</v>
      </c>
    </row>
    <row r="179" spans="2:46" x14ac:dyDescent="0.2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>
        <f t="shared" si="409"/>
        <v>0.05</v>
      </c>
      <c r="H179" s="152">
        <f t="shared" si="409"/>
        <v>3.0769230769230771E-2</v>
      </c>
      <c r="I179" s="152">
        <f t="shared" si="409"/>
        <v>1.125E-2</v>
      </c>
      <c r="J179" s="152">
        <f t="shared" si="409"/>
        <v>9.1666666666666667E-3</v>
      </c>
      <c r="K179" s="152">
        <f t="shared" si="409"/>
        <v>1.4851485148514851E-2</v>
      </c>
      <c r="L179" s="152">
        <f t="shared" si="409"/>
        <v>3.7735849056603772E-2</v>
      </c>
      <c r="M179" s="152">
        <f t="shared" si="409"/>
        <v>1.0638297872340425E-2</v>
      </c>
      <c r="N179" s="152">
        <f t="shared" si="409"/>
        <v>1.6447368421052631E-2</v>
      </c>
      <c r="O179" s="152">
        <f t="shared" si="409"/>
        <v>1.3636363636363636E-2</v>
      </c>
      <c r="P179" s="152">
        <f t="shared" si="409"/>
        <v>9.6385542168674707E-3</v>
      </c>
      <c r="Q179" s="152">
        <f t="shared" ref="Q179" si="410">Q44/Q171</f>
        <v>1.6E-2</v>
      </c>
      <c r="R179" s="118">
        <f t="shared" si="402"/>
        <v>-0.16716261850966851</v>
      </c>
      <c r="S179" s="128"/>
      <c r="T179" s="152">
        <f t="shared" ref="T179:AC179" si="411">T44/T171</f>
        <v>9.0361445783132526E-3</v>
      </c>
      <c r="U179" s="152">
        <f t="shared" si="411"/>
        <v>8.4713855421686725E-3</v>
      </c>
      <c r="V179" s="152">
        <f t="shared" si="411"/>
        <v>7.9419239457831307E-3</v>
      </c>
      <c r="W179" s="152">
        <f t="shared" si="411"/>
        <v>7.4455536991716847E-3</v>
      </c>
      <c r="X179" s="152">
        <f t="shared" si="411"/>
        <v>6.9802065929734543E-3</v>
      </c>
      <c r="Y179" s="152">
        <f t="shared" si="411"/>
        <v>6.5439436809126127E-3</v>
      </c>
      <c r="Z179" s="152">
        <f t="shared" si="411"/>
        <v>6.1349472008555735E-3</v>
      </c>
      <c r="AA179" s="152">
        <f t="shared" si="411"/>
        <v>5.7515130008020995E-3</v>
      </c>
      <c r="AB179" s="152">
        <f t="shared" si="411"/>
        <v>5.3920434382519686E-3</v>
      </c>
      <c r="AC179" s="152">
        <f t="shared" si="411"/>
        <v>5.0550407233612192E-3</v>
      </c>
      <c r="AD179" s="138">
        <f t="shared" si="408"/>
        <v>-0.10826105772372885</v>
      </c>
      <c r="AE179" s="31">
        <v>0.08</v>
      </c>
      <c r="AF179" s="127">
        <f t="shared" si="381"/>
        <v>3.2198404770097215E-2</v>
      </c>
    </row>
    <row r="180" spans="2:46" x14ac:dyDescent="0.2">
      <c r="B180" s="20" t="s">
        <v>447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>
        <f t="shared" si="412"/>
        <v>0.33124999999999999</v>
      </c>
      <c r="H180" s="181">
        <f t="shared" si="412"/>
        <v>0.3994202898550725</v>
      </c>
      <c r="I180" s="181">
        <f t="shared" si="412"/>
        <v>0.47111111111111115</v>
      </c>
      <c r="J180" s="181">
        <f t="shared" si="412"/>
        <v>0.53333333333333333</v>
      </c>
      <c r="K180" s="181">
        <f t="shared" si="412"/>
        <v>0.41746666666666671</v>
      </c>
      <c r="L180" s="181">
        <f t="shared" si="412"/>
        <v>0.16851282051282052</v>
      </c>
      <c r="M180" s="181">
        <f t="shared" si="412"/>
        <v>0.51947368421052631</v>
      </c>
      <c r="N180" s="181">
        <f t="shared" si="412"/>
        <v>0.49107692307692302</v>
      </c>
      <c r="O180" s="181">
        <f t="shared" si="412"/>
        <v>0.57750000000000001</v>
      </c>
      <c r="P180" s="181">
        <f>(P173)/($L$2*100)</f>
        <v>0.75782608695652176</v>
      </c>
      <c r="Q180" s="181">
        <f>(Q173)/($L$2*100)</f>
        <v>0.40384615384615385</v>
      </c>
      <c r="R180" s="118">
        <f t="shared" si="402"/>
        <v>9.6313726005459399E-2</v>
      </c>
      <c r="S180" s="128"/>
      <c r="T180" s="181">
        <f>(T173)/($L$2*100)</f>
        <v>0.65942528428093661</v>
      </c>
      <c r="U180" s="181">
        <f t="shared" ref="U180:AC180" si="413">(U173)/($L$2*100)</f>
        <v>0.64864511441617012</v>
      </c>
      <c r="V180" s="181">
        <f t="shared" si="413"/>
        <v>0.63804117689354056</v>
      </c>
      <c r="W180" s="181">
        <f t="shared" si="413"/>
        <v>0.62761059069736791</v>
      </c>
      <c r="X180" s="181">
        <f t="shared" si="413"/>
        <v>0.61735052191031548</v>
      </c>
      <c r="Y180" s="181">
        <f t="shared" si="413"/>
        <v>0.60725818294343403</v>
      </c>
      <c r="Z180" s="181">
        <f t="shared" si="413"/>
        <v>0.59733083177879354</v>
      </c>
      <c r="AA180" s="181">
        <f t="shared" si="413"/>
        <v>0.58756577122449694</v>
      </c>
      <c r="AB180" s="181">
        <f t="shared" si="413"/>
        <v>0.57796034818187048</v>
      </c>
      <c r="AC180" s="181">
        <f t="shared" si="413"/>
        <v>0.56851195292463652</v>
      </c>
      <c r="AD180" s="138">
        <f t="shared" si="408"/>
        <v>2.7375454680920619E-2</v>
      </c>
      <c r="AE180" s="31">
        <v>0.08</v>
      </c>
      <c r="AF180" s="181">
        <f>(AF173)/($L$2*100)</f>
        <v>4.1719659009106183</v>
      </c>
    </row>
    <row r="181" spans="2:46" x14ac:dyDescent="0.2">
      <c r="B181" s="20" t="s">
        <v>448</v>
      </c>
      <c r="C181" s="152"/>
      <c r="D181" s="152"/>
      <c r="E181" s="152"/>
      <c r="F181" s="152"/>
      <c r="G181" s="152">
        <f t="shared" ref="G181:P181" si="414">G180-1</f>
        <v>-0.66874999999999996</v>
      </c>
      <c r="H181" s="152">
        <f t="shared" si="414"/>
        <v>-0.6005797101449275</v>
      </c>
      <c r="I181" s="152">
        <f t="shared" si="414"/>
        <v>-0.52888888888888885</v>
      </c>
      <c r="J181" s="152">
        <f t="shared" si="414"/>
        <v>-0.46666666666666667</v>
      </c>
      <c r="K181" s="152">
        <f t="shared" si="414"/>
        <v>-0.58253333333333335</v>
      </c>
      <c r="L181" s="152">
        <f t="shared" si="414"/>
        <v>-0.83148717948717943</v>
      </c>
      <c r="M181" s="152">
        <f t="shared" si="414"/>
        <v>-0.48052631578947369</v>
      </c>
      <c r="N181" s="152">
        <f t="shared" si="414"/>
        <v>-0.50892307692307703</v>
      </c>
      <c r="O181" s="152">
        <f t="shared" si="414"/>
        <v>-0.42249999999999999</v>
      </c>
      <c r="P181" s="152">
        <f t="shared" si="414"/>
        <v>-0.24217391304347824</v>
      </c>
      <c r="Q181" s="152">
        <f>Q180-1</f>
        <v>-0.59615384615384615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6" t="s">
        <v>351</v>
      </c>
      <c r="L183" s="207"/>
      <c r="M183" s="20"/>
      <c r="N183" s="20"/>
      <c r="O183" s="20"/>
      <c r="P183" s="108" t="s">
        <v>431</v>
      </c>
      <c r="Q183" s="108" t="s">
        <v>430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0.84837304101595057</v>
      </c>
      <c r="Q184" s="128">
        <f>(Q171-T159)/Q171</f>
        <v>0.87525834027635996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-1.3673777711578201</v>
      </c>
      <c r="N185" s="20"/>
      <c r="O185" s="20"/>
      <c r="P185" s="128">
        <f>(Q171-S150)/Q171</f>
        <v>-2.9298471001219815</v>
      </c>
      <c r="Q185" s="128">
        <f>(Q171-T150)/Q171</f>
        <v>0.45239835490103542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-0.88047028630975799</v>
      </c>
      <c r="N186" s="20"/>
      <c r="O186" s="20"/>
      <c r="P186" s="128">
        <f>(Q171-S143)/Q171</f>
        <v>-2.1215806752741981</v>
      </c>
      <c r="Q186" s="128">
        <f>(Q171-T143)/Q171</f>
        <v>0.56502564360933294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0.71252909992178959</v>
      </c>
      <c r="N187" s="20"/>
      <c r="O187" s="20"/>
      <c r="P187" s="128">
        <f>(Q171-S156)/Q171</f>
        <v>0.52279830587017073</v>
      </c>
      <c r="Q187" s="128">
        <f>(Q171-T156)/Q171</f>
        <v>0.93350468196551561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400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-0.22244894518188951</v>
      </c>
      <c r="N188" s="20"/>
      <c r="O188" s="20"/>
      <c r="P188" s="128">
        <f>(Q171-S168)/Q171</f>
        <v>-1.0292652490019365</v>
      </c>
      <c r="Q188" s="128">
        <f>(Q171-T168)/Q171</f>
        <v>-0.66945190272289212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1.3799714810554817</v>
      </c>
      <c r="Q189" s="25">
        <f>Q171/T142</f>
        <v>9.903324746398166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408</v>
      </c>
      <c r="AE189" s="115" t="s">
        <v>409</v>
      </c>
      <c r="AF189" s="115" t="s">
        <v>410</v>
      </c>
      <c r="AG189" s="115" t="s">
        <v>411</v>
      </c>
      <c r="AH189" s="115" t="s">
        <v>412</v>
      </c>
      <c r="AI189" s="115" t="s">
        <v>413</v>
      </c>
      <c r="AJ189" s="115" t="s">
        <v>414</v>
      </c>
      <c r="AK189" s="115" t="s">
        <v>415</v>
      </c>
      <c r="AL189" s="115" t="s">
        <v>416</v>
      </c>
      <c r="AM189" s="115" t="s">
        <v>417</v>
      </c>
      <c r="AN189" s="115" t="s">
        <v>418</v>
      </c>
      <c r="AO189" s="115" t="s">
        <v>419</v>
      </c>
      <c r="AP189" s="115" t="s">
        <v>420</v>
      </c>
      <c r="AQ189" s="115" t="s">
        <v>421</v>
      </c>
      <c r="AR189" s="115" t="s">
        <v>422</v>
      </c>
      <c r="AS189" s="115" t="s">
        <v>423</v>
      </c>
      <c r="AT189" s="115" t="s">
        <v>424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449</v>
      </c>
      <c r="H190" s="190"/>
      <c r="I190" s="189" t="s">
        <v>450</v>
      </c>
      <c r="J190" s="190"/>
      <c r="K190" s="20"/>
      <c r="L190" s="189" t="s">
        <v>451</v>
      </c>
      <c r="M190" s="190"/>
      <c r="N190" s="189" t="s">
        <v>452</v>
      </c>
      <c r="O190" s="190"/>
      <c r="P190" s="152">
        <f>1/P189</f>
        <v>0.72465265676008195</v>
      </c>
      <c r="Q190" s="152">
        <f>1/Q189</f>
        <v>0.10097618987640485</v>
      </c>
      <c r="R190" s="20"/>
      <c r="S190" s="20"/>
      <c r="T190" s="129">
        <f>Q171-T191</f>
        <v>228.54713753481252</v>
      </c>
      <c r="U190" s="185">
        <f>T190-U191</f>
        <v>206.02163194636566</v>
      </c>
      <c r="V190" s="185">
        <f t="shared" ref="V190:X190" si="415">U190-V191</f>
        <v>182.36985107849645</v>
      </c>
      <c r="W190" s="185">
        <f t="shared" si="415"/>
        <v>157.5354811672338</v>
      </c>
      <c r="X190" s="185">
        <f t="shared" si="415"/>
        <v>131.45939276040801</v>
      </c>
      <c r="Y190" s="185">
        <f>X190-Y191</f>
        <v>104.07949993324092</v>
      </c>
      <c r="Z190" s="185">
        <f t="shared" ref="Z190:AC190" si="416">Y190-Z191</f>
        <v>75.330612464715486</v>
      </c>
      <c r="AA190" s="185">
        <f t="shared" si="416"/>
        <v>45.144280622763773</v>
      </c>
      <c r="AB190" s="185">
        <f t="shared" si="416"/>
        <v>13.448632188714473</v>
      </c>
      <c r="AC190" s="185">
        <f t="shared" si="416"/>
        <v>-19.831798667037294</v>
      </c>
      <c r="AD190" s="185">
        <f t="shared" ref="AD190" si="417">AC190-AD191</f>
        <v>-54.776251065576645</v>
      </c>
      <c r="AE190" s="185">
        <f t="shared" ref="AE190" si="418">AD190-AE191</f>
        <v>-91.467926084042972</v>
      </c>
      <c r="AF190" s="185">
        <f t="shared" ref="AF190" si="419">AE190-AF191</f>
        <v>-129.99418485343261</v>
      </c>
      <c r="AG190" s="185">
        <f t="shared" ref="AG190" si="420">AF190-AG191</f>
        <v>-170.44675656129175</v>
      </c>
      <c r="AH190" s="185">
        <f t="shared" ref="AH190" si="421">AG190-AH191</f>
        <v>-212.92195685454385</v>
      </c>
      <c r="AI190" s="185">
        <f t="shared" ref="AI190" si="422">AH190-AI191</f>
        <v>-257.52091716245855</v>
      </c>
      <c r="AJ190" s="185">
        <f t="shared" ref="AJ190" si="423">AI190-AJ191</f>
        <v>-304.34982548576897</v>
      </c>
      <c r="AK190" s="185">
        <f t="shared" ref="AK190" si="424">AJ190-AK191</f>
        <v>-353.52017922524493</v>
      </c>
      <c r="AL190" s="185">
        <f t="shared" ref="AL190" si="425">AK190-AL191</f>
        <v>-405.14905065169467</v>
      </c>
      <c r="AM190" s="185">
        <f t="shared" ref="AM190" si="426">AL190-AM191</f>
        <v>-459.35936564946689</v>
      </c>
      <c r="AN190" s="185">
        <f t="shared" ref="AN190" si="427">AM190-AN191</f>
        <v>-516.28019639712772</v>
      </c>
      <c r="AO190" s="185">
        <f t="shared" ref="AO190" si="428">AN190-AO191</f>
        <v>-576.04706868217158</v>
      </c>
      <c r="AP190" s="185">
        <f t="shared" ref="AP190" si="429">AO190-AP191</f>
        <v>-638.80228458146769</v>
      </c>
      <c r="AQ190" s="185">
        <f t="shared" ref="AQ190" si="430">AP190-AQ191</f>
        <v>-704.69526127572863</v>
      </c>
      <c r="AR190" s="185">
        <f t="shared" ref="AR190" si="431">AQ190-AR191</f>
        <v>-773.88288680470259</v>
      </c>
      <c r="AS190" s="185">
        <f t="shared" ref="AS190" si="432">AR190-AS191</f>
        <v>-846.52989361012521</v>
      </c>
      <c r="AT190" s="185">
        <f t="shared" ref="AT190" si="433">AS190-AT191</f>
        <v>-922.80925075581899</v>
      </c>
    </row>
    <row r="191" spans="2:46" x14ac:dyDescent="0.2">
      <c r="B191" s="20" t="s">
        <v>397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12.23612934758569</v>
      </c>
      <c r="Q191" s="181">
        <f>Q171/R141</f>
        <v>12.23612934758569</v>
      </c>
      <c r="R191" s="20"/>
      <c r="S191" s="20"/>
      <c r="T191" s="186">
        <f>R141*(1+$K$191)</f>
        <v>21.452862465187479</v>
      </c>
      <c r="U191" s="186">
        <f>T191*(1+$K$191)</f>
        <v>22.525505588446855</v>
      </c>
      <c r="V191" s="186">
        <f t="shared" ref="V191:AC191" si="434">U191*(1+$K$191)</f>
        <v>23.651780867869199</v>
      </c>
      <c r="W191" s="186">
        <f t="shared" si="434"/>
        <v>24.834369911262659</v>
      </c>
      <c r="X191" s="186">
        <f t="shared" si="434"/>
        <v>26.076088406825793</v>
      </c>
      <c r="Y191" s="186">
        <f t="shared" si="434"/>
        <v>27.379892827167083</v>
      </c>
      <c r="Z191" s="186">
        <f t="shared" si="434"/>
        <v>28.748887468525439</v>
      </c>
      <c r="AA191" s="186">
        <f t="shared" si="434"/>
        <v>30.186331841951713</v>
      </c>
      <c r="AB191" s="186">
        <f t="shared" si="434"/>
        <v>31.6956484340493</v>
      </c>
      <c r="AC191" s="186">
        <f t="shared" si="434"/>
        <v>33.280430855751767</v>
      </c>
      <c r="AD191" s="186">
        <f t="shared" ref="AD191" si="435">AC191*(1+$K$191)</f>
        <v>34.944452398539354</v>
      </c>
      <c r="AE191" s="186">
        <f t="shared" ref="AE191" si="436">AD191*(1+$K$191)</f>
        <v>36.691675018466327</v>
      </c>
      <c r="AF191" s="186">
        <f t="shared" ref="AF191" si="437">AE191*(1+$K$191)</f>
        <v>38.526258769389642</v>
      </c>
      <c r="AG191" s="186">
        <f t="shared" ref="AG191" si="438">AF191*(1+$K$191)</f>
        <v>40.452571707859128</v>
      </c>
      <c r="AH191" s="186">
        <f t="shared" ref="AH191" si="439">AG191*(1+$K$191)</f>
        <v>42.475200293252087</v>
      </c>
      <c r="AI191" s="186">
        <f t="shared" ref="AI191" si="440">AH191*(1+$K$191)</f>
        <v>44.598960307914695</v>
      </c>
      <c r="AJ191" s="186">
        <f t="shared" ref="AJ191" si="441">AI191*(1+$K$191)</f>
        <v>46.828908323310429</v>
      </c>
      <c r="AK191" s="186">
        <f t="shared" ref="AK191" si="442">AJ191*(1+$K$191)</f>
        <v>49.170353739475949</v>
      </c>
      <c r="AL191" s="186">
        <f t="shared" ref="AL191" si="443">AK191*(1+$K$191)</f>
        <v>51.628871426449749</v>
      </c>
      <c r="AM191" s="186">
        <f t="shared" ref="AM191" si="444">AL191*(1+$K$191)</f>
        <v>54.210314997772237</v>
      </c>
      <c r="AN191" s="186">
        <f t="shared" ref="AN191" si="445">AM191*(1+$K$191)</f>
        <v>56.920830747660851</v>
      </c>
      <c r="AO191" s="186">
        <f t="shared" ref="AO191" si="446">AN191*(1+$K$191)</f>
        <v>59.766872285043895</v>
      </c>
      <c r="AP191" s="186">
        <f t="shared" ref="AP191" si="447">AO191*(1+$K$191)</f>
        <v>62.75521589929609</v>
      </c>
      <c r="AQ191" s="186">
        <f t="shared" ref="AQ191" si="448">AP191*(1+$K$191)</f>
        <v>65.892976694260895</v>
      </c>
      <c r="AR191" s="186">
        <f t="shared" ref="AR191" si="449">AQ191*(1+$K$191)</f>
        <v>69.187625528973939</v>
      </c>
      <c r="AS191" s="186">
        <f t="shared" ref="AS191" si="450">AR191*(1+$K$191)</f>
        <v>72.647006805422635</v>
      </c>
      <c r="AT191" s="186">
        <f t="shared" ref="AT191" si="451">AS191*(1+$K$191)</f>
        <v>76.279357145693766</v>
      </c>
    </row>
    <row r="192" spans="2:46" x14ac:dyDescent="0.2">
      <c r="B192" s="20" t="s">
        <v>396</v>
      </c>
      <c r="C192" s="20"/>
      <c r="D192" s="20"/>
      <c r="E192" s="23" t="s">
        <v>391</v>
      </c>
      <c r="F192" s="22"/>
      <c r="G192" s="191">
        <v>0</v>
      </c>
      <c r="H192" s="192">
        <f>Q173</f>
        <v>6.0576923076923075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Q171/Q54</f>
        <v>6.0576923076923075</v>
      </c>
      <c r="Q192" s="181">
        <f>Q171/Q54</f>
        <v>6.0576923076923075</v>
      </c>
      <c r="R192" s="20"/>
      <c r="S192" s="20"/>
      <c r="T192" s="186">
        <f>Q54*(1+$K$192)</f>
        <v>43.333333333333336</v>
      </c>
      <c r="U192" s="186">
        <f>T192*(1+$K$192)</f>
        <v>45.500000000000007</v>
      </c>
      <c r="V192" s="186">
        <f t="shared" ref="V192:AC192" si="452">U192*(1+$K$192)</f>
        <v>47.775000000000013</v>
      </c>
      <c r="W192" s="186">
        <f t="shared" si="452"/>
        <v>50.163750000000014</v>
      </c>
      <c r="X192" s="186">
        <f t="shared" si="452"/>
        <v>52.67193750000002</v>
      </c>
      <c r="Y192" s="186">
        <f t="shared" si="452"/>
        <v>55.305534375000022</v>
      </c>
      <c r="Z192" s="186">
        <f t="shared" si="452"/>
        <v>58.070811093750024</v>
      </c>
      <c r="AA192" s="186">
        <f t="shared" si="452"/>
        <v>60.974351648437526</v>
      </c>
      <c r="AB192" s="186">
        <f t="shared" si="452"/>
        <v>64.023069230859406</v>
      </c>
      <c r="AC192" s="186">
        <f t="shared" si="452"/>
        <v>67.224222692402378</v>
      </c>
      <c r="AD192" s="186">
        <f t="shared" ref="AD192" si="453">AC192*(1+$K$192)</f>
        <v>70.585433827022499</v>
      </c>
      <c r="AE192" s="186">
        <f t="shared" ref="AE192" si="454">AD192*(1+$K$192)</f>
        <v>74.114705518373626</v>
      </c>
      <c r="AF192" s="186">
        <f t="shared" ref="AF192" si="455">AE192*(1+$K$192)</f>
        <v>77.82044079429231</v>
      </c>
      <c r="AG192" s="186">
        <f t="shared" ref="AG192" si="456">AF192*(1+$K$192)</f>
        <v>81.711462834006923</v>
      </c>
      <c r="AH192" s="186">
        <f t="shared" ref="AH192" si="457">AG192*(1+$K$192)</f>
        <v>85.797035975707274</v>
      </c>
      <c r="AI192" s="186">
        <f t="shared" ref="AI192" si="458">AH192*(1+$K$192)</f>
        <v>90.086887774492638</v>
      </c>
      <c r="AJ192" s="186">
        <f t="shared" ref="AJ192" si="459">AI192*(1+$K$192)</f>
        <v>94.591232163217271</v>
      </c>
      <c r="AK192" s="186">
        <f t="shared" ref="AK192" si="460">AJ192*(1+$K$192)</f>
        <v>99.320793771378135</v>
      </c>
      <c r="AL192" s="186">
        <f t="shared" ref="AL192" si="461">AK192*(1+$K$192)</f>
        <v>104.28683345994705</v>
      </c>
      <c r="AM192" s="186">
        <f t="shared" ref="AM192" si="462">AL192*(1+$K$192)</f>
        <v>109.50117513294441</v>
      </c>
      <c r="AN192" s="186">
        <f t="shared" ref="AN192" si="463">AM192*(1+$K$192)</f>
        <v>114.97623388959164</v>
      </c>
      <c r="AO192" s="186">
        <f t="shared" ref="AO192" si="464">AN192*(1+$K$192)</f>
        <v>120.72504558407122</v>
      </c>
      <c r="AP192" s="186">
        <f t="shared" ref="AP192" si="465">AO192*(1+$K$192)</f>
        <v>126.76129786327479</v>
      </c>
      <c r="AQ192" s="186">
        <f t="shared" ref="AQ192" si="466">AP192*(1+$K$192)</f>
        <v>133.09936275643852</v>
      </c>
      <c r="AR192" s="186">
        <f t="shared" ref="AR192" si="467">AQ192*(1+$K$192)</f>
        <v>139.75433089426045</v>
      </c>
      <c r="AS192" s="186">
        <f t="shared" ref="AS192" si="468">AR192*(1+$K$192)</f>
        <v>146.74204743897349</v>
      </c>
      <c r="AT192" s="186">
        <f t="shared" ref="AT192" si="469">AS192*(1+$K$192)</f>
        <v>154.07914981092216</v>
      </c>
    </row>
    <row r="193" spans="2:46" x14ac:dyDescent="0.2">
      <c r="B193" s="20"/>
      <c r="C193" s="20"/>
      <c r="D193" s="20"/>
      <c r="E193" s="23" t="s">
        <v>455</v>
      </c>
      <c r="F193" s="22"/>
      <c r="G193" s="191">
        <v>0</v>
      </c>
      <c r="H193" s="192"/>
      <c r="I193" s="191">
        <v>0.05</v>
      </c>
      <c r="J193" s="190"/>
      <c r="K193" s="190"/>
      <c r="L193" s="191">
        <v>0.12</v>
      </c>
      <c r="M193" s="190"/>
      <c r="N193" s="191">
        <v>0.2</v>
      </c>
      <c r="O193" s="20"/>
      <c r="P193" s="20"/>
      <c r="Q193" s="20"/>
      <c r="R193" s="20"/>
      <c r="S193" s="20"/>
      <c r="T193" s="129">
        <f>Q171-T192</f>
        <v>206.66666666666666</v>
      </c>
      <c r="U193" s="185">
        <f>T193-U192</f>
        <v>161.16666666666666</v>
      </c>
      <c r="V193" s="185">
        <f t="shared" ref="V193:AA193" si="470">U193-V192</f>
        <v>113.39166666666665</v>
      </c>
      <c r="W193" s="185">
        <f t="shared" si="470"/>
        <v>63.227916666666637</v>
      </c>
      <c r="X193" s="185">
        <f t="shared" si="470"/>
        <v>10.555979166666617</v>
      </c>
      <c r="Y193" s="185">
        <f t="shared" si="470"/>
        <v>-44.749555208333405</v>
      </c>
      <c r="Z193" s="185">
        <f t="shared" si="470"/>
        <v>-102.82036630208343</v>
      </c>
      <c r="AA193" s="185">
        <f t="shared" si="470"/>
        <v>-163.79471795052095</v>
      </c>
      <c r="AB193" s="185">
        <f>AA193-AB192</f>
        <v>-227.81778718138037</v>
      </c>
      <c r="AC193" s="185">
        <f t="shared" ref="AC193" si="471">AB193-AC192</f>
        <v>-295.04200987378272</v>
      </c>
      <c r="AD193" s="185">
        <f t="shared" ref="AD193" si="472">AC193-AD192</f>
        <v>-365.6274437008052</v>
      </c>
      <c r="AE193" s="185">
        <f t="shared" ref="AE193" si="473">AD193-AE192</f>
        <v>-439.74214921917883</v>
      </c>
      <c r="AF193" s="185">
        <f t="shared" ref="AF193" si="474">AE193-AF192</f>
        <v>-517.56259001347109</v>
      </c>
      <c r="AG193" s="185">
        <f t="shared" ref="AG193" si="475">AF193-AG192</f>
        <v>-599.27405284747806</v>
      </c>
      <c r="AH193" s="185">
        <f t="shared" ref="AH193" si="476">AG193-AH192</f>
        <v>-685.07108882318539</v>
      </c>
      <c r="AI193" s="185">
        <f t="shared" ref="AI193" si="477">AH193-AI192</f>
        <v>-775.15797659767804</v>
      </c>
      <c r="AJ193" s="185">
        <f t="shared" ref="AJ193" si="478">AI193-AJ192</f>
        <v>-869.74920876089527</v>
      </c>
      <c r="AK193" s="185">
        <f t="shared" ref="AK193" si="479">AJ193-AK192</f>
        <v>-969.07000253227341</v>
      </c>
      <c r="AL193" s="185">
        <f t="shared" ref="AL193" si="480">AK193-AL192</f>
        <v>-1073.3568359922206</v>
      </c>
      <c r="AM193" s="185">
        <f t="shared" ref="AM193" si="481">AL193-AM192</f>
        <v>-1182.8580111251649</v>
      </c>
      <c r="AN193" s="185">
        <f t="shared" ref="AN193" si="482">AM193-AN192</f>
        <v>-1297.8342450147566</v>
      </c>
      <c r="AO193" s="185">
        <f t="shared" ref="AO193" si="483">AN193-AO192</f>
        <v>-1418.5592905988278</v>
      </c>
      <c r="AP193" s="185">
        <f t="shared" ref="AP193" si="484">AO193-AP192</f>
        <v>-1545.3205884621027</v>
      </c>
      <c r="AQ193" s="185">
        <f t="shared" ref="AQ193" si="485">AP193-AQ192</f>
        <v>-1678.4199512185412</v>
      </c>
      <c r="AR193" s="185">
        <f t="shared" ref="AR193" si="486">AQ193-AR192</f>
        <v>-1818.1742821128016</v>
      </c>
      <c r="AS193" s="185">
        <f t="shared" ref="AS193" si="487">AR193-AS192</f>
        <v>-1964.9163295517751</v>
      </c>
      <c r="AT193" s="185">
        <f t="shared" ref="AT193" si="488">AS193-AT192</f>
        <v>-2118.9954793626971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>
        <f t="shared" si="489"/>
        <v>0.66666666666666663</v>
      </c>
      <c r="H195" s="25">
        <f t="shared" si="489"/>
        <v>0.56521739130434778</v>
      </c>
      <c r="I195" s="25">
        <f t="shared" si="489"/>
        <v>0.7142857142857143</v>
      </c>
      <c r="J195" s="25">
        <f t="shared" si="489"/>
        <v>0.625</v>
      </c>
      <c r="K195" s="25">
        <f t="shared" si="489"/>
        <v>0.67241379310344829</v>
      </c>
      <c r="L195" s="25">
        <f t="shared" si="489"/>
        <v>0.52857142857142858</v>
      </c>
      <c r="M195" s="25">
        <f t="shared" si="489"/>
        <v>0.30681818181818182</v>
      </c>
      <c r="N195" s="25">
        <f t="shared" si="489"/>
        <v>0.34234234234234234</v>
      </c>
      <c r="O195" s="25">
        <f t="shared" si="489"/>
        <v>0.29496402877697842</v>
      </c>
      <c r="P195" s="25">
        <f t="shared" si="489"/>
        <v>0.30726256983240224</v>
      </c>
      <c r="Q195" s="25">
        <f t="shared" ref="Q195" si="490">Q10/Q7</f>
        <v>0.1875</v>
      </c>
      <c r="R195" s="118">
        <f t="shared" ref="R195:R197" si="491">((P195/G195)^(1/($H$2-$H$1) ))-1</f>
        <v>-8.2465666611551858E-2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7</v>
      </c>
      <c r="H196" s="112">
        <f t="shared" ref="H196:P196" si="492">H10/H12</f>
        <v>4.333333333333333</v>
      </c>
      <c r="I196" s="112">
        <f t="shared" si="492"/>
        <v>6.666666666666667</v>
      </c>
      <c r="J196" s="112">
        <f t="shared" si="492"/>
        <v>2.7272727272727271</v>
      </c>
      <c r="K196" s="112">
        <f t="shared" si="492"/>
        <v>3.5454545454545454</v>
      </c>
      <c r="L196" s="112">
        <f t="shared" si="492"/>
        <v>1.7619047619047619</v>
      </c>
      <c r="M196" s="112">
        <f t="shared" si="492"/>
        <v>0.81818181818181823</v>
      </c>
      <c r="N196" s="112">
        <f t="shared" si="492"/>
        <v>1.0555555555555556</v>
      </c>
      <c r="O196" s="112">
        <f t="shared" si="492"/>
        <v>1.3225806451612903</v>
      </c>
      <c r="P196" s="112">
        <f t="shared" si="492"/>
        <v>1.375</v>
      </c>
      <c r="Q196" s="112">
        <f t="shared" ref="Q196" si="493">Q10/Q12</f>
        <v>1.3548387096774193</v>
      </c>
      <c r="R196" s="118">
        <f t="shared" si="491"/>
        <v>-0.16542151575838204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6.965174129353235</v>
      </c>
      <c r="H197" s="25">
        <f t="shared" ref="H197:P197" si="494">H10/(H12+H13)</f>
        <v>4.333333333333333</v>
      </c>
      <c r="I197" s="25">
        <f t="shared" si="494"/>
        <v>6.666666666666667</v>
      </c>
      <c r="J197" s="25">
        <f t="shared" si="494"/>
        <v>2.7272727272727271</v>
      </c>
      <c r="K197" s="25">
        <f t="shared" si="494"/>
        <v>3.5454545454545454</v>
      </c>
      <c r="L197" s="25">
        <f t="shared" si="494"/>
        <v>1.7619047619047619</v>
      </c>
      <c r="M197" s="25">
        <f t="shared" si="494"/>
        <v>0.81818181818181823</v>
      </c>
      <c r="N197" s="25">
        <f t="shared" si="494"/>
        <v>0.86363636363636365</v>
      </c>
      <c r="O197" s="25">
        <f t="shared" si="494"/>
        <v>1.28125</v>
      </c>
      <c r="P197" s="25">
        <f t="shared" si="494"/>
        <v>1.3414634146341464</v>
      </c>
      <c r="Q197" s="25">
        <f t="shared" ref="Q197" si="495">Q10/(Q12+Q13)</f>
        <v>0.97674418604651159</v>
      </c>
      <c r="R197" s="118">
        <f t="shared" si="491"/>
        <v>-0.16724678667441983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3" t="s">
        <v>337</v>
      </c>
      <c r="M200" s="204"/>
      <c r="N200" s="205"/>
      <c r="O200" s="23" t="s">
        <v>340</v>
      </c>
      <c r="P200" s="20"/>
      <c r="Q200" s="137"/>
      <c r="R200" s="203" t="s">
        <v>338</v>
      </c>
      <c r="S200" s="204"/>
      <c r="T200" s="205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15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7000</v>
      </c>
      <c r="J202" s="177">
        <f>I202+D203</f>
        <v>14000</v>
      </c>
      <c r="K202" s="20"/>
      <c r="L202" s="167" t="s">
        <v>341</v>
      </c>
      <c r="M202" s="167"/>
      <c r="N202" s="21">
        <v>7</v>
      </c>
      <c r="O202" s="173">
        <f>N202</f>
        <v>7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7000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14000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105000</v>
      </c>
      <c r="E204" s="176" t="s">
        <v>398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14000</v>
      </c>
      <c r="K204" s="20"/>
      <c r="L204" s="167" t="s">
        <v>343</v>
      </c>
      <c r="M204" s="167"/>
      <c r="N204" s="168">
        <f>N202*N203</f>
        <v>7</v>
      </c>
      <c r="O204" s="173">
        <f>N204</f>
        <v>7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140000</v>
      </c>
      <c r="J205" s="167">
        <f>I205</f>
        <v>140000</v>
      </c>
      <c r="K205" s="20"/>
      <c r="L205" s="167" t="s">
        <v>345</v>
      </c>
      <c r="M205" s="167"/>
      <c r="N205" s="21">
        <v>1200</v>
      </c>
      <c r="O205" s="21">
        <v>1450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1200</v>
      </c>
      <c r="E206" s="176"/>
      <c r="F206" s="167"/>
      <c r="G206" s="167"/>
      <c r="H206" s="169" t="s">
        <v>387</v>
      </c>
      <c r="I206" s="167"/>
      <c r="J206" s="167">
        <f>J205</f>
        <v>140000</v>
      </c>
      <c r="K206" s="20"/>
      <c r="L206" s="167" t="s">
        <v>346</v>
      </c>
      <c r="M206" s="167"/>
      <c r="N206" s="168">
        <f>N205*N203</f>
        <v>1200</v>
      </c>
      <c r="O206" s="168">
        <f>O205*O203</f>
        <v>1450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14000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35000</v>
      </c>
      <c r="J207" s="177">
        <f>I207</f>
        <v>35000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16800000</v>
      </c>
      <c r="E208" s="167"/>
      <c r="F208" s="167"/>
      <c r="G208" s="167"/>
      <c r="H208" s="169" t="s">
        <v>387</v>
      </c>
      <c r="I208" s="167"/>
      <c r="J208" s="167">
        <f>J207</f>
        <v>35000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175000</v>
      </c>
      <c r="J209" s="167">
        <f>I209</f>
        <v>175000</v>
      </c>
      <c r="K209" s="20"/>
      <c r="L209" s="169" t="s">
        <v>347</v>
      </c>
      <c r="M209" s="169"/>
      <c r="N209" s="170">
        <f>N206/N204</f>
        <v>171.42857142857142</v>
      </c>
      <c r="O209" s="170">
        <f>O206/O204</f>
        <v>207.14285714285714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160</v>
      </c>
      <c r="E210" s="176"/>
      <c r="F210" s="167"/>
      <c r="G210" s="167"/>
      <c r="H210" s="169" t="s">
        <v>387</v>
      </c>
      <c r="I210" s="167"/>
      <c r="J210" s="167">
        <f>J209</f>
        <v>175000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6" t="s">
        <v>27</v>
      </c>
      <c r="E213" s="197"/>
      <c r="F213" s="197"/>
      <c r="G213" s="198"/>
      <c r="H213" s="20"/>
      <c r="I213" s="196" t="s">
        <v>393</v>
      </c>
      <c r="J213" s="197"/>
      <c r="K213" s="198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105000</v>
      </c>
      <c r="H214" s="20"/>
      <c r="I214" s="20" t="s">
        <v>28</v>
      </c>
      <c r="J214" s="127"/>
      <c r="K214" s="21">
        <f>G214</f>
        <v>105000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16800000</v>
      </c>
      <c r="H215" s="20"/>
      <c r="I215" s="20" t="s">
        <v>29</v>
      </c>
      <c r="J215" s="20"/>
      <c r="K215" s="21">
        <f>G215</f>
        <v>16800000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10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0.66116203993542699</v>
      </c>
      <c r="H217" s="20"/>
      <c r="I217" s="23" t="s">
        <v>394</v>
      </c>
      <c r="J217" s="23"/>
      <c r="K217" s="195">
        <f>(K215-K214)/K214</f>
        <v>159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120</v>
      </c>
      <c r="H218" s="20"/>
      <c r="I218" s="23" t="s">
        <v>395</v>
      </c>
      <c r="J218" s="23"/>
      <c r="K218" s="23">
        <f>K215/K214</f>
        <v>160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10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0.66116203993542699</v>
      </c>
      <c r="H220" s="20"/>
      <c r="I220" s="20" t="s">
        <v>457</v>
      </c>
      <c r="J220" s="20"/>
      <c r="K220" s="135">
        <f>K215/10000000</f>
        <v>1.68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8" t="s">
        <v>27</v>
      </c>
      <c r="K5" s="208"/>
      <c r="M5" s="208" t="s">
        <v>65</v>
      </c>
      <c r="N5" s="208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8" t="s">
        <v>36</v>
      </c>
      <c r="K14" s="208"/>
      <c r="L14" s="208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8" t="s">
        <v>27</v>
      </c>
      <c r="S5" s="208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8" t="s">
        <v>36</v>
      </c>
      <c r="S14" s="208"/>
      <c r="T14" s="208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8" t="s">
        <v>27</v>
      </c>
      <c r="C2" s="208"/>
      <c r="E2" s="208" t="s">
        <v>65</v>
      </c>
      <c r="F2" s="208"/>
      <c r="H2" s="212" t="s">
        <v>36</v>
      </c>
      <c r="I2" s="213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9" t="s">
        <v>68</v>
      </c>
      <c r="E10" s="210"/>
      <c r="F10" s="210"/>
      <c r="G10" s="210"/>
      <c r="H10" s="211"/>
      <c r="I10" s="209" t="s">
        <v>72</v>
      </c>
      <c r="J10" s="210"/>
      <c r="K10" s="210"/>
      <c r="L10" s="211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C26" sqref="C26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4" t="s">
        <v>432</v>
      </c>
      <c r="C3" s="215"/>
      <c r="F3" s="214" t="s">
        <v>433</v>
      </c>
      <c r="G3" s="215"/>
    </row>
    <row r="4" spans="2:7" x14ac:dyDescent="0.2">
      <c r="B4" s="188" t="s">
        <v>434</v>
      </c>
      <c r="C4" s="188"/>
      <c r="F4" s="188" t="s">
        <v>435</v>
      </c>
      <c r="G4" s="188"/>
    </row>
    <row r="5" spans="2:7" x14ac:dyDescent="0.2">
      <c r="B5" s="188" t="s">
        <v>436</v>
      </c>
      <c r="C5" s="188"/>
      <c r="F5" s="188" t="s">
        <v>292</v>
      </c>
      <c r="G5" s="188"/>
    </row>
    <row r="6" spans="2:7" x14ac:dyDescent="0.2">
      <c r="B6" s="188" t="s">
        <v>437</v>
      </c>
      <c r="C6" s="188"/>
      <c r="F6" s="188" t="s">
        <v>438</v>
      </c>
      <c r="G6" s="188"/>
    </row>
    <row r="7" spans="2:7" x14ac:dyDescent="0.2">
      <c r="B7" s="188" t="s">
        <v>439</v>
      </c>
      <c r="C7" s="188"/>
      <c r="F7" s="188" t="s">
        <v>440</v>
      </c>
      <c r="G7" s="188"/>
    </row>
    <row r="8" spans="2:7" x14ac:dyDescent="0.2">
      <c r="B8" s="188" t="s">
        <v>441</v>
      </c>
      <c r="C8" s="188"/>
      <c r="F8" s="188" t="s">
        <v>442</v>
      </c>
      <c r="G8" s="188"/>
    </row>
    <row r="9" spans="2:7" x14ac:dyDescent="0.2">
      <c r="B9" s="188" t="s">
        <v>443</v>
      </c>
      <c r="C9" s="188"/>
      <c r="F9" s="188" t="s">
        <v>444</v>
      </c>
      <c r="G9" s="188"/>
    </row>
    <row r="10" spans="2:7" x14ac:dyDescent="0.2">
      <c r="B10" s="188" t="s">
        <v>442</v>
      </c>
      <c r="C10" s="188"/>
      <c r="F10" s="188"/>
      <c r="G10" s="188"/>
    </row>
    <row r="11" spans="2:7" x14ac:dyDescent="0.2">
      <c r="B11" s="188" t="s">
        <v>445</v>
      </c>
      <c r="C11" s="188"/>
      <c r="F11" s="188"/>
      <c r="G11" s="188"/>
    </row>
    <row r="12" spans="2:7" x14ac:dyDescent="0.2">
      <c r="B12" s="188" t="s">
        <v>446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2014-07-29T16:08:47Z</dcterms:modified>
</cp:coreProperties>
</file>
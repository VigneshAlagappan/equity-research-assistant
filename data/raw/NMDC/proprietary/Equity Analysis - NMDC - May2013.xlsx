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5621"/>
</workbook>
</file>

<file path=xl/calcChain.xml><?xml version="1.0" encoding="utf-8"?>
<calcChain xmlns="http://schemas.openxmlformats.org/spreadsheetml/2006/main">
  <c r="P75" i="18" l="1"/>
  <c r="P15" i="18" l="1"/>
  <c r="P24" i="18"/>
  <c r="Q27" i="18" l="1"/>
  <c r="Q29" i="18"/>
  <c r="I60" i="18" l="1"/>
  <c r="J60" i="18"/>
  <c r="K60" i="18"/>
  <c r="L60" i="18"/>
  <c r="M60" i="18"/>
  <c r="N60" i="18"/>
  <c r="O60" i="18"/>
  <c r="P60" i="18"/>
  <c r="I61" i="18"/>
  <c r="J61" i="18"/>
  <c r="K61" i="18"/>
  <c r="L61" i="18"/>
  <c r="M61" i="18"/>
  <c r="N61" i="18"/>
  <c r="O61" i="18"/>
  <c r="P61" i="18"/>
  <c r="I55" i="18"/>
  <c r="I57" i="18" s="1"/>
  <c r="J55" i="18"/>
  <c r="K55" i="18"/>
  <c r="K57" i="18" s="1"/>
  <c r="L55" i="18"/>
  <c r="L57" i="18" s="1"/>
  <c r="M55" i="18"/>
  <c r="M57" i="18" s="1"/>
  <c r="N55" i="18"/>
  <c r="N57" i="18" s="1"/>
  <c r="O55" i="18"/>
  <c r="O57" i="18" s="1"/>
  <c r="P55" i="18"/>
  <c r="P57" i="18" s="1"/>
  <c r="J57" i="18"/>
  <c r="I58" i="18"/>
  <c r="J58" i="18"/>
  <c r="K58" i="18"/>
  <c r="L58" i="18"/>
  <c r="M58" i="18"/>
  <c r="N58" i="18"/>
  <c r="O58" i="18"/>
  <c r="P58" i="18"/>
  <c r="I59" i="18"/>
  <c r="J59" i="18"/>
  <c r="K59" i="18"/>
  <c r="L59" i="18"/>
  <c r="M59" i="18"/>
  <c r="N59" i="18"/>
  <c r="O59" i="18"/>
  <c r="P59" i="18"/>
  <c r="C58" i="18"/>
  <c r="D58" i="18"/>
  <c r="E58" i="18"/>
  <c r="F58" i="18"/>
  <c r="G58" i="18"/>
  <c r="C59" i="18"/>
  <c r="D59" i="18"/>
  <c r="E59" i="18"/>
  <c r="F59" i="18"/>
  <c r="G59" i="18"/>
  <c r="C60" i="18"/>
  <c r="D60" i="18"/>
  <c r="E60" i="18"/>
  <c r="F60" i="18"/>
  <c r="G60" i="18"/>
  <c r="C61" i="18"/>
  <c r="D61" i="18"/>
  <c r="E61" i="18"/>
  <c r="F61" i="18"/>
  <c r="G61" i="18"/>
  <c r="H61" i="18"/>
  <c r="H60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S20" i="18"/>
  <c r="Q19" i="18"/>
  <c r="C55" i="18"/>
  <c r="C57" i="18" s="1"/>
  <c r="D55" i="18"/>
  <c r="D57" i="18" s="1"/>
  <c r="E55" i="18"/>
  <c r="E57" i="18" s="1"/>
  <c r="F55" i="18"/>
  <c r="F57" i="18" s="1"/>
  <c r="G55" i="18"/>
  <c r="G57" i="18" s="1"/>
  <c r="H55" i="18"/>
  <c r="H57" i="18" s="1"/>
  <c r="H59" i="18"/>
  <c r="H58" i="18"/>
  <c r="Q58" i="18" l="1"/>
  <c r="Q57" i="18"/>
  <c r="Q59" i="18"/>
  <c r="Q61" i="18"/>
  <c r="Q60" i="18"/>
  <c r="AC22" i="18"/>
  <c r="AE22" i="18" s="1"/>
  <c r="Q21" i="18"/>
  <c r="Q20" i="18"/>
  <c r="Q55" i="18"/>
  <c r="S19" i="18"/>
  <c r="T19" i="18" s="1"/>
  <c r="T20" i="18"/>
  <c r="AE21" i="18"/>
  <c r="S53" i="18"/>
  <c r="T53" i="18" s="1"/>
  <c r="U53" i="18" s="1"/>
  <c r="V53" i="18" s="1"/>
  <c r="W53" i="18" s="1"/>
  <c r="X53" i="18" s="1"/>
  <c r="Y53" i="18" s="1"/>
  <c r="Z53" i="18" s="1"/>
  <c r="AA53" i="18" s="1"/>
  <c r="AB53" i="18" s="1"/>
  <c r="S93" i="18" s="1"/>
  <c r="Q53" i="18"/>
  <c r="Q105" i="18"/>
  <c r="U19" i="18" l="1"/>
  <c r="V19" i="18" s="1"/>
  <c r="W19" i="18" s="1"/>
  <c r="X19" i="18" s="1"/>
  <c r="Y19" i="18" s="1"/>
  <c r="Z19" i="18" s="1"/>
  <c r="AA19" i="18" s="1"/>
  <c r="AB19" i="18" s="1"/>
  <c r="AC19" i="18" s="1"/>
  <c r="AE19" i="18" s="1"/>
  <c r="T55" i="18"/>
  <c r="S55" i="18"/>
  <c r="U20" i="18"/>
  <c r="AC53" i="18"/>
  <c r="AE53" i="18" s="1"/>
  <c r="T93" i="18" s="1"/>
  <c r="R93" i="18" s="1"/>
  <c r="P113" i="18" s="1"/>
  <c r="C18" i="15"/>
  <c r="S10" i="18"/>
  <c r="T10" i="18" s="1"/>
  <c r="U10" i="18" s="1"/>
  <c r="V10" i="18" s="1"/>
  <c r="W10" i="18" s="1"/>
  <c r="X10" i="18" s="1"/>
  <c r="Y10" i="18" s="1"/>
  <c r="Z10" i="18" s="1"/>
  <c r="AA10" i="18" s="1"/>
  <c r="AB10" i="18" s="1"/>
  <c r="Q66" i="18"/>
  <c r="Q67" i="18"/>
  <c r="Q68" i="18"/>
  <c r="Q69" i="18"/>
  <c r="Q70" i="18"/>
  <c r="Q71" i="18"/>
  <c r="Q65" i="18"/>
  <c r="Q35" i="18"/>
  <c r="Q33" i="18"/>
  <c r="Q31" i="18"/>
  <c r="Q28" i="18"/>
  <c r="Q25" i="18"/>
  <c r="Q24" i="18"/>
  <c r="Q17" i="18"/>
  <c r="Q15" i="18"/>
  <c r="Q14" i="18"/>
  <c r="Q13" i="18"/>
  <c r="Q12" i="18"/>
  <c r="Q11" i="18"/>
  <c r="Q10" i="18"/>
  <c r="Q8" i="18"/>
  <c r="Q7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T24" i="18" s="1"/>
  <c r="U24" i="18" s="1"/>
  <c r="V24" i="18" s="1"/>
  <c r="W24" i="18" s="1"/>
  <c r="X24" i="18" s="1"/>
  <c r="Y24" i="18" s="1"/>
  <c r="Z24" i="18" s="1"/>
  <c r="AA24" i="18" s="1"/>
  <c r="AB24" i="18" s="1"/>
  <c r="S25" i="18"/>
  <c r="T25" i="18" s="1"/>
  <c r="U25" i="18" s="1"/>
  <c r="V25" i="18" s="1"/>
  <c r="W25" i="18" s="1"/>
  <c r="X25" i="18" s="1"/>
  <c r="Y25" i="18" s="1"/>
  <c r="Z25" i="18" s="1"/>
  <c r="AA25" i="18" s="1"/>
  <c r="AB25" i="18" s="1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O51" i="18"/>
  <c r="O109" i="18" s="1"/>
  <c r="O50" i="18"/>
  <c r="O48" i="18"/>
  <c r="O47" i="18"/>
  <c r="O45" i="18"/>
  <c r="O110" i="18" s="1"/>
  <c r="O44" i="18"/>
  <c r="O43" i="18"/>
  <c r="O41" i="18"/>
  <c r="O40" i="18"/>
  <c r="O107" i="18" s="1"/>
  <c r="O39" i="18"/>
  <c r="O38" i="18"/>
  <c r="O106" i="18" s="1"/>
  <c r="V20" i="18" l="1"/>
  <c r="U55" i="18"/>
  <c r="AC31" i="18"/>
  <c r="AE31" i="18" s="1"/>
  <c r="AC24" i="18"/>
  <c r="AE24" i="18" s="1"/>
  <c r="AC25" i="18"/>
  <c r="AE25" i="18" s="1"/>
  <c r="AC28" i="18"/>
  <c r="AE28" i="18" s="1"/>
  <c r="AC29" i="18"/>
  <c r="AE29" i="18" s="1"/>
  <c r="AC17" i="18"/>
  <c r="AE17" i="18" s="1"/>
  <c r="AC10" i="18"/>
  <c r="AE10" i="18" s="1"/>
  <c r="O49" i="18"/>
  <c r="O108" i="18" s="1"/>
  <c r="D45" i="18"/>
  <c r="E45" i="18"/>
  <c r="F45" i="18"/>
  <c r="G45" i="18"/>
  <c r="G110" i="18" s="1"/>
  <c r="H45" i="18"/>
  <c r="H110" i="18" s="1"/>
  <c r="I45" i="18"/>
  <c r="I110" i="18" s="1"/>
  <c r="J45" i="18"/>
  <c r="J110" i="18" s="1"/>
  <c r="K45" i="18"/>
  <c r="K110" i="18" s="1"/>
  <c r="L45" i="18"/>
  <c r="L110" i="18" s="1"/>
  <c r="M45" i="18"/>
  <c r="M110" i="18" s="1"/>
  <c r="N45" i="18"/>
  <c r="N110" i="18" s="1"/>
  <c r="P45" i="18"/>
  <c r="C45" i="18"/>
  <c r="C44" i="18"/>
  <c r="W20" i="18" l="1"/>
  <c r="V55" i="18"/>
  <c r="S45" i="18"/>
  <c r="T45" i="18" s="1"/>
  <c r="P110" i="18"/>
  <c r="Q110" i="18" s="1"/>
  <c r="Q45" i="18"/>
  <c r="D44" i="18"/>
  <c r="E44" i="18"/>
  <c r="F44" i="18"/>
  <c r="G44" i="18"/>
  <c r="H44" i="18"/>
  <c r="I44" i="18"/>
  <c r="J44" i="18"/>
  <c r="K44" i="18"/>
  <c r="L44" i="18"/>
  <c r="M44" i="18"/>
  <c r="N44" i="18"/>
  <c r="P44" i="18"/>
  <c r="S44" i="18" s="1"/>
  <c r="T44" i="18" s="1"/>
  <c r="U44" i="18" s="1"/>
  <c r="V44" i="18" s="1"/>
  <c r="W44" i="18" s="1"/>
  <c r="X44" i="18" s="1"/>
  <c r="Y44" i="18" s="1"/>
  <c r="Z44" i="18" s="1"/>
  <c r="AA44" i="18" s="1"/>
  <c r="AB44" i="18" s="1"/>
  <c r="D43" i="18"/>
  <c r="E43" i="18"/>
  <c r="F43" i="18"/>
  <c r="G43" i="18"/>
  <c r="H43" i="18"/>
  <c r="I43" i="18"/>
  <c r="J43" i="18"/>
  <c r="K43" i="18"/>
  <c r="L43" i="18"/>
  <c r="M43" i="18"/>
  <c r="N43" i="18"/>
  <c r="P43" i="18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C43" i="18"/>
  <c r="X20" i="18" l="1"/>
  <c r="W55" i="18"/>
  <c r="U45" i="18"/>
  <c r="AC43" i="18"/>
  <c r="AE43" i="18" s="1"/>
  <c r="T82" i="18" s="1"/>
  <c r="Q43" i="18"/>
  <c r="AC44" i="18"/>
  <c r="AE44" i="18" s="1"/>
  <c r="T83" i="18" s="1"/>
  <c r="Q44" i="18"/>
  <c r="S83" i="18"/>
  <c r="S82" i="18"/>
  <c r="C45" i="15"/>
  <c r="Y20" i="18" l="1"/>
  <c r="X55" i="18"/>
  <c r="R82" i="18"/>
  <c r="V45" i="18"/>
  <c r="S69" i="18"/>
  <c r="T69" i="18" s="1"/>
  <c r="U69" i="18" s="1"/>
  <c r="V69" i="18" s="1"/>
  <c r="W69" i="18" s="1"/>
  <c r="X69" i="18" s="1"/>
  <c r="Y69" i="18" s="1"/>
  <c r="Z69" i="18" s="1"/>
  <c r="AA69" i="18" s="1"/>
  <c r="AB69" i="18" s="1"/>
  <c r="S105" i="18"/>
  <c r="C38" i="18"/>
  <c r="C106" i="18" s="1"/>
  <c r="C110" i="18" s="1"/>
  <c r="D38" i="18"/>
  <c r="D106" i="18" s="1"/>
  <c r="D110" i="18" s="1"/>
  <c r="E38" i="18"/>
  <c r="E106" i="18" s="1"/>
  <c r="E110" i="18" s="1"/>
  <c r="F38" i="18"/>
  <c r="F106" i="18" s="1"/>
  <c r="F110" i="18" s="1"/>
  <c r="G38" i="18"/>
  <c r="H38" i="18"/>
  <c r="H106" i="18" s="1"/>
  <c r="I38" i="18"/>
  <c r="I106" i="18" s="1"/>
  <c r="J38" i="18"/>
  <c r="J106" i="18" s="1"/>
  <c r="K38" i="18"/>
  <c r="K106" i="18" s="1"/>
  <c r="L38" i="18"/>
  <c r="M38" i="18"/>
  <c r="M106" i="18" s="1"/>
  <c r="N38" i="18"/>
  <c r="P38" i="18"/>
  <c r="D51" i="18"/>
  <c r="D109" i="18" s="1"/>
  <c r="E51" i="18"/>
  <c r="E109" i="18" s="1"/>
  <c r="F51" i="18"/>
  <c r="F109" i="18" s="1"/>
  <c r="G51" i="18"/>
  <c r="H51" i="18"/>
  <c r="H109" i="18" s="1"/>
  <c r="I51" i="18"/>
  <c r="I109" i="18" s="1"/>
  <c r="J51" i="18"/>
  <c r="J109" i="18" s="1"/>
  <c r="K51" i="18"/>
  <c r="K109" i="18" s="1"/>
  <c r="L51" i="18"/>
  <c r="L109" i="18" s="1"/>
  <c r="M51" i="18"/>
  <c r="M109" i="18" s="1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49" i="18" s="1"/>
  <c r="D108" i="18" s="1"/>
  <c r="E47" i="18"/>
  <c r="E49" i="18" s="1"/>
  <c r="E108" i="18" s="1"/>
  <c r="F47" i="18"/>
  <c r="F49" i="18" s="1"/>
  <c r="F108" i="18" s="1"/>
  <c r="G47" i="18"/>
  <c r="H47" i="18"/>
  <c r="I47" i="18"/>
  <c r="J47" i="18"/>
  <c r="J49" i="18" s="1"/>
  <c r="J108" i="18" s="1"/>
  <c r="K47" i="18"/>
  <c r="L47" i="18"/>
  <c r="L49" i="18" s="1"/>
  <c r="L108" i="18" s="1"/>
  <c r="M47" i="18"/>
  <c r="N47" i="18"/>
  <c r="P47" i="18"/>
  <c r="D41" i="18"/>
  <c r="E41" i="18"/>
  <c r="F41" i="18"/>
  <c r="G41" i="18"/>
  <c r="H41" i="18"/>
  <c r="I41" i="18"/>
  <c r="J41" i="18"/>
  <c r="K41" i="18"/>
  <c r="L41" i="18"/>
  <c r="M41" i="18"/>
  <c r="N41" i="18"/>
  <c r="P41" i="18"/>
  <c r="D40" i="18"/>
  <c r="D107" i="18" s="1"/>
  <c r="E40" i="18"/>
  <c r="E107" i="18" s="1"/>
  <c r="F40" i="18"/>
  <c r="F107" i="18" s="1"/>
  <c r="G40" i="18"/>
  <c r="H40" i="18"/>
  <c r="H107" i="18" s="1"/>
  <c r="I40" i="18"/>
  <c r="I107" i="18" s="1"/>
  <c r="J40" i="18"/>
  <c r="J107" i="18" s="1"/>
  <c r="K40" i="18"/>
  <c r="K107" i="18" s="1"/>
  <c r="L40" i="18"/>
  <c r="L107" i="18" s="1"/>
  <c r="M40" i="18"/>
  <c r="M107" i="18" s="1"/>
  <c r="N40" i="18"/>
  <c r="P40" i="18"/>
  <c r="C51" i="18"/>
  <c r="C109" i="18" s="1"/>
  <c r="C50" i="18"/>
  <c r="C48" i="18"/>
  <c r="C47" i="18"/>
  <c r="C41" i="18"/>
  <c r="C40" i="18"/>
  <c r="C107" i="18" s="1"/>
  <c r="D39" i="18"/>
  <c r="E39" i="18"/>
  <c r="F39" i="18"/>
  <c r="G39" i="18"/>
  <c r="H39" i="18"/>
  <c r="I39" i="18"/>
  <c r="J39" i="18"/>
  <c r="K39" i="18"/>
  <c r="L39" i="18"/>
  <c r="M39" i="18"/>
  <c r="N39" i="18"/>
  <c r="P39" i="18"/>
  <c r="C39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S11" i="18"/>
  <c r="T11" i="18" s="1"/>
  <c r="U11" i="18" s="1"/>
  <c r="V11" i="18" s="1"/>
  <c r="W11" i="18" s="1"/>
  <c r="X11" i="18" s="1"/>
  <c r="Y11" i="18" s="1"/>
  <c r="Z11" i="18" s="1"/>
  <c r="AA11" i="18" s="1"/>
  <c r="AB11" i="18" s="1"/>
  <c r="S12" i="18"/>
  <c r="T12" i="18" s="1"/>
  <c r="U12" i="18" s="1"/>
  <c r="V12" i="18" s="1"/>
  <c r="W12" i="18" s="1"/>
  <c r="X12" i="18" s="1"/>
  <c r="Y12" i="18" s="1"/>
  <c r="Z12" i="18" s="1"/>
  <c r="AA12" i="18" s="1"/>
  <c r="AB12" i="18" s="1"/>
  <c r="S89" i="18" s="1"/>
  <c r="S90" i="18" s="1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S8" i="18"/>
  <c r="T8" i="18" s="1"/>
  <c r="U8" i="18" s="1"/>
  <c r="V8" i="18" s="1"/>
  <c r="W8" i="18" s="1"/>
  <c r="X8" i="18" s="1"/>
  <c r="Y8" i="18" s="1"/>
  <c r="Z8" i="18" s="1"/>
  <c r="AA8" i="18" s="1"/>
  <c r="AB8" i="18" s="1"/>
  <c r="S7" i="18"/>
  <c r="T7" i="18" s="1"/>
  <c r="U7" i="18" s="1"/>
  <c r="V7" i="18" s="1"/>
  <c r="W7" i="18" s="1"/>
  <c r="X7" i="18" s="1"/>
  <c r="Y7" i="18" s="1"/>
  <c r="Z7" i="18" s="1"/>
  <c r="AA7" i="18" s="1"/>
  <c r="AB7" i="18" s="1"/>
  <c r="H49" i="18" l="1"/>
  <c r="H108" i="18" s="1"/>
  <c r="K49" i="18"/>
  <c r="K108" i="18" s="1"/>
  <c r="Z20" i="18"/>
  <c r="Y55" i="18"/>
  <c r="AC7" i="18"/>
  <c r="AE7" i="18" s="1"/>
  <c r="AC12" i="18"/>
  <c r="AE12" i="18" s="1"/>
  <c r="T89" i="18" s="1"/>
  <c r="AC14" i="18"/>
  <c r="AE14" i="18" s="1"/>
  <c r="AC11" i="18"/>
  <c r="AE11" i="18" s="1"/>
  <c r="AC13" i="18"/>
  <c r="AE13" i="18" s="1"/>
  <c r="AC15" i="18"/>
  <c r="AE15" i="18" s="1"/>
  <c r="AC8" i="18"/>
  <c r="AE8" i="18" s="1"/>
  <c r="AC33" i="18"/>
  <c r="AE33" i="18" s="1"/>
  <c r="AC69" i="18"/>
  <c r="AE69" i="18" s="1"/>
  <c r="C49" i="18"/>
  <c r="C108" i="18" s="1"/>
  <c r="T105" i="18"/>
  <c r="S110" i="18"/>
  <c r="W45" i="18"/>
  <c r="P106" i="18"/>
  <c r="I49" i="18"/>
  <c r="I108" i="18" s="1"/>
  <c r="Q39" i="18"/>
  <c r="G107" i="18"/>
  <c r="Q40" i="18"/>
  <c r="Q41" i="18"/>
  <c r="Q48" i="18"/>
  <c r="Q50" i="18"/>
  <c r="G106" i="18"/>
  <c r="Q38" i="18"/>
  <c r="G109" i="18"/>
  <c r="Q51" i="18"/>
  <c r="G49" i="18"/>
  <c r="Q47" i="18"/>
  <c r="N107" i="18"/>
  <c r="N106" i="18"/>
  <c r="N109" i="18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S51" i="18"/>
  <c r="T51" i="18" s="1"/>
  <c r="U51" i="18" s="1"/>
  <c r="V51" i="18" s="1"/>
  <c r="W51" i="18" s="1"/>
  <c r="X51" i="18" s="1"/>
  <c r="Y51" i="18" s="1"/>
  <c r="Z51" i="18" s="1"/>
  <c r="AA51" i="18" s="1"/>
  <c r="AB51" i="18" s="1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P107" i="18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L106" i="18"/>
  <c r="N49" i="18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M49" i="18"/>
  <c r="M108" i="18" s="1"/>
  <c r="P109" i="18"/>
  <c r="P49" i="18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S71" i="18"/>
  <c r="T71" i="18" s="1"/>
  <c r="U71" i="18" s="1"/>
  <c r="V71" i="18" s="1"/>
  <c r="W71" i="18" s="1"/>
  <c r="X71" i="18" s="1"/>
  <c r="Y71" i="18" s="1"/>
  <c r="Z71" i="18" s="1"/>
  <c r="AA71" i="18" s="1"/>
  <c r="AB71" i="18" s="1"/>
  <c r="S35" i="18"/>
  <c r="S61" i="18" s="1"/>
  <c r="C6" i="12"/>
  <c r="C25" i="15"/>
  <c r="C57" i="15"/>
  <c r="C56" i="15"/>
  <c r="C53" i="15"/>
  <c r="C52" i="15"/>
  <c r="C49" i="15"/>
  <c r="C48" i="15"/>
  <c r="C44" i="15"/>
  <c r="R89" i="18" l="1"/>
  <c r="T90" i="18"/>
  <c r="R90" i="18" s="1"/>
  <c r="T35" i="18"/>
  <c r="T61" i="18" s="1"/>
  <c r="S58" i="18"/>
  <c r="S59" i="18"/>
  <c r="S60" i="18"/>
  <c r="S57" i="18"/>
  <c r="AA20" i="18"/>
  <c r="Z55" i="18"/>
  <c r="AC70" i="18"/>
  <c r="AE70" i="18" s="1"/>
  <c r="AC71" i="18"/>
  <c r="AE71" i="18" s="1"/>
  <c r="AC47" i="18"/>
  <c r="AE47" i="18" s="1"/>
  <c r="T80" i="18" s="1"/>
  <c r="AC50" i="18"/>
  <c r="AE50" i="18" s="1"/>
  <c r="T86" i="18" s="1"/>
  <c r="AC51" i="18"/>
  <c r="AE51" i="18" s="1"/>
  <c r="T87" i="18" s="1"/>
  <c r="AC41" i="18"/>
  <c r="AE41" i="18" s="1"/>
  <c r="T79" i="18" s="1"/>
  <c r="AC48" i="18"/>
  <c r="AE48" i="18" s="1"/>
  <c r="S109" i="18"/>
  <c r="U105" i="18"/>
  <c r="T109" i="18"/>
  <c r="T110" i="18"/>
  <c r="X45" i="18"/>
  <c r="Q107" i="18"/>
  <c r="Q106" i="18"/>
  <c r="Q109" i="18"/>
  <c r="G108" i="18"/>
  <c r="Q49" i="18"/>
  <c r="N108" i="18"/>
  <c r="P108" i="18"/>
  <c r="S49" i="18"/>
  <c r="S68" i="18"/>
  <c r="T68" i="18" s="1"/>
  <c r="U68" i="18" s="1"/>
  <c r="V68" i="18" s="1"/>
  <c r="W68" i="18" s="1"/>
  <c r="X68" i="18" s="1"/>
  <c r="Y68" i="18" s="1"/>
  <c r="Z68" i="18" s="1"/>
  <c r="AA68" i="18" s="1"/>
  <c r="AB68" i="18" s="1"/>
  <c r="S40" i="18"/>
  <c r="S65" i="18"/>
  <c r="T65" i="18" s="1"/>
  <c r="U65" i="18" s="1"/>
  <c r="V65" i="18" s="1"/>
  <c r="W65" i="18" s="1"/>
  <c r="X65" i="18" s="1"/>
  <c r="Y65" i="18" s="1"/>
  <c r="Z65" i="18" s="1"/>
  <c r="AA65" i="18" s="1"/>
  <c r="AB65" i="18" s="1"/>
  <c r="S38" i="18"/>
  <c r="S67" i="18"/>
  <c r="T67" i="18" s="1"/>
  <c r="U67" i="18" s="1"/>
  <c r="V67" i="18" s="1"/>
  <c r="W67" i="18" s="1"/>
  <c r="X67" i="18" s="1"/>
  <c r="Y67" i="18" s="1"/>
  <c r="Z67" i="18" s="1"/>
  <c r="AA67" i="18" s="1"/>
  <c r="AB67" i="18" s="1"/>
  <c r="S66" i="18"/>
  <c r="T66" i="18" s="1"/>
  <c r="U66" i="18" s="1"/>
  <c r="V66" i="18" s="1"/>
  <c r="W66" i="18" s="1"/>
  <c r="X66" i="18" s="1"/>
  <c r="Y66" i="18" s="1"/>
  <c r="Z66" i="18" s="1"/>
  <c r="AA66" i="18" s="1"/>
  <c r="AB66" i="18" s="1"/>
  <c r="S86" i="18"/>
  <c r="S39" i="18"/>
  <c r="T39" i="18" s="1"/>
  <c r="U39" i="18" s="1"/>
  <c r="V39" i="18" s="1"/>
  <c r="W39" i="18" s="1"/>
  <c r="X39" i="18" s="1"/>
  <c r="Y39" i="18" s="1"/>
  <c r="Z39" i="18" s="1"/>
  <c r="AA39" i="18" s="1"/>
  <c r="AB39" i="18" s="1"/>
  <c r="C15" i="15"/>
  <c r="C20" i="15"/>
  <c r="C9" i="15"/>
  <c r="U35" i="18" l="1"/>
  <c r="U61" i="18" s="1"/>
  <c r="T60" i="18"/>
  <c r="T59" i="18"/>
  <c r="T58" i="18"/>
  <c r="T57" i="18"/>
  <c r="AB20" i="18"/>
  <c r="AA55" i="18"/>
  <c r="AC67" i="18"/>
  <c r="AE67" i="18" s="1"/>
  <c r="AC68" i="18"/>
  <c r="AE68" i="18" s="1"/>
  <c r="AC39" i="18"/>
  <c r="AE39" i="18" s="1"/>
  <c r="T77" i="18" s="1"/>
  <c r="AC66" i="18"/>
  <c r="AE66" i="18" s="1"/>
  <c r="AC65" i="18"/>
  <c r="AE65" i="18" s="1"/>
  <c r="R86" i="18"/>
  <c r="T49" i="18"/>
  <c r="S108" i="18"/>
  <c r="V105" i="18"/>
  <c r="U109" i="18"/>
  <c r="U110" i="18"/>
  <c r="T38" i="18"/>
  <c r="S106" i="18"/>
  <c r="T40" i="18"/>
  <c r="S107" i="18"/>
  <c r="Y45" i="18"/>
  <c r="Q108" i="18"/>
  <c r="S77" i="18"/>
  <c r="S87" i="18"/>
  <c r="R87" i="18" s="1"/>
  <c r="S80" i="18"/>
  <c r="R80" i="18" s="1"/>
  <c r="S79" i="18"/>
  <c r="R79" i="18" s="1"/>
  <c r="D31" i="8"/>
  <c r="D29" i="8"/>
  <c r="D28" i="8"/>
  <c r="D13" i="8"/>
  <c r="D30" i="8" s="1"/>
  <c r="E14" i="8"/>
  <c r="F14" i="8" s="1"/>
  <c r="G14" i="8" s="1"/>
  <c r="H14" i="8" s="1"/>
  <c r="I14" i="8" s="1"/>
  <c r="V35" i="18" l="1"/>
  <c r="V61" i="18" s="1"/>
  <c r="U60" i="18"/>
  <c r="U58" i="18"/>
  <c r="U59" i="18"/>
  <c r="U57" i="18"/>
  <c r="AC20" i="18"/>
  <c r="AE20" i="18" s="1"/>
  <c r="AB55" i="18"/>
  <c r="R77" i="18"/>
  <c r="U49" i="18"/>
  <c r="T108" i="18"/>
  <c r="W105" i="18"/>
  <c r="V109" i="18"/>
  <c r="V110" i="18"/>
  <c r="U38" i="18"/>
  <c r="T106" i="18"/>
  <c r="U40" i="18"/>
  <c r="T107" i="18"/>
  <c r="Z4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35" i="18" l="1"/>
  <c r="W61" i="18" s="1"/>
  <c r="V60" i="18"/>
  <c r="V58" i="18"/>
  <c r="V59" i="18"/>
  <c r="V57" i="18"/>
  <c r="S95" i="18"/>
  <c r="AC55" i="18"/>
  <c r="AE55" i="18" s="1"/>
  <c r="T95" i="18" s="1"/>
  <c r="V49" i="18"/>
  <c r="U108" i="18"/>
  <c r="X105" i="18"/>
  <c r="W109" i="18"/>
  <c r="W110" i="18"/>
  <c r="V38" i="18"/>
  <c r="U106" i="18"/>
  <c r="V40" i="18"/>
  <c r="U107" i="18"/>
  <c r="AA4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P32" i="9" s="1"/>
  <c r="M45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R95" i="18" l="1"/>
  <c r="O31" i="9"/>
  <c r="O32" i="9" s="1"/>
  <c r="X35" i="18"/>
  <c r="X61" i="18" s="1"/>
  <c r="W60" i="18"/>
  <c r="W58" i="18"/>
  <c r="W59" i="18"/>
  <c r="W57" i="18"/>
  <c r="W49" i="18"/>
  <c r="V108" i="18"/>
  <c r="Y105" i="18"/>
  <c r="X109" i="18"/>
  <c r="X110" i="18"/>
  <c r="W38" i="18"/>
  <c r="V106" i="18"/>
  <c r="W40" i="18"/>
  <c r="V107" i="18"/>
  <c r="AB45" i="18"/>
  <c r="P31" i="11"/>
  <c r="N32" i="11"/>
  <c r="T19" i="9"/>
  <c r="D22" i="9"/>
  <c r="Y35" i="18" l="1"/>
  <c r="Y61" i="18" s="1"/>
  <c r="X60" i="18"/>
  <c r="X58" i="18"/>
  <c r="X59" i="18"/>
  <c r="X57" i="18"/>
  <c r="X49" i="18"/>
  <c r="W108" i="18"/>
  <c r="Z105" i="18"/>
  <c r="Y109" i="18"/>
  <c r="Y110" i="18"/>
  <c r="X38" i="18"/>
  <c r="W106" i="18"/>
  <c r="X40" i="18"/>
  <c r="W107" i="18"/>
  <c r="S84" i="18"/>
  <c r="AC45" i="18"/>
  <c r="AE45" i="18" s="1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R83" i="18" l="1"/>
  <c r="T84" i="18"/>
  <c r="R84" i="18" s="1"/>
  <c r="P114" i="18" s="1"/>
  <c r="Z35" i="18"/>
  <c r="Z61" i="18" s="1"/>
  <c r="Y60" i="18"/>
  <c r="Y58" i="18"/>
  <c r="Y59" i="18"/>
  <c r="Y57" i="18"/>
  <c r="Y49" i="18"/>
  <c r="X108" i="18"/>
  <c r="AA105" i="18"/>
  <c r="Z109" i="18"/>
  <c r="Z110" i="18"/>
  <c r="Y38" i="18"/>
  <c r="X106" i="18"/>
  <c r="Y40" i="18"/>
  <c r="X107" i="18"/>
  <c r="N34" i="11"/>
  <c r="O33" i="11"/>
  <c r="D25" i="8"/>
  <c r="D23" i="8"/>
  <c r="AA35" i="18" l="1"/>
  <c r="AA61" i="18" s="1"/>
  <c r="Z60" i="18"/>
  <c r="Z58" i="18"/>
  <c r="Z59" i="18"/>
  <c r="Z57" i="18"/>
  <c r="Z49" i="18"/>
  <c r="Y108" i="18"/>
  <c r="AB105" i="18"/>
  <c r="AA109" i="18"/>
  <c r="AA110" i="18"/>
  <c r="Z38" i="18"/>
  <c r="Y106" i="18"/>
  <c r="Z40" i="18"/>
  <c r="Y107" i="18"/>
  <c r="N35" i="11"/>
  <c r="O34" i="11"/>
  <c r="D35" i="8"/>
  <c r="E5" i="8"/>
  <c r="E18" i="8" s="1"/>
  <c r="D18" i="8"/>
  <c r="D19" i="8"/>
  <c r="D21" i="8"/>
  <c r="D20" i="8"/>
  <c r="AB35" i="18" l="1"/>
  <c r="AB61" i="18" s="1"/>
  <c r="AA60" i="18"/>
  <c r="AA58" i="18"/>
  <c r="AA59" i="18"/>
  <c r="AA57" i="18"/>
  <c r="AA49" i="18"/>
  <c r="Z108" i="18"/>
  <c r="AC105" i="18"/>
  <c r="AE105" i="18" s="1"/>
  <c r="AB109" i="18"/>
  <c r="AB110" i="18"/>
  <c r="AA38" i="18"/>
  <c r="Z106" i="18"/>
  <c r="AA40" i="18"/>
  <c r="Z107" i="18"/>
  <c r="N36" i="11"/>
  <c r="O35" i="11"/>
  <c r="F5" i="8"/>
  <c r="G5" i="8" s="1"/>
  <c r="H5" i="8" s="1"/>
  <c r="I5" i="8" s="1"/>
  <c r="AC61" i="18" l="1"/>
  <c r="AE61" i="18" s="1"/>
  <c r="T102" i="18" s="1"/>
  <c r="S102" i="18"/>
  <c r="AB60" i="18"/>
  <c r="S100" i="18" s="1"/>
  <c r="AB58" i="18"/>
  <c r="S98" i="18" s="1"/>
  <c r="AC35" i="18"/>
  <c r="AE35" i="18" s="1"/>
  <c r="AB59" i="18"/>
  <c r="S99" i="18" s="1"/>
  <c r="AB57" i="18"/>
  <c r="S97" i="18" s="1"/>
  <c r="AC110" i="18"/>
  <c r="AE110" i="18" s="1"/>
  <c r="AC109" i="18"/>
  <c r="AE109" i="18" s="1"/>
  <c r="AB49" i="18"/>
  <c r="AA108" i="18"/>
  <c r="AB38" i="18"/>
  <c r="AA106" i="18"/>
  <c r="AB40" i="18"/>
  <c r="AA107" i="18"/>
  <c r="N37" i="11"/>
  <c r="O36" i="11"/>
  <c r="F18" i="8"/>
  <c r="G18" i="8"/>
  <c r="R102" i="18" l="1"/>
  <c r="AC59" i="18"/>
  <c r="AE59" i="18" s="1"/>
  <c r="T99" i="18" s="1"/>
  <c r="AC58" i="18"/>
  <c r="AE58" i="18" s="1"/>
  <c r="AC57" i="18"/>
  <c r="AE57" i="18" s="1"/>
  <c r="T97" i="18" s="1"/>
  <c r="AC60" i="18"/>
  <c r="AE60" i="18" s="1"/>
  <c r="S76" i="18"/>
  <c r="AC49" i="18"/>
  <c r="AE49" i="18" s="1"/>
  <c r="AB108" i="18"/>
  <c r="AC38" i="18"/>
  <c r="AE38" i="18" s="1"/>
  <c r="T76" i="18" s="1"/>
  <c r="AB106" i="18"/>
  <c r="AC40" i="18"/>
  <c r="AE40" i="18" s="1"/>
  <c r="T78" i="18" s="1"/>
  <c r="AB107" i="18"/>
  <c r="S78" i="18"/>
  <c r="N38" i="11"/>
  <c r="O37" i="11"/>
  <c r="H18" i="8"/>
  <c r="T100" i="18" l="1"/>
  <c r="R100" i="18" s="1"/>
  <c r="T98" i="18"/>
  <c r="R98" i="18" s="1"/>
  <c r="R99" i="18"/>
  <c r="R97" i="18"/>
  <c r="R76" i="18"/>
  <c r="P115" i="18" s="1"/>
  <c r="AC107" i="18"/>
  <c r="AE107" i="18" s="1"/>
  <c r="AC108" i="18"/>
  <c r="AE108" i="18" s="1"/>
  <c r="AC106" i="18"/>
  <c r="AE106" i="18" s="1"/>
  <c r="R78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<sst xmlns="http://schemas.openxmlformats.org/spreadsheetml/2006/main" count="458" uniqueCount="308">
  <si>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</si>
  <si>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</si>
  <si>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</si>
  <si>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</si>
  <si>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</si>
  <si>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</si>
  <si>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</si>
  <si>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</si>
  <si>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</si>
  <si>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</si>
  <si>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</si>
  <si>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</si>
  <si>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</si>
  <si>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</si>
  <si>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</si>
  <si>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</si>
  <si>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</si>
  <si>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</si>
  <si>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</si>
  <si>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</si>
  <si>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</si>
  <si>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</si>
  <si>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</si>
  <si>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</si>
  <si>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</si>
  <si>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</si>
  <si>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</si>
  <si>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</si>
  <si>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</si>
  <si>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</si>
  <si>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</si>
  <si>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</si>
  <si>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</si>
  <si>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</si>
  <si>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</si>
  <si>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</si>
  <si>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</si>
  <si>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</si>
  <si>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</si>
  <si>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</si>
  <si>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</si>
  <si>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</si>
  <si>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</si>
  <si>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</si>
  <si>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</si>
  <si>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</si>
  <si>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</si>
  <si>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</si>
  <si>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</si>
  <si>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</si>
  <si>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</si>
  <si>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</si>
  <si>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</si>
  <si>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</si>
  <si>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</si>
  <si>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</si>
  <si>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</si>
  <si>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</si>
  <si>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</si>
  <si>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</si>
  <si>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</si>
  <si>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</si>
  <si>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</si>
  <si>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</si>
  <si>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</si>
  <si>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</si>
  <si>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</si>
  <si>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</si>
  <si>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</si>
  <si>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</si>
  <si>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</si>
  <si>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</si>
  <si>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</si>
  <si>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</si>
  <si>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</si>
  <si>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</si>
  <si>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</si>
  <si>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</si>
  <si>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</si>
  <si>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</si>
  <si>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</si>
  <si>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</si>
  <si>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</si>
  <si>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</si>
  <si>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</si>
  <si>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</si>
  <si>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</si>
  <si>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</si>
  <si>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</si>
  <si>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</si>
  <si>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</si>
  <si>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</si>
  <si>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</si>
  <si>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</si>
  <si>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</si>
  <si>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</si>
  <si>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</si>
  <si>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</si>
  <si>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</si>
  <si>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</si>
  <si>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</si>
  <si>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</si>
  <si>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</si>
  <si>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</si>
  <si>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</si>
  <si>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</si>
  <si>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</si>
  <si>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</si>
  <si>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</si>
  <si>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</si>
  <si>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</si>
  <si>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</si>
  <si>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</si>
  <si>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</si>
  <si>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</si>
  <si>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</si>
  <si>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</si>
  <si>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</si>
  <si>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</si>
  <si>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</si>
  <si>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</si>
  <si>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</si>
  <si>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</si>
  <si>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</si>
  <si>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</si>
  <si>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</si>
  <si>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</si>
  <si>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</si>
  <si>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</si>
  <si>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</si>
  <si>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</si>
  <si>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</si>
  <si>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</si>
  <si>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</si>
  <si>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</si>
  <si>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</si>
  <si>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</si>
  <si>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</si>
  <si>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</si>
  <si>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</si>
  <si>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</si>
  <si>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</si>
  <si>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</si>
  <si>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</si>
  <si>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</si>
  <si>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</si>
  <si>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</si>
  <si>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</si>
  <si>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</si>
  <si>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</si>
  <si>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</si>
  <si>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</si>
  <si>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</si>
  <si>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</si>
  <si>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</si>
  <si>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</si>
  <si>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</si>
  <si>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</si>
  <si>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</si>
  <si>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</si>
  <si>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</si>
  <si>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</si>
  <si>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</si>
  <si>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</si>
  <si>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</si>
  <si>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</si>
  <si>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</si>
  <si>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</si>
  <si>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</si>
  <si>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</si>
  <si>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</si>
  <si>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</si>
  <si>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</si>
  <si>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</si>
  <si>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</si>
  <si>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</si>
  <si>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</si>
  <si>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</si>
  <si>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</si>
  <si>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</si>
  <si>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</si>
  <si>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</si>
  <si>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</si>
  <si>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</si>
  <si>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</si>
  <si>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</si>
  <si>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</si>
  <si>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</si>
  <si>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</si>
  <si>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</si>
  <si>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</si>
  <si>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</si>
  <si>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</si>
  <si>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</si>
  <si>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</si>
  <si>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</si>
  <si>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</si>
  <si>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</si>
  <si>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</si>
  <si>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</si>
  <si>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</si>
  <si>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</si>
  <si>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</si>
  <si>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</si>
  <si>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</si>
  <si>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</si>
  <si>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</si>
  <si>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</si>
  <si>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</si>
  <si>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</si>
  <si>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</si>
  <si>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</si>
  <si>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</si>
  <si>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</si>
  <si>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</si>
  <si>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</si>
  <si>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</si>
  <si>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</si>
  <si>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</si>
  <si>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</si>
  <si>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</si>
  <si>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</si>
  <si>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</si>
  <si>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</si>
  <si>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</si>
  <si>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</si>
  <si>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</si>
  <si>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</si>
  <si>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</si>
  <si>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</si>
  <si>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</si>
  <si>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</si>
  <si>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</si>
  <si>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</si>
  <si>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</si>
  <si>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</si>
  <si>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</si>
  <si>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</si>
  <si>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</si>
  <si>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</si>
  <si>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</si>
  <si>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</si>
  <si>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</si>
  <si>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</si>
  <si>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</si>
  <si>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</si>
  <si>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</si>
  <si>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</si>
  <si>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</si>
  <si>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</si>
  <si>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</si>
  <si>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</si>
  <si>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</si>
  <si>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</si>
  <si>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</si>
  <si>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</si>
  <si>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</si>
  <si>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</si>
  <si>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</si>
  <si>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</si>
  <si>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</si>
  <si>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</si>
  <si>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</si>
  <si>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</si>
  <si>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</si>
  <si>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</si>
  <si>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</si>
  <si>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</si>
  <si>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</si>
  <si>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</si>
  <si>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</si>
  <si>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</si>
  <si>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</si>
  <si>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</si>
  <si>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</si>
  <si>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</si>
  <si>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</si>
  <si>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</si>
  <si>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</si>
  <si>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</si>
  <si>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</si>
  <si>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</si>
  <si>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</si>
  <si>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</si>
  <si>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</si>
  <si>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</si>
  <si>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</si>
  <si>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</si>
  <si>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</si>
  <si>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</si>
  <si>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</si>
  <si>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</si>
  <si>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</si>
  <si>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</si>
  <si>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</si>
  <si>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</si>
  <si>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</si>
  <si>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</si>
  <si>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</si>
  <si>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</si>
  <si>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</si>
  <si>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Top Expenses ( Mfg )</t>
  </si>
  <si>
    <t>2nd highest Expenses Comp. ( Empl Cost )</t>
  </si>
  <si>
    <t>Cummulative Terms</t>
  </si>
  <si>
    <t>% Discount (Price/Dividend)</t>
  </si>
  <si>
    <t>% Discount (Price / B.V)</t>
  </si>
  <si>
    <t xml:space="preserve">P/E </t>
  </si>
  <si>
    <t>if NEGATIVE then stock is NOT in discount; If POSITIVE stock is available in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</si>
</sst>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0_);[Red]\(0\)"/>
    <numFmt numFmtId="176" formatCode="0.00_);[Red]\(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172" fontId="8" fillId="5" borderId="1" xfId="0" applyNumberFormat="1" applyFont="1" applyFill="1" applyBorder="1"/>
    <xf numFmtId="175" fontId="4" fillId="5" borderId="1" xfId="0" applyNumberFormat="1" applyFont="1" applyFill="1" applyBorder="1"/>
    <xf numFmtId="176" fontId="4" fillId="5" borderId="1" xfId="0" applyNumberFormat="1" applyFont="1" applyFill="1" applyBorder="1"/>
    <xf numFmtId="176" fontId="4" fillId="5" borderId="1" xfId="2" applyNumberFormat="1" applyFont="1" applyFill="1" applyBorder="1"/>
    <xf numFmtId="176" fontId="8" fillId="5" borderId="1" xfId="0" applyNumberFormat="1" applyFont="1" applyFill="1" applyBorder="1"/>
    <xf numFmtId="176" fontId="8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04992"/>
        <c:axId val="26806528"/>
      </c:lineChart>
      <c:catAx>
        <c:axId val="26804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6806528"/>
        <c:crosses val="autoZero"/>
        <c:auto val="1"/>
        <c:lblAlgn val="ctr"/>
        <c:lblOffset val="100"/>
        <c:noMultiLvlLbl val="0"/>
      </c:catAx>
      <c:valAx>
        <c:axId val="2680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80499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29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29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29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29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29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29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29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0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1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1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1"/>
      <c r="D31" s="20"/>
      <c r="E31" s="20"/>
      <c r="F31" s="20"/>
      <c r="G31" s="20"/>
    </row>
    <row r="32" spans="2:7" x14ac:dyDescent="0.2">
      <c r="B32" s="20" t="s">
        <v>268</v>
      </c>
      <c r="C32" s="131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1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29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29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29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29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29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29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29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29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29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15"/>
  <sheetViews>
    <sheetView tabSelected="1" zoomScale="80" zoomScaleNormal="80" workbookViewId="0">
      <pane xSplit="2" ySplit="4" topLeftCell="C102" activePane="bottomRight" state="frozen"/>
      <selection pane="topRight" activeCell="C1" sqref="C1"/>
      <selection pane="bottomLeft" activeCell="A5" sqref="A5"/>
      <selection pane="bottomRight" activeCell="C108" sqref="C108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4" width="8.140625" style="104" bestFit="1" customWidth="1"/>
    <col min="5" max="6" width="8.7109375" style="104" bestFit="1" customWidth="1"/>
    <col min="7" max="8" width="8.85546875" style="104" bestFit="1" customWidth="1"/>
    <col min="9" max="10" width="8.7109375" style="104" bestFit="1" customWidth="1"/>
    <col min="11" max="15" width="9.85546875" style="104" bestFit="1" customWidth="1"/>
    <col min="16" max="16" width="10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 x14ac:dyDescent="0.2">
      <c r="B2" s="122" t="s">
        <v>241</v>
      </c>
      <c r="C2" s="123">
        <v>0.15</v>
      </c>
      <c r="F2" s="104" t="s">
        <v>252</v>
      </c>
      <c r="H2" s="125">
        <v>2004</v>
      </c>
    </row>
    <row r="3" spans="2:31" x14ac:dyDescent="0.2">
      <c r="C3" s="120"/>
      <c r="F3" s="104" t="s">
        <v>253</v>
      </c>
      <c r="H3" s="125">
        <v>2013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292</v>
      </c>
      <c r="AE3" s="20"/>
    </row>
    <row r="4" spans="2:31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5" t="s">
        <v>1</v>
      </c>
      <c r="AD4" s="20" t="s">
        <v>293</v>
      </c>
      <c r="AE4" s="20"/>
    </row>
    <row r="5" spans="2:31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6"/>
      <c r="AD5" s="20"/>
      <c r="AE5" s="20"/>
    </row>
    <row r="6" spans="2:31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6"/>
      <c r="AD6" s="20"/>
      <c r="AE6" s="20"/>
    </row>
    <row r="7" spans="2:31" x14ac:dyDescent="0.2">
      <c r="B7" s="20" t="s">
        <v>16</v>
      </c>
      <c r="C7" s="140"/>
      <c r="D7" s="147"/>
      <c r="E7" s="147"/>
      <c r="F7" s="147">
        <v>1514</v>
      </c>
      <c r="G7" s="147">
        <v>1895</v>
      </c>
      <c r="H7" s="147">
        <v>2471</v>
      </c>
      <c r="I7" s="147">
        <v>3882</v>
      </c>
      <c r="J7" s="147">
        <v>5668</v>
      </c>
      <c r="K7" s="147">
        <v>8157</v>
      </c>
      <c r="L7" s="147">
        <v>11240</v>
      </c>
      <c r="M7" s="147">
        <v>13875</v>
      </c>
      <c r="N7" s="147">
        <v>18818</v>
      </c>
      <c r="O7" s="147">
        <v>24009</v>
      </c>
      <c r="P7" s="147">
        <v>27114</v>
      </c>
      <c r="Q7" s="118">
        <f>((P7/G7)^(1/($H$3-$H$2) ))-1</f>
        <v>0.34399689121424748</v>
      </c>
      <c r="R7" s="31">
        <v>0.1</v>
      </c>
      <c r="S7" s="144">
        <f>P7*(1+$R7)</f>
        <v>29825.4</v>
      </c>
      <c r="T7" s="144">
        <f>S7*(1+$R7)</f>
        <v>32807.94</v>
      </c>
      <c r="U7" s="144">
        <f t="shared" ref="U7:AB7" si="0">T7*(1+$R7)</f>
        <v>36088.734000000004</v>
      </c>
      <c r="V7" s="144">
        <f t="shared" si="0"/>
        <v>39697.607400000008</v>
      </c>
      <c r="W7" s="144">
        <f t="shared" si="0"/>
        <v>43667.368140000013</v>
      </c>
      <c r="X7" s="144">
        <f t="shared" si="0"/>
        <v>48034.104954000017</v>
      </c>
      <c r="Y7" s="144">
        <f t="shared" si="0"/>
        <v>52837.515449400023</v>
      </c>
      <c r="Z7" s="144">
        <f t="shared" si="0"/>
        <v>58121.266994340032</v>
      </c>
      <c r="AA7" s="144">
        <f t="shared" si="0"/>
        <v>63933.393693774044</v>
      </c>
      <c r="AB7" s="144">
        <f t="shared" si="0"/>
        <v>70326.733063151449</v>
      </c>
      <c r="AC7" s="137">
        <f>((AB7/G7)^(1/($AB$4-$H$2) ))-1</f>
        <v>0.20949994836549779</v>
      </c>
      <c r="AD7" s="31">
        <v>0.08</v>
      </c>
      <c r="AE7" s="126">
        <f>(AB7*(1+AC7))/($C$2-AD7)</f>
        <v>1215145.4286942261</v>
      </c>
    </row>
    <row r="8" spans="2:31" x14ac:dyDescent="0.2">
      <c r="B8" s="20" t="s">
        <v>240</v>
      </c>
      <c r="C8" s="140"/>
      <c r="D8" s="147"/>
      <c r="E8" s="147"/>
      <c r="F8" s="147">
        <v>1646</v>
      </c>
      <c r="G8" s="147">
        <v>2027</v>
      </c>
      <c r="H8" s="147">
        <v>2603</v>
      </c>
      <c r="I8" s="147">
        <v>4014</v>
      </c>
      <c r="J8" s="147">
        <v>5800</v>
      </c>
      <c r="K8" s="147">
        <v>8289</v>
      </c>
      <c r="L8" s="147">
        <v>11636</v>
      </c>
      <c r="M8" s="147">
        <v>14272</v>
      </c>
      <c r="N8" s="147">
        <v>19214</v>
      </c>
      <c r="O8" s="147">
        <v>24406</v>
      </c>
      <c r="P8" s="147">
        <v>27510</v>
      </c>
      <c r="Q8" s="118">
        <f>((P8/G8)^(1/($H$3-$H$2) ))-1</f>
        <v>0.3361294544936102</v>
      </c>
      <c r="R8" s="31">
        <v>0.1</v>
      </c>
      <c r="S8" s="144">
        <f t="shared" ref="S8:S15" si="1">P8*(1+$R8)</f>
        <v>30261.000000000004</v>
      </c>
      <c r="T8" s="144">
        <f t="shared" ref="T8:AB8" si="2">S8*(1+$R8)</f>
        <v>33287.100000000006</v>
      </c>
      <c r="U8" s="144">
        <f t="shared" si="2"/>
        <v>36615.810000000012</v>
      </c>
      <c r="V8" s="144">
        <f t="shared" si="2"/>
        <v>40277.391000000018</v>
      </c>
      <c r="W8" s="144">
        <f t="shared" si="2"/>
        <v>44305.130100000024</v>
      </c>
      <c r="X8" s="144">
        <f t="shared" si="2"/>
        <v>48735.643110000034</v>
      </c>
      <c r="Y8" s="144">
        <f t="shared" si="2"/>
        <v>53609.207421000043</v>
      </c>
      <c r="Z8" s="144">
        <f t="shared" si="2"/>
        <v>58970.128163100053</v>
      </c>
      <c r="AA8" s="144">
        <f t="shared" si="2"/>
        <v>64867.140979410062</v>
      </c>
      <c r="AB8" s="144">
        <f t="shared" si="2"/>
        <v>71353.85507735108</v>
      </c>
      <c r="AC8" s="137">
        <f>((AB8/G8)^(1/($AB$4-$H$2) ))-1</f>
        <v>0.20614102377542598</v>
      </c>
      <c r="AD8" s="31">
        <v>0.08</v>
      </c>
      <c r="AE8" s="126">
        <f>(AB8*(1+AC8))/($C$2-AD8)</f>
        <v>1229468.7401902804</v>
      </c>
    </row>
    <row r="9" spans="2:31" x14ac:dyDescent="0.2">
      <c r="B9" s="20"/>
      <c r="C9" s="140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20"/>
      <c r="R9" s="20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38"/>
      <c r="AD9" s="20"/>
      <c r="AE9" s="20"/>
    </row>
    <row r="10" spans="2:31" x14ac:dyDescent="0.2">
      <c r="B10" s="20" t="s">
        <v>270</v>
      </c>
      <c r="C10" s="140"/>
      <c r="D10" s="147"/>
      <c r="E10" s="147"/>
      <c r="F10" s="147">
        <v>173</v>
      </c>
      <c r="G10" s="147">
        <v>187</v>
      </c>
      <c r="H10" s="147">
        <v>287</v>
      </c>
      <c r="I10" s="147">
        <v>302</v>
      </c>
      <c r="J10" s="147">
        <v>304</v>
      </c>
      <c r="K10" s="147">
        <v>465</v>
      </c>
      <c r="L10" s="147">
        <v>552</v>
      </c>
      <c r="M10" s="147">
        <v>843</v>
      </c>
      <c r="N10" s="147">
        <v>880</v>
      </c>
      <c r="O10" s="147">
        <v>1070</v>
      </c>
      <c r="P10" s="147">
        <v>3235</v>
      </c>
      <c r="Q10" s="118">
        <f t="shared" ref="Q10:Q15" si="3">((P10/G10)^(1/($H$3-$H$2) ))-1</f>
        <v>0.37264801540182413</v>
      </c>
      <c r="R10" s="31">
        <v>0.1</v>
      </c>
      <c r="S10" s="144">
        <f t="shared" ref="S10" si="4">P10*(1+$R10)</f>
        <v>3558.5000000000005</v>
      </c>
      <c r="T10" s="144">
        <f t="shared" ref="T10" si="5">S10*(1+$R10)</f>
        <v>3914.3500000000008</v>
      </c>
      <c r="U10" s="144">
        <f t="shared" ref="U10" si="6">T10*(1+$R10)</f>
        <v>4305.7850000000017</v>
      </c>
      <c r="V10" s="144">
        <f t="shared" ref="V10" si="7">U10*(1+$R10)</f>
        <v>4736.3635000000022</v>
      </c>
      <c r="W10" s="144">
        <f t="shared" ref="W10" si="8">V10*(1+$R10)</f>
        <v>5209.9998500000029</v>
      </c>
      <c r="X10" s="144">
        <f t="shared" ref="X10" si="9">W10*(1+$R10)</f>
        <v>5730.9998350000033</v>
      </c>
      <c r="Y10" s="144">
        <f t="shared" ref="Y10" si="10">X10*(1+$R10)</f>
        <v>6304.0998185000044</v>
      </c>
      <c r="Z10" s="144">
        <f t="shared" ref="Z10" si="11">Y10*(1+$R10)</f>
        <v>6934.5098003500052</v>
      </c>
      <c r="AA10" s="144">
        <f t="shared" ref="AA10" si="12">Z10*(1+$R10)</f>
        <v>7627.9607803850067</v>
      </c>
      <c r="AB10" s="144">
        <f t="shared" ref="AB10" si="13">AA10*(1+$R10)</f>
        <v>8390.7568584235087</v>
      </c>
      <c r="AC10" s="137">
        <f>((AB10/G10)^(1/($AB$4-$H$2) ))-1</f>
        <v>0.22164560926170251</v>
      </c>
      <c r="AD10" s="31">
        <v>0.08</v>
      </c>
      <c r="AE10" s="126">
        <f t="shared" ref="AE10:AE15" si="14">(AB10*(1+AC10))/($C$2-AD10)</f>
        <v>146436.16106393709</v>
      </c>
    </row>
    <row r="11" spans="2:31" x14ac:dyDescent="0.2">
      <c r="B11" s="20" t="s">
        <v>4</v>
      </c>
      <c r="C11" s="140"/>
      <c r="D11" s="147"/>
      <c r="E11" s="147"/>
      <c r="F11" s="147">
        <v>0</v>
      </c>
      <c r="G11" s="147">
        <v>0</v>
      </c>
      <c r="H11" s="147">
        <v>0</v>
      </c>
      <c r="I11" s="147">
        <v>0</v>
      </c>
      <c r="J11" s="147">
        <v>0</v>
      </c>
      <c r="K11" s="147">
        <v>0</v>
      </c>
      <c r="L11" s="147">
        <v>0</v>
      </c>
      <c r="M11" s="147">
        <v>0</v>
      </c>
      <c r="N11" s="147">
        <v>0</v>
      </c>
      <c r="O11" s="147">
        <v>0</v>
      </c>
      <c r="P11" s="147">
        <v>0</v>
      </c>
      <c r="Q11" s="118" t="e">
        <f t="shared" si="3"/>
        <v>#DIV/0!</v>
      </c>
      <c r="R11" s="31">
        <v>0.1</v>
      </c>
      <c r="S11" s="144">
        <f t="shared" si="1"/>
        <v>0</v>
      </c>
      <c r="T11" s="144">
        <f t="shared" ref="T11:AB11" si="15">S11*(1+$R11)</f>
        <v>0</v>
      </c>
      <c r="U11" s="144">
        <f t="shared" si="15"/>
        <v>0</v>
      </c>
      <c r="V11" s="144">
        <f t="shared" si="15"/>
        <v>0</v>
      </c>
      <c r="W11" s="144">
        <f t="shared" si="15"/>
        <v>0</v>
      </c>
      <c r="X11" s="144">
        <f t="shared" si="15"/>
        <v>0</v>
      </c>
      <c r="Y11" s="144">
        <f t="shared" si="15"/>
        <v>0</v>
      </c>
      <c r="Z11" s="144">
        <f t="shared" si="15"/>
        <v>0</v>
      </c>
      <c r="AA11" s="144">
        <f t="shared" si="15"/>
        <v>0</v>
      </c>
      <c r="AB11" s="144">
        <f t="shared" si="15"/>
        <v>0</v>
      </c>
      <c r="AC11" s="137" t="e">
        <f t="shared" ref="AC11:AC35" si="16">((AB11/G11)^(1/($AB$4-$H$2) ))-1</f>
        <v>#DIV/0!</v>
      </c>
      <c r="AD11" s="31">
        <v>0.08</v>
      </c>
      <c r="AE11" s="126" t="e">
        <f t="shared" si="14"/>
        <v>#DIV/0!</v>
      </c>
    </row>
    <row r="12" spans="2:31" x14ac:dyDescent="0.2">
      <c r="B12" s="20" t="s">
        <v>2</v>
      </c>
      <c r="C12" s="140"/>
      <c r="D12" s="147"/>
      <c r="E12" s="147"/>
      <c r="F12" s="147">
        <v>67</v>
      </c>
      <c r="G12" s="147">
        <v>76</v>
      </c>
      <c r="H12" s="147">
        <v>50</v>
      </c>
      <c r="I12" s="147">
        <v>78</v>
      </c>
      <c r="J12" s="147">
        <v>46</v>
      </c>
      <c r="K12" s="147">
        <v>77</v>
      </c>
      <c r="L12" s="147">
        <v>38</v>
      </c>
      <c r="M12" s="147">
        <v>79</v>
      </c>
      <c r="N12" s="147">
        <v>68</v>
      </c>
      <c r="O12" s="147">
        <v>20264</v>
      </c>
      <c r="P12" s="147">
        <v>21025</v>
      </c>
      <c r="Q12" s="118">
        <f t="shared" si="3"/>
        <v>0.86777566382727045</v>
      </c>
      <c r="R12" s="31">
        <v>0.1</v>
      </c>
      <c r="S12" s="144">
        <f t="shared" si="1"/>
        <v>23127.500000000004</v>
      </c>
      <c r="T12" s="144">
        <f t="shared" ref="T12:AB12" si="17">S12*(1+$R12)</f>
        <v>25440.250000000007</v>
      </c>
      <c r="U12" s="144">
        <f t="shared" si="17"/>
        <v>27984.275000000009</v>
      </c>
      <c r="V12" s="144">
        <f t="shared" si="17"/>
        <v>30782.70250000001</v>
      </c>
      <c r="W12" s="144">
        <f t="shared" si="17"/>
        <v>33860.972750000015</v>
      </c>
      <c r="X12" s="144">
        <f t="shared" si="17"/>
        <v>37247.070025000023</v>
      </c>
      <c r="Y12" s="144">
        <f t="shared" si="17"/>
        <v>40971.777027500029</v>
      </c>
      <c r="Z12" s="144">
        <f t="shared" si="17"/>
        <v>45068.954730250036</v>
      </c>
      <c r="AA12" s="144">
        <f t="shared" si="17"/>
        <v>49575.85020327504</v>
      </c>
      <c r="AB12" s="144">
        <f t="shared" si="17"/>
        <v>54533.435223602552</v>
      </c>
      <c r="AC12" s="137">
        <f t="shared" si="16"/>
        <v>0.41353919747276224</v>
      </c>
      <c r="AD12" s="31">
        <v>0.08</v>
      </c>
      <c r="AE12" s="126">
        <f t="shared" si="14"/>
        <v>1101216.4037343431</v>
      </c>
    </row>
    <row r="13" spans="2:31" x14ac:dyDescent="0.2">
      <c r="B13" s="20" t="s">
        <v>218</v>
      </c>
      <c r="C13" s="140"/>
      <c r="D13" s="147"/>
      <c r="E13" s="147"/>
      <c r="F13" s="147">
        <v>35</v>
      </c>
      <c r="G13" s="147">
        <v>74</v>
      </c>
      <c r="H13" s="147">
        <v>74</v>
      </c>
      <c r="I13" s="147">
        <v>74</v>
      </c>
      <c r="J13" s="147">
        <v>74</v>
      </c>
      <c r="K13" s="147">
        <v>83</v>
      </c>
      <c r="L13" s="147">
        <v>71</v>
      </c>
      <c r="M13" s="147">
        <v>76</v>
      </c>
      <c r="N13" s="147">
        <v>135</v>
      </c>
      <c r="O13" s="147">
        <v>247</v>
      </c>
      <c r="P13" s="147">
        <v>249</v>
      </c>
      <c r="Q13" s="118">
        <f t="shared" si="3"/>
        <v>0.14433177843886336</v>
      </c>
      <c r="R13" s="31">
        <v>0.1</v>
      </c>
      <c r="S13" s="144">
        <f t="shared" si="1"/>
        <v>273.90000000000003</v>
      </c>
      <c r="T13" s="144">
        <f t="shared" ref="T13:AB13" si="18">S13*(1+$R13)</f>
        <v>301.29000000000008</v>
      </c>
      <c r="U13" s="144">
        <f t="shared" si="18"/>
        <v>331.4190000000001</v>
      </c>
      <c r="V13" s="144">
        <f t="shared" si="18"/>
        <v>364.56090000000012</v>
      </c>
      <c r="W13" s="144">
        <f t="shared" si="18"/>
        <v>401.01699000000013</v>
      </c>
      <c r="X13" s="144">
        <f t="shared" si="18"/>
        <v>441.11868900000019</v>
      </c>
      <c r="Y13" s="144">
        <f t="shared" si="18"/>
        <v>485.23055790000024</v>
      </c>
      <c r="Z13" s="144">
        <f t="shared" si="18"/>
        <v>533.75361369000029</v>
      </c>
      <c r="AA13" s="144">
        <f t="shared" si="18"/>
        <v>587.12897505900037</v>
      </c>
      <c r="AB13" s="144">
        <f t="shared" si="18"/>
        <v>645.84187256490043</v>
      </c>
      <c r="AC13" s="137">
        <f t="shared" si="16"/>
        <v>0.12078100534581049</v>
      </c>
      <c r="AD13" s="31">
        <v>0.08</v>
      </c>
      <c r="AE13" s="126">
        <f t="shared" si="14"/>
        <v>10340.675760395858</v>
      </c>
    </row>
    <row r="14" spans="2:31" x14ac:dyDescent="0.2">
      <c r="B14" s="20" t="s">
        <v>19</v>
      </c>
      <c r="C14" s="140"/>
      <c r="D14" s="147"/>
      <c r="E14" s="147"/>
      <c r="F14" s="147">
        <v>1489</v>
      </c>
      <c r="G14" s="147">
        <v>1969</v>
      </c>
      <c r="H14" s="147">
        <v>2837</v>
      </c>
      <c r="I14" s="147">
        <v>4755</v>
      </c>
      <c r="J14" s="147">
        <v>6745</v>
      </c>
      <c r="K14" s="147">
        <v>10076</v>
      </c>
      <c r="L14" s="147">
        <v>15746</v>
      </c>
      <c r="M14" s="147">
        <v>19962</v>
      </c>
      <c r="N14" s="147">
        <v>26422</v>
      </c>
      <c r="O14" s="147">
        <v>23717</v>
      </c>
      <c r="P14" s="147">
        <v>25593</v>
      </c>
      <c r="Q14" s="118">
        <f t="shared" si="3"/>
        <v>0.32973145531392967</v>
      </c>
      <c r="R14" s="31">
        <v>0.1</v>
      </c>
      <c r="S14" s="144">
        <f t="shared" si="1"/>
        <v>28152.300000000003</v>
      </c>
      <c r="T14" s="144">
        <f t="shared" ref="T14:AB14" si="19">S14*(1+$R14)</f>
        <v>30967.530000000006</v>
      </c>
      <c r="U14" s="144">
        <f t="shared" si="19"/>
        <v>34064.28300000001</v>
      </c>
      <c r="V14" s="144">
        <f t="shared" si="19"/>
        <v>37470.711300000017</v>
      </c>
      <c r="W14" s="144">
        <f t="shared" si="19"/>
        <v>41217.782430000021</v>
      </c>
      <c r="X14" s="144">
        <f t="shared" si="19"/>
        <v>45339.560673000029</v>
      </c>
      <c r="Y14" s="144">
        <f t="shared" si="19"/>
        <v>49873.516740300038</v>
      </c>
      <c r="Z14" s="144">
        <f t="shared" si="19"/>
        <v>54860.868414330049</v>
      </c>
      <c r="AA14" s="144">
        <f t="shared" si="19"/>
        <v>60346.95525576306</v>
      </c>
      <c r="AB14" s="144">
        <f t="shared" si="19"/>
        <v>66381.650781339369</v>
      </c>
      <c r="AC14" s="137">
        <f t="shared" si="16"/>
        <v>0.20340177867102494</v>
      </c>
      <c r="AD14" s="31">
        <v>0.08</v>
      </c>
      <c r="AE14" s="126">
        <f t="shared" si="14"/>
        <v>1141197.0945911806</v>
      </c>
    </row>
    <row r="15" spans="2:31" x14ac:dyDescent="0.2">
      <c r="B15" s="20" t="s">
        <v>23</v>
      </c>
      <c r="C15" s="140"/>
      <c r="D15" s="147"/>
      <c r="E15" s="147"/>
      <c r="F15" s="147">
        <v>899</v>
      </c>
      <c r="G15" s="147">
        <v>1254</v>
      </c>
      <c r="H15" s="147">
        <v>1926</v>
      </c>
      <c r="I15" s="147">
        <v>3324</v>
      </c>
      <c r="J15" s="147">
        <v>5081</v>
      </c>
      <c r="K15" s="147">
        <v>7501</v>
      </c>
      <c r="L15" s="147">
        <v>10548</v>
      </c>
      <c r="M15" s="147">
        <v>12831</v>
      </c>
      <c r="N15" s="147">
        <v>17287</v>
      </c>
      <c r="O15" s="147">
        <v>21475</v>
      </c>
      <c r="P15" s="147">
        <f>25593-3235</f>
        <v>22358</v>
      </c>
      <c r="Q15" s="118">
        <f t="shared" si="3"/>
        <v>0.37725718318871393</v>
      </c>
      <c r="R15" s="31">
        <v>0.1</v>
      </c>
      <c r="S15" s="144">
        <f t="shared" si="1"/>
        <v>24593.800000000003</v>
      </c>
      <c r="T15" s="144">
        <f t="shared" ref="T15:AB15" si="20">S15*(1+$R15)</f>
        <v>27053.180000000004</v>
      </c>
      <c r="U15" s="144">
        <f t="shared" si="20"/>
        <v>29758.498000000007</v>
      </c>
      <c r="V15" s="144">
        <f t="shared" si="20"/>
        <v>32734.34780000001</v>
      </c>
      <c r="W15" s="144">
        <f t="shared" si="20"/>
        <v>36007.782580000014</v>
      </c>
      <c r="X15" s="144">
        <f t="shared" si="20"/>
        <v>39608.560838000019</v>
      </c>
      <c r="Y15" s="144">
        <f t="shared" si="20"/>
        <v>43569.416921800024</v>
      </c>
      <c r="Z15" s="144">
        <f t="shared" si="20"/>
        <v>47926.358613980032</v>
      </c>
      <c r="AA15" s="144">
        <f t="shared" si="20"/>
        <v>52718.994475378036</v>
      </c>
      <c r="AB15" s="144">
        <f t="shared" si="20"/>
        <v>57990.893922915842</v>
      </c>
      <c r="AC15" s="137">
        <f t="shared" si="16"/>
        <v>0.22358700557114752</v>
      </c>
      <c r="AD15" s="31">
        <v>0.08</v>
      </c>
      <c r="AE15" s="126">
        <f t="shared" si="14"/>
        <v>1013670.0606504951</v>
      </c>
    </row>
    <row r="16" spans="2:31" x14ac:dyDescent="0.2">
      <c r="B16" s="20"/>
      <c r="C16" s="140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7"/>
      <c r="R16" s="127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38"/>
      <c r="AD16" s="20"/>
      <c r="AE16" s="20"/>
    </row>
    <row r="17" spans="2:31" x14ac:dyDescent="0.2">
      <c r="B17" s="20" t="s">
        <v>278</v>
      </c>
      <c r="C17" s="140"/>
      <c r="D17" s="147"/>
      <c r="E17" s="147"/>
      <c r="F17" s="147">
        <v>285</v>
      </c>
      <c r="G17" s="147">
        <v>574</v>
      </c>
      <c r="H17" s="147">
        <v>537</v>
      </c>
      <c r="I17" s="147">
        <v>530</v>
      </c>
      <c r="J17" s="147">
        <v>504</v>
      </c>
      <c r="K17" s="147">
        <v>568</v>
      </c>
      <c r="L17" s="147">
        <v>746</v>
      </c>
      <c r="M17" s="147">
        <v>787</v>
      </c>
      <c r="N17" s="147">
        <v>1099</v>
      </c>
      <c r="O17" s="147">
        <v>1188</v>
      </c>
      <c r="P17" s="147">
        <v>4500</v>
      </c>
      <c r="Q17" s="118">
        <f>((P17/G17)^(1/($H$3-$H$2) ))-1</f>
        <v>0.25709105380858843</v>
      </c>
      <c r="R17" s="31">
        <v>0.1</v>
      </c>
      <c r="S17" s="144">
        <f t="shared" ref="S17:S31" si="21">P17*(1+$R17)</f>
        <v>4950</v>
      </c>
      <c r="T17" s="144">
        <f t="shared" ref="T17:T31" si="22">S17*(1+$R17)</f>
        <v>5445</v>
      </c>
      <c r="U17" s="144">
        <f t="shared" ref="U17:U31" si="23">T17*(1+$R17)</f>
        <v>5989.5000000000009</v>
      </c>
      <c r="V17" s="144">
        <f t="shared" ref="V17:V31" si="24">U17*(1+$R17)</f>
        <v>6588.4500000000016</v>
      </c>
      <c r="W17" s="144">
        <f t="shared" ref="W17:W31" si="25">V17*(1+$R17)</f>
        <v>7247.2950000000028</v>
      </c>
      <c r="X17" s="144">
        <f t="shared" ref="X17:X31" si="26">W17*(1+$R17)</f>
        <v>7972.0245000000041</v>
      </c>
      <c r="Y17" s="144">
        <f t="shared" ref="Y17:Y31" si="27">X17*(1+$R17)</f>
        <v>8769.2269500000057</v>
      </c>
      <c r="Z17" s="144">
        <f t="shared" ref="Z17:Z31" si="28">Y17*(1+$R17)</f>
        <v>9646.1496450000068</v>
      </c>
      <c r="AA17" s="144">
        <f t="shared" ref="AA17:AA31" si="29">Z17*(1+$R17)</f>
        <v>10610.764609500009</v>
      </c>
      <c r="AB17" s="144">
        <f t="shared" ref="AB17:AB31" si="30">AA17*(1+$R17)</f>
        <v>11671.841070450011</v>
      </c>
      <c r="AC17" s="137">
        <f t="shared" si="16"/>
        <v>0.1718015753344182</v>
      </c>
      <c r="AD17" s="31">
        <v>0.08</v>
      </c>
      <c r="AE17" s="126">
        <f>(AB17*(1+AC17))/($C$2-AD17)</f>
        <v>195386.88219151838</v>
      </c>
    </row>
    <row r="18" spans="2:31" x14ac:dyDescent="0.2">
      <c r="B18" s="20"/>
      <c r="C18" s="140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7"/>
      <c r="R18" s="127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37"/>
      <c r="AD18" s="20"/>
      <c r="AE18" s="20"/>
    </row>
    <row r="19" spans="2:31" x14ac:dyDescent="0.2">
      <c r="B19" s="20" t="s">
        <v>284</v>
      </c>
      <c r="C19" s="140"/>
      <c r="D19" s="147"/>
      <c r="E19" s="147"/>
      <c r="F19" s="147">
        <v>328</v>
      </c>
      <c r="G19" s="147">
        <v>439</v>
      </c>
      <c r="H19" s="147">
        <v>814</v>
      </c>
      <c r="I19" s="147">
        <v>1569</v>
      </c>
      <c r="J19" s="147">
        <v>2052</v>
      </c>
      <c r="K19" s="147">
        <v>2475</v>
      </c>
      <c r="L19" s="147">
        <v>2778</v>
      </c>
      <c r="M19" s="147">
        <v>3604</v>
      </c>
      <c r="N19" s="147">
        <v>4861</v>
      </c>
      <c r="O19" s="147">
        <v>4594</v>
      </c>
      <c r="P19" s="147"/>
      <c r="Q19" s="118">
        <f>((P19/G19)^(1/($H$3-$H$2) ))-1</f>
        <v>-1</v>
      </c>
      <c r="R19" s="31">
        <v>0.05</v>
      </c>
      <c r="S19" s="144">
        <f t="shared" ref="S19:S21" si="31">P19*(1+$R19)</f>
        <v>0</v>
      </c>
      <c r="T19" s="144">
        <f t="shared" ref="T19:T21" si="32">S19*(1+$R19)</f>
        <v>0</v>
      </c>
      <c r="U19" s="144">
        <f t="shared" ref="U19:U21" si="33">T19*(1+$R19)</f>
        <v>0</v>
      </c>
      <c r="V19" s="144">
        <f t="shared" ref="V19:V21" si="34">U19*(1+$R19)</f>
        <v>0</v>
      </c>
      <c r="W19" s="144">
        <f t="shared" ref="W19:W21" si="35">V19*(1+$R19)</f>
        <v>0</v>
      </c>
      <c r="X19" s="144">
        <f t="shared" ref="X19:X21" si="36">W19*(1+$R19)</f>
        <v>0</v>
      </c>
      <c r="Y19" s="144">
        <f t="shared" ref="Y19:Y21" si="37">X19*(1+$R19)</f>
        <v>0</v>
      </c>
      <c r="Z19" s="144">
        <f t="shared" ref="Z19:Z21" si="38">Y19*(1+$R19)</f>
        <v>0</v>
      </c>
      <c r="AA19" s="144">
        <f t="shared" ref="AA19:AA21" si="39">Z19*(1+$R19)</f>
        <v>0</v>
      </c>
      <c r="AB19" s="144">
        <f t="shared" ref="AB19:AB21" si="40">AA19*(1+$R19)</f>
        <v>0</v>
      </c>
      <c r="AC19" s="137">
        <f t="shared" ref="AC19:AC21" si="41">((AB19/G19)^(1/($AB$4-$H$2) ))-1</f>
        <v>-1</v>
      </c>
      <c r="AD19" s="31">
        <v>0.05</v>
      </c>
      <c r="AE19" s="126">
        <f>(AB19*(1+AC19))/($C$2-AD19)</f>
        <v>0</v>
      </c>
    </row>
    <row r="20" spans="2:31" x14ac:dyDescent="0.2">
      <c r="B20" s="20" t="s">
        <v>285</v>
      </c>
      <c r="C20" s="140"/>
      <c r="D20" s="147"/>
      <c r="E20" s="147"/>
      <c r="F20" s="147">
        <v>-39.71</v>
      </c>
      <c r="G20" s="147">
        <v>-19.61</v>
      </c>
      <c r="H20" s="147">
        <v>110.28</v>
      </c>
      <c r="I20" s="147">
        <v>39</v>
      </c>
      <c r="J20" s="147">
        <v>217</v>
      </c>
      <c r="K20" s="147">
        <v>517</v>
      </c>
      <c r="L20" s="147">
        <v>490</v>
      </c>
      <c r="M20" s="147">
        <v>406</v>
      </c>
      <c r="N20" s="147">
        <v>450</v>
      </c>
      <c r="O20" s="147">
        <v>-738</v>
      </c>
      <c r="P20" s="147"/>
      <c r="Q20" s="118">
        <f>((P20/G20)^(1/($H$3-$H$2) ))-1</f>
        <v>-1</v>
      </c>
      <c r="R20" s="31">
        <v>0.05</v>
      </c>
      <c r="S20" s="144">
        <f t="shared" si="31"/>
        <v>0</v>
      </c>
      <c r="T20" s="144">
        <f t="shared" si="32"/>
        <v>0</v>
      </c>
      <c r="U20" s="144">
        <f t="shared" si="33"/>
        <v>0</v>
      </c>
      <c r="V20" s="144">
        <f t="shared" si="34"/>
        <v>0</v>
      </c>
      <c r="W20" s="144">
        <f t="shared" si="35"/>
        <v>0</v>
      </c>
      <c r="X20" s="144">
        <f t="shared" si="36"/>
        <v>0</v>
      </c>
      <c r="Y20" s="144">
        <f t="shared" si="37"/>
        <v>0</v>
      </c>
      <c r="Z20" s="144">
        <f t="shared" si="38"/>
        <v>0</v>
      </c>
      <c r="AA20" s="144">
        <f t="shared" si="39"/>
        <v>0</v>
      </c>
      <c r="AB20" s="144">
        <f t="shared" si="40"/>
        <v>0</v>
      </c>
      <c r="AC20" s="137">
        <f t="shared" si="41"/>
        <v>-1</v>
      </c>
      <c r="AD20" s="31">
        <v>0.05</v>
      </c>
      <c r="AE20" s="126">
        <f>(AB20*(1+AC20))/($C$2-AD20)</f>
        <v>0</v>
      </c>
    </row>
    <row r="21" spans="2:31" x14ac:dyDescent="0.2">
      <c r="B21" s="20" t="s">
        <v>286</v>
      </c>
      <c r="C21" s="140"/>
      <c r="D21" s="147"/>
      <c r="E21" s="147"/>
      <c r="F21" s="147">
        <v>-44</v>
      </c>
      <c r="G21" s="147">
        <v>-44</v>
      </c>
      <c r="H21" s="147">
        <v>-111</v>
      </c>
      <c r="I21" s="147">
        <v>-404</v>
      </c>
      <c r="J21" s="147">
        <v>-529</v>
      </c>
      <c r="K21" s="147">
        <v>-643</v>
      </c>
      <c r="L21" s="147">
        <v>-728</v>
      </c>
      <c r="M21" s="147">
        <v>-895</v>
      </c>
      <c r="N21" s="147">
        <v>-994</v>
      </c>
      <c r="O21" s="147">
        <v>-1910</v>
      </c>
      <c r="P21" s="147"/>
      <c r="Q21" s="118">
        <f>((P21/G21)^(1/($H$3-$H$2) ))-1</f>
        <v>-1</v>
      </c>
      <c r="R21" s="31">
        <v>0.05</v>
      </c>
      <c r="S21" s="144">
        <f t="shared" si="31"/>
        <v>0</v>
      </c>
      <c r="T21" s="144">
        <f t="shared" si="32"/>
        <v>0</v>
      </c>
      <c r="U21" s="144">
        <f t="shared" si="33"/>
        <v>0</v>
      </c>
      <c r="V21" s="144">
        <f t="shared" si="34"/>
        <v>0</v>
      </c>
      <c r="W21" s="144">
        <f t="shared" si="35"/>
        <v>0</v>
      </c>
      <c r="X21" s="144">
        <f t="shared" si="36"/>
        <v>0</v>
      </c>
      <c r="Y21" s="144">
        <f t="shared" si="37"/>
        <v>0</v>
      </c>
      <c r="Z21" s="144">
        <f t="shared" si="38"/>
        <v>0</v>
      </c>
      <c r="AA21" s="144">
        <f t="shared" si="39"/>
        <v>0</v>
      </c>
      <c r="AB21" s="144">
        <f t="shared" si="40"/>
        <v>0</v>
      </c>
      <c r="AC21" s="137">
        <f t="shared" si="41"/>
        <v>-1</v>
      </c>
      <c r="AD21" s="31">
        <v>0.05</v>
      </c>
      <c r="AE21" s="126">
        <f>(AB21*(1+AC21))/($C$2-AD21)</f>
        <v>0</v>
      </c>
    </row>
    <row r="22" spans="2:31" x14ac:dyDescent="0.2">
      <c r="B22" s="20" t="s">
        <v>296</v>
      </c>
      <c r="C22" s="140"/>
      <c r="D22" s="147"/>
      <c r="E22" s="147"/>
      <c r="F22" s="147">
        <v>716</v>
      </c>
      <c r="G22" s="147">
        <v>1091</v>
      </c>
      <c r="H22" s="147">
        <v>1904</v>
      </c>
      <c r="I22" s="147">
        <v>3109</v>
      </c>
      <c r="J22" s="147">
        <v>4849</v>
      </c>
      <c r="K22" s="147">
        <v>7198</v>
      </c>
      <c r="L22" s="147">
        <v>9739</v>
      </c>
      <c r="M22" s="147">
        <v>12854</v>
      </c>
      <c r="N22" s="147">
        <v>17228</v>
      </c>
      <c r="O22" s="147">
        <v>3098</v>
      </c>
      <c r="P22" s="147"/>
      <c r="Q22" s="118">
        <f>((P22/G22)^(1/($H$3-$H$2) ))-1</f>
        <v>-1</v>
      </c>
      <c r="R22" s="31">
        <v>0.05</v>
      </c>
      <c r="S22" s="144">
        <f t="shared" ref="S22" si="42">P22*(1+$R22)</f>
        <v>0</v>
      </c>
      <c r="T22" s="144">
        <f t="shared" ref="T22" si="43">S22*(1+$R22)</f>
        <v>0</v>
      </c>
      <c r="U22" s="144">
        <f t="shared" ref="U22" si="44">T22*(1+$R22)</f>
        <v>0</v>
      </c>
      <c r="V22" s="144">
        <f t="shared" ref="V22" si="45">U22*(1+$R22)</f>
        <v>0</v>
      </c>
      <c r="W22" s="144">
        <f t="shared" ref="W22" si="46">V22*(1+$R22)</f>
        <v>0</v>
      </c>
      <c r="X22" s="144">
        <f t="shared" ref="X22" si="47">W22*(1+$R22)</f>
        <v>0</v>
      </c>
      <c r="Y22" s="144">
        <f t="shared" ref="Y22" si="48">X22*(1+$R22)</f>
        <v>0</v>
      </c>
      <c r="Z22" s="144">
        <f t="shared" ref="Z22" si="49">Y22*(1+$R22)</f>
        <v>0</v>
      </c>
      <c r="AA22" s="144">
        <f t="shared" ref="AA22" si="50">Z22*(1+$R22)</f>
        <v>0</v>
      </c>
      <c r="AB22" s="144">
        <f t="shared" ref="AB22" si="51">AA22*(1+$R22)</f>
        <v>0</v>
      </c>
      <c r="AC22" s="137">
        <f t="shared" ref="AC22" si="52">((AB22/G22)^(1/($AB$4-$H$2) ))-1</f>
        <v>-1</v>
      </c>
      <c r="AD22" s="31">
        <v>0.05</v>
      </c>
      <c r="AE22" s="126">
        <f>(AB22*(1+AC22))/($C$2-AD22)</f>
        <v>0</v>
      </c>
    </row>
    <row r="23" spans="2:31" x14ac:dyDescent="0.2">
      <c r="B23" s="20"/>
      <c r="C23" s="140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7"/>
      <c r="R23" s="127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37"/>
      <c r="AD23" s="20"/>
      <c r="AE23" s="20"/>
    </row>
    <row r="24" spans="2:31" x14ac:dyDescent="0.2">
      <c r="B24" s="20" t="s">
        <v>89</v>
      </c>
      <c r="C24" s="140"/>
      <c r="D24" s="147"/>
      <c r="E24" s="147"/>
      <c r="F24" s="147">
        <v>1292</v>
      </c>
      <c r="G24" s="147">
        <v>1530</v>
      </c>
      <c r="H24" s="147">
        <v>2316</v>
      </c>
      <c r="I24" s="147">
        <v>3916</v>
      </c>
      <c r="J24" s="147">
        <v>4534</v>
      </c>
      <c r="K24" s="147">
        <v>6411</v>
      </c>
      <c r="L24" s="147">
        <v>8574</v>
      </c>
      <c r="M24" s="147">
        <v>7098</v>
      </c>
      <c r="N24" s="147">
        <v>12687</v>
      </c>
      <c r="O24" s="147">
        <v>13249</v>
      </c>
      <c r="P24" s="147">
        <f>10698+2238</f>
        <v>12936</v>
      </c>
      <c r="Q24" s="118">
        <f>((P24/G24)^(1/($H$3-$H$2) ))-1</f>
        <v>0.2676870796966786</v>
      </c>
      <c r="R24" s="31">
        <v>0.1</v>
      </c>
      <c r="S24" s="144">
        <f t="shared" si="21"/>
        <v>14229.6</v>
      </c>
      <c r="T24" s="144">
        <f t="shared" si="22"/>
        <v>15652.560000000001</v>
      </c>
      <c r="U24" s="144">
        <f t="shared" si="23"/>
        <v>17217.816000000003</v>
      </c>
      <c r="V24" s="144">
        <f t="shared" si="24"/>
        <v>18939.597600000005</v>
      </c>
      <c r="W24" s="144">
        <f t="shared" si="25"/>
        <v>20833.557360000006</v>
      </c>
      <c r="X24" s="144">
        <f t="shared" si="26"/>
        <v>22916.913096000007</v>
      </c>
      <c r="Y24" s="144">
        <f t="shared" si="27"/>
        <v>25208.60440560001</v>
      </c>
      <c r="Z24" s="144">
        <f t="shared" si="28"/>
        <v>27729.464846160012</v>
      </c>
      <c r="AA24" s="144">
        <f t="shared" si="29"/>
        <v>30502.411330776016</v>
      </c>
      <c r="AB24" s="144">
        <f t="shared" si="30"/>
        <v>33552.652463853621</v>
      </c>
      <c r="AC24" s="137">
        <f t="shared" si="16"/>
        <v>0.17646987767550781</v>
      </c>
      <c r="AD24" s="31">
        <v>0.08</v>
      </c>
      <c r="AE24" s="126">
        <f>(AB24*(1+AC24))/($C$2-AD24)</f>
        <v>563909.78485483862</v>
      </c>
    </row>
    <row r="25" spans="2:31" x14ac:dyDescent="0.2">
      <c r="B25" s="20" t="s">
        <v>262</v>
      </c>
      <c r="C25" s="140"/>
      <c r="D25" s="147"/>
      <c r="E25" s="147"/>
      <c r="F25" s="147">
        <v>828</v>
      </c>
      <c r="G25" s="147">
        <v>857</v>
      </c>
      <c r="H25" s="147">
        <v>1010</v>
      </c>
      <c r="I25" s="147">
        <v>1024</v>
      </c>
      <c r="J25" s="147">
        <v>951</v>
      </c>
      <c r="K25" s="147">
        <v>1400</v>
      </c>
      <c r="L25" s="147">
        <v>1849</v>
      </c>
      <c r="M25" s="147">
        <v>1807</v>
      </c>
      <c r="N25" s="147">
        <v>2831</v>
      </c>
      <c r="O25" s="147">
        <v>2358</v>
      </c>
      <c r="P25" s="147">
        <v>3463</v>
      </c>
      <c r="Q25" s="118">
        <f>((P25/G25)^(1/($H$3-$H$2) ))-1</f>
        <v>0.16784643965801616</v>
      </c>
      <c r="R25" s="31">
        <v>0.1</v>
      </c>
      <c r="S25" s="144">
        <f t="shared" si="21"/>
        <v>3809.3</v>
      </c>
      <c r="T25" s="144">
        <f t="shared" si="22"/>
        <v>4190.2300000000005</v>
      </c>
      <c r="U25" s="144">
        <f t="shared" si="23"/>
        <v>4609.2530000000006</v>
      </c>
      <c r="V25" s="144">
        <f t="shared" si="24"/>
        <v>5070.1783000000014</v>
      </c>
      <c r="W25" s="144">
        <f t="shared" si="25"/>
        <v>5577.1961300000021</v>
      </c>
      <c r="X25" s="144">
        <f t="shared" si="26"/>
        <v>6134.9157430000032</v>
      </c>
      <c r="Y25" s="144">
        <f t="shared" si="27"/>
        <v>6748.4073173000043</v>
      </c>
      <c r="Z25" s="144">
        <f t="shared" si="28"/>
        <v>7423.2480490300049</v>
      </c>
      <c r="AA25" s="144">
        <f t="shared" si="29"/>
        <v>8165.5728539330057</v>
      </c>
      <c r="AB25" s="144">
        <f t="shared" si="30"/>
        <v>8982.1301393263075</v>
      </c>
      <c r="AC25" s="137">
        <f t="shared" si="16"/>
        <v>0.13163191010405084</v>
      </c>
      <c r="AD25" s="31">
        <v>0.08</v>
      </c>
      <c r="AE25" s="126">
        <f>(AB25*(1+AC25))/($C$2-AD25)</f>
        <v>145206.64409098562</v>
      </c>
    </row>
    <row r="26" spans="2:31" x14ac:dyDescent="0.2">
      <c r="B26" s="20"/>
      <c r="C26" s="140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27"/>
      <c r="R26" s="127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37"/>
      <c r="AD26" s="31"/>
      <c r="AE26" s="126"/>
    </row>
    <row r="27" spans="2:31" x14ac:dyDescent="0.2">
      <c r="B27" s="20" t="s">
        <v>300</v>
      </c>
      <c r="C27" s="140"/>
      <c r="D27" s="147"/>
      <c r="E27" s="147"/>
      <c r="F27" s="147">
        <v>1</v>
      </c>
      <c r="G27" s="147">
        <v>1</v>
      </c>
      <c r="H27" s="147"/>
      <c r="I27" s="147"/>
      <c r="J27" s="147"/>
      <c r="K27" s="147"/>
      <c r="L27" s="147"/>
      <c r="M27" s="147"/>
      <c r="N27" s="147"/>
      <c r="O27" s="147"/>
      <c r="P27" s="147">
        <v>2</v>
      </c>
      <c r="Q27" s="118">
        <f>((P27/G27)^(1/($H$3-$H$2) ))-1</f>
        <v>8.0059738892306109E-2</v>
      </c>
      <c r="R27" s="31">
        <v>0.1</v>
      </c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37"/>
      <c r="AD27" s="31"/>
      <c r="AE27" s="126"/>
    </row>
    <row r="28" spans="2:31" x14ac:dyDescent="0.2">
      <c r="B28" s="20" t="s">
        <v>301</v>
      </c>
      <c r="C28" s="140"/>
      <c r="D28" s="147"/>
      <c r="E28" s="147"/>
      <c r="F28" s="147">
        <v>47</v>
      </c>
      <c r="G28" s="147">
        <v>54</v>
      </c>
      <c r="H28" s="147">
        <v>66</v>
      </c>
      <c r="I28" s="147">
        <v>75</v>
      </c>
      <c r="J28" s="147">
        <v>118</v>
      </c>
      <c r="K28" s="147">
        <v>90</v>
      </c>
      <c r="L28" s="147">
        <v>122</v>
      </c>
      <c r="M28" s="147">
        <v>426</v>
      </c>
      <c r="N28" s="147">
        <v>978</v>
      </c>
      <c r="O28" s="147">
        <v>1022</v>
      </c>
      <c r="P28" s="147">
        <v>952</v>
      </c>
      <c r="Q28" s="118">
        <f>((P28/G28)^(1/($H$3-$H$2) ))-1</f>
        <v>0.37553443007999077</v>
      </c>
      <c r="R28" s="31">
        <v>0.1</v>
      </c>
      <c r="S28" s="144">
        <f t="shared" si="21"/>
        <v>1047.2</v>
      </c>
      <c r="T28" s="144">
        <f t="shared" si="22"/>
        <v>1151.92</v>
      </c>
      <c r="U28" s="144">
        <f t="shared" si="23"/>
        <v>1267.1120000000001</v>
      </c>
      <c r="V28" s="144">
        <f t="shared" si="24"/>
        <v>1393.8232000000003</v>
      </c>
      <c r="W28" s="144">
        <f t="shared" si="25"/>
        <v>1533.2055200000004</v>
      </c>
      <c r="X28" s="144">
        <f t="shared" si="26"/>
        <v>1686.5260720000006</v>
      </c>
      <c r="Y28" s="144">
        <f t="shared" si="27"/>
        <v>1855.1786792000007</v>
      </c>
      <c r="Z28" s="144">
        <f t="shared" si="28"/>
        <v>2040.696547120001</v>
      </c>
      <c r="AA28" s="144">
        <f t="shared" si="29"/>
        <v>2244.7662018320011</v>
      </c>
      <c r="AB28" s="144">
        <f t="shared" si="30"/>
        <v>2469.2428220152015</v>
      </c>
      <c r="AC28" s="137">
        <f t="shared" si="16"/>
        <v>0.22286177719855971</v>
      </c>
      <c r="AD28" s="31">
        <v>0.08</v>
      </c>
      <c r="AE28" s="126">
        <f>(AB28*(1+AC28))/($C$2-AD28)</f>
        <v>43136.32379520424</v>
      </c>
    </row>
    <row r="29" spans="2:31" x14ac:dyDescent="0.2">
      <c r="B29" s="20" t="s">
        <v>302</v>
      </c>
      <c r="C29" s="140"/>
      <c r="D29" s="147"/>
      <c r="E29" s="147"/>
      <c r="F29" s="147">
        <v>171</v>
      </c>
      <c r="G29" s="147">
        <v>190</v>
      </c>
      <c r="H29" s="147">
        <v>190</v>
      </c>
      <c r="I29" s="147">
        <v>180</v>
      </c>
      <c r="J29" s="147">
        <v>197</v>
      </c>
      <c r="K29" s="147">
        <v>328</v>
      </c>
      <c r="L29" s="147">
        <v>421</v>
      </c>
      <c r="M29" s="147">
        <v>419</v>
      </c>
      <c r="N29" s="147">
        <v>492</v>
      </c>
      <c r="O29" s="147">
        <v>529</v>
      </c>
      <c r="P29" s="147">
        <v>579</v>
      </c>
      <c r="Q29" s="118">
        <f>((P29/G29)^(1/($H$3-$H$2) ))-1</f>
        <v>0.13179935033138412</v>
      </c>
      <c r="R29" s="31">
        <v>0.1</v>
      </c>
      <c r="S29" s="144">
        <f t="shared" si="21"/>
        <v>636.90000000000009</v>
      </c>
      <c r="T29" s="144">
        <f t="shared" si="22"/>
        <v>700.59000000000015</v>
      </c>
      <c r="U29" s="144">
        <f t="shared" si="23"/>
        <v>770.64900000000023</v>
      </c>
      <c r="V29" s="144">
        <f t="shared" si="24"/>
        <v>847.71390000000031</v>
      </c>
      <c r="W29" s="144">
        <f t="shared" si="25"/>
        <v>932.48529000000042</v>
      </c>
      <c r="X29" s="144">
        <f t="shared" si="26"/>
        <v>1025.7338190000005</v>
      </c>
      <c r="Y29" s="144">
        <f t="shared" si="27"/>
        <v>1128.3072009000007</v>
      </c>
      <c r="Z29" s="144">
        <f t="shared" si="28"/>
        <v>1241.1379209900008</v>
      </c>
      <c r="AA29" s="144">
        <f t="shared" si="29"/>
        <v>1365.251713089001</v>
      </c>
      <c r="AB29" s="144">
        <f t="shared" si="30"/>
        <v>1501.7768843979013</v>
      </c>
      <c r="AC29" s="137">
        <f t="shared" si="16"/>
        <v>0.11494991474549998</v>
      </c>
      <c r="AD29" s="31">
        <v>0.08</v>
      </c>
      <c r="AE29" s="126">
        <f>(AB29*(1+AC29))/($C$2-AD29)</f>
        <v>23920.085846088612</v>
      </c>
    </row>
    <row r="30" spans="2:31" x14ac:dyDescent="0.2">
      <c r="B30" s="20"/>
      <c r="C30" s="140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27"/>
      <c r="R30" s="127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38"/>
      <c r="AD30" s="20"/>
      <c r="AE30" s="20"/>
    </row>
    <row r="31" spans="2:31" x14ac:dyDescent="0.2">
      <c r="B31" s="20" t="s">
        <v>279</v>
      </c>
      <c r="C31" s="140"/>
      <c r="D31" s="147"/>
      <c r="E31" s="147"/>
      <c r="F31" s="147">
        <v>367</v>
      </c>
      <c r="G31" s="147">
        <v>598</v>
      </c>
      <c r="H31" s="147">
        <v>1215</v>
      </c>
      <c r="I31" s="147">
        <v>2691</v>
      </c>
      <c r="J31" s="147">
        <v>3227</v>
      </c>
      <c r="K31" s="147">
        <v>4340</v>
      </c>
      <c r="L31" s="147">
        <v>5842</v>
      </c>
      <c r="M31" s="147">
        <v>4430</v>
      </c>
      <c r="N31" s="147">
        <v>8650</v>
      </c>
      <c r="O31" s="147">
        <v>8926</v>
      </c>
      <c r="P31" s="147">
        <v>9478</v>
      </c>
      <c r="Q31" s="118">
        <f>((P31/G31)^(1/($H$3-$H$2) ))-1</f>
        <v>0.35936178858898149</v>
      </c>
      <c r="R31" s="31">
        <v>0.1</v>
      </c>
      <c r="S31" s="144">
        <f t="shared" si="21"/>
        <v>10425.800000000001</v>
      </c>
      <c r="T31" s="144">
        <f t="shared" si="22"/>
        <v>11468.380000000003</v>
      </c>
      <c r="U31" s="144">
        <f t="shared" si="23"/>
        <v>12615.218000000004</v>
      </c>
      <c r="V31" s="144">
        <f t="shared" si="24"/>
        <v>13876.739800000007</v>
      </c>
      <c r="W31" s="144">
        <f t="shared" si="25"/>
        <v>15264.413780000008</v>
      </c>
      <c r="X31" s="144">
        <f t="shared" si="26"/>
        <v>16790.855158000009</v>
      </c>
      <c r="Y31" s="144">
        <f t="shared" si="27"/>
        <v>18469.940673800011</v>
      </c>
      <c r="Z31" s="144">
        <f t="shared" si="28"/>
        <v>20316.934741180012</v>
      </c>
      <c r="AA31" s="144">
        <f t="shared" si="29"/>
        <v>22348.628215298013</v>
      </c>
      <c r="AB31" s="144">
        <f t="shared" si="30"/>
        <v>24583.491036827818</v>
      </c>
      <c r="AC31" s="137">
        <f t="shared" si="16"/>
        <v>0.21603012896746399</v>
      </c>
      <c r="AD31" s="31">
        <v>0.08</v>
      </c>
      <c r="AE31" s="126">
        <f>(AB31*(1+AC31))/($C$2-AD31)</f>
        <v>427060.93965691753</v>
      </c>
    </row>
    <row r="32" spans="2:31" x14ac:dyDescent="0.2">
      <c r="B32" s="20"/>
      <c r="C32" s="140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27"/>
      <c r="R32" s="127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38"/>
      <c r="AD32" s="20"/>
      <c r="AE32" s="20"/>
    </row>
    <row r="33" spans="2:31" x14ac:dyDescent="0.2">
      <c r="B33" s="20" t="s">
        <v>257</v>
      </c>
      <c r="C33" s="140"/>
      <c r="D33" s="147"/>
      <c r="E33" s="147"/>
      <c r="F33" s="147">
        <v>312</v>
      </c>
      <c r="G33" s="147">
        <v>432</v>
      </c>
      <c r="H33" s="147">
        <v>755</v>
      </c>
      <c r="I33" s="147">
        <v>1827</v>
      </c>
      <c r="J33" s="147">
        <v>2320</v>
      </c>
      <c r="K33" s="147">
        <v>3250</v>
      </c>
      <c r="L33" s="147">
        <v>4372</v>
      </c>
      <c r="M33" s="147">
        <v>3447</v>
      </c>
      <c r="N33" s="147">
        <v>6499</v>
      </c>
      <c r="O33" s="147">
        <v>7265</v>
      </c>
      <c r="P33" s="147">
        <v>6342</v>
      </c>
      <c r="Q33" s="118">
        <f>((P33/G33)^(1/($H$3-$H$2) ))-1</f>
        <v>0.34783911148977364</v>
      </c>
      <c r="R33" s="31">
        <v>0.1</v>
      </c>
      <c r="S33" s="144">
        <f>P33*(1+$R33)</f>
        <v>6976.2000000000007</v>
      </c>
      <c r="T33" s="144">
        <f t="shared" ref="T33:AB33" si="53">S33*(1+$R33)</f>
        <v>7673.8200000000015</v>
      </c>
      <c r="U33" s="144">
        <f t="shared" si="53"/>
        <v>8441.202000000003</v>
      </c>
      <c r="V33" s="144">
        <f t="shared" si="53"/>
        <v>9285.3222000000042</v>
      </c>
      <c r="W33" s="144">
        <f t="shared" si="53"/>
        <v>10213.854420000005</v>
      </c>
      <c r="X33" s="144">
        <f t="shared" si="53"/>
        <v>11235.239862000006</v>
      </c>
      <c r="Y33" s="144">
        <f t="shared" si="53"/>
        <v>12358.763848200007</v>
      </c>
      <c r="Z33" s="144">
        <f t="shared" si="53"/>
        <v>13594.640233020009</v>
      </c>
      <c r="AA33" s="144">
        <f t="shared" si="53"/>
        <v>14954.104256322011</v>
      </c>
      <c r="AB33" s="144">
        <f t="shared" si="53"/>
        <v>16449.514681954213</v>
      </c>
      <c r="AC33" s="137">
        <f t="shared" si="16"/>
        <v>0.21113658543237701</v>
      </c>
      <c r="AD33" s="31">
        <v>0.08</v>
      </c>
      <c r="AE33" s="126">
        <f>(AB33*(1+AC33))/($C$2-AD33)</f>
        <v>284608.70062745403</v>
      </c>
    </row>
    <row r="34" spans="2:31" x14ac:dyDescent="0.2">
      <c r="B34" s="20"/>
      <c r="C34" s="140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7"/>
      <c r="R34" s="127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38"/>
      <c r="AD34" s="20"/>
      <c r="AE34" s="20"/>
    </row>
    <row r="35" spans="2:31" x14ac:dyDescent="0.2">
      <c r="B35" s="20" t="s">
        <v>239</v>
      </c>
      <c r="C35" s="141">
        <v>1</v>
      </c>
      <c r="D35" s="141">
        <v>1</v>
      </c>
      <c r="E35" s="142">
        <v>1</v>
      </c>
      <c r="F35" s="141">
        <v>13.21</v>
      </c>
      <c r="G35" s="141">
        <v>13.21</v>
      </c>
      <c r="H35" s="141">
        <v>13.21</v>
      </c>
      <c r="I35" s="141">
        <v>13.21</v>
      </c>
      <c r="J35" s="141">
        <v>13.21</v>
      </c>
      <c r="K35" s="141">
        <v>13.21</v>
      </c>
      <c r="L35" s="143">
        <v>396.47</v>
      </c>
      <c r="M35" s="143">
        <v>396.47</v>
      </c>
      <c r="N35" s="143">
        <v>396.47</v>
      </c>
      <c r="O35" s="143">
        <v>396.47</v>
      </c>
      <c r="P35" s="143">
        <v>396.47</v>
      </c>
      <c r="Q35" s="118">
        <f>((P35/G35)^(1/($H$3-$H$2) ))-1</f>
        <v>0.45930234127218683</v>
      </c>
      <c r="R35" s="31">
        <v>0</v>
      </c>
      <c r="S35" s="119">
        <f t="shared" ref="S35" si="54">P35*(1+$R35)</f>
        <v>396.47</v>
      </c>
      <c r="T35" s="119">
        <f t="shared" ref="T35:AB35" si="55">S35*(1+$R35)</f>
        <v>396.47</v>
      </c>
      <c r="U35" s="119">
        <f t="shared" si="55"/>
        <v>396.47</v>
      </c>
      <c r="V35" s="119">
        <f t="shared" si="55"/>
        <v>396.47</v>
      </c>
      <c r="W35" s="119">
        <f t="shared" si="55"/>
        <v>396.47</v>
      </c>
      <c r="X35" s="119">
        <f t="shared" si="55"/>
        <v>396.47</v>
      </c>
      <c r="Y35" s="119">
        <f t="shared" si="55"/>
        <v>396.47</v>
      </c>
      <c r="Z35" s="119">
        <f t="shared" si="55"/>
        <v>396.47</v>
      </c>
      <c r="AA35" s="119">
        <f t="shared" si="55"/>
        <v>396.47</v>
      </c>
      <c r="AB35" s="119">
        <f t="shared" si="55"/>
        <v>396.47</v>
      </c>
      <c r="AC35" s="137">
        <f t="shared" si="16"/>
        <v>0.19606016677142413</v>
      </c>
      <c r="AD35" s="31">
        <v>0.08</v>
      </c>
      <c r="AE35" s="126">
        <f>(AB35*(1+AC35))/($C$2-AD35)</f>
        <v>6774.3139188552377</v>
      </c>
    </row>
    <row r="36" spans="2:31" x14ac:dyDescent="0.2">
      <c r="B36" s="20"/>
      <c r="C36" s="20"/>
      <c r="D36" s="20"/>
      <c r="E36" s="126"/>
      <c r="F36" s="126"/>
      <c r="G36" s="126"/>
      <c r="H36" s="20"/>
      <c r="I36" s="20"/>
      <c r="J36" s="20"/>
      <c r="K36" s="20"/>
      <c r="L36" s="20"/>
      <c r="M36" s="20"/>
      <c r="N36" s="20"/>
      <c r="O36" s="20"/>
      <c r="P36" s="20"/>
      <c r="Q36" s="127"/>
      <c r="R36" s="127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38"/>
      <c r="AD36" s="20"/>
      <c r="AE36" s="20"/>
    </row>
    <row r="37" spans="2:31" x14ac:dyDescent="0.2">
      <c r="B37" s="108" t="s">
        <v>243</v>
      </c>
      <c r="C37" s="20"/>
      <c r="D37" s="20"/>
      <c r="E37" s="126"/>
      <c r="F37" s="126"/>
      <c r="G37" s="126"/>
      <c r="H37" s="20"/>
      <c r="I37" s="20"/>
      <c r="J37" s="20"/>
      <c r="K37" s="20"/>
      <c r="L37" s="20"/>
      <c r="M37" s="20"/>
      <c r="N37" s="20"/>
      <c r="O37" s="20"/>
      <c r="P37" s="20"/>
      <c r="Q37" s="127"/>
      <c r="R37" s="127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38"/>
      <c r="AD37" s="20"/>
      <c r="AE37" s="20"/>
    </row>
    <row r="38" spans="2:31" x14ac:dyDescent="0.2">
      <c r="B38" s="20" t="s">
        <v>258</v>
      </c>
      <c r="C38" s="145">
        <f t="shared" ref="C38:M38" si="56">C33/C35</f>
        <v>0</v>
      </c>
      <c r="D38" s="145">
        <f t="shared" si="56"/>
        <v>0</v>
      </c>
      <c r="E38" s="145">
        <f t="shared" si="56"/>
        <v>0</v>
      </c>
      <c r="F38" s="145">
        <f t="shared" si="56"/>
        <v>23.618470855412564</v>
      </c>
      <c r="G38" s="145">
        <f t="shared" si="56"/>
        <v>32.702498107494321</v>
      </c>
      <c r="H38" s="145">
        <f t="shared" si="56"/>
        <v>57.153671461014376</v>
      </c>
      <c r="I38" s="145">
        <f t="shared" si="56"/>
        <v>138.30431491294473</v>
      </c>
      <c r="J38" s="145">
        <f t="shared" si="56"/>
        <v>175.62452687358061</v>
      </c>
      <c r="K38" s="145">
        <f t="shared" si="56"/>
        <v>246.02573807721421</v>
      </c>
      <c r="L38" s="145">
        <f t="shared" si="56"/>
        <v>11.027316064267158</v>
      </c>
      <c r="M38" s="145">
        <f t="shared" si="56"/>
        <v>8.6942265492975501</v>
      </c>
      <c r="N38" s="145">
        <f>N33/N35</f>
        <v>16.392160819229701</v>
      </c>
      <c r="O38" s="145">
        <f>O33/O35</f>
        <v>18.324211163518047</v>
      </c>
      <c r="P38" s="145">
        <f>P33/P35</f>
        <v>15.996166166418643</v>
      </c>
      <c r="Q38" s="118">
        <f>((P38/G38)^(1/($H$3-$H$2) ))-1</f>
        <v>-7.638117655950738E-2</v>
      </c>
      <c r="R38" s="31">
        <v>0.08</v>
      </c>
      <c r="S38" s="145">
        <f t="shared" ref="S38:S41" si="57">P38*(1+$R38)</f>
        <v>17.275859459732136</v>
      </c>
      <c r="T38" s="145">
        <f t="shared" ref="T38:AB41" si="58">S38*(1+$R38)</f>
        <v>18.657928216510708</v>
      </c>
      <c r="U38" s="145">
        <f t="shared" si="58"/>
        <v>20.150562473831567</v>
      </c>
      <c r="V38" s="145">
        <f t="shared" si="58"/>
        <v>21.762607471738093</v>
      </c>
      <c r="W38" s="145">
        <f t="shared" si="58"/>
        <v>23.503616069477143</v>
      </c>
      <c r="X38" s="145">
        <f t="shared" si="58"/>
        <v>25.383905355035317</v>
      </c>
      <c r="Y38" s="145">
        <f t="shared" si="58"/>
        <v>27.414617783438143</v>
      </c>
      <c r="Z38" s="145">
        <f t="shared" si="58"/>
        <v>29.607787206113198</v>
      </c>
      <c r="AA38" s="145">
        <f t="shared" si="58"/>
        <v>31.976410182602255</v>
      </c>
      <c r="AB38" s="145">
        <f t="shared" si="58"/>
        <v>34.534522997210438</v>
      </c>
      <c r="AC38" s="137">
        <f t="shared" ref="AC38:AC51" si="59">((AB38/G38)^(1/($AB$4-$H$2) ))-1</f>
        <v>2.8729622570964342E-3</v>
      </c>
      <c r="AD38" s="31">
        <v>0.08</v>
      </c>
      <c r="AE38" s="126">
        <f>(AB38*(1+AC38))/($C$2-AD38)</f>
        <v>494.76770540497506</v>
      </c>
    </row>
    <row r="39" spans="2:31" x14ac:dyDescent="0.2">
      <c r="B39" s="20" t="s">
        <v>245</v>
      </c>
      <c r="C39" s="145">
        <f t="shared" ref="C39:P39" si="60">C8/C35</f>
        <v>0</v>
      </c>
      <c r="D39" s="145">
        <f t="shared" si="60"/>
        <v>0</v>
      </c>
      <c r="E39" s="145">
        <f t="shared" si="60"/>
        <v>0</v>
      </c>
      <c r="F39" s="145">
        <f t="shared" si="60"/>
        <v>124.60257380772141</v>
      </c>
      <c r="G39" s="145">
        <f t="shared" si="60"/>
        <v>153.44436033308099</v>
      </c>
      <c r="H39" s="145">
        <f t="shared" si="60"/>
        <v>197.04769114307342</v>
      </c>
      <c r="I39" s="145">
        <f t="shared" si="60"/>
        <v>303.86071158213474</v>
      </c>
      <c r="J39" s="145">
        <f t="shared" si="60"/>
        <v>439.06131718395153</v>
      </c>
      <c r="K39" s="145">
        <f t="shared" si="60"/>
        <v>627.47918243754725</v>
      </c>
      <c r="L39" s="145">
        <f t="shared" si="60"/>
        <v>29.3490049688501</v>
      </c>
      <c r="M39" s="145">
        <f t="shared" si="60"/>
        <v>35.997679521779702</v>
      </c>
      <c r="N39" s="145">
        <f t="shared" si="60"/>
        <v>48.462683179055162</v>
      </c>
      <c r="O39" s="145">
        <f t="shared" si="60"/>
        <v>61.558251570106179</v>
      </c>
      <c r="P39" s="145">
        <f t="shared" si="60"/>
        <v>69.387343304663645</v>
      </c>
      <c r="Q39" s="118">
        <f>((P39/G39)^(1/($H$3-$H$2) ))-1</f>
        <v>-8.4405323896895257E-2</v>
      </c>
      <c r="R39" s="31">
        <v>0.08</v>
      </c>
      <c r="S39" s="145">
        <f t="shared" si="57"/>
        <v>74.938330769036739</v>
      </c>
      <c r="T39" s="145">
        <f t="shared" si="58"/>
        <v>80.933397230559677</v>
      </c>
      <c r="U39" s="145">
        <f t="shared" si="58"/>
        <v>87.408069009004464</v>
      </c>
      <c r="V39" s="145">
        <f t="shared" si="58"/>
        <v>94.400714529724823</v>
      </c>
      <c r="W39" s="145">
        <f t="shared" si="58"/>
        <v>101.95277169210281</v>
      </c>
      <c r="X39" s="145">
        <f t="shared" si="58"/>
        <v>110.10899342747105</v>
      </c>
      <c r="Y39" s="145">
        <f t="shared" si="58"/>
        <v>118.91771290166874</v>
      </c>
      <c r="Z39" s="145">
        <f t="shared" si="58"/>
        <v>128.43112993380225</v>
      </c>
      <c r="AA39" s="145">
        <f t="shared" si="58"/>
        <v>138.70562032850646</v>
      </c>
      <c r="AB39" s="145">
        <f t="shared" si="58"/>
        <v>149.80206995478699</v>
      </c>
      <c r="AC39" s="137">
        <f t="shared" si="59"/>
        <v>-1.2635767404897136E-3</v>
      </c>
      <c r="AD39" s="31">
        <v>0.08</v>
      </c>
      <c r="AE39" s="126">
        <f>(AB39*(1+AC39))/($C$2-AD39)</f>
        <v>2137.3254791930704</v>
      </c>
    </row>
    <row r="40" spans="2:31" x14ac:dyDescent="0.2">
      <c r="B40" s="20" t="s">
        <v>246</v>
      </c>
      <c r="C40" s="146">
        <f t="shared" ref="C40:P40" si="61">C7/C35</f>
        <v>0</v>
      </c>
      <c r="D40" s="146">
        <f t="shared" si="61"/>
        <v>0</v>
      </c>
      <c r="E40" s="146">
        <f t="shared" si="61"/>
        <v>0</v>
      </c>
      <c r="F40" s="146">
        <f t="shared" si="61"/>
        <v>114.61014383043148</v>
      </c>
      <c r="G40" s="146">
        <f t="shared" si="61"/>
        <v>143.45193035579106</v>
      </c>
      <c r="H40" s="146">
        <f t="shared" si="61"/>
        <v>187.05526116578349</v>
      </c>
      <c r="I40" s="146">
        <f t="shared" si="61"/>
        <v>293.86828160484481</v>
      </c>
      <c r="J40" s="146">
        <f t="shared" si="61"/>
        <v>429.0688872066616</v>
      </c>
      <c r="K40" s="146">
        <f t="shared" si="61"/>
        <v>617.48675246025732</v>
      </c>
      <c r="L40" s="146">
        <f t="shared" si="61"/>
        <v>28.350190430549599</v>
      </c>
      <c r="M40" s="146">
        <f t="shared" si="61"/>
        <v>34.9963427245441</v>
      </c>
      <c r="N40" s="146">
        <f t="shared" si="61"/>
        <v>47.463868640754654</v>
      </c>
      <c r="O40" s="146">
        <f t="shared" si="61"/>
        <v>60.556914772870577</v>
      </c>
      <c r="P40" s="146">
        <f t="shared" si="61"/>
        <v>68.388528766363152</v>
      </c>
      <c r="Q40" s="118">
        <f>((P40/G40)^(1/($H$3-$H$2) ))-1</f>
        <v>-7.9014092417215354E-2</v>
      </c>
      <c r="R40" s="31">
        <v>0.08</v>
      </c>
      <c r="S40" s="145">
        <f t="shared" si="57"/>
        <v>73.859611067672205</v>
      </c>
      <c r="T40" s="145">
        <f t="shared" si="58"/>
        <v>79.768379953085983</v>
      </c>
      <c r="U40" s="145">
        <f t="shared" si="58"/>
        <v>86.149850349332866</v>
      </c>
      <c r="V40" s="145">
        <f t="shared" si="58"/>
        <v>93.041838377279504</v>
      </c>
      <c r="W40" s="145">
        <f t="shared" si="58"/>
        <v>100.48518544746187</v>
      </c>
      <c r="X40" s="145">
        <f t="shared" si="58"/>
        <v>108.52400028325883</v>
      </c>
      <c r="Y40" s="145">
        <f t="shared" si="58"/>
        <v>117.20592030591955</v>
      </c>
      <c r="Z40" s="145">
        <f t="shared" si="58"/>
        <v>126.58239393039312</v>
      </c>
      <c r="AA40" s="145">
        <f t="shared" si="58"/>
        <v>136.70898544482458</v>
      </c>
      <c r="AB40" s="145">
        <f t="shared" si="58"/>
        <v>147.64570428041054</v>
      </c>
      <c r="AC40" s="137">
        <f t="shared" si="59"/>
        <v>1.5177566732316183E-3</v>
      </c>
      <c r="AD40" s="31">
        <v>0.08</v>
      </c>
      <c r="AE40" s="126">
        <f>(AB40*(1+AC40))/($C$2-AD40)</f>
        <v>2112.4256361908019</v>
      </c>
    </row>
    <row r="41" spans="2:31" x14ac:dyDescent="0.2">
      <c r="B41" s="20" t="s">
        <v>247</v>
      </c>
      <c r="C41" s="146">
        <f t="shared" ref="C41:P41" si="62">C11/C35</f>
        <v>0</v>
      </c>
      <c r="D41" s="146">
        <f t="shared" si="62"/>
        <v>0</v>
      </c>
      <c r="E41" s="146">
        <f t="shared" si="62"/>
        <v>0</v>
      </c>
      <c r="F41" s="146">
        <f t="shared" si="62"/>
        <v>0</v>
      </c>
      <c r="G41" s="146">
        <f t="shared" si="62"/>
        <v>0</v>
      </c>
      <c r="H41" s="146">
        <f t="shared" si="62"/>
        <v>0</v>
      </c>
      <c r="I41" s="146">
        <f t="shared" si="62"/>
        <v>0</v>
      </c>
      <c r="J41" s="146">
        <f t="shared" si="62"/>
        <v>0</v>
      </c>
      <c r="K41" s="146">
        <f t="shared" si="62"/>
        <v>0</v>
      </c>
      <c r="L41" s="146">
        <f t="shared" si="62"/>
        <v>0</v>
      </c>
      <c r="M41" s="146">
        <f t="shared" si="62"/>
        <v>0</v>
      </c>
      <c r="N41" s="146">
        <f t="shared" si="62"/>
        <v>0</v>
      </c>
      <c r="O41" s="146">
        <f t="shared" si="62"/>
        <v>0</v>
      </c>
      <c r="P41" s="146">
        <f t="shared" si="62"/>
        <v>0</v>
      </c>
      <c r="Q41" s="118" t="e">
        <f>((P41/G41)^(1/($H$3-$H$2) ))-1</f>
        <v>#DIV/0!</v>
      </c>
      <c r="R41" s="31">
        <v>0.09</v>
      </c>
      <c r="S41" s="145">
        <f t="shared" si="57"/>
        <v>0</v>
      </c>
      <c r="T41" s="145">
        <f t="shared" si="58"/>
        <v>0</v>
      </c>
      <c r="U41" s="145">
        <f t="shared" si="58"/>
        <v>0</v>
      </c>
      <c r="V41" s="145">
        <f t="shared" si="58"/>
        <v>0</v>
      </c>
      <c r="W41" s="145">
        <f t="shared" si="58"/>
        <v>0</v>
      </c>
      <c r="X41" s="145">
        <f t="shared" si="58"/>
        <v>0</v>
      </c>
      <c r="Y41" s="145">
        <f t="shared" si="58"/>
        <v>0</v>
      </c>
      <c r="Z41" s="145">
        <f t="shared" si="58"/>
        <v>0</v>
      </c>
      <c r="AA41" s="145">
        <f t="shared" si="58"/>
        <v>0</v>
      </c>
      <c r="AB41" s="145">
        <f t="shared" si="58"/>
        <v>0</v>
      </c>
      <c r="AC41" s="137" t="e">
        <f t="shared" si="59"/>
        <v>#DIV/0!</v>
      </c>
      <c r="AD41" s="31">
        <v>0.08</v>
      </c>
      <c r="AE41" s="126" t="e">
        <f>(AB41*(1+AC41))/($C$2-AD41)</f>
        <v>#DIV/0!</v>
      </c>
    </row>
    <row r="42" spans="2:31" x14ac:dyDescent="0.2">
      <c r="B42" s="20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27"/>
      <c r="R42" s="127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38"/>
      <c r="AD42" s="20"/>
      <c r="AE42" s="20"/>
    </row>
    <row r="43" spans="2:31" x14ac:dyDescent="0.2">
      <c r="B43" s="20" t="s">
        <v>271</v>
      </c>
      <c r="C43" s="146">
        <f t="shared" ref="C43:P43" si="63">(C8-C11)/C35</f>
        <v>0</v>
      </c>
      <c r="D43" s="146">
        <f t="shared" si="63"/>
        <v>0</v>
      </c>
      <c r="E43" s="146">
        <f t="shared" si="63"/>
        <v>0</v>
      </c>
      <c r="F43" s="146">
        <f t="shared" si="63"/>
        <v>124.60257380772141</v>
      </c>
      <c r="G43" s="146">
        <f t="shared" si="63"/>
        <v>153.44436033308099</v>
      </c>
      <c r="H43" s="146">
        <f t="shared" si="63"/>
        <v>197.04769114307342</v>
      </c>
      <c r="I43" s="146">
        <f t="shared" si="63"/>
        <v>303.86071158213474</v>
      </c>
      <c r="J43" s="146">
        <f t="shared" si="63"/>
        <v>439.06131718395153</v>
      </c>
      <c r="K43" s="146">
        <f t="shared" si="63"/>
        <v>627.47918243754725</v>
      </c>
      <c r="L43" s="146">
        <f t="shared" si="63"/>
        <v>29.3490049688501</v>
      </c>
      <c r="M43" s="146">
        <f t="shared" si="63"/>
        <v>35.997679521779702</v>
      </c>
      <c r="N43" s="146">
        <f t="shared" si="63"/>
        <v>48.462683179055162</v>
      </c>
      <c r="O43" s="146">
        <f t="shared" si="63"/>
        <v>61.558251570106179</v>
      </c>
      <c r="P43" s="146">
        <f t="shared" si="63"/>
        <v>69.387343304663645</v>
      </c>
      <c r="Q43" s="118">
        <f>((P43/G43)^(1/($H$3-$H$2) ))-1</f>
        <v>-8.4405323896895257E-2</v>
      </c>
      <c r="R43" s="31">
        <v>0.08</v>
      </c>
      <c r="S43" s="145">
        <f t="shared" ref="S43" si="64">P43*(1+$R43)</f>
        <v>74.938330769036739</v>
      </c>
      <c r="T43" s="145">
        <f t="shared" ref="T43" si="65">S43*(1+$R43)</f>
        <v>80.933397230559677</v>
      </c>
      <c r="U43" s="145">
        <f t="shared" ref="U43" si="66">T43*(1+$R43)</f>
        <v>87.408069009004464</v>
      </c>
      <c r="V43" s="145">
        <f t="shared" ref="V43" si="67">U43*(1+$R43)</f>
        <v>94.400714529724823</v>
      </c>
      <c r="W43" s="145">
        <f t="shared" ref="W43" si="68">V43*(1+$R43)</f>
        <v>101.95277169210281</v>
      </c>
      <c r="X43" s="145">
        <f t="shared" ref="X43" si="69">W43*(1+$R43)</f>
        <v>110.10899342747105</v>
      </c>
      <c r="Y43" s="145">
        <f t="shared" ref="Y43" si="70">X43*(1+$R43)</f>
        <v>118.91771290166874</v>
      </c>
      <c r="Z43" s="145">
        <f t="shared" ref="Z43" si="71">Y43*(1+$R43)</f>
        <v>128.43112993380225</v>
      </c>
      <c r="AA43" s="145">
        <f t="shared" ref="AA43" si="72">Z43*(1+$R43)</f>
        <v>138.70562032850646</v>
      </c>
      <c r="AB43" s="145">
        <f t="shared" ref="AB43" si="73">AA43*(1+$R43)</f>
        <v>149.80206995478699</v>
      </c>
      <c r="AC43" s="137">
        <f t="shared" si="59"/>
        <v>-1.2635767404897136E-3</v>
      </c>
      <c r="AD43" s="31">
        <v>0.08</v>
      </c>
      <c r="AE43" s="126">
        <f>(AB43*(1+AC43))/($C$2-AD43)</f>
        <v>2137.3254791930704</v>
      </c>
    </row>
    <row r="44" spans="2:31" x14ac:dyDescent="0.2">
      <c r="B44" s="20" t="s">
        <v>272</v>
      </c>
      <c r="C44" s="146">
        <f t="shared" ref="C44:P44" si="74">(C8-C11-C10)/C35</f>
        <v>0</v>
      </c>
      <c r="D44" s="146">
        <f t="shared" si="74"/>
        <v>0</v>
      </c>
      <c r="E44" s="146">
        <f t="shared" si="74"/>
        <v>0</v>
      </c>
      <c r="F44" s="146">
        <f t="shared" si="74"/>
        <v>111.50643451930355</v>
      </c>
      <c r="G44" s="146">
        <f t="shared" si="74"/>
        <v>139.28841786525359</v>
      </c>
      <c r="H44" s="146">
        <f t="shared" si="74"/>
        <v>175.32172596517788</v>
      </c>
      <c r="I44" s="146">
        <f t="shared" si="74"/>
        <v>280.99924299772897</v>
      </c>
      <c r="J44" s="146">
        <f t="shared" si="74"/>
        <v>416.04844814534442</v>
      </c>
      <c r="K44" s="146">
        <f t="shared" si="74"/>
        <v>592.27857683573052</v>
      </c>
      <c r="L44" s="146">
        <f t="shared" si="74"/>
        <v>27.956718036673642</v>
      </c>
      <c r="M44" s="146">
        <f t="shared" si="74"/>
        <v>33.871415239488485</v>
      </c>
      <c r="N44" s="146">
        <f t="shared" si="74"/>
        <v>46.243095316165153</v>
      </c>
      <c r="O44" s="146">
        <f t="shared" si="74"/>
        <v>58.859434509546745</v>
      </c>
      <c r="P44" s="146">
        <f t="shared" si="74"/>
        <v>61.227835649607783</v>
      </c>
      <c r="Q44" s="118">
        <f>((P44/G44)^(1/($H$3-$H$2) ))-1</f>
        <v>-8.7280981156493409E-2</v>
      </c>
      <c r="R44" s="31">
        <v>0.08</v>
      </c>
      <c r="S44" s="145">
        <f t="shared" ref="S44" si="75">P44*(1+$R44)</f>
        <v>66.126062501576413</v>
      </c>
      <c r="T44" s="145">
        <f t="shared" ref="T44" si="76">S44*(1+$R44)</f>
        <v>71.416147501702525</v>
      </c>
      <c r="U44" s="145">
        <f t="shared" ref="U44" si="77">T44*(1+$R44)</f>
        <v>77.12943930183873</v>
      </c>
      <c r="V44" s="145">
        <f t="shared" ref="V44" si="78">U44*(1+$R44)</f>
        <v>83.299794445985839</v>
      </c>
      <c r="W44" s="145">
        <f t="shared" ref="W44" si="79">V44*(1+$R44)</f>
        <v>89.963778001664707</v>
      </c>
      <c r="X44" s="145">
        <f t="shared" ref="X44" si="80">W44*(1+$R44)</f>
        <v>97.160880241797884</v>
      </c>
      <c r="Y44" s="145">
        <f t="shared" ref="Y44" si="81">X44*(1+$R44)</f>
        <v>104.93375066114172</v>
      </c>
      <c r="Z44" s="145">
        <f t="shared" ref="Z44" si="82">Y44*(1+$R44)</f>
        <v>113.32845071403305</v>
      </c>
      <c r="AA44" s="145">
        <f t="shared" ref="AA44" si="83">Z44*(1+$R44)</f>
        <v>122.3947267711557</v>
      </c>
      <c r="AB44" s="145">
        <f t="shared" ref="AB44" si="84">AA44*(1+$R44)</f>
        <v>132.18630491284816</v>
      </c>
      <c r="AC44" s="137">
        <f t="shared" si="59"/>
        <v>-2.7506523052998055E-3</v>
      </c>
      <c r="AD44" s="31">
        <v>0.08</v>
      </c>
      <c r="AE44" s="126">
        <f>(AB44*(1+AC44))/($C$2-AD44)</f>
        <v>1883.1815192644369</v>
      </c>
    </row>
    <row r="45" spans="2:31" x14ac:dyDescent="0.2">
      <c r="B45" s="20" t="s">
        <v>277</v>
      </c>
      <c r="C45" s="146">
        <f t="shared" ref="C45:P45" si="85">(C8+C14-C11-C10)/C35</f>
        <v>0</v>
      </c>
      <c r="D45" s="146">
        <f t="shared" si="85"/>
        <v>0</v>
      </c>
      <c r="E45" s="146">
        <f t="shared" si="85"/>
        <v>0</v>
      </c>
      <c r="F45" s="146">
        <f t="shared" si="85"/>
        <v>224.224072672218</v>
      </c>
      <c r="G45" s="146">
        <f t="shared" si="85"/>
        <v>288.34216502649508</v>
      </c>
      <c r="H45" s="146">
        <f t="shared" si="85"/>
        <v>390.08327024981071</v>
      </c>
      <c r="I45" s="146">
        <f t="shared" si="85"/>
        <v>640.95382286146855</v>
      </c>
      <c r="J45" s="146">
        <f t="shared" si="85"/>
        <v>926.64647993943981</v>
      </c>
      <c r="K45" s="146">
        <f t="shared" si="85"/>
        <v>1355.0340651021952</v>
      </c>
      <c r="L45" s="146">
        <f t="shared" si="85"/>
        <v>67.672207228794107</v>
      </c>
      <c r="M45" s="146">
        <f t="shared" si="85"/>
        <v>84.220748102000144</v>
      </c>
      <c r="N45" s="146">
        <f t="shared" si="85"/>
        <v>112.88622089943753</v>
      </c>
      <c r="O45" s="146">
        <f t="shared" si="85"/>
        <v>118.67984967336746</v>
      </c>
      <c r="P45" s="146">
        <f t="shared" si="85"/>
        <v>125.78000857568037</v>
      </c>
      <c r="Q45" s="118">
        <f>((P45/G45)^(1/($H$3-$H$2) ))-1</f>
        <v>-8.8058348955211141E-2</v>
      </c>
      <c r="R45" s="31">
        <v>0.05</v>
      </c>
      <c r="S45" s="145">
        <f t="shared" ref="S45" si="86">P45*(1+$R45)</f>
        <v>132.06900900446439</v>
      </c>
      <c r="T45" s="145">
        <f t="shared" ref="T45" si="87">S45*(1+$R45)</f>
        <v>138.67245945468761</v>
      </c>
      <c r="U45" s="145">
        <f t="shared" ref="U45" si="88">T45*(1+$R45)</f>
        <v>145.606082427422</v>
      </c>
      <c r="V45" s="145">
        <f t="shared" ref="V45" si="89">U45*(1+$R45)</f>
        <v>152.8863865487931</v>
      </c>
      <c r="W45" s="145">
        <f t="shared" ref="W45" si="90">V45*(1+$R45)</f>
        <v>160.53070587623276</v>
      </c>
      <c r="X45" s="145">
        <f t="shared" ref="X45" si="91">W45*(1+$R45)</f>
        <v>168.55724117004439</v>
      </c>
      <c r="Y45" s="145">
        <f t="shared" ref="Y45" si="92">X45*(1+$R45)</f>
        <v>176.98510322854662</v>
      </c>
      <c r="Z45" s="145">
        <f t="shared" ref="Z45" si="93">Y45*(1+$R45)</f>
        <v>185.83435838997397</v>
      </c>
      <c r="AA45" s="145">
        <f t="shared" ref="AA45" si="94">Z45*(1+$R45)</f>
        <v>195.12607630947267</v>
      </c>
      <c r="AB45" s="145">
        <f t="shared" ref="AB45" si="95">AA45*(1+$R45)</f>
        <v>204.88238012494631</v>
      </c>
      <c r="AC45" s="137">
        <f t="shared" si="59"/>
        <v>-1.7824069125659925E-2</v>
      </c>
      <c r="AD45" s="31">
        <v>0.08</v>
      </c>
      <c r="AE45" s="126">
        <f>(AB45*(1+AC45))/($C$2-AD45)</f>
        <v>2874.7220345567075</v>
      </c>
    </row>
    <row r="46" spans="2:31" x14ac:dyDescent="0.2">
      <c r="B46" s="20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27"/>
      <c r="R46" s="127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38"/>
      <c r="AD46" s="20"/>
      <c r="AE46" s="20"/>
    </row>
    <row r="47" spans="2:31" x14ac:dyDescent="0.2">
      <c r="B47" s="20" t="s">
        <v>248</v>
      </c>
      <c r="C47" s="146">
        <f t="shared" ref="C47:P47" si="96">C12/C35</f>
        <v>0</v>
      </c>
      <c r="D47" s="146">
        <f t="shared" si="96"/>
        <v>0</v>
      </c>
      <c r="E47" s="146">
        <f t="shared" si="96"/>
        <v>0</v>
      </c>
      <c r="F47" s="146">
        <f t="shared" si="96"/>
        <v>5.0719152157456469</v>
      </c>
      <c r="G47" s="146">
        <f t="shared" si="96"/>
        <v>5.7532172596517785</v>
      </c>
      <c r="H47" s="146">
        <f t="shared" si="96"/>
        <v>3.7850113550340647</v>
      </c>
      <c r="I47" s="146">
        <f t="shared" si="96"/>
        <v>5.904617713853141</v>
      </c>
      <c r="J47" s="146">
        <f t="shared" si="96"/>
        <v>3.4822104466313397</v>
      </c>
      <c r="K47" s="146">
        <f t="shared" si="96"/>
        <v>5.8289174867524602</v>
      </c>
      <c r="L47" s="146">
        <f t="shared" si="96"/>
        <v>9.5845839533886548E-2</v>
      </c>
      <c r="M47" s="146">
        <f t="shared" si="96"/>
        <v>0.19925845587307991</v>
      </c>
      <c r="N47" s="146">
        <f t="shared" si="96"/>
        <v>0.17151360758695486</v>
      </c>
      <c r="O47" s="146">
        <f t="shared" si="96"/>
        <v>51.111055060912548</v>
      </c>
      <c r="P47" s="146">
        <f t="shared" si="96"/>
        <v>53.030494110525382</v>
      </c>
      <c r="Q47" s="118">
        <f>((P47/G47)^(1/($H$3-$H$2) ))-1</f>
        <v>0.27991000288465639</v>
      </c>
      <c r="R47" s="31">
        <v>0.1</v>
      </c>
      <c r="S47" s="145">
        <f t="shared" ref="S47:S51" si="97">P47*(1+$R47)</f>
        <v>58.333543521577923</v>
      </c>
      <c r="T47" s="145">
        <f t="shared" ref="T47:AB51" si="98">S47*(1+$R47)</f>
        <v>64.166897873735721</v>
      </c>
      <c r="U47" s="145">
        <f t="shared" si="98"/>
        <v>70.583587661109306</v>
      </c>
      <c r="V47" s="145">
        <f t="shared" si="98"/>
        <v>77.641946427220248</v>
      </c>
      <c r="W47" s="145">
        <f t="shared" si="98"/>
        <v>85.406141069942279</v>
      </c>
      <c r="X47" s="145">
        <f t="shared" si="98"/>
        <v>93.94675517693652</v>
      </c>
      <c r="Y47" s="145">
        <f t="shared" si="98"/>
        <v>103.34143069463018</v>
      </c>
      <c r="Z47" s="145">
        <f t="shared" si="98"/>
        <v>113.6755737640932</v>
      </c>
      <c r="AA47" s="145">
        <f t="shared" si="98"/>
        <v>125.04313114050254</v>
      </c>
      <c r="AB47" s="145">
        <f t="shared" si="98"/>
        <v>137.5474442545528</v>
      </c>
      <c r="AC47" s="137">
        <f t="shared" si="59"/>
        <v>0.18182950719643864</v>
      </c>
      <c r="AD47" s="31">
        <v>0.08</v>
      </c>
      <c r="AE47" s="126">
        <f>(AB47*(1+AC47))/($C$2-AD47)</f>
        <v>2322.2518322783967</v>
      </c>
    </row>
    <row r="48" spans="2:31" x14ac:dyDescent="0.2">
      <c r="B48" s="20" t="s">
        <v>255</v>
      </c>
      <c r="C48" s="146">
        <f t="shared" ref="C48:P48" si="99">C13/C35</f>
        <v>0</v>
      </c>
      <c r="D48" s="146">
        <f t="shared" si="99"/>
        <v>0</v>
      </c>
      <c r="E48" s="146">
        <f t="shared" si="99"/>
        <v>0</v>
      </c>
      <c r="F48" s="146">
        <f t="shared" si="99"/>
        <v>2.6495079485238455</v>
      </c>
      <c r="G48" s="146">
        <f t="shared" si="99"/>
        <v>5.601816805450416</v>
      </c>
      <c r="H48" s="146">
        <f t="shared" si="99"/>
        <v>5.601816805450416</v>
      </c>
      <c r="I48" s="146">
        <f t="shared" si="99"/>
        <v>5.601816805450416</v>
      </c>
      <c r="J48" s="146">
        <f t="shared" si="99"/>
        <v>5.601816805450416</v>
      </c>
      <c r="K48" s="146">
        <f t="shared" si="99"/>
        <v>6.2831188493565477</v>
      </c>
      <c r="L48" s="146">
        <f t="shared" si="99"/>
        <v>0.1790803843922617</v>
      </c>
      <c r="M48" s="146">
        <f t="shared" si="99"/>
        <v>0.1916916790677731</v>
      </c>
      <c r="N48" s="146">
        <f t="shared" si="99"/>
        <v>0.34050495623880744</v>
      </c>
      <c r="O48" s="146">
        <f t="shared" si="99"/>
        <v>0.6229979569702625</v>
      </c>
      <c r="P48" s="146">
        <f t="shared" si="99"/>
        <v>0.62804247484046705</v>
      </c>
      <c r="Q48" s="118">
        <f>((P48/G48)^(1/($H$3-$H$2) ))-1</f>
        <v>-0.21583639930210707</v>
      </c>
      <c r="R48" s="31">
        <v>0.1</v>
      </c>
      <c r="S48" s="145">
        <f t="shared" si="97"/>
        <v>0.69084672232451383</v>
      </c>
      <c r="T48" s="145">
        <f t="shared" si="98"/>
        <v>0.75993139455696523</v>
      </c>
      <c r="U48" s="145">
        <f t="shared" si="98"/>
        <v>0.83592453401266187</v>
      </c>
      <c r="V48" s="145">
        <f t="shared" si="98"/>
        <v>0.91951698741392818</v>
      </c>
      <c r="W48" s="145">
        <f t="shared" si="98"/>
        <v>1.011468686155321</v>
      </c>
      <c r="X48" s="145">
        <f t="shared" si="98"/>
        <v>1.1126155547708532</v>
      </c>
      <c r="Y48" s="145">
        <f t="shared" si="98"/>
        <v>1.2238771102479387</v>
      </c>
      <c r="Z48" s="145">
        <f t="shared" si="98"/>
        <v>1.3462648212727326</v>
      </c>
      <c r="AA48" s="145">
        <f t="shared" si="98"/>
        <v>1.480891303400006</v>
      </c>
      <c r="AB48" s="145">
        <f t="shared" si="98"/>
        <v>1.6289804337400067</v>
      </c>
      <c r="AC48" s="137">
        <f t="shared" si="59"/>
        <v>-6.2939276398458976E-2</v>
      </c>
      <c r="AD48" s="31">
        <v>0.08</v>
      </c>
      <c r="AE48" s="126">
        <f>(AB48*(1+AC48))/($C$2-AD48)</f>
        <v>21.806479771045186</v>
      </c>
    </row>
    <row r="49" spans="2:31" x14ac:dyDescent="0.2">
      <c r="B49" s="20" t="s">
        <v>256</v>
      </c>
      <c r="C49" s="146">
        <f>(C47+C48)</f>
        <v>0</v>
      </c>
      <c r="D49" s="146">
        <f t="shared" ref="D49:P49" si="100">(D47+D48)</f>
        <v>0</v>
      </c>
      <c r="E49" s="146">
        <f t="shared" si="100"/>
        <v>0</v>
      </c>
      <c r="F49" s="146">
        <f t="shared" si="100"/>
        <v>7.7214231642694919</v>
      </c>
      <c r="G49" s="146">
        <f t="shared" si="100"/>
        <v>11.355034065102195</v>
      </c>
      <c r="H49" s="146">
        <f t="shared" si="100"/>
        <v>9.3868281604844803</v>
      </c>
      <c r="I49" s="146">
        <f t="shared" si="100"/>
        <v>11.506434519303557</v>
      </c>
      <c r="J49" s="146">
        <f t="shared" si="100"/>
        <v>9.0840272520817553</v>
      </c>
      <c r="K49" s="146">
        <f t="shared" si="100"/>
        <v>12.112036336109007</v>
      </c>
      <c r="L49" s="146">
        <f t="shared" si="100"/>
        <v>0.27492622392614824</v>
      </c>
      <c r="M49" s="146">
        <f t="shared" si="100"/>
        <v>0.39095013494085301</v>
      </c>
      <c r="N49" s="146">
        <f t="shared" si="100"/>
        <v>0.51201856382576227</v>
      </c>
      <c r="O49" s="146">
        <f t="shared" ref="O49" si="101">(O47+O48)</f>
        <v>51.734053017882808</v>
      </c>
      <c r="P49" s="146">
        <f t="shared" si="100"/>
        <v>53.658536585365852</v>
      </c>
      <c r="Q49" s="118">
        <f>((P49/G49)^(1/($H$3-$H$2) ))-1</f>
        <v>0.18833511719422225</v>
      </c>
      <c r="R49" s="31">
        <v>0.1</v>
      </c>
      <c r="S49" s="145">
        <f t="shared" si="97"/>
        <v>59.024390243902438</v>
      </c>
      <c r="T49" s="145">
        <f t="shared" si="98"/>
        <v>64.926829268292693</v>
      </c>
      <c r="U49" s="145">
        <f t="shared" si="98"/>
        <v>71.419512195121968</v>
      </c>
      <c r="V49" s="145">
        <f t="shared" si="98"/>
        <v>78.561463414634176</v>
      </c>
      <c r="W49" s="145">
        <f t="shared" si="98"/>
        <v>86.417609756097605</v>
      </c>
      <c r="X49" s="145">
        <f t="shared" si="98"/>
        <v>95.059370731707375</v>
      </c>
      <c r="Y49" s="145">
        <f t="shared" si="98"/>
        <v>104.56530780487812</v>
      </c>
      <c r="Z49" s="145">
        <f t="shared" si="98"/>
        <v>115.02183858536594</v>
      </c>
      <c r="AA49" s="145">
        <f t="shared" si="98"/>
        <v>126.52402244390255</v>
      </c>
      <c r="AB49" s="145">
        <f t="shared" si="98"/>
        <v>139.17642468829283</v>
      </c>
      <c r="AC49" s="137">
        <f t="shared" si="59"/>
        <v>0.14099308486461437</v>
      </c>
      <c r="AD49" s="31">
        <v>0.08</v>
      </c>
      <c r="AE49" s="126">
        <f>(AB49*(1+AC49))/($C$2-AD49)</f>
        <v>2268.5619735074702</v>
      </c>
    </row>
    <row r="50" spans="2:31" x14ac:dyDescent="0.2">
      <c r="B50" s="20" t="s">
        <v>249</v>
      </c>
      <c r="C50" s="146">
        <f t="shared" ref="C50:P50" si="102">C14/C35</f>
        <v>0</v>
      </c>
      <c r="D50" s="146">
        <f t="shared" si="102"/>
        <v>0</v>
      </c>
      <c r="E50" s="146">
        <f t="shared" si="102"/>
        <v>0</v>
      </c>
      <c r="F50" s="146">
        <f t="shared" si="102"/>
        <v>112.71763815291445</v>
      </c>
      <c r="G50" s="146">
        <f t="shared" si="102"/>
        <v>149.05374716124146</v>
      </c>
      <c r="H50" s="146">
        <f t="shared" si="102"/>
        <v>214.76154428463283</v>
      </c>
      <c r="I50" s="146">
        <f t="shared" si="102"/>
        <v>359.95457986373958</v>
      </c>
      <c r="J50" s="146">
        <f t="shared" si="102"/>
        <v>510.59803179409533</v>
      </c>
      <c r="K50" s="146">
        <f t="shared" si="102"/>
        <v>762.75548826646479</v>
      </c>
      <c r="L50" s="146">
        <f t="shared" si="102"/>
        <v>39.715489192120458</v>
      </c>
      <c r="M50" s="146">
        <f t="shared" si="102"/>
        <v>50.349332862511659</v>
      </c>
      <c r="N50" s="146">
        <f t="shared" si="102"/>
        <v>66.643125583272379</v>
      </c>
      <c r="O50" s="146">
        <f t="shared" si="102"/>
        <v>59.820415163820712</v>
      </c>
      <c r="P50" s="146">
        <f t="shared" si="102"/>
        <v>64.552172926072586</v>
      </c>
      <c r="Q50" s="118">
        <f>((P50/G50)^(1/($H$3-$H$2) ))-1</f>
        <v>-8.8789610140212694E-2</v>
      </c>
      <c r="R50" s="31">
        <v>0.1</v>
      </c>
      <c r="S50" s="145">
        <f t="shared" si="97"/>
        <v>71.007390218679845</v>
      </c>
      <c r="T50" s="145">
        <f t="shared" si="98"/>
        <v>78.108129240547839</v>
      </c>
      <c r="U50" s="145">
        <f t="shared" si="98"/>
        <v>85.918942164602626</v>
      </c>
      <c r="V50" s="145">
        <f t="shared" si="98"/>
        <v>94.510836381062902</v>
      </c>
      <c r="W50" s="145">
        <f t="shared" si="98"/>
        <v>103.9619200191692</v>
      </c>
      <c r="X50" s="145">
        <f t="shared" si="98"/>
        <v>114.35811202108613</v>
      </c>
      <c r="Y50" s="145">
        <f t="shared" si="98"/>
        <v>125.79392322319475</v>
      </c>
      <c r="Z50" s="145">
        <f t="shared" si="98"/>
        <v>138.37331554551423</v>
      </c>
      <c r="AA50" s="145">
        <f t="shared" si="98"/>
        <v>152.21064710006567</v>
      </c>
      <c r="AB50" s="145">
        <f t="shared" si="98"/>
        <v>167.43171181007224</v>
      </c>
      <c r="AC50" s="137">
        <f t="shared" si="59"/>
        <v>6.1381626974654768E-3</v>
      </c>
      <c r="AD50" s="31">
        <v>0.08</v>
      </c>
      <c r="AE50" s="126">
        <f>(AB50*(1+AC50))/($C$2-AD50)</f>
        <v>2406.5633556839662</v>
      </c>
    </row>
    <row r="51" spans="2:31" x14ac:dyDescent="0.2">
      <c r="B51" s="20" t="s">
        <v>250</v>
      </c>
      <c r="C51" s="146">
        <f t="shared" ref="C51:P51" si="103">C15/C35</f>
        <v>0</v>
      </c>
      <c r="D51" s="146">
        <f t="shared" si="103"/>
        <v>0</v>
      </c>
      <c r="E51" s="146">
        <f t="shared" si="103"/>
        <v>0</v>
      </c>
      <c r="F51" s="146">
        <f t="shared" si="103"/>
        <v>68.05450416351249</v>
      </c>
      <c r="G51" s="146">
        <f t="shared" si="103"/>
        <v>94.928084784254352</v>
      </c>
      <c r="H51" s="146">
        <f t="shared" si="103"/>
        <v>145.79863739591218</v>
      </c>
      <c r="I51" s="146">
        <f t="shared" si="103"/>
        <v>251.62755488266464</v>
      </c>
      <c r="J51" s="146">
        <f t="shared" si="103"/>
        <v>384.63285389856168</v>
      </c>
      <c r="K51" s="146">
        <f t="shared" si="103"/>
        <v>567.82740348221046</v>
      </c>
      <c r="L51" s="146">
        <f t="shared" si="103"/>
        <v>26.604787247458823</v>
      </c>
      <c r="M51" s="146">
        <f t="shared" si="103"/>
        <v>32.363104396297324</v>
      </c>
      <c r="N51" s="146">
        <f t="shared" si="103"/>
        <v>43.602290211113072</v>
      </c>
      <c r="O51" s="146">
        <f t="shared" si="103"/>
        <v>54.165510631321411</v>
      </c>
      <c r="P51" s="146">
        <f t="shared" si="103"/>
        <v>56.392665271016718</v>
      </c>
      <c r="Q51" s="118">
        <f>((P51/G51)^(1/($H$3-$H$2) ))-1</f>
        <v>-5.622217943674912E-2</v>
      </c>
      <c r="R51" s="31">
        <v>0.1</v>
      </c>
      <c r="S51" s="145">
        <f t="shared" si="97"/>
        <v>62.031931798118393</v>
      </c>
      <c r="T51" s="145">
        <f t="shared" si="98"/>
        <v>68.235124977930241</v>
      </c>
      <c r="U51" s="145">
        <f t="shared" si="98"/>
        <v>75.058637475723273</v>
      </c>
      <c r="V51" s="145">
        <f t="shared" si="98"/>
        <v>82.564501223295608</v>
      </c>
      <c r="W51" s="145">
        <f t="shared" si="98"/>
        <v>90.820951345625176</v>
      </c>
      <c r="X51" s="145">
        <f t="shared" si="98"/>
        <v>99.903046480187697</v>
      </c>
      <c r="Y51" s="145">
        <f t="shared" si="98"/>
        <v>109.89335112820648</v>
      </c>
      <c r="Z51" s="145">
        <f t="shared" si="98"/>
        <v>120.88268624102713</v>
      </c>
      <c r="AA51" s="145">
        <f t="shared" si="98"/>
        <v>132.97095486512984</v>
      </c>
      <c r="AB51" s="145">
        <f t="shared" si="98"/>
        <v>146.26805035164284</v>
      </c>
      <c r="AC51" s="137">
        <f t="shared" si="59"/>
        <v>2.3014593717327614E-2</v>
      </c>
      <c r="AD51" s="31">
        <v>0.08</v>
      </c>
      <c r="AE51" s="126">
        <f>(AB51*(1+AC51))/($C$2-AD51)</f>
        <v>2137.6335729187363</v>
      </c>
    </row>
    <row r="52" spans="2:31" x14ac:dyDescent="0.2">
      <c r="B52" s="20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27"/>
      <c r="R52" s="127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38"/>
      <c r="AD52" s="20"/>
      <c r="AE52" s="20"/>
    </row>
    <row r="53" spans="2:31" x14ac:dyDescent="0.2">
      <c r="B53" s="20" t="s">
        <v>283</v>
      </c>
      <c r="C53" s="148">
        <v>1</v>
      </c>
      <c r="D53" s="148">
        <v>1</v>
      </c>
      <c r="E53" s="148">
        <v>1</v>
      </c>
      <c r="F53" s="148">
        <v>1</v>
      </c>
      <c r="G53" s="148">
        <v>1</v>
      </c>
      <c r="H53" s="148">
        <v>1</v>
      </c>
      <c r="I53" s="148">
        <v>1</v>
      </c>
      <c r="J53" s="148">
        <v>4</v>
      </c>
      <c r="K53" s="148">
        <v>2.8</v>
      </c>
      <c r="L53" s="148">
        <v>2.2000000000000002</v>
      </c>
      <c r="M53" s="148">
        <v>1.75</v>
      </c>
      <c r="N53" s="148">
        <v>3.3</v>
      </c>
      <c r="O53" s="148">
        <v>4.5</v>
      </c>
      <c r="P53" s="148">
        <v>7</v>
      </c>
      <c r="Q53" s="118">
        <f>((P53/G53)^(1/($H$3-$H$2) ))-1</f>
        <v>0.24136581701520865</v>
      </c>
      <c r="R53" s="31">
        <v>0.05</v>
      </c>
      <c r="S53" s="145">
        <f t="shared" ref="S53" si="104">P53*(1+$R53)</f>
        <v>7.3500000000000005</v>
      </c>
      <c r="T53" s="145">
        <f t="shared" ref="T53" si="105">S53*(1+$R53)</f>
        <v>7.7175000000000011</v>
      </c>
      <c r="U53" s="145">
        <f t="shared" ref="U53" si="106">T53*(1+$R53)</f>
        <v>8.1033750000000015</v>
      </c>
      <c r="V53" s="145">
        <f t="shared" ref="V53" si="107">U53*(1+$R53)</f>
        <v>8.5085437500000012</v>
      </c>
      <c r="W53" s="145">
        <f t="shared" ref="W53" si="108">V53*(1+$R53)</f>
        <v>8.9339709375000016</v>
      </c>
      <c r="X53" s="145">
        <f t="shared" ref="X53" si="109">W53*(1+$R53)</f>
        <v>9.3806694843750016</v>
      </c>
      <c r="Y53" s="145">
        <f t="shared" ref="Y53" si="110">X53*(1+$R53)</f>
        <v>9.8497029585937526</v>
      </c>
      <c r="Z53" s="145">
        <f t="shared" ref="Z53" si="111">Y53*(1+$R53)</f>
        <v>10.342188106523441</v>
      </c>
      <c r="AA53" s="145">
        <f t="shared" ref="AA53" si="112">Z53*(1+$R53)</f>
        <v>10.859297511849613</v>
      </c>
      <c r="AB53" s="145">
        <f t="shared" ref="AB53" si="113">AA53*(1+$R53)</f>
        <v>11.402262387442095</v>
      </c>
      <c r="AC53" s="137">
        <f t="shared" ref="AC53" si="114">((AB53/G53)^(1/($AB$4-$H$2) ))-1</f>
        <v>0.136661386612833</v>
      </c>
      <c r="AD53" s="31">
        <v>0.08</v>
      </c>
      <c r="AE53" s="126">
        <f>(AB53*(1+AC53))/($C$2-AD53)</f>
        <v>185.15016251190406</v>
      </c>
    </row>
    <row r="54" spans="2:31" x14ac:dyDescent="0.2">
      <c r="B54" s="20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27"/>
      <c r="R54" s="127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38"/>
      <c r="AD54" s="20"/>
      <c r="AE54" s="20"/>
    </row>
    <row r="55" spans="2:31" x14ac:dyDescent="0.2">
      <c r="B55" s="20" t="s">
        <v>291</v>
      </c>
      <c r="C55" s="146">
        <f t="shared" ref="C55:G55" si="115">C19+C20</f>
        <v>0</v>
      </c>
      <c r="D55" s="146">
        <f t="shared" si="115"/>
        <v>0</v>
      </c>
      <c r="E55" s="146">
        <f t="shared" si="115"/>
        <v>0</v>
      </c>
      <c r="F55" s="146">
        <f t="shared" si="115"/>
        <v>288.29000000000002</v>
      </c>
      <c r="G55" s="146">
        <f t="shared" si="115"/>
        <v>419.39</v>
      </c>
      <c r="H55" s="146">
        <f>H19+H20</f>
        <v>924.28</v>
      </c>
      <c r="I55" s="146">
        <f t="shared" ref="I55:P55" si="116">I19+I20</f>
        <v>1608</v>
      </c>
      <c r="J55" s="146">
        <f t="shared" si="116"/>
        <v>2269</v>
      </c>
      <c r="K55" s="146">
        <f t="shared" si="116"/>
        <v>2992</v>
      </c>
      <c r="L55" s="146">
        <f t="shared" si="116"/>
        <v>3268</v>
      </c>
      <c r="M55" s="146">
        <f t="shared" si="116"/>
        <v>4010</v>
      </c>
      <c r="N55" s="146">
        <f t="shared" si="116"/>
        <v>5311</v>
      </c>
      <c r="O55" s="146">
        <f t="shared" si="116"/>
        <v>3856</v>
      </c>
      <c r="P55" s="146">
        <f t="shared" si="116"/>
        <v>0</v>
      </c>
      <c r="Q55" s="118">
        <f>((P55/G55)^(1/($H$3-$H$2) ))-1</f>
        <v>-1</v>
      </c>
      <c r="R55" s="127"/>
      <c r="S55" s="146">
        <f t="shared" ref="S55:AB55" si="117">S19-S20</f>
        <v>0</v>
      </c>
      <c r="T55" s="146">
        <f t="shared" si="117"/>
        <v>0</v>
      </c>
      <c r="U55" s="146">
        <f t="shared" si="117"/>
        <v>0</v>
      </c>
      <c r="V55" s="146">
        <f t="shared" si="117"/>
        <v>0</v>
      </c>
      <c r="W55" s="146">
        <f t="shared" si="117"/>
        <v>0</v>
      </c>
      <c r="X55" s="146">
        <f t="shared" si="117"/>
        <v>0</v>
      </c>
      <c r="Y55" s="146">
        <f t="shared" si="117"/>
        <v>0</v>
      </c>
      <c r="Z55" s="146">
        <f t="shared" si="117"/>
        <v>0</v>
      </c>
      <c r="AA55" s="146">
        <f t="shared" si="117"/>
        <v>0</v>
      </c>
      <c r="AB55" s="146">
        <f t="shared" si="117"/>
        <v>0</v>
      </c>
      <c r="AC55" s="137">
        <f t="shared" ref="AC55:AC60" si="118">((AB55/G55)^(1/($AB$4-$H$2) ))-1</f>
        <v>-1</v>
      </c>
      <c r="AD55" s="31">
        <v>0.08</v>
      </c>
      <c r="AE55" s="126">
        <f>(AB55*(1+AC55))/($C$2-AD55)</f>
        <v>0</v>
      </c>
    </row>
    <row r="56" spans="2:31" x14ac:dyDescent="0.2">
      <c r="B56" s="20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18"/>
      <c r="R56" s="127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37"/>
      <c r="AD56" s="31"/>
      <c r="AE56" s="126"/>
    </row>
    <row r="57" spans="2:31" x14ac:dyDescent="0.2">
      <c r="B57" s="20" t="s">
        <v>287</v>
      </c>
      <c r="C57" s="146">
        <f t="shared" ref="C57:G57" si="119">C55/C35</f>
        <v>0</v>
      </c>
      <c r="D57" s="146">
        <f t="shared" si="119"/>
        <v>0</v>
      </c>
      <c r="E57" s="146">
        <f t="shared" si="119"/>
        <v>0</v>
      </c>
      <c r="F57" s="146">
        <f t="shared" si="119"/>
        <v>21.823618470855411</v>
      </c>
      <c r="G57" s="146">
        <f t="shared" si="119"/>
        <v>31.747918243754729</v>
      </c>
      <c r="H57" s="146">
        <f t="shared" ref="H57" si="120">H55/H35</f>
        <v>69.968205904617705</v>
      </c>
      <c r="I57" s="146">
        <f t="shared" ref="I57:P57" si="121">I55/I35</f>
        <v>121.72596517789553</v>
      </c>
      <c r="J57" s="146">
        <f t="shared" si="121"/>
        <v>171.76381529144587</v>
      </c>
      <c r="K57" s="146">
        <f t="shared" si="121"/>
        <v>226.49507948523845</v>
      </c>
      <c r="L57" s="146">
        <f t="shared" si="121"/>
        <v>8.2427421999142432</v>
      </c>
      <c r="M57" s="146">
        <f t="shared" si="121"/>
        <v>10.114258329760132</v>
      </c>
      <c r="N57" s="146">
        <f t="shared" si="121"/>
        <v>13.395717204328195</v>
      </c>
      <c r="O57" s="146">
        <f t="shared" si="121"/>
        <v>9.7258304537543818</v>
      </c>
      <c r="P57" s="146">
        <f t="shared" si="121"/>
        <v>0</v>
      </c>
      <c r="Q57" s="118">
        <f>((P57/G57)^(1/($H$3-$H$2) ))-1</f>
        <v>-1</v>
      </c>
      <c r="R57" s="127"/>
      <c r="S57" s="146">
        <f t="shared" ref="S57:AB57" si="122">S55/S35</f>
        <v>0</v>
      </c>
      <c r="T57" s="146">
        <f t="shared" si="122"/>
        <v>0</v>
      </c>
      <c r="U57" s="146">
        <f t="shared" si="122"/>
        <v>0</v>
      </c>
      <c r="V57" s="146">
        <f t="shared" si="122"/>
        <v>0</v>
      </c>
      <c r="W57" s="146">
        <f t="shared" si="122"/>
        <v>0</v>
      </c>
      <c r="X57" s="146">
        <f t="shared" si="122"/>
        <v>0</v>
      </c>
      <c r="Y57" s="146">
        <f t="shared" si="122"/>
        <v>0</v>
      </c>
      <c r="Z57" s="146">
        <f t="shared" si="122"/>
        <v>0</v>
      </c>
      <c r="AA57" s="146">
        <f t="shared" si="122"/>
        <v>0</v>
      </c>
      <c r="AB57" s="146">
        <f t="shared" si="122"/>
        <v>0</v>
      </c>
      <c r="AC57" s="137">
        <f t="shared" si="118"/>
        <v>-1</v>
      </c>
      <c r="AD57" s="31">
        <v>0.08</v>
      </c>
      <c r="AE57" s="126">
        <f>(AB57*(1+AC57))/($C$2-AD57)</f>
        <v>0</v>
      </c>
    </row>
    <row r="58" spans="2:31" x14ac:dyDescent="0.2">
      <c r="B58" s="20" t="s">
        <v>288</v>
      </c>
      <c r="C58" s="146">
        <f t="shared" ref="C58:G58" si="123">C19/C35</f>
        <v>0</v>
      </c>
      <c r="D58" s="146">
        <f t="shared" si="123"/>
        <v>0</v>
      </c>
      <c r="E58" s="146">
        <f t="shared" si="123"/>
        <v>0</v>
      </c>
      <c r="F58" s="146">
        <f t="shared" si="123"/>
        <v>24.829674489023464</v>
      </c>
      <c r="G58" s="146">
        <f t="shared" si="123"/>
        <v>33.232399697199092</v>
      </c>
      <c r="H58" s="146">
        <f t="shared" ref="H58" si="124">H19/H35</f>
        <v>61.619984859954577</v>
      </c>
      <c r="I58" s="146">
        <f t="shared" ref="I58:P58" si="125">I19/I35</f>
        <v>118.77365632096895</v>
      </c>
      <c r="J58" s="146">
        <f t="shared" si="125"/>
        <v>155.33686601059802</v>
      </c>
      <c r="K58" s="146">
        <f t="shared" si="125"/>
        <v>187.35806207418622</v>
      </c>
      <c r="L58" s="146">
        <f t="shared" si="125"/>
        <v>7.006835321714127</v>
      </c>
      <c r="M58" s="146">
        <f t="shared" si="125"/>
        <v>9.0902212021086086</v>
      </c>
      <c r="N58" s="146">
        <f t="shared" si="125"/>
        <v>12.260700683532171</v>
      </c>
      <c r="O58" s="146">
        <f t="shared" si="125"/>
        <v>11.587257547859862</v>
      </c>
      <c r="P58" s="146">
        <f t="shared" si="125"/>
        <v>0</v>
      </c>
      <c r="Q58" s="118">
        <f>((P58/G58)^(1/($H$3-$H$2) ))-1</f>
        <v>-1</v>
      </c>
      <c r="R58" s="127"/>
      <c r="S58" s="146">
        <f t="shared" ref="S58:AB58" si="126">S19/S35</f>
        <v>0</v>
      </c>
      <c r="T58" s="146">
        <f t="shared" si="126"/>
        <v>0</v>
      </c>
      <c r="U58" s="146">
        <f t="shared" si="126"/>
        <v>0</v>
      </c>
      <c r="V58" s="146">
        <f t="shared" si="126"/>
        <v>0</v>
      </c>
      <c r="W58" s="146">
        <f t="shared" si="126"/>
        <v>0</v>
      </c>
      <c r="X58" s="146">
        <f t="shared" si="126"/>
        <v>0</v>
      </c>
      <c r="Y58" s="146">
        <f t="shared" si="126"/>
        <v>0</v>
      </c>
      <c r="Z58" s="146">
        <f t="shared" si="126"/>
        <v>0</v>
      </c>
      <c r="AA58" s="146">
        <f t="shared" si="126"/>
        <v>0</v>
      </c>
      <c r="AB58" s="146">
        <f t="shared" si="126"/>
        <v>0</v>
      </c>
      <c r="AC58" s="137">
        <f t="shared" si="118"/>
        <v>-1</v>
      </c>
      <c r="AD58" s="31">
        <v>0.08</v>
      </c>
      <c r="AE58" s="126">
        <f>(AB58*(1+AC58))/($C$2-AD58)</f>
        <v>0</v>
      </c>
    </row>
    <row r="59" spans="2:31" x14ac:dyDescent="0.2">
      <c r="B59" s="20" t="s">
        <v>289</v>
      </c>
      <c r="C59" s="146">
        <f t="shared" ref="C59:G59" si="127">C20/C35</f>
        <v>0</v>
      </c>
      <c r="D59" s="146">
        <f t="shared" si="127"/>
        <v>0</v>
      </c>
      <c r="E59" s="146">
        <f t="shared" si="127"/>
        <v>0</v>
      </c>
      <c r="F59" s="146">
        <f t="shared" si="127"/>
        <v>-3.0060560181680542</v>
      </c>
      <c r="G59" s="146">
        <f t="shared" si="127"/>
        <v>-1.4844814534443602</v>
      </c>
      <c r="H59" s="146">
        <f t="shared" ref="H59" si="128">H20/H35</f>
        <v>8.3482210446631342</v>
      </c>
      <c r="I59" s="146">
        <f t="shared" ref="I59:P59" si="129">I20/I35</f>
        <v>2.9523088569265705</v>
      </c>
      <c r="J59" s="146">
        <f t="shared" si="129"/>
        <v>16.426949280847843</v>
      </c>
      <c r="K59" s="146">
        <f t="shared" si="129"/>
        <v>39.137017411052227</v>
      </c>
      <c r="L59" s="146">
        <f t="shared" si="129"/>
        <v>1.2359068782001159</v>
      </c>
      <c r="M59" s="146">
        <f t="shared" si="129"/>
        <v>1.0240371276515245</v>
      </c>
      <c r="N59" s="146">
        <f t="shared" si="129"/>
        <v>1.1350165207960248</v>
      </c>
      <c r="O59" s="146">
        <f t="shared" si="129"/>
        <v>-1.8614270941054807</v>
      </c>
      <c r="P59" s="146">
        <f t="shared" si="129"/>
        <v>0</v>
      </c>
      <c r="Q59" s="118">
        <f>((P59/G59)^(1/($H$3-$H$2) ))-1</f>
        <v>-1</v>
      </c>
      <c r="R59" s="127"/>
      <c r="S59" s="146">
        <f t="shared" ref="S59:AB59" si="130">S20/S35</f>
        <v>0</v>
      </c>
      <c r="T59" s="146">
        <f t="shared" si="130"/>
        <v>0</v>
      </c>
      <c r="U59" s="146">
        <f t="shared" si="130"/>
        <v>0</v>
      </c>
      <c r="V59" s="146">
        <f t="shared" si="130"/>
        <v>0</v>
      </c>
      <c r="W59" s="146">
        <f t="shared" si="130"/>
        <v>0</v>
      </c>
      <c r="X59" s="146">
        <f t="shared" si="130"/>
        <v>0</v>
      </c>
      <c r="Y59" s="146">
        <f t="shared" si="130"/>
        <v>0</v>
      </c>
      <c r="Z59" s="146">
        <f t="shared" si="130"/>
        <v>0</v>
      </c>
      <c r="AA59" s="146">
        <f t="shared" si="130"/>
        <v>0</v>
      </c>
      <c r="AB59" s="146">
        <f t="shared" si="130"/>
        <v>0</v>
      </c>
      <c r="AC59" s="137">
        <f t="shared" si="118"/>
        <v>-1</v>
      </c>
      <c r="AD59" s="31">
        <v>0.08</v>
      </c>
      <c r="AE59" s="126">
        <f>(AB59*(1+AC59))/($C$2-AD59)</f>
        <v>0</v>
      </c>
    </row>
    <row r="60" spans="2:31" x14ac:dyDescent="0.2">
      <c r="B60" s="20" t="s">
        <v>290</v>
      </c>
      <c r="C60" s="146">
        <f t="shared" ref="C60:G60" si="131">C21/C35</f>
        <v>0</v>
      </c>
      <c r="D60" s="146">
        <f t="shared" si="131"/>
        <v>0</v>
      </c>
      <c r="E60" s="146">
        <f t="shared" si="131"/>
        <v>0</v>
      </c>
      <c r="F60" s="146">
        <f t="shared" si="131"/>
        <v>-3.3308099924299772</v>
      </c>
      <c r="G60" s="146">
        <f t="shared" si="131"/>
        <v>-3.3308099924299772</v>
      </c>
      <c r="H60" s="146">
        <f>H21/H35</f>
        <v>-8.4027252081756245</v>
      </c>
      <c r="I60" s="146">
        <f t="shared" ref="I60:P60" si="132">I21/I35</f>
        <v>-30.582891748675245</v>
      </c>
      <c r="J60" s="146">
        <f t="shared" si="132"/>
        <v>-40.045420136260404</v>
      </c>
      <c r="K60" s="146">
        <f t="shared" si="132"/>
        <v>-48.675246025738076</v>
      </c>
      <c r="L60" s="146">
        <f t="shared" si="132"/>
        <v>-1.836204504754458</v>
      </c>
      <c r="M60" s="146">
        <f t="shared" si="132"/>
        <v>-2.2574217469165383</v>
      </c>
      <c r="N60" s="146">
        <f t="shared" si="132"/>
        <v>-2.5071253814916639</v>
      </c>
      <c r="O60" s="146">
        <f t="shared" si="132"/>
        <v>-4.8175145660453502</v>
      </c>
      <c r="P60" s="146">
        <f t="shared" si="132"/>
        <v>0</v>
      </c>
      <c r="Q60" s="118">
        <f>((P60/G60)^(1/($H$3-$H$2) ))-1</f>
        <v>-1</v>
      </c>
      <c r="R60" s="127"/>
      <c r="S60" s="146">
        <f t="shared" ref="S60:AB60" si="133">S21/S35</f>
        <v>0</v>
      </c>
      <c r="T60" s="146">
        <f t="shared" si="133"/>
        <v>0</v>
      </c>
      <c r="U60" s="146">
        <f t="shared" si="133"/>
        <v>0</v>
      </c>
      <c r="V60" s="146">
        <f t="shared" si="133"/>
        <v>0</v>
      </c>
      <c r="W60" s="146">
        <f t="shared" si="133"/>
        <v>0</v>
      </c>
      <c r="X60" s="146">
        <f t="shared" si="133"/>
        <v>0</v>
      </c>
      <c r="Y60" s="146">
        <f t="shared" si="133"/>
        <v>0</v>
      </c>
      <c r="Z60" s="146">
        <f t="shared" si="133"/>
        <v>0</v>
      </c>
      <c r="AA60" s="146">
        <f t="shared" si="133"/>
        <v>0</v>
      </c>
      <c r="AB60" s="146">
        <f t="shared" si="133"/>
        <v>0</v>
      </c>
      <c r="AC60" s="137">
        <f t="shared" si="118"/>
        <v>-1</v>
      </c>
      <c r="AD60" s="31">
        <v>0.08</v>
      </c>
      <c r="AE60" s="126">
        <f>(AB60*(1+AC60))/($C$2-AD60)</f>
        <v>0</v>
      </c>
    </row>
    <row r="61" spans="2:31" x14ac:dyDescent="0.2">
      <c r="B61" s="20" t="s">
        <v>297</v>
      </c>
      <c r="C61" s="146">
        <f t="shared" ref="C61:G61" si="134">C22/C35</f>
        <v>0</v>
      </c>
      <c r="D61" s="146">
        <f t="shared" si="134"/>
        <v>0</v>
      </c>
      <c r="E61" s="146">
        <f t="shared" si="134"/>
        <v>0</v>
      </c>
      <c r="F61" s="146">
        <f t="shared" si="134"/>
        <v>54.201362604087812</v>
      </c>
      <c r="G61" s="146">
        <f t="shared" si="134"/>
        <v>82.58894776684329</v>
      </c>
      <c r="H61" s="146">
        <f>H22/H35</f>
        <v>144.13323239969719</v>
      </c>
      <c r="I61" s="146">
        <f t="shared" ref="I61:P61" si="135">I22/I35</f>
        <v>235.35200605601815</v>
      </c>
      <c r="J61" s="146">
        <f t="shared" si="135"/>
        <v>367.0704012112036</v>
      </c>
      <c r="K61" s="146">
        <f t="shared" si="135"/>
        <v>544.89023467070399</v>
      </c>
      <c r="L61" s="146">
        <f t="shared" si="135"/>
        <v>24.564279768961079</v>
      </c>
      <c r="M61" s="146">
        <f t="shared" si="135"/>
        <v>32.421116351804677</v>
      </c>
      <c r="N61" s="146">
        <f t="shared" si="135"/>
        <v>43.453476933942035</v>
      </c>
      <c r="O61" s="146">
        <f t="shared" si="135"/>
        <v>7.8139581809468552</v>
      </c>
      <c r="P61" s="146">
        <f t="shared" si="135"/>
        <v>0</v>
      </c>
      <c r="Q61" s="118">
        <f>((P61/G61)^(1/($H$3-$H$2) ))-1</f>
        <v>-1</v>
      </c>
      <c r="R61" s="127"/>
      <c r="S61" s="146">
        <f>S22/S35</f>
        <v>0</v>
      </c>
      <c r="T61" s="146">
        <f t="shared" ref="T61:AB61" si="136">T22/T35</f>
        <v>0</v>
      </c>
      <c r="U61" s="146">
        <f t="shared" si="136"/>
        <v>0</v>
      </c>
      <c r="V61" s="146">
        <f t="shared" si="136"/>
        <v>0</v>
      </c>
      <c r="W61" s="146">
        <f t="shared" si="136"/>
        <v>0</v>
      </c>
      <c r="X61" s="146">
        <f t="shared" si="136"/>
        <v>0</v>
      </c>
      <c r="Y61" s="146">
        <f t="shared" si="136"/>
        <v>0</v>
      </c>
      <c r="Z61" s="146">
        <f t="shared" si="136"/>
        <v>0</v>
      </c>
      <c r="AA61" s="146">
        <f t="shared" si="136"/>
        <v>0</v>
      </c>
      <c r="AB61" s="146">
        <f t="shared" si="136"/>
        <v>0</v>
      </c>
      <c r="AC61" s="137">
        <f t="shared" ref="AC61" si="137">((AB61/G61)^(1/($AB$4-$H$2) ))-1</f>
        <v>-1</v>
      </c>
      <c r="AD61" s="31">
        <v>0.08</v>
      </c>
      <c r="AE61" s="126">
        <f>(AB61*(1+AC61))/($C$2-AD61)</f>
        <v>0</v>
      </c>
    </row>
    <row r="62" spans="2:31" x14ac:dyDescent="0.2">
      <c r="B62" s="20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18"/>
      <c r="R62" s="127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38"/>
      <c r="AD62" s="20"/>
      <c r="AE62" s="20"/>
    </row>
    <row r="63" spans="2:31" x14ac:dyDescent="0.2">
      <c r="B63" s="20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27"/>
      <c r="R63" s="127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38"/>
      <c r="AD63" s="20"/>
      <c r="AE63" s="20"/>
    </row>
    <row r="64" spans="2:31" x14ac:dyDescent="0.2">
      <c r="B64" s="108" t="s">
        <v>83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27"/>
      <c r="R64" s="127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38"/>
      <c r="AD64" s="20"/>
      <c r="AE64" s="20"/>
    </row>
    <row r="65" spans="2:31" x14ac:dyDescent="0.2">
      <c r="B65" s="20" t="s">
        <v>82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18" t="e">
        <f>((P65/G65)^(1/($H$3-$H$2) ))-1</f>
        <v>#DIV/0!</v>
      </c>
      <c r="R65" s="31">
        <v>0.1</v>
      </c>
      <c r="S65" s="119">
        <f t="shared" ref="S65:S71" si="138">P65*(1+$R65)</f>
        <v>0</v>
      </c>
      <c r="T65" s="119">
        <f t="shared" ref="T65:AB71" si="139">S65*(1+$R65)</f>
        <v>0</v>
      </c>
      <c r="U65" s="119">
        <f t="shared" si="139"/>
        <v>0</v>
      </c>
      <c r="V65" s="119">
        <f t="shared" si="139"/>
        <v>0</v>
      </c>
      <c r="W65" s="119">
        <f t="shared" si="139"/>
        <v>0</v>
      </c>
      <c r="X65" s="119">
        <f t="shared" si="139"/>
        <v>0</v>
      </c>
      <c r="Y65" s="119">
        <f t="shared" si="139"/>
        <v>0</v>
      </c>
      <c r="Z65" s="119">
        <f t="shared" si="139"/>
        <v>0</v>
      </c>
      <c r="AA65" s="119">
        <f t="shared" si="139"/>
        <v>0</v>
      </c>
      <c r="AB65" s="119">
        <f t="shared" si="139"/>
        <v>0</v>
      </c>
      <c r="AC65" s="137" t="e">
        <f t="shared" ref="AC65:AC71" si="140">((AB65/G65)^(1/($AB$4-$H$2) ))-1</f>
        <v>#DIV/0!</v>
      </c>
      <c r="AD65" s="31">
        <v>0.08</v>
      </c>
      <c r="AE65" s="126" t="e">
        <f t="shared" ref="AE65:AE71" si="141">(AB65*(1+AC65))/($C$2-AD65)</f>
        <v>#DIV/0!</v>
      </c>
    </row>
    <row r="66" spans="2:31" x14ac:dyDescent="0.2">
      <c r="B66" s="20" t="s">
        <v>84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18" t="e">
        <f t="shared" ref="Q66:Q71" si="142">((P66/G66)^(1/($H$3-$H$2) ))-1</f>
        <v>#DIV/0!</v>
      </c>
      <c r="R66" s="31">
        <v>0.1</v>
      </c>
      <c r="S66" s="119">
        <f t="shared" si="138"/>
        <v>0</v>
      </c>
      <c r="T66" s="119">
        <f t="shared" si="139"/>
        <v>0</v>
      </c>
      <c r="U66" s="119">
        <f t="shared" si="139"/>
        <v>0</v>
      </c>
      <c r="V66" s="119">
        <f t="shared" si="139"/>
        <v>0</v>
      </c>
      <c r="W66" s="119">
        <f t="shared" si="139"/>
        <v>0</v>
      </c>
      <c r="X66" s="119">
        <f t="shared" si="139"/>
        <v>0</v>
      </c>
      <c r="Y66" s="119">
        <f t="shared" si="139"/>
        <v>0</v>
      </c>
      <c r="Z66" s="119">
        <f t="shared" si="139"/>
        <v>0</v>
      </c>
      <c r="AA66" s="119">
        <f t="shared" si="139"/>
        <v>0</v>
      </c>
      <c r="AB66" s="119">
        <f t="shared" si="139"/>
        <v>0</v>
      </c>
      <c r="AC66" s="137" t="e">
        <f t="shared" si="140"/>
        <v>#DIV/0!</v>
      </c>
      <c r="AD66" s="31">
        <v>0.08</v>
      </c>
      <c r="AE66" s="126" t="e">
        <f t="shared" si="141"/>
        <v>#DIV/0!</v>
      </c>
    </row>
    <row r="67" spans="2:31" x14ac:dyDescent="0.2">
      <c r="B67" s="20" t="s">
        <v>85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18" t="e">
        <f t="shared" si="142"/>
        <v>#DIV/0!</v>
      </c>
      <c r="R67" s="31">
        <v>0.1</v>
      </c>
      <c r="S67" s="119">
        <f t="shared" si="138"/>
        <v>0</v>
      </c>
      <c r="T67" s="119">
        <f t="shared" si="139"/>
        <v>0</v>
      </c>
      <c r="U67" s="119">
        <f t="shared" si="139"/>
        <v>0</v>
      </c>
      <c r="V67" s="119">
        <f t="shared" si="139"/>
        <v>0</v>
      </c>
      <c r="W67" s="119">
        <f t="shared" si="139"/>
        <v>0</v>
      </c>
      <c r="X67" s="119">
        <f t="shared" si="139"/>
        <v>0</v>
      </c>
      <c r="Y67" s="119">
        <f t="shared" si="139"/>
        <v>0</v>
      </c>
      <c r="Z67" s="119">
        <f t="shared" si="139"/>
        <v>0</v>
      </c>
      <c r="AA67" s="119">
        <f t="shared" si="139"/>
        <v>0</v>
      </c>
      <c r="AB67" s="119">
        <f t="shared" si="139"/>
        <v>0</v>
      </c>
      <c r="AC67" s="137" t="e">
        <f t="shared" si="140"/>
        <v>#DIV/0!</v>
      </c>
      <c r="AD67" s="31">
        <v>0.08</v>
      </c>
      <c r="AE67" s="126" t="e">
        <f t="shared" si="141"/>
        <v>#DIV/0!</v>
      </c>
    </row>
    <row r="68" spans="2:31" x14ac:dyDescent="0.2">
      <c r="B68" s="20" t="s">
        <v>81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18" t="e">
        <f t="shared" si="142"/>
        <v>#DIV/0!</v>
      </c>
      <c r="R68" s="31">
        <v>0.1</v>
      </c>
      <c r="S68" s="119">
        <f t="shared" si="138"/>
        <v>0</v>
      </c>
      <c r="T68" s="119">
        <f t="shared" si="139"/>
        <v>0</v>
      </c>
      <c r="U68" s="119">
        <f t="shared" si="139"/>
        <v>0</v>
      </c>
      <c r="V68" s="119">
        <f t="shared" si="139"/>
        <v>0</v>
      </c>
      <c r="W68" s="119">
        <f t="shared" si="139"/>
        <v>0</v>
      </c>
      <c r="X68" s="119">
        <f t="shared" si="139"/>
        <v>0</v>
      </c>
      <c r="Y68" s="119">
        <f t="shared" si="139"/>
        <v>0</v>
      </c>
      <c r="Z68" s="119">
        <f t="shared" si="139"/>
        <v>0</v>
      </c>
      <c r="AA68" s="119">
        <f t="shared" si="139"/>
        <v>0</v>
      </c>
      <c r="AB68" s="119">
        <f t="shared" si="139"/>
        <v>0</v>
      </c>
      <c r="AC68" s="137" t="e">
        <f t="shared" si="140"/>
        <v>#DIV/0!</v>
      </c>
      <c r="AD68" s="31">
        <v>0.08</v>
      </c>
      <c r="AE68" s="126" t="e">
        <f t="shared" si="141"/>
        <v>#DIV/0!</v>
      </c>
    </row>
    <row r="69" spans="2:31" x14ac:dyDescent="0.2">
      <c r="B69" s="20" t="s">
        <v>78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18" t="e">
        <f t="shared" si="142"/>
        <v>#DIV/0!</v>
      </c>
      <c r="R69" s="31">
        <v>0.1</v>
      </c>
      <c r="S69" s="119">
        <f t="shared" si="138"/>
        <v>0</v>
      </c>
      <c r="T69" s="119">
        <f t="shared" si="139"/>
        <v>0</v>
      </c>
      <c r="U69" s="119">
        <f t="shared" si="139"/>
        <v>0</v>
      </c>
      <c r="V69" s="119">
        <f t="shared" si="139"/>
        <v>0</v>
      </c>
      <c r="W69" s="119">
        <f t="shared" si="139"/>
        <v>0</v>
      </c>
      <c r="X69" s="119">
        <f t="shared" si="139"/>
        <v>0</v>
      </c>
      <c r="Y69" s="119">
        <f t="shared" si="139"/>
        <v>0</v>
      </c>
      <c r="Z69" s="119">
        <f t="shared" si="139"/>
        <v>0</v>
      </c>
      <c r="AA69" s="119">
        <f t="shared" si="139"/>
        <v>0</v>
      </c>
      <c r="AB69" s="119">
        <f t="shared" si="139"/>
        <v>0</v>
      </c>
      <c r="AC69" s="137" t="e">
        <f t="shared" si="140"/>
        <v>#DIV/0!</v>
      </c>
      <c r="AD69" s="31">
        <v>0.08</v>
      </c>
      <c r="AE69" s="126" t="e">
        <f t="shared" si="141"/>
        <v>#DIV/0!</v>
      </c>
    </row>
    <row r="70" spans="2:31" x14ac:dyDescent="0.2">
      <c r="B70" s="20" t="s">
        <v>79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18" t="e">
        <f t="shared" si="142"/>
        <v>#DIV/0!</v>
      </c>
      <c r="R70" s="31">
        <v>0.1</v>
      </c>
      <c r="S70" s="119">
        <f t="shared" si="138"/>
        <v>0</v>
      </c>
      <c r="T70" s="119">
        <f t="shared" si="139"/>
        <v>0</v>
      </c>
      <c r="U70" s="119">
        <f t="shared" si="139"/>
        <v>0</v>
      </c>
      <c r="V70" s="119">
        <f t="shared" si="139"/>
        <v>0</v>
      </c>
      <c r="W70" s="119">
        <f t="shared" si="139"/>
        <v>0</v>
      </c>
      <c r="X70" s="119">
        <f t="shared" si="139"/>
        <v>0</v>
      </c>
      <c r="Y70" s="119">
        <f t="shared" si="139"/>
        <v>0</v>
      </c>
      <c r="Z70" s="119">
        <f t="shared" si="139"/>
        <v>0</v>
      </c>
      <c r="AA70" s="119">
        <f t="shared" si="139"/>
        <v>0</v>
      </c>
      <c r="AB70" s="119">
        <f t="shared" si="139"/>
        <v>0</v>
      </c>
      <c r="AC70" s="137" t="e">
        <f t="shared" si="140"/>
        <v>#DIV/0!</v>
      </c>
      <c r="AD70" s="31">
        <v>0.08</v>
      </c>
      <c r="AE70" s="126" t="e">
        <f t="shared" si="141"/>
        <v>#DIV/0!</v>
      </c>
    </row>
    <row r="71" spans="2:31" x14ac:dyDescent="0.2">
      <c r="B71" s="20" t="s">
        <v>80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18" t="e">
        <f t="shared" si="142"/>
        <v>#DIV/0!</v>
      </c>
      <c r="R71" s="31">
        <v>0.1</v>
      </c>
      <c r="S71" s="119">
        <f t="shared" si="138"/>
        <v>0</v>
      </c>
      <c r="T71" s="119">
        <f t="shared" si="139"/>
        <v>0</v>
      </c>
      <c r="U71" s="119">
        <f t="shared" si="139"/>
        <v>0</v>
      </c>
      <c r="V71" s="119">
        <f t="shared" si="139"/>
        <v>0</v>
      </c>
      <c r="W71" s="119">
        <f t="shared" si="139"/>
        <v>0</v>
      </c>
      <c r="X71" s="119">
        <f t="shared" si="139"/>
        <v>0</v>
      </c>
      <c r="Y71" s="119">
        <f t="shared" si="139"/>
        <v>0</v>
      </c>
      <c r="Z71" s="119">
        <f t="shared" si="139"/>
        <v>0</v>
      </c>
      <c r="AA71" s="119">
        <f t="shared" si="139"/>
        <v>0</v>
      </c>
      <c r="AB71" s="119">
        <f t="shared" si="139"/>
        <v>0</v>
      </c>
      <c r="AC71" s="137" t="e">
        <f t="shared" si="140"/>
        <v>#DIV/0!</v>
      </c>
      <c r="AD71" s="31">
        <v>0.08</v>
      </c>
      <c r="AE71" s="126" t="e">
        <f t="shared" si="141"/>
        <v>#DIV/0!</v>
      </c>
    </row>
    <row r="72" spans="2:31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36"/>
      <c r="AD72" s="20"/>
      <c r="AE72" s="20"/>
    </row>
    <row r="73" spans="2:31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36"/>
      <c r="AD73" s="20"/>
      <c r="AE73" s="20"/>
    </row>
    <row r="74" spans="2:31" x14ac:dyDescent="0.2">
      <c r="B74" s="108" t="s">
        <v>244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3"/>
      <c r="R74" s="23"/>
      <c r="S74" s="121" t="s">
        <v>66</v>
      </c>
      <c r="T74" s="20"/>
      <c r="U74" s="20"/>
      <c r="V74" s="20"/>
      <c r="W74" s="20"/>
      <c r="X74" s="20"/>
      <c r="Y74" s="20"/>
      <c r="Z74" s="20"/>
      <c r="AA74" s="20"/>
      <c r="AB74" s="20"/>
      <c r="AC74" s="136"/>
      <c r="AD74" s="20"/>
      <c r="AE74" s="20"/>
    </row>
    <row r="75" spans="2:31" x14ac:dyDescent="0.2">
      <c r="B75" s="23" t="s">
        <v>281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5">
        <f>AVERAGE(G37:P39)</f>
        <v>134.29465277096114</v>
      </c>
      <c r="Q75" s="23"/>
      <c r="R75" s="23"/>
      <c r="S75" s="133"/>
      <c r="T75" s="20"/>
      <c r="U75" s="20"/>
      <c r="V75" s="20"/>
      <c r="W75" s="20"/>
      <c r="X75" s="20"/>
      <c r="Y75" s="20"/>
      <c r="Z75" s="20"/>
      <c r="AA75" s="20"/>
      <c r="AB75" s="20"/>
      <c r="AC75" s="136"/>
      <c r="AD75" s="20"/>
      <c r="AE75" s="20"/>
    </row>
    <row r="76" spans="2:31" x14ac:dyDescent="0.2">
      <c r="B76" s="20" t="s">
        <v>25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39">
        <f>S76+T76</f>
        <v>150.46072814382939</v>
      </c>
      <c r="S76" s="132">
        <f>PV($C$2, ($AB$4-$S$4), 0, -AB38)</f>
        <v>9.8168668058429223</v>
      </c>
      <c r="T76" s="132">
        <f>PV($C$2, ($AB$4-$S$4), 0, -AE38)</f>
        <v>140.64386133798646</v>
      </c>
      <c r="U76" s="20"/>
      <c r="V76" s="20"/>
      <c r="W76" s="20"/>
      <c r="X76" s="20"/>
      <c r="Y76" s="20"/>
      <c r="Z76" s="20"/>
      <c r="AA76" s="20"/>
      <c r="AB76" s="20"/>
      <c r="AC76" s="136"/>
      <c r="AD76" s="20"/>
      <c r="AE76" s="20"/>
    </row>
    <row r="77" spans="2:31" x14ac:dyDescent="0.2">
      <c r="B77" s="20" t="s">
        <v>273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39">
        <f t="shared" ref="R77:R95" si="143">S77+T77</f>
        <v>650.14439376423684</v>
      </c>
      <c r="S77" s="132">
        <f>PV($C$2, ($AB$4-$S$4), 0, -AB39)</f>
        <v>42.583097733954389</v>
      </c>
      <c r="T77" s="132">
        <f>PV($C$2, ($AB$4-$S$4), 0, -AE39)</f>
        <v>607.56129603028251</v>
      </c>
      <c r="U77" s="20"/>
      <c r="V77" s="20"/>
      <c r="W77" s="20"/>
      <c r="X77" s="20"/>
      <c r="Y77" s="20"/>
      <c r="Z77" s="20"/>
      <c r="AA77" s="20"/>
      <c r="AB77" s="20"/>
      <c r="AC77" s="136"/>
      <c r="AD77" s="20"/>
      <c r="AE77" s="20"/>
    </row>
    <row r="78" spans="2:31" x14ac:dyDescent="0.2">
      <c r="B78" s="20" t="s">
        <v>274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39">
        <f t="shared" si="143"/>
        <v>642.45333062515238</v>
      </c>
      <c r="S78" s="132">
        <f>PV($C$2, ($AB$4-$S$4), 0, -AB40)</f>
        <v>41.97012402611557</v>
      </c>
      <c r="T78" s="132">
        <f>PV($C$2, ($AB$4-$S$4), 0, -AE40)</f>
        <v>600.48320659903675</v>
      </c>
      <c r="U78" s="20"/>
      <c r="V78" s="20"/>
      <c r="W78" s="20"/>
      <c r="X78" s="20"/>
      <c r="Y78" s="20"/>
      <c r="Z78" s="20"/>
      <c r="AA78" s="20"/>
      <c r="AB78" s="20"/>
      <c r="AC78" s="136"/>
      <c r="AD78" s="20"/>
      <c r="AE78" s="20"/>
    </row>
    <row r="79" spans="2:31" x14ac:dyDescent="0.2">
      <c r="B79" s="20" t="s">
        <v>275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39" t="e">
        <f t="shared" si="143"/>
        <v>#DIV/0!</v>
      </c>
      <c r="S79" s="132">
        <f>PV($C$2, ($AB$4-$S$4), 0, -AB41)</f>
        <v>0</v>
      </c>
      <c r="T79" s="132" t="e">
        <f>PV($C$2, ($AB$4-$S$4), 0, -AE41)</f>
        <v>#DIV/0!</v>
      </c>
      <c r="U79" s="20"/>
      <c r="V79" s="20"/>
      <c r="W79" s="20"/>
      <c r="X79" s="20"/>
      <c r="Y79" s="20"/>
      <c r="Z79" s="20"/>
      <c r="AA79" s="20"/>
      <c r="AB79" s="20"/>
      <c r="AC79" s="136"/>
      <c r="AD79" s="20"/>
      <c r="AE79" s="20"/>
    </row>
    <row r="80" spans="2:31" x14ac:dyDescent="0.2">
      <c r="B80" s="20" t="s">
        <v>276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39">
        <f t="shared" si="143"/>
        <v>699.22847548186155</v>
      </c>
      <c r="S80" s="132">
        <f>PV($C$2, ($AB$4-$S$4), 0, -AB47)</f>
        <v>39.09956827375666</v>
      </c>
      <c r="T80" s="132">
        <f>PV($C$2, ($AB$4-$S$4), 0, -AE47)</f>
        <v>660.12890720810492</v>
      </c>
      <c r="U80" s="20"/>
      <c r="V80" s="20"/>
      <c r="W80" s="20"/>
      <c r="X80" s="20"/>
      <c r="Y80" s="20"/>
      <c r="Z80" s="20"/>
      <c r="AA80" s="20"/>
      <c r="AB80" s="20"/>
      <c r="AC80" s="136"/>
      <c r="AD80" s="20"/>
      <c r="AE80" s="20"/>
    </row>
    <row r="81" spans="2:31" x14ac:dyDescent="0.2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39"/>
      <c r="S81" s="132"/>
      <c r="T81" s="20"/>
      <c r="U81" s="20"/>
      <c r="V81" s="20"/>
      <c r="W81" s="20"/>
      <c r="X81" s="20"/>
      <c r="Y81" s="20"/>
      <c r="Z81" s="20"/>
      <c r="AA81" s="20"/>
      <c r="AB81" s="20"/>
      <c r="AC81" s="136"/>
      <c r="AD81" s="20"/>
      <c r="AE81" s="20"/>
    </row>
    <row r="82" spans="2:31" x14ac:dyDescent="0.2">
      <c r="B82" s="20" t="s">
        <v>271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39">
        <f t="shared" si="143"/>
        <v>650.14439376423684</v>
      </c>
      <c r="S82" s="132">
        <f>PV($C$2, ($AB$4-$S$4), 0, -AB43)</f>
        <v>42.583097733954389</v>
      </c>
      <c r="T82" s="132">
        <f>PV($C$2, ($AB$4-$S$4), 0, -AE43)</f>
        <v>607.56129603028251</v>
      </c>
      <c r="U82" s="20"/>
      <c r="V82" s="20"/>
      <c r="W82" s="20"/>
      <c r="X82" s="20"/>
      <c r="Y82" s="20"/>
      <c r="Z82" s="20"/>
      <c r="AA82" s="20"/>
      <c r="AB82" s="20"/>
      <c r="AC82" s="136"/>
      <c r="AD82" s="20"/>
      <c r="AE82" s="20"/>
    </row>
    <row r="83" spans="2:31" x14ac:dyDescent="0.2">
      <c r="B83" s="20" t="s">
        <v>272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39">
        <f t="shared" si="143"/>
        <v>572.89331884873536</v>
      </c>
      <c r="S83" s="132">
        <f>PV($C$2, ($AB$4-$S$4), 0, -AB44)</f>
        <v>37.57559787320038</v>
      </c>
      <c r="T83" s="132">
        <f>PV($C$2, ($AB$4-$S$4), 0, -AE44)</f>
        <v>535.31772097553494</v>
      </c>
      <c r="U83" s="20"/>
      <c r="V83" s="20"/>
      <c r="W83" s="20"/>
      <c r="X83" s="20"/>
      <c r="Y83" s="20"/>
      <c r="Z83" s="20"/>
      <c r="AA83" s="20"/>
      <c r="AB83" s="20"/>
      <c r="AC83" s="136"/>
      <c r="AD83" s="20"/>
      <c r="AE83" s="20"/>
    </row>
    <row r="84" spans="2:31" x14ac:dyDescent="0.2">
      <c r="B84" s="20" t="s">
        <v>277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39">
        <f t="shared" si="143"/>
        <v>875.41577904688802</v>
      </c>
      <c r="S84" s="132">
        <f>PV($C$2, ($AB$4-$S$4), 0, -AB45)</f>
        <v>58.240359558843252</v>
      </c>
      <c r="T84" s="132">
        <f>PV($C$2, ($AB$4-$S$4), 0, -AE45)</f>
        <v>817.17541948804478</v>
      </c>
      <c r="U84" s="20"/>
      <c r="V84" s="20"/>
      <c r="W84" s="20"/>
      <c r="X84" s="20"/>
      <c r="Y84" s="20"/>
      <c r="Z84" s="20"/>
      <c r="AA84" s="20"/>
      <c r="AB84" s="20"/>
      <c r="AC84" s="136"/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39"/>
      <c r="S85" s="132"/>
      <c r="T85" s="20"/>
      <c r="U85" s="20"/>
      <c r="V85" s="20"/>
      <c r="W85" s="20"/>
      <c r="X85" s="20"/>
      <c r="Y85" s="20"/>
      <c r="Z85" s="20"/>
      <c r="AA85" s="20"/>
      <c r="AB85" s="20"/>
      <c r="AC85" s="136"/>
      <c r="AD85" s="20"/>
      <c r="AE85" s="20"/>
    </row>
    <row r="86" spans="2:31" x14ac:dyDescent="0.2">
      <c r="B86" s="20" t="s">
        <v>249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39">
        <f t="shared" si="143"/>
        <v>731.69004646529299</v>
      </c>
      <c r="S86" s="132">
        <f>PV($C$2, ($AB$4-$S$4), 0, -AB50)</f>
        <v>47.594542251141689</v>
      </c>
      <c r="T86" s="132">
        <f>PV($C$2, ($AB$4-$S$4), 0, -AE50)</f>
        <v>684.09550421415133</v>
      </c>
      <c r="U86" s="20"/>
      <c r="V86" s="20"/>
      <c r="W86" s="20"/>
      <c r="X86" s="20"/>
      <c r="Y86" s="20"/>
      <c r="Z86" s="20"/>
      <c r="AA86" s="20"/>
      <c r="AB86" s="20"/>
      <c r="AC86" s="136"/>
      <c r="AD86" s="20"/>
      <c r="AE86" s="20"/>
    </row>
    <row r="87" spans="2:31" x14ac:dyDescent="0.2">
      <c r="B87" s="20" t="s">
        <v>250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39">
        <f t="shared" si="143"/>
        <v>649.22738429324215</v>
      </c>
      <c r="S87" s="132">
        <f>PV($C$2, ($AB$4-$S$4), 0, -AB51)</f>
        <v>41.578508797367476</v>
      </c>
      <c r="T87" s="132">
        <f>PV($C$2, ($AB$4-$S$4), 0, -AE51)</f>
        <v>607.64887549587468</v>
      </c>
      <c r="U87" s="20"/>
      <c r="V87" s="20"/>
      <c r="W87" s="20"/>
      <c r="X87" s="20"/>
      <c r="Y87" s="20"/>
      <c r="Z87" s="20"/>
      <c r="AA87" s="20"/>
      <c r="AB87" s="20"/>
      <c r="AC87" s="136"/>
      <c r="AD87" s="20"/>
      <c r="AE87" s="20"/>
    </row>
    <row r="88" spans="2:3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39"/>
      <c r="S88" s="132"/>
      <c r="T88" s="132"/>
      <c r="U88" s="20"/>
      <c r="V88" s="20"/>
      <c r="W88" s="20"/>
      <c r="X88" s="20"/>
      <c r="Y88" s="20"/>
      <c r="Z88" s="20"/>
      <c r="AA88" s="20"/>
      <c r="AB88" s="20"/>
      <c r="AC88" s="136"/>
      <c r="AD88" s="20"/>
      <c r="AE88" s="20"/>
    </row>
    <row r="89" spans="2:31" x14ac:dyDescent="0.2">
      <c r="B89" s="20" t="s">
        <v>294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39">
        <f t="shared" ref="R89" si="144">S89+T89</f>
        <v>328536.23693719564</v>
      </c>
      <c r="S89" s="132">
        <f>PV($C$2, ($AB$4-$S$4), 0, -AB12)</f>
        <v>15501.805833496304</v>
      </c>
      <c r="T89" s="132">
        <f>PV($C$2, ($AB$4-$S$4), 0, -AE12)</f>
        <v>313034.43110369932</v>
      </c>
      <c r="U89" s="20"/>
      <c r="V89" s="20"/>
      <c r="W89" s="20"/>
      <c r="X89" s="20"/>
      <c r="Y89" s="20"/>
      <c r="Z89" s="20"/>
      <c r="AA89" s="20"/>
      <c r="AB89" s="20"/>
      <c r="AC89" s="136"/>
      <c r="AD89" s="20"/>
      <c r="AE89" s="20"/>
    </row>
    <row r="90" spans="2:31" x14ac:dyDescent="0.2">
      <c r="B90" s="20" t="s">
        <v>295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39">
        <f>S90+T90</f>
        <v>828.65345911972054</v>
      </c>
      <c r="S90" s="139">
        <f>S89/P35</f>
        <v>39.09956827375666</v>
      </c>
      <c r="T90" s="139">
        <f>T89/P35</f>
        <v>789.55389084596391</v>
      </c>
      <c r="U90" s="20"/>
      <c r="V90" s="20"/>
      <c r="W90" s="20"/>
      <c r="X90" s="20"/>
      <c r="Y90" s="20"/>
      <c r="Z90" s="20"/>
      <c r="AA90" s="20"/>
      <c r="AB90" s="20"/>
      <c r="AC90" s="136"/>
      <c r="AD90" s="20"/>
      <c r="AE90" s="20"/>
    </row>
    <row r="91" spans="2:31" x14ac:dyDescent="0.2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39"/>
      <c r="S91" s="139"/>
      <c r="T91" s="139"/>
      <c r="U91" s="20"/>
      <c r="V91" s="20"/>
      <c r="W91" s="20"/>
      <c r="X91" s="20"/>
      <c r="Y91" s="20"/>
      <c r="Z91" s="20"/>
      <c r="AA91" s="20"/>
      <c r="AB91" s="20"/>
      <c r="AC91" s="136"/>
      <c r="AD91" s="20"/>
      <c r="AE91" s="20"/>
    </row>
    <row r="92" spans="2:31" x14ac:dyDescent="0.2">
      <c r="B92" s="108" t="s">
        <v>298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39"/>
      <c r="S92" s="132"/>
      <c r="T92" s="132"/>
      <c r="U92" s="20"/>
      <c r="V92" s="20"/>
      <c r="W92" s="20"/>
      <c r="X92" s="20"/>
      <c r="Y92" s="20"/>
      <c r="Z92" s="20"/>
      <c r="AA92" s="20"/>
      <c r="AB92" s="20"/>
      <c r="AC92" s="136"/>
      <c r="AD92" s="20"/>
      <c r="AE92" s="20"/>
    </row>
    <row r="93" spans="2:31" x14ac:dyDescent="0.2">
      <c r="B93" s="20" t="s">
        <v>283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39">
        <f t="shared" ref="R93" si="145">S93+T93</f>
        <v>118.44034602918876</v>
      </c>
      <c r="S93" s="132">
        <f>PV($C$2, ($AB$4-$S$4), 0, -AB53)+PV($C$2, ($AA$4-$S$4), 0, -AB53)+PV($C$2, ($Z$4-$S$4), 0, -AB53)+PV($C$2, ($Y$4-$S$4), 0, -AB53)+PV($C$2, ($X$4-$S$4), 0, -AB53)+PV($C$2, ($W$4-$S$4), 0, -AB53)+PV($C$2, ($V$4-$S$4), 0, -AB53)+PV($C$2, ($U$4-$S$4), 0, -AB53)+PV($C$2, ($T$4-$S$4), 0, -AB53)+PV($C$2, ($S$4-$S$4), 0, -AB53)</f>
        <v>65.809114243929955</v>
      </c>
      <c r="T93" s="132">
        <f>PV($C$2, ($AB$4-$S$4), 0, -AE53)</f>
        <v>52.631231785258812</v>
      </c>
      <c r="U93" s="20"/>
      <c r="V93" s="20"/>
      <c r="W93" s="20"/>
      <c r="X93" s="20"/>
      <c r="Y93" s="20"/>
      <c r="Z93" s="20"/>
      <c r="AA93" s="20"/>
      <c r="AB93" s="20"/>
      <c r="AC93" s="136"/>
      <c r="AD93" s="20"/>
      <c r="AE93" s="20"/>
    </row>
    <row r="94" spans="2:31" x14ac:dyDescent="0.2">
      <c r="B94" s="2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39"/>
      <c r="S94" s="132"/>
      <c r="T94" s="132"/>
      <c r="U94" s="20"/>
      <c r="V94" s="20"/>
      <c r="W94" s="20"/>
      <c r="X94" s="20"/>
      <c r="Y94" s="20"/>
      <c r="Z94" s="20"/>
      <c r="AA94" s="20"/>
      <c r="AB94" s="20"/>
      <c r="AC94" s="136"/>
      <c r="AD94" s="20"/>
      <c r="AE94" s="20"/>
    </row>
    <row r="95" spans="2:31" x14ac:dyDescent="0.2">
      <c r="B95" s="20" t="s">
        <v>291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39">
        <f t="shared" si="143"/>
        <v>0</v>
      </c>
      <c r="S95" s="132">
        <f>PV($C$2, ($AB$4-$S$4), 0, -AB55)+PV($C$2, ($AA$4-$S$4), 0, -AB55)+PV($C$2, ($Z$4-$S$4), 0, -AB55)+PV($C$2, ($Y$4-$S$4), 0, -AB55)+PV($C$2, ($X$4-$S$4), 0, -AB55)+PV($C$2, ($W$4-$S$4), 0, -AB55)+PV($C$2, ($V$4-$S$4), 0, -AB55)+PV($C$2, ($U$4-$S$4), 0, -AB55)+PV($C$2, ($T$4-$S$4), 0, -AB55)+PV($C$2, ($S$4-$S$4), 0, -AB55)</f>
        <v>0</v>
      </c>
      <c r="T95" s="132">
        <f>PV($C$2, ($AB$4-$S$4), 0, -AE55)</f>
        <v>0</v>
      </c>
      <c r="U95" s="20"/>
      <c r="V95" s="20"/>
      <c r="W95" s="20"/>
      <c r="X95" s="20"/>
      <c r="Y95" s="20"/>
      <c r="Z95" s="20"/>
      <c r="AA95" s="20"/>
      <c r="AB95" s="20"/>
      <c r="AC95" s="136"/>
      <c r="AD95" s="20"/>
      <c r="AE95" s="20"/>
    </row>
    <row r="96" spans="2:31" x14ac:dyDescent="0.2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39"/>
      <c r="S96" s="132"/>
      <c r="T96" s="132"/>
      <c r="U96" s="20"/>
      <c r="V96" s="20"/>
      <c r="W96" s="20"/>
      <c r="X96" s="20"/>
      <c r="Y96" s="20"/>
      <c r="Z96" s="20"/>
      <c r="AA96" s="20"/>
      <c r="AB96" s="20"/>
      <c r="AC96" s="136"/>
      <c r="AD96" s="20"/>
      <c r="AE96" s="20"/>
    </row>
    <row r="97" spans="2:31" x14ac:dyDescent="0.2">
      <c r="B97" s="20" t="s">
        <v>287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39">
        <f t="shared" ref="R97:R100" si="146">S97+T97</f>
        <v>0</v>
      </c>
      <c r="S97" s="132">
        <f>PV($C$2, ($AB$4-$S$4), 0, -AB57)+PV($C$2, ($AA$4-$S$4), 0, -AB57)+PV($C$2, ($Z$4-$S$4), 0, -AB57)+PV($C$2, ($Y$4-$S$4), 0, -AB57)+PV($C$2, ($X$4-$S$4), 0, -AB57)+PV($C$2, ($W$4-$S$4), 0, -AB57)+PV($C$2, ($V$4-$S$4), 0, -AB57)+PV($C$2, ($U$4-$S$4), 0, -AB57)+PV($C$2, ($T$4-$S$4), 0, -AB57)+PV($C$2, ($S$4-$S$4), 0, -AB57)</f>
        <v>0</v>
      </c>
      <c r="T97" s="132">
        <f>PV($C$2, ($AB$4-$S$4), 0, -AE57)</f>
        <v>0</v>
      </c>
      <c r="U97" s="20"/>
      <c r="V97" s="20"/>
      <c r="W97" s="20"/>
      <c r="X97" s="20"/>
      <c r="Y97" s="20"/>
      <c r="Z97" s="20"/>
      <c r="AA97" s="20"/>
      <c r="AB97" s="20"/>
      <c r="AC97" s="136"/>
      <c r="AD97" s="20"/>
      <c r="AE97" s="20"/>
    </row>
    <row r="98" spans="2:31" x14ac:dyDescent="0.2">
      <c r="B98" s="20" t="s">
        <v>288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39">
        <f t="shared" si="146"/>
        <v>0</v>
      </c>
      <c r="S98" s="132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0</v>
      </c>
      <c r="T98" s="132">
        <f>PV($C$2, ($AB$4-$S$4), 0, -AE58)</f>
        <v>0</v>
      </c>
      <c r="U98" s="20"/>
      <c r="V98" s="20"/>
      <c r="W98" s="20"/>
      <c r="X98" s="20"/>
      <c r="Y98" s="20"/>
      <c r="Z98" s="20"/>
      <c r="AA98" s="20"/>
      <c r="AB98" s="20"/>
      <c r="AC98" s="136"/>
      <c r="AD98" s="20"/>
      <c r="AE98" s="20"/>
    </row>
    <row r="99" spans="2:31" x14ac:dyDescent="0.2">
      <c r="B99" s="20" t="s">
        <v>289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39">
        <f t="shared" si="146"/>
        <v>0</v>
      </c>
      <c r="S99" s="132">
        <f>PV($C$2, ($AB$4-$S$4), 0, -AB59)+PV($C$2, ($AA$4-$S$4), 0, -AB59)+PV($C$2, ($Z$4-$S$4), 0, -AB59)+PV($C$2, ($Y$4-$S$4), 0, -AB59)+PV($C$2, ($X$4-$S$4), 0, -AB59)+PV($C$2, ($W$4-$S$4), 0, -AB59)+PV($C$2, ($V$4-$S$4), 0, -AB59)+PV($C$2, ($U$4-$S$4), 0, -AB59)+PV($C$2, ($T$4-$S$4), 0, -AB59)+PV($C$2, ($S$4-$S$4), 0, -AB59)</f>
        <v>0</v>
      </c>
      <c r="T99" s="132">
        <f>PV($C$2, ($AB$4-$S$4), 0, -AE59)</f>
        <v>0</v>
      </c>
      <c r="U99" s="20"/>
      <c r="V99" s="20"/>
      <c r="W99" s="20"/>
      <c r="X99" s="20"/>
      <c r="Y99" s="20"/>
      <c r="Z99" s="20"/>
      <c r="AA99" s="20"/>
      <c r="AB99" s="20"/>
      <c r="AC99" s="136"/>
      <c r="AD99" s="20"/>
      <c r="AE99" s="20"/>
    </row>
    <row r="100" spans="2:31" x14ac:dyDescent="0.2">
      <c r="B100" s="20" t="s">
        <v>290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39">
        <f t="shared" si="146"/>
        <v>0</v>
      </c>
      <c r="S100" s="132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0</v>
      </c>
      <c r="T100" s="132">
        <f>PV($C$2, ($AB$4-$S$4), 0, -AE60)</f>
        <v>0</v>
      </c>
      <c r="U100" s="20"/>
      <c r="V100" s="20"/>
      <c r="W100" s="20"/>
      <c r="X100" s="20"/>
      <c r="Y100" s="20"/>
      <c r="Z100" s="20"/>
      <c r="AA100" s="20"/>
      <c r="AB100" s="20"/>
      <c r="AC100" s="136"/>
      <c r="AD100" s="20"/>
      <c r="AE100" s="20"/>
    </row>
    <row r="101" spans="2:3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39"/>
      <c r="S101" s="132"/>
      <c r="T101" s="132"/>
      <c r="U101" s="20"/>
      <c r="V101" s="20"/>
      <c r="W101" s="20"/>
      <c r="X101" s="20"/>
      <c r="Y101" s="20"/>
      <c r="Z101" s="20"/>
      <c r="AA101" s="20"/>
      <c r="AB101" s="20"/>
      <c r="AC101" s="136"/>
      <c r="AD101" s="20"/>
      <c r="AE101" s="20"/>
    </row>
    <row r="102" spans="2:31" x14ac:dyDescent="0.2">
      <c r="B102" s="20" t="s">
        <v>299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39">
        <f t="shared" ref="R102" si="147">S102+T102</f>
        <v>0</v>
      </c>
      <c r="S102" s="132">
        <f>PV($C$2, ($AB$4-$S$4), 0, -AB61)+PV($C$2, ($AA$4-$S$4), 0, -AB61)+PV($C$2, ($Z$4-$S$4), 0, -AB61)+PV($C$2, ($Y$4-$S$4), 0, -AB61)+PV($C$2, ($X$4-$S$4), 0, -AB61)+PV($C$2, ($W$4-$S$4), 0, -AB61)+PV($C$2, ($V$4-$S$4), 0, -AB61)+PV($C$2, ($U$4-$S$4), 0, -AB61)+PV($C$2, ($T$4-$S$4), 0, -AB61)+PV($C$2, ($S$4-$S$4), 0, -AB61)</f>
        <v>0</v>
      </c>
      <c r="T102" s="132">
        <f>PV($C$2, ($AB$4-$S$4), 0, -AE61)</f>
        <v>0</v>
      </c>
      <c r="U102" s="20"/>
      <c r="V102" s="20"/>
      <c r="W102" s="20"/>
      <c r="X102" s="20"/>
      <c r="Y102" s="20"/>
      <c r="Z102" s="20"/>
      <c r="AA102" s="20"/>
      <c r="AB102" s="20"/>
      <c r="AC102" s="136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39"/>
      <c r="S103" s="132"/>
      <c r="T103" s="132"/>
      <c r="U103" s="20"/>
      <c r="V103" s="20"/>
      <c r="W103" s="20"/>
      <c r="X103" s="20"/>
      <c r="Y103" s="20"/>
      <c r="Z103" s="20"/>
      <c r="AA103" s="20"/>
      <c r="AB103" s="20"/>
      <c r="AC103" s="136"/>
      <c r="AD103" s="20"/>
      <c r="AE103" s="20"/>
    </row>
    <row r="104" spans="2:31" x14ac:dyDescent="0.2">
      <c r="B104" s="108" t="s">
        <v>251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136"/>
      <c r="AD104" s="20"/>
      <c r="AE104" s="20"/>
    </row>
    <row r="105" spans="2:31" x14ac:dyDescent="0.2">
      <c r="B105" s="20" t="s">
        <v>204</v>
      </c>
      <c r="C105" s="22">
        <v>14</v>
      </c>
      <c r="D105" s="22">
        <v>14</v>
      </c>
      <c r="E105" s="22">
        <v>14</v>
      </c>
      <c r="F105" s="22">
        <v>14</v>
      </c>
      <c r="G105" s="22">
        <v>14</v>
      </c>
      <c r="H105" s="22">
        <v>14250</v>
      </c>
      <c r="I105" s="22">
        <v>14</v>
      </c>
      <c r="J105" s="22">
        <v>14</v>
      </c>
      <c r="K105" s="22">
        <v>14</v>
      </c>
      <c r="L105" s="22">
        <v>14</v>
      </c>
      <c r="M105" s="22">
        <v>14</v>
      </c>
      <c r="N105" s="22">
        <v>14</v>
      </c>
      <c r="O105" s="22">
        <v>14</v>
      </c>
      <c r="P105" s="22">
        <v>120</v>
      </c>
      <c r="Q105" s="118">
        <f t="shared" ref="Q105:Q109" si="148">((P105/G105)^(1/($H$3-$H$2) ))-1</f>
        <v>0.26961656148932622</v>
      </c>
      <c r="R105" s="31">
        <v>0.1</v>
      </c>
      <c r="S105" s="119">
        <f t="shared" ref="S105" si="149">P105*(1+$R105)</f>
        <v>132</v>
      </c>
      <c r="T105" s="119">
        <f t="shared" ref="T105:AB105" si="150">S105*(1+$R105)</f>
        <v>145.20000000000002</v>
      </c>
      <c r="U105" s="119">
        <f t="shared" si="150"/>
        <v>159.72000000000003</v>
      </c>
      <c r="V105" s="119">
        <f t="shared" si="150"/>
        <v>175.69200000000004</v>
      </c>
      <c r="W105" s="119">
        <f t="shared" si="150"/>
        <v>193.26120000000006</v>
      </c>
      <c r="X105" s="119">
        <f t="shared" si="150"/>
        <v>212.58732000000009</v>
      </c>
      <c r="Y105" s="119">
        <f t="shared" si="150"/>
        <v>233.84605200000013</v>
      </c>
      <c r="Z105" s="119">
        <f t="shared" si="150"/>
        <v>257.23065720000017</v>
      </c>
      <c r="AA105" s="119">
        <f t="shared" si="150"/>
        <v>282.95372292000019</v>
      </c>
      <c r="AB105" s="119">
        <f t="shared" si="150"/>
        <v>311.24909521200021</v>
      </c>
      <c r="AC105" s="137">
        <f t="shared" ref="AC105:AC109" si="151">((AB105/G105)^(1/($AB$4-$H$2) ))-1</f>
        <v>0.17731773834368036</v>
      </c>
      <c r="AD105" s="31">
        <v>0.08</v>
      </c>
      <c r="AE105" s="126">
        <f t="shared" ref="AE105:AE110" si="152">(AB105*(1+AC105))/($C$2-AD105)</f>
        <v>5234.8440119501283</v>
      </c>
    </row>
    <row r="106" spans="2:31" x14ac:dyDescent="0.2">
      <c r="B106" s="20" t="s">
        <v>42</v>
      </c>
      <c r="C106" s="25" t="e">
        <f t="shared" ref="C106:P106" si="153">C105/C38</f>
        <v>#DIV/0!</v>
      </c>
      <c r="D106" s="25" t="e">
        <f t="shared" si="153"/>
        <v>#DIV/0!</v>
      </c>
      <c r="E106" s="25" t="e">
        <f t="shared" si="153"/>
        <v>#DIV/0!</v>
      </c>
      <c r="F106" s="25">
        <f t="shared" si="153"/>
        <v>0.59275641025641035</v>
      </c>
      <c r="G106" s="25">
        <f t="shared" si="153"/>
        <v>0.42810185185185184</v>
      </c>
      <c r="H106" s="25">
        <f t="shared" si="153"/>
        <v>249.32781456953646</v>
      </c>
      <c r="I106" s="25">
        <f t="shared" si="153"/>
        <v>0.10122605363984674</v>
      </c>
      <c r="J106" s="25">
        <f t="shared" si="153"/>
        <v>7.9715517241379319E-2</v>
      </c>
      <c r="K106" s="25">
        <f t="shared" si="153"/>
        <v>5.6904615384615387E-2</v>
      </c>
      <c r="L106" s="25">
        <f t="shared" si="153"/>
        <v>1.2695745654162855</v>
      </c>
      <c r="M106" s="25">
        <f t="shared" si="153"/>
        <v>1.6102639976791415</v>
      </c>
      <c r="N106" s="25">
        <f t="shared" si="153"/>
        <v>0.85406677950453924</v>
      </c>
      <c r="O106" s="25">
        <f t="shared" si="153"/>
        <v>0.76401651754989675</v>
      </c>
      <c r="P106" s="25">
        <f t="shared" si="153"/>
        <v>7.5017975402081367</v>
      </c>
      <c r="Q106" s="118">
        <f t="shared" si="148"/>
        <v>0.37461096425036811</v>
      </c>
      <c r="R106" s="127"/>
      <c r="S106" s="119">
        <f t="shared" ref="S106:AB106" si="154">S105/S38</f>
        <v>7.6407197168786576</v>
      </c>
      <c r="T106" s="119">
        <f t="shared" si="154"/>
        <v>7.7822145264504847</v>
      </c>
      <c r="U106" s="119">
        <f t="shared" si="154"/>
        <v>7.9263296102736414</v>
      </c>
      <c r="V106" s="119">
        <f t="shared" si="154"/>
        <v>8.0731134919453762</v>
      </c>
      <c r="W106" s="119">
        <f t="shared" si="154"/>
        <v>8.2226155936480669</v>
      </c>
      <c r="X106" s="119">
        <f t="shared" si="154"/>
        <v>8.3748862527896986</v>
      </c>
      <c r="Y106" s="119">
        <f t="shared" si="154"/>
        <v>8.5299767389524721</v>
      </c>
      <c r="Z106" s="119">
        <f t="shared" si="154"/>
        <v>8.6879392711552956</v>
      </c>
      <c r="AA106" s="119">
        <f t="shared" si="154"/>
        <v>8.8488270354359493</v>
      </c>
      <c r="AB106" s="119">
        <f t="shared" si="154"/>
        <v>9.0126942027588353</v>
      </c>
      <c r="AC106" s="137">
        <f t="shared" si="151"/>
        <v>0.17394503855600352</v>
      </c>
      <c r="AD106" s="31">
        <v>0.08</v>
      </c>
      <c r="AE106" s="126">
        <f t="shared" si="152"/>
        <v>151.14868061930272</v>
      </c>
    </row>
    <row r="107" spans="2:31" x14ac:dyDescent="0.2">
      <c r="B107" s="20" t="s">
        <v>259</v>
      </c>
      <c r="C107" s="25" t="e">
        <f t="shared" ref="C107:P107" si="155">C105/C40</f>
        <v>#DIV/0!</v>
      </c>
      <c r="D107" s="25" t="e">
        <f t="shared" si="155"/>
        <v>#DIV/0!</v>
      </c>
      <c r="E107" s="25" t="e">
        <f t="shared" si="155"/>
        <v>#DIV/0!</v>
      </c>
      <c r="F107" s="25">
        <f t="shared" si="155"/>
        <v>0.12215323645970939</v>
      </c>
      <c r="G107" s="25">
        <f t="shared" si="155"/>
        <v>9.7593667546174143E-2</v>
      </c>
      <c r="H107" s="25">
        <f t="shared" si="155"/>
        <v>76.180696074463782</v>
      </c>
      <c r="I107" s="25">
        <f t="shared" si="155"/>
        <v>4.7640391550747035E-2</v>
      </c>
      <c r="J107" s="25">
        <f t="shared" si="155"/>
        <v>3.2628793225123499E-2</v>
      </c>
      <c r="K107" s="25">
        <f t="shared" si="155"/>
        <v>2.267255118303298E-2</v>
      </c>
      <c r="L107" s="25">
        <f t="shared" si="155"/>
        <v>0.49382384341637015</v>
      </c>
      <c r="M107" s="25">
        <f t="shared" si="155"/>
        <v>0.40004180180180182</v>
      </c>
      <c r="N107" s="25">
        <f t="shared" si="155"/>
        <v>0.29496120735466047</v>
      </c>
      <c r="O107" s="25">
        <f t="shared" si="155"/>
        <v>0.23118747136490486</v>
      </c>
      <c r="P107" s="25">
        <f t="shared" si="155"/>
        <v>1.7546802389909273</v>
      </c>
      <c r="Q107" s="118">
        <f t="shared" si="148"/>
        <v>0.3785407040826021</v>
      </c>
      <c r="R107" s="127"/>
      <c r="S107" s="119">
        <f t="shared" ref="S107:AB107" si="156">S105/S40</f>
        <v>1.7871743174907593</v>
      </c>
      <c r="T107" s="119">
        <f t="shared" si="156"/>
        <v>1.8202701381850328</v>
      </c>
      <c r="U107" s="119">
        <f t="shared" si="156"/>
        <v>1.8539788444477185</v>
      </c>
      <c r="V107" s="119">
        <f t="shared" si="156"/>
        <v>1.888311786011565</v>
      </c>
      <c r="W107" s="119">
        <f t="shared" si="156"/>
        <v>1.9232805227895571</v>
      </c>
      <c r="X107" s="119">
        <f t="shared" si="156"/>
        <v>1.9588968287671416</v>
      </c>
      <c r="Y107" s="119">
        <f t="shared" si="156"/>
        <v>1.995172695966533</v>
      </c>
      <c r="Z107" s="119">
        <f t="shared" si="156"/>
        <v>2.032120338484432</v>
      </c>
      <c r="AA107" s="119">
        <f t="shared" si="156"/>
        <v>2.0697521966045138</v>
      </c>
      <c r="AB107" s="119">
        <f t="shared" si="156"/>
        <v>2.108080940986079</v>
      </c>
      <c r="AC107" s="137">
        <f t="shared" si="151"/>
        <v>0.17553356443165646</v>
      </c>
      <c r="AD107" s="31">
        <v>0.08</v>
      </c>
      <c r="AE107" s="126">
        <f t="shared" si="152"/>
        <v>35.40171289525437</v>
      </c>
    </row>
    <row r="108" spans="2:31" x14ac:dyDescent="0.2">
      <c r="B108" s="20" t="s">
        <v>260</v>
      </c>
      <c r="C108" s="128" t="e">
        <f t="shared" ref="C108:P108" si="157">C105/C49</f>
        <v>#DIV/0!</v>
      </c>
      <c r="D108" s="128" t="e">
        <f t="shared" si="157"/>
        <v>#DIV/0!</v>
      </c>
      <c r="E108" s="128" t="e">
        <f t="shared" si="157"/>
        <v>#DIV/0!</v>
      </c>
      <c r="F108" s="128">
        <f t="shared" si="157"/>
        <v>1.8131372549019611</v>
      </c>
      <c r="G108" s="128">
        <f t="shared" si="157"/>
        <v>1.2329333333333332</v>
      </c>
      <c r="H108" s="128">
        <f t="shared" si="157"/>
        <v>1518.0846774193551</v>
      </c>
      <c r="I108" s="128">
        <f t="shared" si="157"/>
        <v>1.2167105263157896</v>
      </c>
      <c r="J108" s="128">
        <f t="shared" si="157"/>
        <v>1.5411666666666668</v>
      </c>
      <c r="K108" s="128">
        <f t="shared" si="157"/>
        <v>1.1558750000000002</v>
      </c>
      <c r="L108" s="128">
        <f t="shared" si="157"/>
        <v>50.922752293577986</v>
      </c>
      <c r="M108" s="25">
        <f t="shared" si="157"/>
        <v>35.810193548387097</v>
      </c>
      <c r="N108" s="25">
        <f t="shared" si="157"/>
        <v>27.342758620689658</v>
      </c>
      <c r="O108" s="25">
        <f t="shared" si="157"/>
        <v>0.27061479206279559</v>
      </c>
      <c r="P108" s="25">
        <f t="shared" si="157"/>
        <v>2.2363636363636363</v>
      </c>
      <c r="Q108" s="118">
        <f t="shared" si="148"/>
        <v>6.8399429688670299E-2</v>
      </c>
      <c r="R108" s="127"/>
      <c r="S108" s="119">
        <f t="shared" ref="S108:AB108" si="158">S105/S49</f>
        <v>2.2363636363636363</v>
      </c>
      <c r="T108" s="119">
        <f t="shared" si="158"/>
        <v>2.2363636363636363</v>
      </c>
      <c r="U108" s="119">
        <f t="shared" si="158"/>
        <v>2.2363636363636363</v>
      </c>
      <c r="V108" s="119">
        <f t="shared" si="158"/>
        <v>2.2363636363636359</v>
      </c>
      <c r="W108" s="119">
        <f t="shared" si="158"/>
        <v>2.2363636363636359</v>
      </c>
      <c r="X108" s="119">
        <f t="shared" si="158"/>
        <v>2.2363636363636359</v>
      </c>
      <c r="Y108" s="119">
        <f t="shared" si="158"/>
        <v>2.2363636363636363</v>
      </c>
      <c r="Z108" s="119">
        <f t="shared" si="158"/>
        <v>2.2363636363636359</v>
      </c>
      <c r="AA108" s="119">
        <f t="shared" si="158"/>
        <v>2.2363636363636359</v>
      </c>
      <c r="AB108" s="119">
        <f t="shared" si="158"/>
        <v>2.2363636363636354</v>
      </c>
      <c r="AC108" s="137">
        <f t="shared" si="151"/>
        <v>3.1835997922262882E-2</v>
      </c>
      <c r="AD108" s="31">
        <v>0.08</v>
      </c>
      <c r="AE108" s="126">
        <f t="shared" si="152"/>
        <v>32.965150063490469</v>
      </c>
    </row>
    <row r="109" spans="2:31" x14ac:dyDescent="0.2">
      <c r="B109" s="20" t="s">
        <v>261</v>
      </c>
      <c r="C109" s="128" t="e">
        <f t="shared" ref="C109:P109" si="159">C105/C51</f>
        <v>#DIV/0!</v>
      </c>
      <c r="D109" s="128" t="e">
        <f t="shared" si="159"/>
        <v>#DIV/0!</v>
      </c>
      <c r="E109" s="128" t="e">
        <f t="shared" si="159"/>
        <v>#DIV/0!</v>
      </c>
      <c r="F109" s="128">
        <f t="shared" si="159"/>
        <v>0.20571746384872081</v>
      </c>
      <c r="G109" s="128">
        <f t="shared" si="159"/>
        <v>0.14748006379585327</v>
      </c>
      <c r="H109" s="128">
        <f t="shared" si="159"/>
        <v>97.737538940809969</v>
      </c>
      <c r="I109" s="128">
        <f t="shared" si="159"/>
        <v>5.5637785800240674E-2</v>
      </c>
      <c r="J109" s="128">
        <f t="shared" si="159"/>
        <v>3.6398346782129505E-2</v>
      </c>
      <c r="K109" s="128">
        <f t="shared" si="159"/>
        <v>2.4655379282762298E-2</v>
      </c>
      <c r="L109" s="128">
        <f t="shared" si="159"/>
        <v>0.52622108456579453</v>
      </c>
      <c r="M109" s="25">
        <f t="shared" si="159"/>
        <v>0.43259138025095473</v>
      </c>
      <c r="N109" s="25">
        <f t="shared" si="159"/>
        <v>0.32108405159946779</v>
      </c>
      <c r="O109" s="25">
        <f t="shared" si="159"/>
        <v>0.25846705471478465</v>
      </c>
      <c r="P109" s="25">
        <f t="shared" si="159"/>
        <v>2.127936309151087</v>
      </c>
      <c r="Q109" s="118">
        <f t="shared" si="148"/>
        <v>0.3452494155156276</v>
      </c>
      <c r="R109" s="127"/>
      <c r="S109" s="119">
        <f t="shared" ref="S109:AB109" si="160">S105/S51</f>
        <v>2.127936309151087</v>
      </c>
      <c r="T109" s="119">
        <f t="shared" si="160"/>
        <v>2.127936309151087</v>
      </c>
      <c r="U109" s="119">
        <f t="shared" si="160"/>
        <v>2.127936309151087</v>
      </c>
      <c r="V109" s="119">
        <f t="shared" si="160"/>
        <v>2.1279363091510866</v>
      </c>
      <c r="W109" s="119">
        <f t="shared" si="160"/>
        <v>2.1279363091510866</v>
      </c>
      <c r="X109" s="119">
        <f t="shared" si="160"/>
        <v>2.127936309151087</v>
      </c>
      <c r="Y109" s="119">
        <f t="shared" si="160"/>
        <v>2.127936309151087</v>
      </c>
      <c r="Z109" s="119">
        <f t="shared" si="160"/>
        <v>2.127936309151087</v>
      </c>
      <c r="AA109" s="119">
        <f t="shared" si="160"/>
        <v>2.127936309151087</v>
      </c>
      <c r="AB109" s="119">
        <f t="shared" si="160"/>
        <v>2.127936309151087</v>
      </c>
      <c r="AC109" s="137">
        <f t="shared" si="151"/>
        <v>0.15083181175906946</v>
      </c>
      <c r="AD109" s="31">
        <v>0.08</v>
      </c>
      <c r="AE109" s="126">
        <f t="shared" si="152"/>
        <v>34.984239970975047</v>
      </c>
    </row>
    <row r="110" spans="2:31" x14ac:dyDescent="0.2">
      <c r="B110" s="20" t="s">
        <v>282</v>
      </c>
      <c r="C110" s="128" t="e">
        <f>C106/C63</f>
        <v>#DIV/0!</v>
      </c>
      <c r="D110" s="128" t="e">
        <f>D106/D63</f>
        <v>#DIV/0!</v>
      </c>
      <c r="E110" s="128" t="e">
        <f>E106/E63</f>
        <v>#DIV/0!</v>
      </c>
      <c r="F110" s="128" t="e">
        <f>F106/F63</f>
        <v>#DIV/0!</v>
      </c>
      <c r="G110" s="134">
        <f t="shared" ref="G110:P110" si="161">G105/G45</f>
        <v>4.8553426096088211E-2</v>
      </c>
      <c r="H110" s="134">
        <f t="shared" si="161"/>
        <v>36.530661750436643</v>
      </c>
      <c r="I110" s="134">
        <f t="shared" si="161"/>
        <v>2.1842447147750091E-2</v>
      </c>
      <c r="J110" s="134">
        <f t="shared" si="161"/>
        <v>1.5108242790621682E-2</v>
      </c>
      <c r="K110" s="134">
        <f t="shared" si="161"/>
        <v>1.0331843575418996E-2</v>
      </c>
      <c r="L110" s="134">
        <f t="shared" si="161"/>
        <v>0.20687961237420799</v>
      </c>
      <c r="M110" s="134">
        <f t="shared" si="161"/>
        <v>0.16622982240723549</v>
      </c>
      <c r="N110" s="134">
        <f t="shared" si="161"/>
        <v>0.12401867905979087</v>
      </c>
      <c r="O110" s="134">
        <f t="shared" si="161"/>
        <v>0.11796442309735831</v>
      </c>
      <c r="P110" s="134">
        <f t="shared" si="161"/>
        <v>0.95404668324376363</v>
      </c>
      <c r="Q110" s="118">
        <f t="shared" ref="Q110" si="162">((P110/G110)^(1/($H$3-$H$2) ))-1</f>
        <v>0.39221249521255896</v>
      </c>
      <c r="R110" s="127"/>
      <c r="S110" s="134">
        <f t="shared" ref="S110:AB110" si="163">S105/S45</f>
        <v>0.99947747768394279</v>
      </c>
      <c r="T110" s="134">
        <f t="shared" si="163"/>
        <v>1.0470716432879401</v>
      </c>
      <c r="U110" s="134">
        <f t="shared" si="163"/>
        <v>1.0969321977302231</v>
      </c>
      <c r="V110" s="134">
        <f t="shared" si="163"/>
        <v>1.1491670642888052</v>
      </c>
      <c r="W110" s="134">
        <f t="shared" si="163"/>
        <v>1.2038893054454149</v>
      </c>
      <c r="X110" s="134">
        <f t="shared" si="163"/>
        <v>1.2612173676094827</v>
      </c>
      <c r="Y110" s="134">
        <f t="shared" si="163"/>
        <v>1.3212753374956485</v>
      </c>
      <c r="Z110" s="134">
        <f t="shared" si="163"/>
        <v>1.384193210709727</v>
      </c>
      <c r="AA110" s="134">
        <f t="shared" si="163"/>
        <v>1.4501071731244759</v>
      </c>
      <c r="AB110" s="134">
        <f t="shared" si="163"/>
        <v>1.5191598956542129</v>
      </c>
      <c r="AC110" s="137">
        <f t="shared" ref="AC110" si="164">((AB110/G110)^(1/($AB$4-$H$2) ))-1</f>
        <v>0.19868314966303835</v>
      </c>
      <c r="AD110" s="31">
        <v>0.08</v>
      </c>
      <c r="AE110" s="126">
        <f t="shared" si="152"/>
        <v>26.014162408065211</v>
      </c>
    </row>
    <row r="111" spans="2:3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36"/>
      <c r="AD111" s="20"/>
      <c r="AE111" s="20"/>
    </row>
    <row r="112" spans="2:31" x14ac:dyDescent="0.2">
      <c r="B112" s="108" t="s">
        <v>303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36"/>
      <c r="AD112" s="20"/>
      <c r="AE112" s="20"/>
    </row>
    <row r="113" spans="2:31" x14ac:dyDescent="0.2">
      <c r="B113" s="20" t="s">
        <v>304</v>
      </c>
      <c r="C113" s="20" t="s">
        <v>307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27">
        <f>(R93-P105)/R93</f>
        <v>-1.3168265908534874E-2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36"/>
      <c r="AD113" s="20"/>
      <c r="AE113" s="20"/>
    </row>
    <row r="114" spans="2:31" x14ac:dyDescent="0.2">
      <c r="B114" s="20" t="s">
        <v>305</v>
      </c>
      <c r="C114" s="20" t="s">
        <v>307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27">
        <f>(R84-P105)/R84</f>
        <v>0.86292227890768614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36"/>
      <c r="AD114" s="20"/>
      <c r="AE114" s="20"/>
    </row>
    <row r="115" spans="2:31" x14ac:dyDescent="0.2">
      <c r="B115" s="20" t="s">
        <v>306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5">
        <f>P105/R76</f>
        <v>0.79755030751472122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36"/>
      <c r="AD115" s="20"/>
      <c r="AE115" s="20"/>
    </row>
  </sheetData>
  <pageMargins left="0.7" right="0.7" top="0.75" bottom="0.75" header="0.3" footer="0.3"/>
  <pageSetup orientation="portrait" r:id="rId1"/>
  <ignoredErrors>
    <ignoredError sqref="C106 S65:AB7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49" t="s">
        <v>27</v>
      </c>
      <c r="K5" s="149"/>
      <c r="M5" s="149" t="s">
        <v>65</v>
      </c>
      <c r="N5" s="14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49" t="s">
        <v>36</v>
      </c>
      <c r="K14" s="149"/>
      <c r="L14" s="14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49" t="s">
        <v>27</v>
      </c>
      <c r="S5" s="14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49" t="s">
        <v>36</v>
      </c>
      <c r="S14" s="149"/>
      <c r="T14" s="14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49" t="s">
        <v>27</v>
      </c>
      <c r="C2" s="149"/>
      <c r="E2" s="149" t="s">
        <v>65</v>
      </c>
      <c r="F2" s="149"/>
      <c r="H2" s="153" t="s">
        <v>36</v>
      </c>
      <c r="I2" s="15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50" t="s">
        <v>68</v>
      </c>
      <c r="E10" s="151"/>
      <c r="F10" s="151"/>
      <c r="G10" s="151"/>
      <c r="H10" s="152"/>
      <c r="I10" s="150" t="s">
        <v>72</v>
      </c>
      <c r="J10" s="151"/>
      <c r="K10" s="151"/>
      <c r="L10" s="15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2013-05-31T16:58:48Z</dcterms:modified>
</cp:coreProperties>
</file>
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25" i="18" l="1"/>
  <c r="Q26" i="18" s="1"/>
  <c r="Q44" i="18"/>
  <c r="P41" i="18"/>
  <c r="O41" i="18"/>
  <c r="N41" i="18"/>
  <c r="M41" i="18"/>
  <c r="L41" i="18"/>
  <c r="K41" i="18"/>
  <c r="J41" i="18"/>
  <c r="I41" i="18"/>
  <c r="H41" i="18"/>
  <c r="G41" i="18"/>
  <c r="Q42" i="18"/>
  <c r="Q38" i="18"/>
  <c r="Q39" i="18" s="1"/>
  <c r="Q36" i="18"/>
  <c r="Q37" i="18" s="1"/>
  <c r="Q33" i="18"/>
  <c r="Q27" i="18"/>
  <c r="Q28" i="18" s="1"/>
  <c r="Q9" i="18"/>
  <c r="Q8" i="18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O26" i="18"/>
  <c r="N26" i="18"/>
  <c r="M26" i="18"/>
  <c r="L26" i="18"/>
  <c r="K26" i="18"/>
  <c r="J26" i="18"/>
  <c r="I26" i="18"/>
  <c r="H26" i="18"/>
  <c r="G26" i="18"/>
  <c r="P25" i="18"/>
  <c r="P26" i="18" s="1"/>
  <c r="P1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Q11" i="18"/>
  <c r="Q30" i="18"/>
  <c r="E179" i="18" l="1"/>
  <c r="D179" i="18"/>
  <c r="C179" i="18"/>
  <c r="Q190" i="18" l="1"/>
  <c r="Q196" i="18"/>
  <c r="Q195" i="18"/>
  <c r="Q194" i="18"/>
  <c r="Q178" i="18"/>
  <c r="Q50" i="18"/>
  <c r="Q171" i="18" s="1"/>
  <c r="Q51" i="18"/>
  <c r="Q52" i="18"/>
  <c r="Q91" i="18" s="1"/>
  <c r="Q54" i="18"/>
  <c r="Q191" i="18" s="1"/>
  <c r="Q55" i="18"/>
  <c r="Q56" i="18"/>
  <c r="Q57" i="18"/>
  <c r="Q173" i="18" s="1"/>
  <c r="Q58" i="18"/>
  <c r="Q60" i="18"/>
  <c r="Q61" i="18"/>
  <c r="Q62" i="18"/>
  <c r="Q176" i="18" s="1"/>
  <c r="Q64" i="18"/>
  <c r="Q65" i="18"/>
  <c r="Q67" i="18"/>
  <c r="Q68" i="18"/>
  <c r="Q175" i="18" s="1"/>
  <c r="Q70" i="18"/>
  <c r="Q111" i="18" s="1"/>
  <c r="Q112" i="18" s="1"/>
  <c r="Q113" i="18" s="1"/>
  <c r="Q114" i="18" s="1"/>
  <c r="Q72" i="18"/>
  <c r="Q74" i="18" s="1"/>
  <c r="Q75" i="18"/>
  <c r="Q76" i="18"/>
  <c r="Q77" i="18"/>
  <c r="Q78" i="18"/>
  <c r="Q80" i="18"/>
  <c r="Q134" i="18" s="1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97" i="18"/>
  <c r="Q103" i="18" s="1"/>
  <c r="Q100" i="18"/>
  <c r="Q102" i="18"/>
  <c r="Q106" i="18"/>
  <c r="Q107" i="18"/>
  <c r="Q108" i="18"/>
  <c r="Q109" i="18"/>
  <c r="Q116" i="18"/>
  <c r="Q117" i="18"/>
  <c r="Q119" i="18"/>
  <c r="Q120" i="18"/>
  <c r="Q121" i="18"/>
  <c r="Q124" i="18"/>
  <c r="Q125" i="18"/>
  <c r="Q126" i="18"/>
  <c r="Q127" i="18"/>
  <c r="Q129" i="18"/>
  <c r="Q130" i="18"/>
  <c r="Q132" i="18"/>
  <c r="Q133" i="18"/>
  <c r="Q136" i="18"/>
  <c r="Q137" i="18"/>
  <c r="T7" i="18"/>
  <c r="T17" i="18"/>
  <c r="T19" i="18"/>
  <c r="T24" i="18"/>
  <c r="T35" i="18"/>
  <c r="T42" i="18"/>
  <c r="T44" i="18"/>
  <c r="T6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41" i="18"/>
  <c r="Q43" i="18"/>
  <c r="Q66" i="18" l="1"/>
  <c r="Q174" i="18" s="1"/>
  <c r="T191" i="18"/>
  <c r="T192" i="18" s="1"/>
  <c r="Q177" i="18"/>
  <c r="Q172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P91" i="18" s="1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91" i="18" l="1"/>
  <c r="R52" i="18"/>
  <c r="H191" i="18"/>
  <c r="Q179" i="18"/>
  <c r="Q180" i="18" s="1"/>
  <c r="S44" i="18"/>
  <c r="S42" i="18"/>
  <c r="G214" i="18"/>
  <c r="G213" i="18"/>
  <c r="G216" i="18" l="1"/>
  <c r="K187" i="18" l="1"/>
  <c r="K186" i="18"/>
  <c r="K185" i="18"/>
  <c r="K184" i="18"/>
  <c r="AE38" i="18" l="1"/>
  <c r="S38" i="18"/>
  <c r="T38" i="18" l="1"/>
  <c r="U38" i="18" l="1"/>
  <c r="V38" i="18" s="1"/>
  <c r="W38" i="18" s="1"/>
  <c r="K190" i="18"/>
  <c r="X38" i="18" l="1"/>
  <c r="U205" i="18"/>
  <c r="U206" i="18" s="1"/>
  <c r="D203" i="18"/>
  <c r="H203" i="18"/>
  <c r="L106" i="18"/>
  <c r="J106" i="18"/>
  <c r="H106" i="18"/>
  <c r="F106" i="18"/>
  <c r="G106" i="18"/>
  <c r="I106" i="18"/>
  <c r="K106" i="18"/>
  <c r="M106" i="18"/>
  <c r="N106" i="18"/>
  <c r="O106" i="18"/>
  <c r="P106" i="18"/>
  <c r="H137" i="18"/>
  <c r="I137" i="18"/>
  <c r="J137" i="18"/>
  <c r="K137" i="18"/>
  <c r="L137" i="18"/>
  <c r="M137" i="18"/>
  <c r="N137" i="18"/>
  <c r="O137" i="18"/>
  <c r="P137" i="18"/>
  <c r="H136" i="18"/>
  <c r="I136" i="18"/>
  <c r="J136" i="18"/>
  <c r="K136" i="18"/>
  <c r="L136" i="18"/>
  <c r="M136" i="18"/>
  <c r="N136" i="18"/>
  <c r="O136" i="18"/>
  <c r="P136" i="18"/>
  <c r="G217" i="18"/>
  <c r="G218" i="18" s="1"/>
  <c r="G219" i="18" s="1"/>
  <c r="K214" i="18"/>
  <c r="K213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8" i="18"/>
  <c r="D207" i="18"/>
  <c r="H206" i="18"/>
  <c r="I206" i="18" s="1"/>
  <c r="J206" i="18" s="1"/>
  <c r="J207" i="18" s="1"/>
  <c r="H204" i="18"/>
  <c r="H202" i="18"/>
  <c r="H201" i="18"/>
  <c r="I201" i="18" s="1"/>
  <c r="J201" i="18" s="1"/>
  <c r="Y38" i="18" l="1"/>
  <c r="D209" i="18"/>
  <c r="K217" i="18"/>
  <c r="R55" i="18"/>
  <c r="K216" i="18"/>
  <c r="I202" i="18"/>
  <c r="J202" i="18" s="1"/>
  <c r="I208" i="18"/>
  <c r="J208" i="18" s="1"/>
  <c r="J209" i="18" s="1"/>
  <c r="H90" i="18"/>
  <c r="I90" i="18"/>
  <c r="J90" i="18"/>
  <c r="K90" i="18"/>
  <c r="L90" i="18"/>
  <c r="M90" i="18"/>
  <c r="N90" i="18"/>
  <c r="O90" i="18"/>
  <c r="P90" i="18"/>
  <c r="G90" i="18"/>
  <c r="G137" i="18"/>
  <c r="G136" i="18"/>
  <c r="AE14" i="18"/>
  <c r="S14" i="18"/>
  <c r="U202" i="18"/>
  <c r="U201" i="18"/>
  <c r="O202" i="18"/>
  <c r="O205" i="18" s="1"/>
  <c r="O201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R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2" i="18"/>
  <c r="H133" i="18" s="1"/>
  <c r="I132" i="18"/>
  <c r="I133" i="18" s="1"/>
  <c r="J132" i="18"/>
  <c r="J133" i="18" s="1"/>
  <c r="K132" i="18"/>
  <c r="K133" i="18" s="1"/>
  <c r="L132" i="18"/>
  <c r="L133" i="18" s="1"/>
  <c r="M132" i="18"/>
  <c r="M133" i="18" s="1"/>
  <c r="N132" i="18"/>
  <c r="N133" i="18" s="1"/>
  <c r="O132" i="18"/>
  <c r="O133" i="18" s="1"/>
  <c r="P132" i="18"/>
  <c r="P133" i="18" s="1"/>
  <c r="G132" i="18"/>
  <c r="G133" i="18" s="1"/>
  <c r="R103" i="18" l="1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3" i="18"/>
  <c r="J203" i="18" s="1"/>
  <c r="I204" i="18" s="1"/>
  <c r="J204" i="18" s="1"/>
  <c r="J205" i="18" s="1"/>
  <c r="R136" i="18"/>
  <c r="R137" i="18"/>
  <c r="R90" i="18"/>
  <c r="R97" i="18"/>
  <c r="R94" i="18"/>
  <c r="R133" i="18"/>
  <c r="R132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0" i="18"/>
  <c r="I130" i="18"/>
  <c r="J130" i="18"/>
  <c r="K130" i="18"/>
  <c r="L130" i="18"/>
  <c r="M130" i="18"/>
  <c r="N130" i="18"/>
  <c r="O130" i="18"/>
  <c r="P130" i="18"/>
  <c r="G130" i="18"/>
  <c r="H129" i="18"/>
  <c r="I129" i="18"/>
  <c r="J129" i="18"/>
  <c r="K129" i="18"/>
  <c r="L129" i="18"/>
  <c r="M129" i="18"/>
  <c r="N129" i="18"/>
  <c r="O129" i="18"/>
  <c r="P129" i="18"/>
  <c r="G129" i="18"/>
  <c r="H126" i="18"/>
  <c r="I126" i="18"/>
  <c r="J126" i="18"/>
  <c r="K126" i="18"/>
  <c r="L126" i="18"/>
  <c r="M126" i="18"/>
  <c r="N126" i="18"/>
  <c r="O126" i="18"/>
  <c r="P126" i="18"/>
  <c r="G126" i="18"/>
  <c r="H127" i="18"/>
  <c r="I127" i="18"/>
  <c r="J127" i="18"/>
  <c r="K127" i="18"/>
  <c r="L127" i="18"/>
  <c r="M127" i="18"/>
  <c r="N127" i="18"/>
  <c r="O127" i="18"/>
  <c r="P127" i="18"/>
  <c r="G127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S170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H119" i="18"/>
  <c r="I119" i="18"/>
  <c r="J119" i="18"/>
  <c r="K119" i="18"/>
  <c r="L119" i="18"/>
  <c r="M119" i="18"/>
  <c r="N119" i="18"/>
  <c r="O119" i="18"/>
  <c r="P119" i="18"/>
  <c r="G119" i="18"/>
  <c r="B121" i="18"/>
  <c r="B120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6" i="18"/>
  <c r="N205" i="18"/>
  <c r="T203" i="18"/>
  <c r="U203" i="18" s="1"/>
  <c r="U208" i="18" s="1"/>
  <c r="N203" i="18"/>
  <c r="O203" i="18" s="1"/>
  <c r="O208" i="18" s="1"/>
  <c r="F117" i="18"/>
  <c r="H117" i="18"/>
  <c r="I117" i="18"/>
  <c r="J117" i="18"/>
  <c r="K117" i="18"/>
  <c r="L117" i="18"/>
  <c r="M117" i="18"/>
  <c r="N117" i="18"/>
  <c r="O117" i="18"/>
  <c r="P117" i="18"/>
  <c r="G117" i="18"/>
  <c r="F116" i="18"/>
  <c r="H116" i="18"/>
  <c r="I116" i="18"/>
  <c r="J116" i="18"/>
  <c r="K116" i="18"/>
  <c r="L116" i="18"/>
  <c r="M116" i="18"/>
  <c r="N116" i="18"/>
  <c r="O116" i="18"/>
  <c r="P116" i="18"/>
  <c r="G116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7" i="18"/>
  <c r="R89" i="18"/>
  <c r="R124" i="18"/>
  <c r="R130" i="18"/>
  <c r="R129" i="18"/>
  <c r="R125" i="18"/>
  <c r="R126" i="18"/>
  <c r="R119" i="18"/>
  <c r="R120" i="18"/>
  <c r="R121" i="18"/>
  <c r="R109" i="18"/>
  <c r="N208" i="18"/>
  <c r="T208" i="18"/>
  <c r="R117" i="18"/>
  <c r="R116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S6" i="18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U31" i="18"/>
  <c r="V31" i="18" s="1"/>
  <c r="W31" i="18" s="1"/>
  <c r="X31" i="18" s="1"/>
  <c r="Y31" i="18" s="1"/>
  <c r="Z31" i="18" s="1"/>
  <c r="AA31" i="18" s="1"/>
  <c r="AB31" i="18" s="1"/>
  <c r="AC31" i="18" s="1"/>
  <c r="T31" i="18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R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AC38" i="18" l="1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8" i="18"/>
  <c r="D178" i="18"/>
  <c r="E178" i="18"/>
  <c r="F178" i="18"/>
  <c r="G178" i="18"/>
  <c r="H178" i="18"/>
  <c r="I178" i="18"/>
  <c r="J178" i="18"/>
  <c r="K178" i="18"/>
  <c r="L178" i="18"/>
  <c r="M178" i="18"/>
  <c r="N178" i="18"/>
  <c r="O178" i="18"/>
  <c r="P178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H70" i="18"/>
  <c r="H111" i="18" s="1"/>
  <c r="H112" i="18" s="1"/>
  <c r="I70" i="18"/>
  <c r="I111" i="18" s="1"/>
  <c r="I112" i="18" s="1"/>
  <c r="J70" i="18"/>
  <c r="J111" i="18" s="1"/>
  <c r="J112" i="18" s="1"/>
  <c r="K70" i="18"/>
  <c r="K111" i="18" s="1"/>
  <c r="K112" i="18" s="1"/>
  <c r="L70" i="18"/>
  <c r="L111" i="18" s="1"/>
  <c r="L112" i="18" s="1"/>
  <c r="M70" i="18"/>
  <c r="M111" i="18" s="1"/>
  <c r="M112" i="18" s="1"/>
  <c r="N70" i="18"/>
  <c r="N111" i="18" s="1"/>
  <c r="N112" i="18" s="1"/>
  <c r="O70" i="18"/>
  <c r="O111" i="18" s="1"/>
  <c r="O112" i="18" s="1"/>
  <c r="P70" i="18"/>
  <c r="P111" i="18" s="1"/>
  <c r="C70" i="18"/>
  <c r="T70" i="18" l="1"/>
  <c r="T111" i="18" s="1"/>
  <c r="T112" i="18" s="1"/>
  <c r="X29" i="18"/>
  <c r="R178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4" i="18" s="1"/>
  <c r="H80" i="18"/>
  <c r="H134" i="18" s="1"/>
  <c r="I80" i="18"/>
  <c r="I134" i="18" s="1"/>
  <c r="J80" i="18"/>
  <c r="J134" i="18" s="1"/>
  <c r="K80" i="18"/>
  <c r="K134" i="18" s="1"/>
  <c r="L80" i="18"/>
  <c r="L134" i="18" s="1"/>
  <c r="M80" i="18"/>
  <c r="M134" i="18" s="1"/>
  <c r="N80" i="18"/>
  <c r="N134" i="18" s="1"/>
  <c r="O80" i="18"/>
  <c r="O134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4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W44" i="18" l="1"/>
  <c r="V70" i="18"/>
  <c r="R134" i="18"/>
  <c r="Z29" i="18"/>
  <c r="R82" i="18"/>
  <c r="R80" i="18"/>
  <c r="R81" i="18"/>
  <c r="R87" i="18"/>
  <c r="R88" i="18"/>
  <c r="P86" i="18"/>
  <c r="R86" i="18" s="1"/>
  <c r="C194" i="18"/>
  <c r="D194" i="18"/>
  <c r="E194" i="18"/>
  <c r="F194" i="18"/>
  <c r="C195" i="18"/>
  <c r="D195" i="18"/>
  <c r="E195" i="18"/>
  <c r="F195" i="18"/>
  <c r="C196" i="18"/>
  <c r="D196" i="18"/>
  <c r="E196" i="18"/>
  <c r="F196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194" i="18"/>
  <c r="I194" i="18"/>
  <c r="J194" i="18"/>
  <c r="K194" i="18"/>
  <c r="L194" i="18"/>
  <c r="M194" i="18"/>
  <c r="N194" i="18"/>
  <c r="O194" i="18"/>
  <c r="P194" i="18"/>
  <c r="G194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1" i="18" s="1"/>
  <c r="I50" i="18"/>
  <c r="I171" i="18" s="1"/>
  <c r="J50" i="18"/>
  <c r="J171" i="18" s="1"/>
  <c r="K50" i="18"/>
  <c r="K171" i="18" s="1"/>
  <c r="L50" i="18"/>
  <c r="L171" i="18" s="1"/>
  <c r="M50" i="18"/>
  <c r="M171" i="18" s="1"/>
  <c r="N50" i="18"/>
  <c r="N171" i="18" s="1"/>
  <c r="O50" i="18"/>
  <c r="O171" i="18" s="1"/>
  <c r="P50" i="18"/>
  <c r="P171" i="18" s="1"/>
  <c r="C50" i="18"/>
  <c r="C171" i="18" s="1"/>
  <c r="D50" i="18"/>
  <c r="D171" i="18" s="1"/>
  <c r="E50" i="18"/>
  <c r="E171" i="18" s="1"/>
  <c r="F50" i="18"/>
  <c r="F171" i="18" s="1"/>
  <c r="G50" i="18"/>
  <c r="G171" i="18" s="1"/>
  <c r="T94" i="18"/>
  <c r="T100" i="18" s="1"/>
  <c r="G177" i="18" l="1"/>
  <c r="X44" i="18"/>
  <c r="W70" i="18"/>
  <c r="R171" i="18"/>
  <c r="AA29" i="18"/>
  <c r="U36" i="18"/>
  <c r="U94" i="18" s="1"/>
  <c r="U100" i="18" s="1"/>
  <c r="R196" i="18"/>
  <c r="R51" i="18"/>
  <c r="R50" i="18"/>
  <c r="R195" i="18"/>
  <c r="R194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0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5" i="18" s="1"/>
  <c r="O67" i="18"/>
  <c r="O65" i="18"/>
  <c r="O64" i="18"/>
  <c r="O62" i="18"/>
  <c r="O176" i="18" s="1"/>
  <c r="O61" i="18"/>
  <c r="O60" i="18"/>
  <c r="O58" i="18"/>
  <c r="O57" i="18"/>
  <c r="O173" i="18" s="1"/>
  <c r="O56" i="18"/>
  <c r="O54" i="18"/>
  <c r="AA70" i="18" l="1"/>
  <c r="AB44" i="18"/>
  <c r="U72" i="18"/>
  <c r="T126" i="18"/>
  <c r="T136" i="18"/>
  <c r="T127" i="18"/>
  <c r="T137" i="18"/>
  <c r="W23" i="18"/>
  <c r="V97" i="18"/>
  <c r="V103" i="18" s="1"/>
  <c r="T120" i="18"/>
  <c r="T121" i="18"/>
  <c r="T119" i="18"/>
  <c r="T109" i="18"/>
  <c r="P114" i="18"/>
  <c r="R114" i="18" s="1"/>
  <c r="R113" i="18"/>
  <c r="T93" i="18"/>
  <c r="T99" i="18" s="1"/>
  <c r="T117" i="18"/>
  <c r="T116" i="18"/>
  <c r="U18" i="18"/>
  <c r="O172" i="18"/>
  <c r="O179" i="18" s="1"/>
  <c r="O180" i="18" s="1"/>
  <c r="O177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4" i="18" s="1"/>
  <c r="D62" i="18"/>
  <c r="E62" i="18"/>
  <c r="F62" i="18"/>
  <c r="G62" i="18"/>
  <c r="G176" i="18" s="1"/>
  <c r="H62" i="18"/>
  <c r="H176" i="18" s="1"/>
  <c r="I62" i="18"/>
  <c r="I176" i="18" s="1"/>
  <c r="J62" i="18"/>
  <c r="J176" i="18" s="1"/>
  <c r="K62" i="18"/>
  <c r="K176" i="18" s="1"/>
  <c r="L62" i="18"/>
  <c r="L176" i="18" s="1"/>
  <c r="M62" i="18"/>
  <c r="M176" i="18" s="1"/>
  <c r="N62" i="18"/>
  <c r="N176" i="18" s="1"/>
  <c r="P62" i="18"/>
  <c r="C62" i="18"/>
  <c r="C61" i="18"/>
  <c r="AC44" i="18" l="1"/>
  <c r="AB70" i="18"/>
  <c r="U127" i="18"/>
  <c r="U137" i="18"/>
  <c r="U126" i="18"/>
  <c r="U136" i="18"/>
  <c r="X23" i="18"/>
  <c r="W97" i="18"/>
  <c r="W103" i="18" s="1"/>
  <c r="U119" i="18"/>
  <c r="U121" i="18"/>
  <c r="U120" i="18"/>
  <c r="U109" i="18"/>
  <c r="U93" i="18"/>
  <c r="U99" i="18" s="1"/>
  <c r="U117" i="18"/>
  <c r="U116" i="18"/>
  <c r="V18" i="18"/>
  <c r="W20" i="18"/>
  <c r="V72" i="18"/>
  <c r="V27" i="18"/>
  <c r="V25" i="18"/>
  <c r="U86" i="18"/>
  <c r="Z36" i="18"/>
  <c r="Z94" i="18" s="1"/>
  <c r="Z100" i="18" s="1"/>
  <c r="X21" i="18"/>
  <c r="P176" i="18"/>
  <c r="R176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6" i="18"/>
  <c r="V136" i="18"/>
  <c r="V127" i="18"/>
  <c r="V137" i="18"/>
  <c r="V90" i="18"/>
  <c r="Y23" i="18"/>
  <c r="X97" i="18"/>
  <c r="X103" i="18" s="1"/>
  <c r="V121" i="18"/>
  <c r="V120" i="18"/>
  <c r="V119" i="18"/>
  <c r="V109" i="18"/>
  <c r="V93" i="18"/>
  <c r="V99" i="18" s="1"/>
  <c r="V117" i="18"/>
  <c r="V116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8" i="18" l="1"/>
  <c r="Q183" i="18" s="1"/>
  <c r="AF70" i="18"/>
  <c r="U158" i="18" s="1"/>
  <c r="AD70" i="18"/>
  <c r="W127" i="18"/>
  <c r="W137" i="18"/>
  <c r="W126" i="18"/>
  <c r="W136" i="18"/>
  <c r="Z23" i="18"/>
  <c r="Y97" i="18"/>
  <c r="Y103" i="18" s="1"/>
  <c r="W109" i="18"/>
  <c r="W121" i="18"/>
  <c r="W120" i="18"/>
  <c r="W119" i="18"/>
  <c r="W93" i="18"/>
  <c r="W99" i="18" s="1"/>
  <c r="W117" i="18"/>
  <c r="W116" i="18"/>
  <c r="X18" i="18"/>
  <c r="Y20" i="18"/>
  <c r="X72" i="18"/>
  <c r="X27" i="18"/>
  <c r="X25" i="18"/>
  <c r="W86" i="18"/>
  <c r="AB36" i="18"/>
  <c r="AB94" i="18" s="1"/>
  <c r="AB100" i="18" s="1"/>
  <c r="Z21" i="18"/>
  <c r="T170" i="18"/>
  <c r="T178" i="18" s="1"/>
  <c r="C54" i="18"/>
  <c r="D54" i="18"/>
  <c r="E54" i="18"/>
  <c r="F54" i="18"/>
  <c r="H54" i="18"/>
  <c r="I54" i="18"/>
  <c r="J54" i="18"/>
  <c r="K54" i="18"/>
  <c r="L54" i="18"/>
  <c r="L177" i="18" s="1"/>
  <c r="M54" i="18"/>
  <c r="N54" i="18"/>
  <c r="N177" i="18" s="1"/>
  <c r="P54" i="18"/>
  <c r="P191" i="18" s="1"/>
  <c r="D68" i="18"/>
  <c r="D175" i="18" s="1"/>
  <c r="E68" i="18"/>
  <c r="E175" i="18" s="1"/>
  <c r="F68" i="18"/>
  <c r="F175" i="18" s="1"/>
  <c r="G68" i="18"/>
  <c r="H68" i="18"/>
  <c r="H175" i="18" s="1"/>
  <c r="I68" i="18"/>
  <c r="I175" i="18" s="1"/>
  <c r="J68" i="18"/>
  <c r="J175" i="18" s="1"/>
  <c r="K68" i="18"/>
  <c r="K175" i="18" s="1"/>
  <c r="L68" i="18"/>
  <c r="L175" i="18" s="1"/>
  <c r="M68" i="18"/>
  <c r="M175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4" i="18" s="1"/>
  <c r="E64" i="18"/>
  <c r="E66" i="18" s="1"/>
  <c r="E174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3" i="18" s="1"/>
  <c r="E57" i="18"/>
  <c r="E173" i="18" s="1"/>
  <c r="F57" i="18"/>
  <c r="F173" i="18" s="1"/>
  <c r="G57" i="18"/>
  <c r="H57" i="18"/>
  <c r="H173" i="18" s="1"/>
  <c r="I57" i="18"/>
  <c r="I173" i="18" s="1"/>
  <c r="J57" i="18"/>
  <c r="J173" i="18" s="1"/>
  <c r="K57" i="18"/>
  <c r="K173" i="18" s="1"/>
  <c r="L57" i="18"/>
  <c r="L173" i="18" s="1"/>
  <c r="M57" i="18"/>
  <c r="M173" i="18" s="1"/>
  <c r="N57" i="18"/>
  <c r="P57" i="18"/>
  <c r="C68" i="18"/>
  <c r="C175" i="18" s="1"/>
  <c r="C67" i="18"/>
  <c r="C65" i="18"/>
  <c r="C64" i="18"/>
  <c r="C58" i="18"/>
  <c r="C57" i="18"/>
  <c r="C173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4" i="18"/>
  <c r="T132" i="18"/>
  <c r="T133" i="18" s="1"/>
  <c r="T95" i="18"/>
  <c r="T101" i="18" s="1"/>
  <c r="R140" i="18" l="1"/>
  <c r="T106" i="18"/>
  <c r="S158" i="18"/>
  <c r="P183" i="18" s="1"/>
  <c r="X126" i="18"/>
  <c r="X136" i="18"/>
  <c r="X90" i="18"/>
  <c r="X127" i="18"/>
  <c r="X137" i="18"/>
  <c r="AA23" i="18"/>
  <c r="Z97" i="18"/>
  <c r="Z103" i="18" s="1"/>
  <c r="T88" i="18"/>
  <c r="T89" i="18"/>
  <c r="T130" i="18"/>
  <c r="T129" i="18"/>
  <c r="T96" i="18"/>
  <c r="T102" i="18" s="1"/>
  <c r="T125" i="18"/>
  <c r="H177" i="18"/>
  <c r="H172" i="18"/>
  <c r="H179" i="18" s="1"/>
  <c r="H180" i="18" s="1"/>
  <c r="X109" i="18"/>
  <c r="X120" i="18"/>
  <c r="X119" i="18"/>
  <c r="X121" i="18"/>
  <c r="T108" i="18"/>
  <c r="T113" i="18"/>
  <c r="T114" i="18" s="1"/>
  <c r="X93" i="18"/>
  <c r="X99" i="18" s="1"/>
  <c r="X117" i="18"/>
  <c r="X116" i="18"/>
  <c r="T107" i="18"/>
  <c r="Y18" i="18"/>
  <c r="D172" i="18"/>
  <c r="D176" i="18" s="1"/>
  <c r="D177" i="18"/>
  <c r="E172" i="18"/>
  <c r="E176" i="18" s="1"/>
  <c r="E177" i="18"/>
  <c r="C172" i="18"/>
  <c r="C176" i="18" s="1"/>
  <c r="C177" i="18"/>
  <c r="P172" i="18"/>
  <c r="P179" i="18" s="1"/>
  <c r="P177" i="18"/>
  <c r="R177" i="18" s="1"/>
  <c r="K172" i="18"/>
  <c r="K179" i="18" s="1"/>
  <c r="K180" i="18" s="1"/>
  <c r="K177" i="18"/>
  <c r="F172" i="18"/>
  <c r="F177" i="18"/>
  <c r="J172" i="18"/>
  <c r="J179" i="18" s="1"/>
  <c r="J180" i="18" s="1"/>
  <c r="J177" i="18"/>
  <c r="M172" i="18"/>
  <c r="M179" i="18" s="1"/>
  <c r="M180" i="18" s="1"/>
  <c r="M177" i="18"/>
  <c r="I172" i="18"/>
  <c r="I179" i="18" s="1"/>
  <c r="I180" i="18" s="1"/>
  <c r="I177" i="18"/>
  <c r="Z20" i="18"/>
  <c r="Y72" i="18"/>
  <c r="H66" i="18"/>
  <c r="H174" i="18" s="1"/>
  <c r="Y27" i="18"/>
  <c r="U12" i="18"/>
  <c r="U15" i="18"/>
  <c r="U124" i="18" s="1"/>
  <c r="U13" i="18"/>
  <c r="U10" i="18"/>
  <c r="U16" i="18"/>
  <c r="U132" i="18" s="1"/>
  <c r="U133" i="18" s="1"/>
  <c r="U6" i="18"/>
  <c r="U7" i="18"/>
  <c r="Y25" i="18"/>
  <c r="Y90" i="18" s="1"/>
  <c r="X86" i="18"/>
  <c r="U40" i="18"/>
  <c r="T87" i="18"/>
  <c r="AC36" i="18"/>
  <c r="F66" i="18"/>
  <c r="F174" i="18" s="1"/>
  <c r="L66" i="18"/>
  <c r="L174" i="18" s="1"/>
  <c r="K66" i="18"/>
  <c r="K174" i="18" s="1"/>
  <c r="J66" i="18"/>
  <c r="J174" i="18" s="1"/>
  <c r="AA21" i="18"/>
  <c r="C66" i="18"/>
  <c r="C174" i="18" s="1"/>
  <c r="U170" i="18"/>
  <c r="U178" i="18" s="1"/>
  <c r="I66" i="18"/>
  <c r="I174" i="18" s="1"/>
  <c r="R56" i="18"/>
  <c r="G173" i="18"/>
  <c r="R57" i="18"/>
  <c r="R58" i="18"/>
  <c r="R65" i="18"/>
  <c r="R67" i="18"/>
  <c r="G172" i="18"/>
  <c r="G179" i="18" s="1"/>
  <c r="G180" i="18" s="1"/>
  <c r="R54" i="18"/>
  <c r="G175" i="18"/>
  <c r="R68" i="18"/>
  <c r="G66" i="18"/>
  <c r="R64" i="18"/>
  <c r="N173" i="18"/>
  <c r="N172" i="18"/>
  <c r="N179" i="18" s="1"/>
  <c r="N180" i="18" s="1"/>
  <c r="N175" i="18"/>
  <c r="P173" i="18"/>
  <c r="L172" i="18"/>
  <c r="L179" i="18" s="1"/>
  <c r="L180" i="18" s="1"/>
  <c r="N66" i="18"/>
  <c r="M66" i="18"/>
  <c r="M174" i="18" s="1"/>
  <c r="P175" i="18"/>
  <c r="P66" i="18"/>
  <c r="T65" i="18"/>
  <c r="C6" i="12"/>
  <c r="C26" i="15"/>
  <c r="C58" i="15"/>
  <c r="C57" i="15"/>
  <c r="C54" i="15"/>
  <c r="C53" i="15"/>
  <c r="C50" i="15"/>
  <c r="C49" i="15"/>
  <c r="C45" i="15"/>
  <c r="T190" i="18" l="1"/>
  <c r="T189" i="18" s="1"/>
  <c r="P190" i="18"/>
  <c r="F176" i="18"/>
  <c r="F179" i="18"/>
  <c r="P180" i="18"/>
  <c r="R179" i="18"/>
  <c r="U95" i="18"/>
  <c r="U101" i="18" s="1"/>
  <c r="U52" i="18"/>
  <c r="U91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1" i="18" s="1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U106" i="18"/>
  <c r="Y126" i="18"/>
  <c r="Y136" i="18"/>
  <c r="Y127" i="18"/>
  <c r="Y137" i="18"/>
  <c r="AF36" i="18"/>
  <c r="AC94" i="18"/>
  <c r="AB23" i="18"/>
  <c r="AA97" i="18"/>
  <c r="AA103" i="18" s="1"/>
  <c r="U130" i="18"/>
  <c r="U129" i="18"/>
  <c r="U96" i="18"/>
  <c r="U102" i="18" s="1"/>
  <c r="U125" i="18"/>
  <c r="U89" i="18"/>
  <c r="Y119" i="18"/>
  <c r="Y120" i="18"/>
  <c r="Y121" i="18"/>
  <c r="Y109" i="18"/>
  <c r="Y93" i="18"/>
  <c r="Y99" i="18" s="1"/>
  <c r="Y117" i="18"/>
  <c r="Y116" i="18"/>
  <c r="U107" i="18"/>
  <c r="U108" i="18"/>
  <c r="Z18" i="18"/>
  <c r="AA20" i="18"/>
  <c r="Z72" i="18"/>
  <c r="T64" i="18"/>
  <c r="T81" i="18"/>
  <c r="T60" i="18"/>
  <c r="T62" i="18"/>
  <c r="T176" i="18" s="1"/>
  <c r="T68" i="18"/>
  <c r="T175" i="18" s="1"/>
  <c r="T78" i="18"/>
  <c r="T80" i="18"/>
  <c r="T134" i="18" s="1"/>
  <c r="T51" i="18"/>
  <c r="T50" i="18"/>
  <c r="T171" i="18" s="1"/>
  <c r="T61" i="18"/>
  <c r="T57" i="18"/>
  <c r="T58" i="18"/>
  <c r="T67" i="18"/>
  <c r="T56" i="18"/>
  <c r="T82" i="18"/>
  <c r="T54" i="18"/>
  <c r="T177" i="18" s="1"/>
  <c r="Z27" i="18"/>
  <c r="V15" i="18"/>
  <c r="V124" i="18" s="1"/>
  <c r="V13" i="18"/>
  <c r="V12" i="18"/>
  <c r="T66" i="18"/>
  <c r="V16" i="18"/>
  <c r="V132" i="18" s="1"/>
  <c r="V133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0" i="18"/>
  <c r="V178" i="18" s="1"/>
  <c r="R173" i="18"/>
  <c r="R172" i="18"/>
  <c r="R175" i="18"/>
  <c r="G174" i="18"/>
  <c r="R66" i="18"/>
  <c r="N174" i="18"/>
  <c r="P174" i="18"/>
  <c r="C16" i="15"/>
  <c r="C21" i="15"/>
  <c r="C10" i="15"/>
  <c r="V95" i="18" l="1"/>
  <c r="V101" i="18" s="1"/>
  <c r="V52" i="18"/>
  <c r="V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AD94" i="18"/>
  <c r="AC100" i="18"/>
  <c r="AD100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V106" i="18"/>
  <c r="U111" i="18"/>
  <c r="U112" i="18" s="1"/>
  <c r="U113" i="18" s="1"/>
  <c r="U114" i="18" s="1"/>
  <c r="U55" i="18"/>
  <c r="Z126" i="18"/>
  <c r="Z136" i="18"/>
  <c r="Z127" i="18"/>
  <c r="Z137" i="18"/>
  <c r="AC23" i="18"/>
  <c r="AB97" i="18"/>
  <c r="AB103" i="18" s="1"/>
  <c r="V96" i="18"/>
  <c r="V102" i="18" s="1"/>
  <c r="V125" i="18"/>
  <c r="V130" i="18"/>
  <c r="V129" i="18"/>
  <c r="V89" i="18"/>
  <c r="Z121" i="18"/>
  <c r="Z120" i="18"/>
  <c r="Z119" i="18"/>
  <c r="Z109" i="18"/>
  <c r="U64" i="18"/>
  <c r="Z93" i="18"/>
  <c r="Z99" i="18" s="1"/>
  <c r="Z117" i="18"/>
  <c r="Z116" i="18"/>
  <c r="V107" i="18"/>
  <c r="V108" i="18"/>
  <c r="U60" i="18"/>
  <c r="AA18" i="18"/>
  <c r="AB20" i="18"/>
  <c r="AA72" i="18"/>
  <c r="U62" i="18"/>
  <c r="U176" i="18" s="1"/>
  <c r="U68" i="18"/>
  <c r="U175" i="18" s="1"/>
  <c r="U78" i="18"/>
  <c r="U80" i="18"/>
  <c r="U134" i="18" s="1"/>
  <c r="U50" i="18"/>
  <c r="U171" i="18" s="1"/>
  <c r="U51" i="18"/>
  <c r="U57" i="18"/>
  <c r="U56" i="18"/>
  <c r="U67" i="18"/>
  <c r="U82" i="18"/>
  <c r="U61" i="18"/>
  <c r="U58" i="18"/>
  <c r="U54" i="18"/>
  <c r="U177" i="18" s="1"/>
  <c r="U65" i="18"/>
  <c r="U81" i="18"/>
  <c r="AA27" i="18"/>
  <c r="W13" i="18"/>
  <c r="W12" i="18"/>
  <c r="W15" i="18"/>
  <c r="W124" i="18" s="1"/>
  <c r="W10" i="18"/>
  <c r="W16" i="18"/>
  <c r="W132" i="18" s="1"/>
  <c r="W133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4" i="18"/>
  <c r="W170" i="18"/>
  <c r="W178" i="18" s="1"/>
  <c r="T172" i="18"/>
  <c r="T179" i="18" s="1"/>
  <c r="T173" i="18"/>
  <c r="R174" i="18"/>
  <c r="D31" i="8"/>
  <c r="D29" i="8"/>
  <c r="D28" i="8"/>
  <c r="D13" i="8"/>
  <c r="D30" i="8" s="1"/>
  <c r="E14" i="8"/>
  <c r="F14" i="8" s="1"/>
  <c r="G14" i="8" s="1"/>
  <c r="H14" i="8" s="1"/>
  <c r="I14" i="8" s="1"/>
  <c r="W95" i="18" l="1"/>
  <c r="W101" i="18" s="1"/>
  <c r="W52" i="18"/>
  <c r="W91" i="18" s="1"/>
  <c r="U189" i="18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W106" i="18"/>
  <c r="V111" i="18"/>
  <c r="V112" i="18" s="1"/>
  <c r="V113" i="18" s="1"/>
  <c r="V114" i="18" s="1"/>
  <c r="V55" i="18"/>
  <c r="AA126" i="18"/>
  <c r="AA136" i="18"/>
  <c r="AA127" i="18"/>
  <c r="AA137" i="18"/>
  <c r="AF23" i="18"/>
  <c r="AC97" i="18"/>
  <c r="AD23" i="18"/>
  <c r="W89" i="18"/>
  <c r="W129" i="18"/>
  <c r="W130" i="18"/>
  <c r="W96" i="18"/>
  <c r="W102" i="18" s="1"/>
  <c r="W125" i="18"/>
  <c r="AA121" i="18"/>
  <c r="AA120" i="18"/>
  <c r="AA119" i="18"/>
  <c r="AA109" i="18"/>
  <c r="V64" i="18"/>
  <c r="U66" i="18"/>
  <c r="U174" i="18" s="1"/>
  <c r="AA93" i="18"/>
  <c r="AA99" i="18" s="1"/>
  <c r="AA117" i="18"/>
  <c r="AA116" i="18"/>
  <c r="W108" i="18"/>
  <c r="W107" i="18"/>
  <c r="AB18" i="18"/>
  <c r="AC20" i="18"/>
  <c r="AB72" i="18"/>
  <c r="V82" i="18"/>
  <c r="V81" i="18"/>
  <c r="V60" i="18"/>
  <c r="V68" i="18"/>
  <c r="V175" i="18" s="1"/>
  <c r="V67" i="18"/>
  <c r="V62" i="18"/>
  <c r="V176" i="18" s="1"/>
  <c r="V65" i="18"/>
  <c r="V56" i="18"/>
  <c r="V78" i="18"/>
  <c r="V80" i="18"/>
  <c r="V134" i="18" s="1"/>
  <c r="V51" i="18"/>
  <c r="V50" i="18"/>
  <c r="V171" i="18" s="1"/>
  <c r="V61" i="18"/>
  <c r="V57" i="18"/>
  <c r="V58" i="18"/>
  <c r="V54" i="18"/>
  <c r="V177" i="18" s="1"/>
  <c r="AB27" i="18"/>
  <c r="X12" i="18"/>
  <c r="X15" i="18"/>
  <c r="X124" i="18" s="1"/>
  <c r="X13" i="18"/>
  <c r="X16" i="18"/>
  <c r="X132" i="18" s="1"/>
  <c r="X133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0" i="18"/>
  <c r="X178" i="18" s="1"/>
  <c r="U172" i="18"/>
  <c r="U179" i="18" s="1"/>
  <c r="U173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X95" i="18" l="1"/>
  <c r="X101" i="18" s="1"/>
  <c r="X52" i="18"/>
  <c r="X91" i="18" s="1"/>
  <c r="AE189" i="18"/>
  <c r="AF189" i="18" s="1"/>
  <c r="AG189" i="18" s="1"/>
  <c r="AH189" i="18" s="1"/>
  <c r="AI189" i="18" s="1"/>
  <c r="AJ189" i="18" s="1"/>
  <c r="AK189" i="18" s="1"/>
  <c r="AL189" i="18" s="1"/>
  <c r="AM189" i="18" s="1"/>
  <c r="AN189" i="18" s="1"/>
  <c r="AO189" i="18" s="1"/>
  <c r="AP189" i="18" s="1"/>
  <c r="AQ189" i="18" s="1"/>
  <c r="AR189" i="18" s="1"/>
  <c r="AS189" i="18" s="1"/>
  <c r="AT189" i="18" s="1"/>
  <c r="AD97" i="18"/>
  <c r="AC103" i="18"/>
  <c r="AD103" i="18" s="1"/>
  <c r="X106" i="18"/>
  <c r="W111" i="18"/>
  <c r="W112" i="18" s="1"/>
  <c r="W113" i="18" s="1"/>
  <c r="W114" i="18" s="1"/>
  <c r="W55" i="18"/>
  <c r="AB126" i="18"/>
  <c r="AB136" i="18"/>
  <c r="AB127" i="18"/>
  <c r="AB137" i="18"/>
  <c r="AF20" i="18"/>
  <c r="AB90" i="18"/>
  <c r="X130" i="18"/>
  <c r="X129" i="18"/>
  <c r="X96" i="18"/>
  <c r="X102" i="18" s="1"/>
  <c r="X125" i="18"/>
  <c r="X89" i="18"/>
  <c r="AB120" i="18"/>
  <c r="AB119" i="18"/>
  <c r="AB121" i="18"/>
  <c r="AB109" i="18"/>
  <c r="V66" i="18"/>
  <c r="V174" i="18" s="1"/>
  <c r="AB93" i="18"/>
  <c r="AB99" i="18" s="1"/>
  <c r="AB117" i="18"/>
  <c r="AB116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6" i="18" s="1"/>
  <c r="W78" i="18"/>
  <c r="W80" i="18"/>
  <c r="W134" i="18" s="1"/>
  <c r="W50" i="18"/>
  <c r="W171" i="18" s="1"/>
  <c r="W51" i="18"/>
  <c r="W60" i="18"/>
  <c r="W68" i="18"/>
  <c r="W175" i="18" s="1"/>
  <c r="W54" i="18"/>
  <c r="W177" i="18" s="1"/>
  <c r="AC27" i="18"/>
  <c r="AC137" i="18" s="1"/>
  <c r="AD137" i="18" s="1"/>
  <c r="Y15" i="18"/>
  <c r="Y124" i="18" s="1"/>
  <c r="Y13" i="18"/>
  <c r="Y12" i="18"/>
  <c r="Y10" i="18"/>
  <c r="Y16" i="18"/>
  <c r="Y132" i="18" s="1"/>
  <c r="Y133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0" i="18"/>
  <c r="Y178" i="18" s="1"/>
  <c r="V172" i="18"/>
  <c r="V179" i="18" s="1"/>
  <c r="V173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Y95" i="18" l="1"/>
  <c r="Y101" i="18" s="1"/>
  <c r="Y52" i="18"/>
  <c r="Y91" i="18" s="1"/>
  <c r="Y106" i="18"/>
  <c r="X111" i="18"/>
  <c r="X112" i="18" s="1"/>
  <c r="X113" i="18" s="1"/>
  <c r="X114" i="18" s="1"/>
  <c r="X55" i="18"/>
  <c r="AC126" i="18"/>
  <c r="AD126" i="18" s="1"/>
  <c r="AC136" i="18"/>
  <c r="AD136" i="18" s="1"/>
  <c r="Y96" i="18"/>
  <c r="Y102" i="18" s="1"/>
  <c r="Y125" i="18"/>
  <c r="Y130" i="18"/>
  <c r="Y129" i="18"/>
  <c r="AF27" i="18"/>
  <c r="AC127" i="18"/>
  <c r="AD127" i="18" s="1"/>
  <c r="Y89" i="18"/>
  <c r="AC119" i="18"/>
  <c r="AD119" i="18" s="1"/>
  <c r="AC121" i="18"/>
  <c r="AD121" i="18" s="1"/>
  <c r="AC120" i="18"/>
  <c r="AD120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4" i="18" s="1"/>
  <c r="X65" i="18"/>
  <c r="AC93" i="18"/>
  <c r="AC117" i="18"/>
  <c r="AD117" i="18" s="1"/>
  <c r="AC116" i="18"/>
  <c r="AD116" i="18" s="1"/>
  <c r="Y108" i="18"/>
  <c r="Y107" i="18"/>
  <c r="AF25" i="18"/>
  <c r="AF18" i="18"/>
  <c r="AD18" i="18"/>
  <c r="T160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5" i="18" s="1"/>
  <c r="X67" i="18"/>
  <c r="X62" i="18"/>
  <c r="X176" i="18" s="1"/>
  <c r="X64" i="18"/>
  <c r="X61" i="18"/>
  <c r="X81" i="18"/>
  <c r="X60" i="18"/>
  <c r="X82" i="18"/>
  <c r="X78" i="18"/>
  <c r="X80" i="18"/>
  <c r="X134" i="18" s="1"/>
  <c r="X51" i="18"/>
  <c r="X50" i="18"/>
  <c r="X171" i="18" s="1"/>
  <c r="X56" i="18"/>
  <c r="X57" i="18"/>
  <c r="X58" i="18"/>
  <c r="X54" i="18"/>
  <c r="X177" i="18" s="1"/>
  <c r="AD27" i="18"/>
  <c r="Z12" i="18"/>
  <c r="Z15" i="18"/>
  <c r="Z124" i="18" s="1"/>
  <c r="Z13" i="18"/>
  <c r="Z10" i="18"/>
  <c r="Z16" i="18"/>
  <c r="Z132" i="18" s="1"/>
  <c r="Z133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0" i="18"/>
  <c r="Z178" i="18" s="1"/>
  <c r="W172" i="18"/>
  <c r="W179" i="18" s="1"/>
  <c r="W173" i="18"/>
  <c r="P31" i="11"/>
  <c r="N32" i="11"/>
  <c r="T19" i="9"/>
  <c r="D22" i="9"/>
  <c r="Z95" i="18" l="1"/>
  <c r="Z101" i="18" s="1"/>
  <c r="Z52" i="18"/>
  <c r="Z91" i="18" s="1"/>
  <c r="AD93" i="18"/>
  <c r="AC99" i="18"/>
  <c r="AD99" i="18" s="1"/>
  <c r="Z106" i="18"/>
  <c r="Y111" i="18"/>
  <c r="Y112" i="18" s="1"/>
  <c r="Y113" i="18" s="1"/>
  <c r="Y114" i="18" s="1"/>
  <c r="Y55" i="18"/>
  <c r="Z130" i="18"/>
  <c r="Z129" i="18"/>
  <c r="Z96" i="18"/>
  <c r="Z102" i="18" s="1"/>
  <c r="Z125" i="18"/>
  <c r="Z89" i="18"/>
  <c r="X66" i="18"/>
  <c r="X174" i="18" s="1"/>
  <c r="Y58" i="18"/>
  <c r="Z107" i="18"/>
  <c r="Z108" i="18"/>
  <c r="U160" i="18"/>
  <c r="S160" i="18" s="1"/>
  <c r="Y60" i="18"/>
  <c r="Y67" i="18"/>
  <c r="Y54" i="18"/>
  <c r="Y177" i="18" s="1"/>
  <c r="Y62" i="18"/>
  <c r="Y176" i="18" s="1"/>
  <c r="Y57" i="18"/>
  <c r="Y56" i="18"/>
  <c r="Y78" i="18"/>
  <c r="Y80" i="18"/>
  <c r="Y134" i="18" s="1"/>
  <c r="Y51" i="18"/>
  <c r="Y50" i="18"/>
  <c r="Y171" i="18" s="1"/>
  <c r="Y82" i="18"/>
  <c r="Y61" i="18"/>
  <c r="Y68" i="18"/>
  <c r="Y175" i="18" s="1"/>
  <c r="Y65" i="18"/>
  <c r="Y64" i="18"/>
  <c r="Y81" i="18"/>
  <c r="AA13" i="18"/>
  <c r="AA12" i="18"/>
  <c r="AA15" i="18"/>
  <c r="AA124" i="18" s="1"/>
  <c r="AA10" i="18"/>
  <c r="AA16" i="18"/>
  <c r="AA132" i="18" s="1"/>
  <c r="AA133" i="18" s="1"/>
  <c r="AA6" i="18"/>
  <c r="AA7" i="18"/>
  <c r="AA40" i="18"/>
  <c r="Z88" i="18"/>
  <c r="Z87" i="18"/>
  <c r="Z42" i="18"/>
  <c r="Y77" i="18"/>
  <c r="Y75" i="18"/>
  <c r="Y76" i="18"/>
  <c r="Y74" i="18"/>
  <c r="AA170" i="18"/>
  <c r="AA178" i="18" s="1"/>
  <c r="X172" i="18"/>
  <c r="X179" i="18" s="1"/>
  <c r="X173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A95" i="18" l="1"/>
  <c r="AA101" i="18" s="1"/>
  <c r="AA52" i="18"/>
  <c r="AA91" i="18" s="1"/>
  <c r="AA106" i="18"/>
  <c r="Z111" i="18"/>
  <c r="Z112" i="18" s="1"/>
  <c r="Z113" i="18" s="1"/>
  <c r="Z114" i="18" s="1"/>
  <c r="Z55" i="18"/>
  <c r="AA96" i="18"/>
  <c r="AA102" i="18" s="1"/>
  <c r="AA125" i="18"/>
  <c r="AA129" i="18"/>
  <c r="AA130" i="18"/>
  <c r="AA89" i="18"/>
  <c r="AA107" i="18"/>
  <c r="AA108" i="18"/>
  <c r="Y66" i="18"/>
  <c r="Y174" i="18" s="1"/>
  <c r="Z78" i="18"/>
  <c r="Z80" i="18"/>
  <c r="Z134" i="18" s="1"/>
  <c r="Z50" i="18"/>
  <c r="Z171" i="18" s="1"/>
  <c r="Z51" i="18"/>
  <c r="Z62" i="18"/>
  <c r="Z176" i="18" s="1"/>
  <c r="Z68" i="18"/>
  <c r="Z175" i="18" s="1"/>
  <c r="Z67" i="18"/>
  <c r="Z65" i="18"/>
  <c r="Z56" i="18"/>
  <c r="Z54" i="18"/>
  <c r="Z177" i="18" s="1"/>
  <c r="Z61" i="18"/>
  <c r="Z57" i="18"/>
  <c r="Z58" i="18"/>
  <c r="Z64" i="18"/>
  <c r="Z81" i="18"/>
  <c r="Z60" i="18"/>
  <c r="Z82" i="18"/>
  <c r="AB12" i="18"/>
  <c r="AB15" i="18"/>
  <c r="AB124" i="18" s="1"/>
  <c r="AB13" i="18"/>
  <c r="AB10" i="18"/>
  <c r="AB16" i="18"/>
  <c r="AB132" i="18" s="1"/>
  <c r="AB133" i="18" s="1"/>
  <c r="AB7" i="18"/>
  <c r="AB6" i="18"/>
  <c r="AB40" i="18"/>
  <c r="AA87" i="18"/>
  <c r="AA88" i="18"/>
  <c r="AA42" i="18"/>
  <c r="Z77" i="18"/>
  <c r="Z75" i="18"/>
  <c r="Z76" i="18"/>
  <c r="Z74" i="18"/>
  <c r="AB170" i="18"/>
  <c r="AB178" i="18" s="1"/>
  <c r="Y172" i="18"/>
  <c r="Y179" i="18" s="1"/>
  <c r="Y173" i="18"/>
  <c r="N34" i="11"/>
  <c r="O33" i="11"/>
  <c r="D25" i="8"/>
  <c r="D23" i="8"/>
  <c r="AB95" i="18" l="1"/>
  <c r="AB101" i="18" s="1"/>
  <c r="AB52" i="18"/>
  <c r="AB91" i="18" s="1"/>
  <c r="AB106" i="18"/>
  <c r="AA111" i="18"/>
  <c r="AA112" i="18" s="1"/>
  <c r="AA113" i="18" s="1"/>
  <c r="AA114" i="18" s="1"/>
  <c r="AA55" i="18"/>
  <c r="AB89" i="18"/>
  <c r="AB129" i="18"/>
  <c r="AB130" i="18"/>
  <c r="AB96" i="18"/>
  <c r="AB102" i="18" s="1"/>
  <c r="AB125" i="18"/>
  <c r="AB107" i="18"/>
  <c r="AB108" i="18"/>
  <c r="Z66" i="18"/>
  <c r="Z174" i="18" s="1"/>
  <c r="AA78" i="18"/>
  <c r="AA80" i="18"/>
  <c r="AA134" i="18" s="1"/>
  <c r="AA51" i="18"/>
  <c r="AA50" i="18"/>
  <c r="AA171" i="18" s="1"/>
  <c r="AA56" i="18"/>
  <c r="AA67" i="18"/>
  <c r="AA57" i="18"/>
  <c r="AA62" i="18"/>
  <c r="AA176" i="18" s="1"/>
  <c r="AA65" i="18"/>
  <c r="AA64" i="18"/>
  <c r="AA82" i="18"/>
  <c r="AA68" i="18"/>
  <c r="AA175" i="18" s="1"/>
  <c r="AA54" i="18"/>
  <c r="AA177" i="18" s="1"/>
  <c r="AA61" i="18"/>
  <c r="AA81" i="18"/>
  <c r="AA60" i="18"/>
  <c r="AA58" i="18"/>
  <c r="AC15" i="18"/>
  <c r="AC13" i="18"/>
  <c r="AF13" i="18" s="1"/>
  <c r="AC12" i="18"/>
  <c r="AC125" i="18" s="1"/>
  <c r="AD125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0" i="18"/>
  <c r="AC178" i="18" s="1"/>
  <c r="Z172" i="18"/>
  <c r="Z179" i="18" s="1"/>
  <c r="Z173" i="18"/>
  <c r="N35" i="11"/>
  <c r="O34" i="11"/>
  <c r="D35" i="8"/>
  <c r="E5" i="8"/>
  <c r="E18" i="8" s="1"/>
  <c r="D18" i="8"/>
  <c r="D19" i="8"/>
  <c r="D21" i="8"/>
  <c r="D20" i="8"/>
  <c r="AC95" i="18" l="1"/>
  <c r="AC101" i="18" s="1"/>
  <c r="AD101" i="18" s="1"/>
  <c r="AC52" i="18"/>
  <c r="AC106" i="18"/>
  <c r="AD178" i="18"/>
  <c r="AF178" i="18" s="1"/>
  <c r="AB111" i="18"/>
  <c r="AB112" i="18" s="1"/>
  <c r="AB113" i="18" s="1"/>
  <c r="AB114" i="18" s="1"/>
  <c r="AB55" i="18"/>
  <c r="AF16" i="18"/>
  <c r="AC132" i="18"/>
  <c r="AC130" i="18"/>
  <c r="AD130" i="18" s="1"/>
  <c r="AC129" i="18"/>
  <c r="AD129" i="18" s="1"/>
  <c r="AF15" i="18"/>
  <c r="AC124" i="18"/>
  <c r="AD124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4" i="18" s="1"/>
  <c r="AB78" i="18"/>
  <c r="AB80" i="18"/>
  <c r="AB134" i="18" s="1"/>
  <c r="AB50" i="18"/>
  <c r="AB171" i="18" s="1"/>
  <c r="AB51" i="18"/>
  <c r="AB60" i="18"/>
  <c r="AB68" i="18"/>
  <c r="AB175" i="18" s="1"/>
  <c r="AB54" i="18"/>
  <c r="AB177" i="18" s="1"/>
  <c r="AB62" i="18"/>
  <c r="AB176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4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0" i="18"/>
  <c r="AF170" i="18" s="1"/>
  <c r="AA172" i="18"/>
  <c r="AA179" i="18" s="1"/>
  <c r="AA173" i="18"/>
  <c r="N36" i="11"/>
  <c r="O35" i="11"/>
  <c r="F5" i="8"/>
  <c r="G5" i="8" s="1"/>
  <c r="H5" i="8" s="1"/>
  <c r="I5" i="8" s="1"/>
  <c r="AD95" i="18" l="1"/>
  <c r="AC91" i="18"/>
  <c r="AD91" i="18" s="1"/>
  <c r="AD52" i="18"/>
  <c r="AF52" i="18"/>
  <c r="AD96" i="18"/>
  <c r="AC102" i="18"/>
  <c r="AD102" i="18" s="1"/>
  <c r="AC111" i="18"/>
  <c r="AC112" i="18" s="1"/>
  <c r="AC113" i="18" s="1"/>
  <c r="AC114" i="18" s="1"/>
  <c r="AC55" i="18"/>
  <c r="AD132" i="18"/>
  <c r="AC133" i="18"/>
  <c r="AD133" i="18" s="1"/>
  <c r="AF42" i="18"/>
  <c r="U154" i="18"/>
  <c r="U155" i="18" s="1"/>
  <c r="AB66" i="18"/>
  <c r="AB174" i="18" s="1"/>
  <c r="AC78" i="18"/>
  <c r="AC80" i="18"/>
  <c r="AC50" i="18"/>
  <c r="AC171" i="18" s="1"/>
  <c r="AD171" i="18" s="1"/>
  <c r="AF171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5" i="18"/>
  <c r="Q186" i="18" s="1"/>
  <c r="AC77" i="18"/>
  <c r="AC75" i="18"/>
  <c r="AD42" i="18"/>
  <c r="AC76" i="18"/>
  <c r="AC74" i="18"/>
  <c r="AB172" i="18"/>
  <c r="AB179" i="18" s="1"/>
  <c r="AB173" i="18"/>
  <c r="N37" i="11"/>
  <c r="O36" i="11"/>
  <c r="F18" i="8"/>
  <c r="G18" i="8"/>
  <c r="AF54" i="18" l="1"/>
  <c r="AC177" i="18"/>
  <c r="AF55" i="18"/>
  <c r="AD55" i="18"/>
  <c r="AF80" i="18"/>
  <c r="AC134" i="18"/>
  <c r="AD134" i="18" s="1"/>
  <c r="AD111" i="18"/>
  <c r="S154" i="18"/>
  <c r="S155" i="18"/>
  <c r="AD81" i="18"/>
  <c r="AF81" i="18"/>
  <c r="AD51" i="18"/>
  <c r="AF51" i="18"/>
  <c r="T151" i="18"/>
  <c r="AF67" i="18"/>
  <c r="AC175" i="18"/>
  <c r="AD175" i="18" s="1"/>
  <c r="AF175" i="18" s="1"/>
  <c r="AF68" i="18"/>
  <c r="AD50" i="18"/>
  <c r="AF50" i="18"/>
  <c r="AD65" i="18"/>
  <c r="AF65" i="18"/>
  <c r="T145" i="18"/>
  <c r="AF64" i="18"/>
  <c r="T144" i="18"/>
  <c r="AF58" i="18"/>
  <c r="AC176" i="18"/>
  <c r="AD176" i="18" s="1"/>
  <c r="AF176" i="18" s="1"/>
  <c r="AF62" i="18"/>
  <c r="AD61" i="18"/>
  <c r="AF61" i="18"/>
  <c r="T142" i="18"/>
  <c r="Q185" i="18" s="1"/>
  <c r="AF56" i="18"/>
  <c r="T147" i="18"/>
  <c r="AF60" i="18"/>
  <c r="AD82" i="18"/>
  <c r="AF82" i="18"/>
  <c r="T167" i="18"/>
  <c r="Q187" i="18" s="1"/>
  <c r="AF78" i="18"/>
  <c r="T165" i="18"/>
  <c r="AF77" i="18"/>
  <c r="T164" i="18"/>
  <c r="AF76" i="18"/>
  <c r="T162" i="18"/>
  <c r="AF74" i="18"/>
  <c r="T163" i="18"/>
  <c r="AF75" i="18"/>
  <c r="AD67" i="18"/>
  <c r="T148" i="18"/>
  <c r="AD56" i="18"/>
  <c r="AD58" i="18"/>
  <c r="U144" i="18" s="1"/>
  <c r="AD60" i="18"/>
  <c r="T149" i="18"/>
  <c r="Q184" i="18" s="1"/>
  <c r="AD78" i="18"/>
  <c r="AD64" i="18"/>
  <c r="T152" i="18"/>
  <c r="AC66" i="18"/>
  <c r="AD62" i="18"/>
  <c r="AD68" i="18"/>
  <c r="AD80" i="18"/>
  <c r="AD76" i="18"/>
  <c r="AD75" i="18"/>
  <c r="AD74" i="18"/>
  <c r="AD77" i="18"/>
  <c r="T141" i="18"/>
  <c r="Q188" i="18" s="1"/>
  <c r="Q189" i="18" s="1"/>
  <c r="AD54" i="18"/>
  <c r="AC172" i="18"/>
  <c r="AC179" i="18" s="1"/>
  <c r="AD179" i="18" s="1"/>
  <c r="AD57" i="18"/>
  <c r="U143" i="18" s="1"/>
  <c r="AC173" i="18"/>
  <c r="T143" i="18"/>
  <c r="N38" i="11"/>
  <c r="O37" i="11"/>
  <c r="H18" i="8"/>
  <c r="M186" i="18" l="1"/>
  <c r="P186" i="18"/>
  <c r="AD177" i="18"/>
  <c r="AF177" i="18" s="1"/>
  <c r="U141" i="18"/>
  <c r="S141" i="18" s="1"/>
  <c r="AD112" i="18"/>
  <c r="U152" i="18"/>
  <c r="S152" i="18" s="1"/>
  <c r="U142" i="18"/>
  <c r="S142" i="18" s="1"/>
  <c r="U151" i="18"/>
  <c r="S151" i="18" s="1"/>
  <c r="U147" i="18"/>
  <c r="S147" i="18" s="1"/>
  <c r="U149" i="18"/>
  <c r="S149" i="18" s="1"/>
  <c r="P184" i="18" s="1"/>
  <c r="U167" i="18"/>
  <c r="S167" i="18" s="1"/>
  <c r="P187" i="18" s="1"/>
  <c r="U164" i="18"/>
  <c r="S164" i="18" s="1"/>
  <c r="AD66" i="18"/>
  <c r="AF66" i="18"/>
  <c r="U145" i="18"/>
  <c r="S145" i="18" s="1"/>
  <c r="S144" i="18"/>
  <c r="U148" i="18"/>
  <c r="S148" i="18" s="1"/>
  <c r="U162" i="18"/>
  <c r="S162" i="18" s="1"/>
  <c r="AC174" i="18"/>
  <c r="AD174" i="18" s="1"/>
  <c r="AF174" i="18" s="1"/>
  <c r="U165" i="18"/>
  <c r="S165" i="18" s="1"/>
  <c r="U163" i="18"/>
  <c r="S163" i="18" s="1"/>
  <c r="AD173" i="18"/>
  <c r="AF173" i="18" s="1"/>
  <c r="AD172" i="18"/>
  <c r="AF172" i="18" s="1"/>
  <c r="AF179" i="18" s="1"/>
  <c r="S143" i="18"/>
  <c r="N39" i="11"/>
  <c r="O38" i="11"/>
  <c r="I18" i="8"/>
  <c r="M185" i="18" l="1"/>
  <c r="P185" i="18"/>
  <c r="P188" i="18"/>
  <c r="P189" i="18" s="1"/>
  <c r="M187" i="18"/>
  <c r="M184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7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<sst xmlns="http://schemas.openxmlformats.org/spreadsheetml/2006/main" count="645" uniqueCount="453">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</sst>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9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7" fontId="8" fillId="5" borderId="1" xfId="0" applyNumberFormat="1" applyFont="1" applyFill="1" applyBorder="1"/>
    <xf numFmtId="172" fontId="8" fillId="5" borderId="1" xfId="0" applyNumberFormat="1" applyFont="1" applyFill="1" applyBorder="1"/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0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0912"/>
        <c:axId val="91312896"/>
      </c:lineChart>
      <c:catAx>
        <c:axId val="90790912"/>
        <c:scaling>
          <c:orientation val="minMax"/>
        </c:scaling>
        <c:delete val="0"/>
        <c:axPos val="b"/>
        <c:majorTickMark val="out"/>
        <c:minorTickMark val="none"/>
        <c:tickLblPos val="nextTo"/>
        <c:crossAx val="91312896"/>
        <c:crosses val="autoZero"/>
        <c:auto val="1"/>
        <c:lblAlgn val="ctr"/>
        <c:lblOffset val="100"/>
        <c:noMultiLvlLbl val="0"/>
      </c:catAx>
      <c:valAx>
        <c:axId val="91312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079091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1"/>
  <sheetViews>
    <sheetView tabSelected="1" zoomScale="80" zoomScaleNormal="80" workbookViewId="0">
      <pane xSplit="2" ySplit="3" topLeftCell="C161" activePane="bottomRight" state="frozen"/>
      <selection pane="topRight" activeCell="C1" sqref="C1"/>
      <selection pane="bottomLeft" activeCell="A5" sqref="A5"/>
      <selection pane="bottomRight" activeCell="C2" sqref="C2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2" t="s">
        <v>291</v>
      </c>
      <c r="AF2" s="203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4" t="s">
        <v>292</v>
      </c>
      <c r="AF3" s="205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93">
        <v>1514</v>
      </c>
      <c r="G6" s="193">
        <v>1895</v>
      </c>
      <c r="H6" s="193">
        <v>2471</v>
      </c>
      <c r="I6" s="193">
        <v>3882</v>
      </c>
      <c r="J6" s="193">
        <v>5668</v>
      </c>
      <c r="K6" s="193">
        <v>8157</v>
      </c>
      <c r="L6" s="193">
        <v>11240</v>
      </c>
      <c r="M6" s="193">
        <v>13875</v>
      </c>
      <c r="N6" s="193">
        <v>18818</v>
      </c>
      <c r="O6" s="193">
        <v>24009</v>
      </c>
      <c r="P6" s="193">
        <v>27114</v>
      </c>
      <c r="Q6" s="195">
        <v>29550</v>
      </c>
      <c r="R6" s="118">
        <f>((Q6/G6)^(1/($H$2-$H$1) ))-1</f>
        <v>0.35690614070853521</v>
      </c>
      <c r="S6" s="31">
        <f>$L$2</f>
        <v>0.12</v>
      </c>
      <c r="T6" s="154">
        <f>Q6*(1+$S6)</f>
        <v>33096</v>
      </c>
      <c r="U6" s="154">
        <f>T6*(1+$S6)</f>
        <v>37067.520000000004</v>
      </c>
      <c r="V6" s="154">
        <f t="shared" ref="V6:AC6" si="0">U6*(1+$S6)</f>
        <v>41515.622400000007</v>
      </c>
      <c r="W6" s="154">
        <f t="shared" si="0"/>
        <v>46497.497088000011</v>
      </c>
      <c r="X6" s="154">
        <f t="shared" si="0"/>
        <v>52077.196738560015</v>
      </c>
      <c r="Y6" s="154">
        <f t="shared" si="0"/>
        <v>58326.460347187225</v>
      </c>
      <c r="Z6" s="154">
        <f t="shared" si="0"/>
        <v>65325.635588849698</v>
      </c>
      <c r="AA6" s="154">
        <f t="shared" si="0"/>
        <v>73164.711859511663</v>
      </c>
      <c r="AB6" s="154">
        <f t="shared" si="0"/>
        <v>81944.477282653068</v>
      </c>
      <c r="AC6" s="154">
        <f t="shared" si="0"/>
        <v>91777.814556571451</v>
      </c>
      <c r="AD6" s="138">
        <f>((AC6/G6)^(1/($AC$3-$H$1) ))-1</f>
        <v>0.21410549545590873</v>
      </c>
      <c r="AE6" s="31">
        <f>$L$1</f>
        <v>0.05</v>
      </c>
      <c r="AF6" s="146">
        <f t="shared" ref="AF6:AF44" si="1">(AC6*(1+AE6))/($C$1-AE6)</f>
        <v>566862.97226117668</v>
      </c>
    </row>
    <row r="7" spans="2:32" x14ac:dyDescent="0.2">
      <c r="B7" s="20" t="s">
        <v>240</v>
      </c>
      <c r="C7" s="141"/>
      <c r="D7" s="141"/>
      <c r="E7" s="147"/>
      <c r="F7" s="193">
        <v>1646</v>
      </c>
      <c r="G7" s="193">
        <v>2027</v>
      </c>
      <c r="H7" s="193">
        <v>2603</v>
      </c>
      <c r="I7" s="193">
        <v>4014</v>
      </c>
      <c r="J7" s="193">
        <v>5800</v>
      </c>
      <c r="K7" s="193">
        <v>8289</v>
      </c>
      <c r="L7" s="193">
        <v>11636</v>
      </c>
      <c r="M7" s="193">
        <v>14272</v>
      </c>
      <c r="N7" s="193">
        <v>19214</v>
      </c>
      <c r="O7" s="193">
        <v>24406</v>
      </c>
      <c r="P7" s="193">
        <v>27510</v>
      </c>
      <c r="Q7" s="195">
        <v>29946</v>
      </c>
      <c r="R7" s="118">
        <f>((Q7/G7)^(1/($H$2-$H$1) ))-1</f>
        <v>0.34878518094418043</v>
      </c>
      <c r="S7" s="31">
        <f>$L$2</f>
        <v>0.12</v>
      </c>
      <c r="T7" s="154">
        <f t="shared" ref="T7:T44" si="2">Q7*(1+$S7)</f>
        <v>33539.520000000004</v>
      </c>
      <c r="U7" s="154">
        <f t="shared" ref="U7:AC7" si="3">T7*(1+$S7)</f>
        <v>37564.262400000007</v>
      </c>
      <c r="V7" s="154">
        <f t="shared" si="3"/>
        <v>42071.973888000015</v>
      </c>
      <c r="W7" s="154">
        <f t="shared" si="3"/>
        <v>47120.610754560024</v>
      </c>
      <c r="X7" s="154">
        <f t="shared" si="3"/>
        <v>52775.084045107229</v>
      </c>
      <c r="Y7" s="154">
        <f t="shared" si="3"/>
        <v>59108.094130520105</v>
      </c>
      <c r="Z7" s="154">
        <f t="shared" si="3"/>
        <v>66201.065426182526</v>
      </c>
      <c r="AA7" s="154">
        <f t="shared" si="3"/>
        <v>74145.193277324433</v>
      </c>
      <c r="AB7" s="154">
        <f t="shared" si="3"/>
        <v>83042.616470603374</v>
      </c>
      <c r="AC7" s="154">
        <f t="shared" si="3"/>
        <v>93007.730447075781</v>
      </c>
      <c r="AD7" s="138">
        <f>((AC7/G7)^(1/($AC$3-$H$1) ))-1</f>
        <v>0.21083025718076209</v>
      </c>
      <c r="AE7" s="31">
        <f>$L$1</f>
        <v>0.05</v>
      </c>
      <c r="AF7" s="146">
        <f t="shared" si="1"/>
        <v>574459.51158487983</v>
      </c>
    </row>
    <row r="8" spans="2:32" x14ac:dyDescent="0.2">
      <c r="B8" s="20"/>
      <c r="C8" s="141"/>
      <c r="D8" s="141"/>
      <c r="E8" s="147"/>
      <c r="F8" s="147"/>
      <c r="G8" s="148">
        <f>(G7-F7)/G7</f>
        <v>0.18796250616674889</v>
      </c>
      <c r="H8" s="151">
        <f>(H7-G7)/H7</f>
        <v>0.22128313484441028</v>
      </c>
      <c r="I8" s="151">
        <f t="shared" ref="I8:P8" si="4">(I7-H7)/I7</f>
        <v>0.35151968111609366</v>
      </c>
      <c r="J8" s="151">
        <f t="shared" si="4"/>
        <v>0.3079310344827586</v>
      </c>
      <c r="K8" s="151">
        <f t="shared" si="4"/>
        <v>0.30027747617324163</v>
      </c>
      <c r="L8" s="151">
        <f t="shared" si="4"/>
        <v>0.2876418013062908</v>
      </c>
      <c r="M8" s="151">
        <f t="shared" si="4"/>
        <v>0.18469730941704035</v>
      </c>
      <c r="N8" s="151">
        <f t="shared" si="4"/>
        <v>0.25720828562506504</v>
      </c>
      <c r="O8" s="151">
        <f t="shared" si="4"/>
        <v>0.21273457346554125</v>
      </c>
      <c r="P8" s="151">
        <f t="shared" si="4"/>
        <v>0.11283169756452199</v>
      </c>
      <c r="Q8" s="196">
        <f t="shared" ref="Q8" si="5">(Q7-P7)/Q7</f>
        <v>8.134642356241234E-2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93">
        <v>173</v>
      </c>
      <c r="G9" s="193">
        <v>187</v>
      </c>
      <c r="H9" s="193">
        <v>287</v>
      </c>
      <c r="I9" s="193">
        <v>302</v>
      </c>
      <c r="J9" s="193">
        <v>304</v>
      </c>
      <c r="K9" s="193">
        <v>465</v>
      </c>
      <c r="L9" s="193">
        <v>552</v>
      </c>
      <c r="M9" s="193">
        <v>843</v>
      </c>
      <c r="N9" s="193">
        <v>880</v>
      </c>
      <c r="O9" s="193">
        <v>1070</v>
      </c>
      <c r="P9" s="193">
        <v>3235</v>
      </c>
      <c r="Q9" s="195">
        <f>P9</f>
        <v>3235</v>
      </c>
      <c r="R9" s="118">
        <f>((Q9/G9)^(1/($H$2-$H$1) ))-1</f>
        <v>0.37264801540182413</v>
      </c>
      <c r="S9" s="31">
        <f t="shared" ref="S9:S40" si="6">$L$2</f>
        <v>0.12</v>
      </c>
      <c r="T9" s="154">
        <f t="shared" si="2"/>
        <v>3623.2000000000003</v>
      </c>
      <c r="U9" s="154">
        <f t="shared" ref="U9" si="7">T9*(1+$S9)</f>
        <v>4057.9840000000008</v>
      </c>
      <c r="V9" s="154">
        <f t="shared" ref="V9" si="8">U9*(1+$S9)</f>
        <v>4544.9420800000016</v>
      </c>
      <c r="W9" s="154">
        <f t="shared" ref="W9" si="9">V9*(1+$S9)</f>
        <v>5090.3351296000019</v>
      </c>
      <c r="X9" s="154">
        <f t="shared" ref="X9" si="10">W9*(1+$S9)</f>
        <v>5701.1753451520026</v>
      </c>
      <c r="Y9" s="154">
        <f t="shared" ref="Y9" si="11">X9*(1+$S9)</f>
        <v>6385.3163865702436</v>
      </c>
      <c r="Z9" s="154">
        <f t="shared" ref="Z9" si="12">Y9*(1+$S9)</f>
        <v>7151.5543529586739</v>
      </c>
      <c r="AA9" s="154">
        <f t="shared" ref="AA9" si="13">Z9*(1+$S9)</f>
        <v>8009.7408753137152</v>
      </c>
      <c r="AB9" s="154">
        <f t="shared" ref="AB9" si="14">AA9*(1+$S9)</f>
        <v>8970.9097803513614</v>
      </c>
      <c r="AC9" s="154">
        <f t="shared" ref="AC9" si="15">AB9*(1+$S9)</f>
        <v>10047.418953993525</v>
      </c>
      <c r="AD9" s="138">
        <f>((AC9/G9)^(1/($AC$3-$H$1) ))-1</f>
        <v>0.22042373493263678</v>
      </c>
      <c r="AE9" s="31">
        <f t="shared" ref="AE9:AE81" si="16">$L$1</f>
        <v>0.05</v>
      </c>
      <c r="AF9" s="146">
        <f t="shared" si="1"/>
        <v>62057.587657018841</v>
      </c>
    </row>
    <row r="10" spans="2:32" x14ac:dyDescent="0.2">
      <c r="B10" s="20" t="s">
        <v>4</v>
      </c>
      <c r="C10" s="141"/>
      <c r="D10" s="141"/>
      <c r="E10" s="147"/>
      <c r="F10" s="193">
        <v>0</v>
      </c>
      <c r="G10" s="193">
        <v>0</v>
      </c>
      <c r="H10" s="193">
        <v>0</v>
      </c>
      <c r="I10" s="193">
        <v>0</v>
      </c>
      <c r="J10" s="193">
        <v>0</v>
      </c>
      <c r="K10" s="193">
        <v>0</v>
      </c>
      <c r="L10" s="193">
        <v>0</v>
      </c>
      <c r="M10" s="193">
        <v>0</v>
      </c>
      <c r="N10" s="193">
        <v>0</v>
      </c>
      <c r="O10" s="193">
        <v>0</v>
      </c>
      <c r="P10" s="193">
        <v>0</v>
      </c>
      <c r="Q10" s="195"/>
      <c r="R10" s="118" t="e">
        <f>((Q10/G10)^(1/($H$2-$H$1) ))-1</f>
        <v>#DIV/0!</v>
      </c>
      <c r="S10" s="31">
        <f t="shared" si="6"/>
        <v>0.12</v>
      </c>
      <c r="T10" s="154">
        <f t="shared" si="2"/>
        <v>0</v>
      </c>
      <c r="U10" s="154">
        <f t="shared" ref="U10:AC10" si="17">T10*(1+$S10)</f>
        <v>0</v>
      </c>
      <c r="V10" s="154">
        <f t="shared" si="17"/>
        <v>0</v>
      </c>
      <c r="W10" s="154">
        <f t="shared" si="17"/>
        <v>0</v>
      </c>
      <c r="X10" s="154">
        <f t="shared" si="17"/>
        <v>0</v>
      </c>
      <c r="Y10" s="154">
        <f t="shared" si="17"/>
        <v>0</v>
      </c>
      <c r="Z10" s="154">
        <f t="shared" si="17"/>
        <v>0</v>
      </c>
      <c r="AA10" s="154">
        <f t="shared" si="17"/>
        <v>0</v>
      </c>
      <c r="AB10" s="154">
        <f t="shared" si="17"/>
        <v>0</v>
      </c>
      <c r="AC10" s="154">
        <f t="shared" si="17"/>
        <v>0</v>
      </c>
      <c r="AD10" s="138" t="e">
        <f t="shared" ref="AD10:AD42" si="18">((AC10/G10)^(1/($AC$3-$H$1) ))-1</f>
        <v>#DIV/0!</v>
      </c>
      <c r="AE10" s="31">
        <f t="shared" si="16"/>
        <v>0.05</v>
      </c>
      <c r="AF10" s="146">
        <f t="shared" si="1"/>
        <v>0</v>
      </c>
    </row>
    <row r="11" spans="2:32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19">(H10-G10)/H10</f>
        <v>#DIV/0!</v>
      </c>
      <c r="I11" s="148" t="e">
        <f t="shared" si="19"/>
        <v>#DIV/0!</v>
      </c>
      <c r="J11" s="148" t="e">
        <f t="shared" si="19"/>
        <v>#DIV/0!</v>
      </c>
      <c r="K11" s="148" t="e">
        <f t="shared" si="19"/>
        <v>#DIV/0!</v>
      </c>
      <c r="L11" s="148" t="e">
        <f t="shared" si="19"/>
        <v>#DIV/0!</v>
      </c>
      <c r="M11" s="148" t="e">
        <f t="shared" si="19"/>
        <v>#DIV/0!</v>
      </c>
      <c r="N11" s="148" t="e">
        <f t="shared" si="19"/>
        <v>#DIV/0!</v>
      </c>
      <c r="O11" s="148" t="e">
        <f t="shared" si="19"/>
        <v>#DIV/0!</v>
      </c>
      <c r="P11" s="148" t="e">
        <f t="shared" si="19"/>
        <v>#DIV/0!</v>
      </c>
      <c r="Q11" s="197" t="e">
        <f t="shared" ref="Q11" si="20">(Q10-P10)/Q10</f>
        <v>#DIV/0!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6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93">
        <v>67</v>
      </c>
      <c r="G12" s="193">
        <v>76</v>
      </c>
      <c r="H12" s="193">
        <v>50</v>
      </c>
      <c r="I12" s="193">
        <v>78</v>
      </c>
      <c r="J12" s="193">
        <v>46</v>
      </c>
      <c r="K12" s="193">
        <v>77</v>
      </c>
      <c r="L12" s="193">
        <v>38</v>
      </c>
      <c r="M12" s="193">
        <v>79</v>
      </c>
      <c r="N12" s="193">
        <v>68</v>
      </c>
      <c r="O12" s="193">
        <v>20264</v>
      </c>
      <c r="P12" s="193">
        <v>21025</v>
      </c>
      <c r="Q12" s="195"/>
      <c r="R12" s="118">
        <f>((Q12/G12)^(1/($H$2-$H$1) ))-1</f>
        <v>-1</v>
      </c>
      <c r="S12" s="31">
        <f t="shared" si="6"/>
        <v>0.12</v>
      </c>
      <c r="T12" s="154">
        <f t="shared" si="2"/>
        <v>0</v>
      </c>
      <c r="U12" s="154">
        <f t="shared" ref="U12:AC12" si="21">T12*(1+$S12)</f>
        <v>0</v>
      </c>
      <c r="V12" s="154">
        <f t="shared" si="21"/>
        <v>0</v>
      </c>
      <c r="W12" s="154">
        <f t="shared" si="21"/>
        <v>0</v>
      </c>
      <c r="X12" s="154">
        <f t="shared" si="21"/>
        <v>0</v>
      </c>
      <c r="Y12" s="154">
        <f t="shared" si="21"/>
        <v>0</v>
      </c>
      <c r="Z12" s="154">
        <f t="shared" si="21"/>
        <v>0</v>
      </c>
      <c r="AA12" s="154">
        <f t="shared" si="21"/>
        <v>0</v>
      </c>
      <c r="AB12" s="154">
        <f t="shared" si="21"/>
        <v>0</v>
      </c>
      <c r="AC12" s="154">
        <f t="shared" si="21"/>
        <v>0</v>
      </c>
      <c r="AD12" s="138">
        <f t="shared" si="18"/>
        <v>-1</v>
      </c>
      <c r="AE12" s="31">
        <f t="shared" si="16"/>
        <v>0.05</v>
      </c>
      <c r="AF12" s="146">
        <f t="shared" si="1"/>
        <v>0</v>
      </c>
    </row>
    <row r="13" spans="2:32" x14ac:dyDescent="0.2">
      <c r="B13" s="20" t="s">
        <v>218</v>
      </c>
      <c r="C13" s="141"/>
      <c r="D13" s="141"/>
      <c r="E13" s="147"/>
      <c r="F13" s="193">
        <v>35</v>
      </c>
      <c r="G13" s="193">
        <v>74</v>
      </c>
      <c r="H13" s="193">
        <v>74</v>
      </c>
      <c r="I13" s="193">
        <v>74</v>
      </c>
      <c r="J13" s="193">
        <v>74</v>
      </c>
      <c r="K13" s="193">
        <v>83</v>
      </c>
      <c r="L13" s="193">
        <v>71</v>
      </c>
      <c r="M13" s="193">
        <v>76</v>
      </c>
      <c r="N13" s="193">
        <v>135</v>
      </c>
      <c r="O13" s="193">
        <v>247</v>
      </c>
      <c r="P13" s="193">
        <v>249</v>
      </c>
      <c r="Q13" s="195"/>
      <c r="R13" s="118">
        <f>((Q13/G13)^(1/($H$2-$H$1) ))-1</f>
        <v>-1</v>
      </c>
      <c r="S13" s="31">
        <f t="shared" si="6"/>
        <v>0.12</v>
      </c>
      <c r="T13" s="154">
        <f t="shared" si="2"/>
        <v>0</v>
      </c>
      <c r="U13" s="154">
        <f t="shared" ref="U13:AC13" si="22">T13*(1+$S13)</f>
        <v>0</v>
      </c>
      <c r="V13" s="154">
        <f t="shared" si="22"/>
        <v>0</v>
      </c>
      <c r="W13" s="154">
        <f t="shared" si="22"/>
        <v>0</v>
      </c>
      <c r="X13" s="154">
        <f t="shared" si="22"/>
        <v>0</v>
      </c>
      <c r="Y13" s="154">
        <f t="shared" si="22"/>
        <v>0</v>
      </c>
      <c r="Z13" s="154">
        <f t="shared" si="22"/>
        <v>0</v>
      </c>
      <c r="AA13" s="154">
        <f t="shared" si="22"/>
        <v>0</v>
      </c>
      <c r="AB13" s="154">
        <f t="shared" si="22"/>
        <v>0</v>
      </c>
      <c r="AC13" s="154">
        <f t="shared" si="22"/>
        <v>0</v>
      </c>
      <c r="AD13" s="138">
        <f t="shared" si="18"/>
        <v>-1</v>
      </c>
      <c r="AE13" s="31">
        <f t="shared" si="16"/>
        <v>0.05</v>
      </c>
      <c r="AF13" s="146">
        <f t="shared" si="1"/>
        <v>0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118</v>
      </c>
      <c r="H14" s="147">
        <v>117</v>
      </c>
      <c r="I14" s="147">
        <v>127</v>
      </c>
      <c r="J14" s="147">
        <v>127</v>
      </c>
      <c r="K14" s="147">
        <v>166</v>
      </c>
      <c r="L14" s="147">
        <v>302.39999999999998</v>
      </c>
      <c r="M14" s="147">
        <v>298</v>
      </c>
      <c r="N14" s="147">
        <v>415</v>
      </c>
      <c r="O14" s="147">
        <v>459</v>
      </c>
      <c r="P14" s="147">
        <v>637</v>
      </c>
      <c r="Q14" s="195"/>
      <c r="R14" s="118">
        <f>((Q14/G14)^(1/($H$2-$H$1) ))-1</f>
        <v>-1</v>
      </c>
      <c r="S14" s="31">
        <f t="shared" si="6"/>
        <v>0.12</v>
      </c>
      <c r="T14" s="154">
        <f t="shared" si="2"/>
        <v>0</v>
      </c>
      <c r="U14" s="154">
        <f t="shared" ref="U14" si="23">T14*(1+$S14)</f>
        <v>0</v>
      </c>
      <c r="V14" s="154">
        <f t="shared" ref="V14" si="24">U14*(1+$S14)</f>
        <v>0</v>
      </c>
      <c r="W14" s="154">
        <f t="shared" ref="W14" si="25">V14*(1+$S14)</f>
        <v>0</v>
      </c>
      <c r="X14" s="154">
        <f t="shared" ref="X14" si="26">W14*(1+$S14)</f>
        <v>0</v>
      </c>
      <c r="Y14" s="154">
        <f t="shared" ref="Y14" si="27">X14*(1+$S14)</f>
        <v>0</v>
      </c>
      <c r="Z14" s="154">
        <f t="shared" ref="Z14" si="28">Y14*(1+$S14)</f>
        <v>0</v>
      </c>
      <c r="AA14" s="154">
        <f t="shared" ref="AA14" si="29">Z14*(1+$S14)</f>
        <v>0</v>
      </c>
      <c r="AB14" s="154">
        <f t="shared" ref="AB14" si="30">AA14*(1+$S14)</f>
        <v>0</v>
      </c>
      <c r="AC14" s="154">
        <f t="shared" ref="AC14" si="31">AB14*(1+$S14)</f>
        <v>0</v>
      </c>
      <c r="AD14" s="138">
        <f t="shared" ref="AD14" si="32">((AC14/G14)^(1/($AC$3-$H$1) ))-1</f>
        <v>-1</v>
      </c>
      <c r="AE14" s="31">
        <f t="shared" si="16"/>
        <v>0.05</v>
      </c>
      <c r="AF14" s="146">
        <f t="shared" ref="AF14" si="33">(AC14*(1+AE14))/($C$1-AE14)</f>
        <v>0</v>
      </c>
    </row>
    <row r="15" spans="2:32" x14ac:dyDescent="0.2">
      <c r="B15" s="20" t="s">
        <v>19</v>
      </c>
      <c r="C15" s="141"/>
      <c r="D15" s="141"/>
      <c r="E15" s="147"/>
      <c r="F15" s="193">
        <v>1489</v>
      </c>
      <c r="G15" s="193">
        <v>1969</v>
      </c>
      <c r="H15" s="193">
        <v>2837</v>
      </c>
      <c r="I15" s="193">
        <v>4755</v>
      </c>
      <c r="J15" s="193">
        <v>6745</v>
      </c>
      <c r="K15" s="193">
        <v>10076</v>
      </c>
      <c r="L15" s="193">
        <v>15746</v>
      </c>
      <c r="M15" s="193">
        <v>19962</v>
      </c>
      <c r="N15" s="193">
        <v>26422</v>
      </c>
      <c r="O15" s="193">
        <v>23717</v>
      </c>
      <c r="P15" s="193">
        <v>25593</v>
      </c>
      <c r="Q15" s="195"/>
      <c r="R15" s="118">
        <f>((Q15/G15)^(1/($H$2-$H$1) ))-1</f>
        <v>-1</v>
      </c>
      <c r="S15" s="31">
        <f t="shared" si="6"/>
        <v>0.12</v>
      </c>
      <c r="T15" s="154">
        <f t="shared" si="2"/>
        <v>0</v>
      </c>
      <c r="U15" s="154">
        <f t="shared" ref="U15:AC15" si="34">T15*(1+$S15)</f>
        <v>0</v>
      </c>
      <c r="V15" s="154">
        <f t="shared" si="34"/>
        <v>0</v>
      </c>
      <c r="W15" s="154">
        <f t="shared" si="34"/>
        <v>0</v>
      </c>
      <c r="X15" s="154">
        <f t="shared" si="34"/>
        <v>0</v>
      </c>
      <c r="Y15" s="154">
        <f t="shared" si="34"/>
        <v>0</v>
      </c>
      <c r="Z15" s="154">
        <f t="shared" si="34"/>
        <v>0</v>
      </c>
      <c r="AA15" s="154">
        <f t="shared" si="34"/>
        <v>0</v>
      </c>
      <c r="AB15" s="154">
        <f t="shared" si="34"/>
        <v>0</v>
      </c>
      <c r="AC15" s="154">
        <f t="shared" si="34"/>
        <v>0</v>
      </c>
      <c r="AD15" s="138">
        <f t="shared" si="18"/>
        <v>-1</v>
      </c>
      <c r="AE15" s="31">
        <f t="shared" si="16"/>
        <v>0.05</v>
      </c>
      <c r="AF15" s="146">
        <f t="shared" si="1"/>
        <v>0</v>
      </c>
    </row>
    <row r="16" spans="2:32" x14ac:dyDescent="0.2">
      <c r="B16" s="20" t="s">
        <v>23</v>
      </c>
      <c r="C16" s="141"/>
      <c r="D16" s="141"/>
      <c r="E16" s="147"/>
      <c r="F16" s="193">
        <v>899</v>
      </c>
      <c r="G16" s="193">
        <v>1254</v>
      </c>
      <c r="H16" s="193">
        <v>1926</v>
      </c>
      <c r="I16" s="193">
        <v>3324</v>
      </c>
      <c r="J16" s="193">
        <v>5081</v>
      </c>
      <c r="K16" s="193">
        <v>7501</v>
      </c>
      <c r="L16" s="193">
        <v>10548</v>
      </c>
      <c r="M16" s="193">
        <v>12831</v>
      </c>
      <c r="N16" s="193">
        <v>17287</v>
      </c>
      <c r="O16" s="193">
        <v>21475</v>
      </c>
      <c r="P16" s="193">
        <f>25593-3235</f>
        <v>22358</v>
      </c>
      <c r="Q16" s="195"/>
      <c r="R16" s="118">
        <f>((Q16/G16)^(1/($H$2-$H$1) ))-1</f>
        <v>-1</v>
      </c>
      <c r="S16" s="31">
        <f t="shared" si="6"/>
        <v>0.12</v>
      </c>
      <c r="T16" s="154">
        <f t="shared" si="2"/>
        <v>0</v>
      </c>
      <c r="U16" s="154">
        <f t="shared" ref="U16:AC16" si="35">T16*(1+$S16)</f>
        <v>0</v>
      </c>
      <c r="V16" s="154">
        <f t="shared" si="35"/>
        <v>0</v>
      </c>
      <c r="W16" s="154">
        <f t="shared" si="35"/>
        <v>0</v>
      </c>
      <c r="X16" s="154">
        <f t="shared" si="35"/>
        <v>0</v>
      </c>
      <c r="Y16" s="154">
        <f t="shared" si="35"/>
        <v>0</v>
      </c>
      <c r="Z16" s="154">
        <f t="shared" si="35"/>
        <v>0</v>
      </c>
      <c r="AA16" s="154">
        <f t="shared" si="35"/>
        <v>0</v>
      </c>
      <c r="AB16" s="154">
        <f t="shared" si="35"/>
        <v>0</v>
      </c>
      <c r="AC16" s="154">
        <f t="shared" si="35"/>
        <v>0</v>
      </c>
      <c r="AD16" s="138">
        <f t="shared" si="18"/>
        <v>-1</v>
      </c>
      <c r="AE16" s="31">
        <f t="shared" si="16"/>
        <v>0.05</v>
      </c>
      <c r="AF16" s="146">
        <f t="shared" si="1"/>
        <v>0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95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93">
        <v>285</v>
      </c>
      <c r="G18" s="193">
        <v>574</v>
      </c>
      <c r="H18" s="193">
        <v>537</v>
      </c>
      <c r="I18" s="193">
        <v>530</v>
      </c>
      <c r="J18" s="193">
        <v>504</v>
      </c>
      <c r="K18" s="193">
        <v>568</v>
      </c>
      <c r="L18" s="193">
        <v>746</v>
      </c>
      <c r="M18" s="193">
        <v>787</v>
      </c>
      <c r="N18" s="193">
        <v>1099</v>
      </c>
      <c r="O18" s="193">
        <v>1188</v>
      </c>
      <c r="P18" s="193">
        <v>4500</v>
      </c>
      <c r="Q18" s="195"/>
      <c r="R18" s="118">
        <f>((Q18/G18)^(1/($H$2-$H$1) ))-1</f>
        <v>-1</v>
      </c>
      <c r="S18" s="31">
        <f t="shared" si="6"/>
        <v>0.12</v>
      </c>
      <c r="T18" s="154">
        <f t="shared" si="2"/>
        <v>0</v>
      </c>
      <c r="U18" s="154">
        <f t="shared" ref="U18:U34" si="36">T18*(1+$S18)</f>
        <v>0</v>
      </c>
      <c r="V18" s="154">
        <f t="shared" ref="V18:V34" si="37">U18*(1+$S18)</f>
        <v>0</v>
      </c>
      <c r="W18" s="154">
        <f t="shared" ref="W18:W34" si="38">V18*(1+$S18)</f>
        <v>0</v>
      </c>
      <c r="X18" s="154">
        <f t="shared" ref="X18:X36" si="39">W18*(1+$S18)</f>
        <v>0</v>
      </c>
      <c r="Y18" s="154">
        <f t="shared" ref="Y18:Y36" si="40">X18*(1+$S18)</f>
        <v>0</v>
      </c>
      <c r="Z18" s="154">
        <f t="shared" ref="Z18:Z36" si="41">Y18*(1+$S18)</f>
        <v>0</v>
      </c>
      <c r="AA18" s="154">
        <f t="shared" ref="AA18:AA36" si="42">Z18*(1+$S18)</f>
        <v>0</v>
      </c>
      <c r="AB18" s="154">
        <f t="shared" ref="AB18:AB36" si="43">AA18*(1+$S18)</f>
        <v>0</v>
      </c>
      <c r="AC18" s="154">
        <f t="shared" ref="AC18:AC36" si="44">AB18*(1+$S18)</f>
        <v>0</v>
      </c>
      <c r="AD18" s="138">
        <f t="shared" si="18"/>
        <v>-1</v>
      </c>
      <c r="AE18" s="31">
        <f t="shared" si="16"/>
        <v>0.05</v>
      </c>
      <c r="AF18" s="146">
        <f t="shared" si="1"/>
        <v>0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95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93">
        <v>328</v>
      </c>
      <c r="G20" s="193">
        <v>439</v>
      </c>
      <c r="H20" s="193">
        <v>814</v>
      </c>
      <c r="I20" s="193">
        <v>1569</v>
      </c>
      <c r="J20" s="193">
        <v>2052</v>
      </c>
      <c r="K20" s="193">
        <v>2475</v>
      </c>
      <c r="L20" s="193">
        <v>2778</v>
      </c>
      <c r="M20" s="193">
        <v>3604</v>
      </c>
      <c r="N20" s="193">
        <v>4861</v>
      </c>
      <c r="O20" s="193">
        <v>4594</v>
      </c>
      <c r="P20" s="193">
        <v>3087</v>
      </c>
      <c r="Q20" s="195"/>
      <c r="R20" s="118">
        <f>((Q20/G20)^(1/($H$2-$H$1) ))-1</f>
        <v>-1</v>
      </c>
      <c r="S20" s="31">
        <f t="shared" si="6"/>
        <v>0.12</v>
      </c>
      <c r="T20" s="154">
        <f t="shared" si="2"/>
        <v>0</v>
      </c>
      <c r="U20" s="154">
        <f t="shared" ref="U20:U22" si="45">T20*(1+$S20)</f>
        <v>0</v>
      </c>
      <c r="V20" s="154">
        <f t="shared" ref="V20:V22" si="46">U20*(1+$S20)</f>
        <v>0</v>
      </c>
      <c r="W20" s="154">
        <f t="shared" ref="W20:W22" si="47">V20*(1+$S20)</f>
        <v>0</v>
      </c>
      <c r="X20" s="154">
        <f t="shared" ref="X20:X22" si="48">W20*(1+$S20)</f>
        <v>0</v>
      </c>
      <c r="Y20" s="154">
        <f t="shared" ref="Y20:Y22" si="49">X20*(1+$S20)</f>
        <v>0</v>
      </c>
      <c r="Z20" s="154">
        <f t="shared" ref="Z20:Z22" si="50">Y20*(1+$S20)</f>
        <v>0</v>
      </c>
      <c r="AA20" s="154">
        <f t="shared" ref="AA20:AA22" si="51">Z20*(1+$S20)</f>
        <v>0</v>
      </c>
      <c r="AB20" s="154">
        <f t="shared" ref="AB20:AB22" si="52">AA20*(1+$S20)</f>
        <v>0</v>
      </c>
      <c r="AC20" s="154">
        <f t="shared" ref="AC20:AC22" si="53">AB20*(1+$S20)</f>
        <v>0</v>
      </c>
      <c r="AD20" s="138">
        <f t="shared" ref="AD20:AD22" si="54">((AC20/G20)^(1/($AC$3-$H$1) ))-1</f>
        <v>-1</v>
      </c>
      <c r="AE20" s="31">
        <f t="shared" si="16"/>
        <v>0.05</v>
      </c>
      <c r="AF20" s="146">
        <f t="shared" si="1"/>
        <v>0</v>
      </c>
    </row>
    <row r="21" spans="2:32" x14ac:dyDescent="0.2">
      <c r="B21" s="20" t="s">
        <v>284</v>
      </c>
      <c r="C21" s="141"/>
      <c r="D21" s="141"/>
      <c r="E21" s="147"/>
      <c r="F21" s="193">
        <v>-39.71</v>
      </c>
      <c r="G21" s="193">
        <v>-19.61</v>
      </c>
      <c r="H21" s="193">
        <v>110.28</v>
      </c>
      <c r="I21" s="193">
        <v>39</v>
      </c>
      <c r="J21" s="193">
        <v>217</v>
      </c>
      <c r="K21" s="193">
        <v>517</v>
      </c>
      <c r="L21" s="193">
        <v>490</v>
      </c>
      <c r="M21" s="193">
        <v>406</v>
      </c>
      <c r="N21" s="193">
        <v>450</v>
      </c>
      <c r="O21" s="193">
        <v>-738</v>
      </c>
      <c r="P21" s="193">
        <v>668</v>
      </c>
      <c r="Q21" s="195"/>
      <c r="R21" s="118">
        <f>((Q21/G21)^(1/($H$2-$H$1) ))-1</f>
        <v>-1</v>
      </c>
      <c r="S21" s="31">
        <f t="shared" si="6"/>
        <v>0.12</v>
      </c>
      <c r="T21" s="154">
        <f t="shared" si="2"/>
        <v>0</v>
      </c>
      <c r="U21" s="154">
        <f t="shared" si="45"/>
        <v>0</v>
      </c>
      <c r="V21" s="154">
        <f t="shared" si="46"/>
        <v>0</v>
      </c>
      <c r="W21" s="154">
        <f t="shared" si="47"/>
        <v>0</v>
      </c>
      <c r="X21" s="154">
        <f t="shared" si="48"/>
        <v>0</v>
      </c>
      <c r="Y21" s="154">
        <f t="shared" si="49"/>
        <v>0</v>
      </c>
      <c r="Z21" s="154">
        <f t="shared" si="50"/>
        <v>0</v>
      </c>
      <c r="AA21" s="154">
        <f t="shared" si="51"/>
        <v>0</v>
      </c>
      <c r="AB21" s="154">
        <f t="shared" si="52"/>
        <v>0</v>
      </c>
      <c r="AC21" s="154">
        <f t="shared" si="53"/>
        <v>0</v>
      </c>
      <c r="AD21" s="138">
        <f t="shared" si="54"/>
        <v>-1</v>
      </c>
      <c r="AE21" s="31">
        <f t="shared" si="16"/>
        <v>0.05</v>
      </c>
      <c r="AF21" s="146">
        <f t="shared" si="1"/>
        <v>0</v>
      </c>
    </row>
    <row r="22" spans="2:32" x14ac:dyDescent="0.2">
      <c r="B22" s="20" t="s">
        <v>285</v>
      </c>
      <c r="C22" s="141"/>
      <c r="D22" s="141"/>
      <c r="E22" s="147"/>
      <c r="F22" s="193">
        <v>-44</v>
      </c>
      <c r="G22" s="193">
        <v>-44</v>
      </c>
      <c r="H22" s="193">
        <v>-111</v>
      </c>
      <c r="I22" s="193">
        <v>-404</v>
      </c>
      <c r="J22" s="193">
        <v>-529</v>
      </c>
      <c r="K22" s="193">
        <v>-643</v>
      </c>
      <c r="L22" s="193">
        <v>-728</v>
      </c>
      <c r="M22" s="193">
        <v>-895</v>
      </c>
      <c r="N22" s="193">
        <v>-994</v>
      </c>
      <c r="O22" s="193">
        <v>-1910</v>
      </c>
      <c r="P22" s="193">
        <v>-2547</v>
      </c>
      <c r="Q22" s="195"/>
      <c r="R22" s="118">
        <f>((Q22/G22)^(1/($H$2-$H$1) ))-1</f>
        <v>-1</v>
      </c>
      <c r="S22" s="31">
        <f t="shared" si="6"/>
        <v>0.12</v>
      </c>
      <c r="T22" s="154">
        <f t="shared" si="2"/>
        <v>0</v>
      </c>
      <c r="U22" s="154">
        <f t="shared" si="45"/>
        <v>0</v>
      </c>
      <c r="V22" s="154">
        <f t="shared" si="46"/>
        <v>0</v>
      </c>
      <c r="W22" s="154">
        <f t="shared" si="47"/>
        <v>0</v>
      </c>
      <c r="X22" s="154">
        <f t="shared" si="48"/>
        <v>0</v>
      </c>
      <c r="Y22" s="154">
        <f t="shared" si="49"/>
        <v>0</v>
      </c>
      <c r="Z22" s="154">
        <f t="shared" si="50"/>
        <v>0</v>
      </c>
      <c r="AA22" s="154">
        <f t="shared" si="51"/>
        <v>0</v>
      </c>
      <c r="AB22" s="154">
        <f t="shared" si="52"/>
        <v>0</v>
      </c>
      <c r="AC22" s="154">
        <f t="shared" si="53"/>
        <v>0</v>
      </c>
      <c r="AD22" s="138">
        <f t="shared" si="54"/>
        <v>-1</v>
      </c>
      <c r="AE22" s="31">
        <f t="shared" si="16"/>
        <v>0.05</v>
      </c>
      <c r="AF22" s="146">
        <f t="shared" si="1"/>
        <v>0</v>
      </c>
    </row>
    <row r="23" spans="2:32" x14ac:dyDescent="0.2">
      <c r="B23" s="20" t="s">
        <v>295</v>
      </c>
      <c r="C23" s="141"/>
      <c r="D23" s="141"/>
      <c r="E23" s="147"/>
      <c r="F23" s="193">
        <v>716</v>
      </c>
      <c r="G23" s="193">
        <v>1091</v>
      </c>
      <c r="H23" s="193">
        <v>1904</v>
      </c>
      <c r="I23" s="193">
        <v>3109</v>
      </c>
      <c r="J23" s="193">
        <v>4849</v>
      </c>
      <c r="K23" s="193">
        <v>7198</v>
      </c>
      <c r="L23" s="193">
        <v>9739</v>
      </c>
      <c r="M23" s="193">
        <v>12854</v>
      </c>
      <c r="N23" s="193">
        <v>17228</v>
      </c>
      <c r="O23" s="193">
        <v>3098</v>
      </c>
      <c r="P23" s="193">
        <v>4306</v>
      </c>
      <c r="Q23" s="195"/>
      <c r="R23" s="118">
        <f>((Q23/G23)^(1/($H$2-$H$1) ))-1</f>
        <v>-1</v>
      </c>
      <c r="S23" s="31">
        <f t="shared" si="6"/>
        <v>0.12</v>
      </c>
      <c r="T23" s="154">
        <f t="shared" si="2"/>
        <v>0</v>
      </c>
      <c r="U23" s="154">
        <f t="shared" ref="U23" si="55">T23*(1+$S23)</f>
        <v>0</v>
      </c>
      <c r="V23" s="154">
        <f t="shared" ref="V23" si="56">U23*(1+$S23)</f>
        <v>0</v>
      </c>
      <c r="W23" s="154">
        <f t="shared" ref="W23" si="57">V23*(1+$S23)</f>
        <v>0</v>
      </c>
      <c r="X23" s="154">
        <f t="shared" ref="X23" si="58">W23*(1+$S23)</f>
        <v>0</v>
      </c>
      <c r="Y23" s="154">
        <f t="shared" ref="Y23" si="59">X23*(1+$S23)</f>
        <v>0</v>
      </c>
      <c r="Z23" s="154">
        <f t="shared" ref="Z23" si="60">Y23*(1+$S23)</f>
        <v>0</v>
      </c>
      <c r="AA23" s="154">
        <f t="shared" ref="AA23" si="61">Z23*(1+$S23)</f>
        <v>0</v>
      </c>
      <c r="AB23" s="154">
        <f t="shared" ref="AB23" si="62">AA23*(1+$S23)</f>
        <v>0</v>
      </c>
      <c r="AC23" s="154">
        <f t="shared" ref="AC23" si="63">AB23*(1+$S23)</f>
        <v>0</v>
      </c>
      <c r="AD23" s="138">
        <f t="shared" ref="AD23" si="64">((AC23/G23)^(1/($AC$3-$H$1) ))-1</f>
        <v>-1</v>
      </c>
      <c r="AE23" s="31">
        <f t="shared" si="16"/>
        <v>0.05</v>
      </c>
      <c r="AF23" s="146">
        <f t="shared" si="1"/>
        <v>0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95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93">
        <v>1292</v>
      </c>
      <c r="G25" s="193">
        <v>1530</v>
      </c>
      <c r="H25" s="193">
        <v>2316</v>
      </c>
      <c r="I25" s="193">
        <v>3916</v>
      </c>
      <c r="J25" s="193">
        <v>4534</v>
      </c>
      <c r="K25" s="193">
        <v>6411</v>
      </c>
      <c r="L25" s="193">
        <v>8574</v>
      </c>
      <c r="M25" s="193">
        <v>7098</v>
      </c>
      <c r="N25" s="193">
        <v>12687</v>
      </c>
      <c r="O25" s="193">
        <v>13249</v>
      </c>
      <c r="P25" s="193">
        <f>10698+2238</f>
        <v>12936</v>
      </c>
      <c r="Q25" s="195">
        <f>12058+2089</f>
        <v>14147</v>
      </c>
      <c r="R25" s="118">
        <f>((Q25/G25)^(1/($H$2-$H$1) ))-1</f>
        <v>0.28035477280995025</v>
      </c>
      <c r="S25" s="31">
        <f t="shared" si="6"/>
        <v>0.12</v>
      </c>
      <c r="T25" s="154">
        <f t="shared" si="2"/>
        <v>15844.640000000001</v>
      </c>
      <c r="U25" s="154">
        <f t="shared" si="36"/>
        <v>17745.996800000004</v>
      </c>
      <c r="V25" s="154">
        <f t="shared" si="37"/>
        <v>19875.516416000006</v>
      </c>
      <c r="W25" s="154">
        <f t="shared" si="38"/>
        <v>22260.578385920009</v>
      </c>
      <c r="X25" s="154">
        <f t="shared" si="39"/>
        <v>24931.847792230412</v>
      </c>
      <c r="Y25" s="154">
        <f t="shared" si="40"/>
        <v>27923.669527298065</v>
      </c>
      <c r="Z25" s="154">
        <f t="shared" si="41"/>
        <v>31274.509870573835</v>
      </c>
      <c r="AA25" s="154">
        <f t="shared" si="42"/>
        <v>35027.4510550427</v>
      </c>
      <c r="AB25" s="154">
        <f t="shared" si="43"/>
        <v>39230.745181647828</v>
      </c>
      <c r="AC25" s="154">
        <f t="shared" si="44"/>
        <v>43938.434603445574</v>
      </c>
      <c r="AD25" s="138">
        <f t="shared" si="18"/>
        <v>0.18279003644340408</v>
      </c>
      <c r="AE25" s="31">
        <f t="shared" si="16"/>
        <v>0.05</v>
      </c>
      <c r="AF25" s="146">
        <f t="shared" si="1"/>
        <v>271384.44902128156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0.15555555555555556</v>
      </c>
      <c r="H26" s="148">
        <f>(H25-G25)/H25</f>
        <v>0.3393782383419689</v>
      </c>
      <c r="I26" s="148">
        <f t="shared" ref="I26:P26" si="65">(I25-H25)/I25</f>
        <v>0.40858018386108275</v>
      </c>
      <c r="J26" s="148">
        <f t="shared" si="65"/>
        <v>0.13630348478164975</v>
      </c>
      <c r="K26" s="148">
        <f t="shared" si="65"/>
        <v>0.29277803774762129</v>
      </c>
      <c r="L26" s="148">
        <f t="shared" si="65"/>
        <v>0.25227431770468861</v>
      </c>
      <c r="M26" s="148">
        <f t="shared" si="65"/>
        <v>-0.20794590025359255</v>
      </c>
      <c r="N26" s="148">
        <f t="shared" si="65"/>
        <v>0.44052967604634663</v>
      </c>
      <c r="O26" s="148">
        <f t="shared" si="65"/>
        <v>4.241829572043173E-2</v>
      </c>
      <c r="P26" s="148">
        <f t="shared" si="65"/>
        <v>-2.4196042053184909E-2</v>
      </c>
      <c r="Q26" s="197">
        <f t="shared" ref="Q26" si="66">(Q25-P25)/Q25</f>
        <v>8.5601187530925285E-2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93">
        <v>828</v>
      </c>
      <c r="G27" s="193">
        <v>857</v>
      </c>
      <c r="H27" s="193">
        <v>1010</v>
      </c>
      <c r="I27" s="193">
        <v>1024</v>
      </c>
      <c r="J27" s="193">
        <v>951</v>
      </c>
      <c r="K27" s="193">
        <v>1400</v>
      </c>
      <c r="L27" s="193">
        <v>1849</v>
      </c>
      <c r="M27" s="193">
        <v>1807</v>
      </c>
      <c r="N27" s="193">
        <v>2831</v>
      </c>
      <c r="O27" s="193">
        <v>2358</v>
      </c>
      <c r="P27" s="193">
        <v>3463</v>
      </c>
      <c r="Q27" s="195">
        <f>P27</f>
        <v>3463</v>
      </c>
      <c r="R27" s="118">
        <f>((Q27/G27)^(1/($H$2-$H$1) ))-1</f>
        <v>0.16784643965801616</v>
      </c>
      <c r="S27" s="31">
        <f t="shared" si="6"/>
        <v>0.12</v>
      </c>
      <c r="T27" s="154">
        <f t="shared" si="2"/>
        <v>3878.5600000000004</v>
      </c>
      <c r="U27" s="154">
        <f t="shared" si="36"/>
        <v>4343.9872000000005</v>
      </c>
      <c r="V27" s="154">
        <f t="shared" si="37"/>
        <v>4865.2656640000014</v>
      </c>
      <c r="W27" s="154">
        <f t="shared" si="38"/>
        <v>5449.0975436800018</v>
      </c>
      <c r="X27" s="154">
        <f t="shared" si="39"/>
        <v>6102.9892489216027</v>
      </c>
      <c r="Y27" s="154">
        <f t="shared" si="40"/>
        <v>6835.3479587921956</v>
      </c>
      <c r="Z27" s="154">
        <f t="shared" si="41"/>
        <v>7655.5897138472601</v>
      </c>
      <c r="AA27" s="154">
        <f t="shared" si="42"/>
        <v>8574.2604795089319</v>
      </c>
      <c r="AB27" s="154">
        <f t="shared" si="43"/>
        <v>9603.1717370500046</v>
      </c>
      <c r="AC27" s="154">
        <f t="shared" si="44"/>
        <v>10755.552345496006</v>
      </c>
      <c r="AD27" s="138">
        <f t="shared" si="18"/>
        <v>0.13483466865954585</v>
      </c>
      <c r="AE27" s="31">
        <f t="shared" si="16"/>
        <v>0.05</v>
      </c>
      <c r="AF27" s="146">
        <f t="shared" si="1"/>
        <v>66431.352722181211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P28" si="67">(G27-F27)/G27</f>
        <v>3.3838973162193697E-2</v>
      </c>
      <c r="H28" s="148">
        <f t="shared" si="67"/>
        <v>0.15148514851485148</v>
      </c>
      <c r="I28" s="148">
        <f t="shared" si="67"/>
        <v>1.3671875E-2</v>
      </c>
      <c r="J28" s="148">
        <f t="shared" si="67"/>
        <v>-7.6761303890641425E-2</v>
      </c>
      <c r="K28" s="148">
        <f t="shared" si="67"/>
        <v>0.32071428571428573</v>
      </c>
      <c r="L28" s="148">
        <f t="shared" si="67"/>
        <v>0.24283396430502974</v>
      </c>
      <c r="M28" s="148">
        <f t="shared" si="67"/>
        <v>-2.3242944106253459E-2</v>
      </c>
      <c r="N28" s="148">
        <f t="shared" si="67"/>
        <v>0.36170964323560578</v>
      </c>
      <c r="O28" s="148">
        <f t="shared" si="67"/>
        <v>-0.20059372349448684</v>
      </c>
      <c r="P28" s="148">
        <f t="shared" si="67"/>
        <v>0.31908749639041295</v>
      </c>
      <c r="Q28" s="197">
        <f t="shared" ref="Q28" si="68">(Q27-P27)/Q27</f>
        <v>0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95"/>
      <c r="R29" s="118" t="e">
        <f>((Q29/G29)^(1/($H$2-$H$1) ))-1</f>
        <v>#DIV/0!</v>
      </c>
      <c r="S29" s="31">
        <f t="shared" si="6"/>
        <v>0.12</v>
      </c>
      <c r="T29" s="154">
        <f t="shared" si="2"/>
        <v>0</v>
      </c>
      <c r="U29" s="154">
        <f t="shared" ref="U29" si="69">T29*(1+$S29)</f>
        <v>0</v>
      </c>
      <c r="V29" s="154">
        <f t="shared" ref="V29" si="70">U29*(1+$S29)</f>
        <v>0</v>
      </c>
      <c r="W29" s="154">
        <f t="shared" ref="W29" si="71">V29*(1+$S29)</f>
        <v>0</v>
      </c>
      <c r="X29" s="154">
        <f t="shared" ref="X29" si="72">W29*(1+$S29)</f>
        <v>0</v>
      </c>
      <c r="Y29" s="154">
        <f t="shared" ref="Y29" si="73">X29*(1+$S29)</f>
        <v>0</v>
      </c>
      <c r="Z29" s="154">
        <f t="shared" ref="Z29" si="74">Y29*(1+$S29)</f>
        <v>0</v>
      </c>
      <c r="AA29" s="154">
        <f t="shared" ref="AA29" si="75">Z29*(1+$S29)</f>
        <v>0</v>
      </c>
      <c r="AB29" s="154">
        <f t="shared" ref="AB29" si="76">AA29*(1+$S29)</f>
        <v>0</v>
      </c>
      <c r="AC29" s="154">
        <f t="shared" ref="AC29" si="77">AB29*(1+$S29)</f>
        <v>0</v>
      </c>
      <c r="AD29" s="138" t="e">
        <f t="shared" ref="AD29" si="78">((AC29/G29)^(1/($AC$3-$H$1) ))-1</f>
        <v>#DIV/0!</v>
      </c>
      <c r="AE29" s="31">
        <f t="shared" si="16"/>
        <v>0.05</v>
      </c>
      <c r="AF29" s="146">
        <f t="shared" ref="AF29" si="79">(AC29*(1+AE29))/($C$1-AE29)</f>
        <v>0</v>
      </c>
    </row>
    <row r="30" spans="2:32" s="123" customFormat="1" x14ac:dyDescent="0.2">
      <c r="B30" s="23"/>
      <c r="C30" s="149"/>
      <c r="D30" s="149"/>
      <c r="E30" s="150"/>
      <c r="F30" s="150"/>
      <c r="G30" s="148" t="e">
        <f t="shared" ref="G30:P30" si="80">(G29-F29)/G29</f>
        <v>#DIV/0!</v>
      </c>
      <c r="H30" s="148" t="e">
        <f t="shared" si="80"/>
        <v>#DIV/0!</v>
      </c>
      <c r="I30" s="148" t="e">
        <f t="shared" si="80"/>
        <v>#DIV/0!</v>
      </c>
      <c r="J30" s="148" t="e">
        <f t="shared" si="80"/>
        <v>#DIV/0!</v>
      </c>
      <c r="K30" s="148" t="e">
        <f t="shared" si="80"/>
        <v>#DIV/0!</v>
      </c>
      <c r="L30" s="148" t="e">
        <f t="shared" si="80"/>
        <v>#DIV/0!</v>
      </c>
      <c r="M30" s="148" t="e">
        <f t="shared" si="80"/>
        <v>#DIV/0!</v>
      </c>
      <c r="N30" s="148" t="e">
        <f t="shared" si="80"/>
        <v>#DIV/0!</v>
      </c>
      <c r="O30" s="148" t="e">
        <f t="shared" si="80"/>
        <v>#DIV/0!</v>
      </c>
      <c r="P30" s="148" t="e">
        <f t="shared" si="80"/>
        <v>#DIV/0!</v>
      </c>
      <c r="Q30" s="197" t="e">
        <f t="shared" ref="Q30" si="81">(Q29-P29)/Q29</f>
        <v>#DIV/0!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93">
        <v>1</v>
      </c>
      <c r="G31" s="193">
        <v>1</v>
      </c>
      <c r="H31" s="193"/>
      <c r="I31" s="193"/>
      <c r="J31" s="193"/>
      <c r="K31" s="193"/>
      <c r="L31" s="193"/>
      <c r="M31" s="193"/>
      <c r="N31" s="193"/>
      <c r="O31" s="193"/>
      <c r="P31" s="193">
        <v>2</v>
      </c>
      <c r="Q31" s="195"/>
      <c r="R31" s="118">
        <f>((Q31/G31)^(1/($H$2-$H$1) ))-1</f>
        <v>-1</v>
      </c>
      <c r="S31" s="31">
        <f t="shared" si="6"/>
        <v>0.12</v>
      </c>
      <c r="T31" s="154">
        <f t="shared" si="2"/>
        <v>0</v>
      </c>
      <c r="U31" s="154">
        <f>T31*(1+$S31)</f>
        <v>0</v>
      </c>
      <c r="V31" s="154">
        <f t="shared" ref="V31:AC32" si="82">U31*(1+$S31)</f>
        <v>0</v>
      </c>
      <c r="W31" s="154">
        <f t="shared" si="82"/>
        <v>0</v>
      </c>
      <c r="X31" s="154">
        <f t="shared" si="82"/>
        <v>0</v>
      </c>
      <c r="Y31" s="154">
        <f t="shared" si="82"/>
        <v>0</v>
      </c>
      <c r="Z31" s="154">
        <f t="shared" si="82"/>
        <v>0</v>
      </c>
      <c r="AA31" s="154">
        <f t="shared" si="82"/>
        <v>0</v>
      </c>
      <c r="AB31" s="154">
        <f t="shared" si="82"/>
        <v>0</v>
      </c>
      <c r="AC31" s="154">
        <f t="shared" si="82"/>
        <v>0</v>
      </c>
      <c r="AD31" s="138">
        <f t="shared" ref="AD31" si="83">((AC31/G31)^(1/($AC$3-$H$1) ))-1</f>
        <v>-1</v>
      </c>
      <c r="AE31" s="31">
        <f t="shared" si="16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95"/>
      <c r="R32" s="118" t="e">
        <f>((Q32/G32)^(1/($H$2-$H$1) ))-1</f>
        <v>#DIV/0!</v>
      </c>
      <c r="S32" s="31">
        <f t="shared" si="6"/>
        <v>0.12</v>
      </c>
      <c r="T32" s="154">
        <f t="shared" si="2"/>
        <v>0</v>
      </c>
      <c r="U32" s="154">
        <f>T32*(1+$S32)</f>
        <v>0</v>
      </c>
      <c r="V32" s="154">
        <f t="shared" si="82"/>
        <v>0</v>
      </c>
      <c r="W32" s="154">
        <f t="shared" si="82"/>
        <v>0</v>
      </c>
      <c r="X32" s="154">
        <f t="shared" si="82"/>
        <v>0</v>
      </c>
      <c r="Y32" s="154">
        <f t="shared" si="82"/>
        <v>0</v>
      </c>
      <c r="Z32" s="154">
        <f t="shared" si="82"/>
        <v>0</v>
      </c>
      <c r="AA32" s="154">
        <f t="shared" si="82"/>
        <v>0</v>
      </c>
      <c r="AB32" s="154">
        <f t="shared" si="82"/>
        <v>0</v>
      </c>
      <c r="AC32" s="154">
        <f t="shared" si="82"/>
        <v>0</v>
      </c>
      <c r="AD32" s="138" t="e">
        <f t="shared" ref="AD32" si="84">((AC32/G32)^(1/($AC$3-$H$1) ))-1</f>
        <v>#DIV/0!</v>
      </c>
      <c r="AE32" s="31">
        <f t="shared" si="16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93">
        <v>47</v>
      </c>
      <c r="G33" s="193">
        <v>54</v>
      </c>
      <c r="H33" s="193">
        <v>66</v>
      </c>
      <c r="I33" s="193">
        <v>75</v>
      </c>
      <c r="J33" s="193">
        <v>118</v>
      </c>
      <c r="K33" s="193">
        <v>90</v>
      </c>
      <c r="L33" s="193">
        <v>122</v>
      </c>
      <c r="M33" s="193">
        <v>426</v>
      </c>
      <c r="N33" s="193">
        <v>978</v>
      </c>
      <c r="O33" s="193">
        <v>1022</v>
      </c>
      <c r="P33" s="193">
        <v>952</v>
      </c>
      <c r="Q33" s="195">
        <f>P33</f>
        <v>952</v>
      </c>
      <c r="R33" s="118">
        <f>((Q33/G33)^(1/($H$2-$H$1) ))-1</f>
        <v>0.37553443007999077</v>
      </c>
      <c r="S33" s="31">
        <f t="shared" si="6"/>
        <v>0.12</v>
      </c>
      <c r="T33" s="154">
        <f t="shared" si="2"/>
        <v>1066.24</v>
      </c>
      <c r="U33" s="154">
        <f t="shared" si="36"/>
        <v>1194.1888000000001</v>
      </c>
      <c r="V33" s="154">
        <f t="shared" si="37"/>
        <v>1337.4914560000002</v>
      </c>
      <c r="W33" s="154">
        <f t="shared" si="38"/>
        <v>1497.9904307200004</v>
      </c>
      <c r="X33" s="154">
        <f t="shared" si="39"/>
        <v>1677.7492824064007</v>
      </c>
      <c r="Y33" s="154">
        <f t="shared" si="40"/>
        <v>1879.0791962951689</v>
      </c>
      <c r="Z33" s="154">
        <f t="shared" si="41"/>
        <v>2104.5686998505894</v>
      </c>
      <c r="AA33" s="154">
        <f t="shared" si="42"/>
        <v>2357.1169438326601</v>
      </c>
      <c r="AB33" s="154">
        <f t="shared" si="43"/>
        <v>2639.9709770925797</v>
      </c>
      <c r="AC33" s="154">
        <f t="shared" si="44"/>
        <v>2956.7674943436896</v>
      </c>
      <c r="AD33" s="138">
        <f t="shared" si="18"/>
        <v>0.22157791018108841</v>
      </c>
      <c r="AE33" s="31">
        <f t="shared" si="16"/>
        <v>0.05</v>
      </c>
      <c r="AF33" s="146">
        <f t="shared" si="1"/>
        <v>18262.387465063966</v>
      </c>
    </row>
    <row r="34" spans="2:32" x14ac:dyDescent="0.2">
      <c r="B34" s="20" t="s">
        <v>308</v>
      </c>
      <c r="C34" s="141"/>
      <c r="D34" s="141"/>
      <c r="E34" s="147"/>
      <c r="F34" s="193">
        <v>171</v>
      </c>
      <c r="G34" s="193">
        <v>190</v>
      </c>
      <c r="H34" s="193">
        <v>190</v>
      </c>
      <c r="I34" s="193">
        <v>180</v>
      </c>
      <c r="J34" s="193">
        <v>197</v>
      </c>
      <c r="K34" s="193">
        <v>328</v>
      </c>
      <c r="L34" s="193">
        <v>421</v>
      </c>
      <c r="M34" s="193">
        <v>419</v>
      </c>
      <c r="N34" s="193">
        <v>492</v>
      </c>
      <c r="O34" s="193">
        <v>529</v>
      </c>
      <c r="P34" s="193">
        <v>579</v>
      </c>
      <c r="Q34" s="195"/>
      <c r="R34" s="118">
        <f>((Q34/G34)^(1/($H$2-$H$1) ))-1</f>
        <v>-1</v>
      </c>
      <c r="S34" s="31">
        <f t="shared" si="6"/>
        <v>0.12</v>
      </c>
      <c r="T34" s="154">
        <f t="shared" si="2"/>
        <v>0</v>
      </c>
      <c r="U34" s="154">
        <f t="shared" si="36"/>
        <v>0</v>
      </c>
      <c r="V34" s="154">
        <f t="shared" si="37"/>
        <v>0</v>
      </c>
      <c r="W34" s="154">
        <f t="shared" si="38"/>
        <v>0</v>
      </c>
      <c r="X34" s="154">
        <f t="shared" si="39"/>
        <v>0</v>
      </c>
      <c r="Y34" s="154">
        <f t="shared" si="40"/>
        <v>0</v>
      </c>
      <c r="Z34" s="154">
        <f t="shared" si="41"/>
        <v>0</v>
      </c>
      <c r="AA34" s="154">
        <f t="shared" si="42"/>
        <v>0</v>
      </c>
      <c r="AB34" s="154">
        <f t="shared" si="43"/>
        <v>0</v>
      </c>
      <c r="AC34" s="154">
        <f t="shared" si="44"/>
        <v>0</v>
      </c>
      <c r="AD34" s="138">
        <f t="shared" si="18"/>
        <v>-1</v>
      </c>
      <c r="AE34" s="31">
        <f t="shared" si="16"/>
        <v>0.05</v>
      </c>
      <c r="AF34" s="146">
        <f t="shared" si="1"/>
        <v>0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95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93">
        <v>367</v>
      </c>
      <c r="G36" s="193">
        <v>598</v>
      </c>
      <c r="H36" s="193">
        <v>1215</v>
      </c>
      <c r="I36" s="193">
        <v>2691</v>
      </c>
      <c r="J36" s="193">
        <v>3227</v>
      </c>
      <c r="K36" s="193">
        <v>4340</v>
      </c>
      <c r="L36" s="193">
        <v>5842</v>
      </c>
      <c r="M36" s="193">
        <v>4430</v>
      </c>
      <c r="N36" s="193">
        <v>8650</v>
      </c>
      <c r="O36" s="193">
        <v>8926</v>
      </c>
      <c r="P36" s="193">
        <v>9478</v>
      </c>
      <c r="Q36" s="195">
        <f>P36</f>
        <v>9478</v>
      </c>
      <c r="R36" s="118">
        <f>((Q36/G36)^(1/($H$2-$H$1) ))-1</f>
        <v>0.35936178858898149</v>
      </c>
      <c r="S36" s="31">
        <f t="shared" si="6"/>
        <v>0.12</v>
      </c>
      <c r="T36" s="154">
        <f t="shared" si="2"/>
        <v>10615.36</v>
      </c>
      <c r="U36" s="154">
        <f t="shared" ref="U36" si="85">T36*(1+$S36)</f>
        <v>11889.203200000002</v>
      </c>
      <c r="V36" s="154">
        <f t="shared" ref="V36" si="86">U36*(1+$S36)</f>
        <v>13315.907584000002</v>
      </c>
      <c r="W36" s="154">
        <f t="shared" ref="W36" si="87">V36*(1+$S36)</f>
        <v>14913.816494080003</v>
      </c>
      <c r="X36" s="154">
        <f t="shared" si="39"/>
        <v>16703.474473369606</v>
      </c>
      <c r="Y36" s="154">
        <f t="shared" si="40"/>
        <v>18707.891410173961</v>
      </c>
      <c r="Z36" s="154">
        <f t="shared" si="41"/>
        <v>20952.838379394838</v>
      </c>
      <c r="AA36" s="154">
        <f t="shared" si="42"/>
        <v>23467.178984922222</v>
      </c>
      <c r="AB36" s="154">
        <f t="shared" si="43"/>
        <v>26283.240463112892</v>
      </c>
      <c r="AC36" s="154">
        <f t="shared" si="44"/>
        <v>29437.229318686441</v>
      </c>
      <c r="AD36" s="138">
        <f t="shared" si="18"/>
        <v>0.2150937509389339</v>
      </c>
      <c r="AE36" s="31">
        <f t="shared" si="16"/>
        <v>0.05</v>
      </c>
      <c r="AF36" s="146">
        <f t="shared" si="1"/>
        <v>181818.18108600451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:P37" si="88">(G36-F36)/G36</f>
        <v>0.38628762541806022</v>
      </c>
      <c r="H37" s="148">
        <f t="shared" si="88"/>
        <v>0.50781893004115231</v>
      </c>
      <c r="I37" s="148">
        <f t="shared" si="88"/>
        <v>0.54849498327759194</v>
      </c>
      <c r="J37" s="148">
        <f t="shared" si="88"/>
        <v>0.16609854353889061</v>
      </c>
      <c r="K37" s="148">
        <f t="shared" si="88"/>
        <v>0.25645161290322582</v>
      </c>
      <c r="L37" s="148">
        <f t="shared" si="88"/>
        <v>0.25710373159876754</v>
      </c>
      <c r="M37" s="148">
        <f t="shared" si="88"/>
        <v>-0.31873589164785554</v>
      </c>
      <c r="N37" s="148">
        <f t="shared" si="88"/>
        <v>0.48786127167630056</v>
      </c>
      <c r="O37" s="148">
        <f t="shared" si="88"/>
        <v>3.0920905220703562E-2</v>
      </c>
      <c r="P37" s="148">
        <f t="shared" si="88"/>
        <v>5.8240135049588519E-2</v>
      </c>
      <c r="Q37" s="197">
        <f t="shared" ref="Q37" si="89">(Q36-P36)/Q36</f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5">
        <f>P38</f>
        <v>0</v>
      </c>
      <c r="R38" s="118" t="e">
        <f>((Q38/G38)^(1/($H$2-$H$1) ))-1</f>
        <v>#DIV/0!</v>
      </c>
      <c r="S38" s="31">
        <f t="shared" si="6"/>
        <v>0.12</v>
      </c>
      <c r="T38" s="154">
        <f t="shared" si="2"/>
        <v>0</v>
      </c>
      <c r="U38" s="154">
        <f t="shared" ref="U38" si="90">T38*(1+$S38)</f>
        <v>0</v>
      </c>
      <c r="V38" s="154">
        <f t="shared" ref="V38" si="91">U38*(1+$S38)</f>
        <v>0</v>
      </c>
      <c r="W38" s="154">
        <f t="shared" ref="W38" si="92">V38*(1+$S38)</f>
        <v>0</v>
      </c>
      <c r="X38" s="154">
        <f t="shared" ref="X38" si="93">W38*(1+$S38)</f>
        <v>0</v>
      </c>
      <c r="Y38" s="154">
        <f t="shared" ref="Y38" si="94">X38*(1+$S38)</f>
        <v>0</v>
      </c>
      <c r="Z38" s="154">
        <f t="shared" ref="Z38" si="95">Y38*(1+$S38)</f>
        <v>0</v>
      </c>
      <c r="AA38" s="154">
        <f t="shared" ref="AA38" si="96">Z38*(1+$S38)</f>
        <v>0</v>
      </c>
      <c r="AB38" s="154">
        <f t="shared" ref="AB38" si="97">AA38*(1+$S38)</f>
        <v>0</v>
      </c>
      <c r="AC38" s="154">
        <f t="shared" ref="AC38" si="98">AB38*(1+$S38)</f>
        <v>0</v>
      </c>
      <c r="AD38" s="138" t="e">
        <f t="shared" ref="AD38" si="99">((AC38/G38)^(1/($AC$3-$H$1) ))-1</f>
        <v>#DIV/0!</v>
      </c>
      <c r="AE38" s="31">
        <f t="shared" si="16"/>
        <v>0.05</v>
      </c>
      <c r="AF38" s="146">
        <f t="shared" ref="AF38" si="100">(AC38*(1+AE38))/($C$1-AE38)</f>
        <v>0</v>
      </c>
    </row>
    <row r="39" spans="2:32" s="123" customFormat="1" x14ac:dyDescent="0.2">
      <c r="B39" s="23"/>
      <c r="C39" s="149"/>
      <c r="D39" s="149"/>
      <c r="E39" s="150"/>
      <c r="F39" s="150"/>
      <c r="G39" s="148" t="e">
        <f>(G38-F38)/G38</f>
        <v>#DIV/0!</v>
      </c>
      <c r="H39" s="148" t="e">
        <f t="shared" ref="H39:P39" si="101">(H38-G38)/H38</f>
        <v>#DIV/0!</v>
      </c>
      <c r="I39" s="148" t="e">
        <f t="shared" si="101"/>
        <v>#DIV/0!</v>
      </c>
      <c r="J39" s="148" t="e">
        <f t="shared" si="101"/>
        <v>#DIV/0!</v>
      </c>
      <c r="K39" s="148" t="e">
        <f t="shared" si="101"/>
        <v>#DIV/0!</v>
      </c>
      <c r="L39" s="148" t="e">
        <f t="shared" si="101"/>
        <v>#DIV/0!</v>
      </c>
      <c r="M39" s="148" t="e">
        <f t="shared" si="101"/>
        <v>#DIV/0!</v>
      </c>
      <c r="N39" s="148" t="e">
        <f t="shared" si="101"/>
        <v>#DIV/0!</v>
      </c>
      <c r="O39" s="148" t="e">
        <f t="shared" si="101"/>
        <v>#DIV/0!</v>
      </c>
      <c r="P39" s="148" t="e">
        <f t="shared" si="101"/>
        <v>#DIV/0!</v>
      </c>
      <c r="Q39" s="197" t="e">
        <f t="shared" ref="Q39" si="102">(Q38-P38)/Q38</f>
        <v>#DIV/0!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93">
        <v>312</v>
      </c>
      <c r="G40" s="193">
        <v>432</v>
      </c>
      <c r="H40" s="193">
        <v>755</v>
      </c>
      <c r="I40" s="193">
        <v>1827</v>
      </c>
      <c r="J40" s="193">
        <v>2320</v>
      </c>
      <c r="K40" s="193">
        <v>3250</v>
      </c>
      <c r="L40" s="193">
        <v>4372</v>
      </c>
      <c r="M40" s="193">
        <v>3447</v>
      </c>
      <c r="N40" s="193">
        <v>6499</v>
      </c>
      <c r="O40" s="193">
        <v>7265</v>
      </c>
      <c r="P40" s="193">
        <v>6342</v>
      </c>
      <c r="Q40" s="195">
        <v>6413</v>
      </c>
      <c r="R40" s="118">
        <f>((Q40/G40)^(1/($H$2-$H$1) ))-1</f>
        <v>0.34950742071419705</v>
      </c>
      <c r="S40" s="31">
        <f t="shared" si="6"/>
        <v>0.12</v>
      </c>
      <c r="T40" s="154">
        <f t="shared" si="2"/>
        <v>7182.56</v>
      </c>
      <c r="U40" s="154">
        <f t="shared" ref="U40:AC40" si="103">T40*(1+$S40)</f>
        <v>8044.467200000001</v>
      </c>
      <c r="V40" s="154">
        <f t="shared" si="103"/>
        <v>9009.8032640000019</v>
      </c>
      <c r="W40" s="154">
        <f t="shared" si="103"/>
        <v>10090.979655680003</v>
      </c>
      <c r="X40" s="154">
        <f t="shared" si="103"/>
        <v>11301.897214361605</v>
      </c>
      <c r="Y40" s="154">
        <f t="shared" si="103"/>
        <v>12658.124880084999</v>
      </c>
      <c r="Z40" s="154">
        <f t="shared" si="103"/>
        <v>14177.0998656952</v>
      </c>
      <c r="AA40" s="154">
        <f t="shared" si="103"/>
        <v>15878.351849578625</v>
      </c>
      <c r="AB40" s="154">
        <f t="shared" si="103"/>
        <v>17783.754071528063</v>
      </c>
      <c r="AC40" s="154">
        <f t="shared" si="103"/>
        <v>19917.804560111432</v>
      </c>
      <c r="AD40" s="138">
        <f t="shared" si="18"/>
        <v>0.21112198003415727</v>
      </c>
      <c r="AE40" s="31">
        <f t="shared" si="16"/>
        <v>0.05</v>
      </c>
      <c r="AF40" s="146">
        <f t="shared" si="1"/>
        <v>123021.7340477471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0.27777777777777779</v>
      </c>
      <c r="H41" s="148">
        <f t="shared" ref="H41" si="104">(H40-G40)/H40</f>
        <v>0.42781456953642383</v>
      </c>
      <c r="I41" s="148">
        <f t="shared" ref="I41" si="105">(I40-H40)/I40</f>
        <v>0.58675424192665571</v>
      </c>
      <c r="J41" s="148">
        <f t="shared" ref="J41" si="106">(J40-I40)/J40</f>
        <v>0.21249999999999999</v>
      </c>
      <c r="K41" s="148">
        <f t="shared" ref="K41" si="107">(K40-J40)/K40</f>
        <v>0.28615384615384615</v>
      </c>
      <c r="L41" s="148">
        <f t="shared" ref="L41" si="108">(L40-K40)/L40</f>
        <v>0.25663311985361392</v>
      </c>
      <c r="M41" s="148">
        <f t="shared" ref="M41" si="109">(M40-L40)/M40</f>
        <v>-0.26834928923701767</v>
      </c>
      <c r="N41" s="148">
        <f t="shared" ref="N41" si="110">(N40-M40)/N40</f>
        <v>0.46961070933989846</v>
      </c>
      <c r="O41" s="148">
        <f t="shared" ref="O41" si="111">(O40-N40)/O40</f>
        <v>0.10543702684101858</v>
      </c>
      <c r="P41" s="148">
        <f t="shared" ref="P41" si="112">(P40-O40)/P40</f>
        <v>-0.1455376852727846</v>
      </c>
      <c r="Q41" s="197">
        <f t="shared" ref="Q41" si="113">(Q40-P40)/Q40</f>
        <v>1.1071261500077966E-2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2">
        <v>13.21</v>
      </c>
      <c r="G42" s="142">
        <v>13.21</v>
      </c>
      <c r="H42" s="142">
        <v>13.21</v>
      </c>
      <c r="I42" s="142">
        <v>13.21</v>
      </c>
      <c r="J42" s="142">
        <v>13.21</v>
      </c>
      <c r="K42" s="142">
        <v>13.21</v>
      </c>
      <c r="L42" s="194">
        <v>396.47</v>
      </c>
      <c r="M42" s="194">
        <v>396.47</v>
      </c>
      <c r="N42" s="194">
        <v>396.47</v>
      </c>
      <c r="O42" s="194">
        <v>396.47</v>
      </c>
      <c r="P42" s="194">
        <v>396.47</v>
      </c>
      <c r="Q42" s="195">
        <f>P42</f>
        <v>396.47</v>
      </c>
      <c r="R42" s="118">
        <f>((Q42/G42)^(1/($H$2-$H$1) ))-1</f>
        <v>0.45930234127218683</v>
      </c>
      <c r="S42" s="31">
        <f>P1</f>
        <v>0.05</v>
      </c>
      <c r="T42" s="154">
        <f t="shared" si="2"/>
        <v>416.29350000000005</v>
      </c>
      <c r="U42" s="154">
        <f t="shared" ref="U42:AC42" si="114">T42*(1+$S42)</f>
        <v>437.10817500000007</v>
      </c>
      <c r="V42" s="154">
        <f t="shared" si="114"/>
        <v>458.96358375000011</v>
      </c>
      <c r="W42" s="154">
        <f t="shared" si="114"/>
        <v>481.91176293750016</v>
      </c>
      <c r="X42" s="154">
        <f t="shared" si="114"/>
        <v>506.00735108437516</v>
      </c>
      <c r="Y42" s="154">
        <f t="shared" si="114"/>
        <v>531.30771863859388</v>
      </c>
      <c r="Z42" s="154">
        <f t="shared" si="114"/>
        <v>557.87310457052365</v>
      </c>
      <c r="AA42" s="154">
        <f t="shared" si="114"/>
        <v>585.76675979904985</v>
      </c>
      <c r="AB42" s="154">
        <f t="shared" si="114"/>
        <v>615.05509778900239</v>
      </c>
      <c r="AC42" s="154">
        <f t="shared" si="114"/>
        <v>645.80785267845249</v>
      </c>
      <c r="AD42" s="138">
        <f t="shared" si="18"/>
        <v>0.21467481010702505</v>
      </c>
      <c r="AE42" s="31">
        <f t="shared" si="16"/>
        <v>0.05</v>
      </c>
      <c r="AF42" s="146">
        <f t="shared" si="1"/>
        <v>3988.8132077198543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</v>
      </c>
      <c r="H43" s="148">
        <f t="shared" ref="H43" si="115">(H42-G42)/H42</f>
        <v>0</v>
      </c>
      <c r="I43" s="148">
        <f t="shared" ref="I43" si="116">(I42-H42)/I42</f>
        <v>0</v>
      </c>
      <c r="J43" s="148">
        <f t="shared" ref="J43" si="117">(J42-I42)/J42</f>
        <v>0</v>
      </c>
      <c r="K43" s="148">
        <f t="shared" ref="K43" si="118">(K42-J42)/K42</f>
        <v>0</v>
      </c>
      <c r="L43" s="148">
        <f t="shared" ref="L43" si="119">(L42-K42)/L42</f>
        <v>0.96668095946729893</v>
      </c>
      <c r="M43" s="148">
        <f t="shared" ref="M43" si="120">(M42-L42)/M42</f>
        <v>0</v>
      </c>
      <c r="N43" s="148">
        <f t="shared" ref="N43" si="121">(N42-M42)/N42</f>
        <v>0</v>
      </c>
      <c r="O43" s="148">
        <f t="shared" ref="O43" si="122">(O42-N42)/O42</f>
        <v>0</v>
      </c>
      <c r="P43" s="148">
        <f t="shared" ref="P43:Q43" si="123">(P42-O42)/P42</f>
        <v>0</v>
      </c>
      <c r="Q43" s="197">
        <f t="shared" si="123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7">
        <v>3.5</v>
      </c>
      <c r="H44" s="147">
        <v>11.45</v>
      </c>
      <c r="I44" s="147">
        <v>27.66</v>
      </c>
      <c r="J44" s="147">
        <v>35.200000000000003</v>
      </c>
      <c r="K44" s="198">
        <v>33.1</v>
      </c>
      <c r="L44" s="198">
        <v>2.21</v>
      </c>
      <c r="M44" s="198">
        <v>1.75</v>
      </c>
      <c r="N44" s="198">
        <v>3.3</v>
      </c>
      <c r="O44" s="198">
        <v>4.5</v>
      </c>
      <c r="P44" s="147">
        <v>7</v>
      </c>
      <c r="Q44" s="195">
        <f>P44</f>
        <v>7</v>
      </c>
      <c r="R44" s="118">
        <f>((Q44/G44)^(1/($H$2-$H$1) ))-1</f>
        <v>8.0059738892306109E-2</v>
      </c>
      <c r="S44" s="31">
        <f>P1</f>
        <v>0.05</v>
      </c>
      <c r="T44" s="154">
        <f t="shared" si="2"/>
        <v>7.3500000000000005</v>
      </c>
      <c r="U44" s="154">
        <f t="shared" ref="U44" si="124">T44*(1+$S44)</f>
        <v>7.7175000000000011</v>
      </c>
      <c r="V44" s="154">
        <f t="shared" ref="V44" si="125">U44*(1+$S44)</f>
        <v>8.1033750000000015</v>
      </c>
      <c r="W44" s="154">
        <f t="shared" ref="W44" si="126">V44*(1+$S44)</f>
        <v>8.5085437500000012</v>
      </c>
      <c r="X44" s="154">
        <f t="shared" ref="X44" si="127">W44*(1+$S44)</f>
        <v>8.9339709375000016</v>
      </c>
      <c r="Y44" s="154">
        <f t="shared" ref="Y44" si="128">X44*(1+$S44)</f>
        <v>9.3806694843750016</v>
      </c>
      <c r="Z44" s="154">
        <f t="shared" ref="Z44" si="129">Y44*(1+$S44)</f>
        <v>9.8497029585937526</v>
      </c>
      <c r="AA44" s="154">
        <f t="shared" ref="AA44" si="130">Z44*(1+$S44)</f>
        <v>10.342188106523441</v>
      </c>
      <c r="AB44" s="154">
        <f t="shared" ref="AB44" si="131">AA44*(1+$S44)</f>
        <v>10.859297511849613</v>
      </c>
      <c r="AC44" s="154">
        <f t="shared" ref="AC44" si="132">AB44*(1+$S44)</f>
        <v>11.402262387442095</v>
      </c>
      <c r="AD44" s="138">
        <f t="shared" ref="AD44" si="133">((AC44/G44)^(1/($AC$3-$H$1) ))-1</f>
        <v>6.0830870432750928E-2</v>
      </c>
      <c r="AE44" s="31">
        <f t="shared" si="16"/>
        <v>0.05</v>
      </c>
      <c r="AF44" s="146">
        <f t="shared" si="1"/>
        <v>70.425738275377654</v>
      </c>
    </row>
    <row r="45" spans="2:32" x14ac:dyDescent="0.2">
      <c r="B45" s="20" t="s">
        <v>427</v>
      </c>
      <c r="C45" s="20"/>
      <c r="D45" s="20"/>
      <c r="E45" s="127"/>
      <c r="F45" s="12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95"/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95"/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95"/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34">C25/C42</f>
        <v>0</v>
      </c>
      <c r="D50" s="133">
        <f t="shared" si="134"/>
        <v>0</v>
      </c>
      <c r="E50" s="133">
        <f t="shared" si="134"/>
        <v>0</v>
      </c>
      <c r="F50" s="133">
        <f t="shared" si="134"/>
        <v>97.804693414080234</v>
      </c>
      <c r="G50" s="133">
        <f t="shared" si="134"/>
        <v>115.82134746404239</v>
      </c>
      <c r="H50" s="133">
        <f t="shared" si="134"/>
        <v>175.32172596517788</v>
      </c>
      <c r="I50" s="133">
        <f t="shared" si="134"/>
        <v>296.44208932626793</v>
      </c>
      <c r="J50" s="133">
        <f t="shared" si="134"/>
        <v>343.224829674489</v>
      </c>
      <c r="K50" s="133">
        <f t="shared" si="134"/>
        <v>485.31415594246778</v>
      </c>
      <c r="L50" s="133">
        <f t="shared" si="134"/>
        <v>21.625848109566927</v>
      </c>
      <c r="M50" s="133">
        <f t="shared" si="134"/>
        <v>17.902993921355964</v>
      </c>
      <c r="N50" s="133">
        <f t="shared" si="134"/>
        <v>31.999899109642595</v>
      </c>
      <c r="O50" s="133">
        <f t="shared" si="134"/>
        <v>33.417408631170076</v>
      </c>
      <c r="P50" s="133">
        <f t="shared" si="134"/>
        <v>32.627941584483061</v>
      </c>
      <c r="Q50" s="133">
        <f t="shared" ref="Q50" si="135">Q25/Q42</f>
        <v>35.682397154891916</v>
      </c>
      <c r="R50" s="118">
        <f>((P50/G50)^(1/($H$2-$H$1) ))-1</f>
        <v>-0.13130607424946794</v>
      </c>
      <c r="S50" s="128"/>
      <c r="T50" s="158">
        <f t="shared" ref="T50:AC50" si="136">T25/T42</f>
        <v>38.061223631884715</v>
      </c>
      <c r="U50" s="158">
        <f t="shared" si="136"/>
        <v>40.598638540677037</v>
      </c>
      <c r="V50" s="158">
        <f t="shared" si="136"/>
        <v>43.305214443388834</v>
      </c>
      <c r="W50" s="158">
        <f t="shared" si="136"/>
        <v>46.192228739614755</v>
      </c>
      <c r="X50" s="158">
        <f t="shared" si="136"/>
        <v>49.271710655589082</v>
      </c>
      <c r="Y50" s="158">
        <f t="shared" si="136"/>
        <v>52.556491365961698</v>
      </c>
      <c r="Z50" s="158">
        <f t="shared" si="136"/>
        <v>56.060257457025806</v>
      </c>
      <c r="AA50" s="158">
        <f t="shared" si="136"/>
        <v>59.797607954160867</v>
      </c>
      <c r="AB50" s="158">
        <f t="shared" si="136"/>
        <v>63.78411515110492</v>
      </c>
      <c r="AC50" s="158">
        <f t="shared" si="136"/>
        <v>68.036389494511937</v>
      </c>
      <c r="AD50" s="138">
        <f t="shared" ref="AD50" si="137">((AC50/G50)^(1/($AC$3-$H$1) ))-1</f>
        <v>-2.6249637679414461E-2</v>
      </c>
      <c r="AE50" s="31">
        <f t="shared" si="16"/>
        <v>0.05</v>
      </c>
      <c r="AF50" s="146">
        <f t="shared" ref="AF50:AF51" si="138">(AC50*(1+AE50))/($C$1-AE50)</f>
        <v>420.22475864257376</v>
      </c>
    </row>
    <row r="51" spans="2:32" x14ac:dyDescent="0.2">
      <c r="B51" s="20" t="s">
        <v>304</v>
      </c>
      <c r="C51" s="133">
        <f t="shared" ref="C51:P51" si="139">C27/C42</f>
        <v>0</v>
      </c>
      <c r="D51" s="133">
        <f t="shared" si="139"/>
        <v>0</v>
      </c>
      <c r="E51" s="133">
        <f t="shared" si="139"/>
        <v>0</v>
      </c>
      <c r="F51" s="133">
        <f t="shared" si="139"/>
        <v>62.679788039364112</v>
      </c>
      <c r="G51" s="133">
        <f t="shared" si="139"/>
        <v>64.875094625283879</v>
      </c>
      <c r="H51" s="133">
        <f t="shared" si="139"/>
        <v>76.457229371688115</v>
      </c>
      <c r="I51" s="133">
        <f t="shared" si="139"/>
        <v>77.517032551097643</v>
      </c>
      <c r="J51" s="133">
        <f t="shared" si="139"/>
        <v>71.990915972747914</v>
      </c>
      <c r="K51" s="133">
        <f t="shared" si="139"/>
        <v>105.98031794095381</v>
      </c>
      <c r="L51" s="133">
        <f t="shared" si="139"/>
        <v>4.6636567710041108</v>
      </c>
      <c r="M51" s="133">
        <f t="shared" si="139"/>
        <v>4.5577218957298156</v>
      </c>
      <c r="N51" s="133">
        <f t="shared" si="139"/>
        <v>7.1405150452745474</v>
      </c>
      <c r="O51" s="133">
        <f t="shared" si="139"/>
        <v>5.9474865689711702</v>
      </c>
      <c r="P51" s="133">
        <f t="shared" si="139"/>
        <v>8.7345826922591865</v>
      </c>
      <c r="Q51" s="133">
        <f t="shared" ref="Q51" si="140">Q27/Q42</f>
        <v>8.7345826922591865</v>
      </c>
      <c r="R51" s="118">
        <f>((P51/G51)^(1/($H$2-$H$1) ))-1</f>
        <v>-0.19972276708614478</v>
      </c>
      <c r="S51" s="128"/>
      <c r="T51" s="158">
        <f t="shared" ref="T51:AC51" si="141">T27/T42</f>
        <v>9.3168882050764665</v>
      </c>
      <c r="U51" s="158">
        <f t="shared" si="141"/>
        <v>9.9380140854148973</v>
      </c>
      <c r="V51" s="158">
        <f t="shared" si="141"/>
        <v>10.600548357775891</v>
      </c>
      <c r="W51" s="158">
        <f t="shared" si="141"/>
        <v>11.307251581627616</v>
      </c>
      <c r="X51" s="158">
        <f t="shared" si="141"/>
        <v>12.061068353736125</v>
      </c>
      <c r="Y51" s="158">
        <f t="shared" si="141"/>
        <v>12.865139577318537</v>
      </c>
      <c r="Z51" s="158">
        <f t="shared" si="141"/>
        <v>13.722815549139773</v>
      </c>
      <c r="AA51" s="158">
        <f t="shared" si="141"/>
        <v>14.637669919082425</v>
      </c>
      <c r="AB51" s="158">
        <f t="shared" si="141"/>
        <v>15.613514580354586</v>
      </c>
      <c r="AC51" s="158">
        <f t="shared" si="141"/>
        <v>16.654415552378225</v>
      </c>
      <c r="AD51" s="138">
        <f t="shared" ref="AD51" si="142">((AC51/G51)^(1/($AC$3-$H$1) ))-1</f>
        <v>-6.5729642850208325E-2</v>
      </c>
      <c r="AE51" s="31">
        <f t="shared" si="16"/>
        <v>0.05</v>
      </c>
      <c r="AF51" s="146">
        <f t="shared" si="138"/>
        <v>102.86550782351259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-432</v>
      </c>
      <c r="H52" s="133">
        <f t="shared" ref="H52:P52" si="143">H38-H40</f>
        <v>-755</v>
      </c>
      <c r="I52" s="133">
        <f t="shared" si="143"/>
        <v>-1827</v>
      </c>
      <c r="J52" s="133">
        <f t="shared" si="143"/>
        <v>-2320</v>
      </c>
      <c r="K52" s="133">
        <f t="shared" si="143"/>
        <v>-3250</v>
      </c>
      <c r="L52" s="133">
        <f t="shared" si="143"/>
        <v>-4372</v>
      </c>
      <c r="M52" s="133">
        <f t="shared" si="143"/>
        <v>-3447</v>
      </c>
      <c r="N52" s="133">
        <f t="shared" si="143"/>
        <v>-6499</v>
      </c>
      <c r="O52" s="133">
        <f t="shared" si="143"/>
        <v>-7265</v>
      </c>
      <c r="P52" s="133">
        <f t="shared" si="143"/>
        <v>-6342</v>
      </c>
      <c r="Q52" s="133">
        <f t="shared" ref="Q52" si="144">Q38-Q40</f>
        <v>-6413</v>
      </c>
      <c r="R52" s="118">
        <f>((P52/G52)^(1/($H$2-$H$1) ))-1</f>
        <v>0.34783911148977364</v>
      </c>
      <c r="S52" s="128"/>
      <c r="T52" s="133">
        <f t="shared" ref="T52:AC52" si="145">T38-T40</f>
        <v>-7182.56</v>
      </c>
      <c r="U52" s="133">
        <f t="shared" si="145"/>
        <v>-8044.467200000001</v>
      </c>
      <c r="V52" s="133">
        <f t="shared" si="145"/>
        <v>-9009.8032640000019</v>
      </c>
      <c r="W52" s="133">
        <f t="shared" si="145"/>
        <v>-10090.979655680003</v>
      </c>
      <c r="X52" s="133">
        <f t="shared" si="145"/>
        <v>-11301.897214361605</v>
      </c>
      <c r="Y52" s="133">
        <f t="shared" si="145"/>
        <v>-12658.124880084999</v>
      </c>
      <c r="Z52" s="133">
        <f t="shared" si="145"/>
        <v>-14177.0998656952</v>
      </c>
      <c r="AA52" s="133">
        <f t="shared" si="145"/>
        <v>-15878.351849578625</v>
      </c>
      <c r="AB52" s="133">
        <f t="shared" si="145"/>
        <v>-17783.754071528063</v>
      </c>
      <c r="AC52" s="133">
        <f t="shared" si="145"/>
        <v>-19917.804560111432</v>
      </c>
      <c r="AD52" s="138">
        <f t="shared" ref="AD52" si="146">((AC52/G52)^(1/($AC$3-$H$1) ))-1</f>
        <v>0.21112198003415727</v>
      </c>
      <c r="AE52" s="31">
        <f t="shared" si="16"/>
        <v>0.05</v>
      </c>
      <c r="AF52" s="146">
        <f t="shared" ref="AF52" si="147">(AC52*(1+AE52))/($C$1-AE52)</f>
        <v>-123021.7340477471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48">C40/C42</f>
        <v>0</v>
      </c>
      <c r="D54" s="25">
        <f t="shared" si="148"/>
        <v>0</v>
      </c>
      <c r="E54" s="25">
        <f t="shared" si="148"/>
        <v>0</v>
      </c>
      <c r="F54" s="133">
        <f t="shared" si="148"/>
        <v>23.618470855412564</v>
      </c>
      <c r="G54" s="133">
        <f t="shared" si="148"/>
        <v>32.702498107494321</v>
      </c>
      <c r="H54" s="133">
        <f t="shared" si="148"/>
        <v>57.153671461014376</v>
      </c>
      <c r="I54" s="133">
        <f t="shared" si="148"/>
        <v>138.30431491294473</v>
      </c>
      <c r="J54" s="133">
        <f t="shared" si="148"/>
        <v>175.62452687358061</v>
      </c>
      <c r="K54" s="133">
        <f t="shared" si="148"/>
        <v>246.02573807721421</v>
      </c>
      <c r="L54" s="133">
        <f t="shared" si="148"/>
        <v>11.027316064267158</v>
      </c>
      <c r="M54" s="133">
        <f t="shared" si="148"/>
        <v>8.6942265492975501</v>
      </c>
      <c r="N54" s="133">
        <f t="shared" si="148"/>
        <v>16.392160819229701</v>
      </c>
      <c r="O54" s="133">
        <f t="shared" si="148"/>
        <v>18.324211163518047</v>
      </c>
      <c r="P54" s="133">
        <f t="shared" si="148"/>
        <v>15.996166166418643</v>
      </c>
      <c r="Q54" s="133">
        <f t="shared" ref="Q54" si="149">Q40/Q42</f>
        <v>16.175246550810904</v>
      </c>
      <c r="R54" s="118">
        <f>((P54/G54)^(1/($H$2-$H$1) ))-1</f>
        <v>-7.638117655950738E-2</v>
      </c>
      <c r="S54" s="128"/>
      <c r="T54" s="158">
        <f t="shared" ref="T54:AC54" si="150">T40/T42</f>
        <v>17.253596320864965</v>
      </c>
      <c r="U54" s="158">
        <f t="shared" si="150"/>
        <v>18.403836075589297</v>
      </c>
      <c r="V54" s="158">
        <f t="shared" si="150"/>
        <v>19.630758480628582</v>
      </c>
      <c r="W54" s="158">
        <f t="shared" si="150"/>
        <v>20.93947571267049</v>
      </c>
      <c r="X54" s="158">
        <f t="shared" si="150"/>
        <v>22.335440760181857</v>
      </c>
      <c r="Y54" s="158">
        <f t="shared" si="150"/>
        <v>23.824470144193988</v>
      </c>
      <c r="Z54" s="158">
        <f t="shared" si="150"/>
        <v>25.412768153806919</v>
      </c>
      <c r="AA54" s="158">
        <f t="shared" si="150"/>
        <v>27.106952697394046</v>
      </c>
      <c r="AB54" s="158">
        <f t="shared" si="150"/>
        <v>28.91408287722032</v>
      </c>
      <c r="AC54" s="158">
        <f t="shared" si="150"/>
        <v>30.841688402368344</v>
      </c>
      <c r="AD54" s="138">
        <f t="shared" ref="AD54:AD68" si="151">((AC54/G54)^(1/($AC$3-$H$1) ))-1</f>
        <v>-2.9249228215697531E-3</v>
      </c>
      <c r="AE54" s="31">
        <f t="shared" si="16"/>
        <v>0.05</v>
      </c>
      <c r="AF54" s="146">
        <f t="shared" ref="AF54:AF82" si="152">(AC54*(1+AE54))/($C$1-AE54)</f>
        <v>190.49278130874566</v>
      </c>
    </row>
    <row r="55" spans="2:32" x14ac:dyDescent="0.2">
      <c r="B55" s="20" t="s">
        <v>388</v>
      </c>
      <c r="C55" s="133">
        <f t="shared" ref="C55:F55" si="153">C20/C42</f>
        <v>0</v>
      </c>
      <c r="D55" s="133">
        <f t="shared" si="153"/>
        <v>0</v>
      </c>
      <c r="E55" s="133">
        <f t="shared" si="153"/>
        <v>0</v>
      </c>
      <c r="F55" s="133">
        <f t="shared" si="153"/>
        <v>24.829674489023464</v>
      </c>
      <c r="G55" s="133">
        <f>G20/G42</f>
        <v>33.232399697199092</v>
      </c>
      <c r="H55" s="133">
        <f t="shared" ref="H55:P55" si="154">H20/H42</f>
        <v>61.619984859954577</v>
      </c>
      <c r="I55" s="133">
        <f t="shared" si="154"/>
        <v>118.77365632096895</v>
      </c>
      <c r="J55" s="133">
        <f t="shared" si="154"/>
        <v>155.33686601059802</v>
      </c>
      <c r="K55" s="133">
        <f t="shared" si="154"/>
        <v>187.35806207418622</v>
      </c>
      <c r="L55" s="133">
        <f t="shared" si="154"/>
        <v>7.006835321714127</v>
      </c>
      <c r="M55" s="133">
        <f t="shared" si="154"/>
        <v>9.0902212021086086</v>
      </c>
      <c r="N55" s="133">
        <f t="shared" si="154"/>
        <v>12.260700683532171</v>
      </c>
      <c r="O55" s="133">
        <f t="shared" si="154"/>
        <v>11.587257547859862</v>
      </c>
      <c r="P55" s="133">
        <f t="shared" si="154"/>
        <v>7.7862133326607301</v>
      </c>
      <c r="Q55" s="133">
        <f t="shared" ref="Q55" si="155">Q20/Q42</f>
        <v>0</v>
      </c>
      <c r="R55" s="118">
        <f>((P55/G55)^(1/($H$2-$H$1) ))-1</f>
        <v>-0.14891322123605055</v>
      </c>
      <c r="S55" s="128"/>
      <c r="T55" s="133">
        <f t="shared" ref="T55:AC55" si="156">T20/T42</f>
        <v>0</v>
      </c>
      <c r="U55" s="133">
        <f t="shared" si="156"/>
        <v>0</v>
      </c>
      <c r="V55" s="133">
        <f t="shared" si="156"/>
        <v>0</v>
      </c>
      <c r="W55" s="133">
        <f t="shared" si="156"/>
        <v>0</v>
      </c>
      <c r="X55" s="133">
        <f t="shared" si="156"/>
        <v>0</v>
      </c>
      <c r="Y55" s="133">
        <f t="shared" si="156"/>
        <v>0</v>
      </c>
      <c r="Z55" s="133">
        <f t="shared" si="156"/>
        <v>0</v>
      </c>
      <c r="AA55" s="133">
        <f t="shared" si="156"/>
        <v>0</v>
      </c>
      <c r="AB55" s="133">
        <f t="shared" si="156"/>
        <v>0</v>
      </c>
      <c r="AC55" s="133">
        <f t="shared" si="156"/>
        <v>0</v>
      </c>
      <c r="AD55" s="138">
        <f t="shared" ref="AD55" si="157">((AC55/G55)^(1/($AC$3-$H$1) ))-1</f>
        <v>-1</v>
      </c>
      <c r="AE55" s="31">
        <f t="shared" si="16"/>
        <v>0.05</v>
      </c>
      <c r="AF55" s="146">
        <f t="shared" si="152"/>
        <v>0</v>
      </c>
    </row>
    <row r="56" spans="2:32" x14ac:dyDescent="0.2">
      <c r="B56" s="20" t="s">
        <v>245</v>
      </c>
      <c r="C56" s="25">
        <f t="shared" ref="C56:P56" si="158">C7/C42</f>
        <v>0</v>
      </c>
      <c r="D56" s="25">
        <f t="shared" si="158"/>
        <v>0</v>
      </c>
      <c r="E56" s="25">
        <f t="shared" si="158"/>
        <v>0</v>
      </c>
      <c r="F56" s="133">
        <f t="shared" si="158"/>
        <v>124.60257380772141</v>
      </c>
      <c r="G56" s="133">
        <f t="shared" si="158"/>
        <v>153.44436033308099</v>
      </c>
      <c r="H56" s="133">
        <f t="shared" si="158"/>
        <v>197.04769114307342</v>
      </c>
      <c r="I56" s="133">
        <f t="shared" si="158"/>
        <v>303.86071158213474</v>
      </c>
      <c r="J56" s="133">
        <f t="shared" si="158"/>
        <v>439.06131718395153</v>
      </c>
      <c r="K56" s="133">
        <f t="shared" si="158"/>
        <v>627.47918243754725</v>
      </c>
      <c r="L56" s="133">
        <f t="shared" si="158"/>
        <v>29.3490049688501</v>
      </c>
      <c r="M56" s="133">
        <f t="shared" si="158"/>
        <v>35.997679521779702</v>
      </c>
      <c r="N56" s="133">
        <f t="shared" si="158"/>
        <v>48.462683179055162</v>
      </c>
      <c r="O56" s="133">
        <f t="shared" si="158"/>
        <v>61.558251570106179</v>
      </c>
      <c r="P56" s="133">
        <f t="shared" si="158"/>
        <v>69.387343304663645</v>
      </c>
      <c r="Q56" s="133">
        <f t="shared" ref="Q56" si="159">Q7/Q42</f>
        <v>75.531566070572794</v>
      </c>
      <c r="R56" s="118">
        <f>((P56/G56)^(1/($H$2-$H$1) ))-1</f>
        <v>-8.4405323896895257E-2</v>
      </c>
      <c r="S56" s="128"/>
      <c r="T56" s="158">
        <f t="shared" ref="T56:AC56" si="160">T7/T42</f>
        <v>80.567003808610991</v>
      </c>
      <c r="U56" s="158">
        <f t="shared" si="160"/>
        <v>85.938137395851726</v>
      </c>
      <c r="V56" s="158">
        <f t="shared" si="160"/>
        <v>91.667346555575179</v>
      </c>
      <c r="W56" s="158">
        <f t="shared" si="160"/>
        <v>97.778502992613539</v>
      </c>
      <c r="X56" s="158">
        <f t="shared" si="160"/>
        <v>104.29706985878778</v>
      </c>
      <c r="Y56" s="158">
        <f t="shared" si="160"/>
        <v>111.25020784937365</v>
      </c>
      <c r="Z56" s="158">
        <f t="shared" si="160"/>
        <v>118.66688837266523</v>
      </c>
      <c r="AA56" s="158">
        <f t="shared" si="160"/>
        <v>126.57801426417625</v>
      </c>
      <c r="AB56" s="158">
        <f t="shared" si="160"/>
        <v>135.01654854845467</v>
      </c>
      <c r="AC56" s="158">
        <f t="shared" si="160"/>
        <v>144.01765178501833</v>
      </c>
      <c r="AD56" s="138">
        <f t="shared" si="151"/>
        <v>-3.1650882147825632E-3</v>
      </c>
      <c r="AE56" s="31">
        <f t="shared" si="16"/>
        <v>0.05</v>
      </c>
      <c r="AF56" s="146">
        <f t="shared" si="152"/>
        <v>889.52079043687797</v>
      </c>
    </row>
    <row r="57" spans="2:32" x14ac:dyDescent="0.2">
      <c r="B57" s="20" t="s">
        <v>246</v>
      </c>
      <c r="C57" s="127">
        <f t="shared" ref="C57:P57" si="161">C6/C42</f>
        <v>0</v>
      </c>
      <c r="D57" s="127">
        <f t="shared" si="161"/>
        <v>0</v>
      </c>
      <c r="E57" s="127">
        <f t="shared" si="161"/>
        <v>0</v>
      </c>
      <c r="F57" s="144">
        <f t="shared" si="161"/>
        <v>114.61014383043148</v>
      </c>
      <c r="G57" s="144">
        <f t="shared" si="161"/>
        <v>143.45193035579106</v>
      </c>
      <c r="H57" s="144">
        <f t="shared" si="161"/>
        <v>187.05526116578349</v>
      </c>
      <c r="I57" s="144">
        <f t="shared" si="161"/>
        <v>293.86828160484481</v>
      </c>
      <c r="J57" s="144">
        <f t="shared" si="161"/>
        <v>429.0688872066616</v>
      </c>
      <c r="K57" s="144">
        <f t="shared" si="161"/>
        <v>617.48675246025732</v>
      </c>
      <c r="L57" s="144">
        <f t="shared" si="161"/>
        <v>28.350190430549599</v>
      </c>
      <c r="M57" s="144">
        <f t="shared" si="161"/>
        <v>34.9963427245441</v>
      </c>
      <c r="N57" s="144">
        <f t="shared" si="161"/>
        <v>47.463868640754654</v>
      </c>
      <c r="O57" s="144">
        <f t="shared" si="161"/>
        <v>60.556914772870577</v>
      </c>
      <c r="P57" s="144">
        <f t="shared" si="161"/>
        <v>68.388528766363152</v>
      </c>
      <c r="Q57" s="144">
        <f t="shared" ref="Q57" si="162">Q6/Q42</f>
        <v>74.5327515322723</v>
      </c>
      <c r="R57" s="118">
        <f>((P57/G57)^(1/($H$2-$H$1) ))-1</f>
        <v>-7.9014092417215354E-2</v>
      </c>
      <c r="S57" s="128"/>
      <c r="T57" s="157">
        <f t="shared" ref="T57:AC57" si="163">T6/T42</f>
        <v>79.501601634423778</v>
      </c>
      <c r="U57" s="157">
        <f t="shared" si="163"/>
        <v>84.801708410052044</v>
      </c>
      <c r="V57" s="157">
        <f t="shared" si="163"/>
        <v>90.455155637388842</v>
      </c>
      <c r="W57" s="157">
        <f t="shared" si="163"/>
        <v>96.485499346548096</v>
      </c>
      <c r="X57" s="157">
        <f t="shared" si="163"/>
        <v>102.9178659696513</v>
      </c>
      <c r="Y57" s="157">
        <f t="shared" si="163"/>
        <v>109.77905703429475</v>
      </c>
      <c r="Z57" s="157">
        <f t="shared" si="163"/>
        <v>117.09766083658106</v>
      </c>
      <c r="AA57" s="157">
        <f t="shared" si="163"/>
        <v>124.9041715590198</v>
      </c>
      <c r="AB57" s="157">
        <f t="shared" si="163"/>
        <v>133.2311163296211</v>
      </c>
      <c r="AC57" s="157">
        <f t="shared" si="163"/>
        <v>142.11319075159588</v>
      </c>
      <c r="AD57" s="138">
        <f t="shared" si="151"/>
        <v>-4.6869717423903001E-4</v>
      </c>
      <c r="AE57" s="31">
        <f t="shared" si="16"/>
        <v>0.05</v>
      </c>
      <c r="AF57" s="146">
        <f t="shared" si="152"/>
        <v>877.75794287750409</v>
      </c>
    </row>
    <row r="58" spans="2:32" x14ac:dyDescent="0.2">
      <c r="B58" s="20" t="s">
        <v>247</v>
      </c>
      <c r="C58" s="127">
        <f t="shared" ref="C58:P58" si="164">C10/C42</f>
        <v>0</v>
      </c>
      <c r="D58" s="127">
        <f t="shared" si="164"/>
        <v>0</v>
      </c>
      <c r="E58" s="127">
        <f t="shared" si="164"/>
        <v>0</v>
      </c>
      <c r="F58" s="144">
        <f t="shared" si="164"/>
        <v>0</v>
      </c>
      <c r="G58" s="144">
        <f t="shared" si="164"/>
        <v>0</v>
      </c>
      <c r="H58" s="144">
        <f t="shared" si="164"/>
        <v>0</v>
      </c>
      <c r="I58" s="144">
        <f t="shared" si="164"/>
        <v>0</v>
      </c>
      <c r="J58" s="144">
        <f t="shared" si="164"/>
        <v>0</v>
      </c>
      <c r="K58" s="144">
        <f t="shared" si="164"/>
        <v>0</v>
      </c>
      <c r="L58" s="144">
        <f t="shared" si="164"/>
        <v>0</v>
      </c>
      <c r="M58" s="144">
        <f t="shared" si="164"/>
        <v>0</v>
      </c>
      <c r="N58" s="144">
        <f t="shared" si="164"/>
        <v>0</v>
      </c>
      <c r="O58" s="144">
        <f t="shared" si="164"/>
        <v>0</v>
      </c>
      <c r="P58" s="144">
        <f t="shared" si="164"/>
        <v>0</v>
      </c>
      <c r="Q58" s="144">
        <f t="shared" ref="Q58" si="165">Q10/Q42</f>
        <v>0</v>
      </c>
      <c r="R58" s="118" t="e">
        <f>((P58/G58)^(1/($H$2-$H$1) ))-1</f>
        <v>#DIV/0!</v>
      </c>
      <c r="S58" s="128"/>
      <c r="T58" s="157">
        <f t="shared" ref="T58:AC58" si="166">T10/T42</f>
        <v>0</v>
      </c>
      <c r="U58" s="157">
        <f t="shared" si="166"/>
        <v>0</v>
      </c>
      <c r="V58" s="157">
        <f t="shared" si="166"/>
        <v>0</v>
      </c>
      <c r="W58" s="157">
        <f t="shared" si="166"/>
        <v>0</v>
      </c>
      <c r="X58" s="157">
        <f t="shared" si="166"/>
        <v>0</v>
      </c>
      <c r="Y58" s="157">
        <f t="shared" si="166"/>
        <v>0</v>
      </c>
      <c r="Z58" s="157">
        <f t="shared" si="166"/>
        <v>0</v>
      </c>
      <c r="AA58" s="157">
        <f t="shared" si="166"/>
        <v>0</v>
      </c>
      <c r="AB58" s="157">
        <f t="shared" si="166"/>
        <v>0</v>
      </c>
      <c r="AC58" s="157">
        <f t="shared" si="166"/>
        <v>0</v>
      </c>
      <c r="AD58" s="138" t="e">
        <f t="shared" si="151"/>
        <v>#DIV/0!</v>
      </c>
      <c r="AE58" s="31">
        <f t="shared" si="16"/>
        <v>0.05</v>
      </c>
      <c r="AF58" s="146">
        <f t="shared" si="152"/>
        <v>0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67">(C7-C10)/C42</f>
        <v>0</v>
      </c>
      <c r="D60" s="127">
        <f t="shared" si="167"/>
        <v>0</v>
      </c>
      <c r="E60" s="127">
        <f t="shared" si="167"/>
        <v>0</v>
      </c>
      <c r="F60" s="144">
        <f t="shared" si="167"/>
        <v>124.60257380772141</v>
      </c>
      <c r="G60" s="144">
        <f t="shared" si="167"/>
        <v>153.44436033308099</v>
      </c>
      <c r="H60" s="144">
        <f t="shared" si="167"/>
        <v>197.04769114307342</v>
      </c>
      <c r="I60" s="144">
        <f t="shared" si="167"/>
        <v>303.86071158213474</v>
      </c>
      <c r="J60" s="144">
        <f t="shared" si="167"/>
        <v>439.06131718395153</v>
      </c>
      <c r="K60" s="144">
        <f t="shared" si="167"/>
        <v>627.47918243754725</v>
      </c>
      <c r="L60" s="144">
        <f t="shared" si="167"/>
        <v>29.3490049688501</v>
      </c>
      <c r="M60" s="144">
        <f t="shared" si="167"/>
        <v>35.997679521779702</v>
      </c>
      <c r="N60" s="144">
        <f t="shared" si="167"/>
        <v>48.462683179055162</v>
      </c>
      <c r="O60" s="144">
        <f t="shared" si="167"/>
        <v>61.558251570106179</v>
      </c>
      <c r="P60" s="144">
        <f t="shared" si="167"/>
        <v>69.387343304663645</v>
      </c>
      <c r="Q60" s="144">
        <f t="shared" ref="Q60" si="168">(Q7-Q10)/Q42</f>
        <v>75.531566070572794</v>
      </c>
      <c r="R60" s="118">
        <f>((P60/G60)^(1/($H$2-$H$1) ))-1</f>
        <v>-8.4405323896895257E-2</v>
      </c>
      <c r="S60" s="128"/>
      <c r="T60" s="157">
        <f t="shared" ref="T60:AC60" si="169">(T7-T10)/T42</f>
        <v>80.567003808610991</v>
      </c>
      <c r="U60" s="157">
        <f t="shared" si="169"/>
        <v>85.938137395851726</v>
      </c>
      <c r="V60" s="157">
        <f t="shared" si="169"/>
        <v>91.667346555575179</v>
      </c>
      <c r="W60" s="157">
        <f t="shared" si="169"/>
        <v>97.778502992613539</v>
      </c>
      <c r="X60" s="157">
        <f t="shared" si="169"/>
        <v>104.29706985878778</v>
      </c>
      <c r="Y60" s="157">
        <f t="shared" si="169"/>
        <v>111.25020784937365</v>
      </c>
      <c r="Z60" s="157">
        <f t="shared" si="169"/>
        <v>118.66688837266523</v>
      </c>
      <c r="AA60" s="157">
        <f t="shared" si="169"/>
        <v>126.57801426417625</v>
      </c>
      <c r="AB60" s="157">
        <f t="shared" si="169"/>
        <v>135.01654854845467</v>
      </c>
      <c r="AC60" s="157">
        <f t="shared" si="169"/>
        <v>144.01765178501833</v>
      </c>
      <c r="AD60" s="138">
        <f t="shared" si="151"/>
        <v>-3.1650882147825632E-3</v>
      </c>
      <c r="AE60" s="31">
        <f t="shared" si="16"/>
        <v>0.05</v>
      </c>
      <c r="AF60" s="146">
        <f t="shared" si="152"/>
        <v>889.52079043687797</v>
      </c>
    </row>
    <row r="61" spans="2:32" x14ac:dyDescent="0.2">
      <c r="B61" s="20" t="s">
        <v>271</v>
      </c>
      <c r="C61" s="127">
        <f t="shared" ref="C61:P61" si="170">(C7-C10-C9)/C42</f>
        <v>0</v>
      </c>
      <c r="D61" s="127">
        <f t="shared" si="170"/>
        <v>0</v>
      </c>
      <c r="E61" s="127">
        <f t="shared" si="170"/>
        <v>0</v>
      </c>
      <c r="F61" s="144">
        <f t="shared" si="170"/>
        <v>111.50643451930355</v>
      </c>
      <c r="G61" s="144">
        <f t="shared" si="170"/>
        <v>139.28841786525359</v>
      </c>
      <c r="H61" s="144">
        <f t="shared" si="170"/>
        <v>175.32172596517788</v>
      </c>
      <c r="I61" s="144">
        <f t="shared" si="170"/>
        <v>280.99924299772897</v>
      </c>
      <c r="J61" s="144">
        <f t="shared" si="170"/>
        <v>416.04844814534442</v>
      </c>
      <c r="K61" s="144">
        <f t="shared" si="170"/>
        <v>592.27857683573052</v>
      </c>
      <c r="L61" s="144">
        <f t="shared" si="170"/>
        <v>27.956718036673642</v>
      </c>
      <c r="M61" s="144">
        <f t="shared" si="170"/>
        <v>33.871415239488485</v>
      </c>
      <c r="N61" s="144">
        <f t="shared" si="170"/>
        <v>46.243095316165153</v>
      </c>
      <c r="O61" s="144">
        <f t="shared" si="170"/>
        <v>58.859434509546745</v>
      </c>
      <c r="P61" s="144">
        <f t="shared" si="170"/>
        <v>61.227835649607783</v>
      </c>
      <c r="Q61" s="144">
        <f t="shared" ref="Q61" si="171">(Q7-Q10-Q9)/Q42</f>
        <v>67.372058415516932</v>
      </c>
      <c r="R61" s="118">
        <f>((P61/G61)^(1/($H$2-$H$1) ))-1</f>
        <v>-8.7280981156493409E-2</v>
      </c>
      <c r="S61" s="128"/>
      <c r="T61" s="157">
        <f t="shared" ref="T61:AC61" si="172">(T7-T10-T9)/T42</f>
        <v>71.863528976551393</v>
      </c>
      <c r="U61" s="157">
        <f t="shared" si="172"/>
        <v>76.654430908321487</v>
      </c>
      <c r="V61" s="157">
        <f t="shared" si="172"/>
        <v>81.76472630220961</v>
      </c>
      <c r="W61" s="157">
        <f t="shared" si="172"/>
        <v>87.215708055690243</v>
      </c>
      <c r="X61" s="157">
        <f t="shared" si="172"/>
        <v>93.030088592736263</v>
      </c>
      <c r="Y61" s="157">
        <f t="shared" si="172"/>
        <v>99.232094498918713</v>
      </c>
      <c r="Z61" s="157">
        <f t="shared" si="172"/>
        <v>105.84756746551329</v>
      </c>
      <c r="AA61" s="157">
        <f t="shared" si="172"/>
        <v>112.90407196321418</v>
      </c>
      <c r="AB61" s="157">
        <f t="shared" si="172"/>
        <v>120.43101009409513</v>
      </c>
      <c r="AC61" s="157">
        <f t="shared" si="172"/>
        <v>128.45974410036814</v>
      </c>
      <c r="AD61" s="138">
        <f t="shared" si="151"/>
        <v>-4.0383813329539775E-3</v>
      </c>
      <c r="AE61" s="31">
        <f t="shared" si="16"/>
        <v>0.05</v>
      </c>
      <c r="AF61" s="146">
        <f t="shared" si="152"/>
        <v>793.42783120815625</v>
      </c>
    </row>
    <row r="62" spans="2:32" x14ac:dyDescent="0.2">
      <c r="B62" s="20" t="s">
        <v>276</v>
      </c>
      <c r="C62" s="127">
        <f t="shared" ref="C62:P62" si="173">(C7+C15-C10-C9)/C42</f>
        <v>0</v>
      </c>
      <c r="D62" s="127">
        <f t="shared" si="173"/>
        <v>0</v>
      </c>
      <c r="E62" s="127">
        <f t="shared" si="173"/>
        <v>0</v>
      </c>
      <c r="F62" s="144">
        <f t="shared" si="173"/>
        <v>224.224072672218</v>
      </c>
      <c r="G62" s="144">
        <f t="shared" si="173"/>
        <v>288.34216502649508</v>
      </c>
      <c r="H62" s="144">
        <f t="shared" si="173"/>
        <v>390.08327024981071</v>
      </c>
      <c r="I62" s="144">
        <f t="shared" si="173"/>
        <v>640.95382286146855</v>
      </c>
      <c r="J62" s="144">
        <f t="shared" si="173"/>
        <v>926.64647993943981</v>
      </c>
      <c r="K62" s="144">
        <f t="shared" si="173"/>
        <v>1355.0340651021952</v>
      </c>
      <c r="L62" s="144">
        <f t="shared" si="173"/>
        <v>67.672207228794107</v>
      </c>
      <c r="M62" s="144">
        <f t="shared" si="173"/>
        <v>84.220748102000144</v>
      </c>
      <c r="N62" s="144">
        <f t="shared" si="173"/>
        <v>112.88622089943753</v>
      </c>
      <c r="O62" s="144">
        <f t="shared" si="173"/>
        <v>118.67984967336746</v>
      </c>
      <c r="P62" s="144">
        <f t="shared" si="173"/>
        <v>125.78000857568037</v>
      </c>
      <c r="Q62" s="144">
        <f t="shared" ref="Q62" si="174">(Q7+Q15-Q10-Q9)/Q42</f>
        <v>67.372058415516932</v>
      </c>
      <c r="R62" s="118">
        <f>((P62/G62)^(1/($H$2-$H$1) ))-1</f>
        <v>-8.8058348955211141E-2</v>
      </c>
      <c r="S62" s="128"/>
      <c r="T62" s="157">
        <f t="shared" ref="T62:AC62" si="175">(T7+T15-T10-T9)/T42</f>
        <v>71.863528976551393</v>
      </c>
      <c r="U62" s="157">
        <f t="shared" si="175"/>
        <v>76.654430908321487</v>
      </c>
      <c r="V62" s="157">
        <f t="shared" si="175"/>
        <v>81.76472630220961</v>
      </c>
      <c r="W62" s="157">
        <f t="shared" si="175"/>
        <v>87.215708055690243</v>
      </c>
      <c r="X62" s="157">
        <f t="shared" si="175"/>
        <v>93.030088592736263</v>
      </c>
      <c r="Y62" s="157">
        <f t="shared" si="175"/>
        <v>99.232094498918713</v>
      </c>
      <c r="Z62" s="157">
        <f t="shared" si="175"/>
        <v>105.84756746551329</v>
      </c>
      <c r="AA62" s="157">
        <f t="shared" si="175"/>
        <v>112.90407196321418</v>
      </c>
      <c r="AB62" s="157">
        <f t="shared" si="175"/>
        <v>120.43101009409513</v>
      </c>
      <c r="AC62" s="157">
        <f t="shared" si="175"/>
        <v>128.45974410036814</v>
      </c>
      <c r="AD62" s="138">
        <f t="shared" si="151"/>
        <v>-3.9620359086411594E-2</v>
      </c>
      <c r="AE62" s="31">
        <f t="shared" si="16"/>
        <v>0.05</v>
      </c>
      <c r="AF62" s="146">
        <f t="shared" si="152"/>
        <v>793.42783120815625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76">C12/C42</f>
        <v>0</v>
      </c>
      <c r="D64" s="127">
        <f t="shared" si="176"/>
        <v>0</v>
      </c>
      <c r="E64" s="127">
        <f t="shared" si="176"/>
        <v>0</v>
      </c>
      <c r="F64" s="144">
        <f t="shared" si="176"/>
        <v>5.0719152157456469</v>
      </c>
      <c r="G64" s="144">
        <f t="shared" si="176"/>
        <v>5.7532172596517785</v>
      </c>
      <c r="H64" s="144">
        <f t="shared" si="176"/>
        <v>3.7850113550340647</v>
      </c>
      <c r="I64" s="144">
        <f t="shared" si="176"/>
        <v>5.904617713853141</v>
      </c>
      <c r="J64" s="144">
        <f t="shared" si="176"/>
        <v>3.4822104466313397</v>
      </c>
      <c r="K64" s="144">
        <f t="shared" si="176"/>
        <v>5.8289174867524602</v>
      </c>
      <c r="L64" s="144">
        <f t="shared" si="176"/>
        <v>9.5845839533886548E-2</v>
      </c>
      <c r="M64" s="144">
        <f t="shared" si="176"/>
        <v>0.19925845587307991</v>
      </c>
      <c r="N64" s="144">
        <f t="shared" si="176"/>
        <v>0.17151360758695486</v>
      </c>
      <c r="O64" s="144">
        <f t="shared" si="176"/>
        <v>51.111055060912548</v>
      </c>
      <c r="P64" s="144">
        <f t="shared" si="176"/>
        <v>53.030494110525382</v>
      </c>
      <c r="Q64" s="144">
        <f t="shared" ref="Q64" si="177">Q12/Q42</f>
        <v>0</v>
      </c>
      <c r="R64" s="118">
        <f>((P64/G64)^(1/($H$2-$H$1) ))-1</f>
        <v>0.27991000288465639</v>
      </c>
      <c r="S64" s="128"/>
      <c r="T64" s="157">
        <f t="shared" ref="T64:AC64" si="178">T12/T42</f>
        <v>0</v>
      </c>
      <c r="U64" s="157">
        <f t="shared" si="178"/>
        <v>0</v>
      </c>
      <c r="V64" s="157">
        <f t="shared" si="178"/>
        <v>0</v>
      </c>
      <c r="W64" s="157">
        <f t="shared" si="178"/>
        <v>0</v>
      </c>
      <c r="X64" s="157">
        <f t="shared" si="178"/>
        <v>0</v>
      </c>
      <c r="Y64" s="157">
        <f t="shared" si="178"/>
        <v>0</v>
      </c>
      <c r="Z64" s="157">
        <f t="shared" si="178"/>
        <v>0</v>
      </c>
      <c r="AA64" s="157">
        <f t="shared" si="178"/>
        <v>0</v>
      </c>
      <c r="AB64" s="157">
        <f t="shared" si="178"/>
        <v>0</v>
      </c>
      <c r="AC64" s="157">
        <f t="shared" si="178"/>
        <v>0</v>
      </c>
      <c r="AD64" s="138">
        <f t="shared" si="151"/>
        <v>-1</v>
      </c>
      <c r="AE64" s="31">
        <f t="shared" si="16"/>
        <v>0.05</v>
      </c>
      <c r="AF64" s="146">
        <f t="shared" si="152"/>
        <v>0</v>
      </c>
    </row>
    <row r="65" spans="2:32" x14ac:dyDescent="0.2">
      <c r="B65" s="20" t="s">
        <v>255</v>
      </c>
      <c r="C65" s="127">
        <f t="shared" ref="C65:P65" si="179">C13/C42</f>
        <v>0</v>
      </c>
      <c r="D65" s="127">
        <f t="shared" si="179"/>
        <v>0</v>
      </c>
      <c r="E65" s="127">
        <f t="shared" si="179"/>
        <v>0</v>
      </c>
      <c r="F65" s="144">
        <f t="shared" si="179"/>
        <v>2.6495079485238455</v>
      </c>
      <c r="G65" s="144">
        <f t="shared" si="179"/>
        <v>5.601816805450416</v>
      </c>
      <c r="H65" s="144">
        <f t="shared" si="179"/>
        <v>5.601816805450416</v>
      </c>
      <c r="I65" s="144">
        <f t="shared" si="179"/>
        <v>5.601816805450416</v>
      </c>
      <c r="J65" s="144">
        <f t="shared" si="179"/>
        <v>5.601816805450416</v>
      </c>
      <c r="K65" s="144">
        <f t="shared" si="179"/>
        <v>6.2831188493565477</v>
      </c>
      <c r="L65" s="144">
        <f t="shared" si="179"/>
        <v>0.1790803843922617</v>
      </c>
      <c r="M65" s="144">
        <f t="shared" si="179"/>
        <v>0.1916916790677731</v>
      </c>
      <c r="N65" s="144">
        <f t="shared" si="179"/>
        <v>0.34050495623880744</v>
      </c>
      <c r="O65" s="144">
        <f t="shared" si="179"/>
        <v>0.6229979569702625</v>
      </c>
      <c r="P65" s="144">
        <f t="shared" si="179"/>
        <v>0.62804247484046705</v>
      </c>
      <c r="Q65" s="144">
        <f t="shared" ref="Q65" si="180">Q13/Q42</f>
        <v>0</v>
      </c>
      <c r="R65" s="118">
        <f>((P65/G65)^(1/($H$2-$H$1) ))-1</f>
        <v>-0.21583639930210707</v>
      </c>
      <c r="S65" s="128"/>
      <c r="T65" s="157">
        <f t="shared" ref="T65:AC65" si="181">T13/T42</f>
        <v>0</v>
      </c>
      <c r="U65" s="157">
        <f t="shared" si="181"/>
        <v>0</v>
      </c>
      <c r="V65" s="157">
        <f t="shared" si="181"/>
        <v>0</v>
      </c>
      <c r="W65" s="157">
        <f t="shared" si="181"/>
        <v>0</v>
      </c>
      <c r="X65" s="157">
        <f t="shared" si="181"/>
        <v>0</v>
      </c>
      <c r="Y65" s="157">
        <f t="shared" si="181"/>
        <v>0</v>
      </c>
      <c r="Z65" s="157">
        <f t="shared" si="181"/>
        <v>0</v>
      </c>
      <c r="AA65" s="157">
        <f t="shared" si="181"/>
        <v>0</v>
      </c>
      <c r="AB65" s="157">
        <f t="shared" si="181"/>
        <v>0</v>
      </c>
      <c r="AC65" s="157">
        <f t="shared" si="181"/>
        <v>0</v>
      </c>
      <c r="AD65" s="138">
        <f t="shared" si="151"/>
        <v>-1</v>
      </c>
      <c r="AE65" s="31">
        <f t="shared" si="16"/>
        <v>0.05</v>
      </c>
      <c r="AF65" s="146">
        <f t="shared" si="152"/>
        <v>0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82">(D64+D65)</f>
        <v>0</v>
      </c>
      <c r="E66" s="127">
        <f t="shared" si="182"/>
        <v>0</v>
      </c>
      <c r="F66" s="144">
        <f t="shared" si="182"/>
        <v>7.7214231642694919</v>
      </c>
      <c r="G66" s="144">
        <f t="shared" si="182"/>
        <v>11.355034065102195</v>
      </c>
      <c r="H66" s="144">
        <f t="shared" si="182"/>
        <v>9.3868281604844803</v>
      </c>
      <c r="I66" s="144">
        <f t="shared" si="182"/>
        <v>11.506434519303557</v>
      </c>
      <c r="J66" s="144">
        <f t="shared" si="182"/>
        <v>9.0840272520817553</v>
      </c>
      <c r="K66" s="144">
        <f t="shared" si="182"/>
        <v>12.112036336109007</v>
      </c>
      <c r="L66" s="144">
        <f t="shared" si="182"/>
        <v>0.27492622392614824</v>
      </c>
      <c r="M66" s="144">
        <f t="shared" si="182"/>
        <v>0.39095013494085301</v>
      </c>
      <c r="N66" s="144">
        <f t="shared" si="182"/>
        <v>0.51201856382576227</v>
      </c>
      <c r="O66" s="144">
        <f t="shared" ref="O66" si="183">(O64+O65)</f>
        <v>51.734053017882808</v>
      </c>
      <c r="P66" s="144">
        <f t="shared" si="182"/>
        <v>53.658536585365852</v>
      </c>
      <c r="Q66" s="144">
        <f t="shared" ref="Q66" si="184">(Q64+Q65)</f>
        <v>0</v>
      </c>
      <c r="R66" s="118">
        <f>((P66/G66)^(1/($H$2-$H$1) ))-1</f>
        <v>0.18833511719422225</v>
      </c>
      <c r="S66" s="128"/>
      <c r="T66" s="157">
        <f t="shared" ref="T66:AC66" si="185">(T64+T65)</f>
        <v>0</v>
      </c>
      <c r="U66" s="157">
        <f t="shared" si="185"/>
        <v>0</v>
      </c>
      <c r="V66" s="157">
        <f t="shared" si="185"/>
        <v>0</v>
      </c>
      <c r="W66" s="157">
        <f t="shared" si="185"/>
        <v>0</v>
      </c>
      <c r="X66" s="157">
        <f t="shared" si="185"/>
        <v>0</v>
      </c>
      <c r="Y66" s="157">
        <f t="shared" si="185"/>
        <v>0</v>
      </c>
      <c r="Z66" s="157">
        <f t="shared" si="185"/>
        <v>0</v>
      </c>
      <c r="AA66" s="157">
        <f t="shared" si="185"/>
        <v>0</v>
      </c>
      <c r="AB66" s="157">
        <f t="shared" si="185"/>
        <v>0</v>
      </c>
      <c r="AC66" s="157">
        <f t="shared" si="185"/>
        <v>0</v>
      </c>
      <c r="AD66" s="138">
        <f t="shared" si="151"/>
        <v>-1</v>
      </c>
      <c r="AE66" s="31">
        <f t="shared" si="16"/>
        <v>0.05</v>
      </c>
      <c r="AF66" s="146">
        <f t="shared" si="152"/>
        <v>0</v>
      </c>
    </row>
    <row r="67" spans="2:32" x14ac:dyDescent="0.2">
      <c r="B67" s="20" t="s">
        <v>249</v>
      </c>
      <c r="C67" s="127">
        <f t="shared" ref="C67:P67" si="186">C15/C42</f>
        <v>0</v>
      </c>
      <c r="D67" s="127">
        <f t="shared" si="186"/>
        <v>0</v>
      </c>
      <c r="E67" s="127">
        <f t="shared" si="186"/>
        <v>0</v>
      </c>
      <c r="F67" s="144">
        <f t="shared" si="186"/>
        <v>112.71763815291445</v>
      </c>
      <c r="G67" s="144">
        <f t="shared" si="186"/>
        <v>149.05374716124146</v>
      </c>
      <c r="H67" s="144">
        <f t="shared" si="186"/>
        <v>214.76154428463283</v>
      </c>
      <c r="I67" s="144">
        <f t="shared" si="186"/>
        <v>359.95457986373958</v>
      </c>
      <c r="J67" s="144">
        <f t="shared" si="186"/>
        <v>510.59803179409533</v>
      </c>
      <c r="K67" s="144">
        <f t="shared" si="186"/>
        <v>762.75548826646479</v>
      </c>
      <c r="L67" s="144">
        <f t="shared" si="186"/>
        <v>39.715489192120458</v>
      </c>
      <c r="M67" s="144">
        <f t="shared" si="186"/>
        <v>50.349332862511659</v>
      </c>
      <c r="N67" s="144">
        <f t="shared" si="186"/>
        <v>66.643125583272379</v>
      </c>
      <c r="O67" s="144">
        <f t="shared" si="186"/>
        <v>59.820415163820712</v>
      </c>
      <c r="P67" s="144">
        <f t="shared" si="186"/>
        <v>64.552172926072586</v>
      </c>
      <c r="Q67" s="144">
        <f t="shared" ref="Q67" si="187">Q15/Q42</f>
        <v>0</v>
      </c>
      <c r="R67" s="118">
        <f>((P67/G67)^(1/($H$2-$H$1) ))-1</f>
        <v>-8.8789610140212694E-2</v>
      </c>
      <c r="S67" s="128"/>
      <c r="T67" s="157">
        <f t="shared" ref="T67:AC67" si="188">T15/T42</f>
        <v>0</v>
      </c>
      <c r="U67" s="157">
        <f t="shared" si="188"/>
        <v>0</v>
      </c>
      <c r="V67" s="157">
        <f t="shared" si="188"/>
        <v>0</v>
      </c>
      <c r="W67" s="157">
        <f t="shared" si="188"/>
        <v>0</v>
      </c>
      <c r="X67" s="157">
        <f t="shared" si="188"/>
        <v>0</v>
      </c>
      <c r="Y67" s="157">
        <f t="shared" si="188"/>
        <v>0</v>
      </c>
      <c r="Z67" s="157">
        <f t="shared" si="188"/>
        <v>0</v>
      </c>
      <c r="AA67" s="157">
        <f t="shared" si="188"/>
        <v>0</v>
      </c>
      <c r="AB67" s="157">
        <f t="shared" si="188"/>
        <v>0</v>
      </c>
      <c r="AC67" s="157">
        <f t="shared" si="188"/>
        <v>0</v>
      </c>
      <c r="AD67" s="138">
        <f t="shared" si="151"/>
        <v>-1</v>
      </c>
      <c r="AE67" s="31">
        <f t="shared" si="16"/>
        <v>0.05</v>
      </c>
      <c r="AF67" s="146">
        <f t="shared" si="152"/>
        <v>0</v>
      </c>
    </row>
    <row r="68" spans="2:32" x14ac:dyDescent="0.2">
      <c r="B68" s="20" t="s">
        <v>250</v>
      </c>
      <c r="C68" s="127">
        <f t="shared" ref="C68:P68" si="189">C16/C42</f>
        <v>0</v>
      </c>
      <c r="D68" s="127">
        <f t="shared" si="189"/>
        <v>0</v>
      </c>
      <c r="E68" s="127">
        <f t="shared" si="189"/>
        <v>0</v>
      </c>
      <c r="F68" s="144">
        <f t="shared" si="189"/>
        <v>68.05450416351249</v>
      </c>
      <c r="G68" s="144">
        <f t="shared" si="189"/>
        <v>94.928084784254352</v>
      </c>
      <c r="H68" s="144">
        <f t="shared" si="189"/>
        <v>145.79863739591218</v>
      </c>
      <c r="I68" s="144">
        <f t="shared" si="189"/>
        <v>251.62755488266464</v>
      </c>
      <c r="J68" s="144">
        <f t="shared" si="189"/>
        <v>384.63285389856168</v>
      </c>
      <c r="K68" s="144">
        <f t="shared" si="189"/>
        <v>567.82740348221046</v>
      </c>
      <c r="L68" s="144">
        <f t="shared" si="189"/>
        <v>26.604787247458823</v>
      </c>
      <c r="M68" s="144">
        <f t="shared" si="189"/>
        <v>32.363104396297324</v>
      </c>
      <c r="N68" s="144">
        <f t="shared" si="189"/>
        <v>43.602290211113072</v>
      </c>
      <c r="O68" s="144">
        <f t="shared" si="189"/>
        <v>54.165510631321411</v>
      </c>
      <c r="P68" s="144">
        <f t="shared" si="189"/>
        <v>56.392665271016718</v>
      </c>
      <c r="Q68" s="144">
        <f t="shared" ref="Q68" si="190">Q16/Q42</f>
        <v>0</v>
      </c>
      <c r="R68" s="118">
        <f>((P68/G68)^(1/($H$2-$H$1) ))-1</f>
        <v>-5.622217943674912E-2</v>
      </c>
      <c r="S68" s="128"/>
      <c r="T68" s="157">
        <f t="shared" ref="T68:AC68" si="191">T16/T42</f>
        <v>0</v>
      </c>
      <c r="U68" s="157">
        <f t="shared" si="191"/>
        <v>0</v>
      </c>
      <c r="V68" s="157">
        <f t="shared" si="191"/>
        <v>0</v>
      </c>
      <c r="W68" s="157">
        <f t="shared" si="191"/>
        <v>0</v>
      </c>
      <c r="X68" s="157">
        <f t="shared" si="191"/>
        <v>0</v>
      </c>
      <c r="Y68" s="157">
        <f t="shared" si="191"/>
        <v>0</v>
      </c>
      <c r="Z68" s="157">
        <f t="shared" si="191"/>
        <v>0</v>
      </c>
      <c r="AA68" s="157">
        <f t="shared" si="191"/>
        <v>0</v>
      </c>
      <c r="AB68" s="157">
        <f t="shared" si="191"/>
        <v>0</v>
      </c>
      <c r="AC68" s="157">
        <f t="shared" si="191"/>
        <v>0</v>
      </c>
      <c r="AD68" s="138">
        <f t="shared" si="151"/>
        <v>-1</v>
      </c>
      <c r="AE68" s="137"/>
      <c r="AF68" s="146">
        <f t="shared" si="152"/>
        <v>0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6"/>
        <v>0.05</v>
      </c>
      <c r="AF69" s="146">
        <f t="shared" si="152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192">D44</f>
        <v>0</v>
      </c>
      <c r="E70" s="159">
        <f t="shared" si="192"/>
        <v>0</v>
      </c>
      <c r="F70" s="159">
        <f t="shared" si="192"/>
        <v>0</v>
      </c>
      <c r="G70" s="159">
        <f t="shared" si="192"/>
        <v>3.5</v>
      </c>
      <c r="H70" s="159">
        <f t="shared" si="192"/>
        <v>11.45</v>
      </c>
      <c r="I70" s="159">
        <f t="shared" si="192"/>
        <v>27.66</v>
      </c>
      <c r="J70" s="159">
        <f t="shared" si="192"/>
        <v>35.200000000000003</v>
      </c>
      <c r="K70" s="159">
        <f t="shared" si="192"/>
        <v>33.1</v>
      </c>
      <c r="L70" s="159">
        <f t="shared" si="192"/>
        <v>2.21</v>
      </c>
      <c r="M70" s="159">
        <f t="shared" si="192"/>
        <v>1.75</v>
      </c>
      <c r="N70" s="159">
        <f t="shared" si="192"/>
        <v>3.3</v>
      </c>
      <c r="O70" s="159">
        <f t="shared" si="192"/>
        <v>4.5</v>
      </c>
      <c r="P70" s="159">
        <f t="shared" si="192"/>
        <v>7</v>
      </c>
      <c r="Q70" s="159">
        <f t="shared" ref="Q70" si="193">Q44</f>
        <v>7</v>
      </c>
      <c r="R70" s="118">
        <f>((P70/G70)^(1/($H$2-$H$1) ))-1</f>
        <v>8.0059738892306109E-2</v>
      </c>
      <c r="S70" s="128"/>
      <c r="T70" s="159">
        <f t="shared" ref="T70:AC70" si="194">T44</f>
        <v>7.3500000000000005</v>
      </c>
      <c r="U70" s="159">
        <f t="shared" si="194"/>
        <v>7.7175000000000011</v>
      </c>
      <c r="V70" s="159">
        <f t="shared" si="194"/>
        <v>8.1033750000000015</v>
      </c>
      <c r="W70" s="159">
        <f t="shared" si="194"/>
        <v>8.5085437500000012</v>
      </c>
      <c r="X70" s="159">
        <f t="shared" si="194"/>
        <v>8.9339709375000016</v>
      </c>
      <c r="Y70" s="159">
        <f t="shared" si="194"/>
        <v>9.3806694843750016</v>
      </c>
      <c r="Z70" s="159">
        <f t="shared" si="194"/>
        <v>9.8497029585937526</v>
      </c>
      <c r="AA70" s="159">
        <f t="shared" si="194"/>
        <v>10.342188106523441</v>
      </c>
      <c r="AB70" s="159">
        <f t="shared" si="194"/>
        <v>10.859297511849613</v>
      </c>
      <c r="AC70" s="159">
        <f t="shared" si="194"/>
        <v>11.402262387442095</v>
      </c>
      <c r="AD70" s="138">
        <f t="shared" ref="AD70" si="195">((AC70/G70)^(1/($AC$3-$H$1) ))-1</f>
        <v>6.0830870432750928E-2</v>
      </c>
      <c r="AE70" s="31">
        <f t="shared" si="16"/>
        <v>0.05</v>
      </c>
      <c r="AF70" s="146">
        <f t="shared" si="152"/>
        <v>70.425738275377654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196">C20+C21</f>
        <v>0</v>
      </c>
      <c r="D72" s="127">
        <f t="shared" si="196"/>
        <v>0</v>
      </c>
      <c r="E72" s="127">
        <f t="shared" si="196"/>
        <v>0</v>
      </c>
      <c r="F72" s="144">
        <f t="shared" si="196"/>
        <v>288.29000000000002</v>
      </c>
      <c r="G72" s="144">
        <f t="shared" si="196"/>
        <v>419.39</v>
      </c>
      <c r="H72" s="144">
        <f t="shared" si="196"/>
        <v>924.28</v>
      </c>
      <c r="I72" s="144">
        <f t="shared" si="196"/>
        <v>1608</v>
      </c>
      <c r="J72" s="144">
        <f t="shared" si="196"/>
        <v>2269</v>
      </c>
      <c r="K72" s="144">
        <f t="shared" si="196"/>
        <v>2992</v>
      </c>
      <c r="L72" s="144">
        <f t="shared" si="196"/>
        <v>3268</v>
      </c>
      <c r="M72" s="144">
        <f t="shared" si="196"/>
        <v>4010</v>
      </c>
      <c r="N72" s="144">
        <f t="shared" si="196"/>
        <v>5311</v>
      </c>
      <c r="O72" s="144">
        <f t="shared" si="196"/>
        <v>3856</v>
      </c>
      <c r="P72" s="144">
        <f t="shared" si="196"/>
        <v>3755</v>
      </c>
      <c r="Q72" s="144">
        <f t="shared" ref="Q72" si="197">Q20+Q21</f>
        <v>0</v>
      </c>
      <c r="R72" s="118">
        <f>((P72/G72)^(1/($H$2-$H$1) ))-1</f>
        <v>0.2757831870753602</v>
      </c>
      <c r="S72" s="128"/>
      <c r="T72" s="144">
        <f t="shared" ref="T72:AC72" si="198">T20+T21</f>
        <v>0</v>
      </c>
      <c r="U72" s="144">
        <f t="shared" si="198"/>
        <v>0</v>
      </c>
      <c r="V72" s="144">
        <f t="shared" si="198"/>
        <v>0</v>
      </c>
      <c r="W72" s="144">
        <f t="shared" si="198"/>
        <v>0</v>
      </c>
      <c r="X72" s="144">
        <f t="shared" si="198"/>
        <v>0</v>
      </c>
      <c r="Y72" s="144">
        <f t="shared" si="198"/>
        <v>0</v>
      </c>
      <c r="Z72" s="144">
        <f t="shared" si="198"/>
        <v>0</v>
      </c>
      <c r="AA72" s="144">
        <f t="shared" si="198"/>
        <v>0</v>
      </c>
      <c r="AB72" s="144">
        <f t="shared" si="198"/>
        <v>0</v>
      </c>
      <c r="AC72" s="144">
        <f t="shared" si="198"/>
        <v>0</v>
      </c>
      <c r="AD72" s="138">
        <f t="shared" ref="AD72:AD77" si="199">((AC72/G72)^(1/($AC$3-$H$1) ))-1</f>
        <v>-1</v>
      </c>
      <c r="AE72" s="31">
        <f t="shared" si="16"/>
        <v>0.05</v>
      </c>
      <c r="AF72" s="146">
        <f t="shared" si="152"/>
        <v>0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00">C72/C42</f>
        <v>0</v>
      </c>
      <c r="D74" s="127">
        <f t="shared" si="200"/>
        <v>0</v>
      </c>
      <c r="E74" s="127">
        <f t="shared" si="200"/>
        <v>0</v>
      </c>
      <c r="F74" s="144">
        <f t="shared" si="200"/>
        <v>21.823618470855411</v>
      </c>
      <c r="G74" s="144">
        <f t="shared" si="200"/>
        <v>31.747918243754729</v>
      </c>
      <c r="H74" s="144">
        <f t="shared" si="200"/>
        <v>69.968205904617705</v>
      </c>
      <c r="I74" s="144">
        <f t="shared" si="200"/>
        <v>121.72596517789553</v>
      </c>
      <c r="J74" s="144">
        <f t="shared" si="200"/>
        <v>171.76381529144587</v>
      </c>
      <c r="K74" s="144">
        <f t="shared" si="200"/>
        <v>226.49507948523845</v>
      </c>
      <c r="L74" s="144">
        <f t="shared" si="200"/>
        <v>8.2427421999142432</v>
      </c>
      <c r="M74" s="144">
        <f t="shared" si="200"/>
        <v>10.114258329760132</v>
      </c>
      <c r="N74" s="144">
        <f t="shared" si="200"/>
        <v>13.395717204328195</v>
      </c>
      <c r="O74" s="144">
        <f t="shared" si="200"/>
        <v>9.7258304537543818</v>
      </c>
      <c r="P74" s="144">
        <f t="shared" si="200"/>
        <v>9.4710823013090515</v>
      </c>
      <c r="Q74" s="144">
        <f t="shared" ref="Q74" si="201">Q72/Q42</f>
        <v>0</v>
      </c>
      <c r="R74" s="118">
        <f>((P74/G74)^(1/($H$2-$H$1) ))-1</f>
        <v>-0.12575814415321152</v>
      </c>
      <c r="S74" s="128"/>
      <c r="T74" s="146">
        <f t="shared" ref="T74:AC74" si="202">T72/T42</f>
        <v>0</v>
      </c>
      <c r="U74" s="146">
        <f t="shared" si="202"/>
        <v>0</v>
      </c>
      <c r="V74" s="146">
        <f t="shared" si="202"/>
        <v>0</v>
      </c>
      <c r="W74" s="146">
        <f t="shared" si="202"/>
        <v>0</v>
      </c>
      <c r="X74" s="146">
        <f t="shared" si="202"/>
        <v>0</v>
      </c>
      <c r="Y74" s="146">
        <f t="shared" si="202"/>
        <v>0</v>
      </c>
      <c r="Z74" s="146">
        <f t="shared" si="202"/>
        <v>0</v>
      </c>
      <c r="AA74" s="146">
        <f t="shared" si="202"/>
        <v>0</v>
      </c>
      <c r="AB74" s="146">
        <f t="shared" si="202"/>
        <v>0</v>
      </c>
      <c r="AC74" s="146">
        <f t="shared" si="202"/>
        <v>0</v>
      </c>
      <c r="AD74" s="138">
        <f t="shared" si="199"/>
        <v>-1</v>
      </c>
      <c r="AE74" s="31">
        <f t="shared" si="16"/>
        <v>0.05</v>
      </c>
      <c r="AF74" s="146">
        <f t="shared" si="152"/>
        <v>0</v>
      </c>
    </row>
    <row r="75" spans="2:32" x14ac:dyDescent="0.2">
      <c r="B75" s="20" t="s">
        <v>287</v>
      </c>
      <c r="C75" s="127">
        <f t="shared" ref="C75:P75" si="203">C20/C42</f>
        <v>0</v>
      </c>
      <c r="D75" s="127">
        <f t="shared" si="203"/>
        <v>0</v>
      </c>
      <c r="E75" s="127">
        <f t="shared" si="203"/>
        <v>0</v>
      </c>
      <c r="F75" s="144">
        <f t="shared" si="203"/>
        <v>24.829674489023464</v>
      </c>
      <c r="G75" s="144">
        <f t="shared" si="203"/>
        <v>33.232399697199092</v>
      </c>
      <c r="H75" s="144">
        <f t="shared" si="203"/>
        <v>61.619984859954577</v>
      </c>
      <c r="I75" s="144">
        <f t="shared" si="203"/>
        <v>118.77365632096895</v>
      </c>
      <c r="J75" s="144">
        <f t="shared" si="203"/>
        <v>155.33686601059802</v>
      </c>
      <c r="K75" s="144">
        <f t="shared" si="203"/>
        <v>187.35806207418622</v>
      </c>
      <c r="L75" s="144">
        <f t="shared" si="203"/>
        <v>7.006835321714127</v>
      </c>
      <c r="M75" s="144">
        <f t="shared" si="203"/>
        <v>9.0902212021086086</v>
      </c>
      <c r="N75" s="144">
        <f t="shared" si="203"/>
        <v>12.260700683532171</v>
      </c>
      <c r="O75" s="144">
        <f t="shared" si="203"/>
        <v>11.587257547859862</v>
      </c>
      <c r="P75" s="144">
        <f t="shared" si="203"/>
        <v>7.7862133326607301</v>
      </c>
      <c r="Q75" s="144">
        <f t="shared" ref="Q75" si="204">Q20/Q42</f>
        <v>0</v>
      </c>
      <c r="R75" s="118">
        <f>((P75/G75)^(1/($H$2-$H$1) ))-1</f>
        <v>-0.14891322123605055</v>
      </c>
      <c r="S75" s="128"/>
      <c r="T75" s="146">
        <f t="shared" ref="T75:AC75" si="205">T20/T42</f>
        <v>0</v>
      </c>
      <c r="U75" s="146">
        <f t="shared" si="205"/>
        <v>0</v>
      </c>
      <c r="V75" s="146">
        <f t="shared" si="205"/>
        <v>0</v>
      </c>
      <c r="W75" s="146">
        <f t="shared" si="205"/>
        <v>0</v>
      </c>
      <c r="X75" s="146">
        <f t="shared" si="205"/>
        <v>0</v>
      </c>
      <c r="Y75" s="146">
        <f t="shared" si="205"/>
        <v>0</v>
      </c>
      <c r="Z75" s="146">
        <f t="shared" si="205"/>
        <v>0</v>
      </c>
      <c r="AA75" s="146">
        <f t="shared" si="205"/>
        <v>0</v>
      </c>
      <c r="AB75" s="146">
        <f t="shared" si="205"/>
        <v>0</v>
      </c>
      <c r="AC75" s="146">
        <f t="shared" si="205"/>
        <v>0</v>
      </c>
      <c r="AD75" s="138">
        <f t="shared" si="199"/>
        <v>-1</v>
      </c>
      <c r="AE75" s="31">
        <f t="shared" si="16"/>
        <v>0.05</v>
      </c>
      <c r="AF75" s="146">
        <f t="shared" si="152"/>
        <v>0</v>
      </c>
    </row>
    <row r="76" spans="2:32" x14ac:dyDescent="0.2">
      <c r="B76" s="20" t="s">
        <v>288</v>
      </c>
      <c r="C76" s="127">
        <f t="shared" ref="C76:P76" si="206">C21/C42</f>
        <v>0</v>
      </c>
      <c r="D76" s="127">
        <f t="shared" si="206"/>
        <v>0</v>
      </c>
      <c r="E76" s="127">
        <f t="shared" si="206"/>
        <v>0</v>
      </c>
      <c r="F76" s="144">
        <f t="shared" si="206"/>
        <v>-3.0060560181680542</v>
      </c>
      <c r="G76" s="144">
        <f t="shared" si="206"/>
        <v>-1.4844814534443602</v>
      </c>
      <c r="H76" s="144">
        <f t="shared" si="206"/>
        <v>8.3482210446631342</v>
      </c>
      <c r="I76" s="144">
        <f t="shared" si="206"/>
        <v>2.9523088569265705</v>
      </c>
      <c r="J76" s="144">
        <f t="shared" si="206"/>
        <v>16.426949280847843</v>
      </c>
      <c r="K76" s="144">
        <f t="shared" si="206"/>
        <v>39.137017411052227</v>
      </c>
      <c r="L76" s="144">
        <f t="shared" si="206"/>
        <v>1.2359068782001159</v>
      </c>
      <c r="M76" s="144">
        <f t="shared" si="206"/>
        <v>1.0240371276515245</v>
      </c>
      <c r="N76" s="144">
        <f t="shared" si="206"/>
        <v>1.1350165207960248</v>
      </c>
      <c r="O76" s="144">
        <f t="shared" si="206"/>
        <v>-1.8614270941054807</v>
      </c>
      <c r="P76" s="144">
        <f t="shared" si="206"/>
        <v>1.6848689686483214</v>
      </c>
      <c r="Q76" s="144">
        <f t="shared" ref="Q76" si="207">Q21/Q42</f>
        <v>0</v>
      </c>
      <c r="R76" s="118">
        <f>((P76/G76)^(1/($H$2-$H$1) ))-1</f>
        <v>-2.0141685778982517</v>
      </c>
      <c r="S76" s="128"/>
      <c r="T76" s="146">
        <f t="shared" ref="T76:AC76" si="208">T21/T42</f>
        <v>0</v>
      </c>
      <c r="U76" s="146">
        <f t="shared" si="208"/>
        <v>0</v>
      </c>
      <c r="V76" s="146">
        <f t="shared" si="208"/>
        <v>0</v>
      </c>
      <c r="W76" s="146">
        <f t="shared" si="208"/>
        <v>0</v>
      </c>
      <c r="X76" s="146">
        <f t="shared" si="208"/>
        <v>0</v>
      </c>
      <c r="Y76" s="146">
        <f t="shared" si="208"/>
        <v>0</v>
      </c>
      <c r="Z76" s="146">
        <f t="shared" si="208"/>
        <v>0</v>
      </c>
      <c r="AA76" s="146">
        <f t="shared" si="208"/>
        <v>0</v>
      </c>
      <c r="AB76" s="146">
        <f t="shared" si="208"/>
        <v>0</v>
      </c>
      <c r="AC76" s="146">
        <f t="shared" si="208"/>
        <v>0</v>
      </c>
      <c r="AD76" s="138">
        <f t="shared" si="199"/>
        <v>-1</v>
      </c>
      <c r="AE76" s="31">
        <f t="shared" si="16"/>
        <v>0.05</v>
      </c>
      <c r="AF76" s="146">
        <f t="shared" si="152"/>
        <v>0</v>
      </c>
    </row>
    <row r="77" spans="2:32" x14ac:dyDescent="0.2">
      <c r="B77" s="20" t="s">
        <v>289</v>
      </c>
      <c r="C77" s="127">
        <f t="shared" ref="C77:P77" si="209">C22/C42</f>
        <v>0</v>
      </c>
      <c r="D77" s="127">
        <f t="shared" si="209"/>
        <v>0</v>
      </c>
      <c r="E77" s="127">
        <f t="shared" si="209"/>
        <v>0</v>
      </c>
      <c r="F77" s="144">
        <f t="shared" si="209"/>
        <v>-3.3308099924299772</v>
      </c>
      <c r="G77" s="144">
        <f t="shared" si="209"/>
        <v>-3.3308099924299772</v>
      </c>
      <c r="H77" s="144">
        <f t="shared" si="209"/>
        <v>-8.4027252081756245</v>
      </c>
      <c r="I77" s="144">
        <f t="shared" si="209"/>
        <v>-30.582891748675245</v>
      </c>
      <c r="J77" s="144">
        <f t="shared" si="209"/>
        <v>-40.045420136260404</v>
      </c>
      <c r="K77" s="144">
        <f t="shared" si="209"/>
        <v>-48.675246025738076</v>
      </c>
      <c r="L77" s="144">
        <f t="shared" si="209"/>
        <v>-1.836204504754458</v>
      </c>
      <c r="M77" s="144">
        <f t="shared" si="209"/>
        <v>-2.2574217469165383</v>
      </c>
      <c r="N77" s="144">
        <f t="shared" si="209"/>
        <v>-2.5071253814916639</v>
      </c>
      <c r="O77" s="144">
        <f t="shared" si="209"/>
        <v>-4.8175145660453502</v>
      </c>
      <c r="P77" s="144">
        <f t="shared" si="209"/>
        <v>-6.4241935077055006</v>
      </c>
      <c r="Q77" s="144">
        <f t="shared" ref="Q77" si="210">Q22/Q42</f>
        <v>0</v>
      </c>
      <c r="R77" s="118">
        <f>((P77/G77)^(1/($H$2-$H$1) ))-1</f>
        <v>7.5713275573330074E-2</v>
      </c>
      <c r="S77" s="128"/>
      <c r="T77" s="146">
        <f t="shared" ref="T77:AC77" si="211">T22/T42</f>
        <v>0</v>
      </c>
      <c r="U77" s="146">
        <f t="shared" si="211"/>
        <v>0</v>
      </c>
      <c r="V77" s="146">
        <f t="shared" si="211"/>
        <v>0</v>
      </c>
      <c r="W77" s="146">
        <f t="shared" si="211"/>
        <v>0</v>
      </c>
      <c r="X77" s="146">
        <f t="shared" si="211"/>
        <v>0</v>
      </c>
      <c r="Y77" s="146">
        <f t="shared" si="211"/>
        <v>0</v>
      </c>
      <c r="Z77" s="146">
        <f t="shared" si="211"/>
        <v>0</v>
      </c>
      <c r="AA77" s="146">
        <f t="shared" si="211"/>
        <v>0</v>
      </c>
      <c r="AB77" s="146">
        <f t="shared" si="211"/>
        <v>0</v>
      </c>
      <c r="AC77" s="146">
        <f t="shared" si="211"/>
        <v>0</v>
      </c>
      <c r="AD77" s="138">
        <f t="shared" si="199"/>
        <v>-1</v>
      </c>
      <c r="AE77" s="31">
        <f t="shared" si="16"/>
        <v>0.05</v>
      </c>
      <c r="AF77" s="146">
        <f t="shared" si="152"/>
        <v>0</v>
      </c>
    </row>
    <row r="78" spans="2:32" x14ac:dyDescent="0.2">
      <c r="B78" s="20" t="s">
        <v>296</v>
      </c>
      <c r="C78" s="127">
        <f t="shared" ref="C78:P78" si="212">C23/C42</f>
        <v>0</v>
      </c>
      <c r="D78" s="127">
        <f t="shared" si="212"/>
        <v>0</v>
      </c>
      <c r="E78" s="127">
        <f t="shared" si="212"/>
        <v>0</v>
      </c>
      <c r="F78" s="144">
        <f t="shared" si="212"/>
        <v>54.201362604087812</v>
      </c>
      <c r="G78" s="144">
        <f t="shared" si="212"/>
        <v>82.58894776684329</v>
      </c>
      <c r="H78" s="144">
        <f t="shared" si="212"/>
        <v>144.13323239969719</v>
      </c>
      <c r="I78" s="144">
        <f t="shared" si="212"/>
        <v>235.35200605601815</v>
      </c>
      <c r="J78" s="144">
        <f t="shared" si="212"/>
        <v>367.0704012112036</v>
      </c>
      <c r="K78" s="144">
        <f t="shared" si="212"/>
        <v>544.89023467070399</v>
      </c>
      <c r="L78" s="144">
        <f t="shared" si="212"/>
        <v>24.564279768961079</v>
      </c>
      <c r="M78" s="144">
        <f t="shared" si="212"/>
        <v>32.421116351804677</v>
      </c>
      <c r="N78" s="144">
        <f t="shared" si="212"/>
        <v>43.453476933942035</v>
      </c>
      <c r="O78" s="144">
        <f t="shared" si="212"/>
        <v>7.8139581809468552</v>
      </c>
      <c r="P78" s="144">
        <f t="shared" si="212"/>
        <v>10.860846974550407</v>
      </c>
      <c r="Q78" s="144">
        <f t="shared" ref="Q78" si="213">Q23/Q42</f>
        <v>0</v>
      </c>
      <c r="R78" s="118">
        <f>((P78/G78)^(1/($H$2-$H$1) ))-1</f>
        <v>-0.20181301837943388</v>
      </c>
      <c r="S78" s="128"/>
      <c r="T78" s="146">
        <f t="shared" ref="T78:AC78" si="214">T23/T42</f>
        <v>0</v>
      </c>
      <c r="U78" s="146">
        <f t="shared" si="214"/>
        <v>0</v>
      </c>
      <c r="V78" s="146">
        <f t="shared" si="214"/>
        <v>0</v>
      </c>
      <c r="W78" s="146">
        <f t="shared" si="214"/>
        <v>0</v>
      </c>
      <c r="X78" s="146">
        <f t="shared" si="214"/>
        <v>0</v>
      </c>
      <c r="Y78" s="146">
        <f t="shared" si="214"/>
        <v>0</v>
      </c>
      <c r="Z78" s="146">
        <f t="shared" si="214"/>
        <v>0</v>
      </c>
      <c r="AA78" s="146">
        <f t="shared" si="214"/>
        <v>0</v>
      </c>
      <c r="AB78" s="146">
        <f t="shared" si="214"/>
        <v>0</v>
      </c>
      <c r="AC78" s="146">
        <f t="shared" si="214"/>
        <v>0</v>
      </c>
      <c r="AD78" s="138">
        <f t="shared" ref="AD78" si="215">((AC78/G78)^(1/($AC$3-$H$1) ))-1</f>
        <v>-1</v>
      </c>
      <c r="AE78" s="31">
        <f t="shared" si="16"/>
        <v>0.05</v>
      </c>
      <c r="AF78" s="146">
        <f t="shared" si="152"/>
        <v>0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16">C36/C42</f>
        <v>0</v>
      </c>
      <c r="D80" s="144">
        <f t="shared" si="216"/>
        <v>0</v>
      </c>
      <c r="E80" s="144">
        <f t="shared" si="216"/>
        <v>0</v>
      </c>
      <c r="F80" s="144">
        <f t="shared" si="216"/>
        <v>27.781983345950035</v>
      </c>
      <c r="G80" s="144">
        <f t="shared" si="216"/>
        <v>45.268735806207417</v>
      </c>
      <c r="H80" s="144">
        <f t="shared" si="216"/>
        <v>91.975775927327774</v>
      </c>
      <c r="I80" s="144">
        <f t="shared" si="216"/>
        <v>203.70931112793338</v>
      </c>
      <c r="J80" s="144">
        <f t="shared" si="216"/>
        <v>244.28463285389856</v>
      </c>
      <c r="K80" s="144">
        <f t="shared" si="216"/>
        <v>328.53898561695684</v>
      </c>
      <c r="L80" s="144">
        <f t="shared" si="216"/>
        <v>14.735036698867505</v>
      </c>
      <c r="M80" s="144">
        <f t="shared" si="216"/>
        <v>11.173607082503089</v>
      </c>
      <c r="N80" s="144">
        <f t="shared" si="216"/>
        <v>21.817539788634701</v>
      </c>
      <c r="O80" s="144">
        <f t="shared" si="216"/>
        <v>22.513683254722928</v>
      </c>
      <c r="P80" s="144">
        <f t="shared" si="216"/>
        <v>23.905970186899385</v>
      </c>
      <c r="Q80" s="144">
        <f t="shared" ref="Q80" si="217">Q36/Q42</f>
        <v>23.905970186899385</v>
      </c>
      <c r="R80" s="118">
        <f>((P80/G80)^(1/($H$2-$H$1) ))-1</f>
        <v>-6.8485158871244844E-2</v>
      </c>
      <c r="S80" s="128"/>
      <c r="T80" s="144">
        <f t="shared" ref="T80:AC80" si="218">T36/T42</f>
        <v>25.499701532692679</v>
      </c>
      <c r="U80" s="144">
        <f t="shared" si="218"/>
        <v>27.199681634872192</v>
      </c>
      <c r="V80" s="144">
        <f t="shared" si="218"/>
        <v>29.012993743863667</v>
      </c>
      <c r="W80" s="144">
        <f t="shared" si="218"/>
        <v>30.947193326787911</v>
      </c>
      <c r="X80" s="144">
        <f t="shared" si="218"/>
        <v>33.010339548573775</v>
      </c>
      <c r="Y80" s="144">
        <f t="shared" si="218"/>
        <v>35.211028851812038</v>
      </c>
      <c r="Z80" s="144">
        <f t="shared" si="218"/>
        <v>37.558430775266167</v>
      </c>
      <c r="AA80" s="144">
        <f t="shared" si="218"/>
        <v>40.062326160283924</v>
      </c>
      <c r="AB80" s="144">
        <f t="shared" si="218"/>
        <v>42.733147904302854</v>
      </c>
      <c r="AC80" s="144">
        <f t="shared" si="218"/>
        <v>45.582024431256379</v>
      </c>
      <c r="AD80" s="138">
        <f t="shared" ref="AD80:AD82" si="219">((AC80/G80)^(1/($AC$3-$H$1) ))-1</f>
        <v>3.4489958005456955E-4</v>
      </c>
      <c r="AE80" s="31">
        <f t="shared" si="16"/>
        <v>0.05</v>
      </c>
      <c r="AF80" s="146">
        <f t="shared" si="152"/>
        <v>281.53603325187765</v>
      </c>
    </row>
    <row r="81" spans="2:32" x14ac:dyDescent="0.2">
      <c r="B81" s="20" t="s">
        <v>312</v>
      </c>
      <c r="C81" s="144">
        <f t="shared" ref="C81:P81" si="220">C40/C42</f>
        <v>0</v>
      </c>
      <c r="D81" s="144">
        <f t="shared" si="220"/>
        <v>0</v>
      </c>
      <c r="E81" s="144">
        <f t="shared" si="220"/>
        <v>0</v>
      </c>
      <c r="F81" s="144">
        <f t="shared" si="220"/>
        <v>23.618470855412564</v>
      </c>
      <c r="G81" s="144">
        <f t="shared" si="220"/>
        <v>32.702498107494321</v>
      </c>
      <c r="H81" s="144">
        <f t="shared" si="220"/>
        <v>57.153671461014376</v>
      </c>
      <c r="I81" s="144">
        <f t="shared" si="220"/>
        <v>138.30431491294473</v>
      </c>
      <c r="J81" s="144">
        <f t="shared" si="220"/>
        <v>175.62452687358061</v>
      </c>
      <c r="K81" s="144">
        <f t="shared" si="220"/>
        <v>246.02573807721421</v>
      </c>
      <c r="L81" s="144">
        <f t="shared" si="220"/>
        <v>11.027316064267158</v>
      </c>
      <c r="M81" s="144">
        <f t="shared" si="220"/>
        <v>8.6942265492975501</v>
      </c>
      <c r="N81" s="144">
        <f t="shared" si="220"/>
        <v>16.392160819229701</v>
      </c>
      <c r="O81" s="144">
        <f t="shared" si="220"/>
        <v>18.324211163518047</v>
      </c>
      <c r="P81" s="144">
        <f t="shared" si="220"/>
        <v>15.996166166418643</v>
      </c>
      <c r="Q81" s="144">
        <f t="shared" ref="Q81" si="221">Q40/Q42</f>
        <v>16.175246550810904</v>
      </c>
      <c r="R81" s="118">
        <f>((P81/G81)^(1/($H$2-$H$1) ))-1</f>
        <v>-7.638117655950738E-2</v>
      </c>
      <c r="S81" s="128"/>
      <c r="T81" s="144">
        <f t="shared" ref="T81:AC81" si="222">T40/T42</f>
        <v>17.253596320864965</v>
      </c>
      <c r="U81" s="144">
        <f t="shared" si="222"/>
        <v>18.403836075589297</v>
      </c>
      <c r="V81" s="144">
        <f t="shared" si="222"/>
        <v>19.630758480628582</v>
      </c>
      <c r="W81" s="144">
        <f t="shared" si="222"/>
        <v>20.93947571267049</v>
      </c>
      <c r="X81" s="144">
        <f t="shared" si="222"/>
        <v>22.335440760181857</v>
      </c>
      <c r="Y81" s="144">
        <f t="shared" si="222"/>
        <v>23.824470144193988</v>
      </c>
      <c r="Z81" s="144">
        <f t="shared" si="222"/>
        <v>25.412768153806919</v>
      </c>
      <c r="AA81" s="144">
        <f t="shared" si="222"/>
        <v>27.106952697394046</v>
      </c>
      <c r="AB81" s="144">
        <f t="shared" si="222"/>
        <v>28.91408287722032</v>
      </c>
      <c r="AC81" s="144">
        <f t="shared" si="222"/>
        <v>30.841688402368344</v>
      </c>
      <c r="AD81" s="138">
        <f t="shared" si="219"/>
        <v>-2.9249228215697531E-3</v>
      </c>
      <c r="AE81" s="31">
        <f t="shared" si="16"/>
        <v>0.05</v>
      </c>
      <c r="AF81" s="146">
        <f t="shared" si="152"/>
        <v>190.49278130874566</v>
      </c>
    </row>
    <row r="82" spans="2:32" x14ac:dyDescent="0.2">
      <c r="B82" s="20" t="s">
        <v>313</v>
      </c>
      <c r="C82" s="144">
        <f t="shared" ref="C82:P82" si="223">C6/C42</f>
        <v>0</v>
      </c>
      <c r="D82" s="144">
        <f t="shared" si="223"/>
        <v>0</v>
      </c>
      <c r="E82" s="144">
        <f t="shared" si="223"/>
        <v>0</v>
      </c>
      <c r="F82" s="144">
        <f t="shared" si="223"/>
        <v>114.61014383043148</v>
      </c>
      <c r="G82" s="144">
        <f t="shared" si="223"/>
        <v>143.45193035579106</v>
      </c>
      <c r="H82" s="144">
        <f t="shared" si="223"/>
        <v>187.05526116578349</v>
      </c>
      <c r="I82" s="144">
        <f t="shared" si="223"/>
        <v>293.86828160484481</v>
      </c>
      <c r="J82" s="144">
        <f t="shared" si="223"/>
        <v>429.0688872066616</v>
      </c>
      <c r="K82" s="144">
        <f t="shared" si="223"/>
        <v>617.48675246025732</v>
      </c>
      <c r="L82" s="144">
        <f t="shared" si="223"/>
        <v>28.350190430549599</v>
      </c>
      <c r="M82" s="144">
        <f t="shared" si="223"/>
        <v>34.9963427245441</v>
      </c>
      <c r="N82" s="144">
        <f t="shared" si="223"/>
        <v>47.463868640754654</v>
      </c>
      <c r="O82" s="144">
        <f t="shared" si="223"/>
        <v>60.556914772870577</v>
      </c>
      <c r="P82" s="144">
        <f t="shared" si="223"/>
        <v>68.388528766363152</v>
      </c>
      <c r="Q82" s="144">
        <f t="shared" ref="Q82" si="224">Q6/Q42</f>
        <v>74.5327515322723</v>
      </c>
      <c r="R82" s="118">
        <f>((P82/G82)^(1/($H$2-$H$1) ))-1</f>
        <v>-7.9014092417215354E-2</v>
      </c>
      <c r="S82" s="128"/>
      <c r="T82" s="144">
        <f t="shared" ref="T82:AC82" si="225">T6/T42</f>
        <v>79.501601634423778</v>
      </c>
      <c r="U82" s="144">
        <f t="shared" si="225"/>
        <v>84.801708410052044</v>
      </c>
      <c r="V82" s="144">
        <f t="shared" si="225"/>
        <v>90.455155637388842</v>
      </c>
      <c r="W82" s="144">
        <f t="shared" si="225"/>
        <v>96.485499346548096</v>
      </c>
      <c r="X82" s="144">
        <f t="shared" si="225"/>
        <v>102.9178659696513</v>
      </c>
      <c r="Y82" s="144">
        <f t="shared" si="225"/>
        <v>109.77905703429475</v>
      </c>
      <c r="Z82" s="144">
        <f t="shared" si="225"/>
        <v>117.09766083658106</v>
      </c>
      <c r="AA82" s="144">
        <f t="shared" si="225"/>
        <v>124.9041715590198</v>
      </c>
      <c r="AB82" s="144">
        <f t="shared" si="225"/>
        <v>133.2311163296211</v>
      </c>
      <c r="AC82" s="144">
        <f t="shared" si="225"/>
        <v>142.11319075159588</v>
      </c>
      <c r="AD82" s="138">
        <f t="shared" si="219"/>
        <v>-4.6869717423903001E-4</v>
      </c>
      <c r="AE82" s="31">
        <f t="shared" ref="AE82" si="226">$L$1</f>
        <v>0.05</v>
      </c>
      <c r="AF82" s="146">
        <f t="shared" si="152"/>
        <v>877.75794287750409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27">E36/E25</f>
        <v>#DIV/0!</v>
      </c>
      <c r="F86" s="152">
        <f t="shared" si="227"/>
        <v>0.28405572755417957</v>
      </c>
      <c r="G86" s="152">
        <f t="shared" si="227"/>
        <v>0.39084967320261438</v>
      </c>
      <c r="H86" s="152">
        <f t="shared" si="227"/>
        <v>0.52461139896373055</v>
      </c>
      <c r="I86" s="152">
        <f t="shared" si="227"/>
        <v>0.68718079673135857</v>
      </c>
      <c r="J86" s="152">
        <f t="shared" si="227"/>
        <v>0.71173356859285397</v>
      </c>
      <c r="K86" s="152">
        <f t="shared" si="227"/>
        <v>0.67696147246919358</v>
      </c>
      <c r="L86" s="152">
        <f t="shared" si="227"/>
        <v>0.68136225798926986</v>
      </c>
      <c r="M86" s="152">
        <f t="shared" si="227"/>
        <v>0.62411947027331638</v>
      </c>
      <c r="N86" s="152">
        <f t="shared" si="227"/>
        <v>0.6818002679908568</v>
      </c>
      <c r="O86" s="152">
        <f t="shared" si="227"/>
        <v>0.67371122348856516</v>
      </c>
      <c r="P86" s="152">
        <f t="shared" si="227"/>
        <v>0.73268398268398272</v>
      </c>
      <c r="Q86" s="152">
        <f t="shared" ref="Q86" si="228">Q36/Q25</f>
        <v>0.66996536368134585</v>
      </c>
      <c r="R86" s="118">
        <f t="shared" ref="R86:R137" si="229">((P86/G86)^(1/($H$2-$H$1) ))-1</f>
        <v>7.2316512773986874E-2</v>
      </c>
      <c r="S86" s="152"/>
      <c r="T86" s="152">
        <f t="shared" ref="T86:AC86" si="230">T36/T25</f>
        <v>0.66996536368134585</v>
      </c>
      <c r="U86" s="152">
        <f t="shared" si="230"/>
        <v>0.66996536368134585</v>
      </c>
      <c r="V86" s="152">
        <f t="shared" si="230"/>
        <v>0.66996536368134574</v>
      </c>
      <c r="W86" s="152">
        <f t="shared" si="230"/>
        <v>0.66996536368134574</v>
      </c>
      <c r="X86" s="152">
        <f t="shared" si="230"/>
        <v>0.66996536368134585</v>
      </c>
      <c r="Y86" s="152">
        <f t="shared" si="230"/>
        <v>0.66996536368134574</v>
      </c>
      <c r="Z86" s="152">
        <f t="shared" si="230"/>
        <v>0.66996536368134574</v>
      </c>
      <c r="AA86" s="152">
        <f t="shared" si="230"/>
        <v>0.66996536368134585</v>
      </c>
      <c r="AB86" s="152">
        <f t="shared" si="230"/>
        <v>0.66996536368134585</v>
      </c>
      <c r="AC86" s="152">
        <f t="shared" si="230"/>
        <v>0.66996536368134574</v>
      </c>
      <c r="AD86" s="138">
        <f t="shared" ref="AD86:AD124" si="231">((AC86/G86)^(1/($AC$3-$H$1) ))-1</f>
        <v>2.7311453005358199E-2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32">E40/E25</f>
        <v>#DIV/0!</v>
      </c>
      <c r="F87" s="152">
        <f t="shared" si="232"/>
        <v>0.24148606811145512</v>
      </c>
      <c r="G87" s="152">
        <f t="shared" si="232"/>
        <v>0.28235294117647058</v>
      </c>
      <c r="H87" s="152">
        <f t="shared" si="232"/>
        <v>0.32599309153713296</v>
      </c>
      <c r="I87" s="152">
        <f t="shared" si="232"/>
        <v>0.46654749744637386</v>
      </c>
      <c r="J87" s="152">
        <f t="shared" si="232"/>
        <v>0.51168945743273053</v>
      </c>
      <c r="K87" s="152">
        <f t="shared" si="232"/>
        <v>0.50694119482140076</v>
      </c>
      <c r="L87" s="152">
        <f t="shared" si="232"/>
        <v>0.50991369255889896</v>
      </c>
      <c r="M87" s="152">
        <f t="shared" si="232"/>
        <v>0.48562975486052407</v>
      </c>
      <c r="N87" s="152">
        <f t="shared" si="232"/>
        <v>0.51225664065578935</v>
      </c>
      <c r="O87" s="152">
        <f t="shared" si="232"/>
        <v>0.54834327119027848</v>
      </c>
      <c r="P87" s="152">
        <f t="shared" si="232"/>
        <v>0.49025974025974028</v>
      </c>
      <c r="Q87" s="152">
        <f t="shared" ref="Q87" si="233">Q40/Q25</f>
        <v>0.45331165618152258</v>
      </c>
      <c r="R87" s="118">
        <f t="shared" si="229"/>
        <v>6.3226984858339774E-2</v>
      </c>
      <c r="S87" s="152"/>
      <c r="T87" s="152">
        <f t="shared" ref="T87:AC87" si="234">T40/T25</f>
        <v>0.45331165618152258</v>
      </c>
      <c r="U87" s="152">
        <f t="shared" si="234"/>
        <v>0.45331165618152253</v>
      </c>
      <c r="V87" s="152">
        <f t="shared" si="234"/>
        <v>0.45331165618152253</v>
      </c>
      <c r="W87" s="152">
        <f t="shared" si="234"/>
        <v>0.45331165618152253</v>
      </c>
      <c r="X87" s="152">
        <f t="shared" si="234"/>
        <v>0.45331165618152258</v>
      </c>
      <c r="Y87" s="152">
        <f t="shared" si="234"/>
        <v>0.45331165618152258</v>
      </c>
      <c r="Z87" s="152">
        <f t="shared" si="234"/>
        <v>0.45331165618152258</v>
      </c>
      <c r="AA87" s="152">
        <f t="shared" si="234"/>
        <v>0.45331165618152253</v>
      </c>
      <c r="AB87" s="152">
        <f t="shared" si="234"/>
        <v>0.45331165618152258</v>
      </c>
      <c r="AC87" s="152">
        <f t="shared" si="234"/>
        <v>0.45331165618152253</v>
      </c>
      <c r="AD87" s="138">
        <f t="shared" si="231"/>
        <v>2.3953485164573962E-2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35">E40/E7</f>
        <v>#DIV/0!</v>
      </c>
      <c r="F88" s="152">
        <f t="shared" si="235"/>
        <v>0.18955042527339003</v>
      </c>
      <c r="G88" s="152">
        <f>G40/G7</f>
        <v>0.2131228416378885</v>
      </c>
      <c r="H88" s="152">
        <f t="shared" si="235"/>
        <v>0.29004994237418363</v>
      </c>
      <c r="I88" s="152">
        <f t="shared" si="235"/>
        <v>0.45515695067264572</v>
      </c>
      <c r="J88" s="152">
        <f t="shared" si="235"/>
        <v>0.4</v>
      </c>
      <c r="K88" s="152">
        <f t="shared" si="235"/>
        <v>0.39208589697189045</v>
      </c>
      <c r="L88" s="152">
        <f t="shared" si="235"/>
        <v>0.37573049157786181</v>
      </c>
      <c r="M88" s="152">
        <f t="shared" si="235"/>
        <v>0.2415218609865471</v>
      </c>
      <c r="N88" s="152">
        <f t="shared" si="235"/>
        <v>0.33824294785052567</v>
      </c>
      <c r="O88" s="152">
        <f t="shared" si="235"/>
        <v>0.29767270343358193</v>
      </c>
      <c r="P88" s="152">
        <f t="shared" ref="P88:Q88" si="236">P40/P7</f>
        <v>0.23053435114503817</v>
      </c>
      <c r="Q88" s="152">
        <f t="shared" si="236"/>
        <v>0.21415214051960196</v>
      </c>
      <c r="R88" s="118">
        <f t="shared" si="229"/>
        <v>8.7638641276726048E-3</v>
      </c>
      <c r="S88" s="20"/>
      <c r="T88" s="152">
        <f t="shared" ref="T88" si="237">T40/T7</f>
        <v>0.21415214051960194</v>
      </c>
      <c r="U88" s="152">
        <f t="shared" ref="U88:AC88" si="238">U40/U7</f>
        <v>0.21415214051960194</v>
      </c>
      <c r="V88" s="152">
        <f t="shared" si="238"/>
        <v>0.21415214051960191</v>
      </c>
      <c r="W88" s="152">
        <f t="shared" si="238"/>
        <v>0.21415214051960191</v>
      </c>
      <c r="X88" s="152">
        <f t="shared" si="238"/>
        <v>0.21415214051960191</v>
      </c>
      <c r="Y88" s="152">
        <f t="shared" si="238"/>
        <v>0.21415214051960191</v>
      </c>
      <c r="Z88" s="152">
        <f t="shared" si="238"/>
        <v>0.21415214051960191</v>
      </c>
      <c r="AA88" s="152">
        <f t="shared" si="238"/>
        <v>0.21415214051960191</v>
      </c>
      <c r="AB88" s="152">
        <f t="shared" si="238"/>
        <v>0.21415214051960194</v>
      </c>
      <c r="AC88" s="152">
        <f t="shared" si="238"/>
        <v>0.21415214051960194</v>
      </c>
      <c r="AD88" s="138">
        <f t="shared" si="231"/>
        <v>2.4092795143260126E-4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39">(E40)/(E7+E10)</f>
        <v>#DIV/0!</v>
      </c>
      <c r="F89" s="152">
        <f t="shared" si="239"/>
        <v>0.18955042527339003</v>
      </c>
      <c r="G89" s="152">
        <f>(G40)/(G7+G10)</f>
        <v>0.2131228416378885</v>
      </c>
      <c r="H89" s="152">
        <f t="shared" ref="H89:O89" si="240">(H40)/(H7+H10)</f>
        <v>0.29004994237418363</v>
      </c>
      <c r="I89" s="152">
        <f t="shared" si="240"/>
        <v>0.45515695067264572</v>
      </c>
      <c r="J89" s="152">
        <f t="shared" si="240"/>
        <v>0.4</v>
      </c>
      <c r="K89" s="152">
        <f t="shared" si="240"/>
        <v>0.39208589697189045</v>
      </c>
      <c r="L89" s="152">
        <f t="shared" si="240"/>
        <v>0.37573049157786181</v>
      </c>
      <c r="M89" s="152">
        <f t="shared" si="240"/>
        <v>0.2415218609865471</v>
      </c>
      <c r="N89" s="152">
        <f t="shared" si="240"/>
        <v>0.33824294785052567</v>
      </c>
      <c r="O89" s="152">
        <f t="shared" si="240"/>
        <v>0.29767270343358193</v>
      </c>
      <c r="P89" s="152">
        <f t="shared" ref="P89:Q89" si="241">(P40)/(P7+P10)</f>
        <v>0.23053435114503817</v>
      </c>
      <c r="Q89" s="152">
        <f t="shared" si="241"/>
        <v>0.21415214051960196</v>
      </c>
      <c r="R89" s="118">
        <f t="shared" si="229"/>
        <v>8.7638641276726048E-3</v>
      </c>
      <c r="S89" s="20"/>
      <c r="T89" s="152">
        <f t="shared" ref="T89:AC89" si="242">(T40)/(T7+T10)</f>
        <v>0.21415214051960194</v>
      </c>
      <c r="U89" s="152">
        <f t="shared" si="242"/>
        <v>0.21415214051960194</v>
      </c>
      <c r="V89" s="152">
        <f t="shared" si="242"/>
        <v>0.21415214051960191</v>
      </c>
      <c r="W89" s="152">
        <f t="shared" si="242"/>
        <v>0.21415214051960191</v>
      </c>
      <c r="X89" s="152">
        <f t="shared" si="242"/>
        <v>0.21415214051960191</v>
      </c>
      <c r="Y89" s="152">
        <f t="shared" si="242"/>
        <v>0.21415214051960191</v>
      </c>
      <c r="Z89" s="152">
        <f t="shared" si="242"/>
        <v>0.21415214051960191</v>
      </c>
      <c r="AA89" s="152">
        <f t="shared" si="242"/>
        <v>0.21415214051960191</v>
      </c>
      <c r="AB89" s="152">
        <f t="shared" si="242"/>
        <v>0.21415214051960194</v>
      </c>
      <c r="AC89" s="152">
        <f t="shared" si="242"/>
        <v>0.21415214051960194</v>
      </c>
      <c r="AD89" s="138">
        <f t="shared" si="231"/>
        <v>2.4092795143260126E-4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0.28692810457516338</v>
      </c>
      <c r="H90" s="152">
        <f t="shared" ref="H90:P90" si="243">H20/H25</f>
        <v>0.35146804835924006</v>
      </c>
      <c r="I90" s="152">
        <f t="shared" si="243"/>
        <v>0.40066394279877426</v>
      </c>
      <c r="J90" s="152">
        <f t="shared" si="243"/>
        <v>0.4525805028672254</v>
      </c>
      <c r="K90" s="152">
        <f t="shared" si="243"/>
        <v>0.38605521759475903</v>
      </c>
      <c r="L90" s="152">
        <f t="shared" si="243"/>
        <v>0.32400279916025193</v>
      </c>
      <c r="M90" s="152">
        <f t="shared" si="243"/>
        <v>0.50774866159481546</v>
      </c>
      <c r="N90" s="152">
        <f t="shared" si="243"/>
        <v>0.38314810435879249</v>
      </c>
      <c r="O90" s="152">
        <f t="shared" si="243"/>
        <v>0.34674315042644727</v>
      </c>
      <c r="P90" s="152">
        <f t="shared" si="243"/>
        <v>0.23863636363636365</v>
      </c>
      <c r="Q90" s="152">
        <f t="shared" ref="Q90" si="244">Q20/Q25</f>
        <v>0</v>
      </c>
      <c r="R90" s="118">
        <f t="shared" si="229"/>
        <v>-2.026852780324262E-2</v>
      </c>
      <c r="S90" s="20"/>
      <c r="T90" s="152">
        <f t="shared" ref="T90:AC90" si="245">T20/T25</f>
        <v>0</v>
      </c>
      <c r="U90" s="152">
        <f t="shared" si="245"/>
        <v>0</v>
      </c>
      <c r="V90" s="152">
        <f t="shared" si="245"/>
        <v>0</v>
      </c>
      <c r="W90" s="152">
        <f t="shared" si="245"/>
        <v>0</v>
      </c>
      <c r="X90" s="152">
        <f t="shared" si="245"/>
        <v>0</v>
      </c>
      <c r="Y90" s="152">
        <f t="shared" si="245"/>
        <v>0</v>
      </c>
      <c r="Z90" s="152">
        <f t="shared" si="245"/>
        <v>0</v>
      </c>
      <c r="AA90" s="152">
        <f t="shared" si="245"/>
        <v>0</v>
      </c>
      <c r="AB90" s="152">
        <f t="shared" si="245"/>
        <v>0</v>
      </c>
      <c r="AC90" s="152">
        <f t="shared" si="245"/>
        <v>0</v>
      </c>
      <c r="AD90" s="138">
        <f t="shared" si="231"/>
        <v>-1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>
        <f>G52/G25</f>
        <v>-0.28235294117647058</v>
      </c>
      <c r="H91" s="152">
        <f t="shared" ref="H91:P91" si="246">H52/H25</f>
        <v>-0.32599309153713296</v>
      </c>
      <c r="I91" s="152">
        <f t="shared" si="246"/>
        <v>-0.46654749744637386</v>
      </c>
      <c r="J91" s="152">
        <f t="shared" si="246"/>
        <v>-0.51168945743273053</v>
      </c>
      <c r="K91" s="152">
        <f t="shared" si="246"/>
        <v>-0.50694119482140076</v>
      </c>
      <c r="L91" s="152">
        <f t="shared" si="246"/>
        <v>-0.50991369255889896</v>
      </c>
      <c r="M91" s="152">
        <f t="shared" si="246"/>
        <v>-0.48562975486052407</v>
      </c>
      <c r="N91" s="152">
        <f t="shared" si="246"/>
        <v>-0.51225664065578935</v>
      </c>
      <c r="O91" s="152">
        <f t="shared" si="246"/>
        <v>-0.54834327119027848</v>
      </c>
      <c r="P91" s="152">
        <f t="shared" si="246"/>
        <v>-0.49025974025974028</v>
      </c>
      <c r="Q91" s="152">
        <f t="shared" ref="Q91" si="247">Q52/Q25</f>
        <v>-0.45331165618152258</v>
      </c>
      <c r="R91" s="118">
        <f t="shared" si="229"/>
        <v>6.3226984858339774E-2</v>
      </c>
      <c r="S91" s="20"/>
      <c r="T91" s="152">
        <f t="shared" ref="T91:AC91" si="248">T52/T25</f>
        <v>-0.45331165618152258</v>
      </c>
      <c r="U91" s="152">
        <f t="shared" si="248"/>
        <v>-0.45331165618152253</v>
      </c>
      <c r="V91" s="152">
        <f t="shared" si="248"/>
        <v>-0.45331165618152253</v>
      </c>
      <c r="W91" s="152">
        <f t="shared" si="248"/>
        <v>-0.45331165618152253</v>
      </c>
      <c r="X91" s="152">
        <f t="shared" si="248"/>
        <v>-0.45331165618152258</v>
      </c>
      <c r="Y91" s="152">
        <f t="shared" si="248"/>
        <v>-0.45331165618152258</v>
      </c>
      <c r="Z91" s="152">
        <f t="shared" si="248"/>
        <v>-0.45331165618152258</v>
      </c>
      <c r="AA91" s="152">
        <f t="shared" si="248"/>
        <v>-0.45331165618152253</v>
      </c>
      <c r="AB91" s="152">
        <f t="shared" si="248"/>
        <v>-0.45331165618152258</v>
      </c>
      <c r="AC91" s="152">
        <f t="shared" si="248"/>
        <v>-0.45331165618152253</v>
      </c>
      <c r="AD91" s="138">
        <f t="shared" si="231"/>
        <v>2.3953485164573962E-2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0</v>
      </c>
      <c r="H93" s="152">
        <f t="shared" ref="H93:P93" si="249">H29/H25</f>
        <v>0</v>
      </c>
      <c r="I93" s="152">
        <f t="shared" si="249"/>
        <v>0</v>
      </c>
      <c r="J93" s="152">
        <f t="shared" si="249"/>
        <v>0</v>
      </c>
      <c r="K93" s="152">
        <f t="shared" si="249"/>
        <v>0</v>
      </c>
      <c r="L93" s="152">
        <f t="shared" si="249"/>
        <v>0</v>
      </c>
      <c r="M93" s="152">
        <f t="shared" si="249"/>
        <v>0</v>
      </c>
      <c r="N93" s="152">
        <f t="shared" si="249"/>
        <v>0</v>
      </c>
      <c r="O93" s="152">
        <f t="shared" si="249"/>
        <v>0</v>
      </c>
      <c r="P93" s="152">
        <f t="shared" si="249"/>
        <v>0</v>
      </c>
      <c r="Q93" s="152">
        <f t="shared" ref="Q93" si="250">Q29/Q25</f>
        <v>0</v>
      </c>
      <c r="R93" s="118" t="e">
        <f t="shared" si="229"/>
        <v>#DIV/0!</v>
      </c>
      <c r="S93" s="20"/>
      <c r="T93" s="152">
        <f t="shared" ref="T93:AC93" si="251">T29/T25</f>
        <v>0</v>
      </c>
      <c r="U93" s="152">
        <f t="shared" si="251"/>
        <v>0</v>
      </c>
      <c r="V93" s="152">
        <f t="shared" si="251"/>
        <v>0</v>
      </c>
      <c r="W93" s="152">
        <f t="shared" si="251"/>
        <v>0</v>
      </c>
      <c r="X93" s="152">
        <f t="shared" si="251"/>
        <v>0</v>
      </c>
      <c r="Y93" s="152">
        <f t="shared" si="251"/>
        <v>0</v>
      </c>
      <c r="Z93" s="152">
        <f t="shared" si="251"/>
        <v>0</v>
      </c>
      <c r="AA93" s="152">
        <f t="shared" si="251"/>
        <v>0</v>
      </c>
      <c r="AB93" s="152">
        <f t="shared" si="251"/>
        <v>0</v>
      </c>
      <c r="AC93" s="152">
        <f t="shared" si="251"/>
        <v>0</v>
      </c>
      <c r="AD93" s="138" t="e">
        <f t="shared" si="231"/>
        <v>#DIV/0!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</v>
      </c>
      <c r="H94" s="152">
        <f t="shared" ref="H94:P94" si="252">H29/H36</f>
        <v>0</v>
      </c>
      <c r="I94" s="152">
        <f t="shared" si="252"/>
        <v>0</v>
      </c>
      <c r="J94" s="152">
        <f t="shared" si="252"/>
        <v>0</v>
      </c>
      <c r="K94" s="152">
        <f t="shared" si="252"/>
        <v>0</v>
      </c>
      <c r="L94" s="152">
        <f t="shared" si="252"/>
        <v>0</v>
      </c>
      <c r="M94" s="152">
        <f t="shared" si="252"/>
        <v>0</v>
      </c>
      <c r="N94" s="152">
        <f t="shared" si="252"/>
        <v>0</v>
      </c>
      <c r="O94" s="152">
        <f t="shared" si="252"/>
        <v>0</v>
      </c>
      <c r="P94" s="152">
        <f t="shared" si="252"/>
        <v>0</v>
      </c>
      <c r="Q94" s="152">
        <f t="shared" ref="Q94" si="253">Q29/Q36</f>
        <v>0</v>
      </c>
      <c r="R94" s="118" t="e">
        <f t="shared" ref="R94" si="254">((P94/G94)^(1/($H$2-$H$1) ))-1</f>
        <v>#DIV/0!</v>
      </c>
      <c r="S94" s="20"/>
      <c r="T94" s="152">
        <f t="shared" ref="T94:AC94" si="255">T29/T36</f>
        <v>0</v>
      </c>
      <c r="U94" s="152">
        <f t="shared" si="255"/>
        <v>0</v>
      </c>
      <c r="V94" s="152">
        <f t="shared" si="255"/>
        <v>0</v>
      </c>
      <c r="W94" s="152">
        <f t="shared" si="255"/>
        <v>0</v>
      </c>
      <c r="X94" s="152">
        <f t="shared" si="255"/>
        <v>0</v>
      </c>
      <c r="Y94" s="152">
        <f t="shared" si="255"/>
        <v>0</v>
      </c>
      <c r="Z94" s="152">
        <f t="shared" si="255"/>
        <v>0</v>
      </c>
      <c r="AA94" s="152">
        <f t="shared" si="255"/>
        <v>0</v>
      </c>
      <c r="AB94" s="152">
        <f t="shared" si="255"/>
        <v>0</v>
      </c>
      <c r="AC94" s="152">
        <f t="shared" si="255"/>
        <v>0</v>
      </c>
      <c r="AD94" s="138" t="e">
        <f t="shared" ref="AD94" si="256">((AC94/G94)^(1/($AC$3-$H$1) ))-1</f>
        <v>#DIV/0!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57">G29/G40</f>
        <v>0</v>
      </c>
      <c r="H95" s="171">
        <f t="shared" si="257"/>
        <v>0</v>
      </c>
      <c r="I95" s="171">
        <f t="shared" si="257"/>
        <v>0</v>
      </c>
      <c r="J95" s="171">
        <f t="shared" si="257"/>
        <v>0</v>
      </c>
      <c r="K95" s="171">
        <f t="shared" si="257"/>
        <v>0</v>
      </c>
      <c r="L95" s="171">
        <f t="shared" si="257"/>
        <v>0</v>
      </c>
      <c r="M95" s="171">
        <f t="shared" si="257"/>
        <v>0</v>
      </c>
      <c r="N95" s="171">
        <f t="shared" si="257"/>
        <v>0</v>
      </c>
      <c r="O95" s="171">
        <f t="shared" si="257"/>
        <v>0</v>
      </c>
      <c r="P95" s="171">
        <f t="shared" si="257"/>
        <v>0</v>
      </c>
      <c r="Q95" s="171">
        <f t="shared" ref="Q95" si="258">Q29/Q40</f>
        <v>0</v>
      </c>
      <c r="R95" s="118" t="e">
        <f t="shared" ref="R95" si="259">((P95/G95)^(1/($H$2-$H$1) ))-1</f>
        <v>#DIV/0!</v>
      </c>
      <c r="S95" s="20"/>
      <c r="T95" s="171">
        <f t="shared" ref="T95:AC95" si="260">T29/T40</f>
        <v>0</v>
      </c>
      <c r="U95" s="171">
        <f t="shared" si="260"/>
        <v>0</v>
      </c>
      <c r="V95" s="171">
        <f t="shared" si="260"/>
        <v>0</v>
      </c>
      <c r="W95" s="171">
        <f t="shared" si="260"/>
        <v>0</v>
      </c>
      <c r="X95" s="171">
        <f t="shared" si="260"/>
        <v>0</v>
      </c>
      <c r="Y95" s="171">
        <f t="shared" si="260"/>
        <v>0</v>
      </c>
      <c r="Z95" s="171">
        <f t="shared" si="260"/>
        <v>0</v>
      </c>
      <c r="AA95" s="171">
        <f t="shared" si="260"/>
        <v>0</v>
      </c>
      <c r="AB95" s="171">
        <f t="shared" si="260"/>
        <v>0</v>
      </c>
      <c r="AC95" s="171">
        <f t="shared" si="260"/>
        <v>0</v>
      </c>
      <c r="AD95" s="138" t="e">
        <f t="shared" ref="AD95" si="261">((AC95/G95)^(1/($AC$3-$H$1) ))-1</f>
        <v>#DIV/0!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62">G29/G12</f>
        <v>0</v>
      </c>
      <c r="H96" s="171">
        <f t="shared" si="262"/>
        <v>0</v>
      </c>
      <c r="I96" s="171">
        <f t="shared" si="262"/>
        <v>0</v>
      </c>
      <c r="J96" s="171">
        <f t="shared" si="262"/>
        <v>0</v>
      </c>
      <c r="K96" s="171">
        <f t="shared" si="262"/>
        <v>0</v>
      </c>
      <c r="L96" s="171">
        <f t="shared" si="262"/>
        <v>0</v>
      </c>
      <c r="M96" s="171">
        <f t="shared" si="262"/>
        <v>0</v>
      </c>
      <c r="N96" s="171">
        <f t="shared" si="262"/>
        <v>0</v>
      </c>
      <c r="O96" s="171">
        <f t="shared" si="262"/>
        <v>0</v>
      </c>
      <c r="P96" s="171">
        <f t="shared" si="262"/>
        <v>0</v>
      </c>
      <c r="Q96" s="171" t="e">
        <f t="shared" ref="Q96" si="263">Q29/Q12</f>
        <v>#DIV/0!</v>
      </c>
      <c r="R96" s="118" t="e">
        <f t="shared" si="229"/>
        <v>#DIV/0!</v>
      </c>
      <c r="S96" s="20"/>
      <c r="T96" s="152" t="e">
        <f t="shared" ref="T96:AC96" si="264">T29/T12</f>
        <v>#DIV/0!</v>
      </c>
      <c r="U96" s="152" t="e">
        <f t="shared" si="264"/>
        <v>#DIV/0!</v>
      </c>
      <c r="V96" s="152" t="e">
        <f t="shared" si="264"/>
        <v>#DIV/0!</v>
      </c>
      <c r="W96" s="152" t="e">
        <f t="shared" si="264"/>
        <v>#DIV/0!</v>
      </c>
      <c r="X96" s="152" t="e">
        <f t="shared" si="264"/>
        <v>#DIV/0!</v>
      </c>
      <c r="Y96" s="152" t="e">
        <f t="shared" si="264"/>
        <v>#DIV/0!</v>
      </c>
      <c r="Z96" s="152" t="e">
        <f t="shared" si="264"/>
        <v>#DIV/0!</v>
      </c>
      <c r="AA96" s="152" t="e">
        <f t="shared" si="264"/>
        <v>#DIV/0!</v>
      </c>
      <c r="AB96" s="152" t="e">
        <f t="shared" si="264"/>
        <v>#DIV/0!</v>
      </c>
      <c r="AC96" s="152" t="e">
        <f t="shared" si="264"/>
        <v>#DIV/0!</v>
      </c>
      <c r="AD96" s="138" t="e">
        <f t="shared" si="231"/>
        <v>#DIV/0!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0</v>
      </c>
      <c r="H97" s="171">
        <f t="shared" ref="H97:P97" si="265">H29/H23</f>
        <v>0</v>
      </c>
      <c r="I97" s="171">
        <f t="shared" si="265"/>
        <v>0</v>
      </c>
      <c r="J97" s="171">
        <f t="shared" si="265"/>
        <v>0</v>
      </c>
      <c r="K97" s="171">
        <f t="shared" si="265"/>
        <v>0</v>
      </c>
      <c r="L97" s="171">
        <f t="shared" si="265"/>
        <v>0</v>
      </c>
      <c r="M97" s="171">
        <f t="shared" si="265"/>
        <v>0</v>
      </c>
      <c r="N97" s="171">
        <f t="shared" si="265"/>
        <v>0</v>
      </c>
      <c r="O97" s="171">
        <f t="shared" si="265"/>
        <v>0</v>
      </c>
      <c r="P97" s="171">
        <f t="shared" si="265"/>
        <v>0</v>
      </c>
      <c r="Q97" s="171" t="e">
        <f t="shared" ref="Q97" si="266">Q29/Q23</f>
        <v>#DIV/0!</v>
      </c>
      <c r="R97" s="118" t="e">
        <f t="shared" ref="R97" si="267">((P97/G97)^(1/($H$2-$H$1) ))-1</f>
        <v>#DIV/0!</v>
      </c>
      <c r="S97" s="20"/>
      <c r="T97" s="171" t="e">
        <f t="shared" ref="T97:AC97" si="268">T29/T23</f>
        <v>#DIV/0!</v>
      </c>
      <c r="U97" s="171" t="e">
        <f t="shared" si="268"/>
        <v>#DIV/0!</v>
      </c>
      <c r="V97" s="171" t="e">
        <f t="shared" si="268"/>
        <v>#DIV/0!</v>
      </c>
      <c r="W97" s="171" t="e">
        <f t="shared" si="268"/>
        <v>#DIV/0!</v>
      </c>
      <c r="X97" s="171" t="e">
        <f t="shared" si="268"/>
        <v>#DIV/0!</v>
      </c>
      <c r="Y97" s="171" t="e">
        <f t="shared" si="268"/>
        <v>#DIV/0!</v>
      </c>
      <c r="Z97" s="171" t="e">
        <f t="shared" si="268"/>
        <v>#DIV/0!</v>
      </c>
      <c r="AA97" s="171" t="e">
        <f t="shared" si="268"/>
        <v>#DIV/0!</v>
      </c>
      <c r="AB97" s="171" t="e">
        <f t="shared" si="268"/>
        <v>#DIV/0!</v>
      </c>
      <c r="AC97" s="171" t="e">
        <f t="shared" si="268"/>
        <v>#DIV/0!</v>
      </c>
      <c r="AD97" s="138" t="e">
        <f t="shared" ref="AD97" si="269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 t="e">
        <f>1/G93</f>
        <v>#DIV/0!</v>
      </c>
      <c r="H99" s="127" t="e">
        <f t="shared" ref="H99:P99" si="270">1/H93</f>
        <v>#DIV/0!</v>
      </c>
      <c r="I99" s="127" t="e">
        <f t="shared" si="270"/>
        <v>#DIV/0!</v>
      </c>
      <c r="J99" s="127" t="e">
        <f t="shared" si="270"/>
        <v>#DIV/0!</v>
      </c>
      <c r="K99" s="127" t="e">
        <f t="shared" si="270"/>
        <v>#DIV/0!</v>
      </c>
      <c r="L99" s="127" t="e">
        <f t="shared" si="270"/>
        <v>#DIV/0!</v>
      </c>
      <c r="M99" s="127" t="e">
        <f t="shared" si="270"/>
        <v>#DIV/0!</v>
      </c>
      <c r="N99" s="127" t="e">
        <f t="shared" si="270"/>
        <v>#DIV/0!</v>
      </c>
      <c r="O99" s="127" t="e">
        <f t="shared" si="270"/>
        <v>#DIV/0!</v>
      </c>
      <c r="P99" s="127" t="e">
        <f t="shared" si="270"/>
        <v>#DIV/0!</v>
      </c>
      <c r="Q99" s="127" t="e">
        <f t="shared" ref="Q99" si="271">1/Q93</f>
        <v>#DIV/0!</v>
      </c>
      <c r="R99" s="118" t="e">
        <f t="shared" si="229"/>
        <v>#DIV/0!</v>
      </c>
      <c r="S99" s="20"/>
      <c r="T99" s="127" t="e">
        <f t="shared" ref="T99:AC99" si="272">1/T93</f>
        <v>#DIV/0!</v>
      </c>
      <c r="U99" s="127" t="e">
        <f t="shared" si="272"/>
        <v>#DIV/0!</v>
      </c>
      <c r="V99" s="127" t="e">
        <f t="shared" si="272"/>
        <v>#DIV/0!</v>
      </c>
      <c r="W99" s="127" t="e">
        <f t="shared" si="272"/>
        <v>#DIV/0!</v>
      </c>
      <c r="X99" s="127" t="e">
        <f t="shared" si="272"/>
        <v>#DIV/0!</v>
      </c>
      <c r="Y99" s="127" t="e">
        <f t="shared" si="272"/>
        <v>#DIV/0!</v>
      </c>
      <c r="Z99" s="127" t="e">
        <f t="shared" si="272"/>
        <v>#DIV/0!</v>
      </c>
      <c r="AA99" s="127" t="e">
        <f t="shared" si="272"/>
        <v>#DIV/0!</v>
      </c>
      <c r="AB99" s="127" t="e">
        <f t="shared" si="272"/>
        <v>#DIV/0!</v>
      </c>
      <c r="AC99" s="127" t="e">
        <f t="shared" si="272"/>
        <v>#DIV/0!</v>
      </c>
      <c r="AD99" s="138" t="e">
        <f t="shared" si="231"/>
        <v>#DIV/0!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 t="e">
        <f t="shared" ref="G100:P103" si="273">1/G94</f>
        <v>#DIV/0!</v>
      </c>
      <c r="H100" s="127" t="e">
        <f t="shared" si="273"/>
        <v>#DIV/0!</v>
      </c>
      <c r="I100" s="127" t="e">
        <f t="shared" si="273"/>
        <v>#DIV/0!</v>
      </c>
      <c r="J100" s="127" t="e">
        <f t="shared" si="273"/>
        <v>#DIV/0!</v>
      </c>
      <c r="K100" s="127" t="e">
        <f t="shared" si="273"/>
        <v>#DIV/0!</v>
      </c>
      <c r="L100" s="127" t="e">
        <f t="shared" si="273"/>
        <v>#DIV/0!</v>
      </c>
      <c r="M100" s="127" t="e">
        <f t="shared" si="273"/>
        <v>#DIV/0!</v>
      </c>
      <c r="N100" s="127" t="e">
        <f t="shared" si="273"/>
        <v>#DIV/0!</v>
      </c>
      <c r="O100" s="127" t="e">
        <f t="shared" si="273"/>
        <v>#DIV/0!</v>
      </c>
      <c r="P100" s="127" t="e">
        <f t="shared" si="273"/>
        <v>#DIV/0!</v>
      </c>
      <c r="Q100" s="127" t="e">
        <f t="shared" ref="Q100" si="274">1/Q94</f>
        <v>#DIV/0!</v>
      </c>
      <c r="R100" s="118" t="e">
        <f t="shared" si="229"/>
        <v>#DIV/0!</v>
      </c>
      <c r="S100" s="20"/>
      <c r="T100" s="127" t="e">
        <f t="shared" ref="T100:AC100" si="275">1/T94</f>
        <v>#DIV/0!</v>
      </c>
      <c r="U100" s="127" t="e">
        <f t="shared" si="275"/>
        <v>#DIV/0!</v>
      </c>
      <c r="V100" s="127" t="e">
        <f t="shared" si="275"/>
        <v>#DIV/0!</v>
      </c>
      <c r="W100" s="127" t="e">
        <f t="shared" si="275"/>
        <v>#DIV/0!</v>
      </c>
      <c r="X100" s="127" t="e">
        <f t="shared" si="275"/>
        <v>#DIV/0!</v>
      </c>
      <c r="Y100" s="127" t="e">
        <f t="shared" si="275"/>
        <v>#DIV/0!</v>
      </c>
      <c r="Z100" s="127" t="e">
        <f t="shared" si="275"/>
        <v>#DIV/0!</v>
      </c>
      <c r="AA100" s="127" t="e">
        <f t="shared" si="275"/>
        <v>#DIV/0!</v>
      </c>
      <c r="AB100" s="127" t="e">
        <f t="shared" si="275"/>
        <v>#DIV/0!</v>
      </c>
      <c r="AC100" s="127" t="e">
        <f t="shared" si="275"/>
        <v>#DIV/0!</v>
      </c>
      <c r="AD100" s="138" t="e">
        <f t="shared" si="231"/>
        <v>#DIV/0!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 t="e">
        <f t="shared" si="273"/>
        <v>#DIV/0!</v>
      </c>
      <c r="H101" s="127" t="e">
        <f t="shared" si="273"/>
        <v>#DIV/0!</v>
      </c>
      <c r="I101" s="127" t="e">
        <f t="shared" si="273"/>
        <v>#DIV/0!</v>
      </c>
      <c r="J101" s="127" t="e">
        <f t="shared" si="273"/>
        <v>#DIV/0!</v>
      </c>
      <c r="K101" s="127" t="e">
        <f t="shared" si="273"/>
        <v>#DIV/0!</v>
      </c>
      <c r="L101" s="127" t="e">
        <f t="shared" si="273"/>
        <v>#DIV/0!</v>
      </c>
      <c r="M101" s="127" t="e">
        <f t="shared" si="273"/>
        <v>#DIV/0!</v>
      </c>
      <c r="N101" s="127" t="e">
        <f t="shared" si="273"/>
        <v>#DIV/0!</v>
      </c>
      <c r="O101" s="127" t="e">
        <f t="shared" si="273"/>
        <v>#DIV/0!</v>
      </c>
      <c r="P101" s="127" t="e">
        <f t="shared" si="273"/>
        <v>#DIV/0!</v>
      </c>
      <c r="Q101" s="127" t="e">
        <f t="shared" ref="Q101" si="276">1/Q95</f>
        <v>#DIV/0!</v>
      </c>
      <c r="R101" s="118" t="e">
        <f t="shared" si="229"/>
        <v>#DIV/0!</v>
      </c>
      <c r="S101" s="20"/>
      <c r="T101" s="127" t="e">
        <f t="shared" ref="T101:AC101" si="277">1/T95</f>
        <v>#DIV/0!</v>
      </c>
      <c r="U101" s="127" t="e">
        <f t="shared" si="277"/>
        <v>#DIV/0!</v>
      </c>
      <c r="V101" s="127" t="e">
        <f t="shared" si="277"/>
        <v>#DIV/0!</v>
      </c>
      <c r="W101" s="127" t="e">
        <f t="shared" si="277"/>
        <v>#DIV/0!</v>
      </c>
      <c r="X101" s="127" t="e">
        <f t="shared" si="277"/>
        <v>#DIV/0!</v>
      </c>
      <c r="Y101" s="127" t="e">
        <f t="shared" si="277"/>
        <v>#DIV/0!</v>
      </c>
      <c r="Z101" s="127" t="e">
        <f t="shared" si="277"/>
        <v>#DIV/0!</v>
      </c>
      <c r="AA101" s="127" t="e">
        <f t="shared" si="277"/>
        <v>#DIV/0!</v>
      </c>
      <c r="AB101" s="127" t="e">
        <f t="shared" si="277"/>
        <v>#DIV/0!</v>
      </c>
      <c r="AC101" s="127" t="e">
        <f t="shared" si="277"/>
        <v>#DIV/0!</v>
      </c>
      <c r="AD101" s="138" t="e">
        <f t="shared" si="231"/>
        <v>#DIV/0!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 t="e">
        <f t="shared" si="273"/>
        <v>#DIV/0!</v>
      </c>
      <c r="H102" s="127" t="e">
        <f t="shared" si="273"/>
        <v>#DIV/0!</v>
      </c>
      <c r="I102" s="127" t="e">
        <f t="shared" si="273"/>
        <v>#DIV/0!</v>
      </c>
      <c r="J102" s="127" t="e">
        <f t="shared" si="273"/>
        <v>#DIV/0!</v>
      </c>
      <c r="K102" s="127" t="e">
        <f t="shared" si="273"/>
        <v>#DIV/0!</v>
      </c>
      <c r="L102" s="127" t="e">
        <f t="shared" si="273"/>
        <v>#DIV/0!</v>
      </c>
      <c r="M102" s="127" t="e">
        <f t="shared" si="273"/>
        <v>#DIV/0!</v>
      </c>
      <c r="N102" s="127" t="e">
        <f t="shared" si="273"/>
        <v>#DIV/0!</v>
      </c>
      <c r="O102" s="127" t="e">
        <f t="shared" si="273"/>
        <v>#DIV/0!</v>
      </c>
      <c r="P102" s="127" t="e">
        <f t="shared" si="273"/>
        <v>#DIV/0!</v>
      </c>
      <c r="Q102" s="127" t="e">
        <f t="shared" ref="Q102" si="278">1/Q96</f>
        <v>#DIV/0!</v>
      </c>
      <c r="R102" s="118" t="e">
        <f t="shared" si="229"/>
        <v>#DIV/0!</v>
      </c>
      <c r="S102" s="20"/>
      <c r="T102" s="127" t="e">
        <f t="shared" ref="T102:AC102" si="279">1/T96</f>
        <v>#DIV/0!</v>
      </c>
      <c r="U102" s="127" t="e">
        <f t="shared" si="279"/>
        <v>#DIV/0!</v>
      </c>
      <c r="V102" s="127" t="e">
        <f t="shared" si="279"/>
        <v>#DIV/0!</v>
      </c>
      <c r="W102" s="127" t="e">
        <f t="shared" si="279"/>
        <v>#DIV/0!</v>
      </c>
      <c r="X102" s="127" t="e">
        <f t="shared" si="279"/>
        <v>#DIV/0!</v>
      </c>
      <c r="Y102" s="127" t="e">
        <f t="shared" si="279"/>
        <v>#DIV/0!</v>
      </c>
      <c r="Z102" s="127" t="e">
        <f t="shared" si="279"/>
        <v>#DIV/0!</v>
      </c>
      <c r="AA102" s="127" t="e">
        <f t="shared" si="279"/>
        <v>#DIV/0!</v>
      </c>
      <c r="AB102" s="127" t="e">
        <f t="shared" si="279"/>
        <v>#DIV/0!</v>
      </c>
      <c r="AC102" s="127" t="e">
        <f t="shared" si="279"/>
        <v>#DIV/0!</v>
      </c>
      <c r="AD102" s="138" t="e">
        <f t="shared" si="231"/>
        <v>#DIV/0!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 t="e">
        <f t="shared" si="273"/>
        <v>#DIV/0!</v>
      </c>
      <c r="H103" s="127" t="e">
        <f t="shared" si="273"/>
        <v>#DIV/0!</v>
      </c>
      <c r="I103" s="127" t="e">
        <f t="shared" si="273"/>
        <v>#DIV/0!</v>
      </c>
      <c r="J103" s="127" t="e">
        <f t="shared" si="273"/>
        <v>#DIV/0!</v>
      </c>
      <c r="K103" s="127" t="e">
        <f t="shared" si="273"/>
        <v>#DIV/0!</v>
      </c>
      <c r="L103" s="127" t="e">
        <f t="shared" si="273"/>
        <v>#DIV/0!</v>
      </c>
      <c r="M103" s="127" t="e">
        <f t="shared" si="273"/>
        <v>#DIV/0!</v>
      </c>
      <c r="N103" s="127" t="e">
        <f t="shared" si="273"/>
        <v>#DIV/0!</v>
      </c>
      <c r="O103" s="127" t="e">
        <f t="shared" si="273"/>
        <v>#DIV/0!</v>
      </c>
      <c r="P103" s="127" t="e">
        <f t="shared" si="273"/>
        <v>#DIV/0!</v>
      </c>
      <c r="Q103" s="127" t="e">
        <f t="shared" ref="Q103" si="280">1/Q97</f>
        <v>#DIV/0!</v>
      </c>
      <c r="R103" s="118" t="e">
        <f t="shared" si="229"/>
        <v>#DIV/0!</v>
      </c>
      <c r="S103" s="20"/>
      <c r="T103" s="127" t="e">
        <f t="shared" ref="T103:AC103" si="281">1/T97</f>
        <v>#DIV/0!</v>
      </c>
      <c r="U103" s="127" t="e">
        <f t="shared" si="281"/>
        <v>#DIV/0!</v>
      </c>
      <c r="V103" s="127" t="e">
        <f t="shared" si="281"/>
        <v>#DIV/0!</v>
      </c>
      <c r="W103" s="127" t="e">
        <f t="shared" si="281"/>
        <v>#DIV/0!</v>
      </c>
      <c r="X103" s="127" t="e">
        <f t="shared" si="281"/>
        <v>#DIV/0!</v>
      </c>
      <c r="Y103" s="127" t="e">
        <f t="shared" si="281"/>
        <v>#DIV/0!</v>
      </c>
      <c r="Z103" s="127" t="e">
        <f t="shared" si="281"/>
        <v>#DIV/0!</v>
      </c>
      <c r="AA103" s="127" t="e">
        <f t="shared" si="281"/>
        <v>#DIV/0!</v>
      </c>
      <c r="AB103" s="127" t="e">
        <f t="shared" si="281"/>
        <v>#DIV/0!</v>
      </c>
      <c r="AC103" s="127" t="e">
        <f t="shared" si="281"/>
        <v>#DIV/0!</v>
      </c>
      <c r="AD103" s="138" t="e">
        <f t="shared" si="231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82">F10-(F12+F13)</f>
        <v>-102</v>
      </c>
      <c r="G106" s="163">
        <f t="shared" si="282"/>
        <v>-150</v>
      </c>
      <c r="H106" s="163">
        <f t="shared" si="282"/>
        <v>-124</v>
      </c>
      <c r="I106" s="163">
        <f t="shared" si="282"/>
        <v>-152</v>
      </c>
      <c r="J106" s="163">
        <f t="shared" si="282"/>
        <v>-120</v>
      </c>
      <c r="K106" s="163">
        <f t="shared" si="282"/>
        <v>-160</v>
      </c>
      <c r="L106" s="163">
        <f t="shared" si="282"/>
        <v>-109</v>
      </c>
      <c r="M106" s="163">
        <f t="shared" si="282"/>
        <v>-155</v>
      </c>
      <c r="N106" s="163">
        <f t="shared" si="282"/>
        <v>-203</v>
      </c>
      <c r="O106" s="163">
        <f t="shared" si="282"/>
        <v>-20511</v>
      </c>
      <c r="P106" s="163">
        <f>P10-(P12+P13)</f>
        <v>-21274</v>
      </c>
      <c r="Q106" s="163">
        <f>Q10-(Q12+Q13)</f>
        <v>0</v>
      </c>
      <c r="R106" s="118">
        <f t="shared" si="229"/>
        <v>0.73414021873748703</v>
      </c>
      <c r="S106" s="20"/>
      <c r="T106" s="163">
        <f>T10-(T12+T13)</f>
        <v>0</v>
      </c>
      <c r="U106" s="163">
        <f t="shared" ref="U106:AC106" si="283">U10-(U12+U13)</f>
        <v>0</v>
      </c>
      <c r="V106" s="163">
        <f t="shared" si="283"/>
        <v>0</v>
      </c>
      <c r="W106" s="163">
        <f t="shared" si="283"/>
        <v>0</v>
      </c>
      <c r="X106" s="163">
        <f t="shared" si="283"/>
        <v>0</v>
      </c>
      <c r="Y106" s="163">
        <f t="shared" si="283"/>
        <v>0</v>
      </c>
      <c r="Z106" s="163">
        <f t="shared" si="283"/>
        <v>0</v>
      </c>
      <c r="AA106" s="163">
        <f t="shared" si="283"/>
        <v>0</v>
      </c>
      <c r="AB106" s="163">
        <f t="shared" si="283"/>
        <v>0</v>
      </c>
      <c r="AC106" s="163">
        <f t="shared" si="283"/>
        <v>0</v>
      </c>
      <c r="AD106" s="138">
        <f t="shared" si="231"/>
        <v>-1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284">G40/G18</f>
        <v>0.7526132404181185</v>
      </c>
      <c r="H107" s="152">
        <f t="shared" si="284"/>
        <v>1.4059590316573556</v>
      </c>
      <c r="I107" s="152">
        <f t="shared" si="284"/>
        <v>3.4471698113207547</v>
      </c>
      <c r="J107" s="152">
        <f t="shared" si="284"/>
        <v>4.6031746031746028</v>
      </c>
      <c r="K107" s="152">
        <f t="shared" si="284"/>
        <v>5.721830985915493</v>
      </c>
      <c r="L107" s="152">
        <f t="shared" si="284"/>
        <v>5.8605898123324396</v>
      </c>
      <c r="M107" s="152">
        <f t="shared" si="284"/>
        <v>4.3799237611181701</v>
      </c>
      <c r="N107" s="152">
        <f t="shared" si="284"/>
        <v>5.9135577797998184</v>
      </c>
      <c r="O107" s="152">
        <f t="shared" si="284"/>
        <v>6.115319865319865</v>
      </c>
      <c r="P107" s="152">
        <f t="shared" si="284"/>
        <v>1.4093333333333333</v>
      </c>
      <c r="Q107" s="152" t="e">
        <f t="shared" ref="Q107" si="285">Q40/Q18</f>
        <v>#DIV/0!</v>
      </c>
      <c r="R107" s="118">
        <f t="shared" si="229"/>
        <v>7.2188929677167835E-2</v>
      </c>
      <c r="S107" s="20"/>
      <c r="T107" s="152" t="e">
        <f t="shared" ref="T107:AC107" si="286">T40/T18</f>
        <v>#DIV/0!</v>
      </c>
      <c r="U107" s="152" t="e">
        <f t="shared" si="286"/>
        <v>#DIV/0!</v>
      </c>
      <c r="V107" s="152" t="e">
        <f t="shared" si="286"/>
        <v>#DIV/0!</v>
      </c>
      <c r="W107" s="152" t="e">
        <f t="shared" si="286"/>
        <v>#DIV/0!</v>
      </c>
      <c r="X107" s="152" t="e">
        <f t="shared" si="286"/>
        <v>#DIV/0!</v>
      </c>
      <c r="Y107" s="152" t="e">
        <f t="shared" si="286"/>
        <v>#DIV/0!</v>
      </c>
      <c r="Z107" s="152" t="e">
        <f t="shared" si="286"/>
        <v>#DIV/0!</v>
      </c>
      <c r="AA107" s="152" t="e">
        <f t="shared" si="286"/>
        <v>#DIV/0!</v>
      </c>
      <c r="AB107" s="152" t="e">
        <f t="shared" si="286"/>
        <v>#DIV/0!</v>
      </c>
      <c r="AC107" s="152" t="e">
        <f t="shared" si="286"/>
        <v>#DIV/0!</v>
      </c>
      <c r="AD107" s="138" t="e">
        <f t="shared" si="231"/>
        <v>#DIV/0!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287">G40/G25</f>
        <v>0.28235294117647058</v>
      </c>
      <c r="H108" s="152">
        <f t="shared" si="287"/>
        <v>0.32599309153713296</v>
      </c>
      <c r="I108" s="152">
        <f t="shared" si="287"/>
        <v>0.46654749744637386</v>
      </c>
      <c r="J108" s="152">
        <f t="shared" si="287"/>
        <v>0.51168945743273053</v>
      </c>
      <c r="K108" s="152">
        <f t="shared" si="287"/>
        <v>0.50694119482140076</v>
      </c>
      <c r="L108" s="152">
        <f t="shared" si="287"/>
        <v>0.50991369255889896</v>
      </c>
      <c r="M108" s="152">
        <f t="shared" si="287"/>
        <v>0.48562975486052407</v>
      </c>
      <c r="N108" s="152">
        <f t="shared" si="287"/>
        <v>0.51225664065578935</v>
      </c>
      <c r="O108" s="152">
        <f t="shared" si="287"/>
        <v>0.54834327119027848</v>
      </c>
      <c r="P108" s="152">
        <f t="shared" si="287"/>
        <v>0.49025974025974028</v>
      </c>
      <c r="Q108" s="152">
        <f t="shared" ref="Q108" si="288">Q40/Q25</f>
        <v>0.45331165618152258</v>
      </c>
      <c r="R108" s="118">
        <f t="shared" si="229"/>
        <v>6.3226984858339774E-2</v>
      </c>
      <c r="S108" s="20"/>
      <c r="T108" s="152">
        <f t="shared" ref="T108:AC108" si="289">T40/T25</f>
        <v>0.45331165618152258</v>
      </c>
      <c r="U108" s="152">
        <f t="shared" si="289"/>
        <v>0.45331165618152253</v>
      </c>
      <c r="V108" s="152">
        <f t="shared" si="289"/>
        <v>0.45331165618152253</v>
      </c>
      <c r="W108" s="152">
        <f t="shared" si="289"/>
        <v>0.45331165618152253</v>
      </c>
      <c r="X108" s="152">
        <f t="shared" si="289"/>
        <v>0.45331165618152258</v>
      </c>
      <c r="Y108" s="152">
        <f t="shared" si="289"/>
        <v>0.45331165618152258</v>
      </c>
      <c r="Z108" s="152">
        <f t="shared" si="289"/>
        <v>0.45331165618152258</v>
      </c>
      <c r="AA108" s="152">
        <f t="shared" si="289"/>
        <v>0.45331165618152253</v>
      </c>
      <c r="AB108" s="152">
        <f t="shared" si="289"/>
        <v>0.45331165618152258</v>
      </c>
      <c r="AC108" s="152">
        <f t="shared" si="289"/>
        <v>0.45331165618152253</v>
      </c>
      <c r="AD108" s="138">
        <f t="shared" si="231"/>
        <v>2.3953485164573962E-2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290">G25/G18</f>
        <v>2.6655052264808363</v>
      </c>
      <c r="H109" s="152">
        <f t="shared" si="290"/>
        <v>4.3128491620111733</v>
      </c>
      <c r="I109" s="152">
        <f t="shared" si="290"/>
        <v>7.3886792452830186</v>
      </c>
      <c r="J109" s="152">
        <f t="shared" si="290"/>
        <v>8.9960317460317452</v>
      </c>
      <c r="K109" s="152">
        <f t="shared" si="290"/>
        <v>11.286971830985916</v>
      </c>
      <c r="L109" s="152">
        <f t="shared" si="290"/>
        <v>11.493297587131368</v>
      </c>
      <c r="M109" s="152">
        <f t="shared" si="290"/>
        <v>9.0190597204574328</v>
      </c>
      <c r="N109" s="152">
        <f t="shared" si="290"/>
        <v>11.544131028207461</v>
      </c>
      <c r="O109" s="152">
        <f t="shared" si="290"/>
        <v>11.152356902356903</v>
      </c>
      <c r="P109" s="152">
        <f>P25/P18</f>
        <v>2.8746666666666667</v>
      </c>
      <c r="Q109" s="152" t="e">
        <f>Q25/Q18</f>
        <v>#DIV/0!</v>
      </c>
      <c r="R109" s="118">
        <f t="shared" si="229"/>
        <v>8.4290042920818209E-3</v>
      </c>
      <c r="S109" s="20"/>
      <c r="T109" s="152" t="e">
        <f>T25/T18</f>
        <v>#DIV/0!</v>
      </c>
      <c r="U109" s="152" t="e">
        <f t="shared" ref="U109:AC109" si="291">U25/U18</f>
        <v>#DIV/0!</v>
      </c>
      <c r="V109" s="152" t="e">
        <f t="shared" si="291"/>
        <v>#DIV/0!</v>
      </c>
      <c r="W109" s="152" t="e">
        <f t="shared" si="291"/>
        <v>#DIV/0!</v>
      </c>
      <c r="X109" s="152" t="e">
        <f t="shared" si="291"/>
        <v>#DIV/0!</v>
      </c>
      <c r="Y109" s="152" t="e">
        <f t="shared" si="291"/>
        <v>#DIV/0!</v>
      </c>
      <c r="Z109" s="152" t="e">
        <f t="shared" si="291"/>
        <v>#DIV/0!</v>
      </c>
      <c r="AA109" s="152" t="e">
        <f t="shared" si="291"/>
        <v>#DIV/0!</v>
      </c>
      <c r="AB109" s="152" t="e">
        <f t="shared" si="291"/>
        <v>#DIV/0!</v>
      </c>
      <c r="AC109" s="152" t="e">
        <f t="shared" si="291"/>
        <v>#DIV/0!</v>
      </c>
      <c r="AD109" s="138" t="e">
        <f t="shared" si="231"/>
        <v>#DIV/0!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292">E70*E42</f>
        <v>0</v>
      </c>
      <c r="F111" s="165">
        <f t="shared" si="292"/>
        <v>0</v>
      </c>
      <c r="G111" s="165">
        <f>G70*G42</f>
        <v>46.234999999999999</v>
      </c>
      <c r="H111" s="165">
        <f t="shared" ref="H111:P111" si="293">H70*H42</f>
        <v>151.25450000000001</v>
      </c>
      <c r="I111" s="165">
        <f t="shared" si="293"/>
        <v>365.38860000000005</v>
      </c>
      <c r="J111" s="165">
        <f t="shared" si="293"/>
        <v>464.99200000000008</v>
      </c>
      <c r="K111" s="165">
        <f t="shared" si="293"/>
        <v>437.25100000000003</v>
      </c>
      <c r="L111" s="165">
        <f t="shared" si="293"/>
        <v>876.19870000000003</v>
      </c>
      <c r="M111" s="165">
        <f t="shared" si="293"/>
        <v>693.82249999999999</v>
      </c>
      <c r="N111" s="165">
        <f t="shared" si="293"/>
        <v>1308.3510000000001</v>
      </c>
      <c r="O111" s="165">
        <f t="shared" si="293"/>
        <v>1784.1150000000002</v>
      </c>
      <c r="P111" s="165">
        <f t="shared" si="293"/>
        <v>2775.29</v>
      </c>
      <c r="Q111" s="165">
        <f t="shared" ref="Q111" si="294">Q70*Q42</f>
        <v>2775.29</v>
      </c>
      <c r="R111" s="118">
        <f t="shared" si="229"/>
        <v>0.57613370567936917</v>
      </c>
      <c r="S111" s="20"/>
      <c r="T111" s="165">
        <f t="shared" ref="T111:AC111" si="295">T70*T42</f>
        <v>3059.7572250000007</v>
      </c>
      <c r="U111" s="165">
        <f t="shared" si="295"/>
        <v>3373.3823405625012</v>
      </c>
      <c r="V111" s="165">
        <f t="shared" si="295"/>
        <v>3719.154030470158</v>
      </c>
      <c r="W111" s="165">
        <f t="shared" si="295"/>
        <v>4100.3673185933494</v>
      </c>
      <c r="X111" s="165">
        <f t="shared" si="295"/>
        <v>4520.6549687491679</v>
      </c>
      <c r="Y111" s="165">
        <f t="shared" si="295"/>
        <v>4984.022103045957</v>
      </c>
      <c r="Z111" s="165">
        <f t="shared" si="295"/>
        <v>5494.8843686081691</v>
      </c>
      <c r="AA111" s="165">
        <f t="shared" si="295"/>
        <v>6058.1100163905066</v>
      </c>
      <c r="AB111" s="165">
        <f t="shared" si="295"/>
        <v>6679.0662930705339</v>
      </c>
      <c r="AC111" s="165">
        <f t="shared" si="295"/>
        <v>7363.6705881102644</v>
      </c>
      <c r="AD111" s="138">
        <f t="shared" si="231"/>
        <v>0.2885645360985718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296">(G111*0.17)+G111</f>
        <v>54.094949999999997</v>
      </c>
      <c r="H112" s="165">
        <f t="shared" si="296"/>
        <v>176.96776500000001</v>
      </c>
      <c r="I112" s="165">
        <f t="shared" si="296"/>
        <v>427.50466200000005</v>
      </c>
      <c r="J112" s="165">
        <f t="shared" si="296"/>
        <v>544.04064000000005</v>
      </c>
      <c r="K112" s="165">
        <f t="shared" si="296"/>
        <v>511.58367000000004</v>
      </c>
      <c r="L112" s="165">
        <f t="shared" si="296"/>
        <v>1025.1524790000001</v>
      </c>
      <c r="M112" s="165">
        <f t="shared" si="296"/>
        <v>811.77232500000002</v>
      </c>
      <c r="N112" s="165">
        <f t="shared" si="296"/>
        <v>1530.7706700000001</v>
      </c>
      <c r="O112" s="165">
        <f t="shared" si="296"/>
        <v>2087.4145500000004</v>
      </c>
      <c r="P112" s="165">
        <f t="shared" si="296"/>
        <v>3247.0893000000001</v>
      </c>
      <c r="Q112" s="165">
        <f t="shared" ref="Q112" si="297">(Q111*0.17)+Q111</f>
        <v>3247.0893000000001</v>
      </c>
      <c r="R112" s="118">
        <f t="shared" si="229"/>
        <v>0.57613370567936917</v>
      </c>
      <c r="S112" s="20"/>
      <c r="T112" s="165">
        <f t="shared" ref="T112:AC112" si="298">(T111*0.17)+T111</f>
        <v>3579.9159532500007</v>
      </c>
      <c r="U112" s="165">
        <f t="shared" si="298"/>
        <v>3946.8573384581264</v>
      </c>
      <c r="V112" s="165">
        <f t="shared" si="298"/>
        <v>4351.4102156500849</v>
      </c>
      <c r="W112" s="165">
        <f t="shared" si="298"/>
        <v>4797.4297627542192</v>
      </c>
      <c r="X112" s="165">
        <f t="shared" si="298"/>
        <v>5289.1663134365263</v>
      </c>
      <c r="Y112" s="165">
        <f t="shared" si="298"/>
        <v>5831.3058605637698</v>
      </c>
      <c r="Z112" s="165">
        <f t="shared" si="298"/>
        <v>6429.0147112715576</v>
      </c>
      <c r="AA112" s="165">
        <f t="shared" si="298"/>
        <v>7087.988719176893</v>
      </c>
      <c r="AB112" s="165">
        <f t="shared" si="298"/>
        <v>7814.5075628925242</v>
      </c>
      <c r="AC112" s="165">
        <f t="shared" si="298"/>
        <v>8615.49458808901</v>
      </c>
      <c r="AD112" s="138">
        <f t="shared" si="231"/>
        <v>0.2885645360985718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>
        <f t="shared" ref="F113:P113" si="299">F112/F40</f>
        <v>0</v>
      </c>
      <c r="G113" s="152">
        <f t="shared" si="299"/>
        <v>0.12521979166666666</v>
      </c>
      <c r="H113" s="152">
        <f t="shared" si="299"/>
        <v>0.23439439072847684</v>
      </c>
      <c r="I113" s="152">
        <f t="shared" si="299"/>
        <v>0.23399269950738918</v>
      </c>
      <c r="J113" s="152">
        <f t="shared" si="299"/>
        <v>0.23450027586206898</v>
      </c>
      <c r="K113" s="152">
        <f t="shared" si="299"/>
        <v>0.15741036</v>
      </c>
      <c r="L113" s="152">
        <f t="shared" si="299"/>
        <v>0.23448135384263497</v>
      </c>
      <c r="M113" s="152">
        <f t="shared" si="299"/>
        <v>0.23550110966057441</v>
      </c>
      <c r="N113" s="152">
        <f t="shared" si="299"/>
        <v>0.23553941683335899</v>
      </c>
      <c r="O113" s="152">
        <f t="shared" si="299"/>
        <v>0.28732478320715765</v>
      </c>
      <c r="P113" s="152">
        <f t="shared" si="299"/>
        <v>0.51199768211920527</v>
      </c>
      <c r="Q113" s="152">
        <f t="shared" ref="Q113" si="300">Q112/Q40</f>
        <v>0.50632922189302976</v>
      </c>
      <c r="R113" s="118">
        <f t="shared" si="229"/>
        <v>0.16937822344186193</v>
      </c>
      <c r="S113" s="20"/>
      <c r="T113" s="152">
        <f t="shared" ref="T113:AC113" si="301">T112/T40</f>
        <v>0.49841782780095129</v>
      </c>
      <c r="U113" s="152">
        <f t="shared" si="301"/>
        <v>0.49063004924156145</v>
      </c>
      <c r="V113" s="152">
        <f t="shared" si="301"/>
        <v>0.48296395472216208</v>
      </c>
      <c r="W113" s="152">
        <f t="shared" si="301"/>
        <v>0.47541764292962829</v>
      </c>
      <c r="X113" s="152">
        <f t="shared" si="301"/>
        <v>0.46798924225885274</v>
      </c>
      <c r="Y113" s="152">
        <f t="shared" si="301"/>
        <v>0.46067691034855812</v>
      </c>
      <c r="Z113" s="152">
        <f t="shared" si="301"/>
        <v>0.45347883362436198</v>
      </c>
      <c r="AA113" s="152">
        <f t="shared" si="301"/>
        <v>0.44639322684898131</v>
      </c>
      <c r="AB113" s="152">
        <f t="shared" si="301"/>
        <v>0.4394183326794659</v>
      </c>
      <c r="AC113" s="152">
        <f t="shared" si="301"/>
        <v>0.43255242123134929</v>
      </c>
      <c r="AD113" s="138">
        <f t="shared" si="231"/>
        <v>6.3942821070946732E-2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>
        <f>1-F113</f>
        <v>1</v>
      </c>
      <c r="G114" s="152">
        <f>1-G113</f>
        <v>0.87478020833333336</v>
      </c>
      <c r="H114" s="152">
        <f t="shared" ref="H114:P114" si="302">1-H113</f>
        <v>0.7656056092715231</v>
      </c>
      <c r="I114" s="152">
        <f t="shared" si="302"/>
        <v>0.76600730049261079</v>
      </c>
      <c r="J114" s="152">
        <f t="shared" si="302"/>
        <v>0.76549972413793099</v>
      </c>
      <c r="K114" s="152">
        <f t="shared" si="302"/>
        <v>0.84258964000000003</v>
      </c>
      <c r="L114" s="152">
        <f t="shared" si="302"/>
        <v>0.76551864615736509</v>
      </c>
      <c r="M114" s="152">
        <f t="shared" si="302"/>
        <v>0.76449889033942564</v>
      </c>
      <c r="N114" s="152">
        <f t="shared" si="302"/>
        <v>0.76446058316664101</v>
      </c>
      <c r="O114" s="152">
        <f t="shared" si="302"/>
        <v>0.71267521679284229</v>
      </c>
      <c r="P114" s="152">
        <f t="shared" si="302"/>
        <v>0.48800231788079473</v>
      </c>
      <c r="Q114" s="152">
        <f t="shared" ref="Q114" si="303">1-Q113</f>
        <v>0.49367077810697024</v>
      </c>
      <c r="R114" s="118">
        <f t="shared" si="229"/>
        <v>-6.2792227205196949E-2</v>
      </c>
      <c r="S114" s="20"/>
      <c r="T114" s="152">
        <f t="shared" ref="T114:AC114" si="304">1-T113</f>
        <v>0.50158217219904877</v>
      </c>
      <c r="U114" s="152">
        <f t="shared" si="304"/>
        <v>0.50936995075843861</v>
      </c>
      <c r="V114" s="152">
        <f t="shared" si="304"/>
        <v>0.51703604527783797</v>
      </c>
      <c r="W114" s="152">
        <f t="shared" si="304"/>
        <v>0.52458235707037171</v>
      </c>
      <c r="X114" s="152">
        <f t="shared" si="304"/>
        <v>0.53201075774114726</v>
      </c>
      <c r="Y114" s="152">
        <f t="shared" si="304"/>
        <v>0.53932308965144182</v>
      </c>
      <c r="Z114" s="152">
        <f t="shared" si="304"/>
        <v>0.54652116637563797</v>
      </c>
      <c r="AA114" s="152">
        <f t="shared" si="304"/>
        <v>0.55360677315101869</v>
      </c>
      <c r="AB114" s="152">
        <f t="shared" si="304"/>
        <v>0.56058166732053416</v>
      </c>
      <c r="AC114" s="152">
        <f t="shared" si="304"/>
        <v>0.56744757876865071</v>
      </c>
      <c r="AD114" s="138">
        <f t="shared" si="231"/>
        <v>-2.1408723637501903E-2</v>
      </c>
      <c r="AE114" s="20"/>
      <c r="AF114" s="20"/>
    </row>
    <row r="115" spans="2:32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28"/>
      <c r="S115" s="20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28"/>
      <c r="AE115" s="20"/>
      <c r="AF115" s="20"/>
    </row>
    <row r="116" spans="2:32" x14ac:dyDescent="0.2">
      <c r="B116" s="20" t="s">
        <v>333</v>
      </c>
      <c r="C116" s="152"/>
      <c r="D116" s="152"/>
      <c r="E116" s="152"/>
      <c r="F116" s="152">
        <f>F31/F25</f>
        <v>7.7399380804953565E-4</v>
      </c>
      <c r="G116" s="152">
        <f>G31/G25</f>
        <v>6.5359477124183002E-4</v>
      </c>
      <c r="H116" s="152">
        <f t="shared" ref="H116:P116" si="305">H31/H25</f>
        <v>0</v>
      </c>
      <c r="I116" s="152">
        <f t="shared" si="305"/>
        <v>0</v>
      </c>
      <c r="J116" s="152">
        <f t="shared" si="305"/>
        <v>0</v>
      </c>
      <c r="K116" s="152">
        <f t="shared" si="305"/>
        <v>0</v>
      </c>
      <c r="L116" s="152">
        <f t="shared" si="305"/>
        <v>0</v>
      </c>
      <c r="M116" s="152">
        <f t="shared" si="305"/>
        <v>0</v>
      </c>
      <c r="N116" s="152">
        <f t="shared" si="305"/>
        <v>0</v>
      </c>
      <c r="O116" s="152">
        <f t="shared" si="305"/>
        <v>0</v>
      </c>
      <c r="P116" s="152">
        <f t="shared" si="305"/>
        <v>1.5460729746444033E-4</v>
      </c>
      <c r="Q116" s="152">
        <f t="shared" ref="Q116" si="306">Q31/Q25</f>
        <v>0</v>
      </c>
      <c r="R116" s="118">
        <f t="shared" si="229"/>
        <v>-0.14800761466249723</v>
      </c>
      <c r="S116" s="20"/>
      <c r="T116" s="152">
        <f t="shared" ref="T116:AC116" si="307">T31/T25</f>
        <v>0</v>
      </c>
      <c r="U116" s="152">
        <f t="shared" si="307"/>
        <v>0</v>
      </c>
      <c r="V116" s="152">
        <f t="shared" si="307"/>
        <v>0</v>
      </c>
      <c r="W116" s="152">
        <f t="shared" si="307"/>
        <v>0</v>
      </c>
      <c r="X116" s="152">
        <f t="shared" si="307"/>
        <v>0</v>
      </c>
      <c r="Y116" s="152">
        <f t="shared" si="307"/>
        <v>0</v>
      </c>
      <c r="Z116" s="152">
        <f t="shared" si="307"/>
        <v>0</v>
      </c>
      <c r="AA116" s="152">
        <f t="shared" si="307"/>
        <v>0</v>
      </c>
      <c r="AB116" s="152">
        <f t="shared" si="307"/>
        <v>0</v>
      </c>
      <c r="AC116" s="152">
        <f t="shared" si="307"/>
        <v>0</v>
      </c>
      <c r="AD116" s="138">
        <f t="shared" si="231"/>
        <v>-1</v>
      </c>
      <c r="AE116" s="20"/>
      <c r="AF116" s="20"/>
    </row>
    <row r="117" spans="2:32" x14ac:dyDescent="0.2">
      <c r="B117" s="20" t="s">
        <v>330</v>
      </c>
      <c r="C117" s="152"/>
      <c r="D117" s="152"/>
      <c r="E117" s="152"/>
      <c r="F117" s="152">
        <f>F32/F25</f>
        <v>0</v>
      </c>
      <c r="G117" s="152">
        <f>G32/G25</f>
        <v>0</v>
      </c>
      <c r="H117" s="152">
        <f t="shared" ref="H117:P117" si="308">H32/H25</f>
        <v>0</v>
      </c>
      <c r="I117" s="152">
        <f t="shared" si="308"/>
        <v>0</v>
      </c>
      <c r="J117" s="152">
        <f t="shared" si="308"/>
        <v>0</v>
      </c>
      <c r="K117" s="152">
        <f t="shared" si="308"/>
        <v>0</v>
      </c>
      <c r="L117" s="152">
        <f t="shared" si="308"/>
        <v>0</v>
      </c>
      <c r="M117" s="152">
        <f t="shared" si="308"/>
        <v>0</v>
      </c>
      <c r="N117" s="152">
        <f t="shared" si="308"/>
        <v>0</v>
      </c>
      <c r="O117" s="152">
        <f t="shared" si="308"/>
        <v>0</v>
      </c>
      <c r="P117" s="152">
        <f t="shared" si="308"/>
        <v>0</v>
      </c>
      <c r="Q117" s="152">
        <f t="shared" ref="Q117" si="309">Q32/Q25</f>
        <v>0</v>
      </c>
      <c r="R117" s="118" t="e">
        <f t="shared" si="229"/>
        <v>#DIV/0!</v>
      </c>
      <c r="S117" s="20"/>
      <c r="T117" s="152">
        <f t="shared" ref="T117:AC117" si="310">T32/T25</f>
        <v>0</v>
      </c>
      <c r="U117" s="152">
        <f t="shared" si="310"/>
        <v>0</v>
      </c>
      <c r="V117" s="152">
        <f t="shared" si="310"/>
        <v>0</v>
      </c>
      <c r="W117" s="152">
        <f t="shared" si="310"/>
        <v>0</v>
      </c>
      <c r="X117" s="152">
        <f t="shared" si="310"/>
        <v>0</v>
      </c>
      <c r="Y117" s="152">
        <f t="shared" si="310"/>
        <v>0</v>
      </c>
      <c r="Z117" s="152">
        <f t="shared" si="310"/>
        <v>0</v>
      </c>
      <c r="AA117" s="152">
        <f t="shared" si="310"/>
        <v>0</v>
      </c>
      <c r="AB117" s="152">
        <f t="shared" si="310"/>
        <v>0</v>
      </c>
      <c r="AC117" s="152">
        <f t="shared" si="310"/>
        <v>0</v>
      </c>
      <c r="AD117" s="138" t="e">
        <f t="shared" si="231"/>
        <v>#DIV/0!</v>
      </c>
      <c r="AE117" s="20"/>
      <c r="AF117" s="20"/>
    </row>
    <row r="118" spans="2:32" x14ac:dyDescent="0.2">
      <c r="B118" s="20"/>
      <c r="C118" s="20"/>
      <c r="D118" s="20"/>
      <c r="E118" s="20"/>
      <c r="F118" s="20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28"/>
      <c r="S118" s="20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28"/>
      <c r="AE118" s="20"/>
      <c r="AF118" s="20"/>
    </row>
    <row r="119" spans="2:32" x14ac:dyDescent="0.2">
      <c r="B119" s="20" t="s">
        <v>354</v>
      </c>
      <c r="C119" s="20"/>
      <c r="D119" s="20"/>
      <c r="E119" s="20"/>
      <c r="F119" s="20"/>
      <c r="G119" s="152">
        <f>G27/G25</f>
        <v>0.56013071895424837</v>
      </c>
      <c r="H119" s="152">
        <f t="shared" ref="H119:P119" si="311">H27/H25</f>
        <v>0.43609671848013815</v>
      </c>
      <c r="I119" s="152">
        <f t="shared" si="311"/>
        <v>0.26149131767109296</v>
      </c>
      <c r="J119" s="152">
        <f t="shared" si="311"/>
        <v>0.209748566387296</v>
      </c>
      <c r="K119" s="152">
        <f t="shared" si="311"/>
        <v>0.21837466853844953</v>
      </c>
      <c r="L119" s="152">
        <f t="shared" si="311"/>
        <v>0.21565197107534406</v>
      </c>
      <c r="M119" s="152">
        <f t="shared" si="311"/>
        <v>0.25457875457875456</v>
      </c>
      <c r="N119" s="152">
        <f t="shared" si="311"/>
        <v>0.22314179869157405</v>
      </c>
      <c r="O119" s="152">
        <f t="shared" si="311"/>
        <v>0.17797569627896445</v>
      </c>
      <c r="P119" s="152">
        <f t="shared" si="311"/>
        <v>0.26770253555967843</v>
      </c>
      <c r="Q119" s="152">
        <f t="shared" ref="Q119" si="312">Q27/Q25</f>
        <v>0.2447868806107302</v>
      </c>
      <c r="R119" s="118">
        <f t="shared" si="229"/>
        <v>-7.8758111238738437E-2</v>
      </c>
      <c r="S119" s="20"/>
      <c r="T119" s="152">
        <f t="shared" ref="T119:AC119" si="313">T27/T25</f>
        <v>0.2447868806107302</v>
      </c>
      <c r="U119" s="152">
        <f t="shared" si="313"/>
        <v>0.24478688061073015</v>
      </c>
      <c r="V119" s="152">
        <f t="shared" si="313"/>
        <v>0.2447868806107302</v>
      </c>
      <c r="W119" s="152">
        <f t="shared" si="313"/>
        <v>0.24478688061073017</v>
      </c>
      <c r="X119" s="152">
        <f t="shared" si="313"/>
        <v>0.24478688061073017</v>
      </c>
      <c r="Y119" s="152">
        <f t="shared" si="313"/>
        <v>0.24478688061073017</v>
      </c>
      <c r="Z119" s="152">
        <f t="shared" si="313"/>
        <v>0.2447868806107302</v>
      </c>
      <c r="AA119" s="152">
        <f t="shared" si="313"/>
        <v>0.24478688061073017</v>
      </c>
      <c r="AB119" s="152">
        <f t="shared" si="313"/>
        <v>0.24478688061073017</v>
      </c>
      <c r="AC119" s="152">
        <f t="shared" si="313"/>
        <v>0.24478688061073015</v>
      </c>
      <c r="AD119" s="138">
        <f t="shared" si="231"/>
        <v>-4.0544277772289972E-2</v>
      </c>
      <c r="AE119" s="20"/>
      <c r="AF119" s="20"/>
    </row>
    <row r="120" spans="2:32" x14ac:dyDescent="0.2">
      <c r="B120" s="20" t="str">
        <f>B33</f>
        <v>Top Expenses ( Raw material )</v>
      </c>
      <c r="C120" s="20"/>
      <c r="D120" s="20"/>
      <c r="E120" s="20"/>
      <c r="F120" s="20"/>
      <c r="G120" s="152">
        <f>G33/G25</f>
        <v>3.5294117647058823E-2</v>
      </c>
      <c r="H120" s="152">
        <f t="shared" ref="H120:P120" si="314">H33/H25</f>
        <v>2.8497409326424871E-2</v>
      </c>
      <c r="I120" s="152">
        <f t="shared" si="314"/>
        <v>1.9152196118488254E-2</v>
      </c>
      <c r="J120" s="152">
        <f t="shared" si="314"/>
        <v>2.6025584472871635E-2</v>
      </c>
      <c r="K120" s="152">
        <f t="shared" si="314"/>
        <v>1.4038371548900327E-2</v>
      </c>
      <c r="L120" s="152">
        <f t="shared" si="314"/>
        <v>1.4229064613949148E-2</v>
      </c>
      <c r="M120" s="152">
        <f t="shared" si="314"/>
        <v>6.0016906170752324E-2</v>
      </c>
      <c r="N120" s="152">
        <f t="shared" si="314"/>
        <v>7.7086781745093397E-2</v>
      </c>
      <c r="O120" s="152">
        <f t="shared" si="314"/>
        <v>7.7137897199788669E-2</v>
      </c>
      <c r="P120" s="152">
        <f t="shared" si="314"/>
        <v>7.3593073593073599E-2</v>
      </c>
      <c r="Q120" s="152">
        <f t="shared" ref="Q120" si="315">Q33/Q25</f>
        <v>6.7293419099455715E-2</v>
      </c>
      <c r="R120" s="118">
        <f t="shared" si="229"/>
        <v>8.5074110252127078E-2</v>
      </c>
      <c r="S120" s="20"/>
      <c r="T120" s="152">
        <f t="shared" ref="T120:AC120" si="316">T33/T25</f>
        <v>6.7293419099455715E-2</v>
      </c>
      <c r="U120" s="152">
        <f t="shared" si="316"/>
        <v>6.7293419099455701E-2</v>
      </c>
      <c r="V120" s="152">
        <f t="shared" si="316"/>
        <v>6.7293419099455701E-2</v>
      </c>
      <c r="W120" s="152">
        <f t="shared" si="316"/>
        <v>6.7293419099455701E-2</v>
      </c>
      <c r="X120" s="152">
        <f t="shared" si="316"/>
        <v>6.7293419099455715E-2</v>
      </c>
      <c r="Y120" s="152">
        <f t="shared" si="316"/>
        <v>6.7293419099455701E-2</v>
      </c>
      <c r="Z120" s="152">
        <f t="shared" si="316"/>
        <v>6.7293419099455715E-2</v>
      </c>
      <c r="AA120" s="152">
        <f t="shared" si="316"/>
        <v>6.7293419099455701E-2</v>
      </c>
      <c r="AB120" s="152">
        <f t="shared" si="316"/>
        <v>6.7293419099455701E-2</v>
      </c>
      <c r="AC120" s="152">
        <f t="shared" si="316"/>
        <v>6.7293419099455701E-2</v>
      </c>
      <c r="AD120" s="138">
        <f t="shared" si="231"/>
        <v>3.2793541154876094E-2</v>
      </c>
      <c r="AE120" s="20"/>
      <c r="AF120" s="20"/>
    </row>
    <row r="121" spans="2:32" x14ac:dyDescent="0.2">
      <c r="B121" s="20" t="str">
        <f>B34</f>
        <v>2nd highest Expenses Comp. ( Empl )</v>
      </c>
      <c r="C121" s="20"/>
      <c r="D121" s="20"/>
      <c r="E121" s="20"/>
      <c r="F121" s="20"/>
      <c r="G121" s="152">
        <f>G34/G25</f>
        <v>0.12418300653594772</v>
      </c>
      <c r="H121" s="152">
        <f t="shared" ref="H121:P121" si="317">H34/H25</f>
        <v>8.2037996545768571E-2</v>
      </c>
      <c r="I121" s="152">
        <f t="shared" si="317"/>
        <v>4.5965270684371805E-2</v>
      </c>
      <c r="J121" s="152">
        <f t="shared" si="317"/>
        <v>4.3449492721658579E-2</v>
      </c>
      <c r="K121" s="152">
        <f t="shared" si="317"/>
        <v>5.116206520043675E-2</v>
      </c>
      <c r="L121" s="152">
        <f t="shared" si="317"/>
        <v>4.9101936085840917E-2</v>
      </c>
      <c r="M121" s="152">
        <f t="shared" si="317"/>
        <v>5.9030712876866724E-2</v>
      </c>
      <c r="N121" s="152">
        <f t="shared" si="317"/>
        <v>3.8779853393237175E-2</v>
      </c>
      <c r="O121" s="152">
        <f t="shared" si="317"/>
        <v>3.992754170126047E-2</v>
      </c>
      <c r="P121" s="152">
        <f t="shared" si="317"/>
        <v>4.4758812615955476E-2</v>
      </c>
      <c r="Q121" s="152">
        <f t="shared" ref="Q121" si="318">Q34/Q25</f>
        <v>0</v>
      </c>
      <c r="R121" s="118">
        <f t="shared" si="229"/>
        <v>-0.10719343246584845</v>
      </c>
      <c r="S121" s="20"/>
      <c r="T121" s="152">
        <f t="shared" ref="T121:AC121" si="319">T34/T25</f>
        <v>0</v>
      </c>
      <c r="U121" s="152">
        <f t="shared" si="319"/>
        <v>0</v>
      </c>
      <c r="V121" s="152">
        <f t="shared" si="319"/>
        <v>0</v>
      </c>
      <c r="W121" s="152">
        <f t="shared" si="319"/>
        <v>0</v>
      </c>
      <c r="X121" s="152">
        <f t="shared" si="319"/>
        <v>0</v>
      </c>
      <c r="Y121" s="152">
        <f t="shared" si="319"/>
        <v>0</v>
      </c>
      <c r="Z121" s="152">
        <f t="shared" si="319"/>
        <v>0</v>
      </c>
      <c r="AA121" s="152">
        <f t="shared" si="319"/>
        <v>0</v>
      </c>
      <c r="AB121" s="152">
        <f t="shared" si="319"/>
        <v>0</v>
      </c>
      <c r="AC121" s="152">
        <f t="shared" si="319"/>
        <v>0</v>
      </c>
      <c r="AD121" s="138">
        <f t="shared" si="231"/>
        <v>-1</v>
      </c>
      <c r="AE121" s="20"/>
      <c r="AF121" s="20"/>
    </row>
    <row r="122" spans="2:32" x14ac:dyDescent="0.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28"/>
      <c r="S122" s="128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39"/>
      <c r="AE122" s="20"/>
      <c r="AF122" s="20"/>
    </row>
    <row r="123" spans="2:32" x14ac:dyDescent="0.2">
      <c r="B123" s="108" t="s">
        <v>362</v>
      </c>
      <c r="C123" s="20"/>
      <c r="D123" s="20"/>
      <c r="E123" s="20"/>
      <c r="F123" s="20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118"/>
      <c r="S123" s="128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138"/>
      <c r="AE123" s="20"/>
      <c r="AF123" s="20"/>
    </row>
    <row r="124" spans="2:32" x14ac:dyDescent="0.2">
      <c r="B124" s="20" t="s">
        <v>365</v>
      </c>
      <c r="C124" s="20"/>
      <c r="D124" s="20"/>
      <c r="E124" s="20"/>
      <c r="F124" s="20"/>
      <c r="G124" s="25">
        <f>G15/G9</f>
        <v>10.529411764705882</v>
      </c>
      <c r="H124" s="25">
        <f t="shared" ref="H124:AC124" si="320">H15/H9</f>
        <v>9.8850174216027877</v>
      </c>
      <c r="I124" s="25">
        <f t="shared" si="320"/>
        <v>15.745033112582782</v>
      </c>
      <c r="J124" s="25">
        <f t="shared" si="320"/>
        <v>22.1875</v>
      </c>
      <c r="K124" s="25">
        <f t="shared" si="320"/>
        <v>21.668817204301074</v>
      </c>
      <c r="L124" s="25">
        <f t="shared" si="320"/>
        <v>28.525362318840578</v>
      </c>
      <c r="M124" s="25">
        <f t="shared" si="320"/>
        <v>23.679715302491104</v>
      </c>
      <c r="N124" s="25">
        <f t="shared" si="320"/>
        <v>30.024999999999999</v>
      </c>
      <c r="O124" s="25">
        <f t="shared" si="320"/>
        <v>22.165420560747663</v>
      </c>
      <c r="P124" s="25">
        <f t="shared" si="320"/>
        <v>7.9112828438948997</v>
      </c>
      <c r="Q124" s="25">
        <f t="shared" ref="Q124" si="321">Q15/Q9</f>
        <v>0</v>
      </c>
      <c r="R124" s="118">
        <f t="shared" si="229"/>
        <v>-3.126552445080466E-2</v>
      </c>
      <c r="S124" s="20"/>
      <c r="T124" s="20">
        <f t="shared" si="320"/>
        <v>0</v>
      </c>
      <c r="U124" s="20">
        <f t="shared" si="320"/>
        <v>0</v>
      </c>
      <c r="V124" s="20">
        <f t="shared" si="320"/>
        <v>0</v>
      </c>
      <c r="W124" s="20">
        <f t="shared" si="320"/>
        <v>0</v>
      </c>
      <c r="X124" s="20">
        <f t="shared" si="320"/>
        <v>0</v>
      </c>
      <c r="Y124" s="20">
        <f t="shared" si="320"/>
        <v>0</v>
      </c>
      <c r="Z124" s="20">
        <f t="shared" si="320"/>
        <v>0</v>
      </c>
      <c r="AA124" s="20">
        <f t="shared" si="320"/>
        <v>0</v>
      </c>
      <c r="AB124" s="20">
        <f t="shared" si="320"/>
        <v>0</v>
      </c>
      <c r="AC124" s="20">
        <f t="shared" si="320"/>
        <v>0</v>
      </c>
      <c r="AD124" s="138">
        <f t="shared" si="231"/>
        <v>-1</v>
      </c>
      <c r="AE124" s="20"/>
      <c r="AF124" s="20"/>
    </row>
    <row r="125" spans="2:32" x14ac:dyDescent="0.2">
      <c r="B125" s="20" t="s">
        <v>355</v>
      </c>
      <c r="C125" s="20"/>
      <c r="D125" s="20"/>
      <c r="E125" s="20"/>
      <c r="F125" s="20"/>
      <c r="G125" s="25">
        <f>G12/G9</f>
        <v>0.40641711229946526</v>
      </c>
      <c r="H125" s="25">
        <f t="shared" ref="H125:P125" si="322">H12/H9</f>
        <v>0.17421602787456447</v>
      </c>
      <c r="I125" s="25">
        <f t="shared" si="322"/>
        <v>0.25827814569536423</v>
      </c>
      <c r="J125" s="25">
        <f t="shared" si="322"/>
        <v>0.15131578947368421</v>
      </c>
      <c r="K125" s="25">
        <f t="shared" si="322"/>
        <v>0.16559139784946236</v>
      </c>
      <c r="L125" s="25">
        <f t="shared" si="322"/>
        <v>6.8840579710144928E-2</v>
      </c>
      <c r="M125" s="25">
        <f t="shared" si="322"/>
        <v>9.37129300118624E-2</v>
      </c>
      <c r="N125" s="25">
        <f t="shared" si="322"/>
        <v>7.7272727272727271E-2</v>
      </c>
      <c r="O125" s="25">
        <f t="shared" si="322"/>
        <v>18.938317757009347</v>
      </c>
      <c r="P125" s="25">
        <f t="shared" si="322"/>
        <v>6.4992272024729525</v>
      </c>
      <c r="Q125" s="25">
        <f t="shared" ref="Q125" si="323">Q12/Q9</f>
        <v>0</v>
      </c>
      <c r="R125" s="118">
        <f t="shared" si="229"/>
        <v>0.36070984175830723</v>
      </c>
      <c r="S125" s="128"/>
      <c r="T125" s="20">
        <f t="shared" ref="T125:AC125" si="324">T12/T9</f>
        <v>0</v>
      </c>
      <c r="U125" s="20">
        <f t="shared" si="324"/>
        <v>0</v>
      </c>
      <c r="V125" s="20">
        <f t="shared" si="324"/>
        <v>0</v>
      </c>
      <c r="W125" s="20">
        <f t="shared" si="324"/>
        <v>0</v>
      </c>
      <c r="X125" s="20">
        <f t="shared" si="324"/>
        <v>0</v>
      </c>
      <c r="Y125" s="20">
        <f t="shared" si="324"/>
        <v>0</v>
      </c>
      <c r="Z125" s="20">
        <f t="shared" si="324"/>
        <v>0</v>
      </c>
      <c r="AA125" s="20">
        <f t="shared" si="324"/>
        <v>0</v>
      </c>
      <c r="AB125" s="20">
        <f t="shared" si="324"/>
        <v>0</v>
      </c>
      <c r="AC125" s="20">
        <f t="shared" si="324"/>
        <v>0</v>
      </c>
      <c r="AD125" s="118" t="e">
        <f t="shared" ref="AD125" si="325">((AC125/T125)^(1/($H$2-$H$1) ))-1</f>
        <v>#DIV/0!</v>
      </c>
      <c r="AE125" s="20"/>
      <c r="AF125" s="20"/>
    </row>
    <row r="126" spans="2:32" x14ac:dyDescent="0.2">
      <c r="B126" s="20" t="s">
        <v>357</v>
      </c>
      <c r="C126" s="20"/>
      <c r="D126" s="20"/>
      <c r="E126" s="20"/>
      <c r="F126" s="20"/>
      <c r="G126" s="25">
        <f>G25/360</f>
        <v>4.25</v>
      </c>
      <c r="H126" s="25">
        <f t="shared" ref="H126:P126" si="326">H25/360</f>
        <v>6.4333333333333336</v>
      </c>
      <c r="I126" s="25">
        <f t="shared" si="326"/>
        <v>10.877777777777778</v>
      </c>
      <c r="J126" s="25">
        <f t="shared" si="326"/>
        <v>12.594444444444445</v>
      </c>
      <c r="K126" s="25">
        <f t="shared" si="326"/>
        <v>17.808333333333334</v>
      </c>
      <c r="L126" s="25">
        <f t="shared" si="326"/>
        <v>23.816666666666666</v>
      </c>
      <c r="M126" s="25">
        <f t="shared" si="326"/>
        <v>19.716666666666665</v>
      </c>
      <c r="N126" s="25">
        <f t="shared" si="326"/>
        <v>35.241666666666667</v>
      </c>
      <c r="O126" s="25">
        <f t="shared" si="326"/>
        <v>36.802777777777777</v>
      </c>
      <c r="P126" s="25">
        <f t="shared" si="326"/>
        <v>35.93333333333333</v>
      </c>
      <c r="Q126" s="25">
        <f t="shared" ref="Q126" si="327">Q25/360</f>
        <v>39.297222222222224</v>
      </c>
      <c r="R126" s="118">
        <f t="shared" si="229"/>
        <v>0.2676870796966786</v>
      </c>
      <c r="S126" s="128"/>
      <c r="T126" s="25">
        <f t="shared" ref="T126:AC126" si="328">T25/360</f>
        <v>44.012888888888895</v>
      </c>
      <c r="U126" s="25">
        <f t="shared" si="328"/>
        <v>49.294435555555566</v>
      </c>
      <c r="V126" s="25">
        <f t="shared" si="328"/>
        <v>55.20976782222224</v>
      </c>
      <c r="W126" s="25">
        <f t="shared" si="328"/>
        <v>61.834939960888917</v>
      </c>
      <c r="X126" s="25">
        <f t="shared" si="328"/>
        <v>69.255132756195593</v>
      </c>
      <c r="Y126" s="25">
        <f t="shared" si="328"/>
        <v>77.565748686939074</v>
      </c>
      <c r="Z126" s="25">
        <f t="shared" si="328"/>
        <v>86.87363852937176</v>
      </c>
      <c r="AA126" s="25">
        <f t="shared" si="328"/>
        <v>97.298475152896387</v>
      </c>
      <c r="AB126" s="25">
        <f t="shared" si="328"/>
        <v>108.97429217124396</v>
      </c>
      <c r="AC126" s="25">
        <f t="shared" si="328"/>
        <v>122.05120723179326</v>
      </c>
      <c r="AD126" s="118">
        <f t="shared" ref="AD126:AD137" si="329">((AC126/T126)^(1/($H$2-$H$1) ))-1</f>
        <v>0.12000000000000011</v>
      </c>
      <c r="AE126" s="20"/>
      <c r="AF126" s="20"/>
    </row>
    <row r="127" spans="2:32" x14ac:dyDescent="0.2">
      <c r="B127" s="20" t="s">
        <v>356</v>
      </c>
      <c r="C127" s="20"/>
      <c r="D127" s="20"/>
      <c r="E127" s="20"/>
      <c r="F127" s="20"/>
      <c r="G127" s="25">
        <f>G27/360</f>
        <v>2.3805555555555555</v>
      </c>
      <c r="H127" s="25">
        <f t="shared" ref="H127:P127" si="330">H27/360</f>
        <v>2.8055555555555554</v>
      </c>
      <c r="I127" s="25">
        <f t="shared" si="330"/>
        <v>2.8444444444444446</v>
      </c>
      <c r="J127" s="25">
        <f t="shared" si="330"/>
        <v>2.6416666666666666</v>
      </c>
      <c r="K127" s="25">
        <f t="shared" si="330"/>
        <v>3.8888888888888888</v>
      </c>
      <c r="L127" s="25">
        <f t="shared" si="330"/>
        <v>5.1361111111111111</v>
      </c>
      <c r="M127" s="25">
        <f t="shared" si="330"/>
        <v>5.0194444444444448</v>
      </c>
      <c r="N127" s="25">
        <f t="shared" si="330"/>
        <v>7.8638888888888889</v>
      </c>
      <c r="O127" s="25">
        <f t="shared" si="330"/>
        <v>6.55</v>
      </c>
      <c r="P127" s="25">
        <f t="shared" si="330"/>
        <v>9.6194444444444436</v>
      </c>
      <c r="Q127" s="25">
        <f t="shared" ref="Q127" si="331">Q27/360</f>
        <v>9.6194444444444436</v>
      </c>
      <c r="R127" s="118">
        <f t="shared" si="229"/>
        <v>0.16784643965801616</v>
      </c>
      <c r="S127" s="128"/>
      <c r="T127" s="25">
        <f t="shared" ref="T127:AC127" si="332">T27/360</f>
        <v>10.773777777777779</v>
      </c>
      <c r="U127" s="25">
        <f t="shared" si="332"/>
        <v>12.066631111111112</v>
      </c>
      <c r="V127" s="25">
        <f t="shared" si="332"/>
        <v>13.514626844444448</v>
      </c>
      <c r="W127" s="25">
        <f t="shared" si="332"/>
        <v>15.136382065777783</v>
      </c>
      <c r="X127" s="25">
        <f t="shared" si="332"/>
        <v>16.952747913671118</v>
      </c>
      <c r="Y127" s="25">
        <f t="shared" si="332"/>
        <v>18.987077663311656</v>
      </c>
      <c r="Z127" s="25">
        <f t="shared" si="332"/>
        <v>21.265526982909055</v>
      </c>
      <c r="AA127" s="25">
        <f t="shared" si="332"/>
        <v>23.817390220858144</v>
      </c>
      <c r="AB127" s="25">
        <f t="shared" si="332"/>
        <v>26.675477047361124</v>
      </c>
      <c r="AC127" s="25">
        <f t="shared" si="332"/>
        <v>29.876534293044461</v>
      </c>
      <c r="AD127" s="118">
        <f t="shared" si="329"/>
        <v>0.12000000000000011</v>
      </c>
      <c r="AE127" s="20"/>
      <c r="AF127" s="20"/>
    </row>
    <row r="128" spans="2:32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128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128"/>
      <c r="AE128" s="20"/>
      <c r="AF128" s="20"/>
    </row>
    <row r="129" spans="2:32" x14ac:dyDescent="0.2">
      <c r="B129" s="20" t="s">
        <v>366</v>
      </c>
      <c r="C129" s="20"/>
      <c r="D129" s="20"/>
      <c r="E129" s="20"/>
      <c r="F129" s="20"/>
      <c r="G129" s="25">
        <f>G10/G7</f>
        <v>0</v>
      </c>
      <c r="H129" s="25">
        <f t="shared" ref="H129:P129" si="333">H10/H7</f>
        <v>0</v>
      </c>
      <c r="I129" s="25">
        <f t="shared" si="333"/>
        <v>0</v>
      </c>
      <c r="J129" s="25">
        <f t="shared" si="333"/>
        <v>0</v>
      </c>
      <c r="K129" s="25">
        <f t="shared" si="333"/>
        <v>0</v>
      </c>
      <c r="L129" s="25">
        <f t="shared" si="333"/>
        <v>0</v>
      </c>
      <c r="M129" s="25">
        <f t="shared" si="333"/>
        <v>0</v>
      </c>
      <c r="N129" s="25">
        <f t="shared" si="333"/>
        <v>0</v>
      </c>
      <c r="O129" s="25">
        <f t="shared" si="333"/>
        <v>0</v>
      </c>
      <c r="P129" s="25">
        <f t="shared" si="333"/>
        <v>0</v>
      </c>
      <c r="Q129" s="25">
        <f t="shared" ref="Q129" si="334">Q10/Q7</f>
        <v>0</v>
      </c>
      <c r="R129" s="118" t="e">
        <f t="shared" si="229"/>
        <v>#DIV/0!</v>
      </c>
      <c r="S129" s="128"/>
      <c r="T129" s="25">
        <f t="shared" ref="T129:AC129" si="335">T10/T7</f>
        <v>0</v>
      </c>
      <c r="U129" s="25">
        <f t="shared" si="335"/>
        <v>0</v>
      </c>
      <c r="V129" s="25">
        <f t="shared" si="335"/>
        <v>0</v>
      </c>
      <c r="W129" s="25">
        <f t="shared" si="335"/>
        <v>0</v>
      </c>
      <c r="X129" s="25">
        <f t="shared" si="335"/>
        <v>0</v>
      </c>
      <c r="Y129" s="25">
        <f t="shared" si="335"/>
        <v>0</v>
      </c>
      <c r="Z129" s="25">
        <f t="shared" si="335"/>
        <v>0</v>
      </c>
      <c r="AA129" s="25">
        <f t="shared" si="335"/>
        <v>0</v>
      </c>
      <c r="AB129" s="25">
        <f t="shared" si="335"/>
        <v>0</v>
      </c>
      <c r="AC129" s="25">
        <f t="shared" si="335"/>
        <v>0</v>
      </c>
      <c r="AD129" s="118" t="e">
        <f t="shared" si="329"/>
        <v>#DIV/0!</v>
      </c>
      <c r="AE129" s="20"/>
      <c r="AF129" s="20"/>
    </row>
    <row r="130" spans="2:32" x14ac:dyDescent="0.2">
      <c r="B130" s="20" t="s">
        <v>358</v>
      </c>
      <c r="C130" s="20"/>
      <c r="D130" s="20"/>
      <c r="E130" s="20"/>
      <c r="F130" s="20"/>
      <c r="G130" s="25">
        <f>G10/(G10+G7)</f>
        <v>0</v>
      </c>
      <c r="H130" s="25">
        <f t="shared" ref="H130:P130" si="336">H10/(H10+H7)</f>
        <v>0</v>
      </c>
      <c r="I130" s="25">
        <f t="shared" si="336"/>
        <v>0</v>
      </c>
      <c r="J130" s="25">
        <f t="shared" si="336"/>
        <v>0</v>
      </c>
      <c r="K130" s="25">
        <f t="shared" si="336"/>
        <v>0</v>
      </c>
      <c r="L130" s="25">
        <f t="shared" si="336"/>
        <v>0</v>
      </c>
      <c r="M130" s="25">
        <f t="shared" si="336"/>
        <v>0</v>
      </c>
      <c r="N130" s="25">
        <f t="shared" si="336"/>
        <v>0</v>
      </c>
      <c r="O130" s="25">
        <f t="shared" si="336"/>
        <v>0</v>
      </c>
      <c r="P130" s="25">
        <f t="shared" si="336"/>
        <v>0</v>
      </c>
      <c r="Q130" s="25">
        <f t="shared" ref="Q130" si="337">Q10/(Q10+Q7)</f>
        <v>0</v>
      </c>
      <c r="R130" s="118" t="e">
        <f t="shared" si="229"/>
        <v>#DIV/0!</v>
      </c>
      <c r="S130" s="128"/>
      <c r="T130" s="25">
        <f t="shared" ref="T130:AC130" si="338">T10/(T10+T7)</f>
        <v>0</v>
      </c>
      <c r="U130" s="25">
        <f t="shared" si="338"/>
        <v>0</v>
      </c>
      <c r="V130" s="25">
        <f t="shared" si="338"/>
        <v>0</v>
      </c>
      <c r="W130" s="25">
        <f t="shared" si="338"/>
        <v>0</v>
      </c>
      <c r="X130" s="25">
        <f t="shared" si="338"/>
        <v>0</v>
      </c>
      <c r="Y130" s="25">
        <f t="shared" si="338"/>
        <v>0</v>
      </c>
      <c r="Z130" s="25">
        <f t="shared" si="338"/>
        <v>0</v>
      </c>
      <c r="AA130" s="25">
        <f t="shared" si="338"/>
        <v>0</v>
      </c>
      <c r="AB130" s="25">
        <f t="shared" si="338"/>
        <v>0</v>
      </c>
      <c r="AC130" s="25">
        <f t="shared" si="338"/>
        <v>0</v>
      </c>
      <c r="AD130" s="118" t="e">
        <f t="shared" si="329"/>
        <v>#DIV/0!</v>
      </c>
      <c r="AE130" s="20"/>
      <c r="AF130" s="20"/>
    </row>
    <row r="131" spans="2:32" x14ac:dyDescent="0.2">
      <c r="B131" s="20"/>
      <c r="C131" s="20"/>
      <c r="D131" s="20"/>
      <c r="E131" s="20"/>
      <c r="F131" s="20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128"/>
      <c r="S131" s="128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137"/>
      <c r="AE131" s="20"/>
      <c r="AF131" s="20"/>
    </row>
    <row r="132" spans="2:32" x14ac:dyDescent="0.2">
      <c r="B132" s="20" t="s">
        <v>363</v>
      </c>
      <c r="C132" s="20"/>
      <c r="D132" s="20"/>
      <c r="E132" s="20"/>
      <c r="F132" s="20"/>
      <c r="G132" s="25">
        <f>G16</f>
        <v>1254</v>
      </c>
      <c r="H132" s="25">
        <f t="shared" ref="H132:P132" si="339">H16</f>
        <v>1926</v>
      </c>
      <c r="I132" s="25">
        <f t="shared" si="339"/>
        <v>3324</v>
      </c>
      <c r="J132" s="25">
        <f t="shared" si="339"/>
        <v>5081</v>
      </c>
      <c r="K132" s="25">
        <f t="shared" si="339"/>
        <v>7501</v>
      </c>
      <c r="L132" s="25">
        <f t="shared" si="339"/>
        <v>10548</v>
      </c>
      <c r="M132" s="25">
        <f t="shared" si="339"/>
        <v>12831</v>
      </c>
      <c r="N132" s="25">
        <f t="shared" si="339"/>
        <v>17287</v>
      </c>
      <c r="O132" s="25">
        <f t="shared" si="339"/>
        <v>21475</v>
      </c>
      <c r="P132" s="25">
        <f t="shared" si="339"/>
        <v>22358</v>
      </c>
      <c r="Q132" s="25">
        <f t="shared" ref="Q132" si="340">Q16</f>
        <v>0</v>
      </c>
      <c r="R132" s="118">
        <f t="shared" si="229"/>
        <v>0.37725718318871393</v>
      </c>
      <c r="S132" s="128"/>
      <c r="T132" s="25">
        <f t="shared" ref="T132:AC132" si="341">T16</f>
        <v>0</v>
      </c>
      <c r="U132" s="25">
        <f t="shared" si="341"/>
        <v>0</v>
      </c>
      <c r="V132" s="25">
        <f t="shared" si="341"/>
        <v>0</v>
      </c>
      <c r="W132" s="25">
        <f t="shared" si="341"/>
        <v>0</v>
      </c>
      <c r="X132" s="25">
        <f t="shared" si="341"/>
        <v>0</v>
      </c>
      <c r="Y132" s="25">
        <f t="shared" si="341"/>
        <v>0</v>
      </c>
      <c r="Z132" s="25">
        <f t="shared" si="341"/>
        <v>0</v>
      </c>
      <c r="AA132" s="25">
        <f t="shared" si="341"/>
        <v>0</v>
      </c>
      <c r="AB132" s="25">
        <f t="shared" si="341"/>
        <v>0</v>
      </c>
      <c r="AC132" s="25">
        <f t="shared" si="341"/>
        <v>0</v>
      </c>
      <c r="AD132" s="118" t="e">
        <f t="shared" si="329"/>
        <v>#DIV/0!</v>
      </c>
      <c r="AE132" s="20"/>
      <c r="AF132" s="20"/>
    </row>
    <row r="133" spans="2:32" x14ac:dyDescent="0.2">
      <c r="B133" s="20" t="s">
        <v>364</v>
      </c>
      <c r="C133" s="20"/>
      <c r="D133" s="20"/>
      <c r="E133" s="20"/>
      <c r="F133" s="20"/>
      <c r="G133" s="119">
        <f t="shared" ref="G133:P133" si="342">G132*365/G25</f>
        <v>299.15686274509807</v>
      </c>
      <c r="H133" s="119">
        <f t="shared" si="342"/>
        <v>303.53626943005179</v>
      </c>
      <c r="I133" s="119">
        <f t="shared" si="342"/>
        <v>309.82124616956077</v>
      </c>
      <c r="J133" s="119">
        <f t="shared" si="342"/>
        <v>409.03506837229821</v>
      </c>
      <c r="K133" s="119">
        <f t="shared" si="342"/>
        <v>427.0574013414444</v>
      </c>
      <c r="L133" s="119">
        <f t="shared" si="342"/>
        <v>449.03428971308608</v>
      </c>
      <c r="M133" s="119">
        <f t="shared" si="342"/>
        <v>659.80769230769226</v>
      </c>
      <c r="N133" s="119">
        <f t="shared" si="342"/>
        <v>497.34019074643334</v>
      </c>
      <c r="O133" s="119">
        <f t="shared" si="342"/>
        <v>591.62012227337914</v>
      </c>
      <c r="P133" s="119">
        <f t="shared" si="342"/>
        <v>630.84956709956714</v>
      </c>
      <c r="Q133" s="119">
        <f t="shared" ref="Q133" si="343">Q132*365/Q25</f>
        <v>0</v>
      </c>
      <c r="R133" s="118">
        <f t="shared" si="229"/>
        <v>8.6433083721459303E-2</v>
      </c>
      <c r="S133" s="128"/>
      <c r="T133" s="119">
        <f t="shared" ref="T133:AC133" si="344">T132*365/T25</f>
        <v>0</v>
      </c>
      <c r="U133" s="119">
        <f t="shared" si="344"/>
        <v>0</v>
      </c>
      <c r="V133" s="119">
        <f t="shared" si="344"/>
        <v>0</v>
      </c>
      <c r="W133" s="119">
        <f t="shared" si="344"/>
        <v>0</v>
      </c>
      <c r="X133" s="119">
        <f t="shared" si="344"/>
        <v>0</v>
      </c>
      <c r="Y133" s="119">
        <f t="shared" si="344"/>
        <v>0</v>
      </c>
      <c r="Z133" s="119">
        <f t="shared" si="344"/>
        <v>0</v>
      </c>
      <c r="AA133" s="119">
        <f t="shared" si="344"/>
        <v>0</v>
      </c>
      <c r="AB133" s="119">
        <f t="shared" si="344"/>
        <v>0</v>
      </c>
      <c r="AC133" s="119">
        <f t="shared" si="344"/>
        <v>0</v>
      </c>
      <c r="AD133" s="118" t="e">
        <f t="shared" si="329"/>
        <v>#DIV/0!</v>
      </c>
      <c r="AE133" s="20"/>
      <c r="AF133" s="20"/>
    </row>
    <row r="134" spans="2:32" x14ac:dyDescent="0.2">
      <c r="B134" s="20" t="s">
        <v>367</v>
      </c>
      <c r="C134" s="20"/>
      <c r="D134" s="20"/>
      <c r="E134" s="20"/>
      <c r="F134" s="20"/>
      <c r="G134" s="133" t="e">
        <f>G80/G29</f>
        <v>#DIV/0!</v>
      </c>
      <c r="H134" s="133" t="e">
        <f t="shared" ref="H134:P134" si="345">H80/H29</f>
        <v>#DIV/0!</v>
      </c>
      <c r="I134" s="133" t="e">
        <f t="shared" si="345"/>
        <v>#DIV/0!</v>
      </c>
      <c r="J134" s="133" t="e">
        <f t="shared" si="345"/>
        <v>#DIV/0!</v>
      </c>
      <c r="K134" s="133" t="e">
        <f t="shared" si="345"/>
        <v>#DIV/0!</v>
      </c>
      <c r="L134" s="133" t="e">
        <f t="shared" si="345"/>
        <v>#DIV/0!</v>
      </c>
      <c r="M134" s="133" t="e">
        <f t="shared" si="345"/>
        <v>#DIV/0!</v>
      </c>
      <c r="N134" s="133" t="e">
        <f t="shared" si="345"/>
        <v>#DIV/0!</v>
      </c>
      <c r="O134" s="133" t="e">
        <f t="shared" si="345"/>
        <v>#DIV/0!</v>
      </c>
      <c r="P134" s="133" t="e">
        <f t="shared" si="345"/>
        <v>#DIV/0!</v>
      </c>
      <c r="Q134" s="133" t="e">
        <f t="shared" ref="Q134" si="346">Q80/Q29</f>
        <v>#DIV/0!</v>
      </c>
      <c r="R134" s="118" t="e">
        <f t="shared" si="229"/>
        <v>#DIV/0!</v>
      </c>
      <c r="S134" s="128"/>
      <c r="T134" s="133" t="e">
        <f t="shared" ref="T134:AC134" si="347">T80/T29</f>
        <v>#DIV/0!</v>
      </c>
      <c r="U134" s="133" t="e">
        <f t="shared" si="347"/>
        <v>#DIV/0!</v>
      </c>
      <c r="V134" s="133" t="e">
        <f t="shared" si="347"/>
        <v>#DIV/0!</v>
      </c>
      <c r="W134" s="133" t="e">
        <f t="shared" si="347"/>
        <v>#DIV/0!</v>
      </c>
      <c r="X134" s="133" t="e">
        <f t="shared" si="347"/>
        <v>#DIV/0!</v>
      </c>
      <c r="Y134" s="133" t="e">
        <f t="shared" si="347"/>
        <v>#DIV/0!</v>
      </c>
      <c r="Z134" s="133" t="e">
        <f t="shared" si="347"/>
        <v>#DIV/0!</v>
      </c>
      <c r="AA134" s="133" t="e">
        <f t="shared" si="347"/>
        <v>#DIV/0!</v>
      </c>
      <c r="AB134" s="133" t="e">
        <f t="shared" si="347"/>
        <v>#DIV/0!</v>
      </c>
      <c r="AC134" s="133" t="e">
        <f t="shared" si="347"/>
        <v>#DIV/0!</v>
      </c>
      <c r="AD134" s="118" t="e">
        <f t="shared" si="329"/>
        <v>#DIV/0!</v>
      </c>
      <c r="AE134" s="20"/>
      <c r="AF134" s="20"/>
    </row>
    <row r="135" spans="2:32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28"/>
      <c r="S135" s="128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37"/>
      <c r="AE135" s="20"/>
      <c r="AF135" s="20"/>
    </row>
    <row r="136" spans="2:32" x14ac:dyDescent="0.2">
      <c r="B136" s="20" t="s">
        <v>374</v>
      </c>
      <c r="C136" s="20"/>
      <c r="D136" s="20"/>
      <c r="E136" s="20"/>
      <c r="F136" s="20"/>
      <c r="G136" s="180">
        <f>G25/G14</f>
        <v>12.966101694915254</v>
      </c>
      <c r="H136" s="180">
        <f t="shared" ref="H136:P136" si="348">H25/H14</f>
        <v>19.794871794871796</v>
      </c>
      <c r="I136" s="180">
        <f t="shared" si="348"/>
        <v>30.834645669291337</v>
      </c>
      <c r="J136" s="180">
        <f t="shared" si="348"/>
        <v>35.7007874015748</v>
      </c>
      <c r="K136" s="180">
        <f t="shared" si="348"/>
        <v>38.620481927710841</v>
      </c>
      <c r="L136" s="180">
        <f t="shared" si="348"/>
        <v>28.353174603174605</v>
      </c>
      <c r="M136" s="180">
        <f t="shared" si="348"/>
        <v>23.818791946308725</v>
      </c>
      <c r="N136" s="180">
        <f t="shared" si="348"/>
        <v>30.571084337349397</v>
      </c>
      <c r="O136" s="180">
        <f t="shared" si="348"/>
        <v>28.864923747276688</v>
      </c>
      <c r="P136" s="180">
        <f t="shared" si="348"/>
        <v>20.307692307692307</v>
      </c>
      <c r="Q136" s="180" t="e">
        <f t="shared" ref="Q136" si="349">Q25/Q14</f>
        <v>#DIV/0!</v>
      </c>
      <c r="R136" s="118">
        <f t="shared" si="229"/>
        <v>5.1114743782598282E-2</v>
      </c>
      <c r="S136" s="128"/>
      <c r="T136" s="20" t="e">
        <f t="shared" ref="T136" si="350">T25/T14</f>
        <v>#DIV/0!</v>
      </c>
      <c r="U136" s="20" t="e">
        <f t="shared" ref="U136:AC136" si="351">U25/U14</f>
        <v>#DIV/0!</v>
      </c>
      <c r="V136" s="20" t="e">
        <f t="shared" si="351"/>
        <v>#DIV/0!</v>
      </c>
      <c r="W136" s="20" t="e">
        <f t="shared" si="351"/>
        <v>#DIV/0!</v>
      </c>
      <c r="X136" s="20" t="e">
        <f t="shared" si="351"/>
        <v>#DIV/0!</v>
      </c>
      <c r="Y136" s="20" t="e">
        <f t="shared" si="351"/>
        <v>#DIV/0!</v>
      </c>
      <c r="Z136" s="20" t="e">
        <f t="shared" si="351"/>
        <v>#DIV/0!</v>
      </c>
      <c r="AA136" s="20" t="e">
        <f t="shared" si="351"/>
        <v>#DIV/0!</v>
      </c>
      <c r="AB136" s="20" t="e">
        <f t="shared" si="351"/>
        <v>#DIV/0!</v>
      </c>
      <c r="AC136" s="20" t="e">
        <f t="shared" si="351"/>
        <v>#DIV/0!</v>
      </c>
      <c r="AD136" s="118" t="e">
        <f t="shared" si="329"/>
        <v>#DIV/0!</v>
      </c>
      <c r="AE136" s="20"/>
      <c r="AF136" s="20"/>
    </row>
    <row r="137" spans="2:32" x14ac:dyDescent="0.2">
      <c r="B137" s="20" t="s">
        <v>375</v>
      </c>
      <c r="C137" s="20"/>
      <c r="D137" s="20"/>
      <c r="E137" s="20"/>
      <c r="F137" s="20"/>
      <c r="G137" s="180">
        <f>G27/G14</f>
        <v>7.2627118644067794</v>
      </c>
      <c r="H137" s="180">
        <f t="shared" ref="H137:P137" si="352">H27/H14</f>
        <v>8.632478632478632</v>
      </c>
      <c r="I137" s="180">
        <f t="shared" si="352"/>
        <v>8.0629921259842519</v>
      </c>
      <c r="J137" s="180">
        <f t="shared" si="352"/>
        <v>7.4881889763779528</v>
      </c>
      <c r="K137" s="180">
        <f t="shared" si="352"/>
        <v>8.4337349397590362</v>
      </c>
      <c r="L137" s="180">
        <f t="shared" si="352"/>
        <v>6.1144179894179898</v>
      </c>
      <c r="M137" s="180">
        <f t="shared" si="352"/>
        <v>6.0637583892617446</v>
      </c>
      <c r="N137" s="180">
        <f t="shared" si="352"/>
        <v>6.8216867469879521</v>
      </c>
      <c r="O137" s="180">
        <f t="shared" si="352"/>
        <v>5.1372549019607847</v>
      </c>
      <c r="P137" s="180">
        <f t="shared" si="352"/>
        <v>5.4364207221350078</v>
      </c>
      <c r="Q137" s="180" t="e">
        <f t="shared" ref="Q137" si="353">Q27/Q14</f>
        <v>#DIV/0!</v>
      </c>
      <c r="R137" s="118">
        <f t="shared" si="229"/>
        <v>-3.1669068132909817E-2</v>
      </c>
      <c r="S137" s="128"/>
      <c r="T137" s="20" t="e">
        <f t="shared" ref="T137:AC137" si="354">T27/T14</f>
        <v>#DIV/0!</v>
      </c>
      <c r="U137" s="20" t="e">
        <f t="shared" si="354"/>
        <v>#DIV/0!</v>
      </c>
      <c r="V137" s="20" t="e">
        <f t="shared" si="354"/>
        <v>#DIV/0!</v>
      </c>
      <c r="W137" s="20" t="e">
        <f t="shared" si="354"/>
        <v>#DIV/0!</v>
      </c>
      <c r="X137" s="20" t="e">
        <f t="shared" si="354"/>
        <v>#DIV/0!</v>
      </c>
      <c r="Y137" s="20" t="e">
        <f t="shared" si="354"/>
        <v>#DIV/0!</v>
      </c>
      <c r="Z137" s="20" t="e">
        <f t="shared" si="354"/>
        <v>#DIV/0!</v>
      </c>
      <c r="AA137" s="20" t="e">
        <f t="shared" si="354"/>
        <v>#DIV/0!</v>
      </c>
      <c r="AB137" s="20" t="e">
        <f t="shared" si="354"/>
        <v>#DIV/0!</v>
      </c>
      <c r="AC137" s="20" t="e">
        <f t="shared" si="354"/>
        <v>#DIV/0!</v>
      </c>
      <c r="AD137" s="118" t="e">
        <f t="shared" si="329"/>
        <v>#DIV/0!</v>
      </c>
      <c r="AE137" s="20"/>
      <c r="AF137" s="20"/>
    </row>
    <row r="138" spans="2:32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28"/>
      <c r="S138" s="128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37"/>
      <c r="AE138" s="20"/>
      <c r="AF138" s="20"/>
    </row>
    <row r="139" spans="2:32" x14ac:dyDescent="0.2">
      <c r="B139" s="108" t="s">
        <v>244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3"/>
      <c r="S139" s="23"/>
      <c r="T139" s="122" t="s">
        <v>66</v>
      </c>
      <c r="U139" s="20"/>
      <c r="V139" s="20"/>
      <c r="W139" s="20"/>
      <c r="X139" s="20"/>
      <c r="Y139" s="20"/>
      <c r="Z139" s="20"/>
      <c r="AA139" s="20"/>
      <c r="AB139" s="20"/>
      <c r="AC139" s="20"/>
      <c r="AD139" s="137"/>
      <c r="AE139" s="20"/>
      <c r="AF139" s="20"/>
    </row>
    <row r="140" spans="2:32" x14ac:dyDescent="0.2">
      <c r="B140" s="23" t="s">
        <v>280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5"/>
      <c r="Q140" s="25"/>
      <c r="R140" s="160">
        <f>AVERAGE(G54:Q54)</f>
        <v>66.947279704162767</v>
      </c>
      <c r="S140" s="23"/>
      <c r="T140" s="134"/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0" t="s">
        <v>25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140">
        <f>T141+U141</f>
        <v>36.966691088237539</v>
      </c>
      <c r="T141" s="133">
        <f>PV($C$1, ($AC$3-$T$3), 0, -AC54)</f>
        <v>5.151096299180641</v>
      </c>
      <c r="U141" s="133">
        <f>PV($C$1, ($AC$3-$T$3), 0, -AF54)</f>
        <v>31.815594789056899</v>
      </c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272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 t="shared" ref="S142:S160" si="355">T142+U142</f>
        <v>172.6188260296837</v>
      </c>
      <c r="T142" s="133">
        <f>PV($C$1, ($AC$3-$T$3), 0, -AC56)</f>
        <v>24.053442971349366</v>
      </c>
      <c r="U142" s="133">
        <f>PV($C$1, ($AC$3-$T$3), 0, -AF56)</f>
        <v>148.56538305833433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si="355"/>
        <v>170.33614870691082</v>
      </c>
      <c r="T143" s="133">
        <f>PV($C$1, ($AC$3-$T$3), 0, -AC57)</f>
        <v>23.735364983749868</v>
      </c>
      <c r="U143" s="133">
        <f>PV($C$1, ($AC$3-$T$3), 0, -AF57)</f>
        <v>146.60078372316096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55"/>
        <v>0</v>
      </c>
      <c r="T144" s="133">
        <f>PV($C$1, ($AC$3-$T$3), 0, -AC58)</f>
        <v>0</v>
      </c>
      <c r="U144" s="133">
        <f>PV($C$1, ($AC$3-$T$3), 0, -AF58)</f>
        <v>0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55"/>
        <v>0</v>
      </c>
      <c r="T145" s="133">
        <f>PV($C$1, ($AC$3-$T$3), 0, -AC64)</f>
        <v>0</v>
      </c>
      <c r="U145" s="133">
        <f>PV($C$1, ($AC$3-$T$3), 0, -AF64)</f>
        <v>0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/>
      <c r="T146" s="133"/>
      <c r="U146" s="20"/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 t="s">
        <v>270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>
        <f t="shared" si="355"/>
        <v>172.6188260296837</v>
      </c>
      <c r="T147" s="133">
        <f>PV($C$1, ($AC$3-$T$3), 0, -AC60)</f>
        <v>24.053442971349366</v>
      </c>
      <c r="U147" s="133">
        <f>PV($C$1, ($AC$3-$T$3), 0, -$AF$60)</f>
        <v>148.56538305833433</v>
      </c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271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55"/>
        <v>153.97119689036535</v>
      </c>
      <c r="T148" s="133">
        <f>PV($C$1, ($AC$3-$T$3), 0, -AC61)</f>
        <v>21.455002845378779</v>
      </c>
      <c r="U148" s="133">
        <f>PV($C$1, ($AC$3-$T$3), 0, -$AF$61)</f>
        <v>132.51619404498658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276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55"/>
        <v>153.97119689036535</v>
      </c>
      <c r="T149" s="133">
        <f>PV($C$1, ($AC$3-$T$3), 0, -AC62)</f>
        <v>21.455002845378779</v>
      </c>
      <c r="U149" s="133">
        <f>PV($C$1, ($AC$3-$T$3), 0, -$AF$62)</f>
        <v>132.51619404498658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/>
      <c r="T150" s="133"/>
      <c r="U150" s="20"/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 t="s">
        <v>249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>
        <f t="shared" si="355"/>
        <v>0</v>
      </c>
      <c r="T151" s="133">
        <f>PV($C$1, ($AC$3-$T$3), 0, -AC67)</f>
        <v>0</v>
      </c>
      <c r="U151" s="133">
        <f>PV($C$1, ($AC$3-$T$3), 0, -AF67)</f>
        <v>0</v>
      </c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250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55"/>
        <v>0</v>
      </c>
      <c r="T152" s="133">
        <f>PV($C$1, ($AC$3-$T$3), 0, -AC68)</f>
        <v>0</v>
      </c>
      <c r="U152" s="133">
        <f>PV($C$1, ($AC$3-$T$3), 0, -AF68)</f>
        <v>0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/>
      <c r="T153" s="133"/>
      <c r="U153" s="133"/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 t="s">
        <v>293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>
        <f t="shared" ref="S154" si="356">T154+U154</f>
        <v>0</v>
      </c>
      <c r="T154" s="133">
        <f>PV($C$1, ($AC$3-$T$3), 0, -AC12)</f>
        <v>0</v>
      </c>
      <c r="U154" s="133">
        <f>PV($C$1, ($AC$3-$T$3), 0, -AF12)</f>
        <v>0</v>
      </c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>T155+U155</f>
        <v>0</v>
      </c>
      <c r="T155" s="140">
        <f>T154/P42</f>
        <v>0</v>
      </c>
      <c r="U155" s="140">
        <f>U154/P42</f>
        <v>0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/>
      <c r="T156" s="140"/>
      <c r="U156" s="140"/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108" t="s">
        <v>297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33"/>
      <c r="U157" s="133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20" t="s">
        <v>282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>
        <f t="shared" ref="S158" si="357">T158+U158</f>
        <v>66.336794555521649</v>
      </c>
      <c r="T158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54.574476129092538</v>
      </c>
      <c r="U158" s="133">
        <f>PV($C$1, ($AC$3-$T$3), 0, -AF70)</f>
        <v>11.762318426429113</v>
      </c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0" t="s">
        <v>290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>
        <f t="shared" si="355"/>
        <v>0</v>
      </c>
      <c r="T160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0" s="133">
        <f>PV($C$1, ($AC$3-$T$3), 0, -AF72)</f>
        <v>0</v>
      </c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/>
      <c r="T161" s="133"/>
      <c r="U161" s="133"/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 t="s">
        <v>286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>
        <f t="shared" ref="S162:S165" si="358">T162+U162</f>
        <v>0</v>
      </c>
      <c r="T162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0</v>
      </c>
      <c r="U162" s="133">
        <f>PV($C$1, ($AC$3-$T$3), 0, -AF74)</f>
        <v>0</v>
      </c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287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si="358"/>
        <v>0</v>
      </c>
      <c r="T163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0</v>
      </c>
      <c r="U163" s="133">
        <f>PV($C$1, ($AC$3-$T$3), 0, -AF75)</f>
        <v>0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58"/>
        <v>0</v>
      </c>
      <c r="T164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0</v>
      </c>
      <c r="U164" s="133">
        <f>PV($C$1, ($AC$3-$T$3), 0, -AF76)</f>
        <v>0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58"/>
        <v>0</v>
      </c>
      <c r="T165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0</v>
      </c>
      <c r="U165" s="133">
        <f>PV($C$1, ($AC$3-$T$3), 0, -AF77)</f>
        <v>0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/>
      <c r="T166" s="133"/>
      <c r="U166" s="133"/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 t="s">
        <v>298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>
        <f>T167+U167</f>
        <v>0</v>
      </c>
      <c r="T167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0</v>
      </c>
      <c r="U167" s="133">
        <f>PV($C$1, ($AC$3-$T$3), 0, -AF78)</f>
        <v>0</v>
      </c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183">
        <v>41729</v>
      </c>
      <c r="P168" s="20">
        <v>130</v>
      </c>
      <c r="Q168" s="20"/>
      <c r="R168" s="20"/>
      <c r="S168" s="20"/>
      <c r="T168" s="121"/>
      <c r="U168" s="20"/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108" t="s">
        <v>251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3" t="s">
        <v>390</v>
      </c>
      <c r="P169" s="20" t="s">
        <v>392</v>
      </c>
      <c r="Q169" s="20"/>
      <c r="R169" s="20" t="s">
        <v>392</v>
      </c>
      <c r="S169" s="23" t="s">
        <v>391</v>
      </c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20" t="s">
        <v>204</v>
      </c>
      <c r="C170" s="22">
        <v>0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13500</v>
      </c>
      <c r="L170" s="22">
        <v>140</v>
      </c>
      <c r="M170" s="22">
        <v>285</v>
      </c>
      <c r="N170" s="22">
        <v>250</v>
      </c>
      <c r="O170" s="22">
        <v>150</v>
      </c>
      <c r="P170" s="22">
        <v>130</v>
      </c>
      <c r="Q170" s="22">
        <v>110</v>
      </c>
      <c r="R170" s="118" t="e">
        <f t="shared" ref="R170:R175" si="359">((P170/G170)^(1/($H$2-$H$1) ))-1</f>
        <v>#DIV/0!</v>
      </c>
      <c r="S170" s="31">
        <f>L2-3%</f>
        <v>0.09</v>
      </c>
      <c r="T170" s="119">
        <f t="shared" ref="T170" si="360">P170*(1+$S170)</f>
        <v>141.70000000000002</v>
      </c>
      <c r="U170" s="119">
        <f t="shared" ref="U170:AC170" si="361">T170*(1+$S170)</f>
        <v>154.45300000000003</v>
      </c>
      <c r="V170" s="119">
        <f t="shared" si="361"/>
        <v>168.35377000000005</v>
      </c>
      <c r="W170" s="119">
        <f t="shared" si="361"/>
        <v>183.50560930000006</v>
      </c>
      <c r="X170" s="119">
        <f t="shared" si="361"/>
        <v>200.02111413700007</v>
      </c>
      <c r="Y170" s="119">
        <f t="shared" si="361"/>
        <v>218.0230144093301</v>
      </c>
      <c r="Z170" s="119">
        <f t="shared" si="361"/>
        <v>237.64508570616982</v>
      </c>
      <c r="AA170" s="119">
        <f t="shared" si="361"/>
        <v>259.03314341972515</v>
      </c>
      <c r="AB170" s="119">
        <f t="shared" si="361"/>
        <v>282.34612632750043</v>
      </c>
      <c r="AC170" s="119">
        <f t="shared" si="361"/>
        <v>307.75727769697551</v>
      </c>
      <c r="AD170" s="138" t="e">
        <f t="shared" ref="AD170:AD175" si="362">((AC170/G170)^(1/($AC$3-$H$1) ))-1</f>
        <v>#DIV/0!</v>
      </c>
      <c r="AE170" s="31">
        <v>0.08</v>
      </c>
      <c r="AF170" s="127" t="e">
        <f t="shared" ref="AF170:AF178" si="363">(AC170*(1+AD170))/($C$1-AE170)</f>
        <v>#DIV/0!</v>
      </c>
    </row>
    <row r="171" spans="2:32" x14ac:dyDescent="0.2">
      <c r="B171" s="20" t="s">
        <v>361</v>
      </c>
      <c r="C171" s="25" t="e">
        <f t="shared" ref="C171:P171" si="364">C170/C50</f>
        <v>#DIV/0!</v>
      </c>
      <c r="D171" s="25" t="e">
        <f t="shared" si="364"/>
        <v>#DIV/0!</v>
      </c>
      <c r="E171" s="25" t="e">
        <f t="shared" si="364"/>
        <v>#DIV/0!</v>
      </c>
      <c r="F171" s="25">
        <f t="shared" si="364"/>
        <v>0</v>
      </c>
      <c r="G171" s="25">
        <f t="shared" si="364"/>
        <v>0</v>
      </c>
      <c r="H171" s="25">
        <f t="shared" si="364"/>
        <v>0</v>
      </c>
      <c r="I171" s="25">
        <f t="shared" si="364"/>
        <v>0</v>
      </c>
      <c r="J171" s="25">
        <f t="shared" si="364"/>
        <v>0</v>
      </c>
      <c r="K171" s="25">
        <f t="shared" si="364"/>
        <v>27.817033224146002</v>
      </c>
      <c r="L171" s="25">
        <f t="shared" si="364"/>
        <v>6.4737345463027758</v>
      </c>
      <c r="M171" s="25">
        <f t="shared" si="364"/>
        <v>15.91912510566357</v>
      </c>
      <c r="N171" s="25">
        <f t="shared" si="364"/>
        <v>7.8125246315125718</v>
      </c>
      <c r="O171" s="25">
        <f t="shared" si="364"/>
        <v>4.4886783908219492</v>
      </c>
      <c r="P171" s="25">
        <f t="shared" si="364"/>
        <v>3.9843150896722328</v>
      </c>
      <c r="Q171" s="25">
        <f t="shared" ref="Q171" si="365">Q170/Q50</f>
        <v>3.0827525270375351</v>
      </c>
      <c r="R171" s="118" t="e">
        <f t="shared" ref="R171" si="366">((P171/G171)^(1/($H$2-$H$1) ))-1</f>
        <v>#DIV/0!</v>
      </c>
      <c r="S171" s="128"/>
      <c r="T171" s="25">
        <f t="shared" ref="T171:AC171" si="367">T170/T50</f>
        <v>3.7229491455785686</v>
      </c>
      <c r="U171" s="25">
        <f t="shared" si="367"/>
        <v>3.8043886581380995</v>
      </c>
      <c r="V171" s="25">
        <f t="shared" si="367"/>
        <v>3.8876096600348711</v>
      </c>
      <c r="W171" s="25">
        <f t="shared" si="367"/>
        <v>3.9726511213481341</v>
      </c>
      <c r="X171" s="25">
        <f t="shared" si="367"/>
        <v>4.0595528646276238</v>
      </c>
      <c r="Y171" s="25">
        <f t="shared" si="367"/>
        <v>4.1483555835413526</v>
      </c>
      <c r="Z171" s="25">
        <f t="shared" si="367"/>
        <v>4.2391008619313206</v>
      </c>
      <c r="AA171" s="25">
        <f t="shared" si="367"/>
        <v>4.3318311932860682</v>
      </c>
      <c r="AB171" s="25">
        <f t="shared" si="367"/>
        <v>4.4265900006392016</v>
      </c>
      <c r="AC171" s="25">
        <f t="shared" si="367"/>
        <v>4.5234216569031833</v>
      </c>
      <c r="AD171" s="138" t="e">
        <f t="shared" ref="AD171" si="368">((AC171/G171)^(1/($AC$3-$H$1) ))-1</f>
        <v>#DIV/0!</v>
      </c>
      <c r="AE171" s="31">
        <v>0.08</v>
      </c>
      <c r="AF171" s="127" t="e">
        <f t="shared" ref="AF171" si="369">(AC171*(1+AD171))/($C$1-AE171)</f>
        <v>#DIV/0!</v>
      </c>
    </row>
    <row r="172" spans="2:32" x14ac:dyDescent="0.2">
      <c r="B172" s="20" t="s">
        <v>389</v>
      </c>
      <c r="C172" s="25" t="e">
        <f t="shared" ref="C172:P172" si="370">C170/C54</f>
        <v>#DIV/0!</v>
      </c>
      <c r="D172" s="25" t="e">
        <f t="shared" si="370"/>
        <v>#DIV/0!</v>
      </c>
      <c r="E172" s="25" t="e">
        <f t="shared" si="370"/>
        <v>#DIV/0!</v>
      </c>
      <c r="F172" s="25">
        <f t="shared" si="370"/>
        <v>0</v>
      </c>
      <c r="G172" s="25">
        <f t="shared" si="370"/>
        <v>0</v>
      </c>
      <c r="H172" s="25">
        <f t="shared" si="370"/>
        <v>0</v>
      </c>
      <c r="I172" s="25">
        <f t="shared" si="370"/>
        <v>0</v>
      </c>
      <c r="J172" s="25">
        <f t="shared" si="370"/>
        <v>0</v>
      </c>
      <c r="K172" s="25">
        <f t="shared" si="370"/>
        <v>54.872307692307693</v>
      </c>
      <c r="L172" s="25">
        <f t="shared" si="370"/>
        <v>12.695745654162854</v>
      </c>
      <c r="M172" s="25">
        <f t="shared" si="370"/>
        <v>32.780374238468234</v>
      </c>
      <c r="N172" s="25">
        <f t="shared" si="370"/>
        <v>15.251192491152485</v>
      </c>
      <c r="O172" s="25">
        <f t="shared" si="370"/>
        <v>8.1858912594631796</v>
      </c>
      <c r="P172" s="25">
        <f t="shared" si="370"/>
        <v>8.1269473352254824</v>
      </c>
      <c r="Q172" s="25">
        <f t="shared" ref="Q172" si="371">Q170/Q54</f>
        <v>6.8005145797598638</v>
      </c>
      <c r="R172" s="118" t="e">
        <f t="shared" si="359"/>
        <v>#DIV/0!</v>
      </c>
      <c r="S172" s="128"/>
      <c r="T172" s="119">
        <f t="shared" ref="T172:AC172" si="372">T170/T54</f>
        <v>8.2127805336815864</v>
      </c>
      <c r="U172" s="119">
        <f t="shared" si="372"/>
        <v>8.3924351078558708</v>
      </c>
      <c r="V172" s="119">
        <f t="shared" si="372"/>
        <v>8.5760196258402193</v>
      </c>
      <c r="W172" s="119">
        <f t="shared" si="372"/>
        <v>8.7636200551554744</v>
      </c>
      <c r="X172" s="119">
        <f t="shared" si="372"/>
        <v>8.955324243862</v>
      </c>
      <c r="Y172" s="119">
        <f t="shared" si="372"/>
        <v>9.1512219616964785</v>
      </c>
      <c r="Z172" s="119">
        <f t="shared" si="372"/>
        <v>9.3514049421085907</v>
      </c>
      <c r="AA172" s="119">
        <f t="shared" si="372"/>
        <v>9.5559669252172181</v>
      </c>
      <c r="AB172" s="119">
        <f t="shared" si="372"/>
        <v>9.7650037017063429</v>
      </c>
      <c r="AC172" s="119">
        <f t="shared" si="372"/>
        <v>9.9786131576811705</v>
      </c>
      <c r="AD172" s="138" t="e">
        <f t="shared" si="362"/>
        <v>#DIV/0!</v>
      </c>
      <c r="AE172" s="31">
        <v>0.08</v>
      </c>
      <c r="AF172" s="127" t="e">
        <f t="shared" si="363"/>
        <v>#DIV/0!</v>
      </c>
    </row>
    <row r="173" spans="2:32" x14ac:dyDescent="0.2">
      <c r="B173" s="20" t="s">
        <v>258</v>
      </c>
      <c r="C173" s="25" t="e">
        <f t="shared" ref="C173:P173" si="373">C170/C57</f>
        <v>#DIV/0!</v>
      </c>
      <c r="D173" s="25" t="e">
        <f t="shared" si="373"/>
        <v>#DIV/0!</v>
      </c>
      <c r="E173" s="25" t="e">
        <f t="shared" si="373"/>
        <v>#DIV/0!</v>
      </c>
      <c r="F173" s="25">
        <f t="shared" si="373"/>
        <v>0</v>
      </c>
      <c r="G173" s="25">
        <f t="shared" si="373"/>
        <v>0</v>
      </c>
      <c r="H173" s="25">
        <f t="shared" si="373"/>
        <v>0</v>
      </c>
      <c r="I173" s="25">
        <f t="shared" si="373"/>
        <v>0</v>
      </c>
      <c r="J173" s="25">
        <f t="shared" si="373"/>
        <v>0</v>
      </c>
      <c r="K173" s="25">
        <f t="shared" si="373"/>
        <v>21.862817212210373</v>
      </c>
      <c r="L173" s="25">
        <f t="shared" si="373"/>
        <v>4.9382384341637016</v>
      </c>
      <c r="M173" s="25">
        <f t="shared" si="373"/>
        <v>8.1437081081081093</v>
      </c>
      <c r="N173" s="25">
        <f t="shared" si="373"/>
        <v>5.2671644170475087</v>
      </c>
      <c r="O173" s="25">
        <f t="shared" si="373"/>
        <v>2.4770086217668377</v>
      </c>
      <c r="P173" s="25">
        <f t="shared" si="373"/>
        <v>1.9009035922401711</v>
      </c>
      <c r="Q173" s="25">
        <f t="shared" ref="Q173" si="374">Q170/Q57</f>
        <v>1.4758612521150594</v>
      </c>
      <c r="R173" s="118" t="e">
        <f t="shared" si="359"/>
        <v>#DIV/0!</v>
      </c>
      <c r="S173" s="128"/>
      <c r="T173" s="119">
        <f t="shared" ref="T173:AC173" si="375">T170/T57</f>
        <v>1.7823540291878177</v>
      </c>
      <c r="U173" s="119">
        <f t="shared" si="375"/>
        <v>1.8213430235763011</v>
      </c>
      <c r="V173" s="119">
        <f t="shared" si="375"/>
        <v>1.861184902217033</v>
      </c>
      <c r="W173" s="119">
        <f t="shared" si="375"/>
        <v>1.9018983219530308</v>
      </c>
      <c r="X173" s="119">
        <f t="shared" si="375"/>
        <v>1.9435023477457531</v>
      </c>
      <c r="Y173" s="119">
        <f t="shared" si="375"/>
        <v>1.9860164616026914</v>
      </c>
      <c r="Z173" s="119">
        <f t="shared" si="375"/>
        <v>2.0294605717002505</v>
      </c>
      <c r="AA173" s="119">
        <f t="shared" si="375"/>
        <v>2.0738550217061937</v>
      </c>
      <c r="AB173" s="119">
        <f t="shared" si="375"/>
        <v>2.1192206003060172</v>
      </c>
      <c r="AC173" s="119">
        <f t="shared" si="375"/>
        <v>2.165578550937711</v>
      </c>
      <c r="AD173" s="138" t="e">
        <f t="shared" si="362"/>
        <v>#DIV/0!</v>
      </c>
      <c r="AE173" s="31">
        <v>0.08</v>
      </c>
      <c r="AF173" s="127" t="e">
        <f t="shared" si="363"/>
        <v>#DIV/0!</v>
      </c>
    </row>
    <row r="174" spans="2:32" x14ac:dyDescent="0.2">
      <c r="B174" s="20" t="s">
        <v>259</v>
      </c>
      <c r="C174" s="25" t="e">
        <f t="shared" ref="C174:P174" si="376">C170/C66</f>
        <v>#DIV/0!</v>
      </c>
      <c r="D174" s="25" t="e">
        <f t="shared" si="376"/>
        <v>#DIV/0!</v>
      </c>
      <c r="E174" s="25" t="e">
        <f t="shared" si="376"/>
        <v>#DIV/0!</v>
      </c>
      <c r="F174" s="25">
        <f t="shared" si="376"/>
        <v>0</v>
      </c>
      <c r="G174" s="25">
        <f t="shared" si="376"/>
        <v>0</v>
      </c>
      <c r="H174" s="25">
        <f t="shared" si="376"/>
        <v>0</v>
      </c>
      <c r="I174" s="25">
        <f t="shared" si="376"/>
        <v>0</v>
      </c>
      <c r="J174" s="25">
        <f t="shared" si="376"/>
        <v>0</v>
      </c>
      <c r="K174" s="25">
        <f t="shared" si="376"/>
        <v>1114.59375</v>
      </c>
      <c r="L174" s="25">
        <f t="shared" si="376"/>
        <v>509.22752293577986</v>
      </c>
      <c r="M174" s="25">
        <f t="shared" si="376"/>
        <v>728.99322580645162</v>
      </c>
      <c r="N174" s="25">
        <f t="shared" si="376"/>
        <v>488.26354679802961</v>
      </c>
      <c r="O174" s="25">
        <f t="shared" si="376"/>
        <v>2.8994442006728103</v>
      </c>
      <c r="P174" s="25">
        <f t="shared" si="376"/>
        <v>2.4227272727272728</v>
      </c>
      <c r="Q174" s="25" t="e">
        <f t="shared" ref="Q174" si="377">Q170/Q66</f>
        <v>#DIV/0!</v>
      </c>
      <c r="R174" s="118" t="e">
        <f t="shared" si="359"/>
        <v>#DIV/0!</v>
      </c>
      <c r="S174" s="128"/>
      <c r="T174" s="119" t="e">
        <f t="shared" ref="T174:AC174" si="378">T170/T66</f>
        <v>#DIV/0!</v>
      </c>
      <c r="U174" s="119" t="e">
        <f t="shared" si="378"/>
        <v>#DIV/0!</v>
      </c>
      <c r="V174" s="119" t="e">
        <f t="shared" si="378"/>
        <v>#DIV/0!</v>
      </c>
      <c r="W174" s="119" t="e">
        <f t="shared" si="378"/>
        <v>#DIV/0!</v>
      </c>
      <c r="X174" s="119" t="e">
        <f t="shared" si="378"/>
        <v>#DIV/0!</v>
      </c>
      <c r="Y174" s="119" t="e">
        <f t="shared" si="378"/>
        <v>#DIV/0!</v>
      </c>
      <c r="Z174" s="119" t="e">
        <f t="shared" si="378"/>
        <v>#DIV/0!</v>
      </c>
      <c r="AA174" s="119" t="e">
        <f t="shared" si="378"/>
        <v>#DIV/0!</v>
      </c>
      <c r="AB174" s="119" t="e">
        <f t="shared" si="378"/>
        <v>#DIV/0!</v>
      </c>
      <c r="AC174" s="119" t="e">
        <f t="shared" si="378"/>
        <v>#DIV/0!</v>
      </c>
      <c r="AD174" s="138" t="e">
        <f t="shared" si="362"/>
        <v>#DIV/0!</v>
      </c>
      <c r="AE174" s="31">
        <v>0.08</v>
      </c>
      <c r="AF174" s="127" t="e">
        <f t="shared" si="363"/>
        <v>#DIV/0!</v>
      </c>
    </row>
    <row r="175" spans="2:32" x14ac:dyDescent="0.2">
      <c r="B175" s="20" t="s">
        <v>260</v>
      </c>
      <c r="C175" s="25" t="e">
        <f t="shared" ref="C175:P175" si="379">C170/C68</f>
        <v>#DIV/0!</v>
      </c>
      <c r="D175" s="25" t="e">
        <f t="shared" si="379"/>
        <v>#DIV/0!</v>
      </c>
      <c r="E175" s="25" t="e">
        <f t="shared" si="379"/>
        <v>#DIV/0!</v>
      </c>
      <c r="F175" s="25">
        <f t="shared" si="379"/>
        <v>0</v>
      </c>
      <c r="G175" s="25">
        <f t="shared" si="379"/>
        <v>0</v>
      </c>
      <c r="H175" s="25">
        <f t="shared" si="379"/>
        <v>0</v>
      </c>
      <c r="I175" s="25">
        <f t="shared" si="379"/>
        <v>0</v>
      </c>
      <c r="J175" s="25">
        <f t="shared" si="379"/>
        <v>0</v>
      </c>
      <c r="K175" s="25">
        <f t="shared" si="379"/>
        <v>23.774830022663643</v>
      </c>
      <c r="L175" s="25">
        <f t="shared" si="379"/>
        <v>5.2622108456579451</v>
      </c>
      <c r="M175" s="25">
        <f t="shared" si="379"/>
        <v>8.806324526537292</v>
      </c>
      <c r="N175" s="25">
        <f t="shared" si="379"/>
        <v>5.733643778561925</v>
      </c>
      <c r="O175" s="25">
        <f t="shared" si="379"/>
        <v>2.769289871944121</v>
      </c>
      <c r="P175" s="25">
        <f t="shared" si="379"/>
        <v>2.3052643349136774</v>
      </c>
      <c r="Q175" s="25" t="e">
        <f t="shared" ref="Q175" si="380">Q170/Q68</f>
        <v>#DIV/0!</v>
      </c>
      <c r="R175" s="118" t="e">
        <f t="shared" si="359"/>
        <v>#DIV/0!</v>
      </c>
      <c r="S175" s="128"/>
      <c r="T175" s="119" t="e">
        <f t="shared" ref="T175:AC175" si="381">T170/T68</f>
        <v>#DIV/0!</v>
      </c>
      <c r="U175" s="119" t="e">
        <f t="shared" si="381"/>
        <v>#DIV/0!</v>
      </c>
      <c r="V175" s="119" t="e">
        <f t="shared" si="381"/>
        <v>#DIV/0!</v>
      </c>
      <c r="W175" s="119" t="e">
        <f t="shared" si="381"/>
        <v>#DIV/0!</v>
      </c>
      <c r="X175" s="119" t="e">
        <f t="shared" si="381"/>
        <v>#DIV/0!</v>
      </c>
      <c r="Y175" s="119" t="e">
        <f t="shared" si="381"/>
        <v>#DIV/0!</v>
      </c>
      <c r="Z175" s="119" t="e">
        <f t="shared" si="381"/>
        <v>#DIV/0!</v>
      </c>
      <c r="AA175" s="119" t="e">
        <f t="shared" si="381"/>
        <v>#DIV/0!</v>
      </c>
      <c r="AB175" s="119" t="e">
        <f t="shared" si="381"/>
        <v>#DIV/0!</v>
      </c>
      <c r="AC175" s="119" t="e">
        <f t="shared" si="381"/>
        <v>#DIV/0!</v>
      </c>
      <c r="AD175" s="138" t="e">
        <f t="shared" si="362"/>
        <v>#DIV/0!</v>
      </c>
      <c r="AE175" s="31">
        <v>0.08</v>
      </c>
      <c r="AF175" s="127" t="e">
        <f t="shared" si="363"/>
        <v>#DIV/0!</v>
      </c>
    </row>
    <row r="176" spans="2:32" x14ac:dyDescent="0.2">
      <c r="B176" s="20" t="s">
        <v>281</v>
      </c>
      <c r="C176" s="25" t="e">
        <f>C172/C122</f>
        <v>#DIV/0!</v>
      </c>
      <c r="D176" s="25" t="e">
        <f>D172/D122</f>
        <v>#DIV/0!</v>
      </c>
      <c r="E176" s="25" t="e">
        <f>E172/E122</f>
        <v>#DIV/0!</v>
      </c>
      <c r="F176" s="25" t="e">
        <f>F172/F122</f>
        <v>#DIV/0!</v>
      </c>
      <c r="G176" s="182">
        <f t="shared" ref="G176:P176" si="382">G170/G62</f>
        <v>0</v>
      </c>
      <c r="H176" s="182">
        <f t="shared" si="382"/>
        <v>0</v>
      </c>
      <c r="I176" s="182">
        <f t="shared" si="382"/>
        <v>0</v>
      </c>
      <c r="J176" s="182">
        <f t="shared" si="382"/>
        <v>0</v>
      </c>
      <c r="K176" s="182">
        <f t="shared" si="382"/>
        <v>9.9628491620111745</v>
      </c>
      <c r="L176" s="182">
        <f t="shared" si="382"/>
        <v>2.06879612374208</v>
      </c>
      <c r="M176" s="182">
        <f t="shared" si="382"/>
        <v>3.3839642418615798</v>
      </c>
      <c r="N176" s="182">
        <f t="shared" si="382"/>
        <v>2.214619268924837</v>
      </c>
      <c r="O176" s="182">
        <f t="shared" si="382"/>
        <v>1.2639045331859819</v>
      </c>
      <c r="P176" s="182">
        <f t="shared" si="382"/>
        <v>1.0335505735140773</v>
      </c>
      <c r="Q176" s="182">
        <f t="shared" ref="Q176" si="383">Q170/Q62</f>
        <v>1.632724345775149</v>
      </c>
      <c r="R176" s="118" t="e">
        <f t="shared" ref="R176:R179" si="384">((P176/G176)^(1/($H$2-$H$1) ))-1</f>
        <v>#DIV/0!</v>
      </c>
      <c r="S176" s="128"/>
      <c r="T176" s="135">
        <f t="shared" ref="T176:AC176" si="385">T170/T62</f>
        <v>1.9717929528097042</v>
      </c>
      <c r="U176" s="135">
        <f t="shared" si="385"/>
        <v>2.0149259236524166</v>
      </c>
      <c r="V176" s="135">
        <f t="shared" si="385"/>
        <v>2.0590024282323132</v>
      </c>
      <c r="W176" s="135">
        <f t="shared" si="385"/>
        <v>2.104043106349895</v>
      </c>
      <c r="X176" s="135">
        <f t="shared" si="385"/>
        <v>2.1500690493012988</v>
      </c>
      <c r="Y176" s="135">
        <f t="shared" si="385"/>
        <v>2.1971018097547645</v>
      </c>
      <c r="Z176" s="135">
        <f t="shared" si="385"/>
        <v>2.24516341184315</v>
      </c>
      <c r="AA176" s="135">
        <f t="shared" si="385"/>
        <v>2.2942763614772193</v>
      </c>
      <c r="AB176" s="135">
        <f t="shared" si="385"/>
        <v>2.3444636568845336</v>
      </c>
      <c r="AC176" s="135">
        <f t="shared" si="385"/>
        <v>2.3957487993788829</v>
      </c>
      <c r="AD176" s="138" t="e">
        <f t="shared" ref="AD176" si="386">((AC176/G176)^(1/($AC$3-$H$1) ))-1</f>
        <v>#DIV/0!</v>
      </c>
      <c r="AE176" s="31">
        <v>0.08</v>
      </c>
      <c r="AF176" s="127" t="e">
        <f t="shared" si="363"/>
        <v>#DIV/0!</v>
      </c>
    </row>
    <row r="177" spans="2:46" x14ac:dyDescent="0.2">
      <c r="B177" s="20" t="s">
        <v>371</v>
      </c>
      <c r="C177" s="161" t="e">
        <f t="shared" ref="C177:P177" si="387">C54/C170</f>
        <v>#DIV/0!</v>
      </c>
      <c r="D177" s="161" t="e">
        <f t="shared" si="387"/>
        <v>#DIV/0!</v>
      </c>
      <c r="E177" s="161" t="e">
        <f t="shared" si="387"/>
        <v>#DIV/0!</v>
      </c>
      <c r="F177" s="161" t="e">
        <f t="shared" si="387"/>
        <v>#DIV/0!</v>
      </c>
      <c r="G177" s="161" t="e">
        <f t="shared" si="387"/>
        <v>#DIV/0!</v>
      </c>
      <c r="H177" s="161" t="e">
        <f t="shared" si="387"/>
        <v>#DIV/0!</v>
      </c>
      <c r="I177" s="161" t="e">
        <f t="shared" si="387"/>
        <v>#DIV/0!</v>
      </c>
      <c r="J177" s="161" t="e">
        <f t="shared" si="387"/>
        <v>#DIV/0!</v>
      </c>
      <c r="K177" s="161">
        <f t="shared" si="387"/>
        <v>1.8224128746460313E-2</v>
      </c>
      <c r="L177" s="161">
        <f t="shared" si="387"/>
        <v>7.8766543316193982E-2</v>
      </c>
      <c r="M177" s="161">
        <f t="shared" si="387"/>
        <v>3.0506058067710701E-2</v>
      </c>
      <c r="N177" s="161">
        <f t="shared" si="387"/>
        <v>6.5568643276918803E-2</v>
      </c>
      <c r="O177" s="161">
        <f t="shared" si="387"/>
        <v>0.12216140775678698</v>
      </c>
      <c r="P177" s="161">
        <f t="shared" si="387"/>
        <v>0.12304743204937418</v>
      </c>
      <c r="Q177" s="161">
        <f t="shared" ref="Q177" si="388">Q54/Q170</f>
        <v>0.14704769591646277</v>
      </c>
      <c r="R177" s="118" t="e">
        <f t="shared" si="384"/>
        <v>#DIV/0!</v>
      </c>
      <c r="S177" s="128"/>
      <c r="T177" s="161">
        <f t="shared" ref="T177:AC177" si="389">T54/T170</f>
        <v>0.12176144192565252</v>
      </c>
      <c r="U177" s="161">
        <f t="shared" si="389"/>
        <v>0.11915492787831439</v>
      </c>
      <c r="V177" s="161">
        <f t="shared" si="389"/>
        <v>0.11660421076776942</v>
      </c>
      <c r="W177" s="161">
        <f t="shared" si="389"/>
        <v>0.11410809616417804</v>
      </c>
      <c r="X177" s="161">
        <f t="shared" si="389"/>
        <v>0.11166541520653508</v>
      </c>
      <c r="Y177" s="161">
        <f t="shared" si="389"/>
        <v>0.10927502405532487</v>
      </c>
      <c r="Z177" s="161">
        <f t="shared" si="389"/>
        <v>0.10693580335689283</v>
      </c>
      <c r="AA177" s="161">
        <f t="shared" si="389"/>
        <v>0.10464665771928348</v>
      </c>
      <c r="AB177" s="161">
        <f t="shared" si="389"/>
        <v>0.10240651519929883</v>
      </c>
      <c r="AC177" s="161">
        <f t="shared" si="389"/>
        <v>0.10021432680053707</v>
      </c>
      <c r="AD177" s="138" t="e">
        <f t="shared" ref="AD177:AD179" si="390">((AC177/G177)^(1/($AC$3-$H$1) ))-1</f>
        <v>#DIV/0!</v>
      </c>
      <c r="AE177" s="31">
        <v>0.08</v>
      </c>
      <c r="AF177" s="127" t="e">
        <f t="shared" si="363"/>
        <v>#DIV/0!</v>
      </c>
    </row>
    <row r="178" spans="2:46" x14ac:dyDescent="0.2">
      <c r="B178" s="20" t="s">
        <v>320</v>
      </c>
      <c r="C178" s="152" t="e">
        <f t="shared" ref="C178:P178" si="391">C44/C170</f>
        <v>#DIV/0!</v>
      </c>
      <c r="D178" s="152" t="e">
        <f t="shared" si="391"/>
        <v>#DIV/0!</v>
      </c>
      <c r="E178" s="152" t="e">
        <f t="shared" si="391"/>
        <v>#DIV/0!</v>
      </c>
      <c r="F178" s="152" t="e">
        <f t="shared" si="391"/>
        <v>#DIV/0!</v>
      </c>
      <c r="G178" s="152" t="e">
        <f t="shared" si="391"/>
        <v>#DIV/0!</v>
      </c>
      <c r="H178" s="152" t="e">
        <f t="shared" si="391"/>
        <v>#DIV/0!</v>
      </c>
      <c r="I178" s="152" t="e">
        <f t="shared" si="391"/>
        <v>#DIV/0!</v>
      </c>
      <c r="J178" s="152" t="e">
        <f t="shared" si="391"/>
        <v>#DIV/0!</v>
      </c>
      <c r="K178" s="152">
        <f t="shared" si="391"/>
        <v>2.4518518518518518E-3</v>
      </c>
      <c r="L178" s="152">
        <f t="shared" si="391"/>
        <v>1.5785714285714285E-2</v>
      </c>
      <c r="M178" s="152">
        <f t="shared" si="391"/>
        <v>6.1403508771929825E-3</v>
      </c>
      <c r="N178" s="152">
        <f t="shared" si="391"/>
        <v>1.32E-2</v>
      </c>
      <c r="O178" s="152">
        <f t="shared" si="391"/>
        <v>0.03</v>
      </c>
      <c r="P178" s="152">
        <f t="shared" si="391"/>
        <v>5.3846153846153849E-2</v>
      </c>
      <c r="Q178" s="152">
        <f t="shared" ref="Q178" si="392">Q44/Q170</f>
        <v>6.363636363636363E-2</v>
      </c>
      <c r="R178" s="118" t="e">
        <f t="shared" si="384"/>
        <v>#DIV/0!</v>
      </c>
      <c r="S178" s="128"/>
      <c r="T178" s="152">
        <f t="shared" ref="T178:AC178" si="393">T44/T170</f>
        <v>5.1870148200423426E-2</v>
      </c>
      <c r="U178" s="152">
        <f t="shared" si="393"/>
        <v>4.9966656523343665E-2</v>
      </c>
      <c r="V178" s="152">
        <f t="shared" si="393"/>
        <v>4.8133017751844816E-2</v>
      </c>
      <c r="W178" s="152">
        <f t="shared" si="393"/>
        <v>4.6366668476547752E-2</v>
      </c>
      <c r="X178" s="152">
        <f t="shared" si="393"/>
        <v>4.4665139358142335E-2</v>
      </c>
      <c r="Y178" s="152">
        <f t="shared" si="393"/>
        <v>4.3026051675274721E-2</v>
      </c>
      <c r="Z178" s="152">
        <f t="shared" si="393"/>
        <v>4.1447113999117852E-2</v>
      </c>
      <c r="AA178" s="152">
        <f t="shared" si="393"/>
        <v>3.9926118989975903E-2</v>
      </c>
      <c r="AB178" s="152">
        <f t="shared" si="393"/>
        <v>3.8460940311444682E-2</v>
      </c>
      <c r="AC178" s="152">
        <f t="shared" si="393"/>
        <v>3.7049529657813683E-2</v>
      </c>
      <c r="AD178" s="138" t="e">
        <f t="shared" si="390"/>
        <v>#DIV/0!</v>
      </c>
      <c r="AE178" s="31">
        <v>0.08</v>
      </c>
      <c r="AF178" s="127" t="e">
        <f t="shared" si="363"/>
        <v>#DIV/0!</v>
      </c>
    </row>
    <row r="179" spans="2:46" x14ac:dyDescent="0.2">
      <c r="B179" s="20" t="s">
        <v>447</v>
      </c>
      <c r="C179" s="181" t="e">
        <f t="shared" ref="C179:O179" si="394">(C172)/($L$2*100)</f>
        <v>#DIV/0!</v>
      </c>
      <c r="D179" s="181" t="e">
        <f t="shared" si="394"/>
        <v>#DIV/0!</v>
      </c>
      <c r="E179" s="181" t="e">
        <f t="shared" si="394"/>
        <v>#DIV/0!</v>
      </c>
      <c r="F179" s="181">
        <f t="shared" si="394"/>
        <v>0</v>
      </c>
      <c r="G179" s="181">
        <f t="shared" si="394"/>
        <v>0</v>
      </c>
      <c r="H179" s="181">
        <f t="shared" si="394"/>
        <v>0</v>
      </c>
      <c r="I179" s="181">
        <f t="shared" si="394"/>
        <v>0</v>
      </c>
      <c r="J179" s="181">
        <f t="shared" si="394"/>
        <v>0</v>
      </c>
      <c r="K179" s="181">
        <f t="shared" si="394"/>
        <v>4.5726923076923081</v>
      </c>
      <c r="L179" s="181">
        <f t="shared" si="394"/>
        <v>1.0579788045135712</v>
      </c>
      <c r="M179" s="181">
        <f t="shared" si="394"/>
        <v>2.7316978532056861</v>
      </c>
      <c r="N179" s="181">
        <f t="shared" si="394"/>
        <v>1.2709327075960404</v>
      </c>
      <c r="O179" s="181">
        <f t="shared" si="394"/>
        <v>0.68215760495526501</v>
      </c>
      <c r="P179" s="181">
        <f>(P172)/($L$2*100)</f>
        <v>0.67724561126879024</v>
      </c>
      <c r="Q179" s="181">
        <f>(Q172)/($L$2*100)</f>
        <v>0.56670954831332199</v>
      </c>
      <c r="R179" s="118" t="e">
        <f t="shared" si="384"/>
        <v>#DIV/0!</v>
      </c>
      <c r="S179" s="128"/>
      <c r="T179" s="181">
        <f>(T172)/($L$2*100)</f>
        <v>0.68439837780679891</v>
      </c>
      <c r="U179" s="181">
        <f t="shared" ref="U179:AC179" si="395">(U172)/($L$2*100)</f>
        <v>0.69936959232132256</v>
      </c>
      <c r="V179" s="181">
        <f t="shared" si="395"/>
        <v>0.71466830215335164</v>
      </c>
      <c r="W179" s="181">
        <f t="shared" si="395"/>
        <v>0.7303016712629562</v>
      </c>
      <c r="X179" s="181">
        <f t="shared" si="395"/>
        <v>0.7462770203218333</v>
      </c>
      <c r="Y179" s="181">
        <f t="shared" si="395"/>
        <v>0.76260183014137317</v>
      </c>
      <c r="Z179" s="181">
        <f t="shared" si="395"/>
        <v>0.77928374517571586</v>
      </c>
      <c r="AA179" s="181">
        <f t="shared" si="395"/>
        <v>0.79633057710143484</v>
      </c>
      <c r="AB179" s="181">
        <f t="shared" si="395"/>
        <v>0.81375030847552854</v>
      </c>
      <c r="AC179" s="181">
        <f t="shared" si="395"/>
        <v>0.83155109647343084</v>
      </c>
      <c r="AD179" s="138" t="e">
        <f t="shared" si="390"/>
        <v>#DIV/0!</v>
      </c>
      <c r="AE179" s="31">
        <v>0.08</v>
      </c>
      <c r="AF179" s="181" t="e">
        <f>(AF172)/($L$2*100)</f>
        <v>#DIV/0!</v>
      </c>
    </row>
    <row r="180" spans="2:46" x14ac:dyDescent="0.2">
      <c r="B180" s="20" t="s">
        <v>448</v>
      </c>
      <c r="C180" s="152"/>
      <c r="D180" s="152"/>
      <c r="E180" s="152"/>
      <c r="F180" s="152"/>
      <c r="G180" s="152">
        <f t="shared" ref="G180:P180" si="396">G179-1</f>
        <v>-1</v>
      </c>
      <c r="H180" s="152">
        <f t="shared" si="396"/>
        <v>-1</v>
      </c>
      <c r="I180" s="152">
        <f t="shared" si="396"/>
        <v>-1</v>
      </c>
      <c r="J180" s="152">
        <f t="shared" si="396"/>
        <v>-1</v>
      </c>
      <c r="K180" s="152">
        <f t="shared" si="396"/>
        <v>3.5726923076923081</v>
      </c>
      <c r="L180" s="152">
        <f t="shared" si="396"/>
        <v>5.797880451357118E-2</v>
      </c>
      <c r="M180" s="152">
        <f t="shared" si="396"/>
        <v>1.7316978532056861</v>
      </c>
      <c r="N180" s="152">
        <f t="shared" si="396"/>
        <v>0.27093270759604038</v>
      </c>
      <c r="O180" s="152">
        <f t="shared" si="396"/>
        <v>-0.31784239504473499</v>
      </c>
      <c r="P180" s="152">
        <f t="shared" si="396"/>
        <v>-0.32275438873120976</v>
      </c>
      <c r="Q180" s="152">
        <f>Q179-1</f>
        <v>-0.43329045168667801</v>
      </c>
      <c r="R180" s="128"/>
      <c r="S180" s="128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7"/>
      <c r="AE180" s="20"/>
      <c r="AF180" s="127"/>
    </row>
    <row r="181" spans="2:46" x14ac:dyDescent="0.2">
      <c r="B181" s="20"/>
      <c r="C181" s="129"/>
      <c r="D181" s="129"/>
      <c r="E181" s="129"/>
      <c r="F181" s="129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20"/>
    </row>
    <row r="182" spans="2:46" x14ac:dyDescent="0.2">
      <c r="B182" s="108" t="s">
        <v>301</v>
      </c>
      <c r="C182" s="20"/>
      <c r="D182" s="20"/>
      <c r="E182" s="20"/>
      <c r="F182" s="20"/>
      <c r="G182" s="20"/>
      <c r="H182" s="20"/>
      <c r="I182" s="20"/>
      <c r="J182" s="20"/>
      <c r="K182" s="209" t="s">
        <v>351</v>
      </c>
      <c r="L182" s="210"/>
      <c r="M182" s="20"/>
      <c r="N182" s="20"/>
      <c r="O182" s="20"/>
      <c r="P182" s="108" t="s">
        <v>431</v>
      </c>
      <c r="Q182" s="108" t="s">
        <v>430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37"/>
      <c r="AE182" s="20"/>
      <c r="AF182" s="20"/>
    </row>
    <row r="183" spans="2:46" x14ac:dyDescent="0.2">
      <c r="B183" s="20" t="s">
        <v>299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20" t="s">
        <v>352</v>
      </c>
      <c r="L183" s="22">
        <v>1</v>
      </c>
      <c r="M183" s="20"/>
      <c r="N183" s="20"/>
      <c r="O183" s="20"/>
      <c r="P183" s="128">
        <f>(Q170-S158)/Q170</f>
        <v>0.39693823131343953</v>
      </c>
      <c r="Q183" s="128">
        <f>(Q170-T158)/Q170</f>
        <v>0.50386839882643142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349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2">
        <f>$L$183</f>
        <v>1</v>
      </c>
      <c r="L184" s="20"/>
      <c r="M184" s="128">
        <f>(P170-(K184*S149))/P170</f>
        <v>-0.18439382223357961</v>
      </c>
      <c r="N184" s="20"/>
      <c r="O184" s="20"/>
      <c r="P184" s="128">
        <f>(Q170-S149)/Q170</f>
        <v>-0.3997381535487759</v>
      </c>
      <c r="Q184" s="128">
        <f>(Q170-T149)/Q170</f>
        <v>0.80495451958746567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350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$L$183</f>
        <v>1</v>
      </c>
      <c r="L185" s="20"/>
      <c r="M185" s="128">
        <f>(P170-(K185*S142))/P170</f>
        <v>-0.32783712330525927</v>
      </c>
      <c r="N185" s="20"/>
      <c r="O185" s="20"/>
      <c r="P185" s="128">
        <f>(Q170-S142)/Q170</f>
        <v>-0.56926205481530634</v>
      </c>
      <c r="Q185" s="128">
        <f>(Q170-T142)/Q170</f>
        <v>0.78133233662409662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353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$L$183</f>
        <v>1</v>
      </c>
      <c r="L186" s="20"/>
      <c r="M186" s="128">
        <f>(P170-(K186*S155))/P170</f>
        <v>1</v>
      </c>
      <c r="N186" s="20"/>
      <c r="O186" s="20"/>
      <c r="P186" s="128">
        <f>(Q170-S155)/Q170</f>
        <v>1</v>
      </c>
      <c r="Q186" s="128">
        <f>(Q170-T155)/Q170</f>
        <v>1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400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$L$183</f>
        <v>1</v>
      </c>
      <c r="L187" s="20"/>
      <c r="M187" s="128">
        <f>(P170-(K187*S167))/P170</f>
        <v>1</v>
      </c>
      <c r="N187" s="20"/>
      <c r="O187" s="20"/>
      <c r="P187" s="128">
        <f>(Q170-S167)/Q170</f>
        <v>1</v>
      </c>
      <c r="Q187" s="128">
        <f>(Q170-T167)/Q170</f>
        <v>1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300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5">
        <f>Q170/S141</f>
        <v>2.9756517762824868</v>
      </c>
      <c r="Q188" s="25">
        <f>Q170/T141</f>
        <v>21.354677453321372</v>
      </c>
      <c r="R188" s="20"/>
      <c r="S188" s="20"/>
      <c r="T188" s="115" t="s">
        <v>11</v>
      </c>
      <c r="U188" s="115" t="s">
        <v>12</v>
      </c>
      <c r="V188" s="115" t="s">
        <v>13</v>
      </c>
      <c r="W188" s="115" t="s">
        <v>14</v>
      </c>
      <c r="X188" s="115" t="s">
        <v>15</v>
      </c>
      <c r="Y188" s="115" t="s">
        <v>234</v>
      </c>
      <c r="Z188" s="115" t="s">
        <v>235</v>
      </c>
      <c r="AA188" s="115" t="s">
        <v>236</v>
      </c>
      <c r="AB188" s="115" t="s">
        <v>237</v>
      </c>
      <c r="AC188" s="115" t="s">
        <v>238</v>
      </c>
      <c r="AD188" s="115" t="s">
        <v>408</v>
      </c>
      <c r="AE188" s="115" t="s">
        <v>409</v>
      </c>
      <c r="AF188" s="115" t="s">
        <v>410</v>
      </c>
      <c r="AG188" s="115" t="s">
        <v>411</v>
      </c>
      <c r="AH188" s="115" t="s">
        <v>412</v>
      </c>
      <c r="AI188" s="115" t="s">
        <v>413</v>
      </c>
      <c r="AJ188" s="115" t="s">
        <v>414</v>
      </c>
      <c r="AK188" s="115" t="s">
        <v>415</v>
      </c>
      <c r="AL188" s="115" t="s">
        <v>416</v>
      </c>
      <c r="AM188" s="115" t="s">
        <v>417</v>
      </c>
      <c r="AN188" s="115" t="s">
        <v>418</v>
      </c>
      <c r="AO188" s="115" t="s">
        <v>419</v>
      </c>
      <c r="AP188" s="115" t="s">
        <v>420</v>
      </c>
      <c r="AQ188" s="115" t="s">
        <v>421</v>
      </c>
      <c r="AR188" s="115" t="s">
        <v>422</v>
      </c>
      <c r="AS188" s="115" t="s">
        <v>423</v>
      </c>
      <c r="AT188" s="115" t="s">
        <v>424</v>
      </c>
    </row>
    <row r="189" spans="2:46" x14ac:dyDescent="0.2">
      <c r="B189" s="20" t="s">
        <v>371</v>
      </c>
      <c r="C189" s="20"/>
      <c r="D189" s="20"/>
      <c r="E189" s="20"/>
      <c r="F189" s="20"/>
      <c r="G189" s="189" t="s">
        <v>449</v>
      </c>
      <c r="H189" s="190"/>
      <c r="I189" s="189" t="s">
        <v>450</v>
      </c>
      <c r="J189" s="190"/>
      <c r="K189" s="20"/>
      <c r="L189" s="189" t="s">
        <v>451</v>
      </c>
      <c r="M189" s="190"/>
      <c r="N189" s="189" t="s">
        <v>452</v>
      </c>
      <c r="O189" s="190"/>
      <c r="P189" s="152">
        <f>1/P188</f>
        <v>0.33606082807488669</v>
      </c>
      <c r="Q189" s="152">
        <f>1/Q188</f>
        <v>4.6828148174369463E-2</v>
      </c>
      <c r="R189" s="20"/>
      <c r="S189" s="20"/>
      <c r="T189" s="129">
        <f>Q170-T190</f>
        <v>39.705356310629085</v>
      </c>
      <c r="U189" s="185">
        <f>T189-U190</f>
        <v>-34.104019563210372</v>
      </c>
      <c r="V189" s="185">
        <f t="shared" ref="V189:X189" si="397">U189-V190</f>
        <v>-111.60386423074181</v>
      </c>
      <c r="W189" s="185">
        <f t="shared" si="397"/>
        <v>-192.97870113164981</v>
      </c>
      <c r="X189" s="185">
        <f t="shared" si="397"/>
        <v>-278.42227987760322</v>
      </c>
      <c r="Y189" s="185">
        <f>X189-Y190</f>
        <v>-368.13803756085429</v>
      </c>
      <c r="Z189" s="185">
        <f t="shared" ref="Z189:AC189" si="398">Y189-Z190</f>
        <v>-462.33958312826792</v>
      </c>
      <c r="AA189" s="185">
        <f t="shared" si="398"/>
        <v>-561.25120597405225</v>
      </c>
      <c r="AB189" s="185">
        <f t="shared" si="398"/>
        <v>-665.10840996212585</v>
      </c>
      <c r="AC189" s="185">
        <f t="shared" si="398"/>
        <v>-774.15847414960308</v>
      </c>
      <c r="AD189" s="185">
        <f t="shared" ref="AD189" si="399">AC189-AD190</f>
        <v>-888.66104154645427</v>
      </c>
      <c r="AE189" s="185">
        <f t="shared" ref="AE189" si="400">AD189-AE190</f>
        <v>-1008.888737313148</v>
      </c>
      <c r="AF189" s="185">
        <f t="shared" ref="AF189" si="401">AE189-AF190</f>
        <v>-1135.1278178681764</v>
      </c>
      <c r="AG189" s="185">
        <f t="shared" ref="AG189" si="402">AF189-AG190</f>
        <v>-1267.6788524509561</v>
      </c>
      <c r="AH189" s="185">
        <f t="shared" ref="AH189" si="403">AG189-AH190</f>
        <v>-1406.8574387628748</v>
      </c>
      <c r="AI189" s="185">
        <f t="shared" ref="AI189" si="404">AH189-AI190</f>
        <v>-1552.9949543903895</v>
      </c>
      <c r="AJ189" s="185">
        <f t="shared" ref="AJ189" si="405">AI189-AJ190</f>
        <v>-1706.4393457992799</v>
      </c>
      <c r="AK189" s="185">
        <f t="shared" ref="AK189" si="406">AJ189-AK190</f>
        <v>-1867.5559567786149</v>
      </c>
      <c r="AL189" s="185">
        <f t="shared" ref="AL189" si="407">AK189-AL190</f>
        <v>-2036.7283983069167</v>
      </c>
      <c r="AM189" s="185">
        <f t="shared" ref="AM189" si="408">AL189-AM190</f>
        <v>-2214.3594619116334</v>
      </c>
      <c r="AN189" s="185">
        <f t="shared" ref="AN189" si="409">AM189-AN190</f>
        <v>-2400.872078696586</v>
      </c>
      <c r="AO189" s="185">
        <f t="shared" ref="AO189" si="410">AN189-AO190</f>
        <v>-2596.7103263207864</v>
      </c>
      <c r="AP189" s="185">
        <f t="shared" ref="AP189" si="411">AO189-AP190</f>
        <v>-2802.3404863261967</v>
      </c>
      <c r="AQ189" s="185">
        <f t="shared" ref="AQ189" si="412">AP189-AQ190</f>
        <v>-3018.2521543318776</v>
      </c>
      <c r="AR189" s="185">
        <f t="shared" ref="AR189" si="413">AQ189-AR190</f>
        <v>-3244.9594057378426</v>
      </c>
      <c r="AS189" s="185">
        <f t="shared" ref="AS189" si="414">AR189-AS190</f>
        <v>-3483.0020197141057</v>
      </c>
      <c r="AT189" s="185">
        <f t="shared" ref="AT189" si="415">AS189-AT190</f>
        <v>-3732.9467643891821</v>
      </c>
    </row>
    <row r="190" spans="2:46" x14ac:dyDescent="0.2">
      <c r="B190" s="20" t="s">
        <v>397</v>
      </c>
      <c r="C190" s="20"/>
      <c r="D190" s="20"/>
      <c r="E190" s="20"/>
      <c r="F190" s="20"/>
      <c r="G190" s="191">
        <v>0</v>
      </c>
      <c r="H190" s="190"/>
      <c r="I190" s="191">
        <v>0.05</v>
      </c>
      <c r="J190" s="190"/>
      <c r="K190" s="184">
        <f>P1</f>
        <v>0.05</v>
      </c>
      <c r="L190" s="191">
        <v>0.12</v>
      </c>
      <c r="M190" s="190"/>
      <c r="N190" s="191">
        <v>0.2</v>
      </c>
      <c r="O190" s="190"/>
      <c r="P190" s="181">
        <f>Q170/R140</f>
        <v>1.643083938377861</v>
      </c>
      <c r="Q190" s="181" t="e">
        <f>Q170/S140</f>
        <v>#DIV/0!</v>
      </c>
      <c r="R190" s="20"/>
      <c r="S190" s="20"/>
      <c r="T190" s="186">
        <f>R140*(1+$K$190)</f>
        <v>70.294643689370915</v>
      </c>
      <c r="U190" s="186">
        <f>T190*(1+$K$190)</f>
        <v>73.809375873839457</v>
      </c>
      <c r="V190" s="186">
        <f t="shared" ref="V190:AC190" si="416">U190*(1+$K$190)</f>
        <v>77.499844667531434</v>
      </c>
      <c r="W190" s="186">
        <f t="shared" si="416"/>
        <v>81.374836900908008</v>
      </c>
      <c r="X190" s="186">
        <f t="shared" si="416"/>
        <v>85.443578745953417</v>
      </c>
      <c r="Y190" s="186">
        <f t="shared" si="416"/>
        <v>89.715757683251098</v>
      </c>
      <c r="Z190" s="186">
        <f t="shared" si="416"/>
        <v>94.20154556741366</v>
      </c>
      <c r="AA190" s="186">
        <f t="shared" si="416"/>
        <v>98.91162284578435</v>
      </c>
      <c r="AB190" s="186">
        <f t="shared" si="416"/>
        <v>103.85720398807358</v>
      </c>
      <c r="AC190" s="186">
        <f t="shared" si="416"/>
        <v>109.05006418747726</v>
      </c>
      <c r="AD190" s="186">
        <f t="shared" ref="AD190" si="417">AC190*(1+$K$190)</f>
        <v>114.50256739685113</v>
      </c>
      <c r="AE190" s="186">
        <f t="shared" ref="AE190" si="418">AD190*(1+$K$190)</f>
        <v>120.2276957666937</v>
      </c>
      <c r="AF190" s="186">
        <f t="shared" ref="AF190" si="419">AE190*(1+$K$190)</f>
        <v>126.23908055502839</v>
      </c>
      <c r="AG190" s="186">
        <f t="shared" ref="AG190" si="420">AF190*(1+$K$190)</f>
        <v>132.55103458277981</v>
      </c>
      <c r="AH190" s="186">
        <f t="shared" ref="AH190" si="421">AG190*(1+$K$190)</f>
        <v>139.17858631191879</v>
      </c>
      <c r="AI190" s="186">
        <f t="shared" ref="AI190" si="422">AH190*(1+$K$190)</f>
        <v>146.13751562751474</v>
      </c>
      <c r="AJ190" s="186">
        <f t="shared" ref="AJ190" si="423">AI190*(1+$K$190)</f>
        <v>153.44439140889048</v>
      </c>
      <c r="AK190" s="186">
        <f t="shared" ref="AK190" si="424">AJ190*(1+$K$190)</f>
        <v>161.11661097933501</v>
      </c>
      <c r="AL190" s="186">
        <f t="shared" ref="AL190" si="425">AK190*(1+$K$190)</f>
        <v>169.17244152830176</v>
      </c>
      <c r="AM190" s="186">
        <f t="shared" ref="AM190" si="426">AL190*(1+$K$190)</f>
        <v>177.63106360471684</v>
      </c>
      <c r="AN190" s="186">
        <f t="shared" ref="AN190" si="427">AM190*(1+$K$190)</f>
        <v>186.51261678495268</v>
      </c>
      <c r="AO190" s="186">
        <f t="shared" ref="AO190" si="428">AN190*(1+$K$190)</f>
        <v>195.83824762420033</v>
      </c>
      <c r="AP190" s="186">
        <f t="shared" ref="AP190" si="429">AO190*(1+$K$190)</f>
        <v>205.63016000541037</v>
      </c>
      <c r="AQ190" s="186">
        <f t="shared" ref="AQ190" si="430">AP190*(1+$K$190)</f>
        <v>215.91166800568089</v>
      </c>
      <c r="AR190" s="186">
        <f t="shared" ref="AR190" si="431">AQ190*(1+$K$190)</f>
        <v>226.70725140596494</v>
      </c>
      <c r="AS190" s="186">
        <f t="shared" ref="AS190" si="432">AR190*(1+$K$190)</f>
        <v>238.0426139762632</v>
      </c>
      <c r="AT190" s="186">
        <f t="shared" ref="AT190" si="433">AS190*(1+$K$190)</f>
        <v>249.94474467507638</v>
      </c>
    </row>
    <row r="191" spans="2:46" x14ac:dyDescent="0.2">
      <c r="B191" s="20" t="s">
        <v>396</v>
      </c>
      <c r="C191" s="20"/>
      <c r="D191" s="20"/>
      <c r="E191" s="20"/>
      <c r="F191" s="20"/>
      <c r="G191" s="191">
        <v>0</v>
      </c>
      <c r="H191" s="192">
        <f>Q172</f>
        <v>6.8005145797598638</v>
      </c>
      <c r="I191" s="191">
        <v>0.05</v>
      </c>
      <c r="J191" s="190">
        <v>7</v>
      </c>
      <c r="K191" s="184">
        <v>0.2</v>
      </c>
      <c r="L191" s="191">
        <v>0.12</v>
      </c>
      <c r="M191" s="190">
        <v>6</v>
      </c>
      <c r="N191" s="191">
        <v>0.2</v>
      </c>
      <c r="O191" s="190">
        <v>5</v>
      </c>
      <c r="P191" s="181">
        <f>Q170/P54</f>
        <v>6.8766477451907919</v>
      </c>
      <c r="Q191" s="181">
        <f>Q170/Q54</f>
        <v>6.8005145797598638</v>
      </c>
      <c r="R191" s="20"/>
      <c r="S191" s="20"/>
      <c r="T191" s="186">
        <f>Q54*(1+$K$191)</f>
        <v>19.410295860973083</v>
      </c>
      <c r="U191" s="186">
        <f>T191*(1+$K$191)</f>
        <v>23.292355033167699</v>
      </c>
      <c r="V191" s="186">
        <f t="shared" ref="V191:AC191" si="434">U191*(1+$K$191)</f>
        <v>27.950826039801239</v>
      </c>
      <c r="W191" s="186">
        <f t="shared" si="434"/>
        <v>33.540991247761482</v>
      </c>
      <c r="X191" s="186">
        <f t="shared" si="434"/>
        <v>40.249189497313779</v>
      </c>
      <c r="Y191" s="186">
        <f t="shared" si="434"/>
        <v>48.29902739677653</v>
      </c>
      <c r="Z191" s="186">
        <f t="shared" si="434"/>
        <v>57.958832876131837</v>
      </c>
      <c r="AA191" s="186">
        <f t="shared" si="434"/>
        <v>69.550599451358195</v>
      </c>
      <c r="AB191" s="186">
        <f t="shared" si="434"/>
        <v>83.460719341629826</v>
      </c>
      <c r="AC191" s="186">
        <f t="shared" si="434"/>
        <v>100.15286320995578</v>
      </c>
      <c r="AD191" s="186">
        <f t="shared" ref="AD191" si="435">AC191*(1+$K$191)</f>
        <v>120.18343585194694</v>
      </c>
      <c r="AE191" s="186">
        <f t="shared" ref="AE191" si="436">AD191*(1+$K$191)</f>
        <v>144.22012302233631</v>
      </c>
      <c r="AF191" s="186">
        <f t="shared" ref="AF191" si="437">AE191*(1+$K$191)</f>
        <v>173.06414762680356</v>
      </c>
      <c r="AG191" s="186">
        <f t="shared" ref="AG191" si="438">AF191*(1+$K$191)</f>
        <v>207.67697715216426</v>
      </c>
      <c r="AH191" s="186">
        <f t="shared" ref="AH191" si="439">AG191*(1+$K$191)</f>
        <v>249.21237258259708</v>
      </c>
      <c r="AI191" s="186">
        <f t="shared" ref="AI191" si="440">AH191*(1+$K$191)</f>
        <v>299.0548470991165</v>
      </c>
      <c r="AJ191" s="186">
        <f t="shared" ref="AJ191" si="441">AI191*(1+$K$191)</f>
        <v>358.86581651893977</v>
      </c>
      <c r="AK191" s="186">
        <f t="shared" ref="AK191" si="442">AJ191*(1+$K$191)</f>
        <v>430.63897982272772</v>
      </c>
      <c r="AL191" s="186">
        <f t="shared" ref="AL191" si="443">AK191*(1+$K$191)</f>
        <v>516.76677578727322</v>
      </c>
      <c r="AM191" s="186">
        <f t="shared" ref="AM191" si="444">AL191*(1+$K$191)</f>
        <v>620.12013094472786</v>
      </c>
      <c r="AN191" s="186">
        <f t="shared" ref="AN191" si="445">AM191*(1+$K$191)</f>
        <v>744.14415713367339</v>
      </c>
      <c r="AO191" s="186">
        <f t="shared" ref="AO191" si="446">AN191*(1+$K$191)</f>
        <v>892.972988560408</v>
      </c>
      <c r="AP191" s="186">
        <f t="shared" ref="AP191" si="447">AO191*(1+$K$191)</f>
        <v>1071.5675862724895</v>
      </c>
      <c r="AQ191" s="186">
        <f t="shared" ref="AQ191" si="448">AP191*(1+$K$191)</f>
        <v>1285.8811035269873</v>
      </c>
      <c r="AR191" s="186">
        <f t="shared" ref="AR191" si="449">AQ191*(1+$K$191)</f>
        <v>1543.0573242323846</v>
      </c>
      <c r="AS191" s="186">
        <f t="shared" ref="AS191" si="450">AR191*(1+$K$191)</f>
        <v>1851.6687890788614</v>
      </c>
      <c r="AT191" s="186">
        <f t="shared" ref="AT191" si="451">AS191*(1+$K$191)</f>
        <v>2222.0025468946337</v>
      </c>
    </row>
    <row r="192" spans="2:46" x14ac:dyDescent="0.2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129">
        <f>Q170-T191</f>
        <v>90.589704139026921</v>
      </c>
      <c r="U192" s="185">
        <f>T192-U191</f>
        <v>67.297349105859226</v>
      </c>
      <c r="V192" s="185">
        <f t="shared" ref="V192:AA192" si="452">U192-V191</f>
        <v>39.346523066057983</v>
      </c>
      <c r="W192" s="185">
        <f t="shared" si="452"/>
        <v>5.805531818296501</v>
      </c>
      <c r="X192" s="185">
        <f t="shared" si="452"/>
        <v>-34.443657679017278</v>
      </c>
      <c r="Y192" s="185">
        <f t="shared" si="452"/>
        <v>-82.742685075793815</v>
      </c>
      <c r="Z192" s="185">
        <f t="shared" si="452"/>
        <v>-140.70151795192567</v>
      </c>
      <c r="AA192" s="185">
        <f t="shared" si="452"/>
        <v>-210.25211740328388</v>
      </c>
      <c r="AB192" s="185">
        <f>AA192-AB191</f>
        <v>-293.71283674491372</v>
      </c>
      <c r="AC192" s="185">
        <f t="shared" ref="AC192" si="453">AB192-AC191</f>
        <v>-393.86569995486951</v>
      </c>
      <c r="AD192" s="185">
        <f t="shared" ref="AD192" si="454">AC192-AD191</f>
        <v>-514.04913580681648</v>
      </c>
      <c r="AE192" s="185">
        <f t="shared" ref="AE192" si="455">AD192-AE191</f>
        <v>-658.26925882915282</v>
      </c>
      <c r="AF192" s="185">
        <f t="shared" ref="AF192" si="456">AE192-AF191</f>
        <v>-831.33340645595638</v>
      </c>
      <c r="AG192" s="185">
        <f t="shared" ref="AG192" si="457">AF192-AG191</f>
        <v>-1039.0103836081207</v>
      </c>
      <c r="AH192" s="185">
        <f t="shared" ref="AH192" si="458">AG192-AH191</f>
        <v>-1288.2227561907177</v>
      </c>
      <c r="AI192" s="185">
        <f t="shared" ref="AI192" si="459">AH192-AI191</f>
        <v>-1587.2776032898341</v>
      </c>
      <c r="AJ192" s="185">
        <f t="shared" ref="AJ192" si="460">AI192-AJ191</f>
        <v>-1946.1434198087738</v>
      </c>
      <c r="AK192" s="185">
        <f t="shared" ref="AK192" si="461">AJ192-AK191</f>
        <v>-2376.7823996315014</v>
      </c>
      <c r="AL192" s="185">
        <f t="shared" ref="AL192" si="462">AK192-AL191</f>
        <v>-2893.5491754187747</v>
      </c>
      <c r="AM192" s="185">
        <f t="shared" ref="AM192" si="463">AL192-AM191</f>
        <v>-3513.6693063635025</v>
      </c>
      <c r="AN192" s="185">
        <f t="shared" ref="AN192" si="464">AM192-AN191</f>
        <v>-4257.8134634971757</v>
      </c>
      <c r="AO192" s="185">
        <f t="shared" ref="AO192" si="465">AN192-AO191</f>
        <v>-5150.786452057584</v>
      </c>
      <c r="AP192" s="185">
        <f t="shared" ref="AP192" si="466">AO192-AP191</f>
        <v>-6222.3540383300733</v>
      </c>
      <c r="AQ192" s="185">
        <f t="shared" ref="AQ192" si="467">AP192-AQ191</f>
        <v>-7508.2351418570606</v>
      </c>
      <c r="AR192" s="185">
        <f t="shared" ref="AR192" si="468">AQ192-AR191</f>
        <v>-9051.292466089446</v>
      </c>
      <c r="AS192" s="185">
        <f t="shared" ref="AS192" si="469">AR192-AS191</f>
        <v>-10902.961255168308</v>
      </c>
      <c r="AT192" s="185">
        <f t="shared" ref="AT192" si="470">AS192-AT191</f>
        <v>-13124.963802062941</v>
      </c>
    </row>
    <row r="193" spans="2:32" x14ac:dyDescent="0.2">
      <c r="B193" s="108" t="s">
        <v>302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2:32" x14ac:dyDescent="0.2">
      <c r="B194" s="20" t="s">
        <v>305</v>
      </c>
      <c r="C194" s="25" t="e">
        <f t="shared" ref="C194:P194" si="471">C10/C7</f>
        <v>#DIV/0!</v>
      </c>
      <c r="D194" s="25" t="e">
        <f t="shared" si="471"/>
        <v>#DIV/0!</v>
      </c>
      <c r="E194" s="25" t="e">
        <f t="shared" si="471"/>
        <v>#DIV/0!</v>
      </c>
      <c r="F194" s="25">
        <f t="shared" si="471"/>
        <v>0</v>
      </c>
      <c r="G194" s="25">
        <f t="shared" si="471"/>
        <v>0</v>
      </c>
      <c r="H194" s="25">
        <f t="shared" si="471"/>
        <v>0</v>
      </c>
      <c r="I194" s="25">
        <f t="shared" si="471"/>
        <v>0</v>
      </c>
      <c r="J194" s="25">
        <f t="shared" si="471"/>
        <v>0</v>
      </c>
      <c r="K194" s="25">
        <f t="shared" si="471"/>
        <v>0</v>
      </c>
      <c r="L194" s="25">
        <f t="shared" si="471"/>
        <v>0</v>
      </c>
      <c r="M194" s="25">
        <f t="shared" si="471"/>
        <v>0</v>
      </c>
      <c r="N194" s="25">
        <f t="shared" si="471"/>
        <v>0</v>
      </c>
      <c r="O194" s="25">
        <f t="shared" si="471"/>
        <v>0</v>
      </c>
      <c r="P194" s="25">
        <f t="shared" si="471"/>
        <v>0</v>
      </c>
      <c r="Q194" s="25">
        <f t="shared" ref="Q194" si="472">Q10/Q7</f>
        <v>0</v>
      </c>
      <c r="R194" s="118" t="e">
        <f t="shared" ref="R194:R196" si="473">((P194/G194)^(1/($H$2-$H$1) ))-1</f>
        <v>#DIV/0!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32" x14ac:dyDescent="0.2">
      <c r="B195" s="20" t="s">
        <v>306</v>
      </c>
      <c r="C195" s="112" t="e">
        <f>C10/C12</f>
        <v>#DIV/0!</v>
      </c>
      <c r="D195" s="112" t="e">
        <f>D10/D12</f>
        <v>#DIV/0!</v>
      </c>
      <c r="E195" s="112" t="e">
        <f>E10/E12</f>
        <v>#DIV/0!</v>
      </c>
      <c r="F195" s="112">
        <f>F10/F12</f>
        <v>0</v>
      </c>
      <c r="G195" s="112">
        <f>G10/G12</f>
        <v>0</v>
      </c>
      <c r="H195" s="112">
        <f t="shared" ref="H195:P195" si="474">H10/H12</f>
        <v>0</v>
      </c>
      <c r="I195" s="112">
        <f t="shared" si="474"/>
        <v>0</v>
      </c>
      <c r="J195" s="112">
        <f t="shared" si="474"/>
        <v>0</v>
      </c>
      <c r="K195" s="112">
        <f t="shared" si="474"/>
        <v>0</v>
      </c>
      <c r="L195" s="112">
        <f t="shared" si="474"/>
        <v>0</v>
      </c>
      <c r="M195" s="112">
        <f t="shared" si="474"/>
        <v>0</v>
      </c>
      <c r="N195" s="112">
        <f t="shared" si="474"/>
        <v>0</v>
      </c>
      <c r="O195" s="112">
        <f t="shared" si="474"/>
        <v>0</v>
      </c>
      <c r="P195" s="112">
        <f t="shared" si="474"/>
        <v>0</v>
      </c>
      <c r="Q195" s="112" t="e">
        <f t="shared" ref="Q195" si="475">Q10/Q12</f>
        <v>#DIV/0!</v>
      </c>
      <c r="R195" s="118" t="e">
        <f t="shared" si="473"/>
        <v>#DIV/0!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32" x14ac:dyDescent="0.2">
      <c r="B196" s="20" t="s">
        <v>307</v>
      </c>
      <c r="C196" s="25" t="e">
        <f>C10/(C12+C13)</f>
        <v>#DIV/0!</v>
      </c>
      <c r="D196" s="25" t="e">
        <f>D10/(D12+D13)</f>
        <v>#DIV/0!</v>
      </c>
      <c r="E196" s="25" t="e">
        <f>E10/(E12+E13)</f>
        <v>#DIV/0!</v>
      </c>
      <c r="F196" s="25">
        <f>F10/(F12+F13)</f>
        <v>0</v>
      </c>
      <c r="G196" s="25">
        <f>G10/(G12+G13)</f>
        <v>0</v>
      </c>
      <c r="H196" s="25">
        <f t="shared" ref="H196:P196" si="476">H10/(H12+H13)</f>
        <v>0</v>
      </c>
      <c r="I196" s="25">
        <f t="shared" si="476"/>
        <v>0</v>
      </c>
      <c r="J196" s="25">
        <f t="shared" si="476"/>
        <v>0</v>
      </c>
      <c r="K196" s="25">
        <f t="shared" si="476"/>
        <v>0</v>
      </c>
      <c r="L196" s="25">
        <f t="shared" si="476"/>
        <v>0</v>
      </c>
      <c r="M196" s="25">
        <f t="shared" si="476"/>
        <v>0</v>
      </c>
      <c r="N196" s="25">
        <f t="shared" si="476"/>
        <v>0</v>
      </c>
      <c r="O196" s="25">
        <f t="shared" si="476"/>
        <v>0</v>
      </c>
      <c r="P196" s="25">
        <f t="shared" si="476"/>
        <v>0</v>
      </c>
      <c r="Q196" s="25" t="e">
        <f t="shared" ref="Q196" si="477">Q10/(Q12+Q13)</f>
        <v>#DIV/0!</v>
      </c>
      <c r="R196" s="118" t="e">
        <f t="shared" si="473"/>
        <v>#DIV/0!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32" x14ac:dyDescent="0.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32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32" x14ac:dyDescent="0.2">
      <c r="B199" s="20"/>
      <c r="C199" s="174" t="s">
        <v>377</v>
      </c>
      <c r="D199" s="175"/>
      <c r="E199" s="175"/>
      <c r="F199" s="175"/>
      <c r="G199" s="175"/>
      <c r="H199" s="175"/>
      <c r="I199" s="175"/>
      <c r="J199" s="175"/>
      <c r="K199" s="20"/>
      <c r="L199" s="206" t="s">
        <v>337</v>
      </c>
      <c r="M199" s="207"/>
      <c r="N199" s="208"/>
      <c r="O199" s="23" t="s">
        <v>340</v>
      </c>
      <c r="P199" s="20"/>
      <c r="Q199" s="137"/>
      <c r="R199" s="206" t="s">
        <v>338</v>
      </c>
      <c r="S199" s="207"/>
      <c r="T199" s="208"/>
      <c r="U199" s="23" t="s">
        <v>340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32" x14ac:dyDescent="0.2">
      <c r="B200" s="20"/>
      <c r="C200" s="166" t="s">
        <v>339</v>
      </c>
      <c r="D200" s="166" t="s">
        <v>0</v>
      </c>
      <c r="E200" s="166" t="s">
        <v>378</v>
      </c>
      <c r="F200" s="166" t="s">
        <v>379</v>
      </c>
      <c r="G200" s="166" t="s">
        <v>380</v>
      </c>
      <c r="H200" s="166" t="s">
        <v>381</v>
      </c>
      <c r="I200" s="166" t="s">
        <v>382</v>
      </c>
      <c r="J200" s="166" t="s">
        <v>383</v>
      </c>
      <c r="K200" s="20"/>
      <c r="L200" s="166" t="s">
        <v>339</v>
      </c>
      <c r="M200" s="166"/>
      <c r="N200" s="166" t="s">
        <v>0</v>
      </c>
      <c r="O200" s="166" t="s">
        <v>372</v>
      </c>
      <c r="P200" s="20"/>
      <c r="Q200" s="20"/>
      <c r="R200" s="166" t="s">
        <v>339</v>
      </c>
      <c r="S200" s="166"/>
      <c r="T200" s="166" t="s">
        <v>0</v>
      </c>
      <c r="U200" s="166" t="s">
        <v>372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32" x14ac:dyDescent="0.2">
      <c r="B201" s="20"/>
      <c r="C201" s="167" t="s">
        <v>341</v>
      </c>
      <c r="D201" s="21">
        <v>1</v>
      </c>
      <c r="E201" s="176" t="s">
        <v>384</v>
      </c>
      <c r="F201" s="22">
        <v>1</v>
      </c>
      <c r="G201" s="22">
        <v>1</v>
      </c>
      <c r="H201" s="167">
        <f>F201/G201</f>
        <v>1</v>
      </c>
      <c r="I201" s="167">
        <f>H201*D202</f>
        <v>1</v>
      </c>
      <c r="J201" s="177">
        <f>I201+D202</f>
        <v>2</v>
      </c>
      <c r="K201" s="20"/>
      <c r="L201" s="167" t="s">
        <v>341</v>
      </c>
      <c r="M201" s="167"/>
      <c r="N201" s="21">
        <v>1</v>
      </c>
      <c r="O201" s="173">
        <f>N201</f>
        <v>1</v>
      </c>
      <c r="P201" s="20"/>
      <c r="Q201" s="20"/>
      <c r="R201" s="167" t="s">
        <v>341</v>
      </c>
      <c r="S201" s="167"/>
      <c r="T201" s="21">
        <v>1</v>
      </c>
      <c r="U201" s="173">
        <f>T201</f>
        <v>1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32" x14ac:dyDescent="0.2">
      <c r="B202" s="20"/>
      <c r="C202" s="167" t="s">
        <v>342</v>
      </c>
      <c r="D202" s="21">
        <v>1</v>
      </c>
      <c r="E202" s="176" t="s">
        <v>385</v>
      </c>
      <c r="F202" s="22">
        <v>0</v>
      </c>
      <c r="G202" s="22">
        <v>1</v>
      </c>
      <c r="H202" s="167">
        <f>F202/G202</f>
        <v>0</v>
      </c>
      <c r="I202" s="167">
        <f>H202*J201</f>
        <v>0</v>
      </c>
      <c r="J202" s="167">
        <f>I202+J201</f>
        <v>2</v>
      </c>
      <c r="K202" s="20"/>
      <c r="L202" s="167" t="s">
        <v>342</v>
      </c>
      <c r="M202" s="167"/>
      <c r="N202" s="21">
        <v>1</v>
      </c>
      <c r="O202" s="173">
        <f>N202</f>
        <v>1</v>
      </c>
      <c r="P202" s="20"/>
      <c r="Q202" s="20"/>
      <c r="R202" s="167" t="s">
        <v>342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32" x14ac:dyDescent="0.2">
      <c r="B203" s="20"/>
      <c r="C203" s="167" t="s">
        <v>344</v>
      </c>
      <c r="D203" s="168">
        <f>D201*D202</f>
        <v>1</v>
      </c>
      <c r="E203" s="176" t="s">
        <v>398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343</v>
      </c>
      <c r="M203" s="167"/>
      <c r="N203" s="168">
        <f>N201*N202</f>
        <v>1</v>
      </c>
      <c r="O203" s="173">
        <f>N203</f>
        <v>1</v>
      </c>
      <c r="P203" s="20"/>
      <c r="Q203" s="20"/>
      <c r="R203" s="167" t="s">
        <v>344</v>
      </c>
      <c r="S203" s="167"/>
      <c r="T203" s="168">
        <f>T201*T202</f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32" x14ac:dyDescent="0.2">
      <c r="B204" s="20"/>
      <c r="C204" s="167"/>
      <c r="D204" s="168"/>
      <c r="E204" s="176" t="s">
        <v>386</v>
      </c>
      <c r="F204" s="22">
        <v>10</v>
      </c>
      <c r="G204" s="22">
        <v>1</v>
      </c>
      <c r="H204" s="167">
        <f>F204/G204</f>
        <v>10</v>
      </c>
      <c r="I204" s="167">
        <f>H204*J203</f>
        <v>20</v>
      </c>
      <c r="J204" s="167">
        <f>I204</f>
        <v>20</v>
      </c>
      <c r="K204" s="20"/>
      <c r="L204" s="167" t="s">
        <v>345</v>
      </c>
      <c r="M204" s="167"/>
      <c r="N204" s="21">
        <v>1</v>
      </c>
      <c r="O204" s="21">
        <v>1</v>
      </c>
      <c r="P204" s="20"/>
      <c r="Q204" s="20"/>
      <c r="R204" s="167" t="s">
        <v>345</v>
      </c>
      <c r="S204" s="167"/>
      <c r="T204" s="21">
        <v>1</v>
      </c>
      <c r="U204" s="21"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32" x14ac:dyDescent="0.2">
      <c r="B205" s="20"/>
      <c r="C205" s="167" t="s">
        <v>345</v>
      </c>
      <c r="D205" s="21">
        <v>1</v>
      </c>
      <c r="E205" s="176"/>
      <c r="F205" s="167"/>
      <c r="G205" s="167"/>
      <c r="H205" s="169" t="s">
        <v>387</v>
      </c>
      <c r="I205" s="167"/>
      <c r="J205" s="167">
        <f>J204</f>
        <v>20</v>
      </c>
      <c r="K205" s="20"/>
      <c r="L205" s="167" t="s">
        <v>346</v>
      </c>
      <c r="M205" s="167"/>
      <c r="N205" s="168">
        <f>N204*N202</f>
        <v>1</v>
      </c>
      <c r="O205" s="168">
        <f>O204*O202</f>
        <v>1</v>
      </c>
      <c r="P205" s="20"/>
      <c r="Q205" s="20"/>
      <c r="R205" s="167" t="s">
        <v>342</v>
      </c>
      <c r="S205" s="167"/>
      <c r="T205" s="21">
        <v>1</v>
      </c>
      <c r="U205" s="127">
        <f>T205</f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32" x14ac:dyDescent="0.2">
      <c r="B206" s="20"/>
      <c r="C206" s="167" t="s">
        <v>342</v>
      </c>
      <c r="D206" s="21">
        <v>1</v>
      </c>
      <c r="E206" s="176" t="s">
        <v>386</v>
      </c>
      <c r="F206" s="22">
        <v>10</v>
      </c>
      <c r="G206" s="22">
        <v>2</v>
      </c>
      <c r="H206" s="167">
        <f>F206/G206</f>
        <v>5</v>
      </c>
      <c r="I206" s="177">
        <f>H206*D202</f>
        <v>5</v>
      </c>
      <c r="J206" s="177">
        <f>I206</f>
        <v>5</v>
      </c>
      <c r="K206" s="20"/>
      <c r="L206" s="167"/>
      <c r="M206" s="167"/>
      <c r="N206" s="168"/>
      <c r="O206" s="168"/>
      <c r="P206" s="20"/>
      <c r="Q206" s="20"/>
      <c r="R206" s="167" t="s">
        <v>344</v>
      </c>
      <c r="S206" s="167"/>
      <c r="T206" s="168">
        <f>T205*T204</f>
        <v>1</v>
      </c>
      <c r="U206" s="168">
        <f>U205*U204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32" x14ac:dyDescent="0.2">
      <c r="B207" s="20"/>
      <c r="C207" s="167" t="s">
        <v>344</v>
      </c>
      <c r="D207" s="168">
        <f>D206*D205</f>
        <v>1</v>
      </c>
      <c r="E207" s="167"/>
      <c r="F207" s="167"/>
      <c r="G207" s="167"/>
      <c r="H207" s="169" t="s">
        <v>387</v>
      </c>
      <c r="I207" s="167"/>
      <c r="J207" s="167">
        <f>J206</f>
        <v>5</v>
      </c>
      <c r="K207" s="20"/>
      <c r="L207" s="167"/>
      <c r="M207" s="167"/>
      <c r="N207" s="168"/>
      <c r="O207" s="168"/>
      <c r="P207" s="20"/>
      <c r="Q207" s="20"/>
      <c r="R207" s="167"/>
      <c r="S207" s="167"/>
      <c r="T207" s="168"/>
      <c r="U207" s="168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32" x14ac:dyDescent="0.2">
      <c r="B208" s="20"/>
      <c r="C208" s="167"/>
      <c r="D208" s="168"/>
      <c r="E208" s="176" t="s">
        <v>386</v>
      </c>
      <c r="F208" s="22">
        <v>10</v>
      </c>
      <c r="G208" s="22">
        <v>2</v>
      </c>
      <c r="H208" s="167">
        <f>F208/G208</f>
        <v>5</v>
      </c>
      <c r="I208" s="167">
        <f>H208*J207</f>
        <v>25</v>
      </c>
      <c r="J208" s="167">
        <f>I208</f>
        <v>25</v>
      </c>
      <c r="K208" s="20"/>
      <c r="L208" s="169" t="s">
        <v>347</v>
      </c>
      <c r="M208" s="169"/>
      <c r="N208" s="170">
        <f>N205/N203</f>
        <v>1</v>
      </c>
      <c r="O208" s="170">
        <f>O205/O203</f>
        <v>1</v>
      </c>
      <c r="P208" s="20"/>
      <c r="Q208" s="20"/>
      <c r="R208" s="169" t="s">
        <v>347</v>
      </c>
      <c r="S208" s="169"/>
      <c r="T208" s="170">
        <f>T206/T203</f>
        <v>1</v>
      </c>
      <c r="U208" s="170">
        <f>U206/U203</f>
        <v>1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9" t="s">
        <v>347</v>
      </c>
      <c r="D209" s="170">
        <f>D207/D203</f>
        <v>1</v>
      </c>
      <c r="E209" s="176"/>
      <c r="F209" s="167"/>
      <c r="G209" s="167"/>
      <c r="H209" s="169" t="s">
        <v>387</v>
      </c>
      <c r="I209" s="167"/>
      <c r="J209" s="167">
        <f>J208</f>
        <v>25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137"/>
      <c r="E211" s="178"/>
      <c r="F211" s="178"/>
      <c r="G211" s="179"/>
      <c r="H211" s="20"/>
      <c r="I211" s="137"/>
      <c r="J211" s="178"/>
      <c r="K211" s="179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ht="14.25" x14ac:dyDescent="0.2">
      <c r="B212" s="20"/>
      <c r="C212" s="20"/>
      <c r="D212" s="199" t="s">
        <v>27</v>
      </c>
      <c r="E212" s="200"/>
      <c r="F212" s="200"/>
      <c r="G212" s="201"/>
      <c r="H212" s="20"/>
      <c r="I212" s="199" t="s">
        <v>393</v>
      </c>
      <c r="J212" s="200"/>
      <c r="K212" s="201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20"/>
      <c r="D213" s="20" t="s">
        <v>28</v>
      </c>
      <c r="E213" s="127"/>
      <c r="F213" s="127"/>
      <c r="G213" s="21">
        <f>D203</f>
        <v>1</v>
      </c>
      <c r="H213" s="20"/>
      <c r="I213" s="20" t="s">
        <v>28</v>
      </c>
      <c r="J213" s="127"/>
      <c r="K213" s="21">
        <f>G213</f>
        <v>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29</v>
      </c>
      <c r="E214" s="127"/>
      <c r="F214" s="127"/>
      <c r="G214" s="21">
        <f>D207</f>
        <v>1</v>
      </c>
      <c r="H214" s="20"/>
      <c r="I214" s="20" t="s">
        <v>29</v>
      </c>
      <c r="J214" s="20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30</v>
      </c>
      <c r="E215" s="20"/>
      <c r="F215" s="20"/>
      <c r="G215" s="22">
        <v>1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3" t="s">
        <v>31</v>
      </c>
      <c r="E216" s="3"/>
      <c r="F216" s="3"/>
      <c r="G216" s="3">
        <f>((G214/G213)^(1/G215))-1</f>
        <v>0</v>
      </c>
      <c r="H216" s="20"/>
      <c r="I216" s="23" t="s">
        <v>394</v>
      </c>
      <c r="J216" s="23"/>
      <c r="K216" s="23">
        <f>(K214-K213)/K213</f>
        <v>0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32</v>
      </c>
      <c r="E217" s="165"/>
      <c r="F217" s="165"/>
      <c r="G217" s="24">
        <f>G215*12</f>
        <v>12</v>
      </c>
      <c r="H217" s="20"/>
      <c r="I217" s="23" t="s">
        <v>395</v>
      </c>
      <c r="J217" s="23"/>
      <c r="K217" s="23">
        <f>K214/K213</f>
        <v>1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0" t="s">
        <v>30</v>
      </c>
      <c r="E218" s="25"/>
      <c r="F218" s="25"/>
      <c r="G218" s="25">
        <f>G217/12</f>
        <v>1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3" t="s">
        <v>33</v>
      </c>
      <c r="E219" s="3"/>
      <c r="F219" s="3"/>
      <c r="G219" s="3">
        <f>((G214/G213)^(1/G218))-1</f>
        <v>0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C221" s="20"/>
      <c r="D221" s="20"/>
      <c r="E221" s="20"/>
      <c r="F221" s="20"/>
      <c r="G221" s="20"/>
      <c r="H221" s="20"/>
      <c r="I221" s="20"/>
      <c r="J221" s="20"/>
      <c r="K221" s="20"/>
    </row>
  </sheetData>
  <mergeCells count="7">
    <mergeCell ref="D212:G212"/>
    <mergeCell ref="I212:K212"/>
    <mergeCell ref="AE2:AF2"/>
    <mergeCell ref="AE3:AF3"/>
    <mergeCell ref="L199:N199"/>
    <mergeCell ref="R199:T199"/>
    <mergeCell ref="K182:L182"/>
  </mergeCells>
  <pageMargins left="0.7" right="0.7" top="0.75" bottom="0.75" header="0.3" footer="0.3"/>
  <pageSetup orientation="portrait" r:id="rId1"/>
  <ignoredErrors>
    <ignoredError sqref="C172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1" t="s">
        <v>27</v>
      </c>
      <c r="K5" s="211"/>
      <c r="M5" s="211" t="s">
        <v>65</v>
      </c>
      <c r="N5" s="21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1" t="s">
        <v>36</v>
      </c>
      <c r="K14" s="211"/>
      <c r="L14" s="21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11" t="s">
        <v>27</v>
      </c>
      <c r="S5" s="211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1" t="s">
        <v>36</v>
      </c>
      <c r="S14" s="211"/>
      <c r="T14" s="211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11" t="s">
        <v>27</v>
      </c>
      <c r="C2" s="211"/>
      <c r="E2" s="211" t="s">
        <v>65</v>
      </c>
      <c r="F2" s="211"/>
      <c r="H2" s="215" t="s">
        <v>36</v>
      </c>
      <c r="I2" s="216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2" t="s">
        <v>68</v>
      </c>
      <c r="E10" s="213"/>
      <c r="F10" s="213"/>
      <c r="G10" s="213"/>
      <c r="H10" s="214"/>
      <c r="I10" s="212" t="s">
        <v>72</v>
      </c>
      <c r="J10" s="213"/>
      <c r="K10" s="213"/>
      <c r="L10" s="21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7" t="s">
        <v>432</v>
      </c>
      <c r="C3" s="218"/>
      <c r="F3" s="217" t="s">
        <v>433</v>
      </c>
      <c r="G3" s="218"/>
    </row>
    <row r="4" spans="2:7" x14ac:dyDescent="0.2">
      <c r="B4" s="188" t="s">
        <v>434</v>
      </c>
      <c r="C4" s="188"/>
      <c r="F4" s="188" t="s">
        <v>435</v>
      </c>
      <c r="G4" s="188"/>
    </row>
    <row r="5" spans="2:7" x14ac:dyDescent="0.2">
      <c r="B5" s="188" t="s">
        <v>436</v>
      </c>
      <c r="C5" s="188"/>
      <c r="F5" s="188" t="s">
        <v>292</v>
      </c>
      <c r="G5" s="188"/>
    </row>
    <row r="6" spans="2:7" x14ac:dyDescent="0.2">
      <c r="B6" s="188" t="s">
        <v>437</v>
      </c>
      <c r="C6" s="188"/>
      <c r="F6" s="188" t="s">
        <v>438</v>
      </c>
      <c r="G6" s="188"/>
    </row>
    <row r="7" spans="2:7" x14ac:dyDescent="0.2">
      <c r="B7" s="188" t="s">
        <v>439</v>
      </c>
      <c r="C7" s="188"/>
      <c r="F7" s="188" t="s">
        <v>440</v>
      </c>
      <c r="G7" s="188"/>
    </row>
    <row r="8" spans="2:7" x14ac:dyDescent="0.2">
      <c r="B8" s="188" t="s">
        <v>441</v>
      </c>
      <c r="C8" s="188"/>
      <c r="F8" s="188" t="s">
        <v>442</v>
      </c>
      <c r="G8" s="188"/>
    </row>
    <row r="9" spans="2:7" x14ac:dyDescent="0.2">
      <c r="B9" s="188" t="s">
        <v>443</v>
      </c>
      <c r="C9" s="188"/>
      <c r="F9" s="188" t="s">
        <v>444</v>
      </c>
      <c r="G9" s="188"/>
    </row>
    <row r="10" spans="2:7" x14ac:dyDescent="0.2">
      <c r="B10" s="188" t="s">
        <v>442</v>
      </c>
      <c r="C10" s="188"/>
      <c r="F10" s="188"/>
      <c r="G10" s="188"/>
    </row>
    <row r="11" spans="2:7" x14ac:dyDescent="0.2">
      <c r="B11" s="188" t="s">
        <v>445</v>
      </c>
      <c r="C11" s="188"/>
      <c r="F11" s="188"/>
      <c r="G11" s="188"/>
    </row>
    <row r="12" spans="2:7" x14ac:dyDescent="0.2">
      <c r="B12" s="188" t="s">
        <v>446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2014-06-07T06:15:57Z</dcterms:modified>
</cp:coreProperties>
</file>
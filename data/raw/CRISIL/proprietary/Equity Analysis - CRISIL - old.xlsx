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G91" i="18" l="1"/>
  <c r="I91" i="18"/>
  <c r="P23" i="18"/>
  <c r="P22" i="18"/>
  <c r="P21" i="18"/>
  <c r="P20" i="18"/>
  <c r="T186" i="18"/>
  <c r="P41" i="18"/>
  <c r="H12" i="18"/>
  <c r="H91" i="18" s="1"/>
  <c r="G12" i="18"/>
  <c r="P13" i="18"/>
  <c r="P9" i="18"/>
  <c r="P7" i="18"/>
  <c r="P40" i="18"/>
  <c r="P38" i="18"/>
  <c r="P36" i="18"/>
  <c r="P34" i="18"/>
  <c r="P33" i="18"/>
  <c r="P27" i="18"/>
  <c r="P122" i="18" s="1"/>
  <c r="P25" i="18"/>
  <c r="P121" i="18" s="1"/>
  <c r="J12" i="18"/>
  <c r="J91" i="18" s="1"/>
  <c r="I12" i="18"/>
  <c r="P18" i="18"/>
  <c r="P16" i="18"/>
  <c r="P15" i="18"/>
  <c r="O12" i="18"/>
  <c r="O91" i="18" s="1"/>
  <c r="N12" i="18"/>
  <c r="N91" i="18" s="1"/>
  <c r="M12" i="18"/>
  <c r="M91" i="18" s="1"/>
  <c r="L12" i="18"/>
  <c r="L91" i="18" s="1"/>
  <c r="K12" i="18"/>
  <c r="K91" i="18" s="1"/>
  <c r="P6" i="18"/>
  <c r="H122" i="18"/>
  <c r="I122" i="18"/>
  <c r="J122" i="18"/>
  <c r="K122" i="18"/>
  <c r="L122" i="18"/>
  <c r="M122" i="18"/>
  <c r="N122" i="18"/>
  <c r="O122" i="18"/>
  <c r="H121" i="18"/>
  <c r="I121" i="18"/>
  <c r="J121" i="18"/>
  <c r="K121" i="18"/>
  <c r="L121" i="18"/>
  <c r="M121" i="18"/>
  <c r="N121" i="18"/>
  <c r="O121" i="18"/>
  <c r="R40" i="18"/>
  <c r="G197" i="18"/>
  <c r="G198" i="18" s="1"/>
  <c r="G199" i="18" s="1"/>
  <c r="G196" i="18"/>
  <c r="K194" i="18"/>
  <c r="K193" i="18"/>
  <c r="AD48" i="18"/>
  <c r="C48" i="18"/>
  <c r="D48" i="18"/>
  <c r="E48" i="18"/>
  <c r="F48" i="18"/>
  <c r="H48" i="18"/>
  <c r="I48" i="18"/>
  <c r="J48" i="18"/>
  <c r="K48" i="18"/>
  <c r="L48" i="18"/>
  <c r="M48" i="18"/>
  <c r="N48" i="18"/>
  <c r="O48" i="18"/>
  <c r="G48" i="18"/>
  <c r="H188" i="18"/>
  <c r="D187" i="18"/>
  <c r="H186" i="18"/>
  <c r="I186" i="18" s="1"/>
  <c r="J186" i="18" s="1"/>
  <c r="J187" i="18" s="1"/>
  <c r="H184" i="18"/>
  <c r="D184" i="18"/>
  <c r="H183" i="18"/>
  <c r="H182" i="18"/>
  <c r="I182" i="18" s="1"/>
  <c r="J182" i="18" s="1"/>
  <c r="P12" i="18" l="1"/>
  <c r="P91" i="18" s="1"/>
  <c r="P48" i="18"/>
  <c r="Q48" i="18" s="1"/>
  <c r="K197" i="18"/>
  <c r="K196" i="18"/>
  <c r="I183" i="18"/>
  <c r="J183" i="18" s="1"/>
  <c r="I184" i="18" s="1"/>
  <c r="J184" i="18" s="1"/>
  <c r="J185" i="18" s="1"/>
  <c r="D189" i="18"/>
  <c r="I188" i="18"/>
  <c r="J188" i="18" s="1"/>
  <c r="J189" i="18" s="1"/>
  <c r="H83" i="18"/>
  <c r="I83" i="18"/>
  <c r="J83" i="18"/>
  <c r="K83" i="18"/>
  <c r="L83" i="18"/>
  <c r="M83" i="18"/>
  <c r="N83" i="18"/>
  <c r="O83" i="18"/>
  <c r="P83" i="18"/>
  <c r="G83" i="18"/>
  <c r="H39" i="18"/>
  <c r="I39" i="18"/>
  <c r="J39" i="18"/>
  <c r="K39" i="18"/>
  <c r="L39" i="18"/>
  <c r="M39" i="18"/>
  <c r="N39" i="18"/>
  <c r="O39" i="18"/>
  <c r="P39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22" i="18"/>
  <c r="G121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83" i="18"/>
  <c r="T182" i="18"/>
  <c r="O186" i="18"/>
  <c r="O183" i="18"/>
  <c r="O182" i="18"/>
  <c r="H89" i="18"/>
  <c r="I89" i="18"/>
  <c r="J89" i="18"/>
  <c r="K89" i="18"/>
  <c r="L89" i="18"/>
  <c r="M89" i="18"/>
  <c r="N89" i="18"/>
  <c r="O89" i="18"/>
  <c r="P89" i="18"/>
  <c r="G89" i="18"/>
  <c r="H86" i="18"/>
  <c r="I86" i="18"/>
  <c r="J86" i="18"/>
  <c r="K86" i="18"/>
  <c r="L86" i="18"/>
  <c r="M86" i="18"/>
  <c r="N86" i="18"/>
  <c r="O86" i="18"/>
  <c r="P86" i="18"/>
  <c r="G86" i="18"/>
  <c r="H87" i="18"/>
  <c r="I87" i="18"/>
  <c r="J87" i="18"/>
  <c r="K87" i="18"/>
  <c r="L87" i="18"/>
  <c r="M87" i="18"/>
  <c r="N87" i="18"/>
  <c r="O87" i="18"/>
  <c r="P87" i="18"/>
  <c r="G87" i="18"/>
  <c r="H117" i="18"/>
  <c r="H118" i="18" s="1"/>
  <c r="I117" i="18"/>
  <c r="I118" i="18" s="1"/>
  <c r="J117" i="18"/>
  <c r="J118" i="18" s="1"/>
  <c r="K117" i="18"/>
  <c r="K118" i="18" s="1"/>
  <c r="L117" i="18"/>
  <c r="L118" i="18" s="1"/>
  <c r="M117" i="18"/>
  <c r="M118" i="18" s="1"/>
  <c r="N117" i="18"/>
  <c r="N118" i="18" s="1"/>
  <c r="O117" i="18"/>
  <c r="O118" i="18" s="1"/>
  <c r="P117" i="18"/>
  <c r="P118" i="18" s="1"/>
  <c r="G117" i="18"/>
  <c r="G118" i="18" s="1"/>
  <c r="Q121" i="18" l="1"/>
  <c r="Q122" i="18"/>
  <c r="Q83" i="18"/>
  <c r="Q89" i="18"/>
  <c r="AC14" i="18"/>
  <c r="AE14" i="18"/>
  <c r="Q86" i="18"/>
  <c r="Q118" i="18"/>
  <c r="Q117" i="18"/>
  <c r="Q87" i="18"/>
  <c r="P82" i="18"/>
  <c r="P81" i="18"/>
  <c r="E82" i="18"/>
  <c r="F82" i="18"/>
  <c r="H82" i="18"/>
  <c r="I82" i="18"/>
  <c r="J82" i="18"/>
  <c r="K82" i="18"/>
  <c r="L82" i="18"/>
  <c r="M82" i="18"/>
  <c r="N82" i="18"/>
  <c r="O82" i="18"/>
  <c r="G82" i="18"/>
  <c r="G81" i="18"/>
  <c r="H115" i="18"/>
  <c r="I115" i="18"/>
  <c r="J115" i="18"/>
  <c r="K115" i="18"/>
  <c r="L115" i="18"/>
  <c r="M115" i="18"/>
  <c r="N115" i="18"/>
  <c r="O115" i="18"/>
  <c r="P115" i="18"/>
  <c r="G115" i="18"/>
  <c r="H114" i="18"/>
  <c r="I114" i="18"/>
  <c r="J114" i="18"/>
  <c r="K114" i="18"/>
  <c r="L114" i="18"/>
  <c r="M114" i="18"/>
  <c r="N114" i="18"/>
  <c r="O114" i="18"/>
  <c r="P114" i="18"/>
  <c r="G114" i="18"/>
  <c r="H111" i="18"/>
  <c r="I111" i="18"/>
  <c r="J111" i="18"/>
  <c r="K111" i="18"/>
  <c r="L111" i="18"/>
  <c r="M111" i="18"/>
  <c r="N111" i="18"/>
  <c r="O111" i="18"/>
  <c r="P111" i="18"/>
  <c r="G111" i="18"/>
  <c r="H112" i="18"/>
  <c r="I112" i="18"/>
  <c r="J112" i="18"/>
  <c r="K112" i="18"/>
  <c r="L112" i="18"/>
  <c r="M112" i="18"/>
  <c r="N112" i="18"/>
  <c r="O112" i="18"/>
  <c r="P112" i="18"/>
  <c r="G112" i="18"/>
  <c r="H110" i="18"/>
  <c r="I110" i="18"/>
  <c r="J110" i="18"/>
  <c r="K110" i="18"/>
  <c r="L110" i="18"/>
  <c r="M110" i="18"/>
  <c r="N110" i="18"/>
  <c r="O110" i="18"/>
  <c r="P110" i="18"/>
  <c r="G110" i="18"/>
  <c r="H109" i="18"/>
  <c r="I109" i="18"/>
  <c r="J109" i="18"/>
  <c r="K109" i="18"/>
  <c r="L109" i="18"/>
  <c r="M109" i="18"/>
  <c r="N109" i="18"/>
  <c r="O109" i="18"/>
  <c r="P109" i="18"/>
  <c r="G109" i="18"/>
  <c r="R155" i="18"/>
  <c r="H106" i="18"/>
  <c r="I106" i="18"/>
  <c r="J106" i="18"/>
  <c r="K106" i="18"/>
  <c r="L106" i="18"/>
  <c r="M106" i="18"/>
  <c r="N106" i="18"/>
  <c r="O106" i="18"/>
  <c r="P106" i="18"/>
  <c r="G106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B106" i="18"/>
  <c r="B105" i="18"/>
  <c r="K170" i="18"/>
  <c r="K169" i="18"/>
  <c r="K168" i="18"/>
  <c r="S40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94" i="18"/>
  <c r="H94" i="18"/>
  <c r="I94" i="18"/>
  <c r="J94" i="18"/>
  <c r="K94" i="18"/>
  <c r="L94" i="18"/>
  <c r="M94" i="18"/>
  <c r="N94" i="18"/>
  <c r="O94" i="18"/>
  <c r="P94" i="18"/>
  <c r="S187" i="18"/>
  <c r="N186" i="18"/>
  <c r="S184" i="18"/>
  <c r="T184" i="18" s="1"/>
  <c r="N184" i="18"/>
  <c r="O184" i="18" s="1"/>
  <c r="O189" i="18" s="1"/>
  <c r="F102" i="18"/>
  <c r="H102" i="18"/>
  <c r="I102" i="18"/>
  <c r="J102" i="18"/>
  <c r="K102" i="18"/>
  <c r="L102" i="18"/>
  <c r="M102" i="18"/>
  <c r="N102" i="18"/>
  <c r="O102" i="18"/>
  <c r="P102" i="18"/>
  <c r="G102" i="18"/>
  <c r="F101" i="18"/>
  <c r="H101" i="18"/>
  <c r="I101" i="18"/>
  <c r="J101" i="18"/>
  <c r="K101" i="18"/>
  <c r="L101" i="18"/>
  <c r="M101" i="18"/>
  <c r="N101" i="18"/>
  <c r="O101" i="18"/>
  <c r="P101" i="18"/>
  <c r="G101" i="18"/>
  <c r="Q112" i="18" l="1"/>
  <c r="T187" i="18"/>
  <c r="T189" i="18" s="1"/>
  <c r="Q82" i="18"/>
  <c r="Q109" i="18"/>
  <c r="Q115" i="18"/>
  <c r="Q114" i="18"/>
  <c r="Q110" i="18"/>
  <c r="Q111" i="18"/>
  <c r="Q104" i="18"/>
  <c r="Q105" i="18"/>
  <c r="Q106" i="18"/>
  <c r="Q94" i="18"/>
  <c r="AC32" i="18"/>
  <c r="AE32" i="18"/>
  <c r="N189" i="18"/>
  <c r="S189" i="18"/>
  <c r="Q102" i="18"/>
  <c r="Q101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38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38" i="18"/>
  <c r="AD40" i="18"/>
  <c r="AD41" i="18"/>
  <c r="AD44" i="18"/>
  <c r="AD45" i="18"/>
  <c r="AD47" i="18"/>
  <c r="AD49" i="18"/>
  <c r="AD50" i="18"/>
  <c r="AD51" i="18"/>
  <c r="AD53" i="18"/>
  <c r="AD54" i="18"/>
  <c r="AD55" i="18"/>
  <c r="AD57" i="18"/>
  <c r="AD58" i="18"/>
  <c r="AD59" i="18"/>
  <c r="AD60" i="18"/>
  <c r="AD62" i="18"/>
  <c r="AD63" i="18"/>
  <c r="AD65" i="18"/>
  <c r="AD67" i="18"/>
  <c r="AD68" i="18"/>
  <c r="AD69" i="18"/>
  <c r="AD70" i="18"/>
  <c r="AD71" i="18"/>
  <c r="AD73" i="18"/>
  <c r="AD74" i="18"/>
  <c r="AD75" i="18"/>
  <c r="AD7" i="18"/>
  <c r="AD6" i="18"/>
  <c r="Q91" i="18" l="1"/>
  <c r="H85" i="18"/>
  <c r="I85" i="18"/>
  <c r="J85" i="18"/>
  <c r="K85" i="18"/>
  <c r="L85" i="18"/>
  <c r="M85" i="18"/>
  <c r="N85" i="18"/>
  <c r="O85" i="18"/>
  <c r="P85" i="18"/>
  <c r="H88" i="18"/>
  <c r="I88" i="18"/>
  <c r="J88" i="18"/>
  <c r="K88" i="18"/>
  <c r="L88" i="18"/>
  <c r="M88" i="18"/>
  <c r="N88" i="18"/>
  <c r="O88" i="18"/>
  <c r="P88" i="18"/>
  <c r="G88" i="18"/>
  <c r="G85" i="18"/>
  <c r="S29" i="18"/>
  <c r="Q29" i="18"/>
  <c r="L30" i="18"/>
  <c r="K30" i="18"/>
  <c r="J30" i="18"/>
  <c r="I30" i="18"/>
  <c r="H30" i="18"/>
  <c r="G30" i="18"/>
  <c r="T29" i="18" l="1"/>
  <c r="Q88" i="18"/>
  <c r="Q85" i="18"/>
  <c r="H93" i="18"/>
  <c r="I93" i="18"/>
  <c r="J93" i="18"/>
  <c r="K93" i="18"/>
  <c r="L93" i="18"/>
  <c r="M93" i="18"/>
  <c r="N93" i="18"/>
  <c r="O93" i="18"/>
  <c r="P93" i="18"/>
  <c r="G93" i="18"/>
  <c r="H92" i="18"/>
  <c r="I92" i="18"/>
  <c r="J92" i="18"/>
  <c r="K92" i="18"/>
  <c r="L92" i="18"/>
  <c r="M92" i="18"/>
  <c r="N92" i="18"/>
  <c r="O92" i="18"/>
  <c r="P92" i="18"/>
  <c r="G92" i="18"/>
  <c r="U29" i="18" l="1"/>
  <c r="Q92" i="18"/>
  <c r="Q93" i="18"/>
  <c r="AE62" i="18"/>
  <c r="V29" i="18" l="1"/>
  <c r="C163" i="18"/>
  <c r="D163" i="18"/>
  <c r="E163" i="18"/>
  <c r="F163" i="18"/>
  <c r="G163" i="18"/>
  <c r="H163" i="18"/>
  <c r="I163" i="18"/>
  <c r="J163" i="18"/>
  <c r="K163" i="18"/>
  <c r="L163" i="18"/>
  <c r="M163" i="18"/>
  <c r="N163" i="18"/>
  <c r="O163" i="18"/>
  <c r="P163" i="18"/>
  <c r="C9" i="15"/>
  <c r="D63" i="18"/>
  <c r="E63" i="18"/>
  <c r="E96" i="18" s="1"/>
  <c r="E97" i="18" s="1"/>
  <c r="F63" i="18"/>
  <c r="F96" i="18" s="1"/>
  <c r="F97" i="18" s="1"/>
  <c r="G63" i="18"/>
  <c r="G96" i="18" s="1"/>
  <c r="G97" i="18" s="1"/>
  <c r="H63" i="18"/>
  <c r="H96" i="18" s="1"/>
  <c r="H97" i="18" s="1"/>
  <c r="I63" i="18"/>
  <c r="I96" i="18" s="1"/>
  <c r="I97" i="18" s="1"/>
  <c r="J63" i="18"/>
  <c r="J96" i="18" s="1"/>
  <c r="J97" i="18" s="1"/>
  <c r="K63" i="18"/>
  <c r="K96" i="18" s="1"/>
  <c r="K97" i="18" s="1"/>
  <c r="L63" i="18"/>
  <c r="L96" i="18" s="1"/>
  <c r="L97" i="18" s="1"/>
  <c r="M63" i="18"/>
  <c r="M96" i="18" s="1"/>
  <c r="M97" i="18" s="1"/>
  <c r="N63" i="18"/>
  <c r="N96" i="18" s="1"/>
  <c r="N97" i="18" s="1"/>
  <c r="O63" i="18"/>
  <c r="O96" i="18" s="1"/>
  <c r="O97" i="18" s="1"/>
  <c r="P63" i="18"/>
  <c r="P96" i="18" s="1"/>
  <c r="C63" i="18"/>
  <c r="S41" i="18"/>
  <c r="Q41" i="18"/>
  <c r="S63" i="18" l="1"/>
  <c r="S96" i="18" s="1"/>
  <c r="S97" i="18" s="1"/>
  <c r="W29" i="18"/>
  <c r="Q163" i="18"/>
  <c r="N98" i="18"/>
  <c r="N99" i="18" s="1"/>
  <c r="J98" i="18"/>
  <c r="J99" i="18" s="1"/>
  <c r="L98" i="18"/>
  <c r="L99" i="18" s="1"/>
  <c r="H98" i="18"/>
  <c r="H99" i="18" s="1"/>
  <c r="M98" i="18"/>
  <c r="M99" i="18" s="1"/>
  <c r="I98" i="18"/>
  <c r="I99" i="18" s="1"/>
  <c r="F98" i="18"/>
  <c r="F99" i="18" s="1"/>
  <c r="O98" i="18"/>
  <c r="O99" i="18" s="1"/>
  <c r="K98" i="18"/>
  <c r="K99" i="18" s="1"/>
  <c r="G98" i="18"/>
  <c r="G99" i="18" s="1"/>
  <c r="P97" i="18"/>
  <c r="Q96" i="18"/>
  <c r="T41" i="18"/>
  <c r="U41" i="18" l="1"/>
  <c r="X29" i="18"/>
  <c r="P98" i="18"/>
  <c r="Q97" i="18"/>
  <c r="T63" i="18"/>
  <c r="C73" i="18"/>
  <c r="D73" i="18"/>
  <c r="E73" i="18"/>
  <c r="F73" i="18"/>
  <c r="G73" i="18"/>
  <c r="G119" i="18" s="1"/>
  <c r="H73" i="18"/>
  <c r="H119" i="18" s="1"/>
  <c r="I73" i="18"/>
  <c r="I119" i="18" s="1"/>
  <c r="J73" i="18"/>
  <c r="J119" i="18" s="1"/>
  <c r="K73" i="18"/>
  <c r="K119" i="18" s="1"/>
  <c r="L73" i="18"/>
  <c r="L119" i="18" s="1"/>
  <c r="M73" i="18"/>
  <c r="M119" i="18" s="1"/>
  <c r="N73" i="18"/>
  <c r="N119" i="18" s="1"/>
  <c r="O73" i="18"/>
  <c r="O119" i="18" s="1"/>
  <c r="C74" i="18"/>
  <c r="D74" i="18"/>
  <c r="E74" i="18"/>
  <c r="F74" i="18"/>
  <c r="G74" i="18"/>
  <c r="H74" i="18"/>
  <c r="I74" i="18"/>
  <c r="J74" i="18"/>
  <c r="K74" i="18"/>
  <c r="L74" i="18"/>
  <c r="M74" i="18"/>
  <c r="N74" i="18"/>
  <c r="O74" i="18"/>
  <c r="C75" i="18"/>
  <c r="D75" i="18"/>
  <c r="E75" i="18"/>
  <c r="F75" i="18"/>
  <c r="G75" i="18"/>
  <c r="H75" i="18"/>
  <c r="I75" i="18"/>
  <c r="J75" i="18"/>
  <c r="K75" i="18"/>
  <c r="L75" i="18"/>
  <c r="M75" i="18"/>
  <c r="N75" i="18"/>
  <c r="O75" i="18"/>
  <c r="P75" i="18"/>
  <c r="P74" i="18"/>
  <c r="P73" i="18"/>
  <c r="P119" i="18" s="1"/>
  <c r="E81" i="18"/>
  <c r="F81" i="18"/>
  <c r="H81" i="18"/>
  <c r="I81" i="18"/>
  <c r="J81" i="18"/>
  <c r="K81" i="18"/>
  <c r="L81" i="18"/>
  <c r="M81" i="18"/>
  <c r="N81" i="18"/>
  <c r="O81" i="18"/>
  <c r="E79" i="18"/>
  <c r="E80" i="18"/>
  <c r="F80" i="18"/>
  <c r="G80" i="18"/>
  <c r="H80" i="18"/>
  <c r="I80" i="18"/>
  <c r="J80" i="18"/>
  <c r="K80" i="18"/>
  <c r="L80" i="18"/>
  <c r="M80" i="18"/>
  <c r="N80" i="18"/>
  <c r="O80" i="18"/>
  <c r="F79" i="18"/>
  <c r="G79" i="18"/>
  <c r="H79" i="18"/>
  <c r="I79" i="18"/>
  <c r="J79" i="18"/>
  <c r="K79" i="18"/>
  <c r="L79" i="18"/>
  <c r="M79" i="18"/>
  <c r="N79" i="18"/>
  <c r="O79" i="18"/>
  <c r="P80" i="18"/>
  <c r="G39" i="18"/>
  <c r="G28" i="18"/>
  <c r="G11" i="18"/>
  <c r="G8" i="18"/>
  <c r="G26" i="18"/>
  <c r="V41" i="18" l="1"/>
  <c r="U63" i="18"/>
  <c r="Q119" i="18"/>
  <c r="Y29" i="18"/>
  <c r="Q75" i="18"/>
  <c r="Q73" i="18"/>
  <c r="Q74" i="18"/>
  <c r="Q80" i="18"/>
  <c r="Q81" i="18"/>
  <c r="P79" i="18"/>
  <c r="Q79" i="18" s="1"/>
  <c r="C175" i="18"/>
  <c r="D175" i="18"/>
  <c r="E175" i="18"/>
  <c r="F175" i="18"/>
  <c r="C176" i="18"/>
  <c r="D176" i="18"/>
  <c r="E176" i="18"/>
  <c r="F176" i="18"/>
  <c r="C177" i="18"/>
  <c r="D177" i="18"/>
  <c r="E177" i="18"/>
  <c r="F177" i="18"/>
  <c r="H177" i="18"/>
  <c r="I177" i="18"/>
  <c r="J177" i="18"/>
  <c r="K177" i="18"/>
  <c r="L177" i="18"/>
  <c r="M177" i="18"/>
  <c r="N177" i="18"/>
  <c r="O177" i="18"/>
  <c r="P177" i="18"/>
  <c r="G177" i="18"/>
  <c r="H176" i="18"/>
  <c r="I176" i="18"/>
  <c r="J176" i="18"/>
  <c r="K176" i="18"/>
  <c r="L176" i="18"/>
  <c r="M176" i="18"/>
  <c r="N176" i="18"/>
  <c r="O176" i="18"/>
  <c r="P176" i="18"/>
  <c r="G176" i="18"/>
  <c r="H175" i="18"/>
  <c r="I175" i="18"/>
  <c r="J175" i="18"/>
  <c r="K175" i="18"/>
  <c r="L175" i="18"/>
  <c r="M175" i="18"/>
  <c r="N175" i="18"/>
  <c r="O175" i="18"/>
  <c r="P175" i="18"/>
  <c r="G175" i="18"/>
  <c r="H45" i="18"/>
  <c r="I45" i="18"/>
  <c r="J45" i="18"/>
  <c r="K45" i="18"/>
  <c r="L45" i="18"/>
  <c r="M45" i="18"/>
  <c r="N45" i="18"/>
  <c r="O45" i="18"/>
  <c r="P45" i="18"/>
  <c r="C45" i="18"/>
  <c r="D45" i="18"/>
  <c r="E45" i="18"/>
  <c r="F45" i="18"/>
  <c r="G45" i="18"/>
  <c r="G47" i="18"/>
  <c r="G162" i="18" s="1"/>
  <c r="H44" i="18"/>
  <c r="H156" i="18" s="1"/>
  <c r="I44" i="18"/>
  <c r="I156" i="18" s="1"/>
  <c r="J44" i="18"/>
  <c r="J156" i="18" s="1"/>
  <c r="K44" i="18"/>
  <c r="K156" i="18" s="1"/>
  <c r="L44" i="18"/>
  <c r="L156" i="18" s="1"/>
  <c r="M44" i="18"/>
  <c r="M156" i="18" s="1"/>
  <c r="N44" i="18"/>
  <c r="N156" i="18" s="1"/>
  <c r="O44" i="18"/>
  <c r="O156" i="18" s="1"/>
  <c r="P44" i="18"/>
  <c r="P156" i="18" s="1"/>
  <c r="C44" i="18"/>
  <c r="C156" i="18" s="1"/>
  <c r="D44" i="18"/>
  <c r="D156" i="18" s="1"/>
  <c r="E44" i="18"/>
  <c r="E156" i="18" s="1"/>
  <c r="F44" i="18"/>
  <c r="F156" i="18" s="1"/>
  <c r="G44" i="18"/>
  <c r="G156" i="18" s="1"/>
  <c r="M28" i="18"/>
  <c r="L28" i="18"/>
  <c r="K28" i="18"/>
  <c r="J28" i="18"/>
  <c r="I28" i="18"/>
  <c r="H28" i="18"/>
  <c r="M26" i="18"/>
  <c r="L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0" i="18"/>
  <c r="S36" i="18"/>
  <c r="S86" i="18" s="1"/>
  <c r="Q36" i="18"/>
  <c r="W41" i="18" l="1"/>
  <c r="V63" i="18"/>
  <c r="Q156" i="18"/>
  <c r="Z29" i="18"/>
  <c r="T36" i="18"/>
  <c r="T86" i="18" s="1"/>
  <c r="Q177" i="18"/>
  <c r="Q45" i="18"/>
  <c r="Q44" i="18"/>
  <c r="Q176" i="18"/>
  <c r="Q175" i="18"/>
  <c r="Q31" i="18"/>
  <c r="Q34" i="18"/>
  <c r="W63" i="18" l="1"/>
  <c r="X41" i="18"/>
  <c r="AA29" i="18"/>
  <c r="U36" i="18"/>
  <c r="U86" i="18" s="1"/>
  <c r="I70" i="18"/>
  <c r="J70" i="18"/>
  <c r="K70" i="18"/>
  <c r="L70" i="18"/>
  <c r="M70" i="18"/>
  <c r="N70" i="18"/>
  <c r="O70" i="18"/>
  <c r="P70" i="18"/>
  <c r="I71" i="18"/>
  <c r="J71" i="18"/>
  <c r="K71" i="18"/>
  <c r="L71" i="18"/>
  <c r="M71" i="18"/>
  <c r="N71" i="18"/>
  <c r="O71" i="18"/>
  <c r="P71" i="18"/>
  <c r="I65" i="18"/>
  <c r="I67" i="18" s="1"/>
  <c r="J65" i="18"/>
  <c r="J67" i="18" s="1"/>
  <c r="K65" i="18"/>
  <c r="K67" i="18" s="1"/>
  <c r="L65" i="18"/>
  <c r="L67" i="18" s="1"/>
  <c r="M65" i="18"/>
  <c r="M67" i="18" s="1"/>
  <c r="N65" i="18"/>
  <c r="N67" i="18" s="1"/>
  <c r="O65" i="18"/>
  <c r="O67" i="18" s="1"/>
  <c r="P65" i="18"/>
  <c r="P67" i="18" s="1"/>
  <c r="I68" i="18"/>
  <c r="J68" i="18"/>
  <c r="K68" i="18"/>
  <c r="L68" i="18"/>
  <c r="M68" i="18"/>
  <c r="N68" i="18"/>
  <c r="O68" i="18"/>
  <c r="P68" i="18"/>
  <c r="I69" i="18"/>
  <c r="J69" i="18"/>
  <c r="K69" i="18"/>
  <c r="L69" i="18"/>
  <c r="M69" i="18"/>
  <c r="N69" i="18"/>
  <c r="O69" i="18"/>
  <c r="P69" i="18"/>
  <c r="C68" i="18"/>
  <c r="D68" i="18"/>
  <c r="E68" i="18"/>
  <c r="F68" i="18"/>
  <c r="G68" i="18"/>
  <c r="C69" i="18"/>
  <c r="D69" i="18"/>
  <c r="E69" i="18"/>
  <c r="F69" i="18"/>
  <c r="G69" i="18"/>
  <c r="C70" i="18"/>
  <c r="D70" i="18"/>
  <c r="E70" i="18"/>
  <c r="F70" i="18"/>
  <c r="G70" i="18"/>
  <c r="C71" i="18"/>
  <c r="D71" i="18"/>
  <c r="E71" i="18"/>
  <c r="F71" i="18"/>
  <c r="G71" i="18"/>
  <c r="H71" i="18"/>
  <c r="H70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65" i="18"/>
  <c r="C67" i="18" s="1"/>
  <c r="D65" i="18"/>
  <c r="D67" i="18" s="1"/>
  <c r="E65" i="18"/>
  <c r="E67" i="18" s="1"/>
  <c r="F65" i="18"/>
  <c r="F67" i="18" s="1"/>
  <c r="G65" i="18"/>
  <c r="G67" i="18" s="1"/>
  <c r="H65" i="18"/>
  <c r="H67" i="18" s="1"/>
  <c r="H69" i="18"/>
  <c r="H68" i="18"/>
  <c r="X63" i="18" l="1"/>
  <c r="Y41" i="18"/>
  <c r="T23" i="18"/>
  <c r="S89" i="18"/>
  <c r="AB29" i="18"/>
  <c r="AE31" i="18"/>
  <c r="AC31" i="18"/>
  <c r="AC22" i="18"/>
  <c r="AE22" i="18"/>
  <c r="V36" i="18"/>
  <c r="V86" i="18" s="1"/>
  <c r="Q70" i="18"/>
  <c r="Q71" i="18"/>
  <c r="Q69" i="18"/>
  <c r="Q67" i="18"/>
  <c r="Q68" i="18"/>
  <c r="Q22" i="18"/>
  <c r="Q21" i="18"/>
  <c r="Q65" i="18"/>
  <c r="S20" i="18"/>
  <c r="S48" i="18" s="1"/>
  <c r="T21" i="18"/>
  <c r="Q63" i="18"/>
  <c r="Q155" i="18"/>
  <c r="Z41" i="18" l="1"/>
  <c r="Y63" i="18"/>
  <c r="U23" i="18"/>
  <c r="T89" i="18"/>
  <c r="AE29" i="18"/>
  <c r="AC29" i="18"/>
  <c r="T20" i="18"/>
  <c r="S65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38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3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86" i="18" s="1"/>
  <c r="O61" i="18"/>
  <c r="O160" i="18" s="1"/>
  <c r="O60" i="18"/>
  <c r="O58" i="18"/>
  <c r="O57" i="18"/>
  <c r="O55" i="18"/>
  <c r="O161" i="18" s="1"/>
  <c r="O54" i="18"/>
  <c r="O53" i="18"/>
  <c r="O51" i="18"/>
  <c r="O50" i="18"/>
  <c r="O158" i="18" s="1"/>
  <c r="O49" i="18"/>
  <c r="O47" i="18"/>
  <c r="Z63" i="18" l="1"/>
  <c r="AA41" i="18"/>
  <c r="T65" i="18"/>
  <c r="S111" i="18"/>
  <c r="S121" i="18"/>
  <c r="S112" i="18"/>
  <c r="S122" i="18"/>
  <c r="V23" i="18"/>
  <c r="U89" i="18"/>
  <c r="S105" i="18"/>
  <c r="S106" i="18"/>
  <c r="S104" i="18"/>
  <c r="S94" i="18"/>
  <c r="P99" i="18"/>
  <c r="Q99" i="18" s="1"/>
  <c r="Q98" i="18"/>
  <c r="S85" i="18"/>
  <c r="S102" i="18"/>
  <c r="S101" i="18"/>
  <c r="T18" i="18"/>
  <c r="O157" i="18"/>
  <c r="O162" i="18"/>
  <c r="U20" i="18"/>
  <c r="T27" i="18"/>
  <c r="X36" i="18"/>
  <c r="X86" i="18" s="1"/>
  <c r="T25" i="18"/>
  <c r="T83" i="18" s="1"/>
  <c r="S79" i="18"/>
  <c r="V21" i="18"/>
  <c r="AC33" i="18"/>
  <c r="AC34" i="18"/>
  <c r="AC9" i="18"/>
  <c r="O59" i="18"/>
  <c r="O159" i="18" s="1"/>
  <c r="D55" i="18"/>
  <c r="E55" i="18"/>
  <c r="F55" i="18"/>
  <c r="G55" i="18"/>
  <c r="G161" i="18" s="1"/>
  <c r="H55" i="18"/>
  <c r="H161" i="18" s="1"/>
  <c r="I55" i="18"/>
  <c r="I161" i="18" s="1"/>
  <c r="J55" i="18"/>
  <c r="J161" i="18" s="1"/>
  <c r="K55" i="18"/>
  <c r="K161" i="18" s="1"/>
  <c r="L55" i="18"/>
  <c r="L161" i="18" s="1"/>
  <c r="M55" i="18"/>
  <c r="M161" i="18" s="1"/>
  <c r="N55" i="18"/>
  <c r="N161" i="18" s="1"/>
  <c r="P55" i="18"/>
  <c r="C55" i="18"/>
  <c r="C54" i="18"/>
  <c r="AA63" i="18" l="1"/>
  <c r="AB41" i="18"/>
  <c r="T112" i="18"/>
  <c r="T122" i="18"/>
  <c r="T111" i="18"/>
  <c r="T121" i="18"/>
  <c r="W23" i="18"/>
  <c r="V89" i="18"/>
  <c r="T104" i="18"/>
  <c r="T106" i="18"/>
  <c r="T105" i="18"/>
  <c r="T94" i="18"/>
  <c r="T85" i="18"/>
  <c r="T102" i="18"/>
  <c r="T101" i="18"/>
  <c r="U18" i="18"/>
  <c r="V20" i="18"/>
  <c r="U65" i="18"/>
  <c r="U27" i="18"/>
  <c r="U25" i="18"/>
  <c r="T79" i="18"/>
  <c r="Y36" i="18"/>
  <c r="Y86" i="18" s="1"/>
  <c r="W21" i="18"/>
  <c r="P161" i="18"/>
  <c r="Q161" i="18" s="1"/>
  <c r="Q55" i="18"/>
  <c r="D54" i="18"/>
  <c r="E54" i="18"/>
  <c r="F54" i="18"/>
  <c r="G54" i="18"/>
  <c r="H54" i="18"/>
  <c r="I54" i="18"/>
  <c r="J54" i="18"/>
  <c r="K54" i="18"/>
  <c r="L54" i="18"/>
  <c r="M54" i="18"/>
  <c r="N54" i="18"/>
  <c r="P54" i="18"/>
  <c r="D53" i="18"/>
  <c r="E53" i="18"/>
  <c r="F53" i="18"/>
  <c r="G53" i="18"/>
  <c r="H53" i="18"/>
  <c r="I53" i="18"/>
  <c r="J53" i="18"/>
  <c r="K53" i="18"/>
  <c r="L53" i="18"/>
  <c r="M53" i="18"/>
  <c r="N53" i="18"/>
  <c r="P53" i="18"/>
  <c r="C53" i="18"/>
  <c r="AE41" i="18" l="1"/>
  <c r="AC41" i="18"/>
  <c r="AB63" i="18"/>
  <c r="U111" i="18"/>
  <c r="U121" i="18"/>
  <c r="U112" i="18"/>
  <c r="U122" i="18"/>
  <c r="U83" i="18"/>
  <c r="X23" i="18"/>
  <c r="W89" i="18"/>
  <c r="U106" i="18"/>
  <c r="U105" i="18"/>
  <c r="U104" i="18"/>
  <c r="U94" i="18"/>
  <c r="U85" i="18"/>
  <c r="U102" i="18"/>
  <c r="U101" i="18"/>
  <c r="V18" i="18"/>
  <c r="W20" i="18"/>
  <c r="V65" i="18"/>
  <c r="V27" i="18"/>
  <c r="V25" i="18"/>
  <c r="V83" i="18" s="1"/>
  <c r="U79" i="18"/>
  <c r="Z36" i="18"/>
  <c r="Z86" i="18" s="1"/>
  <c r="X21" i="18"/>
  <c r="Q53" i="18"/>
  <c r="Q54" i="18"/>
  <c r="C46" i="15"/>
  <c r="AE63" i="18" l="1"/>
  <c r="T143" i="18" s="1"/>
  <c r="AC63" i="18"/>
  <c r="S143" i="18"/>
  <c r="V112" i="18"/>
  <c r="V122" i="18"/>
  <c r="V111" i="18"/>
  <c r="V121" i="18"/>
  <c r="Y23" i="18"/>
  <c r="X89" i="18"/>
  <c r="V94" i="18"/>
  <c r="V106" i="18"/>
  <c r="V105" i="18"/>
  <c r="V104" i="18"/>
  <c r="V85" i="18"/>
  <c r="V102" i="18"/>
  <c r="V101" i="18"/>
  <c r="W18" i="18"/>
  <c r="X20" i="18"/>
  <c r="W65" i="18"/>
  <c r="W27" i="18"/>
  <c r="W25" i="18"/>
  <c r="V79" i="18"/>
  <c r="AA36" i="18"/>
  <c r="AA86" i="18" s="1"/>
  <c r="Y21" i="18"/>
  <c r="S155" i="18"/>
  <c r="S163" i="18" s="1"/>
  <c r="C47" i="18"/>
  <c r="D47" i="18"/>
  <c r="E47" i="18"/>
  <c r="F47" i="18"/>
  <c r="H47" i="18"/>
  <c r="I47" i="18"/>
  <c r="J47" i="18"/>
  <c r="K47" i="18"/>
  <c r="L47" i="18"/>
  <c r="L162" i="18" s="1"/>
  <c r="M47" i="18"/>
  <c r="N47" i="18"/>
  <c r="N162" i="18" s="1"/>
  <c r="P47" i="18"/>
  <c r="D61" i="18"/>
  <c r="D160" i="18" s="1"/>
  <c r="E61" i="18"/>
  <c r="E160" i="18" s="1"/>
  <c r="F61" i="18"/>
  <c r="F160" i="18" s="1"/>
  <c r="G61" i="18"/>
  <c r="H61" i="18"/>
  <c r="H160" i="18" s="1"/>
  <c r="I61" i="18"/>
  <c r="I160" i="18" s="1"/>
  <c r="J61" i="18"/>
  <c r="J160" i="18" s="1"/>
  <c r="K61" i="18"/>
  <c r="K160" i="18" s="1"/>
  <c r="L61" i="18"/>
  <c r="L160" i="18" s="1"/>
  <c r="M61" i="18"/>
  <c r="M160" i="18" s="1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59" i="18" s="1"/>
  <c r="D159" i="18" s="1"/>
  <c r="E57" i="18"/>
  <c r="E59" i="18" s="1"/>
  <c r="E159" i="18" s="1"/>
  <c r="F57" i="18"/>
  <c r="G57" i="18"/>
  <c r="H57" i="18"/>
  <c r="I57" i="18"/>
  <c r="J57" i="18"/>
  <c r="K57" i="18"/>
  <c r="L57" i="18"/>
  <c r="M57" i="18"/>
  <c r="N57" i="18"/>
  <c r="P57" i="18"/>
  <c r="D51" i="18"/>
  <c r="E51" i="18"/>
  <c r="F51" i="18"/>
  <c r="G51" i="18"/>
  <c r="H51" i="18"/>
  <c r="I51" i="18"/>
  <c r="J51" i="18"/>
  <c r="K51" i="18"/>
  <c r="L51" i="18"/>
  <c r="M51" i="18"/>
  <c r="N51" i="18"/>
  <c r="P51" i="18"/>
  <c r="D50" i="18"/>
  <c r="D158" i="18" s="1"/>
  <c r="E50" i="18"/>
  <c r="E158" i="18" s="1"/>
  <c r="F50" i="18"/>
  <c r="F158" i="18" s="1"/>
  <c r="G50" i="18"/>
  <c r="H50" i="18"/>
  <c r="H158" i="18" s="1"/>
  <c r="I50" i="18"/>
  <c r="I158" i="18" s="1"/>
  <c r="J50" i="18"/>
  <c r="J158" i="18" s="1"/>
  <c r="K50" i="18"/>
  <c r="K158" i="18" s="1"/>
  <c r="L50" i="18"/>
  <c r="L158" i="18" s="1"/>
  <c r="M50" i="18"/>
  <c r="M158" i="18" s="1"/>
  <c r="N50" i="18"/>
  <c r="P50" i="18"/>
  <c r="C61" i="18"/>
  <c r="C160" i="18" s="1"/>
  <c r="C60" i="18"/>
  <c r="C58" i="18"/>
  <c r="C57" i="18"/>
  <c r="C51" i="18"/>
  <c r="C50" i="18"/>
  <c r="C158" i="18" s="1"/>
  <c r="D49" i="18"/>
  <c r="E49" i="18"/>
  <c r="F49" i="18"/>
  <c r="G49" i="18"/>
  <c r="H49" i="18"/>
  <c r="I49" i="18"/>
  <c r="J49" i="18"/>
  <c r="K49" i="18"/>
  <c r="L49" i="18"/>
  <c r="M49" i="18"/>
  <c r="N49" i="18"/>
  <c r="P49" i="18"/>
  <c r="C49" i="18"/>
  <c r="S15" i="18"/>
  <c r="S109" i="18" s="1"/>
  <c r="S16" i="18"/>
  <c r="S117" i="18" s="1"/>
  <c r="S118" i="18" s="1"/>
  <c r="S38" i="18"/>
  <c r="S87" i="18" s="1"/>
  <c r="S10" i="18"/>
  <c r="S12" i="18"/>
  <c r="S13" i="18"/>
  <c r="S7" i="18"/>
  <c r="S6" i="18"/>
  <c r="S91" i="18" l="1"/>
  <c r="R143" i="18"/>
  <c r="P167" i="18" s="1"/>
  <c r="W111" i="18"/>
  <c r="W121" i="18"/>
  <c r="W83" i="18"/>
  <c r="W112" i="18"/>
  <c r="W122" i="18"/>
  <c r="Z23" i="18"/>
  <c r="Y89" i="18"/>
  <c r="S81" i="18"/>
  <c r="S82" i="18"/>
  <c r="S115" i="18"/>
  <c r="S114" i="18"/>
  <c r="S88" i="18"/>
  <c r="S110" i="18"/>
  <c r="H162" i="18"/>
  <c r="H157" i="18"/>
  <c r="W94" i="18"/>
  <c r="W105" i="18"/>
  <c r="W104" i="18"/>
  <c r="W106" i="18"/>
  <c r="S93" i="18"/>
  <c r="S98" i="18"/>
  <c r="S99" i="18" s="1"/>
  <c r="W85" i="18"/>
  <c r="W102" i="18"/>
  <c r="W101" i="18"/>
  <c r="S92" i="18"/>
  <c r="X18" i="18"/>
  <c r="D157" i="18"/>
  <c r="D161" i="18" s="1"/>
  <c r="D162" i="18"/>
  <c r="E157" i="18"/>
  <c r="E161" i="18" s="1"/>
  <c r="E162" i="18"/>
  <c r="C157" i="18"/>
  <c r="C161" i="18" s="1"/>
  <c r="C162" i="18"/>
  <c r="P157" i="18"/>
  <c r="P162" i="18"/>
  <c r="Q162" i="18" s="1"/>
  <c r="K157" i="18"/>
  <c r="K162" i="18"/>
  <c r="F157" i="18"/>
  <c r="F161" i="18" s="1"/>
  <c r="F162" i="18"/>
  <c r="J157" i="18"/>
  <c r="J162" i="18"/>
  <c r="M157" i="18"/>
  <c r="M162" i="18"/>
  <c r="I157" i="18"/>
  <c r="I162" i="18"/>
  <c r="Q125" i="18"/>
  <c r="Y20" i="18"/>
  <c r="X65" i="18"/>
  <c r="H59" i="18"/>
  <c r="H159" i="18" s="1"/>
  <c r="X27" i="18"/>
  <c r="T12" i="18"/>
  <c r="T15" i="18"/>
  <c r="T109" i="18" s="1"/>
  <c r="T13" i="18"/>
  <c r="T10" i="18"/>
  <c r="T91" i="18" s="1"/>
  <c r="T16" i="18"/>
  <c r="T117" i="18" s="1"/>
  <c r="T118" i="18" s="1"/>
  <c r="T6" i="18"/>
  <c r="T7" i="18"/>
  <c r="X25" i="18"/>
  <c r="X83" i="18" s="1"/>
  <c r="W79" i="18"/>
  <c r="T38" i="18"/>
  <c r="T87" i="18" s="1"/>
  <c r="S80" i="18"/>
  <c r="AB36" i="18"/>
  <c r="F59" i="18"/>
  <c r="F159" i="18" s="1"/>
  <c r="L59" i="18"/>
  <c r="L159" i="18" s="1"/>
  <c r="K59" i="18"/>
  <c r="K159" i="18" s="1"/>
  <c r="J59" i="18"/>
  <c r="J159" i="18" s="1"/>
  <c r="Z21" i="18"/>
  <c r="C59" i="18"/>
  <c r="C159" i="18" s="1"/>
  <c r="T155" i="18"/>
  <c r="T163" i="18" s="1"/>
  <c r="I59" i="18"/>
  <c r="I159" i="18" s="1"/>
  <c r="Q49" i="18"/>
  <c r="G158" i="18"/>
  <c r="Q50" i="18"/>
  <c r="Q51" i="18"/>
  <c r="Q58" i="18"/>
  <c r="Q60" i="18"/>
  <c r="G157" i="18"/>
  <c r="Q47" i="18"/>
  <c r="G160" i="18"/>
  <c r="Q61" i="18"/>
  <c r="G59" i="18"/>
  <c r="Q57" i="18"/>
  <c r="N158" i="18"/>
  <c r="N157" i="18"/>
  <c r="N160" i="18"/>
  <c r="P158" i="18"/>
  <c r="L157" i="18"/>
  <c r="N59" i="18"/>
  <c r="M59" i="18"/>
  <c r="M159" i="18" s="1"/>
  <c r="P160" i="18"/>
  <c r="P59" i="18"/>
  <c r="S58" i="18"/>
  <c r="C6" i="12"/>
  <c r="C26" i="15"/>
  <c r="C58" i="15"/>
  <c r="C57" i="15"/>
  <c r="C54" i="15"/>
  <c r="C53" i="15"/>
  <c r="C50" i="15"/>
  <c r="C49" i="15"/>
  <c r="C45" i="15"/>
  <c r="X111" i="18" l="1"/>
  <c r="X121" i="18"/>
  <c r="X112" i="18"/>
  <c r="X122" i="18"/>
  <c r="AE36" i="18"/>
  <c r="AB86" i="18"/>
  <c r="AC86" i="18" s="1"/>
  <c r="AA23" i="18"/>
  <c r="Z89" i="18"/>
  <c r="T115" i="18"/>
  <c r="T114" i="18"/>
  <c r="T88" i="18"/>
  <c r="T110" i="18"/>
  <c r="T82" i="18"/>
  <c r="X104" i="18"/>
  <c r="X105" i="18"/>
  <c r="X106" i="18"/>
  <c r="X94" i="18"/>
  <c r="X85" i="18"/>
  <c r="X102" i="18"/>
  <c r="X101" i="18"/>
  <c r="T92" i="18"/>
  <c r="T93" i="18"/>
  <c r="Y18" i="18"/>
  <c r="Z20" i="18"/>
  <c r="Y65" i="18"/>
  <c r="S57" i="18"/>
  <c r="S59" i="18" s="1"/>
  <c r="S74" i="18"/>
  <c r="S53" i="18"/>
  <c r="S55" i="18"/>
  <c r="S161" i="18" s="1"/>
  <c r="S61" i="18"/>
  <c r="S160" i="18" s="1"/>
  <c r="S71" i="18"/>
  <c r="S73" i="18"/>
  <c r="S119" i="18" s="1"/>
  <c r="S45" i="18"/>
  <c r="S44" i="18"/>
  <c r="S156" i="18" s="1"/>
  <c r="S54" i="18"/>
  <c r="S50" i="18"/>
  <c r="S51" i="18"/>
  <c r="S60" i="18"/>
  <c r="S49" i="18"/>
  <c r="S75" i="18"/>
  <c r="S47" i="18"/>
  <c r="S162" i="18" s="1"/>
  <c r="Y27" i="18"/>
  <c r="U15" i="18"/>
  <c r="U109" i="18" s="1"/>
  <c r="U13" i="18"/>
  <c r="U12" i="18"/>
  <c r="U16" i="18"/>
  <c r="U117" i="18" s="1"/>
  <c r="U118" i="18" s="1"/>
  <c r="U10" i="18"/>
  <c r="U91" i="18" s="1"/>
  <c r="U7" i="18"/>
  <c r="U6" i="18"/>
  <c r="AC36" i="18"/>
  <c r="Y25" i="18"/>
  <c r="Y83" i="18" s="1"/>
  <c r="X79" i="18"/>
  <c r="U38" i="18"/>
  <c r="U87" i="18" s="1"/>
  <c r="T81" i="18"/>
  <c r="T80" i="18"/>
  <c r="T40" i="18"/>
  <c r="S68" i="18"/>
  <c r="S69" i="18"/>
  <c r="S70" i="18"/>
  <c r="S67" i="18"/>
  <c r="AA21" i="18"/>
  <c r="U155" i="18"/>
  <c r="U163" i="18" s="1"/>
  <c r="Q158" i="18"/>
  <c r="Q157" i="18"/>
  <c r="Q160" i="18"/>
  <c r="G159" i="18"/>
  <c r="Q59" i="18"/>
  <c r="N159" i="18"/>
  <c r="P159" i="18"/>
  <c r="C16" i="15"/>
  <c r="C21" i="15"/>
  <c r="C10" i="15"/>
  <c r="T96" i="18" l="1"/>
  <c r="T97" i="18" s="1"/>
  <c r="T98" i="18" s="1"/>
  <c r="T99" i="18" s="1"/>
  <c r="T48" i="18"/>
  <c r="Y111" i="18"/>
  <c r="Y121" i="18"/>
  <c r="Y112" i="18"/>
  <c r="Y122" i="18"/>
  <c r="AB23" i="18"/>
  <c r="AA89" i="18"/>
  <c r="U88" i="18"/>
  <c r="U110" i="18"/>
  <c r="U115" i="18"/>
  <c r="U114" i="18"/>
  <c r="U82" i="18"/>
  <c r="Y106" i="18"/>
  <c r="Y105" i="18"/>
  <c r="Y104" i="18"/>
  <c r="Y94" i="18"/>
  <c r="T57" i="18"/>
  <c r="Y85" i="18"/>
  <c r="Y102" i="18"/>
  <c r="Y101" i="18"/>
  <c r="U92" i="18"/>
  <c r="U93" i="18"/>
  <c r="T53" i="18"/>
  <c r="Z18" i="18"/>
  <c r="AA20" i="18"/>
  <c r="Z65" i="18"/>
  <c r="T55" i="18"/>
  <c r="T161" i="18" s="1"/>
  <c r="T61" i="18"/>
  <c r="T160" i="18" s="1"/>
  <c r="T71" i="18"/>
  <c r="T73" i="18"/>
  <c r="T119" i="18" s="1"/>
  <c r="T44" i="18"/>
  <c r="T156" i="18" s="1"/>
  <c r="T45" i="18"/>
  <c r="T50" i="18"/>
  <c r="T49" i="18"/>
  <c r="T60" i="18"/>
  <c r="T75" i="18"/>
  <c r="T54" i="18"/>
  <c r="T51" i="18"/>
  <c r="T47" i="18"/>
  <c r="T162" i="18" s="1"/>
  <c r="T58" i="18"/>
  <c r="T74" i="18"/>
  <c r="Z27" i="18"/>
  <c r="V13" i="18"/>
  <c r="V12" i="18"/>
  <c r="V15" i="18"/>
  <c r="V109" i="18" s="1"/>
  <c r="V10" i="18"/>
  <c r="V16" i="18"/>
  <c r="V117" i="18" s="1"/>
  <c r="V118" i="18" s="1"/>
  <c r="V6" i="18"/>
  <c r="V7" i="18"/>
  <c r="V38" i="18"/>
  <c r="V87" i="18" s="1"/>
  <c r="U81" i="18"/>
  <c r="U80" i="18"/>
  <c r="Z25" i="18"/>
  <c r="Z83" i="18" s="1"/>
  <c r="Y79" i="18"/>
  <c r="U40" i="18"/>
  <c r="T70" i="18"/>
  <c r="T69" i="18"/>
  <c r="T68" i="18"/>
  <c r="T67" i="18"/>
  <c r="AB21" i="18"/>
  <c r="AE21" i="18" s="1"/>
  <c r="S159" i="18"/>
  <c r="V155" i="18"/>
  <c r="V163" i="18" s="1"/>
  <c r="S157" i="18"/>
  <c r="S158" i="18"/>
  <c r="Q159" i="18"/>
  <c r="D31" i="8"/>
  <c r="D29" i="8"/>
  <c r="D28" i="8"/>
  <c r="D13" i="8"/>
  <c r="D30" i="8" s="1"/>
  <c r="E14" i="8"/>
  <c r="F14" i="8" s="1"/>
  <c r="G14" i="8" s="1"/>
  <c r="H14" i="8" s="1"/>
  <c r="I14" i="8" s="1"/>
  <c r="V91" i="18" l="1"/>
  <c r="U96" i="18"/>
  <c r="U97" i="18" s="1"/>
  <c r="U98" i="18" s="1"/>
  <c r="U99" i="18" s="1"/>
  <c r="U48" i="18"/>
  <c r="Z111" i="18"/>
  <c r="Z121" i="18"/>
  <c r="Z112" i="18"/>
  <c r="Z122" i="18"/>
  <c r="AE23" i="18"/>
  <c r="AB89" i="18"/>
  <c r="AC89" i="18" s="1"/>
  <c r="AC23" i="18"/>
  <c r="V82" i="18"/>
  <c r="V114" i="18"/>
  <c r="V115" i="18"/>
  <c r="V88" i="18"/>
  <c r="V110" i="18"/>
  <c r="Z106" i="18"/>
  <c r="Z105" i="18"/>
  <c r="Z104" i="18"/>
  <c r="Z94" i="18"/>
  <c r="U57" i="18"/>
  <c r="T59" i="18"/>
  <c r="T159" i="18" s="1"/>
  <c r="Z85" i="18"/>
  <c r="Z102" i="18"/>
  <c r="Z101" i="18"/>
  <c r="V93" i="18"/>
  <c r="V92" i="18"/>
  <c r="AA18" i="18"/>
  <c r="AB20" i="18"/>
  <c r="AA65" i="18"/>
  <c r="U75" i="18"/>
  <c r="U74" i="18"/>
  <c r="U53" i="18"/>
  <c r="U61" i="18"/>
  <c r="U160" i="18" s="1"/>
  <c r="U60" i="18"/>
  <c r="U55" i="18"/>
  <c r="U161" i="18" s="1"/>
  <c r="U58" i="18"/>
  <c r="U49" i="18"/>
  <c r="U71" i="18"/>
  <c r="U73" i="18"/>
  <c r="U119" i="18" s="1"/>
  <c r="U45" i="18"/>
  <c r="U44" i="18"/>
  <c r="U156" i="18" s="1"/>
  <c r="U54" i="18"/>
  <c r="U50" i="18"/>
  <c r="U51" i="18"/>
  <c r="U47" i="18"/>
  <c r="U162" i="18" s="1"/>
  <c r="AA27" i="18"/>
  <c r="W12" i="18"/>
  <c r="W15" i="18"/>
  <c r="W109" i="18" s="1"/>
  <c r="W13" i="18"/>
  <c r="W16" i="18"/>
  <c r="W117" i="18" s="1"/>
  <c r="W118" i="18" s="1"/>
  <c r="W10" i="18"/>
  <c r="W7" i="18"/>
  <c r="W6" i="18"/>
  <c r="AA25" i="18"/>
  <c r="Z79" i="18"/>
  <c r="W38" i="18"/>
  <c r="W87" i="18" s="1"/>
  <c r="V80" i="18"/>
  <c r="V81" i="18"/>
  <c r="V40" i="18"/>
  <c r="U70" i="18"/>
  <c r="U68" i="18"/>
  <c r="U69" i="18"/>
  <c r="U67" i="18"/>
  <c r="AC21" i="18"/>
  <c r="W155" i="18"/>
  <c r="W163" i="18" s="1"/>
  <c r="T157" i="18"/>
  <c r="T158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91" i="18" l="1"/>
  <c r="V96" i="18"/>
  <c r="V97" i="18" s="1"/>
  <c r="V98" i="18" s="1"/>
  <c r="V99" i="18" s="1"/>
  <c r="V48" i="18"/>
  <c r="AA111" i="18"/>
  <c r="AA121" i="18"/>
  <c r="AA112" i="18"/>
  <c r="AA122" i="18"/>
  <c r="AE20" i="18"/>
  <c r="AA83" i="18"/>
  <c r="W115" i="18"/>
  <c r="W114" i="18"/>
  <c r="W88" i="18"/>
  <c r="W110" i="18"/>
  <c r="W82" i="18"/>
  <c r="AA105" i="18"/>
  <c r="AA104" i="18"/>
  <c r="AA106" i="18"/>
  <c r="AA94" i="18"/>
  <c r="U59" i="18"/>
  <c r="U159" i="18" s="1"/>
  <c r="AA85" i="18"/>
  <c r="AA102" i="18"/>
  <c r="AA101" i="18"/>
  <c r="V60" i="18"/>
  <c r="W93" i="18"/>
  <c r="W92" i="18"/>
  <c r="AB18" i="18"/>
  <c r="V75" i="18"/>
  <c r="V51" i="18"/>
  <c r="V58" i="18"/>
  <c r="AC20" i="18"/>
  <c r="AB65" i="18"/>
  <c r="V49" i="18"/>
  <c r="V57" i="18"/>
  <c r="V54" i="18"/>
  <c r="V74" i="18"/>
  <c r="V50" i="18"/>
  <c r="V55" i="18"/>
  <c r="V161" i="18" s="1"/>
  <c r="V71" i="18"/>
  <c r="V73" i="18"/>
  <c r="V119" i="18" s="1"/>
  <c r="V44" i="18"/>
  <c r="V156" i="18" s="1"/>
  <c r="V45" i="18"/>
  <c r="V53" i="18"/>
  <c r="V61" i="18"/>
  <c r="V160" i="18" s="1"/>
  <c r="V47" i="18"/>
  <c r="V162" i="18" s="1"/>
  <c r="AB27" i="18"/>
  <c r="AB122" i="18" s="1"/>
  <c r="AC122" i="18" s="1"/>
  <c r="X15" i="18"/>
  <c r="X109" i="18" s="1"/>
  <c r="X13" i="18"/>
  <c r="X12" i="18"/>
  <c r="X10" i="18"/>
  <c r="X91" i="18" s="1"/>
  <c r="X16" i="18"/>
  <c r="X117" i="18" s="1"/>
  <c r="X118" i="18" s="1"/>
  <c r="X6" i="18"/>
  <c r="X7" i="18"/>
  <c r="X38" i="18"/>
  <c r="X87" i="18" s="1"/>
  <c r="W81" i="18"/>
  <c r="W80" i="18"/>
  <c r="AB25" i="18"/>
  <c r="AB83" i="18" s="1"/>
  <c r="AC83" i="18" s="1"/>
  <c r="AA79" i="18"/>
  <c r="W40" i="18"/>
  <c r="V70" i="18"/>
  <c r="V68" i="18"/>
  <c r="V69" i="18"/>
  <c r="V67" i="18"/>
  <c r="X155" i="18"/>
  <c r="X163" i="18" s="1"/>
  <c r="U157" i="18"/>
  <c r="U158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96" i="18" l="1"/>
  <c r="W97" i="18" s="1"/>
  <c r="W98" i="18" s="1"/>
  <c r="W99" i="18" s="1"/>
  <c r="W48" i="18"/>
  <c r="AB111" i="18"/>
  <c r="AC111" i="18" s="1"/>
  <c r="AB121" i="18"/>
  <c r="AC121" i="18" s="1"/>
  <c r="X88" i="18"/>
  <c r="X110" i="18"/>
  <c r="X115" i="18"/>
  <c r="X114" i="18"/>
  <c r="AE27" i="18"/>
  <c r="AB112" i="18"/>
  <c r="AC112" i="18" s="1"/>
  <c r="X82" i="18"/>
  <c r="AB104" i="18"/>
  <c r="AC104" i="18" s="1"/>
  <c r="AB106" i="18"/>
  <c r="AC106" i="18" s="1"/>
  <c r="AB105" i="18"/>
  <c r="AC105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94" i="18"/>
  <c r="AC94" i="18" s="1"/>
  <c r="V59" i="18"/>
  <c r="V159" i="18" s="1"/>
  <c r="W58" i="18"/>
  <c r="AB85" i="18"/>
  <c r="AC85" i="18" s="1"/>
  <c r="AB102" i="18"/>
  <c r="AC102" i="18" s="1"/>
  <c r="AB101" i="18"/>
  <c r="AC101" i="18" s="1"/>
  <c r="X93" i="18"/>
  <c r="X92" i="18"/>
  <c r="AE25" i="18"/>
  <c r="AE18" i="18"/>
  <c r="AC18" i="18"/>
  <c r="S145" i="18"/>
  <c r="AE65" i="18"/>
  <c r="AC65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1" i="18"/>
  <c r="W160" i="18" s="1"/>
  <c r="W60" i="18"/>
  <c r="W55" i="18"/>
  <c r="W161" i="18" s="1"/>
  <c r="W57" i="18"/>
  <c r="W54" i="18"/>
  <c r="W74" i="18"/>
  <c r="W53" i="18"/>
  <c r="W75" i="18"/>
  <c r="W71" i="18"/>
  <c r="W73" i="18"/>
  <c r="W119" i="18" s="1"/>
  <c r="W45" i="18"/>
  <c r="W44" i="18"/>
  <c r="W156" i="18" s="1"/>
  <c r="W49" i="18"/>
  <c r="W50" i="18"/>
  <c r="W51" i="18"/>
  <c r="W47" i="18"/>
  <c r="W162" i="18" s="1"/>
  <c r="AC27" i="18"/>
  <c r="Y12" i="18"/>
  <c r="Y15" i="18"/>
  <c r="Y109" i="18" s="1"/>
  <c r="Y13" i="18"/>
  <c r="Y10" i="18"/>
  <c r="Y16" i="18"/>
  <c r="Y117" i="18" s="1"/>
  <c r="Y118" i="18" s="1"/>
  <c r="Y7" i="18"/>
  <c r="Y6" i="18"/>
  <c r="AC25" i="18"/>
  <c r="AB79" i="18"/>
  <c r="AC79" i="18" s="1"/>
  <c r="Y38" i="18"/>
  <c r="Y87" i="18" s="1"/>
  <c r="X81" i="18"/>
  <c r="X80" i="18"/>
  <c r="O31" i="9"/>
  <c r="O32" i="9" s="1"/>
  <c r="X40" i="18"/>
  <c r="W70" i="18"/>
  <c r="W68" i="18"/>
  <c r="W69" i="18"/>
  <c r="W67" i="18"/>
  <c r="Y155" i="18"/>
  <c r="Y163" i="18" s="1"/>
  <c r="V157" i="18"/>
  <c r="V158" i="18"/>
  <c r="P31" i="11"/>
  <c r="N32" i="11"/>
  <c r="T19" i="9"/>
  <c r="D22" i="9"/>
  <c r="Y91" i="18" l="1"/>
  <c r="X96" i="18"/>
  <c r="X97" i="18" s="1"/>
  <c r="X98" i="18" s="1"/>
  <c r="X99" i="18" s="1"/>
  <c r="X48" i="18"/>
  <c r="Y115" i="18"/>
  <c r="Y114" i="18"/>
  <c r="Y88" i="18"/>
  <c r="Y110" i="18"/>
  <c r="Y82" i="18"/>
  <c r="W59" i="18"/>
  <c r="W159" i="18" s="1"/>
  <c r="X51" i="18"/>
  <c r="Y92" i="18"/>
  <c r="Y93" i="18"/>
  <c r="T145" i="18"/>
  <c r="R145" i="18" s="1"/>
  <c r="X53" i="18"/>
  <c r="X60" i="18"/>
  <c r="X47" i="18"/>
  <c r="X162" i="18" s="1"/>
  <c r="X55" i="18"/>
  <c r="X161" i="18" s="1"/>
  <c r="X50" i="18"/>
  <c r="X49" i="18"/>
  <c r="X71" i="18"/>
  <c r="X73" i="18"/>
  <c r="X119" i="18" s="1"/>
  <c r="X45" i="18"/>
  <c r="X44" i="18"/>
  <c r="X156" i="18" s="1"/>
  <c r="X75" i="18"/>
  <c r="X54" i="18"/>
  <c r="X61" i="18"/>
  <c r="X160" i="18" s="1"/>
  <c r="X58" i="18"/>
  <c r="X57" i="18"/>
  <c r="X74" i="18"/>
  <c r="Z13" i="18"/>
  <c r="Z12" i="18"/>
  <c r="Z15" i="18"/>
  <c r="Z109" i="18" s="1"/>
  <c r="Z10" i="18"/>
  <c r="Z91" i="18" s="1"/>
  <c r="Z16" i="18"/>
  <c r="Z117" i="18" s="1"/>
  <c r="Z118" i="18" s="1"/>
  <c r="Z6" i="18"/>
  <c r="Z7" i="18"/>
  <c r="Z38" i="18"/>
  <c r="Z87" i="18" s="1"/>
  <c r="Y81" i="18"/>
  <c r="Y80" i="18"/>
  <c r="Y40" i="18"/>
  <c r="X70" i="18"/>
  <c r="X68" i="18"/>
  <c r="X69" i="18"/>
  <c r="X67" i="18"/>
  <c r="Z155" i="18"/>
  <c r="Z163" i="18" s="1"/>
  <c r="W157" i="18"/>
  <c r="W158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96" i="18" l="1"/>
  <c r="Y97" i="18" s="1"/>
  <c r="Y98" i="18" s="1"/>
  <c r="Y99" i="18" s="1"/>
  <c r="Y48" i="18"/>
  <c r="Z88" i="18"/>
  <c r="Z110" i="18"/>
  <c r="Z114" i="18"/>
  <c r="Z115" i="18"/>
  <c r="Z82" i="18"/>
  <c r="Z92" i="18"/>
  <c r="Z93" i="18"/>
  <c r="X59" i="18"/>
  <c r="X159" i="18" s="1"/>
  <c r="Y71" i="18"/>
  <c r="Y73" i="18"/>
  <c r="Y119" i="18" s="1"/>
  <c r="Y44" i="18"/>
  <c r="Y156" i="18" s="1"/>
  <c r="Y45" i="18"/>
  <c r="Y55" i="18"/>
  <c r="Y161" i="18" s="1"/>
  <c r="Y61" i="18"/>
  <c r="Y160" i="18" s="1"/>
  <c r="Y60" i="18"/>
  <c r="Y58" i="18"/>
  <c r="Y49" i="18"/>
  <c r="Y47" i="18"/>
  <c r="Y162" i="18" s="1"/>
  <c r="Y54" i="18"/>
  <c r="Y50" i="18"/>
  <c r="Y51" i="18"/>
  <c r="Y57" i="18"/>
  <c r="Y74" i="18"/>
  <c r="Y53" i="18"/>
  <c r="Y75" i="18"/>
  <c r="AA12" i="18"/>
  <c r="AA15" i="18"/>
  <c r="AA109" i="18" s="1"/>
  <c r="AA13" i="18"/>
  <c r="AA10" i="18"/>
  <c r="AA91" i="18" s="1"/>
  <c r="AA16" i="18"/>
  <c r="AA117" i="18" s="1"/>
  <c r="AA118" i="18" s="1"/>
  <c r="AA7" i="18"/>
  <c r="AA6" i="18"/>
  <c r="AA38" i="18"/>
  <c r="AA87" i="18" s="1"/>
  <c r="Z80" i="18"/>
  <c r="Z81" i="18"/>
  <c r="Z40" i="18"/>
  <c r="Y70" i="18"/>
  <c r="Y68" i="18"/>
  <c r="Y69" i="18"/>
  <c r="Y67" i="18"/>
  <c r="AA155" i="18"/>
  <c r="AA163" i="18" s="1"/>
  <c r="X157" i="18"/>
  <c r="X158" i="18"/>
  <c r="N34" i="11"/>
  <c r="O33" i="11"/>
  <c r="D25" i="8"/>
  <c r="D23" i="8"/>
  <c r="Z96" i="18" l="1"/>
  <c r="Z97" i="18" s="1"/>
  <c r="Z98" i="18" s="1"/>
  <c r="Z99" i="18" s="1"/>
  <c r="Z48" i="18"/>
  <c r="AA82" i="18"/>
  <c r="AA114" i="18"/>
  <c r="AA115" i="18"/>
  <c r="AA88" i="18"/>
  <c r="AA110" i="18"/>
  <c r="AA92" i="18"/>
  <c r="AA93" i="18"/>
  <c r="Y59" i="18"/>
  <c r="Y159" i="18" s="1"/>
  <c r="Z71" i="18"/>
  <c r="Z73" i="18"/>
  <c r="Z119" i="18" s="1"/>
  <c r="Z45" i="18"/>
  <c r="Z44" i="18"/>
  <c r="Z156" i="18" s="1"/>
  <c r="Z49" i="18"/>
  <c r="Z60" i="18"/>
  <c r="Z50" i="18"/>
  <c r="Z55" i="18"/>
  <c r="Z161" i="18" s="1"/>
  <c r="Z58" i="18"/>
  <c r="Z57" i="18"/>
  <c r="Z75" i="18"/>
  <c r="Z61" i="18"/>
  <c r="Z160" i="18" s="1"/>
  <c r="Z47" i="18"/>
  <c r="Z162" i="18" s="1"/>
  <c r="Z54" i="18"/>
  <c r="Z74" i="18"/>
  <c r="Z53" i="18"/>
  <c r="Z51" i="18"/>
  <c r="AB15" i="18"/>
  <c r="AB13" i="18"/>
  <c r="AE13" i="18" s="1"/>
  <c r="AB12" i="18"/>
  <c r="AB110" i="18" s="1"/>
  <c r="AC110" i="18" s="1"/>
  <c r="AB10" i="18"/>
  <c r="AB91" i="18" s="1"/>
  <c r="AB16" i="18"/>
  <c r="AB6" i="18"/>
  <c r="AE6" i="18" s="1"/>
  <c r="AB7" i="18"/>
  <c r="AE7" i="18" s="1"/>
  <c r="AB38" i="18"/>
  <c r="AB87" i="18" s="1"/>
  <c r="AC87" i="18" s="1"/>
  <c r="AA81" i="18"/>
  <c r="AA80" i="18"/>
  <c r="AA40" i="18"/>
  <c r="Z70" i="18"/>
  <c r="Z68" i="18"/>
  <c r="Z69" i="18"/>
  <c r="Z67" i="18"/>
  <c r="AB155" i="18"/>
  <c r="AB163" i="18" s="1"/>
  <c r="AC163" i="18" s="1"/>
  <c r="AE163" i="18" s="1"/>
  <c r="Y157" i="18"/>
  <c r="Y158" i="18"/>
  <c r="N35" i="11"/>
  <c r="O34" i="11"/>
  <c r="D35" i="8"/>
  <c r="E5" i="8"/>
  <c r="E18" i="8" s="1"/>
  <c r="D18" i="8"/>
  <c r="D19" i="8"/>
  <c r="D21" i="8"/>
  <c r="D20" i="8"/>
  <c r="AA96" i="18" l="1"/>
  <c r="AA97" i="18" s="1"/>
  <c r="AA98" i="18" s="1"/>
  <c r="AA99" i="18" s="1"/>
  <c r="AA48" i="18"/>
  <c r="AE16" i="18"/>
  <c r="AB117" i="18"/>
  <c r="AB115" i="18"/>
  <c r="AC115" i="18" s="1"/>
  <c r="AB114" i="18"/>
  <c r="AC114" i="18" s="1"/>
  <c r="AE15" i="18"/>
  <c r="AB109" i="18"/>
  <c r="AC109" i="18" s="1"/>
  <c r="AB82" i="18"/>
  <c r="AC82" i="18" s="1"/>
  <c r="AE10" i="18"/>
  <c r="AC91" i="18"/>
  <c r="AE12" i="18"/>
  <c r="AB88" i="18"/>
  <c r="AC88" i="18" s="1"/>
  <c r="AE38" i="18"/>
  <c r="AB92" i="18"/>
  <c r="AC92" i="18" s="1"/>
  <c r="AB93" i="18"/>
  <c r="AC93" i="18" s="1"/>
  <c r="Z59" i="18"/>
  <c r="Z159" i="18" s="1"/>
  <c r="AA71" i="18"/>
  <c r="AA73" i="18"/>
  <c r="AA119" i="18" s="1"/>
  <c r="AA44" i="18"/>
  <c r="AA156" i="18" s="1"/>
  <c r="AA45" i="18"/>
  <c r="AA53" i="18"/>
  <c r="AA61" i="18"/>
  <c r="AA160" i="18" s="1"/>
  <c r="AA47" i="18"/>
  <c r="AA162" i="18" s="1"/>
  <c r="AA55" i="18"/>
  <c r="AA161" i="18" s="1"/>
  <c r="AA58" i="18"/>
  <c r="AA74" i="18"/>
  <c r="AA49" i="18"/>
  <c r="AA50" i="18"/>
  <c r="AA51" i="18"/>
  <c r="AA54" i="18"/>
  <c r="AA75" i="18"/>
  <c r="AA57" i="18"/>
  <c r="AA60" i="18"/>
  <c r="AC15" i="18"/>
  <c r="AC13" i="18"/>
  <c r="S139" i="18"/>
  <c r="AC12" i="18"/>
  <c r="AC10" i="18"/>
  <c r="AC16" i="18"/>
  <c r="AC7" i="18"/>
  <c r="AC6" i="18"/>
  <c r="AB81" i="18"/>
  <c r="AC81" i="18" s="1"/>
  <c r="AB80" i="18"/>
  <c r="AC80" i="18" s="1"/>
  <c r="AC38" i="18"/>
  <c r="AB40" i="18"/>
  <c r="AA70" i="18"/>
  <c r="AA68" i="18"/>
  <c r="AA69" i="18"/>
  <c r="AA67" i="18"/>
  <c r="AC155" i="18"/>
  <c r="AE155" i="18" s="1"/>
  <c r="Z157" i="18"/>
  <c r="Z158" i="18"/>
  <c r="N36" i="11"/>
  <c r="O35" i="11"/>
  <c r="F5" i="8"/>
  <c r="G5" i="8" s="1"/>
  <c r="H5" i="8" s="1"/>
  <c r="I5" i="8" s="1"/>
  <c r="AB96" i="18" l="1"/>
  <c r="AB97" i="18" s="1"/>
  <c r="AB98" i="18" s="1"/>
  <c r="AB99" i="18" s="1"/>
  <c r="AB48" i="18"/>
  <c r="AC117" i="18"/>
  <c r="AB118" i="18"/>
  <c r="AC118" i="18" s="1"/>
  <c r="AE40" i="18"/>
  <c r="T139" i="18"/>
  <c r="T140" i="18" s="1"/>
  <c r="AA59" i="18"/>
  <c r="AA159" i="18" s="1"/>
  <c r="AB71" i="18"/>
  <c r="AB73" i="18"/>
  <c r="AB44" i="18"/>
  <c r="AB156" i="18" s="1"/>
  <c r="AC156" i="18" s="1"/>
  <c r="AE156" i="18" s="1"/>
  <c r="AB45" i="18"/>
  <c r="AB53" i="18"/>
  <c r="AB58" i="18"/>
  <c r="AB47" i="18"/>
  <c r="AB55" i="18"/>
  <c r="AB51" i="18"/>
  <c r="AB74" i="18"/>
  <c r="AB50" i="18"/>
  <c r="AE50" i="18" s="1"/>
  <c r="AB49" i="18"/>
  <c r="AB60" i="18"/>
  <c r="AB75" i="18"/>
  <c r="AB54" i="18"/>
  <c r="AB61" i="18"/>
  <c r="AB57" i="18"/>
  <c r="S140" i="18"/>
  <c r="AB70" i="18"/>
  <c r="AB68" i="18"/>
  <c r="AC40" i="18"/>
  <c r="AB69" i="18"/>
  <c r="AB67" i="18"/>
  <c r="AA157" i="18"/>
  <c r="AA158" i="18"/>
  <c r="N37" i="11"/>
  <c r="O36" i="11"/>
  <c r="F18" i="8"/>
  <c r="G18" i="8"/>
  <c r="AE47" i="18" l="1"/>
  <c r="AB162" i="18"/>
  <c r="AE48" i="18"/>
  <c r="AC48" i="18"/>
  <c r="AE73" i="18"/>
  <c r="AB119" i="18"/>
  <c r="AC119" i="18" s="1"/>
  <c r="AC96" i="18"/>
  <c r="R139" i="18"/>
  <c r="R140" i="18"/>
  <c r="AC74" i="18"/>
  <c r="AE74" i="18"/>
  <c r="AC45" i="18"/>
  <c r="AE45" i="18"/>
  <c r="S136" i="18"/>
  <c r="AE60" i="18"/>
  <c r="AB160" i="18"/>
  <c r="AC160" i="18" s="1"/>
  <c r="AE160" i="18" s="1"/>
  <c r="AE61" i="18"/>
  <c r="AC44" i="18"/>
  <c r="AE44" i="18"/>
  <c r="AC58" i="18"/>
  <c r="AE58" i="18"/>
  <c r="S130" i="18"/>
  <c r="AE57" i="18"/>
  <c r="S129" i="18"/>
  <c r="AE51" i="18"/>
  <c r="AB161" i="18"/>
  <c r="AC161" i="18" s="1"/>
  <c r="AE161" i="18" s="1"/>
  <c r="AE55" i="18"/>
  <c r="AC54" i="18"/>
  <c r="AE54" i="18"/>
  <c r="S127" i="18"/>
  <c r="AE49" i="18"/>
  <c r="S132" i="18"/>
  <c r="AE53" i="18"/>
  <c r="AC75" i="18"/>
  <c r="AE75" i="18"/>
  <c r="S152" i="18"/>
  <c r="AE71" i="18"/>
  <c r="S150" i="18"/>
  <c r="AE70" i="18"/>
  <c r="S149" i="18"/>
  <c r="AE69" i="18"/>
  <c r="S147" i="18"/>
  <c r="AE67" i="18"/>
  <c r="S148" i="18"/>
  <c r="AE68" i="18"/>
  <c r="AC60" i="18"/>
  <c r="S133" i="18"/>
  <c r="AC49" i="18"/>
  <c r="AC51" i="18"/>
  <c r="T129" i="18" s="1"/>
  <c r="AC53" i="18"/>
  <c r="S134" i="18"/>
  <c r="AC71" i="18"/>
  <c r="AC57" i="18"/>
  <c r="S137" i="18"/>
  <c r="AB59" i="18"/>
  <c r="AC55" i="18"/>
  <c r="AC61" i="18"/>
  <c r="AC73" i="18"/>
  <c r="AC69" i="18"/>
  <c r="AC68" i="18"/>
  <c r="AC67" i="18"/>
  <c r="AC70" i="18"/>
  <c r="S126" i="18"/>
  <c r="AC47" i="18"/>
  <c r="AB157" i="18"/>
  <c r="AC50" i="18"/>
  <c r="T128" i="18" s="1"/>
  <c r="AB158" i="18"/>
  <c r="S128" i="18"/>
  <c r="N38" i="11"/>
  <c r="O37" i="11"/>
  <c r="H18" i="8"/>
  <c r="AC162" i="18" l="1"/>
  <c r="AE162" i="18" s="1"/>
  <c r="T126" i="18"/>
  <c r="P170" i="18"/>
  <c r="M170" i="18"/>
  <c r="AC97" i="18"/>
  <c r="T137" i="18"/>
  <c r="R137" i="18" s="1"/>
  <c r="T127" i="18"/>
  <c r="R127" i="18" s="1"/>
  <c r="T136" i="18"/>
  <c r="R136" i="18" s="1"/>
  <c r="T132" i="18"/>
  <c r="R132" i="18" s="1"/>
  <c r="T134" i="18"/>
  <c r="R134" i="18" s="1"/>
  <c r="T152" i="18"/>
  <c r="R152" i="18" s="1"/>
  <c r="T149" i="18"/>
  <c r="R149" i="18" s="1"/>
  <c r="AC59" i="18"/>
  <c r="AE59" i="18"/>
  <c r="T130" i="18"/>
  <c r="R130" i="18" s="1"/>
  <c r="R129" i="18"/>
  <c r="T133" i="18"/>
  <c r="R133" i="18" s="1"/>
  <c r="T147" i="18"/>
  <c r="R147" i="18" s="1"/>
  <c r="AB159" i="18"/>
  <c r="AC159" i="18" s="1"/>
  <c r="AE159" i="18" s="1"/>
  <c r="T150" i="18"/>
  <c r="R150" i="18" s="1"/>
  <c r="T148" i="18"/>
  <c r="R148" i="18" s="1"/>
  <c r="R126" i="18"/>
  <c r="P171" i="18" s="1"/>
  <c r="P172" i="18" s="1"/>
  <c r="AC158" i="18"/>
  <c r="AE158" i="18" s="1"/>
  <c r="AC157" i="18"/>
  <c r="AE157" i="18" s="1"/>
  <c r="R128" i="18"/>
  <c r="N39" i="11"/>
  <c r="O38" i="11"/>
  <c r="I18" i="8"/>
  <c r="P169" i="18" l="1"/>
  <c r="M169" i="18"/>
  <c r="P168" i="18"/>
  <c r="M168" i="18"/>
  <c r="AC99" i="18"/>
  <c r="AC98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9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-Ve means, its safe.. i.e. Debt is covered by cash in hand</t>
        </r>
      </text>
    </comment>
    <comment ref="B1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5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<sst xmlns="http://schemas.openxmlformats.org/spreadsheetml/2006/main" count="574" uniqueCount="396">
  <si>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</si>
  <si>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</si>
  <si>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</si>
  <si>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</si>
  <si>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</si>
  <si>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</si>
  <si>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</si>
  <si>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</si>
  <si>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</si>
  <si>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</si>
  <si>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</si>
  <si>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</si>
  <si>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</si>
  <si>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</si>
  <si>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</si>
  <si>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</si>
  <si>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</si>
  <si>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</si>
  <si>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</si>
  <si>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</si>
  <si>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</si>
  <si>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</si>
  <si>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</si>
  <si>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</si>
  <si>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</si>
  <si>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</si>
  <si>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</si>
  <si>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</si>
  <si>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</si>
  <si>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</si>
  <si>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</si>
  <si>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</si>
  <si>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</si>
  <si>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</si>
  <si>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</si>
  <si>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</si>
  <si>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</si>
  <si>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</si>
  <si>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</si>
  <si>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</si>
  <si>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</si>
  <si>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</si>
  <si>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</si>
  <si>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</si>
  <si>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</si>
  <si>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</si>
  <si>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</si>
  <si>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</si>
  <si>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</si>
  <si>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</si>
  <si>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</si>
  <si>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</si>
  <si>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</si>
  <si>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</si>
  <si>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</si>
  <si>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</si>
  <si>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</si>
  <si>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</si>
  <si>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</si>
  <si>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</si>
  <si>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</si>
  <si>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</si>
  <si>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</si>
  <si>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</si>
  <si>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</si>
  <si>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</si>
  <si>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</si>
  <si>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</si>
  <si>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</si>
  <si>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</si>
  <si>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</si>
  <si>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</si>
  <si>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</si>
  <si>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</si>
  <si>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</si>
  <si>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</si>
  <si>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</si>
  <si>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</si>
  <si>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</si>
  <si>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</si>
  <si>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</si>
  <si>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</si>
  <si>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</si>
  <si>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</si>
  <si>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</si>
  <si>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</si>
  <si>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</si>
  <si>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</si>
  <si>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</si>
  <si>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</si>
  <si>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</si>
  <si>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</si>
  <si>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</si>
  <si>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</si>
  <si>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</si>
  <si>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</si>
  <si>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</si>
  <si>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</si>
  <si>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</si>
  <si>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</si>
  <si>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</si>
  <si>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</si>
  <si>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</si>
  <si>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</si>
  <si>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</si>
  <si>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</si>
  <si>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</si>
  <si>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</si>
  <si>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</si>
  <si>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</si>
  <si>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</si>
  <si>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</si>
  <si>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</si>
  <si>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</si>
  <si>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</si>
  <si>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</si>
  <si>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</si>
  <si>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</si>
  <si>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</si>
  <si>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</si>
  <si>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</si>
  <si>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</si>
  <si>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</si>
  <si>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</si>
  <si>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</si>
  <si>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</si>
  <si>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</si>
  <si>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</si>
  <si>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</si>
  <si>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</si>
  <si>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</si>
  <si>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</si>
  <si>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</si>
  <si>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</si>
  <si>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</si>
  <si>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</si>
  <si>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</si>
  <si>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</si>
  <si>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</si>
  <si>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</si>
  <si>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</si>
  <si>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</si>
  <si>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</si>
  <si>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</si>
  <si>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</si>
  <si>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</si>
  <si>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</si>
  <si>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</si>
  <si>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</si>
  <si>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</si>
  <si>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</si>
  <si>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</si>
  <si>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</si>
  <si>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</si>
  <si>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</si>
  <si>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</si>
  <si>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</si>
  <si>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</si>
  <si>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</si>
  <si>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</si>
  <si>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</si>
  <si>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</si>
  <si>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</si>
  <si>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</si>
  <si>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</si>
  <si>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</si>
  <si>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</si>
  <si>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</si>
  <si>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</si>
  <si>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</si>
  <si>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</si>
  <si>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</si>
  <si>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</si>
  <si>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</si>
  <si>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</si>
  <si>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</si>
  <si>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</si>
  <si>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</si>
  <si>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</si>
  <si>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</si>
  <si>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</si>
  <si>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</si>
  <si>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</si>
  <si>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</si>
  <si>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</si>
  <si>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</si>
  <si>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</si>
  <si>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</si>
  <si>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</si>
  <si>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</si>
  <si>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</si>
  <si>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</si>
  <si>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</si>
  <si>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</si>
  <si>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</si>
  <si>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</si>
  <si>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</si>
  <si>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</si>
  <si>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</si>
  <si>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</si>
  <si>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</si>
  <si>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</si>
  <si>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</si>
  <si>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</si>
  <si>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</si>
  <si>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</si>
  <si>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</si>
  <si>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</si>
  <si>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</si>
  <si>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</si>
  <si>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</si>
  <si>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</si>
  <si>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</si>
  <si>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</si>
  <si>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</si>
  <si>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</si>
  <si>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</si>
  <si>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</si>
  <si>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</si>
  <si>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</si>
  <si>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</si>
  <si>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</si>
  <si>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</si>
  <si>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</si>
  <si>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</si>
  <si>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</si>
  <si>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</si>
  <si>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</si>
  <si>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</si>
  <si>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</si>
  <si>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</si>
  <si>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</si>
  <si>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</si>
  <si>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</si>
  <si>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</si>
  <si>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</si>
  <si>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</si>
  <si>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</si>
  <si>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</si>
  <si>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</si>
  <si>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</si>
  <si>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</si>
  <si>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</si>
  <si>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</si>
  <si>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</si>
  <si>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</si>
  <si>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</si>
  <si>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</si>
  <si>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</si>
  <si>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</si>
  <si>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</si>
  <si>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</si>
  <si>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</si>
  <si>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</si>
  <si>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</si>
  <si>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</si>
  <si>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</si>
  <si>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</si>
  <si>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</si>
  <si>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</si>
  <si>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</si>
  <si>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</si>
  <si>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</si>
  <si>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</si>
  <si>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</si>
  <si>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</si>
  <si>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</si>
  <si>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</si>
  <si>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</si>
  <si>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</si>
  <si>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</si>
  <si>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</si>
  <si>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</si>
  <si>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</si>
  <si>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</si>
  <si>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</si>
  <si>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</si>
  <si>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</si>
  <si>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</si>
  <si>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</si>
  <si>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</si>
  <si>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</si>
  <si>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</si>
  <si>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</si>
  <si>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</si>
  <si>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</si>
  <si>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</si>
  <si>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</si>
  <si>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</si>
  <si>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</si>
  <si>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</si>
  <si>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</si>
  <si>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</si>
  <si>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</si>
  <si>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</si>
  <si>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</si>
  <si>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</si>
  <si>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</si>
  <si>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</si>
  <si>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</si>
  <si>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</si>
  <si>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</si>
  <si>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</si>
  <si>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</si>
  <si>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</si>
  <si>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</si>
  <si>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</si>
  <si>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</si>
  <si>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</si>
  <si>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</si>
  <si>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</si>
  <si>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</si>
  <si>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</si>
  <si>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</si>
  <si>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</si>
  <si>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</si>
  <si>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</si>
  <si>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</si>
  <si>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</si>
  <si>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</si>
  <si>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</si>
  <si>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</si>
  <si>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</si>
  <si>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</si>
  <si>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</si>
  <si>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</si>
  <si>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</si>
  <si>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</si>
  <si>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</si>
  <si>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</si>
  <si>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</si>
  <si>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</si>
  <si>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</si>
  <si>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</si>
  <si>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</si>
  <si>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</si>
  <si>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</si>
  <si>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</si>
  <si>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</si>
  <si>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</si>
  <si>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</si>
  <si>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</si>
  <si>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</si>
  <si>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</si>
  <si>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</si>
  <si>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</si>
  <si>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</si>
  <si>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</si>
  <si>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</si>
  <si>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</si>
  <si>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</si>
  <si>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</si>
  <si>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</si>
  <si>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</si>
  <si>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</si>
  <si>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</si>
  <si>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</si>
  <si>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</si>
  <si>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</si>
  <si>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</si>
  <si>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</si>
  <si>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</si>
  <si>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</si>
  <si>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</si>
  <si>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</si>
  <si>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</si>
  <si>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</si>
  <si>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</si>
  <si>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</si>
  <si>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</si>
  <si>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</si>
  <si>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</si>
  <si>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</si>
  <si>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</si>
  <si>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</si>
  <si>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</si>
  <si>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</si>
  <si>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</si>
  <si>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</si>
  <si>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</si>
  <si>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</si>
  <si>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</si>
  <si>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</si>
  <si>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</si>
  <si>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</si>
  <si>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</si>
  <si>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</si>
  <si>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</si>
  <si>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</si>
  <si>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</si>
  <si>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</si>
  <si>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</si>
  <si>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</si>
  <si>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</si>
  <si>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Top Expenses ( Empl )</t>
  </si>
  <si>
    <t>2nd highest Expenses Comp. (SG&amp;A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</si>
</sst>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1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0" fontId="8" fillId="5" borderId="1" xfId="2" applyNumberFormat="1" applyFont="1" applyFill="1" applyBorder="1"/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174" fontId="8" fillId="5" borderId="1" xfId="2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74720"/>
        <c:axId val="98576256"/>
      </c:lineChart>
      <c:catAx>
        <c:axId val="98574720"/>
        <c:scaling>
          <c:orientation val="minMax"/>
        </c:scaling>
        <c:delete val="0"/>
        <c:axPos val="b"/>
        <c:majorTickMark val="out"/>
        <c:minorTickMark val="none"/>
        <c:tickLblPos val="nextTo"/>
        <c:crossAx val="98576256"/>
        <c:crosses val="autoZero"/>
        <c:auto val="1"/>
        <c:lblAlgn val="ctr"/>
        <c:lblOffset val="100"/>
        <c:noMultiLvlLbl val="0"/>
      </c:catAx>
      <c:valAx>
        <c:axId val="98576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857472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318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268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267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E201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M114" sqref="M114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8554687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326</v>
      </c>
      <c r="L1" s="164">
        <v>0.08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327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86" t="s">
        <v>292</v>
      </c>
      <c r="AE2" s="187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88" t="s">
        <v>293</v>
      </c>
      <c r="AE3" s="189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89</v>
      </c>
      <c r="H6" s="147">
        <v>104</v>
      </c>
      <c r="I6" s="147">
        <v>182</v>
      </c>
      <c r="J6" s="147">
        <v>270</v>
      </c>
      <c r="K6" s="147">
        <v>350</v>
      </c>
      <c r="L6" s="147">
        <v>426</v>
      </c>
      <c r="M6" s="147">
        <v>387</v>
      </c>
      <c r="N6" s="147">
        <v>406</v>
      </c>
      <c r="O6" s="147">
        <v>522</v>
      </c>
      <c r="P6" s="147">
        <f>O6</f>
        <v>522</v>
      </c>
      <c r="Q6" s="118">
        <f>((P6/G6)^(1/($H$2-$H$1) ))-1</f>
        <v>0.21720716348440772</v>
      </c>
      <c r="R6" s="31">
        <f>$L$2</f>
        <v>0.12</v>
      </c>
      <c r="S6" s="154">
        <f>P6*(1+$R6)</f>
        <v>584.6400000000001</v>
      </c>
      <c r="T6" s="154">
        <f>S6*(1+$R6)</f>
        <v>654.79680000000019</v>
      </c>
      <c r="U6" s="154">
        <f t="shared" ref="U6:AB6" si="0">T6*(1+$R6)</f>
        <v>733.37241600000027</v>
      </c>
      <c r="V6" s="154">
        <f t="shared" si="0"/>
        <v>821.37710592000042</v>
      </c>
      <c r="W6" s="154">
        <f t="shared" si="0"/>
        <v>919.94235863040058</v>
      </c>
      <c r="X6" s="154">
        <f t="shared" si="0"/>
        <v>1030.3354416660488</v>
      </c>
      <c r="Y6" s="154">
        <f t="shared" si="0"/>
        <v>1153.9756946659747</v>
      </c>
      <c r="Z6" s="154">
        <f t="shared" si="0"/>
        <v>1292.4527780258918</v>
      </c>
      <c r="AA6" s="154">
        <f t="shared" si="0"/>
        <v>1447.5471113889989</v>
      </c>
      <c r="AB6" s="154">
        <f t="shared" si="0"/>
        <v>1621.252764755679</v>
      </c>
      <c r="AC6" s="138">
        <f>((AB6/G6)^(1/($AB$3-$H$1) ))-1</f>
        <v>0.16503785808015747</v>
      </c>
      <c r="AD6" s="31">
        <f>$L$1</f>
        <v>0.08</v>
      </c>
      <c r="AE6" s="146">
        <f t="shared" ref="AE6:AE41" si="1">(AB6*(1+AD6))/($C$1-AD6)</f>
        <v>12506.807042400953</v>
      </c>
    </row>
    <row r="7" spans="2:31" x14ac:dyDescent="0.2">
      <c r="B7" s="20" t="s">
        <v>240</v>
      </c>
      <c r="C7" s="141"/>
      <c r="D7" s="141"/>
      <c r="E7" s="147"/>
      <c r="F7" s="147"/>
      <c r="G7" s="147">
        <v>95</v>
      </c>
      <c r="H7" s="147">
        <v>110</v>
      </c>
      <c r="I7" s="147">
        <v>189</v>
      </c>
      <c r="J7" s="147">
        <v>276</v>
      </c>
      <c r="K7" s="147">
        <v>357</v>
      </c>
      <c r="L7" s="147">
        <v>433</v>
      </c>
      <c r="M7" s="147">
        <v>395</v>
      </c>
      <c r="N7" s="147">
        <v>413</v>
      </c>
      <c r="O7" s="147">
        <v>529</v>
      </c>
      <c r="P7" s="147">
        <f>O7</f>
        <v>529</v>
      </c>
      <c r="Q7" s="118">
        <f>((P7/G7)^(1/($H$2-$H$1) ))-1</f>
        <v>0.21020548939937345</v>
      </c>
      <c r="R7" s="31">
        <f>$L$2</f>
        <v>0.12</v>
      </c>
      <c r="S7" s="154">
        <f t="shared" ref="S7:S16" si="2">P7*(1+$R7)</f>
        <v>592.48</v>
      </c>
      <c r="T7" s="154">
        <f t="shared" ref="T7:AB7" si="3">S7*(1+$R7)</f>
        <v>663.57760000000007</v>
      </c>
      <c r="U7" s="154">
        <f t="shared" si="3"/>
        <v>743.2069120000001</v>
      </c>
      <c r="V7" s="154">
        <f t="shared" si="3"/>
        <v>832.39174144000015</v>
      </c>
      <c r="W7" s="154">
        <f t="shared" si="3"/>
        <v>932.27875041280026</v>
      </c>
      <c r="X7" s="154">
        <f t="shared" si="3"/>
        <v>1044.1522004623364</v>
      </c>
      <c r="Y7" s="154">
        <f t="shared" si="3"/>
        <v>1169.450464517817</v>
      </c>
      <c r="Z7" s="154">
        <f t="shared" si="3"/>
        <v>1309.7845202599551</v>
      </c>
      <c r="AA7" s="154">
        <f t="shared" si="3"/>
        <v>1466.9586626911498</v>
      </c>
      <c r="AB7" s="154">
        <f t="shared" si="3"/>
        <v>1642.993702214088</v>
      </c>
      <c r="AC7" s="138">
        <f>((AB7/G7)^(1/($AB$3-$H$1) ))-1</f>
        <v>0.16185860440528566</v>
      </c>
      <c r="AD7" s="31">
        <f>$L$1</f>
        <v>0.08</v>
      </c>
      <c r="AE7" s="146">
        <f t="shared" si="1"/>
        <v>12674.522845651536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0.13636363636363635</v>
      </c>
      <c r="I8" s="151">
        <f t="shared" ref="I8:P8" si="4">(I7-H7)/I7</f>
        <v>0.41798941798941797</v>
      </c>
      <c r="J8" s="151">
        <f t="shared" si="4"/>
        <v>0.31521739130434784</v>
      </c>
      <c r="K8" s="151">
        <f t="shared" si="4"/>
        <v>0.22689075630252101</v>
      </c>
      <c r="L8" s="151">
        <f t="shared" si="4"/>
        <v>0.17551963048498845</v>
      </c>
      <c r="M8" s="151">
        <f t="shared" si="4"/>
        <v>-9.6202531645569619E-2</v>
      </c>
      <c r="N8" s="151">
        <f t="shared" si="4"/>
        <v>4.3583535108958835E-2</v>
      </c>
      <c r="O8" s="151">
        <f t="shared" si="4"/>
        <v>0.21928166351606806</v>
      </c>
      <c r="P8" s="151">
        <f t="shared" si="4"/>
        <v>0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270</v>
      </c>
      <c r="C9" s="141"/>
      <c r="D9" s="141"/>
      <c r="E9" s="147"/>
      <c r="F9" s="147"/>
      <c r="G9" s="147">
        <v>16.2</v>
      </c>
      <c r="H9" s="147">
        <v>20</v>
      </c>
      <c r="I9" s="147">
        <v>74</v>
      </c>
      <c r="J9" s="147">
        <v>99</v>
      </c>
      <c r="K9" s="147">
        <v>118</v>
      </c>
      <c r="L9" s="147">
        <v>161</v>
      </c>
      <c r="M9" s="147">
        <v>175</v>
      </c>
      <c r="N9" s="147">
        <v>241</v>
      </c>
      <c r="O9" s="147">
        <v>382</v>
      </c>
      <c r="P9" s="147">
        <f>O9</f>
        <v>382</v>
      </c>
      <c r="Q9" s="118">
        <f t="shared" ref="Q9:Q16" si="5">((P9/G9)^(1/($H$2-$H$1) ))-1</f>
        <v>0.42070978633704814</v>
      </c>
      <c r="R9" s="31">
        <f t="shared" ref="R9:R40" si="6">$L$2</f>
        <v>0.12</v>
      </c>
      <c r="S9" s="154">
        <f t="shared" ref="S9" si="7">P9*(1+$R9)</f>
        <v>427.84000000000003</v>
      </c>
      <c r="T9" s="154">
        <f t="shared" ref="T9" si="8">S9*(1+$R9)</f>
        <v>479.18080000000009</v>
      </c>
      <c r="U9" s="154">
        <f t="shared" ref="U9" si="9">T9*(1+$R9)</f>
        <v>536.68249600000013</v>
      </c>
      <c r="V9" s="154">
        <f t="shared" ref="V9" si="10">U9*(1+$R9)</f>
        <v>601.08439552000016</v>
      </c>
      <c r="W9" s="154">
        <f t="shared" ref="W9" si="11">V9*(1+$R9)</f>
        <v>673.21452298240024</v>
      </c>
      <c r="X9" s="154">
        <f t="shared" ref="X9" si="12">W9*(1+$R9)</f>
        <v>754.00026574028834</v>
      </c>
      <c r="Y9" s="154">
        <f t="shared" ref="Y9" si="13">X9*(1+$R9)</f>
        <v>844.48029762912302</v>
      </c>
      <c r="Z9" s="154">
        <f t="shared" ref="Z9" si="14">Y9*(1+$R9)</f>
        <v>945.81793334461781</v>
      </c>
      <c r="AA9" s="154">
        <f t="shared" ref="AA9" si="15">Z9*(1+$R9)</f>
        <v>1059.3160853459719</v>
      </c>
      <c r="AB9" s="154">
        <f t="shared" ref="AB9" si="16">AA9*(1+$R9)</f>
        <v>1186.4340155874886</v>
      </c>
      <c r="AC9" s="138">
        <f>((AB9/G9)^(1/($AB$3-$H$1) ))-1</f>
        <v>0.25355562270579268</v>
      </c>
      <c r="AD9" s="31">
        <f t="shared" ref="AD9:AD74" si="17">$L$1</f>
        <v>0.08</v>
      </c>
      <c r="AE9" s="146">
        <f t="shared" si="1"/>
        <v>9152.4909773891977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0</v>
      </c>
      <c r="H10" s="147">
        <v>0</v>
      </c>
      <c r="I10" s="147">
        <v>0</v>
      </c>
      <c r="J10" s="147">
        <v>0</v>
      </c>
      <c r="K10" s="147">
        <v>0</v>
      </c>
      <c r="L10" s="147">
        <v>0</v>
      </c>
      <c r="M10" s="147">
        <v>0</v>
      </c>
      <c r="N10" s="147">
        <v>0</v>
      </c>
      <c r="O10" s="147">
        <v>0</v>
      </c>
      <c r="P10" s="147">
        <v>0</v>
      </c>
      <c r="Q10" s="118" t="e">
        <f t="shared" si="5"/>
        <v>#DIV/0!</v>
      </c>
      <c r="R10" s="31">
        <f t="shared" si="6"/>
        <v>0.12</v>
      </c>
      <c r="S10" s="154">
        <f t="shared" si="2"/>
        <v>0</v>
      </c>
      <c r="T10" s="154">
        <f t="shared" ref="T10:AB10" si="18">S10*(1+$R10)</f>
        <v>0</v>
      </c>
      <c r="U10" s="154">
        <f t="shared" si="18"/>
        <v>0</v>
      </c>
      <c r="V10" s="154">
        <f t="shared" si="18"/>
        <v>0</v>
      </c>
      <c r="W10" s="154">
        <f t="shared" si="18"/>
        <v>0</v>
      </c>
      <c r="X10" s="154">
        <f t="shared" si="18"/>
        <v>0</v>
      </c>
      <c r="Y10" s="154">
        <f t="shared" si="18"/>
        <v>0</v>
      </c>
      <c r="Z10" s="154">
        <f t="shared" si="18"/>
        <v>0</v>
      </c>
      <c r="AA10" s="154">
        <f t="shared" si="18"/>
        <v>0</v>
      </c>
      <c r="AB10" s="154">
        <f t="shared" si="18"/>
        <v>0</v>
      </c>
      <c r="AC10" s="138" t="e">
        <f t="shared" ref="AC10:AC40" si="19">((AB10/G10)^(1/($AB$3-$H$1) ))-1</f>
        <v>#DIV/0!</v>
      </c>
      <c r="AD10" s="31">
        <f t="shared" si="17"/>
        <v>0.08</v>
      </c>
      <c r="AE10" s="146">
        <f t="shared" si="1"/>
        <v>0</v>
      </c>
    </row>
    <row r="11" spans="2:31" x14ac:dyDescent="0.2">
      <c r="B11" s="20"/>
      <c r="C11" s="141"/>
      <c r="D11" s="141"/>
      <c r="E11" s="147"/>
      <c r="F11" s="147"/>
      <c r="G11" s="148" t="e">
        <f>(G10-F10)/G10</f>
        <v>#DIV/0!</v>
      </c>
      <c r="H11" s="148" t="e">
        <f t="shared" ref="H11:P11" si="20">(H10-G10)/H10</f>
        <v>#DIV/0!</v>
      </c>
      <c r="I11" s="148" t="e">
        <f t="shared" si="20"/>
        <v>#DIV/0!</v>
      </c>
      <c r="J11" s="148" t="e">
        <f t="shared" si="20"/>
        <v>#DIV/0!</v>
      </c>
      <c r="K11" s="148" t="e">
        <f t="shared" si="20"/>
        <v>#DIV/0!</v>
      </c>
      <c r="L11" s="148" t="e">
        <f t="shared" si="20"/>
        <v>#DIV/0!</v>
      </c>
      <c r="M11" s="148" t="e">
        <f t="shared" si="20"/>
        <v>#DIV/0!</v>
      </c>
      <c r="N11" s="148" t="e">
        <f t="shared" si="20"/>
        <v>#DIV/0!</v>
      </c>
      <c r="O11" s="148" t="e">
        <f t="shared" si="20"/>
        <v>#DIV/0!</v>
      </c>
      <c r="P11" s="148" t="e">
        <f t="shared" si="20"/>
        <v>#DIV/0!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0.08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f>5.12+1.39</f>
        <v>6.51</v>
      </c>
      <c r="H12" s="147">
        <f>4.5+6.5</f>
        <v>11</v>
      </c>
      <c r="I12" s="147">
        <f>34+4</f>
        <v>38</v>
      </c>
      <c r="J12" s="147">
        <f>39+3.1</f>
        <v>42.1</v>
      </c>
      <c r="K12" s="147">
        <f>85+44</f>
        <v>129</v>
      </c>
      <c r="L12" s="147">
        <f>91+66</f>
        <v>157</v>
      </c>
      <c r="M12" s="147">
        <f>59.5+102</f>
        <v>161.5</v>
      </c>
      <c r="N12" s="147">
        <f>94+164</f>
        <v>258</v>
      </c>
      <c r="O12" s="147">
        <f>153+0</f>
        <v>153</v>
      </c>
      <c r="P12" s="147">
        <f>O12</f>
        <v>153</v>
      </c>
      <c r="Q12" s="118">
        <f t="shared" si="5"/>
        <v>0.42018723471263586</v>
      </c>
      <c r="R12" s="31">
        <f t="shared" si="6"/>
        <v>0.12</v>
      </c>
      <c r="S12" s="154">
        <f t="shared" si="2"/>
        <v>171.36</v>
      </c>
      <c r="T12" s="154">
        <f t="shared" ref="T12:AB12" si="21">S12*(1+$R12)</f>
        <v>191.92320000000004</v>
      </c>
      <c r="U12" s="154">
        <f t="shared" si="21"/>
        <v>214.95398400000005</v>
      </c>
      <c r="V12" s="154">
        <f t="shared" si="21"/>
        <v>240.74846208000008</v>
      </c>
      <c r="W12" s="154">
        <f t="shared" si="21"/>
        <v>269.63827752960009</v>
      </c>
      <c r="X12" s="154">
        <f t="shared" si="21"/>
        <v>301.99487083315211</v>
      </c>
      <c r="Y12" s="154">
        <f t="shared" si="21"/>
        <v>338.23425533313036</v>
      </c>
      <c r="Z12" s="154">
        <f t="shared" si="21"/>
        <v>378.82236597310606</v>
      </c>
      <c r="AA12" s="154">
        <f t="shared" si="21"/>
        <v>424.28104988987883</v>
      </c>
      <c r="AB12" s="154">
        <f t="shared" si="21"/>
        <v>475.19477587666432</v>
      </c>
      <c r="AC12" s="138">
        <f t="shared" si="19"/>
        <v>0.25333719969464452</v>
      </c>
      <c r="AD12" s="31">
        <f t="shared" si="17"/>
        <v>0.08</v>
      </c>
      <c r="AE12" s="146">
        <f t="shared" si="1"/>
        <v>3665.7882710485537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55.66</v>
      </c>
      <c r="H13" s="147">
        <v>66.5</v>
      </c>
      <c r="I13" s="147">
        <v>40</v>
      </c>
      <c r="J13" s="147">
        <v>97.5</v>
      </c>
      <c r="K13" s="147">
        <v>111</v>
      </c>
      <c r="L13" s="147">
        <v>106</v>
      </c>
      <c r="M13" s="147">
        <v>26</v>
      </c>
      <c r="N13" s="147">
        <v>15.85</v>
      </c>
      <c r="O13" s="147">
        <v>115</v>
      </c>
      <c r="P13" s="147">
        <f>O13</f>
        <v>115</v>
      </c>
      <c r="Q13" s="118">
        <f t="shared" si="5"/>
        <v>8.3969798387126815E-2</v>
      </c>
      <c r="R13" s="31">
        <f t="shared" si="6"/>
        <v>0.12</v>
      </c>
      <c r="S13" s="154">
        <f t="shared" si="2"/>
        <v>128.80000000000001</v>
      </c>
      <c r="T13" s="154">
        <f t="shared" ref="T13:AB13" si="22">S13*(1+$R13)</f>
        <v>144.25600000000003</v>
      </c>
      <c r="U13" s="154">
        <f t="shared" si="22"/>
        <v>161.56672000000006</v>
      </c>
      <c r="V13" s="154">
        <f t="shared" si="22"/>
        <v>180.95472640000008</v>
      </c>
      <c r="W13" s="154">
        <f t="shared" si="22"/>
        <v>202.66929356800011</v>
      </c>
      <c r="X13" s="154">
        <f t="shared" si="22"/>
        <v>226.98960879616016</v>
      </c>
      <c r="Y13" s="154">
        <f t="shared" si="22"/>
        <v>254.22836185169939</v>
      </c>
      <c r="Z13" s="154">
        <f t="shared" si="22"/>
        <v>284.73576527390333</v>
      </c>
      <c r="AA13" s="154">
        <f t="shared" si="22"/>
        <v>318.90405710677175</v>
      </c>
      <c r="AB13" s="154">
        <f t="shared" si="22"/>
        <v>357.1725439595844</v>
      </c>
      <c r="AC13" s="138">
        <f t="shared" si="19"/>
        <v>0.10278616413470321</v>
      </c>
      <c r="AD13" s="31">
        <f t="shared" si="17"/>
        <v>0.08</v>
      </c>
      <c r="AE13" s="146">
        <f t="shared" si="1"/>
        <v>2755.3310534025081</v>
      </c>
    </row>
    <row r="14" spans="2:31" x14ac:dyDescent="0.2">
      <c r="B14" s="20" t="s">
        <v>372</v>
      </c>
      <c r="C14" s="141"/>
      <c r="D14" s="141"/>
      <c r="E14" s="147"/>
      <c r="F14" s="147"/>
      <c r="G14" s="147">
        <v>0</v>
      </c>
      <c r="H14" s="147">
        <v>0</v>
      </c>
      <c r="I14" s="147">
        <v>0</v>
      </c>
      <c r="J14" s="147">
        <v>0</v>
      </c>
      <c r="K14" s="147">
        <v>0</v>
      </c>
      <c r="L14" s="147">
        <v>0</v>
      </c>
      <c r="M14" s="147">
        <v>0</v>
      </c>
      <c r="N14" s="147">
        <v>0</v>
      </c>
      <c r="O14" s="147">
        <v>0</v>
      </c>
      <c r="P14" s="147">
        <v>0</v>
      </c>
      <c r="Q14" s="118" t="e">
        <f t="shared" ref="Q14" si="23">((P14/G14)^(1/($H$2-$H$1) ))-1</f>
        <v>#DIV/0!</v>
      </c>
      <c r="R14" s="31">
        <f t="shared" si="6"/>
        <v>0.12</v>
      </c>
      <c r="S14" s="154">
        <f t="shared" ref="S14" si="24">P14*(1+$R14)</f>
        <v>0</v>
      </c>
      <c r="T14" s="154">
        <f t="shared" ref="T14" si="25">S14*(1+$R14)</f>
        <v>0</v>
      </c>
      <c r="U14" s="154">
        <f t="shared" ref="U14" si="26">T14*(1+$R14)</f>
        <v>0</v>
      </c>
      <c r="V14" s="154">
        <f t="shared" ref="V14" si="27">U14*(1+$R14)</f>
        <v>0</v>
      </c>
      <c r="W14" s="154">
        <f t="shared" ref="W14" si="28">V14*(1+$R14)</f>
        <v>0</v>
      </c>
      <c r="X14" s="154">
        <f t="shared" ref="X14" si="29">W14*(1+$R14)</f>
        <v>0</v>
      </c>
      <c r="Y14" s="154">
        <f t="shared" ref="Y14" si="30">X14*(1+$R14)</f>
        <v>0</v>
      </c>
      <c r="Z14" s="154">
        <f t="shared" ref="Z14" si="31">Y14*(1+$R14)</f>
        <v>0</v>
      </c>
      <c r="AA14" s="154">
        <f t="shared" ref="AA14" si="32">Z14*(1+$R14)</f>
        <v>0</v>
      </c>
      <c r="AB14" s="154">
        <f t="shared" ref="AB14" si="33">AA14*(1+$R14)</f>
        <v>0</v>
      </c>
      <c r="AC14" s="138" t="e">
        <f t="shared" ref="AC14" si="34">((AB14/G14)^(1/($AB$3-$H$1) ))-1</f>
        <v>#DIV/0!</v>
      </c>
      <c r="AD14" s="31">
        <f t="shared" si="17"/>
        <v>0.08</v>
      </c>
      <c r="AE14" s="146">
        <f t="shared" ref="AE14" si="35">(AB14*(1+AD14))/($C$1-AD14)</f>
        <v>0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14.32</v>
      </c>
      <c r="H15" s="147">
        <v>21</v>
      </c>
      <c r="I15" s="147">
        <v>101</v>
      </c>
      <c r="J15" s="147">
        <v>129</v>
      </c>
      <c r="K15" s="147">
        <v>163</v>
      </c>
      <c r="L15" s="147">
        <v>183</v>
      </c>
      <c r="M15" s="147">
        <v>168</v>
      </c>
      <c r="N15" s="147">
        <v>182</v>
      </c>
      <c r="O15" s="147">
        <v>270</v>
      </c>
      <c r="P15" s="147">
        <f>O15</f>
        <v>270</v>
      </c>
      <c r="Q15" s="118">
        <f t="shared" si="5"/>
        <v>0.38584103346268517</v>
      </c>
      <c r="R15" s="31">
        <f t="shared" si="6"/>
        <v>0.12</v>
      </c>
      <c r="S15" s="154">
        <f t="shared" si="2"/>
        <v>302.40000000000003</v>
      </c>
      <c r="T15" s="154">
        <f t="shared" ref="T15:AB15" si="36">S15*(1+$R15)</f>
        <v>338.68800000000005</v>
      </c>
      <c r="U15" s="154">
        <f t="shared" si="36"/>
        <v>379.3305600000001</v>
      </c>
      <c r="V15" s="154">
        <f t="shared" si="36"/>
        <v>424.85022720000018</v>
      </c>
      <c r="W15" s="154">
        <f t="shared" si="36"/>
        <v>475.83225446400024</v>
      </c>
      <c r="X15" s="154">
        <f t="shared" si="36"/>
        <v>532.93212499968035</v>
      </c>
      <c r="Y15" s="154">
        <f t="shared" si="36"/>
        <v>596.88397999964207</v>
      </c>
      <c r="Z15" s="154">
        <f t="shared" si="36"/>
        <v>668.51005759959912</v>
      </c>
      <c r="AA15" s="154">
        <f t="shared" si="36"/>
        <v>748.7312645115511</v>
      </c>
      <c r="AB15" s="154">
        <f t="shared" si="36"/>
        <v>838.57901625293732</v>
      </c>
      <c r="AC15" s="138">
        <f t="shared" si="19"/>
        <v>0.23888681275460666</v>
      </c>
      <c r="AD15" s="31">
        <f t="shared" si="17"/>
        <v>0.08</v>
      </c>
      <c r="AE15" s="146">
        <f t="shared" si="1"/>
        <v>6469.0381253798014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-6.5</v>
      </c>
      <c r="H16" s="147">
        <v>1.24</v>
      </c>
      <c r="I16" s="147">
        <v>31.7</v>
      </c>
      <c r="J16" s="147">
        <v>41.69</v>
      </c>
      <c r="K16" s="147">
        <v>109</v>
      </c>
      <c r="L16" s="147">
        <v>132</v>
      </c>
      <c r="M16" s="147">
        <v>143</v>
      </c>
      <c r="N16" s="147">
        <v>170</v>
      </c>
      <c r="O16" s="147">
        <v>-53</v>
      </c>
      <c r="P16" s="147">
        <f>O16</f>
        <v>-53</v>
      </c>
      <c r="Q16" s="118">
        <f t="shared" si="5"/>
        <v>0.26259045395070446</v>
      </c>
      <c r="R16" s="31">
        <f t="shared" si="6"/>
        <v>0.12</v>
      </c>
      <c r="S16" s="154">
        <f t="shared" si="2"/>
        <v>-59.360000000000007</v>
      </c>
      <c r="T16" s="154">
        <f t="shared" ref="T16:AB16" si="37">S16*(1+$R16)</f>
        <v>-66.483200000000011</v>
      </c>
      <c r="U16" s="154">
        <f t="shared" si="37"/>
        <v>-74.461184000000017</v>
      </c>
      <c r="V16" s="154">
        <f t="shared" si="37"/>
        <v>-83.396526080000029</v>
      </c>
      <c r="W16" s="154">
        <f t="shared" si="37"/>
        <v>-93.404109209600037</v>
      </c>
      <c r="X16" s="154">
        <f t="shared" si="37"/>
        <v>-104.61260231475205</v>
      </c>
      <c r="Y16" s="154">
        <f t="shared" si="37"/>
        <v>-117.16611459252231</v>
      </c>
      <c r="Z16" s="154">
        <f t="shared" si="37"/>
        <v>-131.226048343625</v>
      </c>
      <c r="AA16" s="154">
        <f t="shared" si="37"/>
        <v>-146.97317414486</v>
      </c>
      <c r="AB16" s="154">
        <f t="shared" si="37"/>
        <v>-164.6099550422432</v>
      </c>
      <c r="AC16" s="138">
        <f t="shared" si="19"/>
        <v>0.18541568810293385</v>
      </c>
      <c r="AD16" s="31">
        <f t="shared" si="17"/>
        <v>0.08</v>
      </c>
      <c r="AE16" s="146">
        <f t="shared" si="1"/>
        <v>-1269.8482246115905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278</v>
      </c>
      <c r="C18" s="141"/>
      <c r="D18" s="141"/>
      <c r="E18" s="147"/>
      <c r="F18" s="147"/>
      <c r="G18" s="147">
        <v>46</v>
      </c>
      <c r="H18" s="147">
        <v>42.2</v>
      </c>
      <c r="I18" s="147">
        <v>117</v>
      </c>
      <c r="J18" s="147">
        <v>129</v>
      </c>
      <c r="K18" s="147">
        <v>126</v>
      </c>
      <c r="L18" s="147">
        <v>120</v>
      </c>
      <c r="M18" s="147">
        <v>224</v>
      </c>
      <c r="N18" s="147">
        <v>226</v>
      </c>
      <c r="O18" s="147">
        <v>467</v>
      </c>
      <c r="P18" s="147">
        <f>O18</f>
        <v>467</v>
      </c>
      <c r="Q18" s="118">
        <f>((P18/G18)^(1/($H$2-$H$1) ))-1</f>
        <v>0.29371881509213971</v>
      </c>
      <c r="R18" s="31">
        <f t="shared" si="6"/>
        <v>0.12</v>
      </c>
      <c r="S18" s="154">
        <f t="shared" ref="S18:S34" si="38">P18*(1+$R18)</f>
        <v>523.04000000000008</v>
      </c>
      <c r="T18" s="154">
        <f t="shared" ref="T18:T34" si="39">S18*(1+$R18)</f>
        <v>585.80480000000011</v>
      </c>
      <c r="U18" s="154">
        <f t="shared" ref="U18:U34" si="40">T18*(1+$R18)</f>
        <v>656.10137600000019</v>
      </c>
      <c r="V18" s="154">
        <f t="shared" ref="V18:V34" si="41">U18*(1+$R18)</f>
        <v>734.83354112000029</v>
      </c>
      <c r="W18" s="154">
        <f t="shared" ref="W18:W36" si="42">V18*(1+$R18)</f>
        <v>823.01356605440037</v>
      </c>
      <c r="X18" s="154">
        <f t="shared" ref="X18:X36" si="43">W18*(1+$R18)</f>
        <v>921.77519398092852</v>
      </c>
      <c r="Y18" s="154">
        <f t="shared" ref="Y18:Y36" si="44">X18*(1+$R18)</f>
        <v>1032.38821725864</v>
      </c>
      <c r="Z18" s="154">
        <f t="shared" ref="Z18:Z36" si="45">Y18*(1+$R18)</f>
        <v>1156.2748033296768</v>
      </c>
      <c r="AA18" s="154">
        <f t="shared" ref="AA18:AA36" si="46">Z18*(1+$R18)</f>
        <v>1295.0277797292381</v>
      </c>
      <c r="AB18" s="154">
        <f t="shared" ref="AB18:AB36" si="47">AA18*(1+$R18)</f>
        <v>1450.4311132967468</v>
      </c>
      <c r="AC18" s="138">
        <f t="shared" si="19"/>
        <v>0.19917071626789529</v>
      </c>
      <c r="AD18" s="31">
        <f t="shared" si="17"/>
        <v>0.08</v>
      </c>
      <c r="AE18" s="146">
        <f t="shared" si="1"/>
        <v>11189.040016860617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284</v>
      </c>
      <c r="C20" s="141"/>
      <c r="D20" s="141"/>
      <c r="E20" s="147"/>
      <c r="F20" s="147"/>
      <c r="G20" s="147">
        <v>23.4</v>
      </c>
      <c r="H20" s="147">
        <v>21</v>
      </c>
      <c r="I20" s="147">
        <v>25</v>
      </c>
      <c r="J20" s="147">
        <v>53</v>
      </c>
      <c r="K20" s="147">
        <v>137</v>
      </c>
      <c r="L20" s="147">
        <v>176</v>
      </c>
      <c r="M20" s="147">
        <v>135</v>
      </c>
      <c r="N20" s="147">
        <v>238</v>
      </c>
      <c r="O20" s="147">
        <v>149</v>
      </c>
      <c r="P20" s="147">
        <f>O20</f>
        <v>149</v>
      </c>
      <c r="Q20" s="118">
        <f>((P20/G20)^(1/($H$2-$H$1) ))-1</f>
        <v>0.22837238824245909</v>
      </c>
      <c r="R20" s="31">
        <f t="shared" si="6"/>
        <v>0.12</v>
      </c>
      <c r="S20" s="154">
        <f t="shared" ref="S20:S22" si="48">P20*(1+$R20)</f>
        <v>166.88000000000002</v>
      </c>
      <c r="T20" s="154">
        <f t="shared" ref="T20:T22" si="49">S20*(1+$R20)</f>
        <v>186.90560000000005</v>
      </c>
      <c r="U20" s="154">
        <f t="shared" ref="U20:U22" si="50">T20*(1+$R20)</f>
        <v>209.33427200000008</v>
      </c>
      <c r="V20" s="154">
        <f t="shared" ref="V20:V22" si="51">U20*(1+$R20)</f>
        <v>234.45438464000011</v>
      </c>
      <c r="W20" s="154">
        <f t="shared" ref="W20:W22" si="52">V20*(1+$R20)</f>
        <v>262.58891079680018</v>
      </c>
      <c r="X20" s="154">
        <f t="shared" ref="X20:X22" si="53">W20*(1+$R20)</f>
        <v>294.0995800924162</v>
      </c>
      <c r="Y20" s="154">
        <f t="shared" ref="Y20:Y22" si="54">X20*(1+$R20)</f>
        <v>329.39152970350619</v>
      </c>
      <c r="Z20" s="154">
        <f t="shared" ref="Z20:Z22" si="55">Y20*(1+$R20)</f>
        <v>368.91851326792698</v>
      </c>
      <c r="AA20" s="154">
        <f t="shared" ref="AA20:AA22" si="56">Z20*(1+$R20)</f>
        <v>413.18873486007828</v>
      </c>
      <c r="AB20" s="154">
        <f t="shared" ref="AB20:AB22" si="57">AA20*(1+$R20)</f>
        <v>462.7713830432877</v>
      </c>
      <c r="AC20" s="138">
        <f t="shared" ref="AC20:AC22" si="58">((AB20/G20)^(1/($AB$3-$H$1) ))-1</f>
        <v>0.1700878092866871</v>
      </c>
      <c r="AD20" s="31">
        <f t="shared" si="17"/>
        <v>0.08</v>
      </c>
      <c r="AE20" s="146">
        <f t="shared" si="1"/>
        <v>3569.9506691910765</v>
      </c>
    </row>
    <row r="21" spans="2:31" x14ac:dyDescent="0.2">
      <c r="B21" s="20" t="s">
        <v>285</v>
      </c>
      <c r="C21" s="141"/>
      <c r="D21" s="141"/>
      <c r="E21" s="147"/>
      <c r="F21" s="147"/>
      <c r="G21" s="147">
        <v>-17</v>
      </c>
      <c r="H21" s="147">
        <v>-11</v>
      </c>
      <c r="I21" s="147">
        <v>-32</v>
      </c>
      <c r="J21" s="147">
        <v>-52</v>
      </c>
      <c r="K21" s="147">
        <v>-89</v>
      </c>
      <c r="L21" s="147">
        <v>-29</v>
      </c>
      <c r="M21" s="147">
        <v>104</v>
      </c>
      <c r="N21" s="147">
        <v>-45</v>
      </c>
      <c r="O21" s="147">
        <v>-66</v>
      </c>
      <c r="P21" s="147">
        <f>O21</f>
        <v>-66</v>
      </c>
      <c r="Q21" s="118">
        <f>((P21/G21)^(1/($H$2-$H$1) ))-1</f>
        <v>0.16266607778423592</v>
      </c>
      <c r="R21" s="31">
        <f t="shared" si="6"/>
        <v>0.12</v>
      </c>
      <c r="S21" s="154">
        <f t="shared" si="48"/>
        <v>-73.92</v>
      </c>
      <c r="T21" s="154">
        <f t="shared" si="49"/>
        <v>-82.790400000000005</v>
      </c>
      <c r="U21" s="154">
        <f t="shared" si="50"/>
        <v>-92.725248000000022</v>
      </c>
      <c r="V21" s="154">
        <f t="shared" si="51"/>
        <v>-103.85227776000004</v>
      </c>
      <c r="W21" s="154">
        <f t="shared" si="52"/>
        <v>-116.31455109120004</v>
      </c>
      <c r="X21" s="154">
        <f t="shared" si="53"/>
        <v>-130.27229722214406</v>
      </c>
      <c r="Y21" s="154">
        <f t="shared" si="54"/>
        <v>-145.90497288880135</v>
      </c>
      <c r="Z21" s="154">
        <f t="shared" si="55"/>
        <v>-163.41356963545752</v>
      </c>
      <c r="AA21" s="154">
        <f t="shared" si="56"/>
        <v>-183.02319799171244</v>
      </c>
      <c r="AB21" s="154">
        <f t="shared" si="57"/>
        <v>-204.98598175071794</v>
      </c>
      <c r="AC21" s="138">
        <f t="shared" si="58"/>
        <v>0.1400114759768758</v>
      </c>
      <c r="AD21" s="31">
        <f t="shared" si="17"/>
        <v>0.08</v>
      </c>
      <c r="AE21" s="146">
        <f t="shared" si="1"/>
        <v>-1581.3204306483954</v>
      </c>
    </row>
    <row r="22" spans="2:31" x14ac:dyDescent="0.2">
      <c r="B22" s="20" t="s">
        <v>286</v>
      </c>
      <c r="C22" s="141"/>
      <c r="D22" s="141"/>
      <c r="E22" s="147"/>
      <c r="F22" s="147"/>
      <c r="G22" s="147">
        <v>-5.42</v>
      </c>
      <c r="H22" s="147">
        <v>-5.04</v>
      </c>
      <c r="I22" s="147">
        <v>0.7</v>
      </c>
      <c r="J22" s="147">
        <v>0.28000000000000003</v>
      </c>
      <c r="K22" s="147">
        <v>-46</v>
      </c>
      <c r="L22" s="147">
        <v>-94</v>
      </c>
      <c r="M22" s="147">
        <v>-277</v>
      </c>
      <c r="N22" s="147">
        <v>-164</v>
      </c>
      <c r="O22" s="147">
        <v>-110</v>
      </c>
      <c r="P22" s="147">
        <f>O22</f>
        <v>-110</v>
      </c>
      <c r="Q22" s="118">
        <f>((P22/G22)^(1/($H$2-$H$1) ))-1</f>
        <v>0.39722366640654538</v>
      </c>
      <c r="R22" s="31">
        <f t="shared" si="6"/>
        <v>0.12</v>
      </c>
      <c r="S22" s="154">
        <f t="shared" si="48"/>
        <v>-123.20000000000002</v>
      </c>
      <c r="T22" s="154">
        <f t="shared" si="49"/>
        <v>-137.98400000000004</v>
      </c>
      <c r="U22" s="154">
        <f t="shared" si="50"/>
        <v>-154.54208000000006</v>
      </c>
      <c r="V22" s="154">
        <f t="shared" si="51"/>
        <v>-173.08712960000008</v>
      </c>
      <c r="W22" s="154">
        <f t="shared" si="52"/>
        <v>-193.8575851520001</v>
      </c>
      <c r="X22" s="154">
        <f t="shared" si="53"/>
        <v>-217.12049537024012</v>
      </c>
      <c r="Y22" s="154">
        <f t="shared" si="54"/>
        <v>-243.17495481466895</v>
      </c>
      <c r="Z22" s="154">
        <f t="shared" si="55"/>
        <v>-272.35594939242924</v>
      </c>
      <c r="AA22" s="154">
        <f t="shared" si="56"/>
        <v>-305.03866331952077</v>
      </c>
      <c r="AB22" s="154">
        <f t="shared" si="57"/>
        <v>-341.64330291786331</v>
      </c>
      <c r="AC22" s="138">
        <f t="shared" si="58"/>
        <v>0.24369646904496611</v>
      </c>
      <c r="AD22" s="31">
        <f t="shared" si="17"/>
        <v>0.08</v>
      </c>
      <c r="AE22" s="146">
        <f t="shared" si="1"/>
        <v>-2635.5340510806595</v>
      </c>
    </row>
    <row r="23" spans="2:31" x14ac:dyDescent="0.2">
      <c r="B23" s="20" t="s">
        <v>296</v>
      </c>
      <c r="C23" s="141"/>
      <c r="D23" s="141"/>
      <c r="E23" s="147"/>
      <c r="F23" s="147"/>
      <c r="G23" s="147">
        <v>6.5</v>
      </c>
      <c r="H23" s="147">
        <v>11.4</v>
      </c>
      <c r="I23" s="147">
        <v>5.25</v>
      </c>
      <c r="J23" s="147">
        <v>9.4499999999999993</v>
      </c>
      <c r="K23" s="147">
        <v>19</v>
      </c>
      <c r="L23" s="147">
        <v>73</v>
      </c>
      <c r="M23" s="147">
        <v>34</v>
      </c>
      <c r="N23" s="147">
        <v>64</v>
      </c>
      <c r="O23" s="147">
        <v>36</v>
      </c>
      <c r="P23" s="147">
        <f>O23</f>
        <v>36</v>
      </c>
      <c r="Q23" s="118">
        <f>((P23/G23)^(1/($H$2-$H$1) ))-1</f>
        <v>0.20948028557179055</v>
      </c>
      <c r="R23" s="31">
        <f t="shared" si="6"/>
        <v>0.12</v>
      </c>
      <c r="S23" s="154">
        <f t="shared" ref="S23" si="59">P23*(1+$R23)</f>
        <v>40.320000000000007</v>
      </c>
      <c r="T23" s="154">
        <f t="shared" ref="T23" si="60">S23*(1+$R23)</f>
        <v>45.158400000000015</v>
      </c>
      <c r="U23" s="154">
        <f t="shared" ref="U23" si="61">T23*(1+$R23)</f>
        <v>50.57740800000002</v>
      </c>
      <c r="V23" s="154">
        <f t="shared" ref="V23" si="62">U23*(1+$R23)</f>
        <v>56.646696960000028</v>
      </c>
      <c r="W23" s="154">
        <f t="shared" ref="W23" si="63">V23*(1+$R23)</f>
        <v>63.444300595200041</v>
      </c>
      <c r="X23" s="154">
        <f t="shared" ref="X23" si="64">W23*(1+$R23)</f>
        <v>71.057616666624057</v>
      </c>
      <c r="Y23" s="154">
        <f t="shared" ref="Y23" si="65">X23*(1+$R23)</f>
        <v>79.584530666618946</v>
      </c>
      <c r="Z23" s="154">
        <f t="shared" ref="Z23" si="66">Y23*(1+$R23)</f>
        <v>89.134674346613224</v>
      </c>
      <c r="AA23" s="154">
        <f t="shared" ref="AA23" si="67">Z23*(1+$R23)</f>
        <v>99.830835268206826</v>
      </c>
      <c r="AB23" s="154">
        <f t="shared" ref="AB23" si="68">AA23*(1+$R23)</f>
        <v>111.81053550039165</v>
      </c>
      <c r="AC23" s="138">
        <f t="shared" ref="AC23" si="69">((AB23/G23)^(1/($AB$3-$H$1) ))-1</f>
        <v>0.16152875807427858</v>
      </c>
      <c r="AD23" s="31">
        <f t="shared" si="17"/>
        <v>0.08</v>
      </c>
      <c r="AE23" s="146">
        <f t="shared" si="1"/>
        <v>862.53841671730697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73</v>
      </c>
      <c r="H25" s="147">
        <v>92</v>
      </c>
      <c r="I25" s="147">
        <v>294</v>
      </c>
      <c r="J25" s="147">
        <v>407</v>
      </c>
      <c r="K25" s="147">
        <v>528</v>
      </c>
      <c r="L25" s="147">
        <v>557</v>
      </c>
      <c r="M25" s="147">
        <v>698</v>
      </c>
      <c r="N25" s="147">
        <v>850</v>
      </c>
      <c r="O25" s="147">
        <v>998</v>
      </c>
      <c r="P25" s="147">
        <f>O25</f>
        <v>998</v>
      </c>
      <c r="Q25" s="118">
        <f>((P25/G25)^(1/($H$2-$H$1) ))-1</f>
        <v>0.33721381113185211</v>
      </c>
      <c r="R25" s="31">
        <f t="shared" si="6"/>
        <v>0.12</v>
      </c>
      <c r="S25" s="154">
        <f t="shared" si="38"/>
        <v>1117.7600000000002</v>
      </c>
      <c r="T25" s="154">
        <f t="shared" si="39"/>
        <v>1251.8912000000003</v>
      </c>
      <c r="U25" s="154">
        <f t="shared" si="40"/>
        <v>1402.1181440000005</v>
      </c>
      <c r="V25" s="154">
        <f t="shared" si="41"/>
        <v>1570.3723212800007</v>
      </c>
      <c r="W25" s="154">
        <f t="shared" si="42"/>
        <v>1758.8169998336009</v>
      </c>
      <c r="X25" s="154">
        <f t="shared" si="43"/>
        <v>1969.8750398136333</v>
      </c>
      <c r="Y25" s="154">
        <f t="shared" si="44"/>
        <v>2206.2600445912694</v>
      </c>
      <c r="Z25" s="154">
        <f t="shared" si="45"/>
        <v>2471.0112499422221</v>
      </c>
      <c r="AA25" s="154">
        <f t="shared" si="46"/>
        <v>2767.532599935289</v>
      </c>
      <c r="AB25" s="154">
        <f t="shared" si="47"/>
        <v>3099.6365119275238</v>
      </c>
      <c r="AC25" s="138">
        <f t="shared" si="19"/>
        <v>0.21810176954678218</v>
      </c>
      <c r="AD25" s="31">
        <f t="shared" si="17"/>
        <v>0.08</v>
      </c>
      <c r="AE25" s="146">
        <f t="shared" si="1"/>
        <v>23911.481663440896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0.20652173913043478</v>
      </c>
      <c r="I26" s="148">
        <f t="shared" ref="I26" si="70">(I25-H25)/I25</f>
        <v>0.68707482993197277</v>
      </c>
      <c r="J26" s="148">
        <f t="shared" ref="J26" si="71">(J25-I25)/J25</f>
        <v>0.27764127764127766</v>
      </c>
      <c r="K26" s="148">
        <f t="shared" ref="K26" si="72">(K25-J25)/K25</f>
        <v>0.22916666666666666</v>
      </c>
      <c r="L26" s="148">
        <f t="shared" ref="L26" si="73">(L25-K25)/L25</f>
        <v>5.2064631956912029E-2</v>
      </c>
      <c r="M26" s="148">
        <f t="shared" ref="M26" si="74">(M25-L25)/M25</f>
        <v>0.2020057306590258</v>
      </c>
      <c r="N26" s="148">
        <f t="shared" ref="N26" si="75">(N25-M25)/N25</f>
        <v>0.17882352941176471</v>
      </c>
      <c r="O26" s="148">
        <f t="shared" ref="O26" si="76">(O25-N25)/O25</f>
        <v>0.14829659318637275</v>
      </c>
      <c r="P26" s="148">
        <f t="shared" ref="P26" si="77">(P25-O25)/P25</f>
        <v>0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262</v>
      </c>
      <c r="C27" s="141"/>
      <c r="D27" s="141"/>
      <c r="E27" s="147"/>
      <c r="F27" s="147"/>
      <c r="G27" s="147">
        <v>40</v>
      </c>
      <c r="H27" s="147">
        <v>53</v>
      </c>
      <c r="I27" s="147">
        <v>206</v>
      </c>
      <c r="J27" s="147">
        <v>281</v>
      </c>
      <c r="K27" s="147">
        <v>327</v>
      </c>
      <c r="L27" s="147">
        <v>335</v>
      </c>
      <c r="M27" s="147">
        <v>410</v>
      </c>
      <c r="N27" s="147">
        <v>544</v>
      </c>
      <c r="O27" s="147">
        <v>650</v>
      </c>
      <c r="P27" s="147">
        <f>O27</f>
        <v>650</v>
      </c>
      <c r="Q27" s="118">
        <f>((P27/G27)^(1/($H$2-$H$1) ))-1</f>
        <v>0.36313623628749347</v>
      </c>
      <c r="R27" s="31">
        <f t="shared" si="6"/>
        <v>0.12</v>
      </c>
      <c r="S27" s="154">
        <f t="shared" si="38"/>
        <v>728.00000000000011</v>
      </c>
      <c r="T27" s="154">
        <f t="shared" si="39"/>
        <v>815.36000000000024</v>
      </c>
      <c r="U27" s="154">
        <f t="shared" si="40"/>
        <v>913.20320000000038</v>
      </c>
      <c r="V27" s="154">
        <f t="shared" si="41"/>
        <v>1022.7875840000005</v>
      </c>
      <c r="W27" s="154">
        <f t="shared" si="42"/>
        <v>1145.5220940800007</v>
      </c>
      <c r="X27" s="154">
        <f t="shared" si="43"/>
        <v>1282.9847453696009</v>
      </c>
      <c r="Y27" s="154">
        <f t="shared" si="44"/>
        <v>1436.9429148139532</v>
      </c>
      <c r="Z27" s="154">
        <f t="shared" si="45"/>
        <v>1609.3760645916277</v>
      </c>
      <c r="AA27" s="154">
        <f t="shared" si="46"/>
        <v>1802.5011923426232</v>
      </c>
      <c r="AB27" s="154">
        <f t="shared" si="47"/>
        <v>2018.8013354237382</v>
      </c>
      <c r="AC27" s="138">
        <f t="shared" si="19"/>
        <v>0.2292305549040865</v>
      </c>
      <c r="AD27" s="31">
        <f t="shared" si="17"/>
        <v>0.08</v>
      </c>
      <c r="AE27" s="146">
        <f t="shared" si="1"/>
        <v>15573.610301840266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M28" si="78">(G27-F27)/G27</f>
        <v>1</v>
      </c>
      <c r="H28" s="148">
        <f t="shared" si="78"/>
        <v>0.24528301886792453</v>
      </c>
      <c r="I28" s="148">
        <f t="shared" si="78"/>
        <v>0.74271844660194175</v>
      </c>
      <c r="J28" s="148">
        <f t="shared" si="78"/>
        <v>0.2669039145907473</v>
      </c>
      <c r="K28" s="148">
        <f t="shared" si="78"/>
        <v>0.14067278287461774</v>
      </c>
      <c r="L28" s="148">
        <f t="shared" si="78"/>
        <v>2.3880597014925373E-2</v>
      </c>
      <c r="M28" s="148">
        <f t="shared" si="78"/>
        <v>0.18292682926829268</v>
      </c>
      <c r="N28" s="148">
        <f t="shared" ref="N28" si="79">(N27-M27)/N27</f>
        <v>0.24632352941176472</v>
      </c>
      <c r="O28" s="148">
        <f t="shared" ref="O28" si="80">(O27-N27)/O27</f>
        <v>0.16307692307692306</v>
      </c>
      <c r="P28" s="148">
        <f t="shared" ref="P28" si="81">(P27-O27)/P27</f>
        <v>0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323</v>
      </c>
      <c r="C29" s="149"/>
      <c r="D29" s="149"/>
      <c r="E29" s="150"/>
      <c r="F29" s="147"/>
      <c r="G29" s="147">
        <v>0</v>
      </c>
      <c r="H29" s="147">
        <v>0</v>
      </c>
      <c r="I29" s="147">
        <v>0</v>
      </c>
      <c r="J29" s="147">
        <v>0</v>
      </c>
      <c r="K29" s="147">
        <v>0</v>
      </c>
      <c r="L29" s="147">
        <v>0</v>
      </c>
      <c r="M29" s="147">
        <v>0</v>
      </c>
      <c r="N29" s="147">
        <v>0</v>
      </c>
      <c r="O29" s="147">
        <v>0</v>
      </c>
      <c r="P29" s="147">
        <v>0</v>
      </c>
      <c r="Q29" s="118" t="e">
        <f>((P29/G29)^(1/($H$2-$H$1) ))-1</f>
        <v>#DIV/0!</v>
      </c>
      <c r="R29" s="31">
        <f t="shared" si="6"/>
        <v>0.12</v>
      </c>
      <c r="S29" s="154">
        <f t="shared" ref="S29" si="82">P29*(1+$R29)</f>
        <v>0</v>
      </c>
      <c r="T29" s="154">
        <f t="shared" ref="T29" si="83">S29*(1+$R29)</f>
        <v>0</v>
      </c>
      <c r="U29" s="154">
        <f t="shared" ref="U29" si="84">T29*(1+$R29)</f>
        <v>0</v>
      </c>
      <c r="V29" s="154">
        <f t="shared" ref="V29" si="85">U29*(1+$R29)</f>
        <v>0</v>
      </c>
      <c r="W29" s="154">
        <f t="shared" ref="W29" si="86">V29*(1+$R29)</f>
        <v>0</v>
      </c>
      <c r="X29" s="154">
        <f t="shared" ref="X29" si="87">W29*(1+$R29)</f>
        <v>0</v>
      </c>
      <c r="Y29" s="154">
        <f t="shared" ref="Y29" si="88">X29*(1+$R29)</f>
        <v>0</v>
      </c>
      <c r="Z29" s="154">
        <f t="shared" ref="Z29" si="89">Y29*(1+$R29)</f>
        <v>0</v>
      </c>
      <c r="AA29" s="154">
        <f t="shared" ref="AA29" si="90">Z29*(1+$R29)</f>
        <v>0</v>
      </c>
      <c r="AB29" s="154">
        <f t="shared" ref="AB29" si="91">AA29*(1+$R29)</f>
        <v>0</v>
      </c>
      <c r="AC29" s="138" t="e">
        <f t="shared" ref="AC29" si="92">((AB29/G29)^(1/($AB$3-$H$1) ))-1</f>
        <v>#DIV/0!</v>
      </c>
      <c r="AD29" s="31">
        <f t="shared" si="17"/>
        <v>0.08</v>
      </c>
      <c r="AE29" s="146">
        <f t="shared" ref="AE29" si="93">(AB29*(1+AD29))/($C$1-AD29)</f>
        <v>0</v>
      </c>
    </row>
    <row r="30" spans="2:31" s="123" customFormat="1" x14ac:dyDescent="0.2">
      <c r="B30" s="23"/>
      <c r="C30" s="149"/>
      <c r="D30" s="149"/>
      <c r="E30" s="150"/>
      <c r="F30" s="150"/>
      <c r="G30" s="148" t="e">
        <f t="shared" ref="G30:L30" si="94">(G29-F29)/G29</f>
        <v>#DIV/0!</v>
      </c>
      <c r="H30" s="148" t="e">
        <f t="shared" si="94"/>
        <v>#DIV/0!</v>
      </c>
      <c r="I30" s="148" t="e">
        <f t="shared" si="94"/>
        <v>#DIV/0!</v>
      </c>
      <c r="J30" s="148" t="e">
        <f t="shared" si="94"/>
        <v>#DIV/0!</v>
      </c>
      <c r="K30" s="148" t="e">
        <f t="shared" si="94"/>
        <v>#DIV/0!</v>
      </c>
      <c r="L30" s="148" t="e">
        <f t="shared" si="94"/>
        <v>#DIV/0!</v>
      </c>
      <c r="M30" s="148" t="e">
        <f t="shared" ref="M30" si="95">(M29-L29)/M29</f>
        <v>#DIV/0!</v>
      </c>
      <c r="N30" s="148" t="e">
        <f t="shared" ref="N30" si="96">(N29-M29)/N29</f>
        <v>#DIV/0!</v>
      </c>
      <c r="O30" s="148" t="e">
        <f t="shared" ref="O30" si="97">(O29-N29)/O29</f>
        <v>#DIV/0!</v>
      </c>
      <c r="P30" s="148" t="e">
        <f t="shared" ref="P30" si="98">(P29-O29)/P29</f>
        <v>#DIV/0!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331</v>
      </c>
      <c r="C31" s="141"/>
      <c r="D31" s="141"/>
      <c r="E31" s="147"/>
      <c r="F31" s="147"/>
      <c r="G31" s="147">
        <v>0</v>
      </c>
      <c r="H31" s="147"/>
      <c r="I31" s="147">
        <v>0</v>
      </c>
      <c r="J31" s="147"/>
      <c r="K31" s="147">
        <v>0</v>
      </c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0.08</v>
      </c>
      <c r="AE31" s="146">
        <f t="shared" si="1"/>
        <v>0</v>
      </c>
    </row>
    <row r="32" spans="2:31" x14ac:dyDescent="0.2">
      <c r="B32" s="20" t="s">
        <v>330</v>
      </c>
      <c r="C32" s="141"/>
      <c r="D32" s="141"/>
      <c r="E32" s="147"/>
      <c r="F32" s="147"/>
      <c r="G32" s="147"/>
      <c r="H32" s="147">
        <v>0</v>
      </c>
      <c r="I32" s="147">
        <v>0</v>
      </c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0.08</v>
      </c>
      <c r="AE32" s="146">
        <f t="shared" si="1"/>
        <v>0</v>
      </c>
    </row>
    <row r="33" spans="2:31" x14ac:dyDescent="0.2">
      <c r="B33" s="20" t="s">
        <v>394</v>
      </c>
      <c r="C33" s="141"/>
      <c r="D33" s="141"/>
      <c r="E33" s="147"/>
      <c r="F33" s="147"/>
      <c r="G33" s="147">
        <v>21.5</v>
      </c>
      <c r="H33" s="147">
        <v>26.5</v>
      </c>
      <c r="I33" s="147">
        <v>116</v>
      </c>
      <c r="J33" s="147">
        <v>153</v>
      </c>
      <c r="K33" s="147">
        <v>192</v>
      </c>
      <c r="L33" s="147">
        <v>208</v>
      </c>
      <c r="M33" s="147">
        <v>259</v>
      </c>
      <c r="N33" s="147">
        <v>353</v>
      </c>
      <c r="O33" s="147">
        <v>439</v>
      </c>
      <c r="P33" s="147">
        <f>O33</f>
        <v>439</v>
      </c>
      <c r="Q33" s="118">
        <f>((P33/G33)^(1/($H$2-$H$1) ))-1</f>
        <v>0.39816507993740613</v>
      </c>
      <c r="R33" s="31">
        <f t="shared" si="6"/>
        <v>0.12</v>
      </c>
      <c r="S33" s="154">
        <f t="shared" si="38"/>
        <v>491.68000000000006</v>
      </c>
      <c r="T33" s="154">
        <f t="shared" si="39"/>
        <v>550.68160000000012</v>
      </c>
      <c r="U33" s="154">
        <f t="shared" si="40"/>
        <v>616.76339200000018</v>
      </c>
      <c r="V33" s="154">
        <f t="shared" si="41"/>
        <v>690.77499904000024</v>
      </c>
      <c r="W33" s="154">
        <f t="shared" si="42"/>
        <v>773.66799892480037</v>
      </c>
      <c r="X33" s="154">
        <f t="shared" si="43"/>
        <v>866.50815879577647</v>
      </c>
      <c r="Y33" s="154">
        <f t="shared" si="44"/>
        <v>970.48913785126979</v>
      </c>
      <c r="Z33" s="154">
        <f t="shared" si="45"/>
        <v>1086.9478343934222</v>
      </c>
      <c r="AA33" s="154">
        <f t="shared" si="46"/>
        <v>1217.381574520633</v>
      </c>
      <c r="AB33" s="154">
        <f t="shared" si="47"/>
        <v>1363.467363463109</v>
      </c>
      <c r="AC33" s="138">
        <f t="shared" si="19"/>
        <v>0.24409333224320884</v>
      </c>
      <c r="AD33" s="31">
        <f t="shared" si="17"/>
        <v>0.08</v>
      </c>
      <c r="AE33" s="146">
        <f t="shared" si="1"/>
        <v>10518.176803858269</v>
      </c>
    </row>
    <row r="34" spans="2:31" x14ac:dyDescent="0.2">
      <c r="B34" s="20" t="s">
        <v>395</v>
      </c>
      <c r="C34" s="141"/>
      <c r="D34" s="141"/>
      <c r="E34" s="147"/>
      <c r="F34" s="147"/>
      <c r="G34" s="147">
        <v>15.35</v>
      </c>
      <c r="H34" s="147">
        <v>21.8</v>
      </c>
      <c r="I34" s="147">
        <v>74</v>
      </c>
      <c r="J34" s="147">
        <v>107</v>
      </c>
      <c r="K34" s="147">
        <v>112.5</v>
      </c>
      <c r="L34" s="147">
        <v>105</v>
      </c>
      <c r="M34" s="147">
        <v>129</v>
      </c>
      <c r="N34" s="147">
        <v>159</v>
      </c>
      <c r="O34" s="147">
        <v>211</v>
      </c>
      <c r="P34" s="147">
        <f>O34</f>
        <v>211</v>
      </c>
      <c r="Q34" s="118">
        <f>((P34/G34)^(1/($H$2-$H$1) ))-1</f>
        <v>0.33802363881664244</v>
      </c>
      <c r="R34" s="31">
        <f t="shared" si="6"/>
        <v>0.12</v>
      </c>
      <c r="S34" s="154">
        <f t="shared" si="38"/>
        <v>236.32000000000002</v>
      </c>
      <c r="T34" s="154">
        <f t="shared" si="39"/>
        <v>264.67840000000007</v>
      </c>
      <c r="U34" s="154">
        <f t="shared" si="40"/>
        <v>296.43980800000008</v>
      </c>
      <c r="V34" s="154">
        <f t="shared" si="41"/>
        <v>332.01258496000014</v>
      </c>
      <c r="W34" s="154">
        <f t="shared" si="42"/>
        <v>371.85409515520018</v>
      </c>
      <c r="X34" s="154">
        <f t="shared" si="43"/>
        <v>416.47658657382425</v>
      </c>
      <c r="Y34" s="154">
        <f t="shared" si="44"/>
        <v>466.45377696268321</v>
      </c>
      <c r="Z34" s="154">
        <f t="shared" si="45"/>
        <v>522.42823019820526</v>
      </c>
      <c r="AA34" s="154">
        <f t="shared" si="46"/>
        <v>585.11961782198989</v>
      </c>
      <c r="AB34" s="154">
        <f t="shared" si="47"/>
        <v>655.33397196062879</v>
      </c>
      <c r="AC34" s="138">
        <f t="shared" si="19"/>
        <v>0.21845114714153091</v>
      </c>
      <c r="AD34" s="31">
        <f t="shared" si="17"/>
        <v>0.08</v>
      </c>
      <c r="AE34" s="146">
        <f t="shared" si="1"/>
        <v>5055.4334979819932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279</v>
      </c>
      <c r="C36" s="141"/>
      <c r="D36" s="141"/>
      <c r="E36" s="147"/>
      <c r="F36" s="147"/>
      <c r="G36" s="147">
        <v>31.13</v>
      </c>
      <c r="H36" s="147">
        <v>38.24</v>
      </c>
      <c r="I36" s="147">
        <v>78.599999999999994</v>
      </c>
      <c r="J36" s="147">
        <v>120</v>
      </c>
      <c r="K36" s="147">
        <v>180.5</v>
      </c>
      <c r="L36" s="147">
        <v>196</v>
      </c>
      <c r="M36" s="147">
        <v>211</v>
      </c>
      <c r="N36" s="147">
        <v>251</v>
      </c>
      <c r="O36" s="147">
        <v>327.5</v>
      </c>
      <c r="P36" s="147">
        <f>O36</f>
        <v>327.5</v>
      </c>
      <c r="Q36" s="118">
        <f>((P36/G36)^(1/($H$2-$H$1) ))-1</f>
        <v>0.29885039721779449</v>
      </c>
      <c r="R36" s="31">
        <f t="shared" si="6"/>
        <v>0.12</v>
      </c>
      <c r="S36" s="154">
        <f t="shared" ref="S36" si="102">P36*(1+$R36)</f>
        <v>366.8</v>
      </c>
      <c r="T36" s="154">
        <f t="shared" ref="T36" si="103">S36*(1+$R36)</f>
        <v>410.81600000000003</v>
      </c>
      <c r="U36" s="154">
        <f t="shared" ref="U36" si="104">T36*(1+$R36)</f>
        <v>460.11392000000006</v>
      </c>
      <c r="V36" s="154">
        <f t="shared" ref="V36" si="105">U36*(1+$R36)</f>
        <v>515.32759040000008</v>
      </c>
      <c r="W36" s="154">
        <f t="shared" si="42"/>
        <v>577.16690124800016</v>
      </c>
      <c r="X36" s="154">
        <f t="shared" si="43"/>
        <v>646.4269293977602</v>
      </c>
      <c r="Y36" s="154">
        <f t="shared" si="44"/>
        <v>723.99816092549145</v>
      </c>
      <c r="Z36" s="154">
        <f t="shared" si="45"/>
        <v>810.87794023655044</v>
      </c>
      <c r="AA36" s="154">
        <f t="shared" si="46"/>
        <v>908.18329306493661</v>
      </c>
      <c r="AB36" s="154">
        <f t="shared" si="47"/>
        <v>1017.165288232729</v>
      </c>
      <c r="AC36" s="138">
        <f t="shared" si="19"/>
        <v>0.20142147353793294</v>
      </c>
      <c r="AD36" s="31">
        <f t="shared" si="17"/>
        <v>0.08</v>
      </c>
      <c r="AE36" s="146">
        <f t="shared" si="1"/>
        <v>7846.7036520810525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106">(G36-F36)/G36</f>
        <v>1</v>
      </c>
      <c r="H37" s="148">
        <f t="shared" ref="H37" si="107">(H36-G36)/H36</f>
        <v>0.18593096234309631</v>
      </c>
      <c r="I37" s="148">
        <f t="shared" ref="I37" si="108">(I36-H36)/I36</f>
        <v>0.51348600508905851</v>
      </c>
      <c r="J37" s="148">
        <f t="shared" ref="J37" si="109">(J36-I36)/J36</f>
        <v>0.34500000000000003</v>
      </c>
      <c r="K37" s="148">
        <f t="shared" ref="K37" si="110">(K36-J36)/K36</f>
        <v>0.33518005540166207</v>
      </c>
      <c r="L37" s="148">
        <f t="shared" ref="L37" si="111">(L36-K36)/L36</f>
        <v>7.9081632653061229E-2</v>
      </c>
      <c r="M37" s="148">
        <f t="shared" ref="M37" si="112">(M36-L36)/M36</f>
        <v>7.1090047393364927E-2</v>
      </c>
      <c r="N37" s="148">
        <f t="shared" ref="N37" si="113">(N36-M36)/N36</f>
        <v>0.15936254980079681</v>
      </c>
      <c r="O37" s="148">
        <f t="shared" ref="O37" si="114">(O36-N36)/O36</f>
        <v>0.23358778625954199</v>
      </c>
      <c r="P37" s="148">
        <f t="shared" ref="P37" si="115">(P36-O36)/P36</f>
        <v>0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x14ac:dyDescent="0.2">
      <c r="B38" s="20" t="s">
        <v>257</v>
      </c>
      <c r="C38" s="141"/>
      <c r="D38" s="141"/>
      <c r="E38" s="147"/>
      <c r="F38" s="147"/>
      <c r="G38" s="147">
        <v>17.940000000000001</v>
      </c>
      <c r="H38" s="147">
        <v>22</v>
      </c>
      <c r="I38" s="147">
        <v>61.4</v>
      </c>
      <c r="J38" s="147">
        <v>84</v>
      </c>
      <c r="K38" s="147">
        <v>140.5</v>
      </c>
      <c r="L38" s="147">
        <v>161</v>
      </c>
      <c r="M38" s="147">
        <v>205</v>
      </c>
      <c r="N38" s="147">
        <v>206</v>
      </c>
      <c r="O38" s="147">
        <v>220</v>
      </c>
      <c r="P38" s="147">
        <f>O38</f>
        <v>220</v>
      </c>
      <c r="Q38" s="118">
        <f>((P38/G38)^(1/($H$2-$H$1) ))-1</f>
        <v>0.32116050535848761</v>
      </c>
      <c r="R38" s="31">
        <f t="shared" si="6"/>
        <v>0.12</v>
      </c>
      <c r="S38" s="154">
        <f>P38*(1+$R38)</f>
        <v>246.40000000000003</v>
      </c>
      <c r="T38" s="154">
        <f t="shared" ref="T38:AB38" si="116">S38*(1+$R38)</f>
        <v>275.96800000000007</v>
      </c>
      <c r="U38" s="154">
        <f t="shared" si="116"/>
        <v>309.08416000000011</v>
      </c>
      <c r="V38" s="154">
        <f t="shared" si="116"/>
        <v>346.17425920000017</v>
      </c>
      <c r="W38" s="154">
        <f t="shared" si="116"/>
        <v>387.7151703040002</v>
      </c>
      <c r="X38" s="154">
        <f t="shared" si="116"/>
        <v>434.24099074048024</v>
      </c>
      <c r="Y38" s="154">
        <f t="shared" si="116"/>
        <v>486.3499096293379</v>
      </c>
      <c r="Z38" s="154">
        <f t="shared" si="116"/>
        <v>544.71189878485848</v>
      </c>
      <c r="AA38" s="154">
        <f t="shared" si="116"/>
        <v>610.07732663904153</v>
      </c>
      <c r="AB38" s="154">
        <f t="shared" si="116"/>
        <v>683.28660583572662</v>
      </c>
      <c r="AC38" s="138">
        <f t="shared" si="19"/>
        <v>0.21115289623058664</v>
      </c>
      <c r="AD38" s="31">
        <f t="shared" si="17"/>
        <v>0.08</v>
      </c>
      <c r="AE38" s="146">
        <f t="shared" si="1"/>
        <v>5271.0681021613191</v>
      </c>
    </row>
    <row r="39" spans="2:31" s="123" customFormat="1" x14ac:dyDescent="0.2">
      <c r="B39" s="23"/>
      <c r="C39" s="149"/>
      <c r="D39" s="149"/>
      <c r="E39" s="150"/>
      <c r="F39" s="150"/>
      <c r="G39" s="148">
        <f>(G38-F38)/G38</f>
        <v>1</v>
      </c>
      <c r="H39" s="148">
        <f t="shared" ref="H39:P39" si="117">(H38-G38)/H38</f>
        <v>0.18454545454545448</v>
      </c>
      <c r="I39" s="148">
        <f t="shared" si="117"/>
        <v>0.64169381107491852</v>
      </c>
      <c r="J39" s="148">
        <f t="shared" si="117"/>
        <v>0.26904761904761909</v>
      </c>
      <c r="K39" s="148">
        <f t="shared" si="117"/>
        <v>0.40213523131672596</v>
      </c>
      <c r="L39" s="148">
        <f t="shared" si="117"/>
        <v>0.12732919254658384</v>
      </c>
      <c r="M39" s="148">
        <f t="shared" si="117"/>
        <v>0.21463414634146341</v>
      </c>
      <c r="N39" s="148">
        <f t="shared" si="117"/>
        <v>4.8543689320388345E-3</v>
      </c>
      <c r="O39" s="148">
        <f t="shared" si="117"/>
        <v>6.363636363636363E-2</v>
      </c>
      <c r="P39" s="148">
        <f t="shared" si="117"/>
        <v>0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239</v>
      </c>
      <c r="C40" s="142">
        <v>1</v>
      </c>
      <c r="D40" s="142">
        <v>1</v>
      </c>
      <c r="E40" s="143">
        <v>1</v>
      </c>
      <c r="F40" s="182">
        <v>0.62929999999999997</v>
      </c>
      <c r="G40" s="182">
        <v>0.62929999999999997</v>
      </c>
      <c r="H40" s="182">
        <v>0.63660000000000005</v>
      </c>
      <c r="I40" s="182">
        <v>0.67549999999999999</v>
      </c>
      <c r="J40" s="182">
        <v>0.72550000000000003</v>
      </c>
      <c r="K40" s="182">
        <v>0.72250000000000003</v>
      </c>
      <c r="L40" s="182">
        <v>0.72250000000000003</v>
      </c>
      <c r="M40" s="182">
        <v>0.7097</v>
      </c>
      <c r="N40" s="182">
        <v>7.09</v>
      </c>
      <c r="O40" s="182">
        <v>7.02</v>
      </c>
      <c r="P40" s="182">
        <f>O40</f>
        <v>7.02</v>
      </c>
      <c r="Q40" s="118">
        <f>((P40/G40)^(1/($H$2-$H$1) ))-1</f>
        <v>0.30733412565493334</v>
      </c>
      <c r="R40" s="31">
        <f t="shared" si="6"/>
        <v>0.12</v>
      </c>
      <c r="S40" s="154">
        <f>P40*(1+$R40)</f>
        <v>7.8624000000000001</v>
      </c>
      <c r="T40" s="154">
        <f t="shared" ref="T40:AB40" si="118">S40*(1+$R40)</f>
        <v>8.8058880000000013</v>
      </c>
      <c r="U40" s="154">
        <f t="shared" si="118"/>
        <v>9.8625945600000016</v>
      </c>
      <c r="V40" s="154">
        <f t="shared" si="118"/>
        <v>11.046105907200003</v>
      </c>
      <c r="W40" s="154">
        <f t="shared" si="118"/>
        <v>12.371638616064004</v>
      </c>
      <c r="X40" s="154">
        <f t="shared" si="118"/>
        <v>13.856235249991686</v>
      </c>
      <c r="Y40" s="154">
        <f t="shared" si="118"/>
        <v>15.518983479990689</v>
      </c>
      <c r="Z40" s="154">
        <f t="shared" si="118"/>
        <v>17.381261497589573</v>
      </c>
      <c r="AA40" s="154">
        <f t="shared" si="118"/>
        <v>19.467012877300323</v>
      </c>
      <c r="AB40" s="154">
        <f t="shared" si="118"/>
        <v>21.803054422576363</v>
      </c>
      <c r="AC40" s="138">
        <f t="shared" si="19"/>
        <v>0.20513227108090892</v>
      </c>
      <c r="AD40" s="31">
        <f t="shared" si="17"/>
        <v>0.08</v>
      </c>
      <c r="AE40" s="146">
        <f t="shared" si="1"/>
        <v>168.1949912598748</v>
      </c>
    </row>
    <row r="41" spans="2:31" x14ac:dyDescent="0.2">
      <c r="B41" s="20" t="s">
        <v>283</v>
      </c>
      <c r="C41" s="145"/>
      <c r="D41" s="145"/>
      <c r="E41" s="145"/>
      <c r="F41" s="147"/>
      <c r="G41" s="147">
        <v>10</v>
      </c>
      <c r="H41" s="147">
        <v>12.5</v>
      </c>
      <c r="I41" s="147">
        <v>25</v>
      </c>
      <c r="J41" s="147">
        <v>25</v>
      </c>
      <c r="K41" s="173">
        <v>70</v>
      </c>
      <c r="L41" s="173">
        <v>100</v>
      </c>
      <c r="M41" s="173">
        <v>200</v>
      </c>
      <c r="N41" s="173">
        <v>11</v>
      </c>
      <c r="O41" s="173">
        <v>16</v>
      </c>
      <c r="P41" s="147">
        <f>O41</f>
        <v>16</v>
      </c>
      <c r="Q41" s="118">
        <f>((P41/G41)^(1/($H$2-$H$1) ))-1</f>
        <v>5.3610276890664554E-2</v>
      </c>
      <c r="R41" s="31">
        <v>0.05</v>
      </c>
      <c r="S41" s="154">
        <f t="shared" ref="S41" si="119">P41*(1+$R41)</f>
        <v>16.8</v>
      </c>
      <c r="T41" s="154">
        <f t="shared" ref="T41" si="120">S41*(1+$R41)</f>
        <v>17.64</v>
      </c>
      <c r="U41" s="154">
        <f t="shared" ref="U41" si="121">T41*(1+$R41)</f>
        <v>18.522000000000002</v>
      </c>
      <c r="V41" s="154">
        <f t="shared" ref="V41" si="122">U41*(1+$R41)</f>
        <v>19.448100000000004</v>
      </c>
      <c r="W41" s="154">
        <f t="shared" ref="W41" si="123">V41*(1+$R41)</f>
        <v>20.420505000000006</v>
      </c>
      <c r="X41" s="154">
        <f t="shared" ref="X41" si="124">W41*(1+$R41)</f>
        <v>21.441530250000007</v>
      </c>
      <c r="Y41" s="154">
        <f t="shared" ref="Y41" si="125">X41*(1+$R41)</f>
        <v>22.513606762500007</v>
      </c>
      <c r="Z41" s="154">
        <f t="shared" ref="Z41" si="126">Y41*(1+$R41)</f>
        <v>23.639287100625008</v>
      </c>
      <c r="AA41" s="154">
        <f t="shared" ref="AA41" si="127">Z41*(1+$R41)</f>
        <v>24.82125145565626</v>
      </c>
      <c r="AB41" s="154">
        <f t="shared" ref="AB41" si="128">AA41*(1+$R41)</f>
        <v>26.062314028439072</v>
      </c>
      <c r="AC41" s="138">
        <f t="shared" ref="AC41" si="129">((AB41/G41)^(1/($AB$3-$H$1) ))-1</f>
        <v>5.1708586479565666E-2</v>
      </c>
      <c r="AD41" s="31">
        <f t="shared" si="17"/>
        <v>0.08</v>
      </c>
      <c r="AE41" s="146">
        <f t="shared" si="1"/>
        <v>201.05213679081569</v>
      </c>
    </row>
    <row r="42" spans="2:31" x14ac:dyDescent="0.2">
      <c r="B42" s="20"/>
      <c r="C42" s="20"/>
      <c r="D42" s="20"/>
      <c r="E42" s="127"/>
      <c r="F42" s="127"/>
      <c r="G42" s="127"/>
      <c r="H42" s="20"/>
      <c r="I42" s="20"/>
      <c r="J42" s="20"/>
      <c r="K42" s="20"/>
      <c r="L42" s="20"/>
      <c r="M42" s="20"/>
      <c r="N42" s="20"/>
      <c r="O42" s="20"/>
      <c r="P42" s="20"/>
      <c r="Q42" s="128"/>
      <c r="R42" s="128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39"/>
      <c r="AD42" s="137"/>
      <c r="AE42" s="154"/>
    </row>
    <row r="43" spans="2:31" x14ac:dyDescent="0.2">
      <c r="B43" s="108" t="s">
        <v>243</v>
      </c>
      <c r="C43" s="20"/>
      <c r="D43" s="20"/>
      <c r="E43" s="127"/>
      <c r="F43" s="127"/>
      <c r="G43" s="127"/>
      <c r="H43" s="20"/>
      <c r="I43" s="20"/>
      <c r="J43" s="20"/>
      <c r="K43" s="20"/>
      <c r="L43" s="20"/>
      <c r="M43" s="20"/>
      <c r="N43" s="20"/>
      <c r="O43" s="20"/>
      <c r="P43" s="20"/>
      <c r="Q43" s="128"/>
      <c r="R43" s="128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9"/>
      <c r="AD43" s="137"/>
      <c r="AE43" s="154"/>
    </row>
    <row r="44" spans="2:31" x14ac:dyDescent="0.2">
      <c r="B44" s="20" t="s">
        <v>304</v>
      </c>
      <c r="C44" s="133">
        <f t="shared" ref="C44:P44" si="130">C25/C40</f>
        <v>0</v>
      </c>
      <c r="D44" s="133">
        <f t="shared" si="130"/>
        <v>0</v>
      </c>
      <c r="E44" s="133">
        <f t="shared" si="130"/>
        <v>0</v>
      </c>
      <c r="F44" s="133">
        <f t="shared" si="130"/>
        <v>0</v>
      </c>
      <c r="G44" s="133">
        <f t="shared" si="130"/>
        <v>116.00190688066105</v>
      </c>
      <c r="H44" s="133">
        <f t="shared" si="130"/>
        <v>144.51775054979578</v>
      </c>
      <c r="I44" s="133">
        <f t="shared" si="130"/>
        <v>435.23316062176167</v>
      </c>
      <c r="J44" s="133">
        <f t="shared" si="130"/>
        <v>560.99241902136453</v>
      </c>
      <c r="K44" s="133">
        <f t="shared" si="130"/>
        <v>730.79584775086505</v>
      </c>
      <c r="L44" s="133">
        <f t="shared" si="130"/>
        <v>770.93425605536333</v>
      </c>
      <c r="M44" s="133">
        <f t="shared" si="130"/>
        <v>983.51416091306191</v>
      </c>
      <c r="N44" s="133">
        <f t="shared" si="130"/>
        <v>119.88716502115656</v>
      </c>
      <c r="O44" s="133">
        <f t="shared" si="130"/>
        <v>142.16524216524218</v>
      </c>
      <c r="P44" s="133">
        <f t="shared" si="130"/>
        <v>142.16524216524218</v>
      </c>
      <c r="Q44" s="118">
        <f>((P44/G44)^(1/($H$2-$H$1) ))-1</f>
        <v>2.2855431439112728E-2</v>
      </c>
      <c r="R44" s="128"/>
      <c r="S44" s="158">
        <f t="shared" ref="S44:AB44" si="131">S25/S40</f>
        <v>142.1652421652422</v>
      </c>
      <c r="T44" s="158">
        <f t="shared" si="131"/>
        <v>142.16524216524218</v>
      </c>
      <c r="U44" s="158">
        <f t="shared" si="131"/>
        <v>142.1652421652422</v>
      </c>
      <c r="V44" s="158">
        <f t="shared" si="131"/>
        <v>142.1652421652422</v>
      </c>
      <c r="W44" s="158">
        <f t="shared" si="131"/>
        <v>142.16524216524218</v>
      </c>
      <c r="X44" s="158">
        <f t="shared" si="131"/>
        <v>142.1652421652422</v>
      </c>
      <c r="Y44" s="158">
        <f t="shared" si="131"/>
        <v>142.1652421652422</v>
      </c>
      <c r="Z44" s="158">
        <f t="shared" si="131"/>
        <v>142.1652421652422</v>
      </c>
      <c r="AA44" s="158">
        <f t="shared" si="131"/>
        <v>142.1652421652422</v>
      </c>
      <c r="AB44" s="158">
        <f t="shared" si="131"/>
        <v>142.1652421652422</v>
      </c>
      <c r="AC44" s="138">
        <f t="shared" ref="AC44" si="132">((AB44/G44)^(1/($AB$3-$H$1) ))-1</f>
        <v>1.07618879496445E-2</v>
      </c>
      <c r="AD44" s="31">
        <f t="shared" si="17"/>
        <v>0.08</v>
      </c>
      <c r="AE44" s="146">
        <f t="shared" ref="AE44:AE45" si="133">(AB44*(1+AD44))/($C$1-AD44)</f>
        <v>1096.7032967032972</v>
      </c>
    </row>
    <row r="45" spans="2:31" x14ac:dyDescent="0.2">
      <c r="B45" s="20" t="s">
        <v>305</v>
      </c>
      <c r="C45" s="133">
        <f t="shared" ref="C45:P45" si="134">C27/C40</f>
        <v>0</v>
      </c>
      <c r="D45" s="133">
        <f t="shared" si="134"/>
        <v>0</v>
      </c>
      <c r="E45" s="133">
        <f t="shared" si="134"/>
        <v>0</v>
      </c>
      <c r="F45" s="133">
        <f t="shared" si="134"/>
        <v>0</v>
      </c>
      <c r="G45" s="133">
        <f t="shared" si="134"/>
        <v>63.562688701732085</v>
      </c>
      <c r="H45" s="133">
        <f t="shared" si="134"/>
        <v>83.254791077599748</v>
      </c>
      <c r="I45" s="133">
        <f t="shared" si="134"/>
        <v>304.95928941524795</v>
      </c>
      <c r="J45" s="133">
        <f t="shared" si="134"/>
        <v>387.31909028256371</v>
      </c>
      <c r="K45" s="133">
        <f t="shared" si="134"/>
        <v>452.59515570934252</v>
      </c>
      <c r="L45" s="133">
        <f t="shared" si="134"/>
        <v>463.66782006920414</v>
      </c>
      <c r="M45" s="133">
        <f t="shared" si="134"/>
        <v>577.70889108073834</v>
      </c>
      <c r="N45" s="133">
        <f t="shared" si="134"/>
        <v>76.727785613540206</v>
      </c>
      <c r="O45" s="133">
        <f t="shared" si="134"/>
        <v>92.592592592592595</v>
      </c>
      <c r="P45" s="133">
        <f t="shared" si="134"/>
        <v>92.592592592592595</v>
      </c>
      <c r="Q45" s="118">
        <f>((P45/G45)^(1/($H$2-$H$1) ))-1</f>
        <v>4.2683893533800976E-2</v>
      </c>
      <c r="R45" s="128"/>
      <c r="S45" s="158">
        <f t="shared" ref="S45:AB45" si="135">S27/S40</f>
        <v>92.592592592592609</v>
      </c>
      <c r="T45" s="158">
        <f t="shared" si="135"/>
        <v>92.592592592592609</v>
      </c>
      <c r="U45" s="158">
        <f t="shared" si="135"/>
        <v>92.592592592592609</v>
      </c>
      <c r="V45" s="158">
        <f t="shared" si="135"/>
        <v>92.592592592592609</v>
      </c>
      <c r="W45" s="158">
        <f t="shared" si="135"/>
        <v>92.592592592592609</v>
      </c>
      <c r="X45" s="158">
        <f t="shared" si="135"/>
        <v>92.592592592592624</v>
      </c>
      <c r="Y45" s="158">
        <f t="shared" si="135"/>
        <v>92.592592592592624</v>
      </c>
      <c r="Z45" s="158">
        <f t="shared" si="135"/>
        <v>92.592592592592624</v>
      </c>
      <c r="AA45" s="158">
        <f t="shared" si="135"/>
        <v>92.592592592592624</v>
      </c>
      <c r="AB45" s="158">
        <f t="shared" si="135"/>
        <v>92.592592592592638</v>
      </c>
      <c r="AC45" s="138">
        <f t="shared" ref="AC45" si="136">((AB45/G45)^(1/($AB$3-$H$1) ))-1</f>
        <v>1.9996380813504633E-2</v>
      </c>
      <c r="AD45" s="31">
        <f t="shared" si="17"/>
        <v>0.08</v>
      </c>
      <c r="AE45" s="146">
        <f t="shared" si="133"/>
        <v>714.28571428571468</v>
      </c>
    </row>
    <row r="46" spans="2:31" x14ac:dyDescent="0.2">
      <c r="B46" s="20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28"/>
      <c r="R46" s="12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19"/>
      <c r="AD46" s="137"/>
      <c r="AE46" s="146"/>
    </row>
    <row r="47" spans="2:31" x14ac:dyDescent="0.2">
      <c r="B47" s="20" t="s">
        <v>258</v>
      </c>
      <c r="C47" s="25">
        <f t="shared" ref="C47:P47" si="137">C38/C40</f>
        <v>0</v>
      </c>
      <c r="D47" s="25">
        <f t="shared" si="137"/>
        <v>0</v>
      </c>
      <c r="E47" s="25">
        <f t="shared" si="137"/>
        <v>0</v>
      </c>
      <c r="F47" s="133">
        <f t="shared" si="137"/>
        <v>0</v>
      </c>
      <c r="G47" s="133">
        <f t="shared" si="137"/>
        <v>28.507865882726843</v>
      </c>
      <c r="H47" s="133">
        <f t="shared" si="137"/>
        <v>34.558592522777253</v>
      </c>
      <c r="I47" s="133">
        <f t="shared" si="137"/>
        <v>90.89563286454478</v>
      </c>
      <c r="J47" s="133">
        <f t="shared" si="137"/>
        <v>115.78221915920055</v>
      </c>
      <c r="K47" s="133">
        <f t="shared" si="137"/>
        <v>194.46366782006919</v>
      </c>
      <c r="L47" s="133">
        <f t="shared" si="137"/>
        <v>222.83737024221452</v>
      </c>
      <c r="M47" s="133">
        <f t="shared" si="137"/>
        <v>288.85444554036917</v>
      </c>
      <c r="N47" s="133">
        <f t="shared" si="137"/>
        <v>29.055007052186177</v>
      </c>
      <c r="O47" s="133">
        <f t="shared" si="137"/>
        <v>31.33903133903134</v>
      </c>
      <c r="P47" s="133">
        <f t="shared" si="137"/>
        <v>31.33903133903134</v>
      </c>
      <c r="Q47" s="118">
        <f>((P47/G47)^(1/($H$2-$H$1) ))-1</f>
        <v>1.0576010701646377E-2</v>
      </c>
      <c r="R47" s="128"/>
      <c r="S47" s="158">
        <f t="shared" ref="S47:AB47" si="138">S38/S40</f>
        <v>31.339031339031344</v>
      </c>
      <c r="T47" s="158">
        <f t="shared" si="138"/>
        <v>31.339031339031344</v>
      </c>
      <c r="U47" s="158">
        <f t="shared" si="138"/>
        <v>31.339031339031344</v>
      </c>
      <c r="V47" s="158">
        <f t="shared" si="138"/>
        <v>31.339031339031347</v>
      </c>
      <c r="W47" s="158">
        <f t="shared" si="138"/>
        <v>31.339031339031344</v>
      </c>
      <c r="X47" s="158">
        <f t="shared" si="138"/>
        <v>31.339031339031344</v>
      </c>
      <c r="Y47" s="158">
        <f t="shared" si="138"/>
        <v>31.339031339031344</v>
      </c>
      <c r="Z47" s="158">
        <f t="shared" si="138"/>
        <v>31.339031339031344</v>
      </c>
      <c r="AA47" s="158">
        <f t="shared" si="138"/>
        <v>31.33903133903134</v>
      </c>
      <c r="AB47" s="158">
        <f t="shared" si="138"/>
        <v>31.339031339031347</v>
      </c>
      <c r="AC47" s="138">
        <f t="shared" ref="AC47:AC61" si="139">((AB47/G47)^(1/($AB$3-$H$1) ))-1</f>
        <v>4.9958210348792775E-3</v>
      </c>
      <c r="AD47" s="31">
        <f t="shared" si="17"/>
        <v>0.08</v>
      </c>
      <c r="AE47" s="146">
        <f t="shared" ref="AE47:AE75" si="140">(AB47*(1+AD47))/($C$1-AD47)</f>
        <v>241.75824175824178</v>
      </c>
    </row>
    <row r="48" spans="2:31" x14ac:dyDescent="0.2">
      <c r="B48" s="20" t="s">
        <v>387</v>
      </c>
      <c r="C48" s="133">
        <f t="shared" ref="C48:F48" si="141">C20/C40</f>
        <v>0</v>
      </c>
      <c r="D48" s="133">
        <f t="shared" si="141"/>
        <v>0</v>
      </c>
      <c r="E48" s="133">
        <f t="shared" si="141"/>
        <v>0</v>
      </c>
      <c r="F48" s="133">
        <f t="shared" si="141"/>
        <v>0</v>
      </c>
      <c r="G48" s="133">
        <f>G20/G40</f>
        <v>37.184172890513267</v>
      </c>
      <c r="H48" s="133">
        <f t="shared" ref="H48:P48" si="142">H20/H40</f>
        <v>32.987747408105555</v>
      </c>
      <c r="I48" s="133">
        <f t="shared" si="142"/>
        <v>37.00962250185048</v>
      </c>
      <c r="J48" s="133">
        <f t="shared" si="142"/>
        <v>73.053066850447962</v>
      </c>
      <c r="K48" s="133">
        <f t="shared" si="142"/>
        <v>189.61937716262975</v>
      </c>
      <c r="L48" s="133">
        <f t="shared" si="142"/>
        <v>243.598615916955</v>
      </c>
      <c r="M48" s="133">
        <f t="shared" si="142"/>
        <v>190.22122023390165</v>
      </c>
      <c r="N48" s="133">
        <f t="shared" si="142"/>
        <v>33.568406205923836</v>
      </c>
      <c r="O48" s="133">
        <f t="shared" si="142"/>
        <v>21.225071225071225</v>
      </c>
      <c r="P48" s="133">
        <f t="shared" si="142"/>
        <v>21.225071225071225</v>
      </c>
      <c r="Q48" s="118">
        <f>((P48/G48)^(1/($H$2-$H$1) ))-1</f>
        <v>-6.0399048615759954E-2</v>
      </c>
      <c r="R48" s="128"/>
      <c r="S48" s="133">
        <f t="shared" ref="S48:AB48" si="143">S20/S40</f>
        <v>21.225071225071229</v>
      </c>
      <c r="T48" s="133">
        <f t="shared" si="143"/>
        <v>21.225071225071229</v>
      </c>
      <c r="U48" s="133">
        <f t="shared" si="143"/>
        <v>21.225071225071229</v>
      </c>
      <c r="V48" s="133">
        <f t="shared" si="143"/>
        <v>21.225071225071229</v>
      </c>
      <c r="W48" s="133">
        <f t="shared" si="143"/>
        <v>21.225071225071233</v>
      </c>
      <c r="X48" s="133">
        <f t="shared" si="143"/>
        <v>21.225071225071233</v>
      </c>
      <c r="Y48" s="133">
        <f t="shared" si="143"/>
        <v>21.225071225071233</v>
      </c>
      <c r="Z48" s="133">
        <f t="shared" si="143"/>
        <v>21.225071225071233</v>
      </c>
      <c r="AA48" s="133">
        <f t="shared" si="143"/>
        <v>21.225071225071236</v>
      </c>
      <c r="AB48" s="133">
        <f t="shared" si="143"/>
        <v>21.225071225071236</v>
      </c>
      <c r="AC48" s="138">
        <f t="shared" ref="AC48" si="144">((AB48/G48)^(1/($AB$3-$H$1) ))-1</f>
        <v>-2.9079348910630021E-2</v>
      </c>
      <c r="AD48" s="31">
        <f t="shared" si="17"/>
        <v>0.08</v>
      </c>
      <c r="AE48" s="146">
        <f t="shared" si="140"/>
        <v>163.73626373626382</v>
      </c>
    </row>
    <row r="49" spans="2:31" x14ac:dyDescent="0.2">
      <c r="B49" s="20" t="s">
        <v>245</v>
      </c>
      <c r="C49" s="25">
        <f t="shared" ref="C49:P49" si="145">C7/C40</f>
        <v>0</v>
      </c>
      <c r="D49" s="25">
        <f t="shared" si="145"/>
        <v>0</v>
      </c>
      <c r="E49" s="25">
        <f t="shared" si="145"/>
        <v>0</v>
      </c>
      <c r="F49" s="133">
        <f t="shared" si="145"/>
        <v>0</v>
      </c>
      <c r="G49" s="133">
        <f t="shared" si="145"/>
        <v>150.96138566661369</v>
      </c>
      <c r="H49" s="133">
        <f t="shared" si="145"/>
        <v>172.79296261388626</v>
      </c>
      <c r="I49" s="133">
        <f t="shared" si="145"/>
        <v>279.79274611398966</v>
      </c>
      <c r="J49" s="133">
        <f t="shared" si="145"/>
        <v>380.42729152308749</v>
      </c>
      <c r="K49" s="133">
        <f t="shared" si="145"/>
        <v>494.11764705882354</v>
      </c>
      <c r="L49" s="133">
        <f t="shared" si="145"/>
        <v>599.30795847750858</v>
      </c>
      <c r="M49" s="133">
        <f t="shared" si="145"/>
        <v>556.5731999436382</v>
      </c>
      <c r="N49" s="133">
        <f t="shared" si="145"/>
        <v>58.251057827926658</v>
      </c>
      <c r="O49" s="133">
        <f t="shared" si="145"/>
        <v>75.356125356125361</v>
      </c>
      <c r="P49" s="133">
        <f t="shared" si="145"/>
        <v>75.356125356125361</v>
      </c>
      <c r="Q49" s="118">
        <f>((P49/G49)^(1/($H$2-$H$1) ))-1</f>
        <v>-7.4295189232440162E-2</v>
      </c>
      <c r="R49" s="128"/>
      <c r="S49" s="158">
        <f t="shared" ref="S49:AB49" si="146">S7/S40</f>
        <v>75.356125356125361</v>
      </c>
      <c r="T49" s="158">
        <f t="shared" si="146"/>
        <v>75.356125356125361</v>
      </c>
      <c r="U49" s="158">
        <f t="shared" si="146"/>
        <v>75.356125356125361</v>
      </c>
      <c r="V49" s="158">
        <f t="shared" si="146"/>
        <v>75.356125356125347</v>
      </c>
      <c r="W49" s="158">
        <f t="shared" si="146"/>
        <v>75.356125356125347</v>
      </c>
      <c r="X49" s="158">
        <f t="shared" si="146"/>
        <v>75.356125356125347</v>
      </c>
      <c r="Y49" s="158">
        <f t="shared" si="146"/>
        <v>75.356125356125361</v>
      </c>
      <c r="Z49" s="158">
        <f t="shared" si="146"/>
        <v>75.356125356125361</v>
      </c>
      <c r="AA49" s="158">
        <f t="shared" si="146"/>
        <v>75.356125356125361</v>
      </c>
      <c r="AB49" s="158">
        <f t="shared" si="146"/>
        <v>75.356125356125375</v>
      </c>
      <c r="AC49" s="138">
        <f t="shared" si="139"/>
        <v>-3.5907815029142087E-2</v>
      </c>
      <c r="AD49" s="31">
        <f t="shared" si="17"/>
        <v>0.08</v>
      </c>
      <c r="AE49" s="146">
        <f t="shared" si="140"/>
        <v>581.31868131868146</v>
      </c>
    </row>
    <row r="50" spans="2:31" x14ac:dyDescent="0.2">
      <c r="B50" s="20" t="s">
        <v>246</v>
      </c>
      <c r="C50" s="127">
        <f t="shared" ref="C50:P50" si="147">C6/C40</f>
        <v>0</v>
      </c>
      <c r="D50" s="127">
        <f t="shared" si="147"/>
        <v>0</v>
      </c>
      <c r="E50" s="127">
        <f t="shared" si="147"/>
        <v>0</v>
      </c>
      <c r="F50" s="144">
        <f t="shared" si="147"/>
        <v>0</v>
      </c>
      <c r="G50" s="144">
        <f t="shared" si="147"/>
        <v>141.42698236135388</v>
      </c>
      <c r="H50" s="144">
        <f t="shared" si="147"/>
        <v>163.3678919258561</v>
      </c>
      <c r="I50" s="144">
        <f t="shared" si="147"/>
        <v>269.43005181347149</v>
      </c>
      <c r="J50" s="144">
        <f t="shared" si="147"/>
        <v>372.15713301171604</v>
      </c>
      <c r="K50" s="144">
        <f t="shared" si="147"/>
        <v>484.42906574394459</v>
      </c>
      <c r="L50" s="144">
        <f t="shared" si="147"/>
        <v>589.61937716262969</v>
      </c>
      <c r="M50" s="144">
        <f t="shared" si="147"/>
        <v>545.30083133718472</v>
      </c>
      <c r="N50" s="144">
        <f t="shared" si="147"/>
        <v>57.263751763046542</v>
      </c>
      <c r="O50" s="144">
        <f t="shared" si="147"/>
        <v>74.358974358974365</v>
      </c>
      <c r="P50" s="144">
        <f t="shared" si="147"/>
        <v>74.358974358974365</v>
      </c>
      <c r="Q50" s="118">
        <f>((P50/G50)^(1/($H$2-$H$1) ))-1</f>
        <v>-6.8939500929324216E-2</v>
      </c>
      <c r="R50" s="128"/>
      <c r="S50" s="157">
        <f t="shared" ref="S50:AB50" si="148">S6/S40</f>
        <v>74.358974358974365</v>
      </c>
      <c r="T50" s="157">
        <f t="shared" si="148"/>
        <v>74.358974358974365</v>
      </c>
      <c r="U50" s="157">
        <f t="shared" si="148"/>
        <v>74.358974358974379</v>
      </c>
      <c r="V50" s="157">
        <f t="shared" si="148"/>
        <v>74.358974358974379</v>
      </c>
      <c r="W50" s="157">
        <f t="shared" si="148"/>
        <v>74.358974358974379</v>
      </c>
      <c r="X50" s="157">
        <f t="shared" si="148"/>
        <v>74.358974358974393</v>
      </c>
      <c r="Y50" s="157">
        <f t="shared" si="148"/>
        <v>74.358974358974379</v>
      </c>
      <c r="Z50" s="157">
        <f t="shared" si="148"/>
        <v>74.358974358974379</v>
      </c>
      <c r="AA50" s="157">
        <f t="shared" si="148"/>
        <v>74.358974358974379</v>
      </c>
      <c r="AB50" s="157">
        <f t="shared" si="148"/>
        <v>74.358974358974393</v>
      </c>
      <c r="AC50" s="138">
        <f t="shared" si="139"/>
        <v>-3.3269719816555798E-2</v>
      </c>
      <c r="AD50" s="31">
        <f t="shared" si="17"/>
        <v>0.08</v>
      </c>
      <c r="AE50" s="146">
        <f t="shared" si="140"/>
        <v>573.62637362637383</v>
      </c>
    </row>
    <row r="51" spans="2:31" x14ac:dyDescent="0.2">
      <c r="B51" s="20" t="s">
        <v>247</v>
      </c>
      <c r="C51" s="127">
        <f t="shared" ref="C51:P51" si="149">C10/C40</f>
        <v>0</v>
      </c>
      <c r="D51" s="127">
        <f t="shared" si="149"/>
        <v>0</v>
      </c>
      <c r="E51" s="127">
        <f t="shared" si="149"/>
        <v>0</v>
      </c>
      <c r="F51" s="144">
        <f t="shared" si="149"/>
        <v>0</v>
      </c>
      <c r="G51" s="144">
        <f t="shared" si="149"/>
        <v>0</v>
      </c>
      <c r="H51" s="144">
        <f t="shared" si="149"/>
        <v>0</v>
      </c>
      <c r="I51" s="144">
        <f t="shared" si="149"/>
        <v>0</v>
      </c>
      <c r="J51" s="144">
        <f t="shared" si="149"/>
        <v>0</v>
      </c>
      <c r="K51" s="144">
        <f t="shared" si="149"/>
        <v>0</v>
      </c>
      <c r="L51" s="144">
        <f t="shared" si="149"/>
        <v>0</v>
      </c>
      <c r="M51" s="144">
        <f t="shared" si="149"/>
        <v>0</v>
      </c>
      <c r="N51" s="144">
        <f t="shared" si="149"/>
        <v>0</v>
      </c>
      <c r="O51" s="144">
        <f t="shared" si="149"/>
        <v>0</v>
      </c>
      <c r="P51" s="144">
        <f t="shared" si="149"/>
        <v>0</v>
      </c>
      <c r="Q51" s="118" t="e">
        <f>((P51/G51)^(1/($H$2-$H$1) ))-1</f>
        <v>#DIV/0!</v>
      </c>
      <c r="R51" s="128"/>
      <c r="S51" s="157">
        <f t="shared" ref="S51:AB51" si="150">S10/S40</f>
        <v>0</v>
      </c>
      <c r="T51" s="157">
        <f t="shared" si="150"/>
        <v>0</v>
      </c>
      <c r="U51" s="157">
        <f t="shared" si="150"/>
        <v>0</v>
      </c>
      <c r="V51" s="157">
        <f t="shared" si="150"/>
        <v>0</v>
      </c>
      <c r="W51" s="157">
        <f t="shared" si="150"/>
        <v>0</v>
      </c>
      <c r="X51" s="157">
        <f t="shared" si="150"/>
        <v>0</v>
      </c>
      <c r="Y51" s="157">
        <f t="shared" si="150"/>
        <v>0</v>
      </c>
      <c r="Z51" s="157">
        <f t="shared" si="150"/>
        <v>0</v>
      </c>
      <c r="AA51" s="157">
        <f t="shared" si="150"/>
        <v>0</v>
      </c>
      <c r="AB51" s="157">
        <f t="shared" si="150"/>
        <v>0</v>
      </c>
      <c r="AC51" s="138" t="e">
        <f t="shared" si="139"/>
        <v>#DIV/0!</v>
      </c>
      <c r="AD51" s="31">
        <f t="shared" si="17"/>
        <v>0.08</v>
      </c>
      <c r="AE51" s="146">
        <f t="shared" si="140"/>
        <v>0</v>
      </c>
    </row>
    <row r="52" spans="2:31" x14ac:dyDescent="0.2">
      <c r="B52" s="20"/>
      <c r="C52" s="127"/>
      <c r="D52" s="127"/>
      <c r="E52" s="127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28"/>
      <c r="R52" s="128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39"/>
      <c r="AD52" s="137"/>
      <c r="AE52" s="146"/>
    </row>
    <row r="53" spans="2:31" x14ac:dyDescent="0.2">
      <c r="B53" s="20" t="s">
        <v>271</v>
      </c>
      <c r="C53" s="127">
        <f t="shared" ref="C53:P53" si="151">(C7-C10)/C40</f>
        <v>0</v>
      </c>
      <c r="D53" s="127">
        <f t="shared" si="151"/>
        <v>0</v>
      </c>
      <c r="E53" s="127">
        <f t="shared" si="151"/>
        <v>0</v>
      </c>
      <c r="F53" s="144">
        <f t="shared" si="151"/>
        <v>0</v>
      </c>
      <c r="G53" s="144">
        <f t="shared" si="151"/>
        <v>150.96138566661369</v>
      </c>
      <c r="H53" s="144">
        <f t="shared" si="151"/>
        <v>172.79296261388626</v>
      </c>
      <c r="I53" s="144">
        <f t="shared" si="151"/>
        <v>279.79274611398966</v>
      </c>
      <c r="J53" s="144">
        <f t="shared" si="151"/>
        <v>380.42729152308749</v>
      </c>
      <c r="K53" s="144">
        <f t="shared" si="151"/>
        <v>494.11764705882354</v>
      </c>
      <c r="L53" s="144">
        <f t="shared" si="151"/>
        <v>599.30795847750858</v>
      </c>
      <c r="M53" s="144">
        <f t="shared" si="151"/>
        <v>556.5731999436382</v>
      </c>
      <c r="N53" s="144">
        <f t="shared" si="151"/>
        <v>58.251057827926658</v>
      </c>
      <c r="O53" s="144">
        <f t="shared" si="151"/>
        <v>75.356125356125361</v>
      </c>
      <c r="P53" s="144">
        <f t="shared" si="151"/>
        <v>75.356125356125361</v>
      </c>
      <c r="Q53" s="118">
        <f>((P53/G53)^(1/($H$2-$H$1) ))-1</f>
        <v>-7.4295189232440162E-2</v>
      </c>
      <c r="R53" s="128"/>
      <c r="S53" s="157">
        <f t="shared" ref="S53:AB53" si="152">(S7-S10)/S40</f>
        <v>75.356125356125361</v>
      </c>
      <c r="T53" s="157">
        <f t="shared" si="152"/>
        <v>75.356125356125361</v>
      </c>
      <c r="U53" s="157">
        <f t="shared" si="152"/>
        <v>75.356125356125361</v>
      </c>
      <c r="V53" s="157">
        <f t="shared" si="152"/>
        <v>75.356125356125347</v>
      </c>
      <c r="W53" s="157">
        <f t="shared" si="152"/>
        <v>75.356125356125347</v>
      </c>
      <c r="X53" s="157">
        <f t="shared" si="152"/>
        <v>75.356125356125347</v>
      </c>
      <c r="Y53" s="157">
        <f t="shared" si="152"/>
        <v>75.356125356125361</v>
      </c>
      <c r="Z53" s="157">
        <f t="shared" si="152"/>
        <v>75.356125356125361</v>
      </c>
      <c r="AA53" s="157">
        <f t="shared" si="152"/>
        <v>75.356125356125361</v>
      </c>
      <c r="AB53" s="157">
        <f t="shared" si="152"/>
        <v>75.356125356125375</v>
      </c>
      <c r="AC53" s="138">
        <f t="shared" si="139"/>
        <v>-3.5907815029142087E-2</v>
      </c>
      <c r="AD53" s="31">
        <f t="shared" si="17"/>
        <v>0.08</v>
      </c>
      <c r="AE53" s="146">
        <f t="shared" si="140"/>
        <v>581.31868131868146</v>
      </c>
    </row>
    <row r="54" spans="2:31" x14ac:dyDescent="0.2">
      <c r="B54" s="20" t="s">
        <v>272</v>
      </c>
      <c r="C54" s="127">
        <f t="shared" ref="C54:P54" si="153">(C7-C10-C9)/C40</f>
        <v>0</v>
      </c>
      <c r="D54" s="127">
        <f t="shared" si="153"/>
        <v>0</v>
      </c>
      <c r="E54" s="127">
        <f t="shared" si="153"/>
        <v>0</v>
      </c>
      <c r="F54" s="144">
        <f t="shared" si="153"/>
        <v>0</v>
      </c>
      <c r="G54" s="144">
        <f t="shared" si="153"/>
        <v>125.2184967424122</v>
      </c>
      <c r="H54" s="144">
        <f t="shared" si="153"/>
        <v>141.37606032045238</v>
      </c>
      <c r="I54" s="144">
        <f t="shared" si="153"/>
        <v>170.2442635085122</v>
      </c>
      <c r="J54" s="144">
        <f t="shared" si="153"/>
        <v>243.9696760854583</v>
      </c>
      <c r="K54" s="144">
        <f t="shared" si="153"/>
        <v>330.79584775086505</v>
      </c>
      <c r="L54" s="144">
        <f t="shared" si="153"/>
        <v>376.47058823529409</v>
      </c>
      <c r="M54" s="144">
        <f t="shared" si="153"/>
        <v>309.99013667746937</v>
      </c>
      <c r="N54" s="144">
        <f t="shared" si="153"/>
        <v>24.259520451339917</v>
      </c>
      <c r="O54" s="144">
        <f t="shared" si="153"/>
        <v>20.94017094017094</v>
      </c>
      <c r="P54" s="144">
        <f t="shared" si="153"/>
        <v>20.94017094017094</v>
      </c>
      <c r="Q54" s="118">
        <f>((P54/G54)^(1/($H$2-$H$1) ))-1</f>
        <v>-0.18021247711211674</v>
      </c>
      <c r="R54" s="128"/>
      <c r="S54" s="157">
        <f t="shared" ref="S54:AB54" si="154">(S7-S10-S9)/S40</f>
        <v>20.940170940170937</v>
      </c>
      <c r="T54" s="157">
        <f t="shared" si="154"/>
        <v>20.940170940170937</v>
      </c>
      <c r="U54" s="157">
        <f t="shared" si="154"/>
        <v>20.940170940170933</v>
      </c>
      <c r="V54" s="157">
        <f t="shared" si="154"/>
        <v>20.940170940170933</v>
      </c>
      <c r="W54" s="157">
        <f t="shared" si="154"/>
        <v>20.940170940170933</v>
      </c>
      <c r="X54" s="157">
        <f t="shared" si="154"/>
        <v>20.940170940170937</v>
      </c>
      <c r="Y54" s="157">
        <f t="shared" si="154"/>
        <v>20.94017094017094</v>
      </c>
      <c r="Z54" s="157">
        <f t="shared" si="154"/>
        <v>20.940170940170944</v>
      </c>
      <c r="AA54" s="157">
        <f t="shared" si="154"/>
        <v>20.940170940170947</v>
      </c>
      <c r="AB54" s="157">
        <f t="shared" si="154"/>
        <v>20.940170940170955</v>
      </c>
      <c r="AC54" s="138">
        <f t="shared" si="139"/>
        <v>-8.9831773664137748E-2</v>
      </c>
      <c r="AD54" s="31">
        <f t="shared" si="17"/>
        <v>0.08</v>
      </c>
      <c r="AE54" s="146">
        <f t="shared" si="140"/>
        <v>161.53846153846163</v>
      </c>
    </row>
    <row r="55" spans="2:31" x14ac:dyDescent="0.2">
      <c r="B55" s="20" t="s">
        <v>277</v>
      </c>
      <c r="C55" s="127">
        <f t="shared" ref="C55:P55" si="155">(C7+C15-C10-C9)/C40</f>
        <v>0</v>
      </c>
      <c r="D55" s="127">
        <f t="shared" si="155"/>
        <v>0</v>
      </c>
      <c r="E55" s="127">
        <f t="shared" si="155"/>
        <v>0</v>
      </c>
      <c r="F55" s="144">
        <f t="shared" si="155"/>
        <v>0</v>
      </c>
      <c r="G55" s="144">
        <f t="shared" si="155"/>
        <v>147.97393929763228</v>
      </c>
      <c r="H55" s="144">
        <f t="shared" si="155"/>
        <v>174.36380772855796</v>
      </c>
      <c r="I55" s="144">
        <f t="shared" si="155"/>
        <v>319.76313841598818</v>
      </c>
      <c r="J55" s="144">
        <f t="shared" si="155"/>
        <v>421.77808407994485</v>
      </c>
      <c r="K55" s="144">
        <f t="shared" si="155"/>
        <v>556.40138408304495</v>
      </c>
      <c r="L55" s="144">
        <f t="shared" si="155"/>
        <v>629.75778546712797</v>
      </c>
      <c r="M55" s="144">
        <f t="shared" si="155"/>
        <v>546.70987741299143</v>
      </c>
      <c r="N55" s="144">
        <f t="shared" si="155"/>
        <v>49.929478138222848</v>
      </c>
      <c r="O55" s="144">
        <f t="shared" si="155"/>
        <v>59.401709401709404</v>
      </c>
      <c r="P55" s="144">
        <f t="shared" si="155"/>
        <v>59.401709401709404</v>
      </c>
      <c r="Q55" s="118">
        <f>((P55/G55)^(1/($H$2-$H$1) ))-1</f>
        <v>-9.6439829727488435E-2</v>
      </c>
      <c r="R55" s="128"/>
      <c r="S55" s="157">
        <f t="shared" ref="S55:AB55" si="156">(S7+S15-S10-S9)/S40</f>
        <v>59.401709401709411</v>
      </c>
      <c r="T55" s="157">
        <f t="shared" si="156"/>
        <v>59.401709401709404</v>
      </c>
      <c r="U55" s="157">
        <f t="shared" si="156"/>
        <v>59.401709401709397</v>
      </c>
      <c r="V55" s="157">
        <f t="shared" si="156"/>
        <v>59.401709401709404</v>
      </c>
      <c r="W55" s="157">
        <f t="shared" si="156"/>
        <v>59.401709401709404</v>
      </c>
      <c r="X55" s="157">
        <f t="shared" si="156"/>
        <v>59.401709401709404</v>
      </c>
      <c r="Y55" s="157">
        <f t="shared" si="156"/>
        <v>59.401709401709404</v>
      </c>
      <c r="Z55" s="157">
        <f t="shared" si="156"/>
        <v>59.401709401709418</v>
      </c>
      <c r="AA55" s="157">
        <f t="shared" si="156"/>
        <v>59.401709401709411</v>
      </c>
      <c r="AB55" s="157">
        <f t="shared" si="156"/>
        <v>59.401709401709439</v>
      </c>
      <c r="AC55" s="138">
        <f t="shared" si="139"/>
        <v>-4.6901988311941145E-2</v>
      </c>
      <c r="AD55" s="31">
        <f t="shared" si="17"/>
        <v>0.08</v>
      </c>
      <c r="AE55" s="146">
        <f t="shared" si="140"/>
        <v>458.24175824175853</v>
      </c>
    </row>
    <row r="56" spans="2:31" x14ac:dyDescent="0.2">
      <c r="B56" s="20"/>
      <c r="C56" s="127"/>
      <c r="D56" s="127"/>
      <c r="E56" s="127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28"/>
      <c r="R56" s="128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39"/>
      <c r="AD56" s="137"/>
      <c r="AE56" s="154"/>
    </row>
    <row r="57" spans="2:31" x14ac:dyDescent="0.2">
      <c r="B57" s="20" t="s">
        <v>248</v>
      </c>
      <c r="C57" s="127">
        <f t="shared" ref="C57:P57" si="157">C12/C40</f>
        <v>0</v>
      </c>
      <c r="D57" s="127">
        <f t="shared" si="157"/>
        <v>0</v>
      </c>
      <c r="E57" s="127">
        <f t="shared" si="157"/>
        <v>0</v>
      </c>
      <c r="F57" s="144">
        <f t="shared" si="157"/>
        <v>0</v>
      </c>
      <c r="G57" s="144">
        <f t="shared" si="157"/>
        <v>10.344827586206897</v>
      </c>
      <c r="H57" s="144">
        <f t="shared" si="157"/>
        <v>17.279296261388627</v>
      </c>
      <c r="I57" s="144">
        <f t="shared" si="157"/>
        <v>56.25462620281273</v>
      </c>
      <c r="J57" s="144">
        <f t="shared" si="157"/>
        <v>58.0289455547898</v>
      </c>
      <c r="K57" s="144">
        <f t="shared" si="157"/>
        <v>178.54671280276816</v>
      </c>
      <c r="L57" s="144">
        <f t="shared" si="157"/>
        <v>217.30103806228374</v>
      </c>
      <c r="M57" s="144">
        <f t="shared" si="157"/>
        <v>227.56094124277865</v>
      </c>
      <c r="N57" s="144">
        <f t="shared" si="157"/>
        <v>36.389280677009872</v>
      </c>
      <c r="O57" s="144">
        <f t="shared" si="157"/>
        <v>21.794871794871796</v>
      </c>
      <c r="P57" s="144">
        <f t="shared" si="157"/>
        <v>21.794871794871796</v>
      </c>
      <c r="Q57" s="118">
        <f>((P57/G57)^(1/($H$2-$H$1) ))-1</f>
        <v>8.6323080567614285E-2</v>
      </c>
      <c r="R57" s="128"/>
      <c r="S57" s="157">
        <f t="shared" ref="S57:AB57" si="158">S12/S40</f>
        <v>21.794871794871796</v>
      </c>
      <c r="T57" s="157">
        <f t="shared" si="158"/>
        <v>21.794871794871796</v>
      </c>
      <c r="U57" s="157">
        <f t="shared" si="158"/>
        <v>21.794871794871796</v>
      </c>
      <c r="V57" s="157">
        <f t="shared" si="158"/>
        <v>21.794871794871796</v>
      </c>
      <c r="W57" s="157">
        <f t="shared" si="158"/>
        <v>21.794871794871796</v>
      </c>
      <c r="X57" s="157">
        <f t="shared" si="158"/>
        <v>21.794871794871792</v>
      </c>
      <c r="Y57" s="157">
        <f t="shared" si="158"/>
        <v>21.794871794871792</v>
      </c>
      <c r="Z57" s="157">
        <f t="shared" si="158"/>
        <v>21.794871794871792</v>
      </c>
      <c r="AA57" s="157">
        <f t="shared" si="158"/>
        <v>21.794871794871796</v>
      </c>
      <c r="AB57" s="157">
        <f t="shared" si="158"/>
        <v>21.794871794871796</v>
      </c>
      <c r="AC57" s="138">
        <f t="shared" si="139"/>
        <v>3.9999699427598623E-2</v>
      </c>
      <c r="AD57" s="31">
        <f t="shared" si="17"/>
        <v>0.08</v>
      </c>
      <c r="AE57" s="146">
        <f t="shared" si="140"/>
        <v>168.13186813186812</v>
      </c>
    </row>
    <row r="58" spans="2:31" x14ac:dyDescent="0.2">
      <c r="B58" s="20" t="s">
        <v>255</v>
      </c>
      <c r="C58" s="127">
        <f t="shared" ref="C58:P58" si="159">C13/C40</f>
        <v>0</v>
      </c>
      <c r="D58" s="127">
        <f t="shared" si="159"/>
        <v>0</v>
      </c>
      <c r="E58" s="127">
        <f t="shared" si="159"/>
        <v>0</v>
      </c>
      <c r="F58" s="144">
        <f t="shared" si="159"/>
        <v>0</v>
      </c>
      <c r="G58" s="144">
        <f t="shared" si="159"/>
        <v>88.447481328460199</v>
      </c>
      <c r="H58" s="144">
        <f t="shared" si="159"/>
        <v>104.4612001256676</v>
      </c>
      <c r="I58" s="144">
        <f t="shared" si="159"/>
        <v>59.215396002960773</v>
      </c>
      <c r="J58" s="144">
        <f t="shared" si="159"/>
        <v>134.39007580978634</v>
      </c>
      <c r="K58" s="144">
        <f t="shared" si="159"/>
        <v>153.63321799307957</v>
      </c>
      <c r="L58" s="144">
        <f t="shared" si="159"/>
        <v>146.71280276816609</v>
      </c>
      <c r="M58" s="144">
        <f t="shared" si="159"/>
        <v>36.63519797097365</v>
      </c>
      <c r="N58" s="144">
        <f t="shared" si="159"/>
        <v>2.2355430183356839</v>
      </c>
      <c r="O58" s="144">
        <f t="shared" si="159"/>
        <v>16.381766381766383</v>
      </c>
      <c r="P58" s="144">
        <f t="shared" si="159"/>
        <v>16.381766381766383</v>
      </c>
      <c r="Q58" s="118">
        <f>((P58/G58)^(1/($H$2-$H$1) ))-1</f>
        <v>-0.17085481277091896</v>
      </c>
      <c r="R58" s="128"/>
      <c r="S58" s="157">
        <f t="shared" ref="S58:AB58" si="160">S13/S40</f>
        <v>16.381766381766383</v>
      </c>
      <c r="T58" s="157">
        <f t="shared" si="160"/>
        <v>16.381766381766383</v>
      </c>
      <c r="U58" s="157">
        <f t="shared" si="160"/>
        <v>16.381766381766386</v>
      </c>
      <c r="V58" s="157">
        <f t="shared" si="160"/>
        <v>16.381766381766386</v>
      </c>
      <c r="W58" s="157">
        <f t="shared" si="160"/>
        <v>16.381766381766386</v>
      </c>
      <c r="X58" s="157">
        <f t="shared" si="160"/>
        <v>16.381766381766386</v>
      </c>
      <c r="Y58" s="157">
        <f t="shared" si="160"/>
        <v>16.381766381766386</v>
      </c>
      <c r="Z58" s="157">
        <f t="shared" si="160"/>
        <v>16.381766381766386</v>
      </c>
      <c r="AA58" s="157">
        <f t="shared" si="160"/>
        <v>16.381766381766386</v>
      </c>
      <c r="AB58" s="157">
        <f t="shared" si="160"/>
        <v>16.381766381766386</v>
      </c>
      <c r="AC58" s="138">
        <f t="shared" si="139"/>
        <v>-8.4925206470829462E-2</v>
      </c>
      <c r="AD58" s="31">
        <f t="shared" si="17"/>
        <v>0.08</v>
      </c>
      <c r="AE58" s="146">
        <f t="shared" si="140"/>
        <v>126.37362637362639</v>
      </c>
    </row>
    <row r="59" spans="2:31" x14ac:dyDescent="0.2">
      <c r="B59" s="20" t="s">
        <v>256</v>
      </c>
      <c r="C59" s="127">
        <f>(C57+C58)</f>
        <v>0</v>
      </c>
      <c r="D59" s="127">
        <f t="shared" ref="D59:P59" si="161">(D57+D58)</f>
        <v>0</v>
      </c>
      <c r="E59" s="127">
        <f t="shared" si="161"/>
        <v>0</v>
      </c>
      <c r="F59" s="144">
        <f t="shared" si="161"/>
        <v>0</v>
      </c>
      <c r="G59" s="144">
        <f t="shared" si="161"/>
        <v>98.792308914667103</v>
      </c>
      <c r="H59" s="144">
        <f t="shared" si="161"/>
        <v>121.74049638705623</v>
      </c>
      <c r="I59" s="144">
        <f t="shared" si="161"/>
        <v>115.4700222057735</v>
      </c>
      <c r="J59" s="144">
        <f t="shared" si="161"/>
        <v>192.41902136457614</v>
      </c>
      <c r="K59" s="144">
        <f t="shared" si="161"/>
        <v>332.17993079584772</v>
      </c>
      <c r="L59" s="144">
        <f t="shared" si="161"/>
        <v>364.01384083044979</v>
      </c>
      <c r="M59" s="144">
        <f t="shared" si="161"/>
        <v>264.1961392137523</v>
      </c>
      <c r="N59" s="144">
        <f t="shared" si="161"/>
        <v>38.624823695345555</v>
      </c>
      <c r="O59" s="144">
        <f t="shared" ref="O59" si="162">(O57+O58)</f>
        <v>38.176638176638178</v>
      </c>
      <c r="P59" s="144">
        <f t="shared" si="161"/>
        <v>38.176638176638178</v>
      </c>
      <c r="Q59" s="118">
        <f>((P59/G59)^(1/($H$2-$H$1) ))-1</f>
        <v>-0.10025509917375441</v>
      </c>
      <c r="R59" s="128"/>
      <c r="S59" s="157">
        <f t="shared" ref="S59:AB59" si="163">(S57+S58)</f>
        <v>38.176638176638178</v>
      </c>
      <c r="T59" s="157">
        <f t="shared" si="163"/>
        <v>38.176638176638178</v>
      </c>
      <c r="U59" s="157">
        <f t="shared" si="163"/>
        <v>38.176638176638178</v>
      </c>
      <c r="V59" s="157">
        <f t="shared" si="163"/>
        <v>38.176638176638178</v>
      </c>
      <c r="W59" s="157">
        <f t="shared" si="163"/>
        <v>38.176638176638178</v>
      </c>
      <c r="X59" s="157">
        <f t="shared" si="163"/>
        <v>38.176638176638178</v>
      </c>
      <c r="Y59" s="157">
        <f t="shared" si="163"/>
        <v>38.176638176638178</v>
      </c>
      <c r="Z59" s="157">
        <f t="shared" si="163"/>
        <v>38.176638176638178</v>
      </c>
      <c r="AA59" s="157">
        <f t="shared" si="163"/>
        <v>38.176638176638178</v>
      </c>
      <c r="AB59" s="157">
        <f t="shared" si="163"/>
        <v>38.176638176638178</v>
      </c>
      <c r="AC59" s="138">
        <f t="shared" si="139"/>
        <v>-4.8810425883437758E-2</v>
      </c>
      <c r="AD59" s="31">
        <f t="shared" si="17"/>
        <v>0.08</v>
      </c>
      <c r="AE59" s="146">
        <f t="shared" si="140"/>
        <v>294.50549450549448</v>
      </c>
    </row>
    <row r="60" spans="2:31" x14ac:dyDescent="0.2">
      <c r="B60" s="20" t="s">
        <v>249</v>
      </c>
      <c r="C60" s="127">
        <f t="shared" ref="C60:P60" si="164">C15/C40</f>
        <v>0</v>
      </c>
      <c r="D60" s="127">
        <f t="shared" si="164"/>
        <v>0</v>
      </c>
      <c r="E60" s="127">
        <f t="shared" si="164"/>
        <v>0</v>
      </c>
      <c r="F60" s="144">
        <f t="shared" si="164"/>
        <v>0</v>
      </c>
      <c r="G60" s="144">
        <f t="shared" si="164"/>
        <v>22.755442555220089</v>
      </c>
      <c r="H60" s="144">
        <f t="shared" si="164"/>
        <v>32.987747408105555</v>
      </c>
      <c r="I60" s="144">
        <f t="shared" si="164"/>
        <v>149.51887490747595</v>
      </c>
      <c r="J60" s="144">
        <f t="shared" si="164"/>
        <v>177.80840799448654</v>
      </c>
      <c r="K60" s="144">
        <f t="shared" si="164"/>
        <v>225.60553633217992</v>
      </c>
      <c r="L60" s="144">
        <f t="shared" si="164"/>
        <v>253.28719723183389</v>
      </c>
      <c r="M60" s="144">
        <f t="shared" si="164"/>
        <v>236.71974073552207</v>
      </c>
      <c r="N60" s="144">
        <f t="shared" si="164"/>
        <v>25.669957686882935</v>
      </c>
      <c r="O60" s="144">
        <f t="shared" si="164"/>
        <v>38.461538461538467</v>
      </c>
      <c r="P60" s="144">
        <f t="shared" si="164"/>
        <v>38.461538461538467</v>
      </c>
      <c r="Q60" s="118">
        <f>((P60/G60)^(1/($H$2-$H$1) ))-1</f>
        <v>6.0051142448700467E-2</v>
      </c>
      <c r="R60" s="128"/>
      <c r="S60" s="157">
        <f t="shared" ref="S60:AB60" si="165">S15/S40</f>
        <v>38.461538461538467</v>
      </c>
      <c r="T60" s="157">
        <f t="shared" si="165"/>
        <v>38.46153846153846</v>
      </c>
      <c r="U60" s="157">
        <f t="shared" si="165"/>
        <v>38.461538461538467</v>
      </c>
      <c r="V60" s="157">
        <f t="shared" si="165"/>
        <v>38.461538461538467</v>
      </c>
      <c r="W60" s="157">
        <f t="shared" si="165"/>
        <v>38.461538461538467</v>
      </c>
      <c r="X60" s="157">
        <f t="shared" si="165"/>
        <v>38.461538461538474</v>
      </c>
      <c r="Y60" s="157">
        <f t="shared" si="165"/>
        <v>38.461538461538474</v>
      </c>
      <c r="Z60" s="157">
        <f t="shared" si="165"/>
        <v>38.461538461538467</v>
      </c>
      <c r="AA60" s="157">
        <f t="shared" si="165"/>
        <v>38.461538461538474</v>
      </c>
      <c r="AB60" s="157">
        <f t="shared" si="165"/>
        <v>38.461538461538474</v>
      </c>
      <c r="AC60" s="138">
        <f t="shared" si="139"/>
        <v>2.8008993272931493E-2</v>
      </c>
      <c r="AD60" s="31">
        <f t="shared" si="17"/>
        <v>0.08</v>
      </c>
      <c r="AE60" s="146">
        <f t="shared" si="140"/>
        <v>296.70329670329681</v>
      </c>
    </row>
    <row r="61" spans="2:31" x14ac:dyDescent="0.2">
      <c r="B61" s="20" t="s">
        <v>250</v>
      </c>
      <c r="C61" s="127">
        <f t="shared" ref="C61:P61" si="166">C16/C40</f>
        <v>0</v>
      </c>
      <c r="D61" s="127">
        <f t="shared" si="166"/>
        <v>0</v>
      </c>
      <c r="E61" s="127">
        <f t="shared" si="166"/>
        <v>0</v>
      </c>
      <c r="F61" s="144">
        <f t="shared" si="166"/>
        <v>0</v>
      </c>
      <c r="G61" s="144">
        <f t="shared" si="166"/>
        <v>-10.328936914031464</v>
      </c>
      <c r="H61" s="144">
        <f t="shared" si="166"/>
        <v>1.9478479421928996</v>
      </c>
      <c r="I61" s="144">
        <f t="shared" si="166"/>
        <v>46.928201332346411</v>
      </c>
      <c r="J61" s="144">
        <f t="shared" si="166"/>
        <v>57.463818056512743</v>
      </c>
      <c r="K61" s="144">
        <f t="shared" si="166"/>
        <v>150.86505190311419</v>
      </c>
      <c r="L61" s="144">
        <f t="shared" si="166"/>
        <v>182.69896193771626</v>
      </c>
      <c r="M61" s="144">
        <f t="shared" si="166"/>
        <v>201.49358884035507</v>
      </c>
      <c r="N61" s="144">
        <f t="shared" si="166"/>
        <v>23.977433004231312</v>
      </c>
      <c r="O61" s="144">
        <f t="shared" si="166"/>
        <v>-7.54985754985755</v>
      </c>
      <c r="P61" s="144">
        <f t="shared" si="166"/>
        <v>-7.54985754985755</v>
      </c>
      <c r="Q61" s="118">
        <f>((P61/G61)^(1/($H$2-$H$1) ))-1</f>
        <v>-3.4225123345429265E-2</v>
      </c>
      <c r="R61" s="128"/>
      <c r="S61" s="157">
        <f t="shared" ref="S61:AB61" si="167">S16/S40</f>
        <v>-7.5498575498575509</v>
      </c>
      <c r="T61" s="157">
        <f t="shared" si="167"/>
        <v>-7.54985754985755</v>
      </c>
      <c r="U61" s="157">
        <f t="shared" si="167"/>
        <v>-7.54985754985755</v>
      </c>
      <c r="V61" s="157">
        <f t="shared" si="167"/>
        <v>-7.5498575498575509</v>
      </c>
      <c r="W61" s="157">
        <f t="shared" si="167"/>
        <v>-7.54985754985755</v>
      </c>
      <c r="X61" s="157">
        <f t="shared" si="167"/>
        <v>-7.5498575498575509</v>
      </c>
      <c r="Y61" s="157">
        <f t="shared" si="167"/>
        <v>-7.54985754985755</v>
      </c>
      <c r="Z61" s="157">
        <f t="shared" si="167"/>
        <v>-7.5498575498575509</v>
      </c>
      <c r="AA61" s="157">
        <f t="shared" si="167"/>
        <v>-7.54985754985755</v>
      </c>
      <c r="AB61" s="157">
        <f t="shared" si="167"/>
        <v>-7.54985754985755</v>
      </c>
      <c r="AC61" s="138">
        <f t="shared" si="139"/>
        <v>-1.6360513655725772E-2</v>
      </c>
      <c r="AD61" s="137"/>
      <c r="AE61" s="146">
        <f t="shared" si="140"/>
        <v>-34.317534317534317</v>
      </c>
    </row>
    <row r="62" spans="2:31" x14ac:dyDescent="0.2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39"/>
      <c r="AD62" s="31">
        <f t="shared" si="17"/>
        <v>0.08</v>
      </c>
      <c r="AE62" s="146">
        <f t="shared" si="140"/>
        <v>0</v>
      </c>
    </row>
    <row r="63" spans="2:31" x14ac:dyDescent="0.2">
      <c r="B63" s="20" t="s">
        <v>283</v>
      </c>
      <c r="C63" s="159">
        <f>C41</f>
        <v>0</v>
      </c>
      <c r="D63" s="159">
        <f t="shared" ref="D63:P63" si="168">D41</f>
        <v>0</v>
      </c>
      <c r="E63" s="159">
        <f t="shared" si="168"/>
        <v>0</v>
      </c>
      <c r="F63" s="159">
        <f t="shared" si="168"/>
        <v>0</v>
      </c>
      <c r="G63" s="159">
        <f t="shared" si="168"/>
        <v>10</v>
      </c>
      <c r="H63" s="159">
        <f t="shared" si="168"/>
        <v>12.5</v>
      </c>
      <c r="I63" s="159">
        <f t="shared" si="168"/>
        <v>25</v>
      </c>
      <c r="J63" s="159">
        <f t="shared" si="168"/>
        <v>25</v>
      </c>
      <c r="K63" s="159">
        <f t="shared" si="168"/>
        <v>70</v>
      </c>
      <c r="L63" s="159">
        <f t="shared" si="168"/>
        <v>100</v>
      </c>
      <c r="M63" s="159">
        <f t="shared" si="168"/>
        <v>200</v>
      </c>
      <c r="N63" s="159">
        <f t="shared" si="168"/>
        <v>11</v>
      </c>
      <c r="O63" s="159">
        <f t="shared" si="168"/>
        <v>16</v>
      </c>
      <c r="P63" s="159">
        <f t="shared" si="168"/>
        <v>16</v>
      </c>
      <c r="Q63" s="118">
        <f>((P63/G63)^(1/($H$2-$H$1) ))-1</f>
        <v>5.3610276890664554E-2</v>
      </c>
      <c r="R63" s="128"/>
      <c r="S63" s="159">
        <f t="shared" ref="S63:AB63" si="169">S41</f>
        <v>16.8</v>
      </c>
      <c r="T63" s="159">
        <f t="shared" si="169"/>
        <v>17.64</v>
      </c>
      <c r="U63" s="159">
        <f t="shared" si="169"/>
        <v>18.522000000000002</v>
      </c>
      <c r="V63" s="159">
        <f t="shared" si="169"/>
        <v>19.448100000000004</v>
      </c>
      <c r="W63" s="159">
        <f t="shared" si="169"/>
        <v>20.420505000000006</v>
      </c>
      <c r="X63" s="159">
        <f t="shared" si="169"/>
        <v>21.441530250000007</v>
      </c>
      <c r="Y63" s="159">
        <f t="shared" si="169"/>
        <v>22.513606762500007</v>
      </c>
      <c r="Z63" s="159">
        <f t="shared" si="169"/>
        <v>23.639287100625008</v>
      </c>
      <c r="AA63" s="159">
        <f t="shared" si="169"/>
        <v>24.82125145565626</v>
      </c>
      <c r="AB63" s="159">
        <f t="shared" si="169"/>
        <v>26.062314028439072</v>
      </c>
      <c r="AC63" s="138">
        <f t="shared" ref="AC63" si="170">((AB63/G63)^(1/($AB$3-$H$1) ))-1</f>
        <v>5.1708586479565666E-2</v>
      </c>
      <c r="AD63" s="31">
        <f t="shared" si="17"/>
        <v>0.08</v>
      </c>
      <c r="AE63" s="146">
        <f t="shared" si="140"/>
        <v>201.05213679081569</v>
      </c>
    </row>
    <row r="64" spans="2:31" x14ac:dyDescent="0.2">
      <c r="B64" s="20"/>
      <c r="C64" s="127"/>
      <c r="D64" s="127"/>
      <c r="E64" s="12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28"/>
      <c r="R64" s="128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39"/>
      <c r="AD64" s="137"/>
      <c r="AE64" s="154"/>
    </row>
    <row r="65" spans="2:31" x14ac:dyDescent="0.2">
      <c r="B65" s="20" t="s">
        <v>316</v>
      </c>
      <c r="C65" s="127">
        <f t="shared" ref="C65:P65" si="171">C20+C21</f>
        <v>0</v>
      </c>
      <c r="D65" s="127">
        <f t="shared" si="171"/>
        <v>0</v>
      </c>
      <c r="E65" s="127">
        <f t="shared" si="171"/>
        <v>0</v>
      </c>
      <c r="F65" s="144">
        <f t="shared" si="171"/>
        <v>0</v>
      </c>
      <c r="G65" s="144">
        <f t="shared" si="171"/>
        <v>6.3999999999999986</v>
      </c>
      <c r="H65" s="144">
        <f t="shared" si="171"/>
        <v>10</v>
      </c>
      <c r="I65" s="144">
        <f t="shared" si="171"/>
        <v>-7</v>
      </c>
      <c r="J65" s="144">
        <f t="shared" si="171"/>
        <v>1</v>
      </c>
      <c r="K65" s="144">
        <f t="shared" si="171"/>
        <v>48</v>
      </c>
      <c r="L65" s="144">
        <f t="shared" si="171"/>
        <v>147</v>
      </c>
      <c r="M65" s="144">
        <f t="shared" si="171"/>
        <v>239</v>
      </c>
      <c r="N65" s="144">
        <f t="shared" si="171"/>
        <v>193</v>
      </c>
      <c r="O65" s="144">
        <f t="shared" si="171"/>
        <v>83</v>
      </c>
      <c r="P65" s="144">
        <f t="shared" si="171"/>
        <v>83</v>
      </c>
      <c r="Q65" s="118">
        <f>((P65/G65)^(1/($H$2-$H$1) ))-1</f>
        <v>0.32939899612654999</v>
      </c>
      <c r="R65" s="128"/>
      <c r="S65" s="144">
        <f t="shared" ref="S65:AB65" si="172">S20+S21</f>
        <v>92.960000000000022</v>
      </c>
      <c r="T65" s="144">
        <f t="shared" si="172"/>
        <v>104.11520000000004</v>
      </c>
      <c r="U65" s="144">
        <f t="shared" si="172"/>
        <v>116.60902400000006</v>
      </c>
      <c r="V65" s="144">
        <f t="shared" si="172"/>
        <v>130.60210688000006</v>
      </c>
      <c r="W65" s="144">
        <f t="shared" si="172"/>
        <v>146.27435970560015</v>
      </c>
      <c r="X65" s="144">
        <f t="shared" si="172"/>
        <v>163.82728287027214</v>
      </c>
      <c r="Y65" s="144">
        <f t="shared" si="172"/>
        <v>183.48655681470484</v>
      </c>
      <c r="Z65" s="144">
        <f t="shared" si="172"/>
        <v>205.50494363246946</v>
      </c>
      <c r="AA65" s="144">
        <f t="shared" si="172"/>
        <v>230.16553686836585</v>
      </c>
      <c r="AB65" s="144">
        <f t="shared" si="172"/>
        <v>257.78540129256976</v>
      </c>
      <c r="AC65" s="138">
        <f t="shared" ref="AC65:AC70" si="173">((AB65/G65)^(1/($AB$3-$H$1) ))-1</f>
        <v>0.21472454669741303</v>
      </c>
      <c r="AD65" s="31">
        <f t="shared" si="17"/>
        <v>0.08</v>
      </c>
      <c r="AE65" s="146">
        <f t="shared" si="140"/>
        <v>1988.6302385426809</v>
      </c>
    </row>
    <row r="66" spans="2:31" x14ac:dyDescent="0.2">
      <c r="B66" s="20"/>
      <c r="C66" s="127"/>
      <c r="D66" s="127"/>
      <c r="E66" s="127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28"/>
      <c r="R66" s="128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39"/>
      <c r="AD66" s="137"/>
      <c r="AE66" s="146"/>
    </row>
    <row r="67" spans="2:31" x14ac:dyDescent="0.2">
      <c r="B67" s="20" t="s">
        <v>317</v>
      </c>
      <c r="C67" s="127">
        <f t="shared" ref="C67:P67" si="174">C65/C40</f>
        <v>0</v>
      </c>
      <c r="D67" s="127">
        <f t="shared" si="174"/>
        <v>0</v>
      </c>
      <c r="E67" s="127">
        <f t="shared" si="174"/>
        <v>0</v>
      </c>
      <c r="F67" s="144">
        <f t="shared" si="174"/>
        <v>0</v>
      </c>
      <c r="G67" s="144">
        <f t="shared" si="174"/>
        <v>10.170030192277132</v>
      </c>
      <c r="H67" s="144">
        <f t="shared" si="174"/>
        <v>15.708451146716932</v>
      </c>
      <c r="I67" s="144">
        <f t="shared" si="174"/>
        <v>-10.362694300518134</v>
      </c>
      <c r="J67" s="144">
        <f t="shared" si="174"/>
        <v>1.3783597518952446</v>
      </c>
      <c r="K67" s="144">
        <f t="shared" si="174"/>
        <v>66.435986159169545</v>
      </c>
      <c r="L67" s="144">
        <f t="shared" si="174"/>
        <v>203.46020761245674</v>
      </c>
      <c r="M67" s="144">
        <f t="shared" si="174"/>
        <v>336.76201211779625</v>
      </c>
      <c r="N67" s="144">
        <f t="shared" si="174"/>
        <v>27.221438645980253</v>
      </c>
      <c r="O67" s="144">
        <f t="shared" si="174"/>
        <v>11.823361823361823</v>
      </c>
      <c r="P67" s="144">
        <f t="shared" si="174"/>
        <v>11.823361823361823</v>
      </c>
      <c r="Q67" s="118">
        <f>((P67/G67)^(1/($H$2-$H$1) ))-1</f>
        <v>1.6877759127233549E-2</v>
      </c>
      <c r="R67" s="128"/>
      <c r="S67" s="146">
        <f t="shared" ref="S67:AB67" si="175">S65/S40</f>
        <v>11.823361823361827</v>
      </c>
      <c r="T67" s="146">
        <f t="shared" si="175"/>
        <v>11.823361823361827</v>
      </c>
      <c r="U67" s="146">
        <f t="shared" si="175"/>
        <v>11.823361823361827</v>
      </c>
      <c r="V67" s="146">
        <f t="shared" si="175"/>
        <v>11.823361823361827</v>
      </c>
      <c r="W67" s="146">
        <f t="shared" si="175"/>
        <v>11.823361823361831</v>
      </c>
      <c r="X67" s="146">
        <f t="shared" si="175"/>
        <v>11.823361823361829</v>
      </c>
      <c r="Y67" s="146">
        <f t="shared" si="175"/>
        <v>11.823361823361831</v>
      </c>
      <c r="Z67" s="146">
        <f t="shared" si="175"/>
        <v>11.823361823361832</v>
      </c>
      <c r="AA67" s="146">
        <f t="shared" si="175"/>
        <v>11.823361823361834</v>
      </c>
      <c r="AB67" s="146">
        <f t="shared" si="175"/>
        <v>11.823361823361834</v>
      </c>
      <c r="AC67" s="138">
        <f t="shared" si="173"/>
        <v>7.9595209975587E-3</v>
      </c>
      <c r="AD67" s="31">
        <f t="shared" si="17"/>
        <v>0.08</v>
      </c>
      <c r="AE67" s="146">
        <f t="shared" si="140"/>
        <v>91.208791208791297</v>
      </c>
    </row>
    <row r="68" spans="2:31" x14ac:dyDescent="0.2">
      <c r="B68" s="20" t="s">
        <v>288</v>
      </c>
      <c r="C68" s="127">
        <f t="shared" ref="C68:P68" si="176">C20/C40</f>
        <v>0</v>
      </c>
      <c r="D68" s="127">
        <f t="shared" si="176"/>
        <v>0</v>
      </c>
      <c r="E68" s="127">
        <f t="shared" si="176"/>
        <v>0</v>
      </c>
      <c r="F68" s="144">
        <f t="shared" si="176"/>
        <v>0</v>
      </c>
      <c r="G68" s="144">
        <f t="shared" si="176"/>
        <v>37.184172890513267</v>
      </c>
      <c r="H68" s="144">
        <f t="shared" si="176"/>
        <v>32.987747408105555</v>
      </c>
      <c r="I68" s="144">
        <f t="shared" si="176"/>
        <v>37.00962250185048</v>
      </c>
      <c r="J68" s="144">
        <f t="shared" si="176"/>
        <v>73.053066850447962</v>
      </c>
      <c r="K68" s="144">
        <f t="shared" si="176"/>
        <v>189.61937716262975</v>
      </c>
      <c r="L68" s="144">
        <f t="shared" si="176"/>
        <v>243.598615916955</v>
      </c>
      <c r="M68" s="144">
        <f t="shared" si="176"/>
        <v>190.22122023390165</v>
      </c>
      <c r="N68" s="144">
        <f t="shared" si="176"/>
        <v>33.568406205923836</v>
      </c>
      <c r="O68" s="144">
        <f t="shared" si="176"/>
        <v>21.225071225071225</v>
      </c>
      <c r="P68" s="144">
        <f t="shared" si="176"/>
        <v>21.225071225071225</v>
      </c>
      <c r="Q68" s="118">
        <f>((P68/G68)^(1/($H$2-$H$1) ))-1</f>
        <v>-6.0399048615759954E-2</v>
      </c>
      <c r="R68" s="128"/>
      <c r="S68" s="146">
        <f t="shared" ref="S68:AB68" si="177">S20/S40</f>
        <v>21.225071225071229</v>
      </c>
      <c r="T68" s="146">
        <f t="shared" si="177"/>
        <v>21.225071225071229</v>
      </c>
      <c r="U68" s="146">
        <f t="shared" si="177"/>
        <v>21.225071225071229</v>
      </c>
      <c r="V68" s="146">
        <f t="shared" si="177"/>
        <v>21.225071225071229</v>
      </c>
      <c r="W68" s="146">
        <f t="shared" si="177"/>
        <v>21.225071225071233</v>
      </c>
      <c r="X68" s="146">
        <f t="shared" si="177"/>
        <v>21.225071225071233</v>
      </c>
      <c r="Y68" s="146">
        <f t="shared" si="177"/>
        <v>21.225071225071233</v>
      </c>
      <c r="Z68" s="146">
        <f t="shared" si="177"/>
        <v>21.225071225071233</v>
      </c>
      <c r="AA68" s="146">
        <f t="shared" si="177"/>
        <v>21.225071225071236</v>
      </c>
      <c r="AB68" s="146">
        <f t="shared" si="177"/>
        <v>21.225071225071236</v>
      </c>
      <c r="AC68" s="138">
        <f t="shared" si="173"/>
        <v>-2.9079348910630021E-2</v>
      </c>
      <c r="AD68" s="31">
        <f t="shared" si="17"/>
        <v>0.08</v>
      </c>
      <c r="AE68" s="146">
        <f t="shared" si="140"/>
        <v>163.73626373626382</v>
      </c>
    </row>
    <row r="69" spans="2:31" x14ac:dyDescent="0.2">
      <c r="B69" s="20" t="s">
        <v>289</v>
      </c>
      <c r="C69" s="127">
        <f t="shared" ref="C69:P69" si="178">C21/C40</f>
        <v>0</v>
      </c>
      <c r="D69" s="127">
        <f t="shared" si="178"/>
        <v>0</v>
      </c>
      <c r="E69" s="127">
        <f t="shared" si="178"/>
        <v>0</v>
      </c>
      <c r="F69" s="144">
        <f t="shared" si="178"/>
        <v>0</v>
      </c>
      <c r="G69" s="144">
        <f t="shared" si="178"/>
        <v>-27.014142698236135</v>
      </c>
      <c r="H69" s="144">
        <f t="shared" si="178"/>
        <v>-17.279296261388627</v>
      </c>
      <c r="I69" s="144">
        <f t="shared" si="178"/>
        <v>-47.372316802368616</v>
      </c>
      <c r="J69" s="144">
        <f t="shared" si="178"/>
        <v>-71.674707098552716</v>
      </c>
      <c r="K69" s="144">
        <f t="shared" si="178"/>
        <v>-123.1833910034602</v>
      </c>
      <c r="L69" s="144">
        <f t="shared" si="178"/>
        <v>-40.13840830449827</v>
      </c>
      <c r="M69" s="144">
        <f t="shared" si="178"/>
        <v>146.5407918838946</v>
      </c>
      <c r="N69" s="144">
        <f t="shared" si="178"/>
        <v>-6.3469675599435824</v>
      </c>
      <c r="O69" s="144">
        <f t="shared" si="178"/>
        <v>-9.4017094017094021</v>
      </c>
      <c r="P69" s="144">
        <f t="shared" si="178"/>
        <v>-9.4017094017094021</v>
      </c>
      <c r="Q69" s="118">
        <f>((P69/G69)^(1/($H$2-$H$1) ))-1</f>
        <v>-0.11065881707801628</v>
      </c>
      <c r="R69" s="128"/>
      <c r="S69" s="146">
        <f t="shared" ref="S69:AB69" si="179">S21/S40</f>
        <v>-9.4017094017094021</v>
      </c>
      <c r="T69" s="146">
        <f t="shared" si="179"/>
        <v>-9.4017094017094003</v>
      </c>
      <c r="U69" s="146">
        <f t="shared" si="179"/>
        <v>-9.4017094017094021</v>
      </c>
      <c r="V69" s="146">
        <f t="shared" si="179"/>
        <v>-9.4017094017094021</v>
      </c>
      <c r="W69" s="146">
        <f t="shared" si="179"/>
        <v>-9.4017094017094021</v>
      </c>
      <c r="X69" s="146">
        <f t="shared" si="179"/>
        <v>-9.4017094017094021</v>
      </c>
      <c r="Y69" s="146">
        <f t="shared" si="179"/>
        <v>-9.4017094017094021</v>
      </c>
      <c r="Z69" s="146">
        <f t="shared" si="179"/>
        <v>-9.4017094017094021</v>
      </c>
      <c r="AA69" s="146">
        <f t="shared" si="179"/>
        <v>-9.4017094017094021</v>
      </c>
      <c r="AB69" s="146">
        <f t="shared" si="179"/>
        <v>-9.4017094017094021</v>
      </c>
      <c r="AC69" s="138">
        <f t="shared" si="173"/>
        <v>-5.4036222136533585E-2</v>
      </c>
      <c r="AD69" s="31">
        <f t="shared" si="17"/>
        <v>0.08</v>
      </c>
      <c r="AE69" s="146">
        <f t="shared" si="140"/>
        <v>-72.527472527472526</v>
      </c>
    </row>
    <row r="70" spans="2:31" x14ac:dyDescent="0.2">
      <c r="B70" s="20" t="s">
        <v>290</v>
      </c>
      <c r="C70" s="127">
        <f t="shared" ref="C70:P70" si="180">C22/C40</f>
        <v>0</v>
      </c>
      <c r="D70" s="127">
        <f t="shared" si="180"/>
        <v>0</v>
      </c>
      <c r="E70" s="127">
        <f t="shared" si="180"/>
        <v>0</v>
      </c>
      <c r="F70" s="144">
        <f t="shared" si="180"/>
        <v>0</v>
      </c>
      <c r="G70" s="144">
        <f t="shared" si="180"/>
        <v>-8.6127443190846975</v>
      </c>
      <c r="H70" s="144">
        <f t="shared" si="180"/>
        <v>-7.9170593779453338</v>
      </c>
      <c r="I70" s="144">
        <f t="shared" si="180"/>
        <v>1.0362694300518134</v>
      </c>
      <c r="J70" s="144">
        <f t="shared" si="180"/>
        <v>0.38594073053066852</v>
      </c>
      <c r="K70" s="144">
        <f t="shared" si="180"/>
        <v>-63.667820069204147</v>
      </c>
      <c r="L70" s="144">
        <f t="shared" si="180"/>
        <v>-130.10380622837368</v>
      </c>
      <c r="M70" s="144">
        <f t="shared" si="180"/>
        <v>-390.30576299845006</v>
      </c>
      <c r="N70" s="144">
        <f t="shared" si="180"/>
        <v>-23.1311706629055</v>
      </c>
      <c r="O70" s="144">
        <f t="shared" si="180"/>
        <v>-15.66951566951567</v>
      </c>
      <c r="P70" s="144">
        <f t="shared" si="180"/>
        <v>-15.66951566951567</v>
      </c>
      <c r="Q70" s="118">
        <f>((P70/G70)^(1/($H$2-$H$1) ))-1</f>
        <v>6.8757893630734923E-2</v>
      </c>
      <c r="R70" s="128"/>
      <c r="S70" s="146">
        <f t="shared" ref="S70:AB70" si="181">S22/S40</f>
        <v>-15.669515669515672</v>
      </c>
      <c r="T70" s="146">
        <f t="shared" si="181"/>
        <v>-15.669515669515672</v>
      </c>
      <c r="U70" s="146">
        <f t="shared" si="181"/>
        <v>-15.669515669515672</v>
      </c>
      <c r="V70" s="146">
        <f t="shared" si="181"/>
        <v>-15.669515669515674</v>
      </c>
      <c r="W70" s="146">
        <f t="shared" si="181"/>
        <v>-15.669515669515672</v>
      </c>
      <c r="X70" s="146">
        <f t="shared" si="181"/>
        <v>-15.669515669515672</v>
      </c>
      <c r="Y70" s="146">
        <f t="shared" si="181"/>
        <v>-15.669515669515672</v>
      </c>
      <c r="Z70" s="146">
        <f t="shared" si="181"/>
        <v>-15.669515669515672</v>
      </c>
      <c r="AA70" s="146">
        <f t="shared" si="181"/>
        <v>-15.66951566951567</v>
      </c>
      <c r="AB70" s="146">
        <f t="shared" si="181"/>
        <v>-15.669515669515674</v>
      </c>
      <c r="AC70" s="138">
        <f t="shared" si="173"/>
        <v>3.1999971197741006E-2</v>
      </c>
      <c r="AD70" s="31">
        <f t="shared" si="17"/>
        <v>0.08</v>
      </c>
      <c r="AE70" s="146">
        <f t="shared" si="140"/>
        <v>-120.87912087912089</v>
      </c>
    </row>
    <row r="71" spans="2:31" x14ac:dyDescent="0.2">
      <c r="B71" s="20" t="s">
        <v>297</v>
      </c>
      <c r="C71" s="127">
        <f t="shared" ref="C71:P71" si="182">C23/C40</f>
        <v>0</v>
      </c>
      <c r="D71" s="127">
        <f t="shared" si="182"/>
        <v>0</v>
      </c>
      <c r="E71" s="127">
        <f t="shared" si="182"/>
        <v>0</v>
      </c>
      <c r="F71" s="144">
        <f t="shared" si="182"/>
        <v>0</v>
      </c>
      <c r="G71" s="144">
        <f t="shared" si="182"/>
        <v>10.328936914031464</v>
      </c>
      <c r="H71" s="144">
        <f t="shared" si="182"/>
        <v>17.907634307257304</v>
      </c>
      <c r="I71" s="144">
        <f t="shared" si="182"/>
        <v>7.7720207253886011</v>
      </c>
      <c r="J71" s="144">
        <f t="shared" si="182"/>
        <v>13.02549965541006</v>
      </c>
      <c r="K71" s="144">
        <f t="shared" si="182"/>
        <v>26.297577854671278</v>
      </c>
      <c r="L71" s="144">
        <f t="shared" si="182"/>
        <v>101.03806228373702</v>
      </c>
      <c r="M71" s="144">
        <f t="shared" si="182"/>
        <v>47.907566577427083</v>
      </c>
      <c r="N71" s="144">
        <f t="shared" si="182"/>
        <v>9.0267983074753175</v>
      </c>
      <c r="O71" s="144">
        <f t="shared" si="182"/>
        <v>5.1282051282051286</v>
      </c>
      <c r="P71" s="144">
        <f t="shared" si="182"/>
        <v>5.1282051282051286</v>
      </c>
      <c r="Q71" s="118">
        <f>((P71/G71)^(1/($H$2-$H$1) ))-1</f>
        <v>-7.4849908805158183E-2</v>
      </c>
      <c r="R71" s="128"/>
      <c r="S71" s="146">
        <f t="shared" ref="S71:AB71" si="183">S23/S40</f>
        <v>5.1282051282051295</v>
      </c>
      <c r="T71" s="146">
        <f t="shared" si="183"/>
        <v>5.1282051282051295</v>
      </c>
      <c r="U71" s="146">
        <f t="shared" si="183"/>
        <v>5.1282051282051295</v>
      </c>
      <c r="V71" s="146">
        <f t="shared" si="183"/>
        <v>5.1282051282051295</v>
      </c>
      <c r="W71" s="146">
        <f t="shared" si="183"/>
        <v>5.1282051282051295</v>
      </c>
      <c r="X71" s="146">
        <f t="shared" si="183"/>
        <v>5.1282051282051304</v>
      </c>
      <c r="Y71" s="146">
        <f t="shared" si="183"/>
        <v>5.1282051282051295</v>
      </c>
      <c r="Z71" s="146">
        <f t="shared" si="183"/>
        <v>5.1282051282051295</v>
      </c>
      <c r="AA71" s="146">
        <f t="shared" si="183"/>
        <v>5.1282051282051304</v>
      </c>
      <c r="AB71" s="146">
        <f t="shared" si="183"/>
        <v>5.1282051282051304</v>
      </c>
      <c r="AC71" s="138">
        <f t="shared" ref="AC71" si="184">((AB71/G71)^(1/($AB$3-$H$1) ))-1</f>
        <v>-3.6181516380373258E-2</v>
      </c>
      <c r="AD71" s="31">
        <f t="shared" si="17"/>
        <v>0.08</v>
      </c>
      <c r="AE71" s="146">
        <f t="shared" si="140"/>
        <v>39.560439560439576</v>
      </c>
    </row>
    <row r="72" spans="2:31" x14ac:dyDescent="0.2">
      <c r="B72" s="20"/>
      <c r="C72" s="127"/>
      <c r="D72" s="127"/>
      <c r="E72" s="127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28"/>
      <c r="R72" s="128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39"/>
      <c r="AD72" s="137"/>
      <c r="AE72" s="154"/>
    </row>
    <row r="73" spans="2:31" x14ac:dyDescent="0.2">
      <c r="B73" s="20" t="s">
        <v>311</v>
      </c>
      <c r="C73" s="144">
        <f t="shared" ref="C73:P73" si="185">C36/C40</f>
        <v>0</v>
      </c>
      <c r="D73" s="144">
        <f t="shared" si="185"/>
        <v>0</v>
      </c>
      <c r="E73" s="144">
        <f t="shared" si="185"/>
        <v>0</v>
      </c>
      <c r="F73" s="144">
        <f t="shared" si="185"/>
        <v>0</v>
      </c>
      <c r="G73" s="144">
        <f t="shared" si="185"/>
        <v>49.467662482122996</v>
      </c>
      <c r="H73" s="144">
        <f t="shared" si="185"/>
        <v>60.069117185045549</v>
      </c>
      <c r="I73" s="144">
        <f t="shared" si="185"/>
        <v>116.35825314581791</v>
      </c>
      <c r="J73" s="144">
        <f t="shared" si="185"/>
        <v>165.40317022742934</v>
      </c>
      <c r="K73" s="144">
        <f t="shared" si="185"/>
        <v>249.82698961937714</v>
      </c>
      <c r="L73" s="144">
        <f t="shared" si="185"/>
        <v>271.28027681660899</v>
      </c>
      <c r="M73" s="144">
        <f t="shared" si="185"/>
        <v>297.30872199520923</v>
      </c>
      <c r="N73" s="144">
        <f t="shared" si="185"/>
        <v>35.401974612129763</v>
      </c>
      <c r="O73" s="144">
        <f t="shared" si="185"/>
        <v>46.652421652421658</v>
      </c>
      <c r="P73" s="144">
        <f t="shared" si="185"/>
        <v>46.652421652421658</v>
      </c>
      <c r="Q73" s="118">
        <f>((P73/G73)^(1/($H$2-$H$1) ))-1</f>
        <v>-6.4893344942624775E-3</v>
      </c>
      <c r="R73" s="128"/>
      <c r="S73" s="144">
        <f t="shared" ref="S73:AB73" si="186">S36/S40</f>
        <v>46.652421652421651</v>
      </c>
      <c r="T73" s="144">
        <f t="shared" si="186"/>
        <v>46.652421652421651</v>
      </c>
      <c r="U73" s="144">
        <f t="shared" si="186"/>
        <v>46.652421652421651</v>
      </c>
      <c r="V73" s="144">
        <f t="shared" si="186"/>
        <v>46.652421652421644</v>
      </c>
      <c r="W73" s="144">
        <f t="shared" si="186"/>
        <v>46.652421652421651</v>
      </c>
      <c r="X73" s="144">
        <f t="shared" si="186"/>
        <v>46.652421652421644</v>
      </c>
      <c r="Y73" s="144">
        <f t="shared" si="186"/>
        <v>46.652421652421644</v>
      </c>
      <c r="Z73" s="144">
        <f t="shared" si="186"/>
        <v>46.652421652421644</v>
      </c>
      <c r="AA73" s="144">
        <f t="shared" si="186"/>
        <v>46.652421652421644</v>
      </c>
      <c r="AB73" s="144">
        <f t="shared" si="186"/>
        <v>46.652421652421644</v>
      </c>
      <c r="AC73" s="138">
        <f t="shared" ref="AC73:AC75" si="187">((AB73/G73)^(1/($AB$3-$H$1) ))-1</f>
        <v>-3.0791620405681286E-3</v>
      </c>
      <c r="AD73" s="31">
        <f t="shared" si="17"/>
        <v>0.08</v>
      </c>
      <c r="AE73" s="146">
        <f t="shared" si="140"/>
        <v>359.89010989010984</v>
      </c>
    </row>
    <row r="74" spans="2:31" x14ac:dyDescent="0.2">
      <c r="B74" s="20" t="s">
        <v>312</v>
      </c>
      <c r="C74" s="144">
        <f t="shared" ref="C74:P74" si="188">C38/C40</f>
        <v>0</v>
      </c>
      <c r="D74" s="144">
        <f t="shared" si="188"/>
        <v>0</v>
      </c>
      <c r="E74" s="144">
        <f t="shared" si="188"/>
        <v>0</v>
      </c>
      <c r="F74" s="144">
        <f t="shared" si="188"/>
        <v>0</v>
      </c>
      <c r="G74" s="144">
        <f t="shared" si="188"/>
        <v>28.507865882726843</v>
      </c>
      <c r="H74" s="144">
        <f t="shared" si="188"/>
        <v>34.558592522777253</v>
      </c>
      <c r="I74" s="144">
        <f t="shared" si="188"/>
        <v>90.89563286454478</v>
      </c>
      <c r="J74" s="144">
        <f t="shared" si="188"/>
        <v>115.78221915920055</v>
      </c>
      <c r="K74" s="144">
        <f t="shared" si="188"/>
        <v>194.46366782006919</v>
      </c>
      <c r="L74" s="144">
        <f t="shared" si="188"/>
        <v>222.83737024221452</v>
      </c>
      <c r="M74" s="144">
        <f t="shared" si="188"/>
        <v>288.85444554036917</v>
      </c>
      <c r="N74" s="144">
        <f t="shared" si="188"/>
        <v>29.055007052186177</v>
      </c>
      <c r="O74" s="144">
        <f t="shared" si="188"/>
        <v>31.33903133903134</v>
      </c>
      <c r="P74" s="144">
        <f t="shared" si="188"/>
        <v>31.33903133903134</v>
      </c>
      <c r="Q74" s="118">
        <f>((P74/G74)^(1/($H$2-$H$1) ))-1</f>
        <v>1.0576010701646377E-2</v>
      </c>
      <c r="R74" s="128"/>
      <c r="S74" s="144">
        <f t="shared" ref="S74:AB74" si="189">S38/S40</f>
        <v>31.339031339031344</v>
      </c>
      <c r="T74" s="144">
        <f t="shared" si="189"/>
        <v>31.339031339031344</v>
      </c>
      <c r="U74" s="144">
        <f t="shared" si="189"/>
        <v>31.339031339031344</v>
      </c>
      <c r="V74" s="144">
        <f t="shared" si="189"/>
        <v>31.339031339031347</v>
      </c>
      <c r="W74" s="144">
        <f t="shared" si="189"/>
        <v>31.339031339031344</v>
      </c>
      <c r="X74" s="144">
        <f t="shared" si="189"/>
        <v>31.339031339031344</v>
      </c>
      <c r="Y74" s="144">
        <f t="shared" si="189"/>
        <v>31.339031339031344</v>
      </c>
      <c r="Z74" s="144">
        <f t="shared" si="189"/>
        <v>31.339031339031344</v>
      </c>
      <c r="AA74" s="144">
        <f t="shared" si="189"/>
        <v>31.33903133903134</v>
      </c>
      <c r="AB74" s="144">
        <f t="shared" si="189"/>
        <v>31.339031339031347</v>
      </c>
      <c r="AC74" s="138">
        <f t="shared" si="187"/>
        <v>4.9958210348792775E-3</v>
      </c>
      <c r="AD74" s="31">
        <f t="shared" si="17"/>
        <v>0.08</v>
      </c>
      <c r="AE74" s="146">
        <f t="shared" si="140"/>
        <v>241.75824175824178</v>
      </c>
    </row>
    <row r="75" spans="2:31" x14ac:dyDescent="0.2">
      <c r="B75" s="20" t="s">
        <v>313</v>
      </c>
      <c r="C75" s="144">
        <f t="shared" ref="C75:P75" si="190">C6/C40</f>
        <v>0</v>
      </c>
      <c r="D75" s="144">
        <f t="shared" si="190"/>
        <v>0</v>
      </c>
      <c r="E75" s="144">
        <f t="shared" si="190"/>
        <v>0</v>
      </c>
      <c r="F75" s="144">
        <f t="shared" si="190"/>
        <v>0</v>
      </c>
      <c r="G75" s="144">
        <f t="shared" si="190"/>
        <v>141.42698236135388</v>
      </c>
      <c r="H75" s="144">
        <f t="shared" si="190"/>
        <v>163.3678919258561</v>
      </c>
      <c r="I75" s="144">
        <f t="shared" si="190"/>
        <v>269.43005181347149</v>
      </c>
      <c r="J75" s="144">
        <f t="shared" si="190"/>
        <v>372.15713301171604</v>
      </c>
      <c r="K75" s="144">
        <f t="shared" si="190"/>
        <v>484.42906574394459</v>
      </c>
      <c r="L75" s="144">
        <f t="shared" si="190"/>
        <v>589.61937716262969</v>
      </c>
      <c r="M75" s="144">
        <f t="shared" si="190"/>
        <v>545.30083133718472</v>
      </c>
      <c r="N75" s="144">
        <f t="shared" si="190"/>
        <v>57.263751763046542</v>
      </c>
      <c r="O75" s="144">
        <f t="shared" si="190"/>
        <v>74.358974358974365</v>
      </c>
      <c r="P75" s="144">
        <f t="shared" si="190"/>
        <v>74.358974358974365</v>
      </c>
      <c r="Q75" s="118">
        <f>((P75/G75)^(1/($H$2-$H$1) ))-1</f>
        <v>-6.8939500929324216E-2</v>
      </c>
      <c r="R75" s="128"/>
      <c r="S75" s="144">
        <f t="shared" ref="S75:AB75" si="191">S6/S40</f>
        <v>74.358974358974365</v>
      </c>
      <c r="T75" s="144">
        <f t="shared" si="191"/>
        <v>74.358974358974365</v>
      </c>
      <c r="U75" s="144">
        <f t="shared" si="191"/>
        <v>74.358974358974379</v>
      </c>
      <c r="V75" s="144">
        <f t="shared" si="191"/>
        <v>74.358974358974379</v>
      </c>
      <c r="W75" s="144">
        <f t="shared" si="191"/>
        <v>74.358974358974379</v>
      </c>
      <c r="X75" s="144">
        <f t="shared" si="191"/>
        <v>74.358974358974393</v>
      </c>
      <c r="Y75" s="144">
        <f t="shared" si="191"/>
        <v>74.358974358974379</v>
      </c>
      <c r="Z75" s="144">
        <f t="shared" si="191"/>
        <v>74.358974358974379</v>
      </c>
      <c r="AA75" s="144">
        <f t="shared" si="191"/>
        <v>74.358974358974379</v>
      </c>
      <c r="AB75" s="144">
        <f t="shared" si="191"/>
        <v>74.358974358974393</v>
      </c>
      <c r="AC75" s="138">
        <f t="shared" si="187"/>
        <v>-3.3269719816555798E-2</v>
      </c>
      <c r="AD75" s="31">
        <f t="shared" ref="AD75" si="192">$L$1</f>
        <v>0.08</v>
      </c>
      <c r="AE75" s="146">
        <f t="shared" si="140"/>
        <v>573.62637362637383</v>
      </c>
    </row>
    <row r="76" spans="2:31" x14ac:dyDescent="0.2">
      <c r="B76" s="20"/>
      <c r="C76" s="127"/>
      <c r="D76" s="127"/>
      <c r="E76" s="127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28"/>
      <c r="R76" s="128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39"/>
      <c r="AD76" s="20"/>
      <c r="AE76" s="154"/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20"/>
      <c r="AE77" s="154"/>
    </row>
    <row r="78" spans="2:31" x14ac:dyDescent="0.2">
      <c r="B78" s="108" t="s">
        <v>310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spans="2:31" x14ac:dyDescent="0.2">
      <c r="B79" s="20" t="s">
        <v>309</v>
      </c>
      <c r="C79" s="152"/>
      <c r="D79" s="152"/>
      <c r="E79" s="152" t="e">
        <f t="shared" ref="E79:P79" si="193">E36/E25</f>
        <v>#DIV/0!</v>
      </c>
      <c r="F79" s="152" t="e">
        <f t="shared" si="193"/>
        <v>#DIV/0!</v>
      </c>
      <c r="G79" s="152">
        <f t="shared" si="193"/>
        <v>0.42643835616438353</v>
      </c>
      <c r="H79" s="152">
        <f t="shared" si="193"/>
        <v>0.41565217391304349</v>
      </c>
      <c r="I79" s="152">
        <f t="shared" si="193"/>
        <v>0.26734693877551019</v>
      </c>
      <c r="J79" s="152">
        <f t="shared" si="193"/>
        <v>0.29484029484029484</v>
      </c>
      <c r="K79" s="152">
        <f t="shared" si="193"/>
        <v>0.34185606060606061</v>
      </c>
      <c r="L79" s="152">
        <f t="shared" si="193"/>
        <v>0.35188509874326751</v>
      </c>
      <c r="M79" s="152">
        <f t="shared" si="193"/>
        <v>0.30229226361031519</v>
      </c>
      <c r="N79" s="152">
        <f t="shared" si="193"/>
        <v>0.29529411764705882</v>
      </c>
      <c r="O79" s="152">
        <f t="shared" si="193"/>
        <v>0.32815631262525052</v>
      </c>
      <c r="P79" s="152">
        <f t="shared" si="193"/>
        <v>0.32815631262525052</v>
      </c>
      <c r="Q79" s="118">
        <f t="shared" ref="Q79:Q122" si="194">((P79/G79)^(1/($H$2-$H$1) ))-1</f>
        <v>-2.8689064975769174E-2</v>
      </c>
      <c r="R79" s="152"/>
      <c r="S79" s="152">
        <f t="shared" ref="S79:AB79" si="195">S36/S25</f>
        <v>0.32815631262525047</v>
      </c>
      <c r="T79" s="152">
        <f t="shared" si="195"/>
        <v>0.32815631262525047</v>
      </c>
      <c r="U79" s="152">
        <f t="shared" si="195"/>
        <v>0.32815631262525041</v>
      </c>
      <c r="V79" s="152">
        <f t="shared" si="195"/>
        <v>0.32815631262525041</v>
      </c>
      <c r="W79" s="152">
        <f t="shared" si="195"/>
        <v>0.32815631262525041</v>
      </c>
      <c r="X79" s="152">
        <f t="shared" si="195"/>
        <v>0.32815631262525041</v>
      </c>
      <c r="Y79" s="152">
        <f t="shared" si="195"/>
        <v>0.32815631262525036</v>
      </c>
      <c r="Z79" s="152">
        <f t="shared" si="195"/>
        <v>0.32815631262525036</v>
      </c>
      <c r="AA79" s="152">
        <f t="shared" si="195"/>
        <v>0.32815631262525036</v>
      </c>
      <c r="AB79" s="152">
        <f t="shared" si="195"/>
        <v>0.32815631262525036</v>
      </c>
      <c r="AC79" s="138">
        <f t="shared" ref="AC79:AC109" si="196">((AB79/G79)^(1/($AB$3-$H$1) ))-1</f>
        <v>-1.3693680138939124E-2</v>
      </c>
      <c r="AD79" s="146"/>
      <c r="AE79" s="146"/>
    </row>
    <row r="80" spans="2:31" x14ac:dyDescent="0.2">
      <c r="B80" s="20" t="s">
        <v>267</v>
      </c>
      <c r="C80" s="152"/>
      <c r="D80" s="152"/>
      <c r="E80" s="152" t="e">
        <f t="shared" ref="E80:P80" si="197">E38/E25</f>
        <v>#DIV/0!</v>
      </c>
      <c r="F80" s="152" t="e">
        <f t="shared" si="197"/>
        <v>#DIV/0!</v>
      </c>
      <c r="G80" s="152">
        <f t="shared" si="197"/>
        <v>0.24575342465753428</v>
      </c>
      <c r="H80" s="152">
        <f t="shared" si="197"/>
        <v>0.2391304347826087</v>
      </c>
      <c r="I80" s="152">
        <f t="shared" si="197"/>
        <v>0.20884353741496597</v>
      </c>
      <c r="J80" s="152">
        <f t="shared" si="197"/>
        <v>0.20638820638820637</v>
      </c>
      <c r="K80" s="152">
        <f t="shared" si="197"/>
        <v>0.26609848484848486</v>
      </c>
      <c r="L80" s="152">
        <f t="shared" si="197"/>
        <v>0.28904847396768402</v>
      </c>
      <c r="M80" s="152">
        <f t="shared" si="197"/>
        <v>0.29369627507163326</v>
      </c>
      <c r="N80" s="152">
        <f t="shared" si="197"/>
        <v>0.24235294117647058</v>
      </c>
      <c r="O80" s="152">
        <f t="shared" si="197"/>
        <v>0.22044088176352705</v>
      </c>
      <c r="P80" s="152">
        <f t="shared" si="197"/>
        <v>0.22044088176352705</v>
      </c>
      <c r="Q80" s="118">
        <f t="shared" si="194"/>
        <v>-1.2005040360581143E-2</v>
      </c>
      <c r="R80" s="152"/>
      <c r="S80" s="152">
        <f t="shared" ref="S80:AB80" si="198">S38/S25</f>
        <v>0.22044088176352705</v>
      </c>
      <c r="T80" s="152">
        <f t="shared" si="198"/>
        <v>0.22044088176352708</v>
      </c>
      <c r="U80" s="152">
        <f t="shared" si="198"/>
        <v>0.22044088176352705</v>
      </c>
      <c r="V80" s="152">
        <f t="shared" si="198"/>
        <v>0.22044088176352705</v>
      </c>
      <c r="W80" s="152">
        <f t="shared" si="198"/>
        <v>0.22044088176352705</v>
      </c>
      <c r="X80" s="152">
        <f t="shared" si="198"/>
        <v>0.22044088176352702</v>
      </c>
      <c r="Y80" s="152">
        <f t="shared" si="198"/>
        <v>0.22044088176352702</v>
      </c>
      <c r="Z80" s="152">
        <f t="shared" si="198"/>
        <v>0.22044088176352702</v>
      </c>
      <c r="AA80" s="152">
        <f t="shared" si="198"/>
        <v>0.220440881763527</v>
      </c>
      <c r="AB80" s="152">
        <f t="shared" si="198"/>
        <v>0.22044088176352702</v>
      </c>
      <c r="AC80" s="138">
        <f t="shared" si="196"/>
        <v>-5.7046738539596742E-3</v>
      </c>
      <c r="AD80" s="146"/>
      <c r="AE80" s="146"/>
    </row>
    <row r="81" spans="2:31" x14ac:dyDescent="0.2">
      <c r="B81" s="20" t="s">
        <v>358</v>
      </c>
      <c r="C81" s="152"/>
      <c r="D81" s="152"/>
      <c r="E81" s="152" t="e">
        <f t="shared" ref="E81:O81" si="199">E38/E7</f>
        <v>#DIV/0!</v>
      </c>
      <c r="F81" s="152" t="e">
        <f t="shared" si="199"/>
        <v>#DIV/0!</v>
      </c>
      <c r="G81" s="152">
        <f>G38/G7</f>
        <v>0.18884210526315789</v>
      </c>
      <c r="H81" s="152">
        <f t="shared" si="199"/>
        <v>0.2</v>
      </c>
      <c r="I81" s="152">
        <f t="shared" si="199"/>
        <v>0.32486772486772486</v>
      </c>
      <c r="J81" s="152">
        <f t="shared" si="199"/>
        <v>0.30434782608695654</v>
      </c>
      <c r="K81" s="152">
        <f t="shared" si="199"/>
        <v>0.39355742296918766</v>
      </c>
      <c r="L81" s="152">
        <f t="shared" si="199"/>
        <v>0.37182448036951499</v>
      </c>
      <c r="M81" s="152">
        <f t="shared" si="199"/>
        <v>0.51898734177215189</v>
      </c>
      <c r="N81" s="152">
        <f t="shared" si="199"/>
        <v>0.49878934624697335</v>
      </c>
      <c r="O81" s="152">
        <f t="shared" si="199"/>
        <v>0.41587901701323249</v>
      </c>
      <c r="P81" s="152">
        <f t="shared" ref="P81" si="200">P38/P7</f>
        <v>0.41587901701323249</v>
      </c>
      <c r="Q81" s="118">
        <f t="shared" si="194"/>
        <v>9.1682790179857143E-2</v>
      </c>
      <c r="R81" s="20"/>
      <c r="S81" s="152">
        <f t="shared" ref="S81" si="201">S38/S7</f>
        <v>0.41587901701323254</v>
      </c>
      <c r="T81" s="152">
        <f t="shared" ref="T81:AB81" si="202">T38/T7</f>
        <v>0.4158790170132326</v>
      </c>
      <c r="U81" s="152">
        <f t="shared" si="202"/>
        <v>0.4158790170132326</v>
      </c>
      <c r="V81" s="152">
        <f t="shared" si="202"/>
        <v>0.41587901701323265</v>
      </c>
      <c r="W81" s="152">
        <f t="shared" si="202"/>
        <v>0.4158790170132326</v>
      </c>
      <c r="X81" s="152">
        <f t="shared" si="202"/>
        <v>0.4158790170132326</v>
      </c>
      <c r="Y81" s="152">
        <f t="shared" si="202"/>
        <v>0.41587901701323254</v>
      </c>
      <c r="Z81" s="152">
        <f t="shared" si="202"/>
        <v>0.41587901701323254</v>
      </c>
      <c r="AA81" s="152">
        <f t="shared" si="202"/>
        <v>0.41587901701323254</v>
      </c>
      <c r="AB81" s="152">
        <f t="shared" si="202"/>
        <v>0.41587901701323254</v>
      </c>
      <c r="AC81" s="138">
        <f t="shared" si="196"/>
        <v>4.2427100542525187E-2</v>
      </c>
      <c r="AD81" s="146"/>
      <c r="AE81" s="146"/>
    </row>
    <row r="82" spans="2:31" x14ac:dyDescent="0.2">
      <c r="B82" s="20" t="s">
        <v>359</v>
      </c>
      <c r="C82" s="152"/>
      <c r="D82" s="152"/>
      <c r="E82" s="152" t="e">
        <f t="shared" ref="E82:F82" si="203">(E38)/(E7+E10)</f>
        <v>#DIV/0!</v>
      </c>
      <c r="F82" s="152" t="e">
        <f t="shared" si="203"/>
        <v>#DIV/0!</v>
      </c>
      <c r="G82" s="152">
        <f>(G38)/(G7+G10)</f>
        <v>0.18884210526315789</v>
      </c>
      <c r="H82" s="152">
        <f t="shared" ref="H82:O82" si="204">(H38)/(H7+H10)</f>
        <v>0.2</v>
      </c>
      <c r="I82" s="152">
        <f t="shared" si="204"/>
        <v>0.32486772486772486</v>
      </c>
      <c r="J82" s="152">
        <f t="shared" si="204"/>
        <v>0.30434782608695654</v>
      </c>
      <c r="K82" s="152">
        <f t="shared" si="204"/>
        <v>0.39355742296918766</v>
      </c>
      <c r="L82" s="152">
        <f t="shared" si="204"/>
        <v>0.37182448036951499</v>
      </c>
      <c r="M82" s="152">
        <f t="shared" si="204"/>
        <v>0.51898734177215189</v>
      </c>
      <c r="N82" s="152">
        <f t="shared" si="204"/>
        <v>0.49878934624697335</v>
      </c>
      <c r="O82" s="152">
        <f t="shared" si="204"/>
        <v>0.41587901701323249</v>
      </c>
      <c r="P82" s="152">
        <f t="shared" ref="P82" si="205">(P38)/(P7+P10)</f>
        <v>0.41587901701323249</v>
      </c>
      <c r="Q82" s="118">
        <f t="shared" si="194"/>
        <v>9.1682790179857143E-2</v>
      </c>
      <c r="R82" s="20"/>
      <c r="S82" s="152">
        <f t="shared" ref="S82:AB82" si="206">(S38)/(S7+S10)</f>
        <v>0.41587901701323254</v>
      </c>
      <c r="T82" s="152">
        <f t="shared" si="206"/>
        <v>0.4158790170132326</v>
      </c>
      <c r="U82" s="152">
        <f t="shared" si="206"/>
        <v>0.4158790170132326</v>
      </c>
      <c r="V82" s="152">
        <f t="shared" si="206"/>
        <v>0.41587901701323265</v>
      </c>
      <c r="W82" s="152">
        <f t="shared" si="206"/>
        <v>0.4158790170132326</v>
      </c>
      <c r="X82" s="152">
        <f t="shared" si="206"/>
        <v>0.4158790170132326</v>
      </c>
      <c r="Y82" s="152">
        <f t="shared" si="206"/>
        <v>0.41587901701323254</v>
      </c>
      <c r="Z82" s="152">
        <f t="shared" si="206"/>
        <v>0.41587901701323254</v>
      </c>
      <c r="AA82" s="152">
        <f t="shared" si="206"/>
        <v>0.41587901701323254</v>
      </c>
      <c r="AB82" s="152">
        <f t="shared" si="206"/>
        <v>0.41587901701323254</v>
      </c>
      <c r="AC82" s="138">
        <f t="shared" si="196"/>
        <v>4.2427100542525187E-2</v>
      </c>
      <c r="AD82" s="146"/>
      <c r="AE82" s="146"/>
    </row>
    <row r="83" spans="2:31" x14ac:dyDescent="0.2">
      <c r="B83" s="20" t="s">
        <v>375</v>
      </c>
      <c r="C83" s="152"/>
      <c r="D83" s="152"/>
      <c r="E83" s="152"/>
      <c r="F83" s="152"/>
      <c r="G83" s="152">
        <f>G20/G25</f>
        <v>0.32054794520547941</v>
      </c>
      <c r="H83" s="152">
        <f t="shared" ref="H83:P83" si="207">H20/H25</f>
        <v>0.22826086956521738</v>
      </c>
      <c r="I83" s="152">
        <f t="shared" si="207"/>
        <v>8.5034013605442174E-2</v>
      </c>
      <c r="J83" s="152">
        <f t="shared" si="207"/>
        <v>0.13022113022113022</v>
      </c>
      <c r="K83" s="152">
        <f t="shared" si="207"/>
        <v>0.25946969696969696</v>
      </c>
      <c r="L83" s="152">
        <f t="shared" si="207"/>
        <v>0.31597845601436264</v>
      </c>
      <c r="M83" s="152">
        <f t="shared" si="207"/>
        <v>0.19340974212034384</v>
      </c>
      <c r="N83" s="152">
        <f t="shared" si="207"/>
        <v>0.28000000000000003</v>
      </c>
      <c r="O83" s="152">
        <f t="shared" si="207"/>
        <v>0.14929859719438879</v>
      </c>
      <c r="P83" s="152">
        <f t="shared" si="207"/>
        <v>0.14929859719438879</v>
      </c>
      <c r="Q83" s="118">
        <f t="shared" si="194"/>
        <v>-8.1394180933015425E-2</v>
      </c>
      <c r="R83" s="20"/>
      <c r="S83" s="152">
        <f t="shared" ref="S83:AB83" si="208">S20/S25</f>
        <v>0.14929859719438876</v>
      </c>
      <c r="T83" s="152">
        <f t="shared" si="208"/>
        <v>0.14929859719438879</v>
      </c>
      <c r="U83" s="152">
        <f t="shared" si="208"/>
        <v>0.14929859719438879</v>
      </c>
      <c r="V83" s="152">
        <f t="shared" si="208"/>
        <v>0.14929859719438879</v>
      </c>
      <c r="W83" s="152">
        <f t="shared" si="208"/>
        <v>0.14929859719438882</v>
      </c>
      <c r="X83" s="152">
        <f t="shared" si="208"/>
        <v>0.14929859719438879</v>
      </c>
      <c r="Y83" s="152">
        <f t="shared" si="208"/>
        <v>0.14929859719438879</v>
      </c>
      <c r="Z83" s="152">
        <f t="shared" si="208"/>
        <v>0.14929859719438879</v>
      </c>
      <c r="AA83" s="152">
        <f t="shared" si="208"/>
        <v>0.14929859719438879</v>
      </c>
      <c r="AB83" s="152">
        <f t="shared" si="208"/>
        <v>0.14929859719438882</v>
      </c>
      <c r="AC83" s="138">
        <f t="shared" si="196"/>
        <v>-3.9417035144739709E-2</v>
      </c>
      <c r="AD83" s="146"/>
      <c r="AE83" s="146"/>
    </row>
    <row r="84" spans="2:31" x14ac:dyDescent="0.2">
      <c r="B84" s="20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20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3"/>
      <c r="AD84" s="146"/>
      <c r="AE84" s="146"/>
    </row>
    <row r="85" spans="2:31" x14ac:dyDescent="0.2">
      <c r="B85" s="20" t="s">
        <v>322</v>
      </c>
      <c r="C85" s="152"/>
      <c r="D85" s="152"/>
      <c r="E85" s="152"/>
      <c r="F85" s="152"/>
      <c r="G85" s="152">
        <f>G29/G25</f>
        <v>0</v>
      </c>
      <c r="H85" s="152">
        <f t="shared" ref="H85:P85" si="209">H29/H25</f>
        <v>0</v>
      </c>
      <c r="I85" s="152">
        <f t="shared" si="209"/>
        <v>0</v>
      </c>
      <c r="J85" s="152">
        <f t="shared" si="209"/>
        <v>0</v>
      </c>
      <c r="K85" s="152">
        <f t="shared" si="209"/>
        <v>0</v>
      </c>
      <c r="L85" s="152">
        <f t="shared" si="209"/>
        <v>0</v>
      </c>
      <c r="M85" s="152">
        <f t="shared" si="209"/>
        <v>0</v>
      </c>
      <c r="N85" s="152">
        <f t="shared" si="209"/>
        <v>0</v>
      </c>
      <c r="O85" s="152">
        <f t="shared" si="209"/>
        <v>0</v>
      </c>
      <c r="P85" s="152">
        <f t="shared" si="209"/>
        <v>0</v>
      </c>
      <c r="Q85" s="118" t="e">
        <f t="shared" si="194"/>
        <v>#DIV/0!</v>
      </c>
      <c r="R85" s="20"/>
      <c r="S85" s="152">
        <f t="shared" ref="S85:AB85" si="210">S29/S25</f>
        <v>0</v>
      </c>
      <c r="T85" s="152">
        <f t="shared" si="210"/>
        <v>0</v>
      </c>
      <c r="U85" s="152">
        <f t="shared" si="210"/>
        <v>0</v>
      </c>
      <c r="V85" s="152">
        <f t="shared" si="210"/>
        <v>0</v>
      </c>
      <c r="W85" s="152">
        <f t="shared" si="210"/>
        <v>0</v>
      </c>
      <c r="X85" s="152">
        <f t="shared" si="210"/>
        <v>0</v>
      </c>
      <c r="Y85" s="152">
        <f t="shared" si="210"/>
        <v>0</v>
      </c>
      <c r="Z85" s="152">
        <f t="shared" si="210"/>
        <v>0</v>
      </c>
      <c r="AA85" s="152">
        <f t="shared" si="210"/>
        <v>0</v>
      </c>
      <c r="AB85" s="152">
        <f t="shared" si="210"/>
        <v>0</v>
      </c>
      <c r="AC85" s="138" t="e">
        <f t="shared" si="196"/>
        <v>#DIV/0!</v>
      </c>
      <c r="AD85" s="146"/>
      <c r="AE85" s="146"/>
    </row>
    <row r="86" spans="2:31" x14ac:dyDescent="0.2">
      <c r="B86" s="20" t="s">
        <v>368</v>
      </c>
      <c r="C86" s="152"/>
      <c r="D86" s="152"/>
      <c r="E86" s="152"/>
      <c r="F86" s="152"/>
      <c r="G86" s="152">
        <f>G29/G36</f>
        <v>0</v>
      </c>
      <c r="H86" s="152">
        <f t="shared" ref="H86:P86" si="211">H29/H36</f>
        <v>0</v>
      </c>
      <c r="I86" s="152">
        <f t="shared" si="211"/>
        <v>0</v>
      </c>
      <c r="J86" s="152">
        <f t="shared" si="211"/>
        <v>0</v>
      </c>
      <c r="K86" s="152">
        <f t="shared" si="211"/>
        <v>0</v>
      </c>
      <c r="L86" s="152">
        <f t="shared" si="211"/>
        <v>0</v>
      </c>
      <c r="M86" s="152">
        <f t="shared" si="211"/>
        <v>0</v>
      </c>
      <c r="N86" s="152">
        <f t="shared" si="211"/>
        <v>0</v>
      </c>
      <c r="O86" s="152">
        <f t="shared" si="211"/>
        <v>0</v>
      </c>
      <c r="P86" s="152">
        <f t="shared" si="211"/>
        <v>0</v>
      </c>
      <c r="Q86" s="118" t="e">
        <f t="shared" ref="Q86" si="212">((P86/G86)^(1/($H$2-$H$1) ))-1</f>
        <v>#DIV/0!</v>
      </c>
      <c r="R86" s="20"/>
      <c r="S86" s="152">
        <f t="shared" ref="S86:AB86" si="213">S29/S36</f>
        <v>0</v>
      </c>
      <c r="T86" s="152">
        <f t="shared" si="213"/>
        <v>0</v>
      </c>
      <c r="U86" s="152">
        <f t="shared" si="213"/>
        <v>0</v>
      </c>
      <c r="V86" s="152">
        <f t="shared" si="213"/>
        <v>0</v>
      </c>
      <c r="W86" s="152">
        <f t="shared" si="213"/>
        <v>0</v>
      </c>
      <c r="X86" s="152">
        <f t="shared" si="213"/>
        <v>0</v>
      </c>
      <c r="Y86" s="152">
        <f t="shared" si="213"/>
        <v>0</v>
      </c>
      <c r="Z86" s="152">
        <f t="shared" si="213"/>
        <v>0</v>
      </c>
      <c r="AA86" s="152">
        <f t="shared" si="213"/>
        <v>0</v>
      </c>
      <c r="AB86" s="152">
        <f t="shared" si="213"/>
        <v>0</v>
      </c>
      <c r="AC86" s="138" t="e">
        <f t="shared" ref="AC86" si="214">((AB86/G86)^(1/($AB$3-$H$1) ))-1</f>
        <v>#DIV/0!</v>
      </c>
      <c r="AD86" s="146"/>
      <c r="AE86" s="146"/>
    </row>
    <row r="87" spans="2:31" ht="12" customHeight="1" x14ac:dyDescent="0.2">
      <c r="B87" s="20" t="s">
        <v>367</v>
      </c>
      <c r="C87" s="152"/>
      <c r="D87" s="152"/>
      <c r="E87" s="152"/>
      <c r="F87" s="152"/>
      <c r="G87" s="171">
        <f t="shared" ref="G87:P87" si="215">G29/G38</f>
        <v>0</v>
      </c>
      <c r="H87" s="171">
        <f t="shared" si="215"/>
        <v>0</v>
      </c>
      <c r="I87" s="171">
        <f t="shared" si="215"/>
        <v>0</v>
      </c>
      <c r="J87" s="171">
        <f t="shared" si="215"/>
        <v>0</v>
      </c>
      <c r="K87" s="171">
        <f t="shared" si="215"/>
        <v>0</v>
      </c>
      <c r="L87" s="171">
        <f t="shared" si="215"/>
        <v>0</v>
      </c>
      <c r="M87" s="171">
        <f t="shared" si="215"/>
        <v>0</v>
      </c>
      <c r="N87" s="171">
        <f t="shared" si="215"/>
        <v>0</v>
      </c>
      <c r="O87" s="171">
        <f t="shared" si="215"/>
        <v>0</v>
      </c>
      <c r="P87" s="171">
        <f t="shared" si="215"/>
        <v>0</v>
      </c>
      <c r="Q87" s="118" t="e">
        <f t="shared" ref="Q87" si="216">((P87/G87)^(1/($H$2-$H$1) ))-1</f>
        <v>#DIV/0!</v>
      </c>
      <c r="R87" s="20"/>
      <c r="S87" s="171">
        <f t="shared" ref="S87:AB87" si="217">S29/S38</f>
        <v>0</v>
      </c>
      <c r="T87" s="171">
        <f t="shared" si="217"/>
        <v>0</v>
      </c>
      <c r="U87" s="171">
        <f t="shared" si="217"/>
        <v>0</v>
      </c>
      <c r="V87" s="171">
        <f t="shared" si="217"/>
        <v>0</v>
      </c>
      <c r="W87" s="171">
        <f t="shared" si="217"/>
        <v>0</v>
      </c>
      <c r="X87" s="171">
        <f t="shared" si="217"/>
        <v>0</v>
      </c>
      <c r="Y87" s="171">
        <f t="shared" si="217"/>
        <v>0</v>
      </c>
      <c r="Z87" s="171">
        <f t="shared" si="217"/>
        <v>0</v>
      </c>
      <c r="AA87" s="171">
        <f t="shared" si="217"/>
        <v>0</v>
      </c>
      <c r="AB87" s="171">
        <f t="shared" si="217"/>
        <v>0</v>
      </c>
      <c r="AC87" s="138" t="e">
        <f t="shared" ref="AC87" si="218">((AB87/G87)^(1/($AB$3-$H$1) ))-1</f>
        <v>#DIV/0!</v>
      </c>
      <c r="AD87" s="146"/>
      <c r="AE87" s="146"/>
    </row>
    <row r="88" spans="2:31" ht="12" customHeight="1" x14ac:dyDescent="0.2">
      <c r="B88" s="20" t="s">
        <v>324</v>
      </c>
      <c r="C88" s="152"/>
      <c r="D88" s="152"/>
      <c r="E88" s="152"/>
      <c r="F88" s="152"/>
      <c r="G88" s="171">
        <f t="shared" ref="G88:P88" si="219">G29/G12</f>
        <v>0</v>
      </c>
      <c r="H88" s="171">
        <f t="shared" si="219"/>
        <v>0</v>
      </c>
      <c r="I88" s="171">
        <f t="shared" si="219"/>
        <v>0</v>
      </c>
      <c r="J88" s="171">
        <f t="shared" si="219"/>
        <v>0</v>
      </c>
      <c r="K88" s="171">
        <f t="shared" si="219"/>
        <v>0</v>
      </c>
      <c r="L88" s="171">
        <f t="shared" si="219"/>
        <v>0</v>
      </c>
      <c r="M88" s="171">
        <f t="shared" si="219"/>
        <v>0</v>
      </c>
      <c r="N88" s="171">
        <f t="shared" si="219"/>
        <v>0</v>
      </c>
      <c r="O88" s="171">
        <f t="shared" si="219"/>
        <v>0</v>
      </c>
      <c r="P88" s="171">
        <f t="shared" si="219"/>
        <v>0</v>
      </c>
      <c r="Q88" s="118" t="e">
        <f t="shared" si="194"/>
        <v>#DIV/0!</v>
      </c>
      <c r="R88" s="20"/>
      <c r="S88" s="152">
        <f t="shared" ref="S88:AB88" si="220">S29/S12</f>
        <v>0</v>
      </c>
      <c r="T88" s="152">
        <f t="shared" si="220"/>
        <v>0</v>
      </c>
      <c r="U88" s="152">
        <f t="shared" si="220"/>
        <v>0</v>
      </c>
      <c r="V88" s="152">
        <f t="shared" si="220"/>
        <v>0</v>
      </c>
      <c r="W88" s="152">
        <f t="shared" si="220"/>
        <v>0</v>
      </c>
      <c r="X88" s="152">
        <f t="shared" si="220"/>
        <v>0</v>
      </c>
      <c r="Y88" s="152">
        <f t="shared" si="220"/>
        <v>0</v>
      </c>
      <c r="Z88" s="152">
        <f t="shared" si="220"/>
        <v>0</v>
      </c>
      <c r="AA88" s="152">
        <f t="shared" si="220"/>
        <v>0</v>
      </c>
      <c r="AB88" s="152">
        <f t="shared" si="220"/>
        <v>0</v>
      </c>
      <c r="AC88" s="138" t="e">
        <f t="shared" si="196"/>
        <v>#DIV/0!</v>
      </c>
      <c r="AD88" s="146"/>
      <c r="AE88" s="146"/>
    </row>
    <row r="89" spans="2:31" ht="12" customHeight="1" x14ac:dyDescent="0.2">
      <c r="B89" s="20" t="s">
        <v>369</v>
      </c>
      <c r="C89" s="152"/>
      <c r="D89" s="152"/>
      <c r="E89" s="152"/>
      <c r="F89" s="152"/>
      <c r="G89" s="171">
        <f>G29/G23</f>
        <v>0</v>
      </c>
      <c r="H89" s="171">
        <f t="shared" ref="H89:P89" si="221">H29/H23</f>
        <v>0</v>
      </c>
      <c r="I89" s="171">
        <f t="shared" si="221"/>
        <v>0</v>
      </c>
      <c r="J89" s="171">
        <f t="shared" si="221"/>
        <v>0</v>
      </c>
      <c r="K89" s="171">
        <f t="shared" si="221"/>
        <v>0</v>
      </c>
      <c r="L89" s="171">
        <f t="shared" si="221"/>
        <v>0</v>
      </c>
      <c r="M89" s="171">
        <f t="shared" si="221"/>
        <v>0</v>
      </c>
      <c r="N89" s="171">
        <f t="shared" si="221"/>
        <v>0</v>
      </c>
      <c r="O89" s="171">
        <f t="shared" si="221"/>
        <v>0</v>
      </c>
      <c r="P89" s="171">
        <f t="shared" si="221"/>
        <v>0</v>
      </c>
      <c r="Q89" s="118" t="e">
        <f t="shared" ref="Q89" si="222">((P89/G89)^(1/($H$2-$H$1) ))-1</f>
        <v>#DIV/0!</v>
      </c>
      <c r="R89" s="20"/>
      <c r="S89" s="171">
        <f t="shared" ref="S89:AB89" si="223">S29/S23</f>
        <v>0</v>
      </c>
      <c r="T89" s="171">
        <f t="shared" si="223"/>
        <v>0</v>
      </c>
      <c r="U89" s="171">
        <f t="shared" si="223"/>
        <v>0</v>
      </c>
      <c r="V89" s="171">
        <f t="shared" si="223"/>
        <v>0</v>
      </c>
      <c r="W89" s="171">
        <f t="shared" si="223"/>
        <v>0</v>
      </c>
      <c r="X89" s="171">
        <f t="shared" si="223"/>
        <v>0</v>
      </c>
      <c r="Y89" s="171">
        <f t="shared" si="223"/>
        <v>0</v>
      </c>
      <c r="Z89" s="171">
        <f t="shared" si="223"/>
        <v>0</v>
      </c>
      <c r="AA89" s="171">
        <f t="shared" si="223"/>
        <v>0</v>
      </c>
      <c r="AB89" s="171">
        <f t="shared" si="223"/>
        <v>0</v>
      </c>
      <c r="AC89" s="138" t="e">
        <f t="shared" ref="AC89" si="224">((AB89/G89)^(1/($AB$3-$H$1) ))-1</f>
        <v>#DIV/0!</v>
      </c>
      <c r="AD89" s="146"/>
      <c r="AE89" s="146"/>
    </row>
    <row r="90" spans="2:31" ht="12" customHeight="1" x14ac:dyDescent="0.2">
      <c r="B90" s="20"/>
      <c r="C90" s="152"/>
      <c r="D90" s="152"/>
      <c r="E90" s="152"/>
      <c r="F90" s="152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20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38"/>
      <c r="AD90" s="146"/>
      <c r="AE90" s="146"/>
    </row>
    <row r="91" spans="2:31" x14ac:dyDescent="0.2">
      <c r="B91" s="20" t="s">
        <v>325</v>
      </c>
      <c r="C91" s="152"/>
      <c r="D91" s="152"/>
      <c r="E91" s="152"/>
      <c r="F91" s="163"/>
      <c r="G91" s="163">
        <f t="shared" ref="G91:O91" si="225">G10-(G12+G13)</f>
        <v>-62.169999999999995</v>
      </c>
      <c r="H91" s="163">
        <f t="shared" si="225"/>
        <v>-77.5</v>
      </c>
      <c r="I91" s="163">
        <f t="shared" si="225"/>
        <v>-78</v>
      </c>
      <c r="J91" s="163">
        <f t="shared" si="225"/>
        <v>-139.6</v>
      </c>
      <c r="K91" s="163">
        <f t="shared" si="225"/>
        <v>-240</v>
      </c>
      <c r="L91" s="163">
        <f t="shared" si="225"/>
        <v>-263</v>
      </c>
      <c r="M91" s="163">
        <f t="shared" si="225"/>
        <v>-187.5</v>
      </c>
      <c r="N91" s="163">
        <f t="shared" si="225"/>
        <v>-273.85000000000002</v>
      </c>
      <c r="O91" s="163">
        <f t="shared" si="225"/>
        <v>-268</v>
      </c>
      <c r="P91" s="163">
        <f>P10-(P12+P13)</f>
        <v>-268</v>
      </c>
      <c r="Q91" s="118">
        <f t="shared" si="194"/>
        <v>0.1762672132341645</v>
      </c>
      <c r="R91" s="20"/>
      <c r="S91" s="163">
        <f>S10-(S12+S13)</f>
        <v>-300.16000000000003</v>
      </c>
      <c r="T91" s="163">
        <f t="shared" ref="T91:AB91" si="226">T10-(T12+T13)</f>
        <v>-336.17920000000004</v>
      </c>
      <c r="U91" s="163">
        <f t="shared" si="226"/>
        <v>-376.52070400000014</v>
      </c>
      <c r="V91" s="163">
        <f t="shared" si="226"/>
        <v>-421.70318848000016</v>
      </c>
      <c r="W91" s="163">
        <f t="shared" si="226"/>
        <v>-472.3075710976002</v>
      </c>
      <c r="X91" s="163">
        <f t="shared" si="226"/>
        <v>-528.98447962931232</v>
      </c>
      <c r="Y91" s="163">
        <f t="shared" si="226"/>
        <v>-592.4626171848297</v>
      </c>
      <c r="Z91" s="163">
        <f t="shared" si="226"/>
        <v>-663.55813124700944</v>
      </c>
      <c r="AA91" s="163">
        <f t="shared" si="226"/>
        <v>-743.18510699665057</v>
      </c>
      <c r="AB91" s="163">
        <f t="shared" si="226"/>
        <v>-832.36731983624873</v>
      </c>
      <c r="AC91" s="138">
        <f t="shared" si="196"/>
        <v>0.14630925168357511</v>
      </c>
      <c r="AD91" s="146"/>
      <c r="AE91" s="146"/>
    </row>
    <row r="92" spans="2:31" ht="12" customHeight="1" x14ac:dyDescent="0.2">
      <c r="B92" s="20" t="s">
        <v>320</v>
      </c>
      <c r="C92" s="20"/>
      <c r="D92" s="20"/>
      <c r="E92" s="20"/>
      <c r="F92" s="20"/>
      <c r="G92" s="152">
        <f t="shared" ref="G92:P92" si="227">G38/G18</f>
        <v>0.39</v>
      </c>
      <c r="H92" s="152">
        <f t="shared" si="227"/>
        <v>0.52132701421800942</v>
      </c>
      <c r="I92" s="152">
        <f t="shared" si="227"/>
        <v>0.52478632478632481</v>
      </c>
      <c r="J92" s="152">
        <f t="shared" si="227"/>
        <v>0.65116279069767447</v>
      </c>
      <c r="K92" s="152">
        <f t="shared" si="227"/>
        <v>1.1150793650793651</v>
      </c>
      <c r="L92" s="152">
        <f t="shared" si="227"/>
        <v>1.3416666666666666</v>
      </c>
      <c r="M92" s="152">
        <f t="shared" si="227"/>
        <v>0.9151785714285714</v>
      </c>
      <c r="N92" s="152">
        <f t="shared" si="227"/>
        <v>0.91150442477876104</v>
      </c>
      <c r="O92" s="152">
        <f t="shared" si="227"/>
        <v>0.47109207708779444</v>
      </c>
      <c r="P92" s="152">
        <f t="shared" si="227"/>
        <v>0.47109207708779444</v>
      </c>
      <c r="Q92" s="118">
        <f t="shared" si="194"/>
        <v>2.1211479609186457E-2</v>
      </c>
      <c r="R92" s="20"/>
      <c r="S92" s="152">
        <f t="shared" ref="S92:AB92" si="228">S38/S18</f>
        <v>0.47109207708779444</v>
      </c>
      <c r="T92" s="152">
        <f t="shared" si="228"/>
        <v>0.47109207708779449</v>
      </c>
      <c r="U92" s="152">
        <f t="shared" si="228"/>
        <v>0.47109207708779449</v>
      </c>
      <c r="V92" s="152">
        <f t="shared" si="228"/>
        <v>0.47109207708779449</v>
      </c>
      <c r="W92" s="152">
        <f t="shared" si="228"/>
        <v>0.47109207708779444</v>
      </c>
      <c r="X92" s="152">
        <f t="shared" si="228"/>
        <v>0.47109207708779444</v>
      </c>
      <c r="Y92" s="152">
        <f t="shared" si="228"/>
        <v>0.47109207708779444</v>
      </c>
      <c r="Z92" s="152">
        <f t="shared" si="228"/>
        <v>0.47109207708779444</v>
      </c>
      <c r="AA92" s="152">
        <f t="shared" si="228"/>
        <v>0.47109207708779444</v>
      </c>
      <c r="AB92" s="152">
        <f t="shared" si="228"/>
        <v>0.47109207708779449</v>
      </c>
      <c r="AC92" s="138">
        <f t="shared" si="196"/>
        <v>9.9920551762495702E-3</v>
      </c>
      <c r="AD92" s="20"/>
      <c r="AE92" s="20"/>
    </row>
    <row r="93" spans="2:31" x14ac:dyDescent="0.2">
      <c r="B93" s="20" t="s">
        <v>321</v>
      </c>
      <c r="C93" s="20"/>
      <c r="D93" s="20"/>
      <c r="E93" s="20"/>
      <c r="F93" s="20"/>
      <c r="G93" s="152">
        <f t="shared" ref="G93:P93" si="229">G38/G25</f>
        <v>0.24575342465753428</v>
      </c>
      <c r="H93" s="152">
        <f t="shared" si="229"/>
        <v>0.2391304347826087</v>
      </c>
      <c r="I93" s="152">
        <f t="shared" si="229"/>
        <v>0.20884353741496597</v>
      </c>
      <c r="J93" s="152">
        <f t="shared" si="229"/>
        <v>0.20638820638820637</v>
      </c>
      <c r="K93" s="152">
        <f t="shared" si="229"/>
        <v>0.26609848484848486</v>
      </c>
      <c r="L93" s="152">
        <f t="shared" si="229"/>
        <v>0.28904847396768402</v>
      </c>
      <c r="M93" s="152">
        <f t="shared" si="229"/>
        <v>0.29369627507163326</v>
      </c>
      <c r="N93" s="152">
        <f t="shared" si="229"/>
        <v>0.24235294117647058</v>
      </c>
      <c r="O93" s="152">
        <f t="shared" si="229"/>
        <v>0.22044088176352705</v>
      </c>
      <c r="P93" s="152">
        <f t="shared" si="229"/>
        <v>0.22044088176352705</v>
      </c>
      <c r="Q93" s="118">
        <f t="shared" si="194"/>
        <v>-1.2005040360581143E-2</v>
      </c>
      <c r="R93" s="20"/>
      <c r="S93" s="152">
        <f t="shared" ref="S93:AB93" si="230">S38/S25</f>
        <v>0.22044088176352705</v>
      </c>
      <c r="T93" s="152">
        <f t="shared" si="230"/>
        <v>0.22044088176352708</v>
      </c>
      <c r="U93" s="152">
        <f t="shared" si="230"/>
        <v>0.22044088176352705</v>
      </c>
      <c r="V93" s="152">
        <f t="shared" si="230"/>
        <v>0.22044088176352705</v>
      </c>
      <c r="W93" s="152">
        <f t="shared" si="230"/>
        <v>0.22044088176352705</v>
      </c>
      <c r="X93" s="152">
        <f t="shared" si="230"/>
        <v>0.22044088176352702</v>
      </c>
      <c r="Y93" s="152">
        <f t="shared" si="230"/>
        <v>0.22044088176352702</v>
      </c>
      <c r="Z93" s="152">
        <f t="shared" si="230"/>
        <v>0.22044088176352702</v>
      </c>
      <c r="AA93" s="152">
        <f t="shared" si="230"/>
        <v>0.220440881763527</v>
      </c>
      <c r="AB93" s="152">
        <f t="shared" si="230"/>
        <v>0.22044088176352702</v>
      </c>
      <c r="AC93" s="138">
        <f t="shared" si="196"/>
        <v>-5.7046738539596742E-3</v>
      </c>
      <c r="AD93" s="20"/>
      <c r="AE93" s="20"/>
    </row>
    <row r="94" spans="2:31" x14ac:dyDescent="0.2">
      <c r="B94" s="20" t="s">
        <v>347</v>
      </c>
      <c r="C94" s="20"/>
      <c r="D94" s="20"/>
      <c r="E94" s="152"/>
      <c r="F94" s="152"/>
      <c r="G94" s="152">
        <f t="shared" ref="G94:O94" si="231">G25/G18</f>
        <v>1.5869565217391304</v>
      </c>
      <c r="H94" s="152">
        <f t="shared" si="231"/>
        <v>2.1800947867298577</v>
      </c>
      <c r="I94" s="152">
        <f t="shared" si="231"/>
        <v>2.5128205128205128</v>
      </c>
      <c r="J94" s="152">
        <f t="shared" si="231"/>
        <v>3.1550387596899223</v>
      </c>
      <c r="K94" s="152">
        <f t="shared" si="231"/>
        <v>4.1904761904761907</v>
      </c>
      <c r="L94" s="152">
        <f t="shared" si="231"/>
        <v>4.6416666666666666</v>
      </c>
      <c r="M94" s="152">
        <f t="shared" si="231"/>
        <v>3.1160714285714284</v>
      </c>
      <c r="N94" s="152">
        <f t="shared" si="231"/>
        <v>3.7610619469026547</v>
      </c>
      <c r="O94" s="152">
        <f t="shared" si="231"/>
        <v>2.1370449678800858</v>
      </c>
      <c r="P94" s="152">
        <f>P25/P18</f>
        <v>2.1370449678800858</v>
      </c>
      <c r="Q94" s="118">
        <f t="shared" si="194"/>
        <v>3.3620130999342912E-2</v>
      </c>
      <c r="R94" s="20"/>
      <c r="S94" s="152">
        <f>S25/S18</f>
        <v>2.1370449678800858</v>
      </c>
      <c r="T94" s="152">
        <f t="shared" ref="T94:AB94" si="232">T25/T18</f>
        <v>2.1370449678800858</v>
      </c>
      <c r="U94" s="152">
        <f t="shared" si="232"/>
        <v>2.1370449678800858</v>
      </c>
      <c r="V94" s="152">
        <f t="shared" si="232"/>
        <v>2.1370449678800858</v>
      </c>
      <c r="W94" s="152">
        <f t="shared" si="232"/>
        <v>2.1370449678800858</v>
      </c>
      <c r="X94" s="152">
        <f t="shared" si="232"/>
        <v>2.1370449678800858</v>
      </c>
      <c r="Y94" s="152">
        <f t="shared" si="232"/>
        <v>2.1370449678800858</v>
      </c>
      <c r="Z94" s="152">
        <f t="shared" si="232"/>
        <v>2.1370449678800862</v>
      </c>
      <c r="AA94" s="152">
        <f t="shared" si="232"/>
        <v>2.1370449678800862</v>
      </c>
      <c r="AB94" s="152">
        <f t="shared" si="232"/>
        <v>2.1370449678800862</v>
      </c>
      <c r="AC94" s="138">
        <f t="shared" si="196"/>
        <v>1.5786787504121991E-2</v>
      </c>
      <c r="AD94" s="20"/>
      <c r="AE94" s="20"/>
    </row>
    <row r="95" spans="2:31" x14ac:dyDescent="0.2">
      <c r="B95" s="20"/>
      <c r="C95" s="20"/>
      <c r="D95" s="20"/>
      <c r="E95" s="20"/>
      <c r="F95" s="20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28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28"/>
      <c r="AD95" s="20"/>
      <c r="AE95" s="20"/>
    </row>
    <row r="96" spans="2:31" x14ac:dyDescent="0.2">
      <c r="B96" s="20" t="s">
        <v>333</v>
      </c>
      <c r="C96" s="20"/>
      <c r="D96" s="20"/>
      <c r="E96" s="165">
        <f t="shared" ref="E96:F96" si="233">E63*E40</f>
        <v>0</v>
      </c>
      <c r="F96" s="165">
        <f t="shared" si="233"/>
        <v>0</v>
      </c>
      <c r="G96" s="165">
        <f>G63*G40</f>
        <v>6.2929999999999993</v>
      </c>
      <c r="H96" s="165">
        <f t="shared" ref="H96:P96" si="234">H63*H40</f>
        <v>7.9575000000000005</v>
      </c>
      <c r="I96" s="165">
        <f t="shared" si="234"/>
        <v>16.887499999999999</v>
      </c>
      <c r="J96" s="165">
        <f t="shared" si="234"/>
        <v>18.137499999999999</v>
      </c>
      <c r="K96" s="165">
        <f t="shared" si="234"/>
        <v>50.575000000000003</v>
      </c>
      <c r="L96" s="165">
        <f t="shared" si="234"/>
        <v>72.25</v>
      </c>
      <c r="M96" s="165">
        <f t="shared" si="234"/>
        <v>141.94</v>
      </c>
      <c r="N96" s="165">
        <f t="shared" si="234"/>
        <v>77.989999999999995</v>
      </c>
      <c r="O96" s="165">
        <f t="shared" si="234"/>
        <v>112.32</v>
      </c>
      <c r="P96" s="165">
        <f t="shared" si="234"/>
        <v>112.32</v>
      </c>
      <c r="Q96" s="118">
        <f t="shared" si="194"/>
        <v>0.37742067011990943</v>
      </c>
      <c r="R96" s="20"/>
      <c r="S96" s="165">
        <f t="shared" ref="S96:AB96" si="235">S63*S40</f>
        <v>132.08832000000001</v>
      </c>
      <c r="T96" s="165">
        <f t="shared" si="235"/>
        <v>155.33586432000004</v>
      </c>
      <c r="U96" s="165">
        <f t="shared" si="235"/>
        <v>182.67497644032005</v>
      </c>
      <c r="V96" s="165">
        <f t="shared" si="235"/>
        <v>214.82577229381641</v>
      </c>
      <c r="W96" s="165">
        <f t="shared" si="235"/>
        <v>252.63510821752814</v>
      </c>
      <c r="X96" s="165">
        <f t="shared" si="235"/>
        <v>297.09888726381314</v>
      </c>
      <c r="Y96" s="165">
        <f t="shared" si="235"/>
        <v>349.38829142224427</v>
      </c>
      <c r="Z96" s="165">
        <f t="shared" si="235"/>
        <v>410.88063071255931</v>
      </c>
      <c r="AA96" s="165">
        <f t="shared" si="235"/>
        <v>483.1956217179698</v>
      </c>
      <c r="AB96" s="165">
        <f t="shared" si="235"/>
        <v>568.23805114033246</v>
      </c>
      <c r="AC96" s="138">
        <f t="shared" si="196"/>
        <v>0.26744795733941151</v>
      </c>
      <c r="AD96" s="20"/>
      <c r="AE96" s="20"/>
    </row>
    <row r="97" spans="2:31" x14ac:dyDescent="0.2">
      <c r="B97" s="20" t="s">
        <v>334</v>
      </c>
      <c r="C97" s="20"/>
      <c r="D97" s="20"/>
      <c r="E97" s="165">
        <f>(E96*0.17)+E96</f>
        <v>0</v>
      </c>
      <c r="F97" s="165">
        <f>(F96*0.17)+F96</f>
        <v>0</v>
      </c>
      <c r="G97" s="165">
        <f t="shared" ref="G97:P97" si="236">(G96*0.17)+G96</f>
        <v>7.3628099999999996</v>
      </c>
      <c r="H97" s="165">
        <f t="shared" si="236"/>
        <v>9.3102750000000007</v>
      </c>
      <c r="I97" s="165">
        <f t="shared" si="236"/>
        <v>19.758375000000001</v>
      </c>
      <c r="J97" s="165">
        <f t="shared" si="236"/>
        <v>21.220874999999999</v>
      </c>
      <c r="K97" s="165">
        <f t="shared" si="236"/>
        <v>59.172750000000008</v>
      </c>
      <c r="L97" s="165">
        <f t="shared" si="236"/>
        <v>84.532499999999999</v>
      </c>
      <c r="M97" s="165">
        <f t="shared" si="236"/>
        <v>166.06979999999999</v>
      </c>
      <c r="N97" s="165">
        <f t="shared" si="236"/>
        <v>91.2483</v>
      </c>
      <c r="O97" s="165">
        <f t="shared" si="236"/>
        <v>131.4144</v>
      </c>
      <c r="P97" s="165">
        <f t="shared" si="236"/>
        <v>131.4144</v>
      </c>
      <c r="Q97" s="118">
        <f t="shared" si="194"/>
        <v>0.37742067011990943</v>
      </c>
      <c r="R97" s="20"/>
      <c r="S97" s="165">
        <f t="shared" ref="S97:AB97" si="237">(S96*0.17)+S96</f>
        <v>154.54333440000002</v>
      </c>
      <c r="T97" s="165">
        <f t="shared" si="237"/>
        <v>181.74296125440006</v>
      </c>
      <c r="U97" s="165">
        <f t="shared" si="237"/>
        <v>213.72972243517447</v>
      </c>
      <c r="V97" s="165">
        <f t="shared" si="237"/>
        <v>251.34615358376521</v>
      </c>
      <c r="W97" s="165">
        <f t="shared" si="237"/>
        <v>295.58307661450795</v>
      </c>
      <c r="X97" s="165">
        <f t="shared" si="237"/>
        <v>347.60569809866138</v>
      </c>
      <c r="Y97" s="165">
        <f t="shared" si="237"/>
        <v>408.78430096402582</v>
      </c>
      <c r="Z97" s="165">
        <f t="shared" si="237"/>
        <v>480.73033793369439</v>
      </c>
      <c r="AA97" s="165">
        <f t="shared" si="237"/>
        <v>565.33887741002468</v>
      </c>
      <c r="AB97" s="165">
        <f t="shared" si="237"/>
        <v>664.83851983418901</v>
      </c>
      <c r="AC97" s="138">
        <f t="shared" si="196"/>
        <v>0.26744795733941151</v>
      </c>
      <c r="AD97" s="20"/>
      <c r="AE97" s="20"/>
    </row>
    <row r="98" spans="2:31" x14ac:dyDescent="0.2">
      <c r="B98" s="20" t="s">
        <v>335</v>
      </c>
      <c r="C98" s="20"/>
      <c r="D98" s="20"/>
      <c r="E98" s="20"/>
      <c r="F98" s="152" t="e">
        <f t="shared" ref="F98:P98" si="238">F97/F38</f>
        <v>#DIV/0!</v>
      </c>
      <c r="G98" s="152">
        <f t="shared" si="238"/>
        <v>0.4104130434782608</v>
      </c>
      <c r="H98" s="152">
        <f t="shared" si="238"/>
        <v>0.42319431818181824</v>
      </c>
      <c r="I98" s="152">
        <f t="shared" si="238"/>
        <v>0.32179763843648213</v>
      </c>
      <c r="J98" s="152">
        <f t="shared" si="238"/>
        <v>0.25262946428571426</v>
      </c>
      <c r="K98" s="152">
        <f t="shared" si="238"/>
        <v>0.42115836298932391</v>
      </c>
      <c r="L98" s="152">
        <f t="shared" si="238"/>
        <v>0.52504658385093173</v>
      </c>
      <c r="M98" s="152">
        <f t="shared" si="238"/>
        <v>0.81009658536585361</v>
      </c>
      <c r="N98" s="152">
        <f t="shared" si="238"/>
        <v>0.44295291262135922</v>
      </c>
      <c r="O98" s="152">
        <f t="shared" si="238"/>
        <v>0.59733818181818177</v>
      </c>
      <c r="P98" s="152">
        <f t="shared" si="238"/>
        <v>0.59733818181818177</v>
      </c>
      <c r="Q98" s="118">
        <f t="shared" si="194"/>
        <v>4.2583898423572686E-2</v>
      </c>
      <c r="R98" s="20"/>
      <c r="S98" s="152">
        <f t="shared" ref="S98:AB98" si="239">S97/S38</f>
        <v>0.62720509090909093</v>
      </c>
      <c r="T98" s="152">
        <f t="shared" si="239"/>
        <v>0.65856534545454548</v>
      </c>
      <c r="U98" s="152">
        <f t="shared" si="239"/>
        <v>0.69149361272727272</v>
      </c>
      <c r="V98" s="152">
        <f t="shared" si="239"/>
        <v>0.72606829336363632</v>
      </c>
      <c r="W98" s="152">
        <f t="shared" si="239"/>
        <v>0.76237170803181831</v>
      </c>
      <c r="X98" s="152">
        <f t="shared" si="239"/>
        <v>0.80049029343340927</v>
      </c>
      <c r="Y98" s="152">
        <f t="shared" si="239"/>
        <v>0.84051480810507972</v>
      </c>
      <c r="Z98" s="152">
        <f t="shared" si="239"/>
        <v>0.8825405485103337</v>
      </c>
      <c r="AA98" s="152">
        <f t="shared" si="239"/>
        <v>0.92666757593585047</v>
      </c>
      <c r="AB98" s="152">
        <f t="shared" si="239"/>
        <v>0.97300095473264281</v>
      </c>
      <c r="AC98" s="138">
        <f t="shared" si="196"/>
        <v>4.6480556900808434E-2</v>
      </c>
      <c r="AD98" s="20"/>
      <c r="AE98" s="20"/>
    </row>
    <row r="99" spans="2:31" x14ac:dyDescent="0.2">
      <c r="B99" s="20" t="s">
        <v>328</v>
      </c>
      <c r="C99" s="20"/>
      <c r="D99" s="20"/>
      <c r="E99" s="20"/>
      <c r="F99" s="152" t="e">
        <f>1-F98</f>
        <v>#DIV/0!</v>
      </c>
      <c r="G99" s="152">
        <f>1-G98</f>
        <v>0.5895869565217392</v>
      </c>
      <c r="H99" s="152">
        <f t="shared" ref="H99:P99" si="240">1-H98</f>
        <v>0.5768056818181817</v>
      </c>
      <c r="I99" s="152">
        <f t="shared" si="240"/>
        <v>0.67820236156351787</v>
      </c>
      <c r="J99" s="152">
        <f t="shared" si="240"/>
        <v>0.74737053571428569</v>
      </c>
      <c r="K99" s="152">
        <f t="shared" si="240"/>
        <v>0.57884163701067615</v>
      </c>
      <c r="L99" s="152">
        <f t="shared" si="240"/>
        <v>0.47495341614906827</v>
      </c>
      <c r="M99" s="152">
        <f t="shared" si="240"/>
        <v>0.18990341463414639</v>
      </c>
      <c r="N99" s="152">
        <f t="shared" si="240"/>
        <v>0.55704708737864084</v>
      </c>
      <c r="O99" s="152">
        <f t="shared" si="240"/>
        <v>0.40266181818181823</v>
      </c>
      <c r="P99" s="152">
        <f t="shared" si="240"/>
        <v>0.40266181818181823</v>
      </c>
      <c r="Q99" s="118">
        <f t="shared" si="194"/>
        <v>-4.148442113421702E-2</v>
      </c>
      <c r="R99" s="20"/>
      <c r="S99" s="152">
        <f t="shared" ref="S99:AB99" si="241">1-S98</f>
        <v>0.37279490909090907</v>
      </c>
      <c r="T99" s="152">
        <f t="shared" si="241"/>
        <v>0.34143465454545452</v>
      </c>
      <c r="U99" s="152">
        <f t="shared" si="241"/>
        <v>0.30850638727272728</v>
      </c>
      <c r="V99" s="152">
        <f t="shared" si="241"/>
        <v>0.27393170663636368</v>
      </c>
      <c r="W99" s="152">
        <f t="shared" si="241"/>
        <v>0.23762829196818169</v>
      </c>
      <c r="X99" s="152">
        <f t="shared" si="241"/>
        <v>0.19950970656659073</v>
      </c>
      <c r="Y99" s="152">
        <f t="shared" si="241"/>
        <v>0.15948519189492028</v>
      </c>
      <c r="Z99" s="152">
        <f t="shared" si="241"/>
        <v>0.1174594514896663</v>
      </c>
      <c r="AA99" s="152">
        <f t="shared" si="241"/>
        <v>7.3332424064149526E-2</v>
      </c>
      <c r="AB99" s="152">
        <f t="shared" si="241"/>
        <v>2.6999045267357191E-2</v>
      </c>
      <c r="AC99" s="138">
        <f t="shared" si="196"/>
        <v>-0.14981034172691754</v>
      </c>
      <c r="AD99" s="20"/>
      <c r="AE99" s="20"/>
    </row>
    <row r="100" spans="2:31" x14ac:dyDescent="0.2">
      <c r="B100" s="20"/>
      <c r="C100" s="20"/>
      <c r="D100" s="20"/>
      <c r="E100" s="20"/>
      <c r="F100" s="20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28"/>
      <c r="R100" s="20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28"/>
      <c r="AD100" s="20"/>
      <c r="AE100" s="20"/>
    </row>
    <row r="101" spans="2:31" x14ac:dyDescent="0.2">
      <c r="B101" s="20" t="s">
        <v>332</v>
      </c>
      <c r="C101" s="152"/>
      <c r="D101" s="152"/>
      <c r="E101" s="152"/>
      <c r="F101" s="152" t="e">
        <f>F31/F25</f>
        <v>#DIV/0!</v>
      </c>
      <c r="G101" s="152">
        <f>G31/G25</f>
        <v>0</v>
      </c>
      <c r="H101" s="152">
        <f t="shared" ref="H101:P101" si="242">H31/H25</f>
        <v>0</v>
      </c>
      <c r="I101" s="152">
        <f t="shared" si="242"/>
        <v>0</v>
      </c>
      <c r="J101" s="152">
        <f t="shared" si="242"/>
        <v>0</v>
      </c>
      <c r="K101" s="152">
        <f t="shared" si="242"/>
        <v>0</v>
      </c>
      <c r="L101" s="152">
        <f t="shared" si="242"/>
        <v>0</v>
      </c>
      <c r="M101" s="152">
        <f t="shared" si="242"/>
        <v>0</v>
      </c>
      <c r="N101" s="152">
        <f t="shared" si="242"/>
        <v>0</v>
      </c>
      <c r="O101" s="152">
        <f t="shared" si="242"/>
        <v>0</v>
      </c>
      <c r="P101" s="152">
        <f t="shared" si="242"/>
        <v>0</v>
      </c>
      <c r="Q101" s="118" t="e">
        <f t="shared" si="194"/>
        <v>#DIV/0!</v>
      </c>
      <c r="R101" s="20"/>
      <c r="S101" s="152">
        <f t="shared" ref="S101:AB101" si="243">S31/S25</f>
        <v>0</v>
      </c>
      <c r="T101" s="152">
        <f t="shared" si="243"/>
        <v>0</v>
      </c>
      <c r="U101" s="152">
        <f t="shared" si="243"/>
        <v>0</v>
      </c>
      <c r="V101" s="152">
        <f t="shared" si="243"/>
        <v>0</v>
      </c>
      <c r="W101" s="152">
        <f t="shared" si="243"/>
        <v>0</v>
      </c>
      <c r="X101" s="152">
        <f t="shared" si="243"/>
        <v>0</v>
      </c>
      <c r="Y101" s="152">
        <f t="shared" si="243"/>
        <v>0</v>
      </c>
      <c r="Z101" s="152">
        <f t="shared" si="243"/>
        <v>0</v>
      </c>
      <c r="AA101" s="152">
        <f t="shared" si="243"/>
        <v>0</v>
      </c>
      <c r="AB101" s="152">
        <f t="shared" si="243"/>
        <v>0</v>
      </c>
      <c r="AC101" s="138" t="e">
        <f t="shared" si="196"/>
        <v>#DIV/0!</v>
      </c>
      <c r="AD101" s="20"/>
      <c r="AE101" s="20"/>
    </row>
    <row r="102" spans="2:31" x14ac:dyDescent="0.2">
      <c r="B102" s="20" t="s">
        <v>329</v>
      </c>
      <c r="C102" s="152"/>
      <c r="D102" s="152"/>
      <c r="E102" s="152"/>
      <c r="F102" s="152" t="e">
        <f>F32/F25</f>
        <v>#DIV/0!</v>
      </c>
      <c r="G102" s="152">
        <f>G32/G25</f>
        <v>0</v>
      </c>
      <c r="H102" s="152">
        <f t="shared" ref="H102:P102" si="244">H32/H25</f>
        <v>0</v>
      </c>
      <c r="I102" s="152">
        <f t="shared" si="244"/>
        <v>0</v>
      </c>
      <c r="J102" s="152">
        <f t="shared" si="244"/>
        <v>0</v>
      </c>
      <c r="K102" s="152">
        <f t="shared" si="244"/>
        <v>0</v>
      </c>
      <c r="L102" s="152">
        <f t="shared" si="244"/>
        <v>0</v>
      </c>
      <c r="M102" s="152">
        <f t="shared" si="244"/>
        <v>0</v>
      </c>
      <c r="N102" s="152">
        <f t="shared" si="244"/>
        <v>0</v>
      </c>
      <c r="O102" s="152">
        <f t="shared" si="244"/>
        <v>0</v>
      </c>
      <c r="P102" s="152">
        <f t="shared" si="244"/>
        <v>0</v>
      </c>
      <c r="Q102" s="118" t="e">
        <f t="shared" si="194"/>
        <v>#DIV/0!</v>
      </c>
      <c r="R102" s="20"/>
      <c r="S102" s="152">
        <f t="shared" ref="S102:AB102" si="245">S32/S25</f>
        <v>0</v>
      </c>
      <c r="T102" s="152">
        <f t="shared" si="245"/>
        <v>0</v>
      </c>
      <c r="U102" s="152">
        <f t="shared" si="245"/>
        <v>0</v>
      </c>
      <c r="V102" s="152">
        <f t="shared" si="245"/>
        <v>0</v>
      </c>
      <c r="W102" s="152">
        <f t="shared" si="245"/>
        <v>0</v>
      </c>
      <c r="X102" s="152">
        <f t="shared" si="245"/>
        <v>0</v>
      </c>
      <c r="Y102" s="152">
        <f t="shared" si="245"/>
        <v>0</v>
      </c>
      <c r="Z102" s="152">
        <f t="shared" si="245"/>
        <v>0</v>
      </c>
      <c r="AA102" s="152">
        <f t="shared" si="245"/>
        <v>0</v>
      </c>
      <c r="AB102" s="152">
        <f t="shared" si="245"/>
        <v>0</v>
      </c>
      <c r="AC102" s="138" t="e">
        <f t="shared" si="196"/>
        <v>#DIV/0!</v>
      </c>
      <c r="AD102" s="20"/>
      <c r="AE102" s="20"/>
    </row>
    <row r="103" spans="2:31" x14ac:dyDescent="0.2">
      <c r="B103" s="20"/>
      <c r="C103" s="20"/>
      <c r="D103" s="20"/>
      <c r="E103" s="20"/>
      <c r="F103" s="20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28"/>
      <c r="R103" s="20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28"/>
      <c r="AD103" s="20"/>
      <c r="AE103" s="20"/>
    </row>
    <row r="104" spans="2:31" x14ac:dyDescent="0.2">
      <c r="B104" s="20" t="s">
        <v>353</v>
      </c>
      <c r="C104" s="20"/>
      <c r="D104" s="20"/>
      <c r="E104" s="20"/>
      <c r="F104" s="20"/>
      <c r="G104" s="152">
        <f>G27/G25</f>
        <v>0.54794520547945202</v>
      </c>
      <c r="H104" s="152">
        <f t="shared" ref="H104:P104" si="246">H27/H25</f>
        <v>0.57608695652173914</v>
      </c>
      <c r="I104" s="152">
        <f t="shared" si="246"/>
        <v>0.70068027210884354</v>
      </c>
      <c r="J104" s="152">
        <f t="shared" si="246"/>
        <v>0.69041769041769041</v>
      </c>
      <c r="K104" s="152">
        <f t="shared" si="246"/>
        <v>0.61931818181818177</v>
      </c>
      <c r="L104" s="152">
        <f t="shared" si="246"/>
        <v>0.6014362657091562</v>
      </c>
      <c r="M104" s="152">
        <f t="shared" si="246"/>
        <v>0.58739255014326652</v>
      </c>
      <c r="N104" s="152">
        <f t="shared" si="246"/>
        <v>0.64</v>
      </c>
      <c r="O104" s="152">
        <f t="shared" si="246"/>
        <v>0.65130260521042083</v>
      </c>
      <c r="P104" s="152">
        <f t="shared" si="246"/>
        <v>0.65130260521042083</v>
      </c>
      <c r="Q104" s="118">
        <f t="shared" si="194"/>
        <v>1.93854004048164E-2</v>
      </c>
      <c r="R104" s="20"/>
      <c r="S104" s="152">
        <f t="shared" ref="S104:AB104" si="247">S27/S25</f>
        <v>0.65130260521042083</v>
      </c>
      <c r="T104" s="152">
        <f t="shared" si="247"/>
        <v>0.65130260521042094</v>
      </c>
      <c r="U104" s="152">
        <f t="shared" si="247"/>
        <v>0.65130260521042094</v>
      </c>
      <c r="V104" s="152">
        <f t="shared" si="247"/>
        <v>0.65130260521042083</v>
      </c>
      <c r="W104" s="152">
        <f t="shared" si="247"/>
        <v>0.65130260521042094</v>
      </c>
      <c r="X104" s="152">
        <f t="shared" si="247"/>
        <v>0.65130260521042083</v>
      </c>
      <c r="Y104" s="152">
        <f t="shared" si="247"/>
        <v>0.65130260521042094</v>
      </c>
      <c r="Z104" s="152">
        <f t="shared" si="247"/>
        <v>0.65130260521042083</v>
      </c>
      <c r="AA104" s="152">
        <f t="shared" si="247"/>
        <v>0.65130260521042083</v>
      </c>
      <c r="AB104" s="152">
        <f t="shared" si="247"/>
        <v>0.65130260521042094</v>
      </c>
      <c r="AC104" s="138">
        <f t="shared" si="196"/>
        <v>9.1361704214951711E-3</v>
      </c>
      <c r="AD104" s="20"/>
      <c r="AE104" s="20"/>
    </row>
    <row r="105" spans="2:31" x14ac:dyDescent="0.2">
      <c r="B105" s="20" t="str">
        <f>B33</f>
        <v>Top Expenses ( Empl )</v>
      </c>
      <c r="C105" s="20"/>
      <c r="D105" s="20"/>
      <c r="E105" s="20"/>
      <c r="F105" s="20"/>
      <c r="G105" s="152">
        <f>G33/G25</f>
        <v>0.29452054794520549</v>
      </c>
      <c r="H105" s="152">
        <f t="shared" ref="H105:P105" si="248">H33/H25</f>
        <v>0.28804347826086957</v>
      </c>
      <c r="I105" s="152">
        <f t="shared" si="248"/>
        <v>0.39455782312925169</v>
      </c>
      <c r="J105" s="152">
        <f t="shared" si="248"/>
        <v>0.37592137592137592</v>
      </c>
      <c r="K105" s="152">
        <f t="shared" si="248"/>
        <v>0.36363636363636365</v>
      </c>
      <c r="L105" s="152">
        <f t="shared" si="248"/>
        <v>0.3734290843806104</v>
      </c>
      <c r="M105" s="152">
        <f t="shared" si="248"/>
        <v>0.37106017191977075</v>
      </c>
      <c r="N105" s="152">
        <f t="shared" si="248"/>
        <v>0.41529411764705881</v>
      </c>
      <c r="O105" s="152">
        <f t="shared" si="248"/>
        <v>0.43987975951903807</v>
      </c>
      <c r="P105" s="152">
        <f t="shared" si="248"/>
        <v>0.43987975951903807</v>
      </c>
      <c r="Q105" s="118">
        <f t="shared" si="194"/>
        <v>4.5580795156433096E-2</v>
      </c>
      <c r="R105" s="20"/>
      <c r="S105" s="152">
        <f t="shared" ref="S105:AB105" si="249">S33/S25</f>
        <v>0.43987975951903807</v>
      </c>
      <c r="T105" s="152">
        <f t="shared" si="249"/>
        <v>0.43987975951903807</v>
      </c>
      <c r="U105" s="152">
        <f t="shared" si="249"/>
        <v>0.43987975951903807</v>
      </c>
      <c r="V105" s="152">
        <f t="shared" si="249"/>
        <v>0.43987975951903802</v>
      </c>
      <c r="W105" s="152">
        <f t="shared" si="249"/>
        <v>0.43987975951903807</v>
      </c>
      <c r="X105" s="152">
        <f t="shared" si="249"/>
        <v>0.43987975951903802</v>
      </c>
      <c r="Y105" s="152">
        <f t="shared" si="249"/>
        <v>0.43987975951903807</v>
      </c>
      <c r="Z105" s="152">
        <f t="shared" si="249"/>
        <v>0.43987975951903802</v>
      </c>
      <c r="AA105" s="152">
        <f t="shared" si="249"/>
        <v>0.43987975951903802</v>
      </c>
      <c r="AB105" s="152">
        <f t="shared" si="249"/>
        <v>0.43987975951903802</v>
      </c>
      <c r="AC105" s="138">
        <f t="shared" si="196"/>
        <v>2.1337759574963311E-2</v>
      </c>
      <c r="AD105" s="20"/>
      <c r="AE105" s="20"/>
    </row>
    <row r="106" spans="2:31" x14ac:dyDescent="0.2">
      <c r="B106" s="20" t="str">
        <f>B34</f>
        <v>2nd highest Expenses Comp. (SG&amp;A )</v>
      </c>
      <c r="C106" s="20"/>
      <c r="D106" s="20"/>
      <c r="E106" s="20"/>
      <c r="F106" s="20"/>
      <c r="G106" s="152">
        <f>G34/G25</f>
        <v>0.21027397260273972</v>
      </c>
      <c r="H106" s="152">
        <f t="shared" ref="H106:P106" si="250">H34/H25</f>
        <v>0.23695652173913045</v>
      </c>
      <c r="I106" s="152">
        <f t="shared" si="250"/>
        <v>0.25170068027210885</v>
      </c>
      <c r="J106" s="152">
        <f t="shared" si="250"/>
        <v>0.26289926289926291</v>
      </c>
      <c r="K106" s="152">
        <f t="shared" si="250"/>
        <v>0.21306818181818182</v>
      </c>
      <c r="L106" s="152">
        <f t="shared" si="250"/>
        <v>0.18850987432675045</v>
      </c>
      <c r="M106" s="152">
        <f t="shared" si="250"/>
        <v>0.18481375358166188</v>
      </c>
      <c r="N106" s="152">
        <f t="shared" si="250"/>
        <v>0.18705882352941178</v>
      </c>
      <c r="O106" s="152">
        <f t="shared" si="250"/>
        <v>0.21142284569138275</v>
      </c>
      <c r="P106" s="152">
        <f t="shared" si="250"/>
        <v>0.21142284569138275</v>
      </c>
      <c r="Q106" s="118">
        <f t="shared" si="194"/>
        <v>6.056082266341356E-4</v>
      </c>
      <c r="R106" s="20"/>
      <c r="S106" s="152">
        <f t="shared" ref="S106:AB106" si="251">S34/S25</f>
        <v>0.21142284569138275</v>
      </c>
      <c r="T106" s="152">
        <f t="shared" si="251"/>
        <v>0.21142284569138278</v>
      </c>
      <c r="U106" s="152">
        <f t="shared" si="251"/>
        <v>0.21142284569138275</v>
      </c>
      <c r="V106" s="152">
        <f t="shared" si="251"/>
        <v>0.21142284569138275</v>
      </c>
      <c r="W106" s="152">
        <f t="shared" si="251"/>
        <v>0.21142284569138275</v>
      </c>
      <c r="X106" s="152">
        <f t="shared" si="251"/>
        <v>0.21142284569138275</v>
      </c>
      <c r="Y106" s="152">
        <f t="shared" si="251"/>
        <v>0.21142284569138275</v>
      </c>
      <c r="Z106" s="152">
        <f t="shared" si="251"/>
        <v>0.21142284569138275</v>
      </c>
      <c r="AA106" s="152">
        <f t="shared" si="251"/>
        <v>0.21142284569138275</v>
      </c>
      <c r="AB106" s="152">
        <f t="shared" si="251"/>
        <v>0.21142284569138278</v>
      </c>
      <c r="AC106" s="138">
        <f t="shared" si="196"/>
        <v>2.8682135063196057E-4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128"/>
      <c r="R107" s="128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39"/>
      <c r="AD107" s="20"/>
      <c r="AE107" s="20"/>
    </row>
    <row r="108" spans="2:31" x14ac:dyDescent="0.2">
      <c r="B108" s="108" t="s">
        <v>361</v>
      </c>
      <c r="C108" s="20"/>
      <c r="D108" s="20"/>
      <c r="E108" s="20"/>
      <c r="F108" s="20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118"/>
      <c r="R108" s="128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138"/>
      <c r="AD108" s="20"/>
      <c r="AE108" s="20"/>
    </row>
    <row r="109" spans="2:31" x14ac:dyDescent="0.2">
      <c r="B109" s="20" t="s">
        <v>364</v>
      </c>
      <c r="C109" s="20"/>
      <c r="D109" s="20"/>
      <c r="E109" s="20"/>
      <c r="F109" s="20"/>
      <c r="G109" s="25">
        <f>G15/G9</f>
        <v>0.88395061728395063</v>
      </c>
      <c r="H109" s="25">
        <f t="shared" ref="H109:AB109" si="252">H15/H9</f>
        <v>1.05</v>
      </c>
      <c r="I109" s="25">
        <f t="shared" si="252"/>
        <v>1.3648648648648649</v>
      </c>
      <c r="J109" s="25">
        <f t="shared" si="252"/>
        <v>1.303030303030303</v>
      </c>
      <c r="K109" s="25">
        <f t="shared" si="252"/>
        <v>1.3813559322033899</v>
      </c>
      <c r="L109" s="25">
        <f t="shared" si="252"/>
        <v>1.1366459627329193</v>
      </c>
      <c r="M109" s="25">
        <f t="shared" si="252"/>
        <v>0.96</v>
      </c>
      <c r="N109" s="25">
        <f t="shared" si="252"/>
        <v>0.75518672199170123</v>
      </c>
      <c r="O109" s="25">
        <f t="shared" si="252"/>
        <v>0.70680628272251311</v>
      </c>
      <c r="P109" s="25">
        <f t="shared" si="252"/>
        <v>0.70680628272251311</v>
      </c>
      <c r="Q109" s="118">
        <f t="shared" si="194"/>
        <v>-2.4543191867681391E-2</v>
      </c>
      <c r="R109" s="20"/>
      <c r="S109" s="20">
        <f t="shared" si="252"/>
        <v>0.70680628272251311</v>
      </c>
      <c r="T109" s="20">
        <f t="shared" si="252"/>
        <v>0.706806282722513</v>
      </c>
      <c r="U109" s="20">
        <f t="shared" si="252"/>
        <v>0.70680628272251311</v>
      </c>
      <c r="V109" s="20">
        <f t="shared" si="252"/>
        <v>0.70680628272251322</v>
      </c>
      <c r="W109" s="20">
        <f t="shared" si="252"/>
        <v>0.70680628272251322</v>
      </c>
      <c r="X109" s="20">
        <f t="shared" si="252"/>
        <v>0.70680628272251322</v>
      </c>
      <c r="Y109" s="20">
        <f t="shared" si="252"/>
        <v>0.70680628272251322</v>
      </c>
      <c r="Z109" s="20">
        <f t="shared" si="252"/>
        <v>0.70680628272251322</v>
      </c>
      <c r="AA109" s="20">
        <f t="shared" si="252"/>
        <v>0.70680628272251333</v>
      </c>
      <c r="AB109" s="20">
        <f t="shared" si="252"/>
        <v>0.70680628272251333</v>
      </c>
      <c r="AC109" s="138">
        <f t="shared" si="196"/>
        <v>-1.1701762319507925E-2</v>
      </c>
      <c r="AD109" s="20"/>
      <c r="AE109" s="20"/>
    </row>
    <row r="110" spans="2:31" x14ac:dyDescent="0.2">
      <c r="B110" s="20" t="s">
        <v>354</v>
      </c>
      <c r="C110" s="20"/>
      <c r="D110" s="20"/>
      <c r="E110" s="20"/>
      <c r="F110" s="20"/>
      <c r="G110" s="25">
        <f>G12/G9</f>
        <v>0.40185185185185185</v>
      </c>
      <c r="H110" s="25">
        <f t="shared" ref="H110:P110" si="253">H12/H9</f>
        <v>0.55000000000000004</v>
      </c>
      <c r="I110" s="25">
        <f t="shared" si="253"/>
        <v>0.51351351351351349</v>
      </c>
      <c r="J110" s="25">
        <f t="shared" si="253"/>
        <v>0.42525252525252527</v>
      </c>
      <c r="K110" s="25">
        <f t="shared" si="253"/>
        <v>1.0932203389830508</v>
      </c>
      <c r="L110" s="25">
        <f t="shared" si="253"/>
        <v>0.97515527950310554</v>
      </c>
      <c r="M110" s="25">
        <f t="shared" si="253"/>
        <v>0.92285714285714282</v>
      </c>
      <c r="N110" s="25">
        <f t="shared" si="253"/>
        <v>1.0705394190871369</v>
      </c>
      <c r="O110" s="25">
        <f t="shared" si="253"/>
        <v>0.40052356020942409</v>
      </c>
      <c r="P110" s="25">
        <f t="shared" si="253"/>
        <v>0.40052356020942409</v>
      </c>
      <c r="Q110" s="118">
        <f t="shared" si="194"/>
        <v>-3.6781025191612304E-4</v>
      </c>
      <c r="R110" s="128"/>
      <c r="S110" s="20">
        <f t="shared" ref="S110:AB110" si="254">S12/S9</f>
        <v>0.40052356020942409</v>
      </c>
      <c r="T110" s="20">
        <f t="shared" si="254"/>
        <v>0.40052356020942409</v>
      </c>
      <c r="U110" s="20">
        <f t="shared" si="254"/>
        <v>0.40052356020942409</v>
      </c>
      <c r="V110" s="20">
        <f t="shared" si="254"/>
        <v>0.40052356020942409</v>
      </c>
      <c r="W110" s="20">
        <f t="shared" si="254"/>
        <v>0.40052356020942409</v>
      </c>
      <c r="X110" s="20">
        <f t="shared" si="254"/>
        <v>0.40052356020942403</v>
      </c>
      <c r="Y110" s="20">
        <f t="shared" si="254"/>
        <v>0.40052356020942403</v>
      </c>
      <c r="Z110" s="20">
        <f t="shared" si="254"/>
        <v>0.40052356020942403</v>
      </c>
      <c r="AA110" s="20">
        <f t="shared" si="254"/>
        <v>0.40052356020942409</v>
      </c>
      <c r="AB110" s="20">
        <f t="shared" si="254"/>
        <v>0.40052356020942415</v>
      </c>
      <c r="AC110" s="118">
        <f t="shared" ref="AC110" si="255">((AB110/S110)^(1/($H$2-$H$1) ))-1</f>
        <v>0</v>
      </c>
      <c r="AD110" s="20"/>
      <c r="AE110" s="20"/>
    </row>
    <row r="111" spans="2:31" x14ac:dyDescent="0.2">
      <c r="B111" s="20" t="s">
        <v>356</v>
      </c>
      <c r="C111" s="20"/>
      <c r="D111" s="20"/>
      <c r="E111" s="20"/>
      <c r="F111" s="20"/>
      <c r="G111" s="25">
        <f>G25/360</f>
        <v>0.20277777777777778</v>
      </c>
      <c r="H111" s="25">
        <f t="shared" ref="H111:P111" si="256">H25/360</f>
        <v>0.25555555555555554</v>
      </c>
      <c r="I111" s="25">
        <f t="shared" si="256"/>
        <v>0.81666666666666665</v>
      </c>
      <c r="J111" s="25">
        <f t="shared" si="256"/>
        <v>1.1305555555555555</v>
      </c>
      <c r="K111" s="25">
        <f t="shared" si="256"/>
        <v>1.4666666666666666</v>
      </c>
      <c r="L111" s="25">
        <f t="shared" si="256"/>
        <v>1.5472222222222223</v>
      </c>
      <c r="M111" s="25">
        <f t="shared" si="256"/>
        <v>1.9388888888888889</v>
      </c>
      <c r="N111" s="25">
        <f t="shared" si="256"/>
        <v>2.3611111111111112</v>
      </c>
      <c r="O111" s="25">
        <f t="shared" si="256"/>
        <v>2.7722222222222221</v>
      </c>
      <c r="P111" s="25">
        <f t="shared" si="256"/>
        <v>2.7722222222222221</v>
      </c>
      <c r="Q111" s="118">
        <f t="shared" si="194"/>
        <v>0.33721381113185211</v>
      </c>
      <c r="R111" s="128"/>
      <c r="S111" s="25">
        <f t="shared" ref="S111:AB111" si="257">S25/360</f>
        <v>3.1048888888888895</v>
      </c>
      <c r="T111" s="25">
        <f t="shared" si="257"/>
        <v>3.4774755555555563</v>
      </c>
      <c r="U111" s="25">
        <f t="shared" si="257"/>
        <v>3.8947726222222236</v>
      </c>
      <c r="V111" s="25">
        <f t="shared" si="257"/>
        <v>4.3621453368888909</v>
      </c>
      <c r="W111" s="25">
        <f t="shared" si="257"/>
        <v>4.8856027773155581</v>
      </c>
      <c r="X111" s="25">
        <f t="shared" si="257"/>
        <v>5.4718751105934258</v>
      </c>
      <c r="Y111" s="25">
        <f t="shared" si="257"/>
        <v>6.1285001238646375</v>
      </c>
      <c r="Z111" s="25">
        <f t="shared" si="257"/>
        <v>6.8639201387283943</v>
      </c>
      <c r="AA111" s="25">
        <f t="shared" si="257"/>
        <v>7.6875905553758024</v>
      </c>
      <c r="AB111" s="25">
        <f t="shared" si="257"/>
        <v>8.6101014220209002</v>
      </c>
      <c r="AC111" s="118">
        <f t="shared" ref="AC111:AC122" si="258">((AB111/S111)^(1/($H$2-$H$1) ))-1</f>
        <v>0.12000000000000011</v>
      </c>
      <c r="AD111" s="20"/>
      <c r="AE111" s="20"/>
    </row>
    <row r="112" spans="2:31" x14ac:dyDescent="0.2">
      <c r="B112" s="20" t="s">
        <v>355</v>
      </c>
      <c r="C112" s="20"/>
      <c r="D112" s="20"/>
      <c r="E112" s="20"/>
      <c r="F112" s="20"/>
      <c r="G112" s="25">
        <f>G27/360</f>
        <v>0.1111111111111111</v>
      </c>
      <c r="H112" s="25">
        <f t="shared" ref="H112:P112" si="259">H27/360</f>
        <v>0.14722222222222223</v>
      </c>
      <c r="I112" s="25">
        <f t="shared" si="259"/>
        <v>0.57222222222222219</v>
      </c>
      <c r="J112" s="25">
        <f t="shared" si="259"/>
        <v>0.78055555555555556</v>
      </c>
      <c r="K112" s="25">
        <f t="shared" si="259"/>
        <v>0.90833333333333333</v>
      </c>
      <c r="L112" s="25">
        <f t="shared" si="259"/>
        <v>0.93055555555555558</v>
      </c>
      <c r="M112" s="25">
        <f t="shared" si="259"/>
        <v>1.1388888888888888</v>
      </c>
      <c r="N112" s="25">
        <f t="shared" si="259"/>
        <v>1.5111111111111111</v>
      </c>
      <c r="O112" s="25">
        <f t="shared" si="259"/>
        <v>1.8055555555555556</v>
      </c>
      <c r="P112" s="25">
        <f t="shared" si="259"/>
        <v>1.8055555555555556</v>
      </c>
      <c r="Q112" s="118">
        <f t="shared" si="194"/>
        <v>0.36313623628749347</v>
      </c>
      <c r="R112" s="128"/>
      <c r="S112" s="25">
        <f t="shared" ref="S112:AB112" si="260">S27/360</f>
        <v>2.0222222222222226</v>
      </c>
      <c r="T112" s="25">
        <f t="shared" si="260"/>
        <v>2.2648888888888896</v>
      </c>
      <c r="U112" s="25">
        <f t="shared" si="260"/>
        <v>2.5366755555555565</v>
      </c>
      <c r="V112" s="25">
        <f t="shared" si="260"/>
        <v>2.8410766222222237</v>
      </c>
      <c r="W112" s="25">
        <f t="shared" si="260"/>
        <v>3.1820058168888909</v>
      </c>
      <c r="X112" s="25">
        <f t="shared" si="260"/>
        <v>3.563846514915558</v>
      </c>
      <c r="Y112" s="25">
        <f t="shared" si="260"/>
        <v>3.9915080967054255</v>
      </c>
      <c r="Z112" s="25">
        <f t="shared" si="260"/>
        <v>4.4704890683100773</v>
      </c>
      <c r="AA112" s="25">
        <f t="shared" si="260"/>
        <v>5.0069477565072864</v>
      </c>
      <c r="AB112" s="25">
        <f t="shared" si="260"/>
        <v>5.6077814872881619</v>
      </c>
      <c r="AC112" s="118">
        <f t="shared" si="258"/>
        <v>0.12000000000000011</v>
      </c>
      <c r="AD112" s="20"/>
      <c r="AE112" s="20"/>
    </row>
    <row r="113" spans="2:31" x14ac:dyDescent="0.2">
      <c r="B113" s="20"/>
      <c r="C113" s="20"/>
      <c r="D113" s="20"/>
      <c r="E113" s="20"/>
      <c r="F113" s="20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128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128"/>
      <c r="AD113" s="20"/>
      <c r="AE113" s="20"/>
    </row>
    <row r="114" spans="2:31" x14ac:dyDescent="0.2">
      <c r="B114" s="20" t="s">
        <v>365</v>
      </c>
      <c r="C114" s="20"/>
      <c r="D114" s="20"/>
      <c r="E114" s="20"/>
      <c r="F114" s="20"/>
      <c r="G114" s="25">
        <f>G10/G7</f>
        <v>0</v>
      </c>
      <c r="H114" s="25">
        <f t="shared" ref="H114:P114" si="261">H10/H7</f>
        <v>0</v>
      </c>
      <c r="I114" s="25">
        <f t="shared" si="261"/>
        <v>0</v>
      </c>
      <c r="J114" s="25">
        <f t="shared" si="261"/>
        <v>0</v>
      </c>
      <c r="K114" s="25">
        <f t="shared" si="261"/>
        <v>0</v>
      </c>
      <c r="L114" s="25">
        <f t="shared" si="261"/>
        <v>0</v>
      </c>
      <c r="M114" s="25">
        <f t="shared" si="261"/>
        <v>0</v>
      </c>
      <c r="N114" s="25">
        <f t="shared" si="261"/>
        <v>0</v>
      </c>
      <c r="O114" s="25">
        <f t="shared" si="261"/>
        <v>0</v>
      </c>
      <c r="P114" s="25">
        <f t="shared" si="261"/>
        <v>0</v>
      </c>
      <c r="Q114" s="118" t="e">
        <f t="shared" si="194"/>
        <v>#DIV/0!</v>
      </c>
      <c r="R114" s="128"/>
      <c r="S114" s="25">
        <f t="shared" ref="S114:AB114" si="262">S10/S7</f>
        <v>0</v>
      </c>
      <c r="T114" s="25">
        <f t="shared" si="262"/>
        <v>0</v>
      </c>
      <c r="U114" s="25">
        <f t="shared" si="262"/>
        <v>0</v>
      </c>
      <c r="V114" s="25">
        <f t="shared" si="262"/>
        <v>0</v>
      </c>
      <c r="W114" s="25">
        <f t="shared" si="262"/>
        <v>0</v>
      </c>
      <c r="X114" s="25">
        <f t="shared" si="262"/>
        <v>0</v>
      </c>
      <c r="Y114" s="25">
        <f t="shared" si="262"/>
        <v>0</v>
      </c>
      <c r="Z114" s="25">
        <f t="shared" si="262"/>
        <v>0</v>
      </c>
      <c r="AA114" s="25">
        <f t="shared" si="262"/>
        <v>0</v>
      </c>
      <c r="AB114" s="25">
        <f t="shared" si="262"/>
        <v>0</v>
      </c>
      <c r="AC114" s="118" t="e">
        <f t="shared" si="258"/>
        <v>#DIV/0!</v>
      </c>
      <c r="AD114" s="20"/>
      <c r="AE114" s="20"/>
    </row>
    <row r="115" spans="2:31" x14ac:dyDescent="0.2">
      <c r="B115" s="20" t="s">
        <v>357</v>
      </c>
      <c r="C115" s="20"/>
      <c r="D115" s="20"/>
      <c r="E115" s="20"/>
      <c r="F115" s="20"/>
      <c r="G115" s="25">
        <f>G10/(G10+G7)</f>
        <v>0</v>
      </c>
      <c r="H115" s="25">
        <f t="shared" ref="H115:P115" si="263">H10/(H10+H7)</f>
        <v>0</v>
      </c>
      <c r="I115" s="25">
        <f t="shared" si="263"/>
        <v>0</v>
      </c>
      <c r="J115" s="25">
        <f t="shared" si="263"/>
        <v>0</v>
      </c>
      <c r="K115" s="25">
        <f t="shared" si="263"/>
        <v>0</v>
      </c>
      <c r="L115" s="25">
        <f t="shared" si="263"/>
        <v>0</v>
      </c>
      <c r="M115" s="25">
        <f t="shared" si="263"/>
        <v>0</v>
      </c>
      <c r="N115" s="25">
        <f t="shared" si="263"/>
        <v>0</v>
      </c>
      <c r="O115" s="25">
        <f t="shared" si="263"/>
        <v>0</v>
      </c>
      <c r="P115" s="25">
        <f t="shared" si="263"/>
        <v>0</v>
      </c>
      <c r="Q115" s="118" t="e">
        <f t="shared" si="194"/>
        <v>#DIV/0!</v>
      </c>
      <c r="R115" s="128"/>
      <c r="S115" s="25">
        <f t="shared" ref="S115:AB115" si="264">S10/(S10+S7)</f>
        <v>0</v>
      </c>
      <c r="T115" s="25">
        <f t="shared" si="264"/>
        <v>0</v>
      </c>
      <c r="U115" s="25">
        <f t="shared" si="264"/>
        <v>0</v>
      </c>
      <c r="V115" s="25">
        <f t="shared" si="264"/>
        <v>0</v>
      </c>
      <c r="W115" s="25">
        <f t="shared" si="264"/>
        <v>0</v>
      </c>
      <c r="X115" s="25">
        <f t="shared" si="264"/>
        <v>0</v>
      </c>
      <c r="Y115" s="25">
        <f t="shared" si="264"/>
        <v>0</v>
      </c>
      <c r="Z115" s="25">
        <f t="shared" si="264"/>
        <v>0</v>
      </c>
      <c r="AA115" s="25">
        <f t="shared" si="264"/>
        <v>0</v>
      </c>
      <c r="AB115" s="25">
        <f t="shared" si="264"/>
        <v>0</v>
      </c>
      <c r="AC115" s="118" t="e">
        <f t="shared" si="258"/>
        <v>#DIV/0!</v>
      </c>
      <c r="AD115" s="20"/>
      <c r="AE115" s="20"/>
    </row>
    <row r="116" spans="2:31" x14ac:dyDescent="0.2">
      <c r="B116" s="20"/>
      <c r="C116" s="20"/>
      <c r="D116" s="20"/>
      <c r="E116" s="20"/>
      <c r="F116" s="20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128"/>
      <c r="R116" s="128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137"/>
      <c r="AD116" s="20"/>
      <c r="AE116" s="20"/>
    </row>
    <row r="117" spans="2:31" x14ac:dyDescent="0.2">
      <c r="B117" s="20" t="s">
        <v>362</v>
      </c>
      <c r="C117" s="20"/>
      <c r="D117" s="20"/>
      <c r="E117" s="20"/>
      <c r="F117" s="20"/>
      <c r="G117" s="25">
        <f>G16</f>
        <v>-6.5</v>
      </c>
      <c r="H117" s="25">
        <f t="shared" ref="H117:P117" si="265">H16</f>
        <v>1.24</v>
      </c>
      <c r="I117" s="25">
        <f t="shared" si="265"/>
        <v>31.7</v>
      </c>
      <c r="J117" s="25">
        <f t="shared" si="265"/>
        <v>41.69</v>
      </c>
      <c r="K117" s="25">
        <f t="shared" si="265"/>
        <v>109</v>
      </c>
      <c r="L117" s="25">
        <f t="shared" si="265"/>
        <v>132</v>
      </c>
      <c r="M117" s="25">
        <f t="shared" si="265"/>
        <v>143</v>
      </c>
      <c r="N117" s="25">
        <f t="shared" si="265"/>
        <v>170</v>
      </c>
      <c r="O117" s="25">
        <f t="shared" si="265"/>
        <v>-53</v>
      </c>
      <c r="P117" s="25">
        <f t="shared" si="265"/>
        <v>-53</v>
      </c>
      <c r="Q117" s="118">
        <f t="shared" si="194"/>
        <v>0.26259045395070446</v>
      </c>
      <c r="R117" s="128"/>
      <c r="S117" s="25">
        <f t="shared" ref="S117:AB117" si="266">S16</f>
        <v>-59.360000000000007</v>
      </c>
      <c r="T117" s="25">
        <f t="shared" si="266"/>
        <v>-66.483200000000011</v>
      </c>
      <c r="U117" s="25">
        <f t="shared" si="266"/>
        <v>-74.461184000000017</v>
      </c>
      <c r="V117" s="25">
        <f t="shared" si="266"/>
        <v>-83.396526080000029</v>
      </c>
      <c r="W117" s="25">
        <f t="shared" si="266"/>
        <v>-93.404109209600037</v>
      </c>
      <c r="X117" s="25">
        <f t="shared" si="266"/>
        <v>-104.61260231475205</v>
      </c>
      <c r="Y117" s="25">
        <f t="shared" si="266"/>
        <v>-117.16611459252231</v>
      </c>
      <c r="Z117" s="25">
        <f t="shared" si="266"/>
        <v>-131.226048343625</v>
      </c>
      <c r="AA117" s="25">
        <f t="shared" si="266"/>
        <v>-146.97317414486</v>
      </c>
      <c r="AB117" s="25">
        <f t="shared" si="266"/>
        <v>-164.6099550422432</v>
      </c>
      <c r="AC117" s="118">
        <f t="shared" si="258"/>
        <v>0.12000000000000011</v>
      </c>
      <c r="AD117" s="20"/>
      <c r="AE117" s="20"/>
    </row>
    <row r="118" spans="2:31" x14ac:dyDescent="0.2">
      <c r="B118" s="20" t="s">
        <v>363</v>
      </c>
      <c r="C118" s="20"/>
      <c r="D118" s="20"/>
      <c r="E118" s="20"/>
      <c r="F118" s="20"/>
      <c r="G118" s="119">
        <f t="shared" ref="G118:P118" si="267">G117*365/G25</f>
        <v>-32.5</v>
      </c>
      <c r="H118" s="119">
        <f t="shared" si="267"/>
        <v>4.9195652173913045</v>
      </c>
      <c r="I118" s="119">
        <f t="shared" si="267"/>
        <v>39.355442176870746</v>
      </c>
      <c r="J118" s="119">
        <f t="shared" si="267"/>
        <v>37.387837837837836</v>
      </c>
      <c r="K118" s="119">
        <f t="shared" si="267"/>
        <v>75.350378787878782</v>
      </c>
      <c r="L118" s="119">
        <f t="shared" si="267"/>
        <v>86.499102333931774</v>
      </c>
      <c r="M118" s="119">
        <f t="shared" si="267"/>
        <v>74.777936962750715</v>
      </c>
      <c r="N118" s="119">
        <f t="shared" si="267"/>
        <v>73</v>
      </c>
      <c r="O118" s="119">
        <f t="shared" si="267"/>
        <v>-19.383767535070142</v>
      </c>
      <c r="P118" s="119">
        <f t="shared" si="267"/>
        <v>-19.383767535070142</v>
      </c>
      <c r="Q118" s="118">
        <f t="shared" si="194"/>
        <v>-5.5805105032518676E-2</v>
      </c>
      <c r="R118" s="128"/>
      <c r="S118" s="119">
        <f t="shared" ref="S118:AB118" si="268">S117*365/S25</f>
        <v>-19.383767535070138</v>
      </c>
      <c r="T118" s="119">
        <f t="shared" si="268"/>
        <v>-19.383767535070138</v>
      </c>
      <c r="U118" s="119">
        <f t="shared" si="268"/>
        <v>-19.383767535070138</v>
      </c>
      <c r="V118" s="119">
        <f t="shared" si="268"/>
        <v>-19.383767535070138</v>
      </c>
      <c r="W118" s="119">
        <f t="shared" si="268"/>
        <v>-19.383767535070138</v>
      </c>
      <c r="X118" s="119">
        <f t="shared" si="268"/>
        <v>-19.383767535070138</v>
      </c>
      <c r="Y118" s="119">
        <f t="shared" si="268"/>
        <v>-19.383767535070138</v>
      </c>
      <c r="Z118" s="119">
        <f t="shared" si="268"/>
        <v>-19.383767535070138</v>
      </c>
      <c r="AA118" s="119">
        <f t="shared" si="268"/>
        <v>-19.383767535070135</v>
      </c>
      <c r="AB118" s="119">
        <f t="shared" si="268"/>
        <v>-19.383767535070135</v>
      </c>
      <c r="AC118" s="118">
        <f t="shared" si="258"/>
        <v>0</v>
      </c>
      <c r="AD118" s="20"/>
      <c r="AE118" s="20"/>
    </row>
    <row r="119" spans="2:31" x14ac:dyDescent="0.2">
      <c r="B119" s="20" t="s">
        <v>366</v>
      </c>
      <c r="C119" s="20"/>
      <c r="D119" s="20"/>
      <c r="E119" s="20"/>
      <c r="F119" s="20"/>
      <c r="G119" s="133" t="e">
        <f>G73/G29</f>
        <v>#DIV/0!</v>
      </c>
      <c r="H119" s="133" t="e">
        <f t="shared" ref="H119:P119" si="269">H73/H29</f>
        <v>#DIV/0!</v>
      </c>
      <c r="I119" s="133" t="e">
        <f t="shared" si="269"/>
        <v>#DIV/0!</v>
      </c>
      <c r="J119" s="133" t="e">
        <f t="shared" si="269"/>
        <v>#DIV/0!</v>
      </c>
      <c r="K119" s="133" t="e">
        <f t="shared" si="269"/>
        <v>#DIV/0!</v>
      </c>
      <c r="L119" s="133" t="e">
        <f t="shared" si="269"/>
        <v>#DIV/0!</v>
      </c>
      <c r="M119" s="133" t="e">
        <f t="shared" si="269"/>
        <v>#DIV/0!</v>
      </c>
      <c r="N119" s="133" t="e">
        <f t="shared" si="269"/>
        <v>#DIV/0!</v>
      </c>
      <c r="O119" s="133" t="e">
        <f t="shared" si="269"/>
        <v>#DIV/0!</v>
      </c>
      <c r="P119" s="133" t="e">
        <f t="shared" si="269"/>
        <v>#DIV/0!</v>
      </c>
      <c r="Q119" s="118" t="e">
        <f t="shared" si="194"/>
        <v>#DIV/0!</v>
      </c>
      <c r="R119" s="128"/>
      <c r="S119" s="133" t="e">
        <f t="shared" ref="S119:AB119" si="270">S73/S29</f>
        <v>#DIV/0!</v>
      </c>
      <c r="T119" s="133" t="e">
        <f t="shared" si="270"/>
        <v>#DIV/0!</v>
      </c>
      <c r="U119" s="133" t="e">
        <f t="shared" si="270"/>
        <v>#DIV/0!</v>
      </c>
      <c r="V119" s="133" t="e">
        <f t="shared" si="270"/>
        <v>#DIV/0!</v>
      </c>
      <c r="W119" s="133" t="e">
        <f t="shared" si="270"/>
        <v>#DIV/0!</v>
      </c>
      <c r="X119" s="133" t="e">
        <f t="shared" si="270"/>
        <v>#DIV/0!</v>
      </c>
      <c r="Y119" s="133" t="e">
        <f t="shared" si="270"/>
        <v>#DIV/0!</v>
      </c>
      <c r="Z119" s="133" t="e">
        <f t="shared" si="270"/>
        <v>#DIV/0!</v>
      </c>
      <c r="AA119" s="133" t="e">
        <f t="shared" si="270"/>
        <v>#DIV/0!</v>
      </c>
      <c r="AB119" s="133" t="e">
        <f t="shared" si="270"/>
        <v>#DIV/0!</v>
      </c>
      <c r="AC119" s="118" t="e">
        <f t="shared" si="258"/>
        <v>#DIV/0!</v>
      </c>
      <c r="AD119" s="20"/>
      <c r="AE119" s="20"/>
    </row>
    <row r="120" spans="2:31" x14ac:dyDescent="0.2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128"/>
      <c r="R120" s="128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137"/>
      <c r="AD120" s="20"/>
      <c r="AE120" s="20"/>
    </row>
    <row r="121" spans="2:31" x14ac:dyDescent="0.2">
      <c r="B121" s="20" t="s">
        <v>373</v>
      </c>
      <c r="C121" s="20"/>
      <c r="D121" s="20"/>
      <c r="E121" s="20"/>
      <c r="F121" s="20"/>
      <c r="G121" s="181" t="e">
        <f>G25/G14</f>
        <v>#DIV/0!</v>
      </c>
      <c r="H121" s="181" t="e">
        <f t="shared" ref="H121:P121" si="271">H25/H14</f>
        <v>#DIV/0!</v>
      </c>
      <c r="I121" s="181" t="e">
        <f t="shared" si="271"/>
        <v>#DIV/0!</v>
      </c>
      <c r="J121" s="181" t="e">
        <f t="shared" si="271"/>
        <v>#DIV/0!</v>
      </c>
      <c r="K121" s="181" t="e">
        <f t="shared" si="271"/>
        <v>#DIV/0!</v>
      </c>
      <c r="L121" s="181" t="e">
        <f t="shared" si="271"/>
        <v>#DIV/0!</v>
      </c>
      <c r="M121" s="181" t="e">
        <f t="shared" si="271"/>
        <v>#DIV/0!</v>
      </c>
      <c r="N121" s="181" t="e">
        <f t="shared" si="271"/>
        <v>#DIV/0!</v>
      </c>
      <c r="O121" s="181" t="e">
        <f t="shared" si="271"/>
        <v>#DIV/0!</v>
      </c>
      <c r="P121" s="181" t="e">
        <f t="shared" si="271"/>
        <v>#DIV/0!</v>
      </c>
      <c r="Q121" s="118" t="e">
        <f t="shared" si="194"/>
        <v>#DIV/0!</v>
      </c>
      <c r="R121" s="128"/>
      <c r="S121" s="20" t="e">
        <f t="shared" ref="S121" si="272">S25/S14</f>
        <v>#DIV/0!</v>
      </c>
      <c r="T121" s="20" t="e">
        <f t="shared" ref="T121:AB121" si="273">T25/T14</f>
        <v>#DIV/0!</v>
      </c>
      <c r="U121" s="20" t="e">
        <f t="shared" si="273"/>
        <v>#DIV/0!</v>
      </c>
      <c r="V121" s="20" t="e">
        <f t="shared" si="273"/>
        <v>#DIV/0!</v>
      </c>
      <c r="W121" s="20" t="e">
        <f t="shared" si="273"/>
        <v>#DIV/0!</v>
      </c>
      <c r="X121" s="20" t="e">
        <f t="shared" si="273"/>
        <v>#DIV/0!</v>
      </c>
      <c r="Y121" s="20" t="e">
        <f t="shared" si="273"/>
        <v>#DIV/0!</v>
      </c>
      <c r="Z121" s="20" t="e">
        <f t="shared" si="273"/>
        <v>#DIV/0!</v>
      </c>
      <c r="AA121" s="20" t="e">
        <f t="shared" si="273"/>
        <v>#DIV/0!</v>
      </c>
      <c r="AB121" s="20" t="e">
        <f t="shared" si="273"/>
        <v>#DIV/0!</v>
      </c>
      <c r="AC121" s="118" t="e">
        <f t="shared" si="258"/>
        <v>#DIV/0!</v>
      </c>
      <c r="AD121" s="20"/>
      <c r="AE121" s="20"/>
    </row>
    <row r="122" spans="2:31" x14ac:dyDescent="0.2">
      <c r="B122" s="20" t="s">
        <v>374</v>
      </c>
      <c r="C122" s="20"/>
      <c r="D122" s="20"/>
      <c r="E122" s="20"/>
      <c r="F122" s="20"/>
      <c r="G122" s="181" t="e">
        <f>G27/G14</f>
        <v>#DIV/0!</v>
      </c>
      <c r="H122" s="181" t="e">
        <f t="shared" ref="H122:P122" si="274">H27/H14</f>
        <v>#DIV/0!</v>
      </c>
      <c r="I122" s="181" t="e">
        <f t="shared" si="274"/>
        <v>#DIV/0!</v>
      </c>
      <c r="J122" s="181" t="e">
        <f t="shared" si="274"/>
        <v>#DIV/0!</v>
      </c>
      <c r="K122" s="181" t="e">
        <f t="shared" si="274"/>
        <v>#DIV/0!</v>
      </c>
      <c r="L122" s="181" t="e">
        <f t="shared" si="274"/>
        <v>#DIV/0!</v>
      </c>
      <c r="M122" s="181" t="e">
        <f t="shared" si="274"/>
        <v>#DIV/0!</v>
      </c>
      <c r="N122" s="181" t="e">
        <f t="shared" si="274"/>
        <v>#DIV/0!</v>
      </c>
      <c r="O122" s="181" t="e">
        <f t="shared" si="274"/>
        <v>#DIV/0!</v>
      </c>
      <c r="P122" s="181" t="e">
        <f t="shared" si="274"/>
        <v>#DIV/0!</v>
      </c>
      <c r="Q122" s="118" t="e">
        <f t="shared" si="194"/>
        <v>#DIV/0!</v>
      </c>
      <c r="R122" s="128"/>
      <c r="S122" s="20" t="e">
        <f t="shared" ref="S122:AB122" si="275">S27/S14</f>
        <v>#DIV/0!</v>
      </c>
      <c r="T122" s="20" t="e">
        <f t="shared" si="275"/>
        <v>#DIV/0!</v>
      </c>
      <c r="U122" s="20" t="e">
        <f t="shared" si="275"/>
        <v>#DIV/0!</v>
      </c>
      <c r="V122" s="20" t="e">
        <f t="shared" si="275"/>
        <v>#DIV/0!</v>
      </c>
      <c r="W122" s="20" t="e">
        <f t="shared" si="275"/>
        <v>#DIV/0!</v>
      </c>
      <c r="X122" s="20" t="e">
        <f t="shared" si="275"/>
        <v>#DIV/0!</v>
      </c>
      <c r="Y122" s="20" t="e">
        <f t="shared" si="275"/>
        <v>#DIV/0!</v>
      </c>
      <c r="Z122" s="20" t="e">
        <f t="shared" si="275"/>
        <v>#DIV/0!</v>
      </c>
      <c r="AA122" s="20" t="e">
        <f t="shared" si="275"/>
        <v>#DIV/0!</v>
      </c>
      <c r="AB122" s="20" t="e">
        <f t="shared" si="275"/>
        <v>#DIV/0!</v>
      </c>
      <c r="AC122" s="118" t="e">
        <f t="shared" si="258"/>
        <v>#DIV/0!</v>
      </c>
      <c r="AD122" s="20"/>
      <c r="AE122" s="20"/>
    </row>
    <row r="123" spans="2:31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128"/>
      <c r="R123" s="128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37"/>
      <c r="AD123" s="20"/>
      <c r="AE123" s="20"/>
    </row>
    <row r="124" spans="2:31" x14ac:dyDescent="0.2">
      <c r="B124" s="108" t="s">
        <v>244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3"/>
      <c r="R124" s="23"/>
      <c r="S124" s="122" t="s">
        <v>66</v>
      </c>
      <c r="T124" s="20"/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 x14ac:dyDescent="0.2">
      <c r="B125" s="23" t="s">
        <v>281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5"/>
      <c r="Q125" s="160">
        <f>AVERAGE(G47:P47)</f>
        <v>106.76328637621512</v>
      </c>
      <c r="R125" s="23"/>
      <c r="S125" s="134"/>
      <c r="T125" s="20"/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 x14ac:dyDescent="0.2">
      <c r="B126" s="20" t="s">
        <v>25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40">
        <f>S126+T126</f>
        <v>45.611976050560948</v>
      </c>
      <c r="S126" s="133">
        <f>PV($C$1, ($AB$3-$S$3), 0, -AB47)</f>
        <v>5.2341611861299464</v>
      </c>
      <c r="T126" s="133">
        <f>PV($C$1, ($AB$3-$S$3), 0, -AE47)</f>
        <v>40.377814864431002</v>
      </c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 x14ac:dyDescent="0.2">
      <c r="B127" s="20" t="s">
        <v>273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40">
        <f t="shared" ref="R127:R145" si="276">S127+T127</f>
        <v>109.6760696852125</v>
      </c>
      <c r="S127" s="133">
        <f>PV($C$1, ($AB$3-$S$3), 0, -AB49)</f>
        <v>12.585778488467007</v>
      </c>
      <c r="T127" s="133">
        <f>PV($C$1, ($AB$3-$S$3), 0, -AE49)</f>
        <v>97.090291196745483</v>
      </c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 x14ac:dyDescent="0.2">
      <c r="B128" s="20" t="s">
        <v>274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40">
        <f t="shared" si="276"/>
        <v>108.22477953814919</v>
      </c>
      <c r="S128" s="133">
        <f>PV($C$1, ($AB$3-$S$3), 0, -AB50)</f>
        <v>12.419236996181056</v>
      </c>
      <c r="T128" s="133">
        <f>PV($C$1, ($AB$3-$S$3), 0, -AE50)</f>
        <v>95.805542541968137</v>
      </c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 x14ac:dyDescent="0.2">
      <c r="B129" s="20" t="s">
        <v>275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40">
        <f t="shared" si="276"/>
        <v>0</v>
      </c>
      <c r="S129" s="133">
        <f>PV($C$1, ($AB$3-$S$3), 0, -AB51)</f>
        <v>0</v>
      </c>
      <c r="T129" s="133">
        <f>PV($C$1, ($AB$3-$S$3), 0, -AE51)</f>
        <v>0</v>
      </c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 x14ac:dyDescent="0.2">
      <c r="B130" s="20" t="s">
        <v>276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40">
        <f t="shared" si="276"/>
        <v>31.721056071526473</v>
      </c>
      <c r="S130" s="133">
        <f>PV($C$1, ($AB$3-$S$3), 0, -AB57)</f>
        <v>3.6401211885358253</v>
      </c>
      <c r="T130" s="133">
        <f>PV($C$1, ($AB$3-$S$3), 0, -AE57)</f>
        <v>28.080934882990647</v>
      </c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 x14ac:dyDescent="0.2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40"/>
      <c r="S131" s="133"/>
      <c r="T131" s="20"/>
      <c r="U131" s="20"/>
      <c r="V131" s="20"/>
      <c r="W131" s="20"/>
      <c r="X131" s="20"/>
      <c r="Y131" s="20"/>
      <c r="Z131" s="20"/>
      <c r="AA131" s="20"/>
      <c r="AB131" s="20"/>
      <c r="AC131" s="137"/>
      <c r="AD131" s="20"/>
      <c r="AE131" s="20"/>
    </row>
    <row r="132" spans="2:31" x14ac:dyDescent="0.2">
      <c r="B132" s="20" t="s">
        <v>271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40">
        <f t="shared" si="276"/>
        <v>109.6760696852125</v>
      </c>
      <c r="S132" s="133">
        <f>PV($C$1, ($AB$3-$S$3), 0, -AB53)</f>
        <v>12.585778488467007</v>
      </c>
      <c r="T132" s="133">
        <f>PV($C$1, ($AB$3-$S$3), 0, -$AE$53)</f>
        <v>97.090291196745483</v>
      </c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272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40">
        <f t="shared" si="276"/>
        <v>30.477093088329376</v>
      </c>
      <c r="S133" s="133">
        <f>PV($C$1, ($AB$3-$S$3), 0, -AB54)</f>
        <v>3.4973713380050109</v>
      </c>
      <c r="T133" s="133">
        <f>PV($C$1, ($AB$3-$S$3), 0, -$AE$54)</f>
        <v>26.979721750324366</v>
      </c>
      <c r="U133" s="20"/>
      <c r="V133" s="20"/>
      <c r="W133" s="20"/>
      <c r="X133" s="20"/>
      <c r="Y133" s="20"/>
      <c r="Z133" s="20"/>
      <c r="AA133" s="20"/>
      <c r="AB133" s="20"/>
      <c r="AC133" s="137"/>
      <c r="AD133" s="20"/>
      <c r="AE133" s="20"/>
    </row>
    <row r="134" spans="2:31" x14ac:dyDescent="0.2">
      <c r="B134" s="20" t="s">
        <v>277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140">
        <f t="shared" si="276"/>
        <v>86.455427332199662</v>
      </c>
      <c r="S134" s="133">
        <f>PV($C$1, ($AB$3-$S$3), 0, -AB55)</f>
        <v>9.921114611891765</v>
      </c>
      <c r="T134" s="133">
        <f>PV($C$1, ($AB$3-$S$3), 0, -$AE$55)</f>
        <v>76.534312720307895</v>
      </c>
      <c r="U134" s="20"/>
      <c r="V134" s="20"/>
      <c r="W134" s="20"/>
      <c r="X134" s="20"/>
      <c r="Y134" s="20"/>
      <c r="Z134" s="20"/>
      <c r="AA134" s="20"/>
      <c r="AB134" s="20"/>
      <c r="AC134" s="137"/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40"/>
      <c r="S135" s="133"/>
      <c r="T135" s="20"/>
      <c r="U135" s="20"/>
      <c r="V135" s="20"/>
      <c r="W135" s="20"/>
      <c r="X135" s="20"/>
      <c r="Y135" s="20"/>
      <c r="Z135" s="20"/>
      <c r="AA135" s="20"/>
      <c r="AB135" s="20"/>
      <c r="AC135" s="137"/>
      <c r="AD135" s="20"/>
      <c r="AE135" s="20"/>
    </row>
    <row r="136" spans="2:31" x14ac:dyDescent="0.2">
      <c r="B136" s="20" t="s">
        <v>249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40">
        <f t="shared" si="276"/>
        <v>55.978334243870272</v>
      </c>
      <c r="S136" s="133">
        <f>PV($C$1, ($AB$3-$S$3), 0, -AB60)</f>
        <v>6.4237432738867524</v>
      </c>
      <c r="T136" s="133">
        <f>PV($C$1, ($AB$3-$S$3), 0, -AE60)</f>
        <v>49.554590969983522</v>
      </c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0" t="s">
        <v>250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40">
        <f t="shared" si="276"/>
        <v>-6.9925797994868226</v>
      </c>
      <c r="S137" s="133">
        <f>PV($C$1, ($AB$3-$S$3), 0, -AB61)</f>
        <v>-1.2609570130222139</v>
      </c>
      <c r="T137" s="133">
        <f>PV($C$1, ($AB$3-$S$3), 0, -AE61)</f>
        <v>-5.7316227864646088</v>
      </c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/>
      <c r="S138" s="133"/>
      <c r="T138" s="133"/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294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" si="277">S139+T139</f>
        <v>691.61591186908822</v>
      </c>
      <c r="S139" s="133">
        <f>PV($C$1, ($AB$3-$S$3), 0, -AB12)</f>
        <v>79.365760378419949</v>
      </c>
      <c r="T139" s="133">
        <f>PV($C$1, ($AB$3-$S$3), 0, -AE12)</f>
        <v>612.25015149066826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295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>S140+T140</f>
        <v>98.520785166536783</v>
      </c>
      <c r="S140" s="140">
        <f>S139/P40</f>
        <v>11.305663871569793</v>
      </c>
      <c r="T140" s="140">
        <f>T139/P40</f>
        <v>87.215121294966991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/>
      <c r="S141" s="140"/>
      <c r="T141" s="140"/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108" t="s">
        <v>298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/>
      <c r="S142" s="133"/>
      <c r="T142" s="133"/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 t="s">
        <v>283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>
        <f t="shared" ref="R143" si="278">S143+T143</f>
        <v>158.32084982031466</v>
      </c>
      <c r="S143" s="133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124.74165972364008</v>
      </c>
      <c r="T143" s="133">
        <f>PV($C$1, ($AB$3-$S$3), 0, -AE63)</f>
        <v>33.579190096674587</v>
      </c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3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/>
      <c r="S144" s="133"/>
      <c r="T144" s="133"/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291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276"/>
        <v>1565.9700730862098</v>
      </c>
      <c r="S145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1233.8343699899647</v>
      </c>
      <c r="T145" s="133">
        <f>PV($C$1, ($AB$3-$S$3), 0, -AE65)</f>
        <v>332.13570309624509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/>
      <c r="S146" s="133"/>
      <c r="T146" s="133"/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 t="s">
        <v>287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>
        <f t="shared" ref="R147:R150" si="279">S147+T147</f>
        <v>71.823426329876895</v>
      </c>
      <c r="S147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56.589977994659726</v>
      </c>
      <c r="T147" s="133">
        <f>PV($C$1, ($AB$3-$S$3), 0, -AE67)</f>
        <v>15.233448335217165</v>
      </c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288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279"/>
        <v>128.93603039941749</v>
      </c>
      <c r="S148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101.58923760487103</v>
      </c>
      <c r="T148" s="133">
        <f>PV($C$1, ($AB$3-$S$3), 0, -AE68)</f>
        <v>27.346792794546467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289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79"/>
        <v>-57.112604069540616</v>
      </c>
      <c r="S149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-44.999259610211318</v>
      </c>
      <c r="T149" s="133">
        <f>PV($C$1, ($AB$3-$S$3), 0, -AE69)</f>
        <v>-12.1133444593293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 t="s">
        <v>290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>
        <f t="shared" si="279"/>
        <v>-95.187673449234367</v>
      </c>
      <c r="S150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-74.998766017018866</v>
      </c>
      <c r="T150" s="133">
        <f>PV($C$1, ($AB$3-$S$3), 0, -AE70)</f>
        <v>-20.188907432215501</v>
      </c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/>
      <c r="S151" s="133"/>
      <c r="T151" s="133"/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31.15232949247671</v>
      </c>
      <c r="S152" s="133">
        <f>PV($C$1, ($AB$3-$S$3), 0, -AB71)+PV($C$1, ($AA$3-$S$3), 0, -AB71)+PV($C$1, ($Z$3-$S$3), 0, -AB71)+PV($C$1, ($Y$3-$S$3), 0, -AB71)+PV($C$1, ($X$3-$S$3), 0, -AB71)+PV($C$1, ($W$3-$S$3), 0, -AB71)+PV($C$1, ($V$3-$S$3), 0, -AB71)+PV($C$1, ($U$3-$S$3), 0, -AB71)+PV($C$1, ($T$3-$S$3), 0, -AB71)+PV($C$1, ($S$3-$S$3), 0, -AB71)</f>
        <v>24.545050696478906</v>
      </c>
      <c r="T152" s="133">
        <f>PV($C$1, ($AB$3-$S$3), 0, -AE71)</f>
        <v>6.6072787959978028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21"/>
      <c r="T153" s="2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251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 t="s">
        <v>389</v>
      </c>
      <c r="P154" s="20">
        <v>1100</v>
      </c>
      <c r="Q154" s="20">
        <v>450</v>
      </c>
      <c r="R154" s="20" t="s">
        <v>390</v>
      </c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204</v>
      </c>
      <c r="C155" s="22">
        <v>0</v>
      </c>
      <c r="D155" s="22">
        <v>0</v>
      </c>
      <c r="E155" s="22">
        <v>0</v>
      </c>
      <c r="F155" s="22">
        <v>0</v>
      </c>
      <c r="G155" s="22">
        <v>470</v>
      </c>
      <c r="H155" s="22">
        <v>650</v>
      </c>
      <c r="I155" s="22">
        <v>1600</v>
      </c>
      <c r="J155" s="22">
        <v>2000</v>
      </c>
      <c r="K155" s="22">
        <v>3000</v>
      </c>
      <c r="L155" s="22">
        <v>2120</v>
      </c>
      <c r="M155" s="22">
        <v>4900</v>
      </c>
      <c r="N155" s="22">
        <v>5600</v>
      </c>
      <c r="O155" s="22">
        <v>920</v>
      </c>
      <c r="P155" s="22">
        <v>500</v>
      </c>
      <c r="Q155" s="118">
        <f t="shared" ref="Q155:Q160" si="280">((P155/G155)^(1/($H$2-$H$1) ))-1</f>
        <v>6.8987322312663579E-3</v>
      </c>
      <c r="R155" s="31">
        <f>L2-3%</f>
        <v>0.09</v>
      </c>
      <c r="S155" s="119">
        <f t="shared" ref="S155" si="281">P155*(1+$R155)</f>
        <v>545</v>
      </c>
      <c r="T155" s="119">
        <f t="shared" ref="T155:AB155" si="282">S155*(1+$R155)</f>
        <v>594.05000000000007</v>
      </c>
      <c r="U155" s="119">
        <f t="shared" si="282"/>
        <v>647.51450000000011</v>
      </c>
      <c r="V155" s="119">
        <f t="shared" si="282"/>
        <v>705.7908050000002</v>
      </c>
      <c r="W155" s="119">
        <f t="shared" si="282"/>
        <v>769.31197745000031</v>
      </c>
      <c r="X155" s="119">
        <f t="shared" si="282"/>
        <v>838.55005542050037</v>
      </c>
      <c r="Y155" s="119">
        <f t="shared" si="282"/>
        <v>914.01956040834546</v>
      </c>
      <c r="Z155" s="119">
        <f t="shared" si="282"/>
        <v>996.28132084509662</v>
      </c>
      <c r="AA155" s="119">
        <f t="shared" si="282"/>
        <v>1085.9466397211554</v>
      </c>
      <c r="AB155" s="119">
        <f t="shared" si="282"/>
        <v>1183.6818372960595</v>
      </c>
      <c r="AC155" s="138">
        <f t="shared" ref="AC155:AC160" si="283">((AB155/G155)^(1/($AB$3-$H$1) ))-1</f>
        <v>4.9814290596094768E-2</v>
      </c>
      <c r="AD155" s="31">
        <v>0.08</v>
      </c>
      <c r="AE155" s="127">
        <f t="shared" ref="AE155:AE163" si="284">(AB155*(1+AC155))/($C$1-AD155)</f>
        <v>8876.0436308031767</v>
      </c>
    </row>
    <row r="156" spans="2:31" x14ac:dyDescent="0.2">
      <c r="B156" s="20" t="s">
        <v>360</v>
      </c>
      <c r="C156" s="25" t="e">
        <f t="shared" ref="C156:P156" si="285">C155/C44</f>
        <v>#DIV/0!</v>
      </c>
      <c r="D156" s="25" t="e">
        <f t="shared" si="285"/>
        <v>#DIV/0!</v>
      </c>
      <c r="E156" s="25" t="e">
        <f t="shared" si="285"/>
        <v>#DIV/0!</v>
      </c>
      <c r="F156" s="25" t="e">
        <f t="shared" si="285"/>
        <v>#DIV/0!</v>
      </c>
      <c r="G156" s="25">
        <f t="shared" si="285"/>
        <v>4.0516575342465755</v>
      </c>
      <c r="H156" s="25">
        <f t="shared" si="285"/>
        <v>4.4977173913043478</v>
      </c>
      <c r="I156" s="25">
        <f t="shared" si="285"/>
        <v>3.676190476190476</v>
      </c>
      <c r="J156" s="25">
        <f t="shared" si="285"/>
        <v>3.5651105651105652</v>
      </c>
      <c r="K156" s="25">
        <f t="shared" si="285"/>
        <v>4.1051136363636367</v>
      </c>
      <c r="L156" s="25">
        <f t="shared" si="285"/>
        <v>2.7499102333931775</v>
      </c>
      <c r="M156" s="25">
        <f t="shared" si="285"/>
        <v>4.9821346704871061</v>
      </c>
      <c r="N156" s="25">
        <f t="shared" si="285"/>
        <v>46.710588235294118</v>
      </c>
      <c r="O156" s="25">
        <f t="shared" si="285"/>
        <v>6.4713426853707405</v>
      </c>
      <c r="P156" s="25">
        <f t="shared" si="285"/>
        <v>3.5170340681362724</v>
      </c>
      <c r="Q156" s="118">
        <f t="shared" ref="Q156" si="286">((P156/G156)^(1/($H$2-$H$1) ))-1</f>
        <v>-1.5600151025640052E-2</v>
      </c>
      <c r="R156" s="128"/>
      <c r="S156" s="25">
        <f t="shared" ref="S156:AB156" si="287">S155/S44</f>
        <v>3.8335671342685358</v>
      </c>
      <c r="T156" s="25">
        <f t="shared" si="287"/>
        <v>4.1785881763527053</v>
      </c>
      <c r="U156" s="25">
        <f t="shared" si="287"/>
        <v>4.5546611122244487</v>
      </c>
      <c r="V156" s="25">
        <f t="shared" si="287"/>
        <v>4.9645806123246494</v>
      </c>
      <c r="W156" s="25">
        <f t="shared" si="287"/>
        <v>5.4113928674338698</v>
      </c>
      <c r="X156" s="25">
        <f t="shared" si="287"/>
        <v>5.8984182255029172</v>
      </c>
      <c r="Y156" s="25">
        <f t="shared" si="287"/>
        <v>6.4292758657981794</v>
      </c>
      <c r="Z156" s="25">
        <f t="shared" si="287"/>
        <v>7.0079106937200164</v>
      </c>
      <c r="AA156" s="25">
        <f t="shared" si="287"/>
        <v>7.6386226561548183</v>
      </c>
      <c r="AB156" s="25">
        <f t="shared" si="287"/>
        <v>8.3260986952087528</v>
      </c>
      <c r="AC156" s="138">
        <f t="shared" ref="AC156" si="288">((AB156/G156)^(1/($AB$3-$H$1) ))-1</f>
        <v>3.8636599887703404E-2</v>
      </c>
      <c r="AD156" s="31">
        <v>0.08</v>
      </c>
      <c r="AE156" s="127">
        <f t="shared" ref="AE156" si="289">(AB156*(1+AC156))/($C$1-AD156)</f>
        <v>61.769934565150443</v>
      </c>
    </row>
    <row r="157" spans="2:31" x14ac:dyDescent="0.2">
      <c r="B157" s="20" t="s">
        <v>388</v>
      </c>
      <c r="C157" s="25" t="e">
        <f t="shared" ref="C157:P157" si="290">C155/C47</f>
        <v>#DIV/0!</v>
      </c>
      <c r="D157" s="25" t="e">
        <f t="shared" si="290"/>
        <v>#DIV/0!</v>
      </c>
      <c r="E157" s="25" t="e">
        <f t="shared" si="290"/>
        <v>#DIV/0!</v>
      </c>
      <c r="F157" s="25" t="e">
        <f t="shared" si="290"/>
        <v>#DIV/0!</v>
      </c>
      <c r="G157" s="25">
        <f t="shared" si="290"/>
        <v>16.486677814938684</v>
      </c>
      <c r="H157" s="25">
        <f t="shared" si="290"/>
        <v>18.808636363636364</v>
      </c>
      <c r="I157" s="25">
        <f t="shared" si="290"/>
        <v>17.602605863192181</v>
      </c>
      <c r="J157" s="25">
        <f t="shared" si="290"/>
        <v>17.273809523809526</v>
      </c>
      <c r="K157" s="25">
        <f t="shared" si="290"/>
        <v>15.427046263345197</v>
      </c>
      <c r="L157" s="25">
        <f t="shared" si="290"/>
        <v>9.5136645962732924</v>
      </c>
      <c r="M157" s="25">
        <f t="shared" si="290"/>
        <v>16.963560975609756</v>
      </c>
      <c r="N157" s="25">
        <f t="shared" si="290"/>
        <v>192.73786407766991</v>
      </c>
      <c r="O157" s="25">
        <f t="shared" si="290"/>
        <v>29.356363636363636</v>
      </c>
      <c r="P157" s="25">
        <f t="shared" si="290"/>
        <v>15.954545454545453</v>
      </c>
      <c r="Q157" s="118">
        <f t="shared" si="280"/>
        <v>-3.6387945403799637E-3</v>
      </c>
      <c r="R157" s="128"/>
      <c r="S157" s="119">
        <f t="shared" ref="S157:AB157" si="291">S155/S47</f>
        <v>17.390454545454542</v>
      </c>
      <c r="T157" s="119">
        <f t="shared" si="291"/>
        <v>18.955595454545453</v>
      </c>
      <c r="U157" s="119">
        <f t="shared" si="291"/>
        <v>20.661599045454548</v>
      </c>
      <c r="V157" s="119">
        <f t="shared" si="291"/>
        <v>22.521142959545454</v>
      </c>
      <c r="W157" s="119">
        <f t="shared" si="291"/>
        <v>24.548045825904552</v>
      </c>
      <c r="X157" s="119">
        <f t="shared" si="291"/>
        <v>26.757369950235962</v>
      </c>
      <c r="Y157" s="119">
        <f t="shared" si="291"/>
        <v>29.165533245757199</v>
      </c>
      <c r="Z157" s="119">
        <f t="shared" si="291"/>
        <v>31.79043123787535</v>
      </c>
      <c r="AA157" s="119">
        <f t="shared" si="291"/>
        <v>34.651570049284139</v>
      </c>
      <c r="AB157" s="119">
        <f t="shared" si="291"/>
        <v>37.770211353719709</v>
      </c>
      <c r="AC157" s="138">
        <f t="shared" si="283"/>
        <v>4.4595677537309975E-2</v>
      </c>
      <c r="AD157" s="31">
        <v>0.08</v>
      </c>
      <c r="AE157" s="127">
        <f t="shared" si="284"/>
        <v>281.81856799833025</v>
      </c>
    </row>
    <row r="158" spans="2:31" x14ac:dyDescent="0.2">
      <c r="B158" s="20" t="s">
        <v>259</v>
      </c>
      <c r="C158" s="25" t="e">
        <f t="shared" ref="C158:P158" si="292">C155/C50</f>
        <v>#DIV/0!</v>
      </c>
      <c r="D158" s="25" t="e">
        <f t="shared" si="292"/>
        <v>#DIV/0!</v>
      </c>
      <c r="E158" s="25" t="e">
        <f t="shared" si="292"/>
        <v>#DIV/0!</v>
      </c>
      <c r="F158" s="25" t="e">
        <f t="shared" si="292"/>
        <v>#DIV/0!</v>
      </c>
      <c r="G158" s="25">
        <f t="shared" si="292"/>
        <v>3.3232696629213483</v>
      </c>
      <c r="H158" s="25">
        <f t="shared" si="292"/>
        <v>3.9787500000000002</v>
      </c>
      <c r="I158" s="25">
        <f t="shared" si="292"/>
        <v>5.9384615384615387</v>
      </c>
      <c r="J158" s="25">
        <f t="shared" si="292"/>
        <v>5.3740740740740742</v>
      </c>
      <c r="K158" s="25">
        <f t="shared" si="292"/>
        <v>6.1928571428571431</v>
      </c>
      <c r="L158" s="25">
        <f t="shared" si="292"/>
        <v>3.5955399061032867</v>
      </c>
      <c r="M158" s="25">
        <f t="shared" si="292"/>
        <v>8.9858656330749351</v>
      </c>
      <c r="N158" s="25">
        <f t="shared" si="292"/>
        <v>97.793103448275872</v>
      </c>
      <c r="O158" s="25">
        <f t="shared" si="292"/>
        <v>12.372413793103448</v>
      </c>
      <c r="P158" s="25">
        <f t="shared" si="292"/>
        <v>6.7241379310344822</v>
      </c>
      <c r="Q158" s="118">
        <f t="shared" si="280"/>
        <v>8.1453603966968213E-2</v>
      </c>
      <c r="R158" s="128"/>
      <c r="S158" s="119">
        <f t="shared" ref="S158:AB158" si="293">S155/S50</f>
        <v>7.3293103448275856</v>
      </c>
      <c r="T158" s="119">
        <f t="shared" si="293"/>
        <v>7.9889482758620689</v>
      </c>
      <c r="U158" s="119">
        <f t="shared" si="293"/>
        <v>8.7079536206896542</v>
      </c>
      <c r="V158" s="119">
        <f t="shared" si="293"/>
        <v>9.4916694465517235</v>
      </c>
      <c r="W158" s="119">
        <f t="shared" si="293"/>
        <v>10.345919696741381</v>
      </c>
      <c r="X158" s="119">
        <f t="shared" si="293"/>
        <v>11.277052469448103</v>
      </c>
      <c r="Y158" s="119">
        <f t="shared" si="293"/>
        <v>12.291987191698436</v>
      </c>
      <c r="Z158" s="119">
        <f t="shared" si="293"/>
        <v>13.398266038951295</v>
      </c>
      <c r="AA158" s="119">
        <f t="shared" si="293"/>
        <v>14.604109982456913</v>
      </c>
      <c r="AB158" s="119">
        <f t="shared" si="293"/>
        <v>15.918479880878033</v>
      </c>
      <c r="AC158" s="138">
        <f t="shared" si="283"/>
        <v>8.5943320609430662E-2</v>
      </c>
      <c r="AD158" s="31">
        <v>0.08</v>
      </c>
      <c r="AE158" s="127">
        <f t="shared" si="284"/>
        <v>123.47547786353647</v>
      </c>
    </row>
    <row r="159" spans="2:31" x14ac:dyDescent="0.2">
      <c r="B159" s="20" t="s">
        <v>260</v>
      </c>
      <c r="C159" s="25" t="e">
        <f t="shared" ref="C159:P159" si="294">C155/C59</f>
        <v>#DIV/0!</v>
      </c>
      <c r="D159" s="25" t="e">
        <f t="shared" si="294"/>
        <v>#DIV/0!</v>
      </c>
      <c r="E159" s="25" t="e">
        <f t="shared" si="294"/>
        <v>#DIV/0!</v>
      </c>
      <c r="F159" s="25" t="e">
        <f t="shared" si="294"/>
        <v>#DIV/0!</v>
      </c>
      <c r="G159" s="25">
        <f t="shared" si="294"/>
        <v>4.7574553643236284</v>
      </c>
      <c r="H159" s="25">
        <f t="shared" si="294"/>
        <v>5.3392258064516129</v>
      </c>
      <c r="I159" s="25">
        <f t="shared" si="294"/>
        <v>13.856410256410257</v>
      </c>
      <c r="J159" s="25">
        <f t="shared" si="294"/>
        <v>10.393982808022923</v>
      </c>
      <c r="K159" s="25">
        <f t="shared" si="294"/>
        <v>9.03125</v>
      </c>
      <c r="L159" s="25">
        <f t="shared" si="294"/>
        <v>5.8239543726235743</v>
      </c>
      <c r="M159" s="25">
        <f t="shared" si="294"/>
        <v>18.546826666666664</v>
      </c>
      <c r="N159" s="25">
        <f t="shared" si="294"/>
        <v>144.98448055504841</v>
      </c>
      <c r="O159" s="25">
        <f t="shared" si="294"/>
        <v>24.098507462686566</v>
      </c>
      <c r="P159" s="25">
        <f t="shared" si="294"/>
        <v>13.097014925373134</v>
      </c>
      <c r="Q159" s="118">
        <f t="shared" si="280"/>
        <v>0.11909356897340606</v>
      </c>
      <c r="R159" s="128"/>
      <c r="S159" s="119">
        <f t="shared" ref="S159:AB159" si="295">S155/S59</f>
        <v>14.275746268656716</v>
      </c>
      <c r="T159" s="119">
        <f t="shared" si="295"/>
        <v>15.560563432835822</v>
      </c>
      <c r="U159" s="119">
        <f t="shared" si="295"/>
        <v>16.961014141791047</v>
      </c>
      <c r="V159" s="119">
        <f t="shared" si="295"/>
        <v>18.487505414552242</v>
      </c>
      <c r="W159" s="119">
        <f t="shared" si="295"/>
        <v>20.151380901861948</v>
      </c>
      <c r="X159" s="119">
        <f t="shared" si="295"/>
        <v>21.965005183029522</v>
      </c>
      <c r="Y159" s="119">
        <f t="shared" si="295"/>
        <v>23.94185564950218</v>
      </c>
      <c r="Z159" s="119">
        <f t="shared" si="295"/>
        <v>26.096622657957379</v>
      </c>
      <c r="AA159" s="119">
        <f t="shared" si="295"/>
        <v>28.445318697173548</v>
      </c>
      <c r="AB159" s="119">
        <f t="shared" si="295"/>
        <v>31.00539737991917</v>
      </c>
      <c r="AC159" s="138">
        <f t="shared" si="283"/>
        <v>0.10368565758422266</v>
      </c>
      <c r="AD159" s="31">
        <v>0.08</v>
      </c>
      <c r="AE159" s="127">
        <f t="shared" si="284"/>
        <v>244.43008854225869</v>
      </c>
    </row>
    <row r="160" spans="2:31" x14ac:dyDescent="0.2">
      <c r="B160" s="20" t="s">
        <v>261</v>
      </c>
      <c r="C160" s="25" t="e">
        <f t="shared" ref="C160:P160" si="296">C155/C61</f>
        <v>#DIV/0!</v>
      </c>
      <c r="D160" s="25" t="e">
        <f t="shared" si="296"/>
        <v>#DIV/0!</v>
      </c>
      <c r="E160" s="25" t="e">
        <f t="shared" si="296"/>
        <v>#DIV/0!</v>
      </c>
      <c r="F160" s="25" t="e">
        <f t="shared" si="296"/>
        <v>#DIV/0!</v>
      </c>
      <c r="G160" s="25">
        <f t="shared" si="296"/>
        <v>-45.503230769230768</v>
      </c>
      <c r="H160" s="25">
        <f t="shared" si="296"/>
        <v>333.70161290322585</v>
      </c>
      <c r="I160" s="25">
        <f t="shared" si="296"/>
        <v>34.094637223974765</v>
      </c>
      <c r="J160" s="25">
        <f t="shared" si="296"/>
        <v>34.804509474694179</v>
      </c>
      <c r="K160" s="25">
        <f t="shared" si="296"/>
        <v>19.88532110091743</v>
      </c>
      <c r="L160" s="25">
        <f t="shared" si="296"/>
        <v>11.603787878787879</v>
      </c>
      <c r="M160" s="25">
        <f t="shared" si="296"/>
        <v>24.318391608391607</v>
      </c>
      <c r="N160" s="25">
        <f t="shared" si="296"/>
        <v>233.5529411764706</v>
      </c>
      <c r="O160" s="25">
        <f t="shared" si="296"/>
        <v>-121.85660377358491</v>
      </c>
      <c r="P160" s="25">
        <f t="shared" si="296"/>
        <v>-66.226415094339615</v>
      </c>
      <c r="Q160" s="118">
        <f t="shared" si="280"/>
        <v>4.2581202483903846E-2</v>
      </c>
      <c r="R160" s="128"/>
      <c r="S160" s="119">
        <f t="shared" ref="S160:AB160" si="297">S155/S61</f>
        <v>-72.186792452830176</v>
      </c>
      <c r="T160" s="119">
        <f t="shared" si="297"/>
        <v>-78.68360377358492</v>
      </c>
      <c r="U160" s="119">
        <f t="shared" si="297"/>
        <v>-85.765128113207567</v>
      </c>
      <c r="V160" s="119">
        <f t="shared" si="297"/>
        <v>-93.483989643396242</v>
      </c>
      <c r="W160" s="119">
        <f t="shared" si="297"/>
        <v>-101.89754871130192</v>
      </c>
      <c r="X160" s="119">
        <f t="shared" si="297"/>
        <v>-111.06832809531909</v>
      </c>
      <c r="Y160" s="119">
        <f t="shared" si="297"/>
        <v>-121.06447762389783</v>
      </c>
      <c r="Z160" s="119">
        <f t="shared" si="297"/>
        <v>-131.96028061004864</v>
      </c>
      <c r="AA160" s="119">
        <f t="shared" si="297"/>
        <v>-143.83670586495305</v>
      </c>
      <c r="AB160" s="119">
        <f t="shared" si="297"/>
        <v>-156.78200939279881</v>
      </c>
      <c r="AC160" s="138">
        <f t="shared" si="283"/>
        <v>6.7275465422561576E-2</v>
      </c>
      <c r="AD160" s="31">
        <v>0.08</v>
      </c>
      <c r="AE160" s="127">
        <f t="shared" si="284"/>
        <v>-1195.2113717470268</v>
      </c>
    </row>
    <row r="161" spans="2:31" x14ac:dyDescent="0.2">
      <c r="B161" s="20" t="s">
        <v>282</v>
      </c>
      <c r="C161" s="25" t="e">
        <f>C157/C107</f>
        <v>#DIV/0!</v>
      </c>
      <c r="D161" s="25" t="e">
        <f>D157/D107</f>
        <v>#DIV/0!</v>
      </c>
      <c r="E161" s="25" t="e">
        <f>E157/E107</f>
        <v>#DIV/0!</v>
      </c>
      <c r="F161" s="25" t="e">
        <f>F157/F107</f>
        <v>#DIV/0!</v>
      </c>
      <c r="G161" s="25">
        <f t="shared" ref="G161:P161" si="298">G155/G55</f>
        <v>3.1762349656357389</v>
      </c>
      <c r="H161" s="25">
        <f t="shared" si="298"/>
        <v>3.7278378378378378</v>
      </c>
      <c r="I161" s="25">
        <f t="shared" si="298"/>
        <v>5.0037037037037031</v>
      </c>
      <c r="J161" s="25">
        <f t="shared" si="298"/>
        <v>4.7418300653594772</v>
      </c>
      <c r="K161" s="25">
        <f t="shared" si="298"/>
        <v>5.3917910447761201</v>
      </c>
      <c r="L161" s="25">
        <f t="shared" si="298"/>
        <v>3.3663736263736266</v>
      </c>
      <c r="M161" s="25">
        <f t="shared" si="298"/>
        <v>8.9627061855670096</v>
      </c>
      <c r="N161" s="25">
        <f t="shared" si="298"/>
        <v>112.15819209039549</v>
      </c>
      <c r="O161" s="25">
        <f t="shared" si="298"/>
        <v>15.487769784172661</v>
      </c>
      <c r="P161" s="25">
        <f t="shared" si="298"/>
        <v>8.4172661870503589</v>
      </c>
      <c r="Q161" s="118">
        <f t="shared" ref="Q161:Q163" si="299">((P161/G161)^(1/($H$2-$H$1) ))-1</f>
        <v>0.11436821294102417</v>
      </c>
      <c r="R161" s="128"/>
      <c r="S161" s="135">
        <f t="shared" ref="S161:AB161" si="300">S155/S55</f>
        <v>9.1748201438848902</v>
      </c>
      <c r="T161" s="135">
        <f t="shared" si="300"/>
        <v>10.000553956834533</v>
      </c>
      <c r="U161" s="135">
        <f t="shared" si="300"/>
        <v>10.900603812949644</v>
      </c>
      <c r="V161" s="135">
        <f t="shared" si="300"/>
        <v>11.881658156115112</v>
      </c>
      <c r="W161" s="135">
        <f t="shared" si="300"/>
        <v>12.951007390165472</v>
      </c>
      <c r="X161" s="135">
        <f t="shared" si="300"/>
        <v>14.116598055280365</v>
      </c>
      <c r="Y161" s="135">
        <f t="shared" si="300"/>
        <v>15.3870918802556</v>
      </c>
      <c r="Z161" s="135">
        <f t="shared" si="300"/>
        <v>16.7719301494786</v>
      </c>
      <c r="AA161" s="135">
        <f t="shared" si="300"/>
        <v>18.281403862931679</v>
      </c>
      <c r="AB161" s="135">
        <f t="shared" si="300"/>
        <v>19.926730210595522</v>
      </c>
      <c r="AC161" s="138">
        <f t="shared" ref="AC161" si="301">((AB161/G161)^(1/($AB$3-$H$1) ))-1</f>
        <v>0.10147569056065797</v>
      </c>
      <c r="AD161" s="31">
        <v>0.08</v>
      </c>
      <c r="AE161" s="127">
        <f t="shared" si="284"/>
        <v>156.77720656665448</v>
      </c>
    </row>
    <row r="162" spans="2:31" x14ac:dyDescent="0.2">
      <c r="B162" s="20" t="s">
        <v>370</v>
      </c>
      <c r="C162" s="161" t="e">
        <f t="shared" ref="C162:P162" si="302">C47/C155</f>
        <v>#DIV/0!</v>
      </c>
      <c r="D162" s="161" t="e">
        <f t="shared" si="302"/>
        <v>#DIV/0!</v>
      </c>
      <c r="E162" s="161" t="e">
        <f t="shared" si="302"/>
        <v>#DIV/0!</v>
      </c>
      <c r="F162" s="161" t="e">
        <f t="shared" si="302"/>
        <v>#DIV/0!</v>
      </c>
      <c r="G162" s="161">
        <f t="shared" si="302"/>
        <v>6.0655033793035835E-2</v>
      </c>
      <c r="H162" s="161">
        <f t="shared" si="302"/>
        <v>5.3167065419657315E-2</v>
      </c>
      <c r="I162" s="161">
        <f t="shared" si="302"/>
        <v>5.680977054034049E-2</v>
      </c>
      <c r="J162" s="161">
        <f t="shared" si="302"/>
        <v>5.7891109579600274E-2</v>
      </c>
      <c r="K162" s="161">
        <f t="shared" si="302"/>
        <v>6.4821222606689724E-2</v>
      </c>
      <c r="L162" s="161">
        <f t="shared" si="302"/>
        <v>0.1051119670953842</v>
      </c>
      <c r="M162" s="161">
        <f t="shared" si="302"/>
        <v>5.89498868449733E-2</v>
      </c>
      <c r="N162" s="161">
        <f t="shared" si="302"/>
        <v>5.1883941164618174E-3</v>
      </c>
      <c r="O162" s="161">
        <f t="shared" si="302"/>
        <v>3.4064164498947107E-2</v>
      </c>
      <c r="P162" s="161">
        <f t="shared" si="302"/>
        <v>6.2678062678062682E-2</v>
      </c>
      <c r="Q162" s="118">
        <f t="shared" si="299"/>
        <v>3.6520837226912128E-3</v>
      </c>
      <c r="R162" s="128"/>
      <c r="S162" s="161">
        <f t="shared" ref="S162:AB162" si="303">S47/S155</f>
        <v>5.7502809796387784E-2</v>
      </c>
      <c r="T162" s="161">
        <f t="shared" si="303"/>
        <v>5.2754871372832829E-2</v>
      </c>
      <c r="U162" s="161">
        <f t="shared" si="303"/>
        <v>4.8398964562231944E-2</v>
      </c>
      <c r="V162" s="161">
        <f t="shared" si="303"/>
        <v>4.4402719781864171E-2</v>
      </c>
      <c r="W162" s="161">
        <f t="shared" si="303"/>
        <v>4.0736440166847854E-2</v>
      </c>
      <c r="X162" s="161">
        <f t="shared" si="303"/>
        <v>3.7372880887016381E-2</v>
      </c>
      <c r="Y162" s="161">
        <f t="shared" si="303"/>
        <v>3.4287046685336123E-2</v>
      </c>
      <c r="Z162" s="161">
        <f t="shared" si="303"/>
        <v>3.1456006133335893E-2</v>
      </c>
      <c r="AA162" s="161">
        <f t="shared" si="303"/>
        <v>2.8858721223243934E-2</v>
      </c>
      <c r="AB162" s="161">
        <f t="shared" si="303"/>
        <v>2.6475891030499025E-2</v>
      </c>
      <c r="AC162" s="138">
        <f t="shared" ref="AC162:AC163" si="304">((AB162/G162)^(1/($AB$3-$H$1) ))-1</f>
        <v>-4.2691807458409725E-2</v>
      </c>
      <c r="AD162" s="31">
        <v>0.08</v>
      </c>
      <c r="AE162" s="127">
        <f t="shared" si="284"/>
        <v>0.18103990991667943</v>
      </c>
    </row>
    <row r="163" spans="2:31" x14ac:dyDescent="0.2">
      <c r="B163" s="20" t="s">
        <v>319</v>
      </c>
      <c r="C163" s="152" t="e">
        <f t="shared" ref="C163:P163" si="305">C41/C155</f>
        <v>#DIV/0!</v>
      </c>
      <c r="D163" s="152" t="e">
        <f t="shared" si="305"/>
        <v>#DIV/0!</v>
      </c>
      <c r="E163" s="152" t="e">
        <f t="shared" si="305"/>
        <v>#DIV/0!</v>
      </c>
      <c r="F163" s="152" t="e">
        <f t="shared" si="305"/>
        <v>#DIV/0!</v>
      </c>
      <c r="G163" s="152">
        <f t="shared" si="305"/>
        <v>2.1276595744680851E-2</v>
      </c>
      <c r="H163" s="152">
        <f t="shared" si="305"/>
        <v>1.9230769230769232E-2</v>
      </c>
      <c r="I163" s="152">
        <f t="shared" si="305"/>
        <v>1.5625E-2</v>
      </c>
      <c r="J163" s="152">
        <f t="shared" si="305"/>
        <v>1.2500000000000001E-2</v>
      </c>
      <c r="K163" s="152">
        <f t="shared" si="305"/>
        <v>2.3333333333333334E-2</v>
      </c>
      <c r="L163" s="152">
        <f t="shared" si="305"/>
        <v>4.716981132075472E-2</v>
      </c>
      <c r="M163" s="152">
        <f t="shared" si="305"/>
        <v>4.0816326530612242E-2</v>
      </c>
      <c r="N163" s="152">
        <f t="shared" si="305"/>
        <v>1.9642857142857144E-3</v>
      </c>
      <c r="O163" s="152">
        <f t="shared" si="305"/>
        <v>1.7391304347826087E-2</v>
      </c>
      <c r="P163" s="152">
        <f t="shared" si="305"/>
        <v>3.2000000000000001E-2</v>
      </c>
      <c r="Q163" s="118">
        <f t="shared" si="299"/>
        <v>4.6391502108545257E-2</v>
      </c>
      <c r="R163" s="128"/>
      <c r="S163" s="152">
        <f t="shared" ref="S163:AB163" si="306">S41/S155</f>
        <v>3.0825688073394496E-2</v>
      </c>
      <c r="T163" s="152">
        <f t="shared" si="306"/>
        <v>2.9694470162444236E-2</v>
      </c>
      <c r="U163" s="152">
        <f t="shared" si="306"/>
        <v>2.8604764835382063E-2</v>
      </c>
      <c r="V163" s="152">
        <f t="shared" si="306"/>
        <v>2.7555048694634095E-2</v>
      </c>
      <c r="W163" s="152">
        <f t="shared" si="306"/>
        <v>2.6543854247124587E-2</v>
      </c>
      <c r="X163" s="152">
        <f t="shared" si="306"/>
        <v>2.5569767852734696E-2</v>
      </c>
      <c r="Y163" s="152">
        <f t="shared" si="306"/>
        <v>2.4631427748047181E-2</v>
      </c>
      <c r="Z163" s="152">
        <f t="shared" si="306"/>
        <v>2.3727522142614258E-2</v>
      </c>
      <c r="AA163" s="152">
        <f t="shared" si="306"/>
        <v>2.2856787385087125E-2</v>
      </c>
      <c r="AB163" s="152">
        <f t="shared" si="306"/>
        <v>2.2018006196643559E-2</v>
      </c>
      <c r="AC163" s="138">
        <f t="shared" si="304"/>
        <v>1.8044104566297126E-3</v>
      </c>
      <c r="AD163" s="31">
        <v>0.08</v>
      </c>
      <c r="AE163" s="127">
        <f t="shared" si="284"/>
        <v>0.157555255123278</v>
      </c>
    </row>
    <row r="164" spans="2:31" x14ac:dyDescent="0.2">
      <c r="B164" s="20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28"/>
      <c r="R164" s="128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7"/>
      <c r="AD164" s="20"/>
      <c r="AE164" s="127"/>
    </row>
    <row r="165" spans="2:31" x14ac:dyDescent="0.2">
      <c r="B165" s="20"/>
      <c r="C165" s="129"/>
      <c r="D165" s="129"/>
      <c r="E165" s="129"/>
      <c r="F165" s="129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28"/>
      <c r="R165" s="128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7"/>
      <c r="AD165" s="20"/>
      <c r="AE165" s="20"/>
    </row>
    <row r="166" spans="2:31" x14ac:dyDescent="0.2">
      <c r="B166" s="108" t="s">
        <v>302</v>
      </c>
      <c r="C166" s="20"/>
      <c r="D166" s="20"/>
      <c r="E166" s="20"/>
      <c r="F166" s="20"/>
      <c r="G166" s="20"/>
      <c r="H166" s="20"/>
      <c r="I166" s="20"/>
      <c r="J166" s="20"/>
      <c r="K166" s="193" t="s">
        <v>350</v>
      </c>
      <c r="L166" s="194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300</v>
      </c>
      <c r="C167" s="20" t="s">
        <v>314</v>
      </c>
      <c r="D167" s="20"/>
      <c r="E167" s="20"/>
      <c r="F167" s="20"/>
      <c r="G167" s="20"/>
      <c r="H167" s="20"/>
      <c r="I167" s="20"/>
      <c r="J167" s="20"/>
      <c r="K167" s="20" t="s">
        <v>351</v>
      </c>
      <c r="L167" s="22">
        <v>2</v>
      </c>
      <c r="M167" s="20"/>
      <c r="N167" s="20"/>
      <c r="O167" s="20"/>
      <c r="P167" s="128">
        <f>(P155-R143)/P155</f>
        <v>0.68335830035937062</v>
      </c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1" x14ac:dyDescent="0.2">
      <c r="B168" s="20" t="s">
        <v>348</v>
      </c>
      <c r="C168" s="20" t="s">
        <v>314</v>
      </c>
      <c r="D168" s="20"/>
      <c r="E168" s="20"/>
      <c r="F168" s="20"/>
      <c r="G168" s="20"/>
      <c r="H168" s="20"/>
      <c r="I168" s="20"/>
      <c r="J168" s="20"/>
      <c r="K168" s="172">
        <f>L167</f>
        <v>2</v>
      </c>
      <c r="L168" s="20"/>
      <c r="M168" s="128">
        <f>(P155-(K168*R134))/P155</f>
        <v>0.65417829067120137</v>
      </c>
      <c r="N168" s="20"/>
      <c r="O168" s="20"/>
      <c r="P168" s="128">
        <f>(P155-R134)/P155</f>
        <v>0.82708914533560074</v>
      </c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137"/>
      <c r="AD168" s="20"/>
      <c r="AE168" s="20"/>
    </row>
    <row r="169" spans="2:31" x14ac:dyDescent="0.2">
      <c r="B169" s="20" t="s">
        <v>349</v>
      </c>
      <c r="C169" s="20" t="s">
        <v>314</v>
      </c>
      <c r="D169" s="20"/>
      <c r="E169" s="20"/>
      <c r="F169" s="20"/>
      <c r="G169" s="20"/>
      <c r="H169" s="20"/>
      <c r="I169" s="20"/>
      <c r="J169" s="20"/>
      <c r="K169" s="172">
        <f>L167</f>
        <v>2</v>
      </c>
      <c r="L169" s="20"/>
      <c r="M169" s="128">
        <f>(P155-(K168*R127))/P155</f>
        <v>0.56129572125915006</v>
      </c>
      <c r="N169" s="20"/>
      <c r="O169" s="20"/>
      <c r="P169" s="128">
        <f>(P155-R127)/P155</f>
        <v>0.78064786062957503</v>
      </c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137"/>
      <c r="AD169" s="20"/>
      <c r="AE169" s="20"/>
    </row>
    <row r="170" spans="2:31" x14ac:dyDescent="0.2">
      <c r="B170" s="20" t="s">
        <v>352</v>
      </c>
      <c r="C170" s="20" t="s">
        <v>314</v>
      </c>
      <c r="D170" s="20"/>
      <c r="E170" s="20"/>
      <c r="F170" s="20"/>
      <c r="G170" s="20"/>
      <c r="H170" s="20"/>
      <c r="I170" s="20"/>
      <c r="J170" s="20"/>
      <c r="K170" s="172">
        <f>L167</f>
        <v>2</v>
      </c>
      <c r="L170" s="20"/>
      <c r="M170" s="128">
        <f>(P155-(K168*R140))/P155</f>
        <v>0.60591685933385298</v>
      </c>
      <c r="N170" s="20"/>
      <c r="O170" s="20"/>
      <c r="P170" s="128">
        <f>(P155-R140)/P155</f>
        <v>0.80295842966692643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137"/>
      <c r="AD170" s="20"/>
      <c r="AE170" s="20"/>
    </row>
    <row r="171" spans="2:31" x14ac:dyDescent="0.2">
      <c r="B171" s="20" t="s">
        <v>301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5">
        <f>P155/R126</f>
        <v>10.962033292435066</v>
      </c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137"/>
      <c r="AD171" s="20"/>
      <c r="AE171" s="20"/>
    </row>
    <row r="172" spans="2:31" x14ac:dyDescent="0.2">
      <c r="B172" s="20" t="s">
        <v>370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152">
        <f>1/P171</f>
        <v>9.1223952101121886E-2</v>
      </c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137"/>
      <c r="AD172" s="20"/>
      <c r="AE172" s="20"/>
    </row>
    <row r="173" spans="2:31" x14ac:dyDescent="0.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</row>
    <row r="174" spans="2:31" x14ac:dyDescent="0.2">
      <c r="B174" s="108" t="s">
        <v>303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</row>
    <row r="175" spans="2:31" x14ac:dyDescent="0.2">
      <c r="B175" s="20" t="s">
        <v>306</v>
      </c>
      <c r="C175" s="25" t="e">
        <f t="shared" ref="C175:P175" si="307">C10/C7</f>
        <v>#DIV/0!</v>
      </c>
      <c r="D175" s="25" t="e">
        <f t="shared" si="307"/>
        <v>#DIV/0!</v>
      </c>
      <c r="E175" s="25" t="e">
        <f t="shared" si="307"/>
        <v>#DIV/0!</v>
      </c>
      <c r="F175" s="25" t="e">
        <f t="shared" si="307"/>
        <v>#DIV/0!</v>
      </c>
      <c r="G175" s="25">
        <f t="shared" si="307"/>
        <v>0</v>
      </c>
      <c r="H175" s="25">
        <f t="shared" si="307"/>
        <v>0</v>
      </c>
      <c r="I175" s="25">
        <f t="shared" si="307"/>
        <v>0</v>
      </c>
      <c r="J175" s="25">
        <f t="shared" si="307"/>
        <v>0</v>
      </c>
      <c r="K175" s="25">
        <f t="shared" si="307"/>
        <v>0</v>
      </c>
      <c r="L175" s="25">
        <f t="shared" si="307"/>
        <v>0</v>
      </c>
      <c r="M175" s="25">
        <f t="shared" si="307"/>
        <v>0</v>
      </c>
      <c r="N175" s="25">
        <f t="shared" si="307"/>
        <v>0</v>
      </c>
      <c r="O175" s="25">
        <f t="shared" si="307"/>
        <v>0</v>
      </c>
      <c r="P175" s="25">
        <f t="shared" si="307"/>
        <v>0</v>
      </c>
      <c r="Q175" s="118" t="e">
        <f t="shared" ref="Q175:Q177" si="308">((P175/G175)^(1/($H$2-$H$1) ))-1</f>
        <v>#DIV/0!</v>
      </c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</row>
    <row r="176" spans="2:31" x14ac:dyDescent="0.2">
      <c r="B176" s="20" t="s">
        <v>307</v>
      </c>
      <c r="C176" s="112" t="e">
        <f>C10/C12</f>
        <v>#DIV/0!</v>
      </c>
      <c r="D176" s="112" t="e">
        <f>D10/D12</f>
        <v>#DIV/0!</v>
      </c>
      <c r="E176" s="112" t="e">
        <f>E10/E12</f>
        <v>#DIV/0!</v>
      </c>
      <c r="F176" s="112" t="e">
        <f>F10/F12</f>
        <v>#DIV/0!</v>
      </c>
      <c r="G176" s="112">
        <f>G10/G12</f>
        <v>0</v>
      </c>
      <c r="H176" s="112">
        <f t="shared" ref="H176:P176" si="309">H10/H12</f>
        <v>0</v>
      </c>
      <c r="I176" s="112">
        <f t="shared" si="309"/>
        <v>0</v>
      </c>
      <c r="J176" s="112">
        <f t="shared" si="309"/>
        <v>0</v>
      </c>
      <c r="K176" s="112">
        <f t="shared" si="309"/>
        <v>0</v>
      </c>
      <c r="L176" s="112">
        <f t="shared" si="309"/>
        <v>0</v>
      </c>
      <c r="M176" s="112">
        <f t="shared" si="309"/>
        <v>0</v>
      </c>
      <c r="N176" s="112">
        <f t="shared" si="309"/>
        <v>0</v>
      </c>
      <c r="O176" s="112">
        <f t="shared" si="309"/>
        <v>0</v>
      </c>
      <c r="P176" s="112">
        <f t="shared" si="309"/>
        <v>0</v>
      </c>
      <c r="Q176" s="118" t="e">
        <f t="shared" si="308"/>
        <v>#DIV/0!</v>
      </c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</row>
    <row r="177" spans="2:31" x14ac:dyDescent="0.2">
      <c r="B177" s="20" t="s">
        <v>308</v>
      </c>
      <c r="C177" s="25" t="e">
        <f>C10/(C12+C13)</f>
        <v>#DIV/0!</v>
      </c>
      <c r="D177" s="25" t="e">
        <f>D10/(D12+D13)</f>
        <v>#DIV/0!</v>
      </c>
      <c r="E177" s="25" t="e">
        <f>E10/(E12+E13)</f>
        <v>#DIV/0!</v>
      </c>
      <c r="F177" s="25" t="e">
        <f>F10/(F12+F13)</f>
        <v>#DIV/0!</v>
      </c>
      <c r="G177" s="25">
        <f>G10/(G12+G13)</f>
        <v>0</v>
      </c>
      <c r="H177" s="25">
        <f t="shared" ref="H177:P177" si="310">H10/(H12+H13)</f>
        <v>0</v>
      </c>
      <c r="I177" s="25">
        <f t="shared" si="310"/>
        <v>0</v>
      </c>
      <c r="J177" s="25">
        <f t="shared" si="310"/>
        <v>0</v>
      </c>
      <c r="K177" s="25">
        <f t="shared" si="310"/>
        <v>0</v>
      </c>
      <c r="L177" s="25">
        <f t="shared" si="310"/>
        <v>0</v>
      </c>
      <c r="M177" s="25">
        <f t="shared" si="310"/>
        <v>0</v>
      </c>
      <c r="N177" s="25">
        <f t="shared" si="310"/>
        <v>0</v>
      </c>
      <c r="O177" s="25">
        <f t="shared" si="310"/>
        <v>0</v>
      </c>
      <c r="P177" s="25">
        <f t="shared" si="310"/>
        <v>0</v>
      </c>
      <c r="Q177" s="118" t="e">
        <f t="shared" si="308"/>
        <v>#DIV/0!</v>
      </c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pans="2:31" x14ac:dyDescent="0.2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 spans="2:31" x14ac:dyDescent="0.2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spans="2:31" x14ac:dyDescent="0.2">
      <c r="B180" s="20"/>
      <c r="C180" s="175" t="s">
        <v>376</v>
      </c>
      <c r="D180" s="176"/>
      <c r="E180" s="176"/>
      <c r="F180" s="176"/>
      <c r="G180" s="176"/>
      <c r="H180" s="176"/>
      <c r="I180" s="176"/>
      <c r="J180" s="176"/>
      <c r="K180" s="20"/>
      <c r="L180" s="190" t="s">
        <v>336</v>
      </c>
      <c r="M180" s="191"/>
      <c r="N180" s="192"/>
      <c r="O180" s="23" t="s">
        <v>339</v>
      </c>
      <c r="P180" s="20"/>
      <c r="Q180" s="190" t="s">
        <v>337</v>
      </c>
      <c r="R180" s="191"/>
      <c r="S180" s="192"/>
      <c r="T180" s="23" t="s">
        <v>339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</row>
    <row r="181" spans="2:31" x14ac:dyDescent="0.2">
      <c r="B181" s="20"/>
      <c r="C181" s="166" t="s">
        <v>338</v>
      </c>
      <c r="D181" s="166" t="s">
        <v>0</v>
      </c>
      <c r="E181" s="166" t="s">
        <v>377</v>
      </c>
      <c r="F181" s="166" t="s">
        <v>378</v>
      </c>
      <c r="G181" s="166" t="s">
        <v>379</v>
      </c>
      <c r="H181" s="166" t="s">
        <v>380</v>
      </c>
      <c r="I181" s="166" t="s">
        <v>381</v>
      </c>
      <c r="J181" s="166" t="s">
        <v>382</v>
      </c>
      <c r="K181" s="20"/>
      <c r="L181" s="166" t="s">
        <v>338</v>
      </c>
      <c r="M181" s="166"/>
      <c r="N181" s="166" t="s">
        <v>0</v>
      </c>
      <c r="O181" s="166" t="s">
        <v>371</v>
      </c>
      <c r="P181" s="20"/>
      <c r="Q181" s="166" t="s">
        <v>338</v>
      </c>
      <c r="R181" s="166"/>
      <c r="S181" s="166" t="s">
        <v>0</v>
      </c>
      <c r="T181" s="166" t="s">
        <v>371</v>
      </c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 spans="2:31" x14ac:dyDescent="0.2">
      <c r="B182" s="20"/>
      <c r="C182" s="167" t="s">
        <v>340</v>
      </c>
      <c r="D182" s="21">
        <v>470</v>
      </c>
      <c r="E182" s="177" t="s">
        <v>383</v>
      </c>
      <c r="F182" s="22">
        <v>0</v>
      </c>
      <c r="G182" s="22">
        <v>1</v>
      </c>
      <c r="H182" s="167">
        <f>F182/G182</f>
        <v>0</v>
      </c>
      <c r="I182" s="167">
        <f>H182*D183</f>
        <v>0</v>
      </c>
      <c r="J182" s="178">
        <f>I182+D183</f>
        <v>1</v>
      </c>
      <c r="K182" s="20"/>
      <c r="L182" s="167" t="s">
        <v>340</v>
      </c>
      <c r="M182" s="167"/>
      <c r="N182" s="21">
        <v>45</v>
      </c>
      <c r="O182" s="174">
        <f>N182</f>
        <v>45</v>
      </c>
      <c r="P182" s="20"/>
      <c r="Q182" s="167" t="s">
        <v>340</v>
      </c>
      <c r="R182" s="167"/>
      <c r="S182" s="21">
        <v>0</v>
      </c>
      <c r="T182" s="174">
        <f>S182</f>
        <v>0</v>
      </c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</row>
    <row r="183" spans="2:31" x14ac:dyDescent="0.2">
      <c r="B183" s="20"/>
      <c r="C183" s="167" t="s">
        <v>341</v>
      </c>
      <c r="D183" s="21">
        <v>1</v>
      </c>
      <c r="E183" s="177" t="s">
        <v>384</v>
      </c>
      <c r="F183" s="22">
        <v>0</v>
      </c>
      <c r="G183" s="22">
        <v>1</v>
      </c>
      <c r="H183" s="167">
        <f>F183/G183</f>
        <v>0</v>
      </c>
      <c r="I183" s="167">
        <f>H183*J182</f>
        <v>0</v>
      </c>
      <c r="J183" s="167">
        <f>I183+J182</f>
        <v>1</v>
      </c>
      <c r="K183" s="20"/>
      <c r="L183" s="167" t="s">
        <v>341</v>
      </c>
      <c r="M183" s="167"/>
      <c r="N183" s="21">
        <v>1</v>
      </c>
      <c r="O183" s="174">
        <f>N183</f>
        <v>1</v>
      </c>
      <c r="P183" s="20"/>
      <c r="Q183" s="167" t="s">
        <v>341</v>
      </c>
      <c r="R183" s="167"/>
      <c r="S183" s="21">
        <v>0</v>
      </c>
      <c r="T183" s="174">
        <f>S183</f>
        <v>0</v>
      </c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</row>
    <row r="184" spans="2:31" x14ac:dyDescent="0.2">
      <c r="B184" s="20"/>
      <c r="C184" s="167" t="s">
        <v>343</v>
      </c>
      <c r="D184" s="168">
        <f>D182*D183</f>
        <v>470</v>
      </c>
      <c r="E184" s="177" t="s">
        <v>385</v>
      </c>
      <c r="F184" s="22">
        <v>10</v>
      </c>
      <c r="G184" s="22">
        <v>1</v>
      </c>
      <c r="H184" s="167">
        <f>F184/G184</f>
        <v>10</v>
      </c>
      <c r="I184" s="167">
        <f>H184*J183</f>
        <v>10</v>
      </c>
      <c r="J184" s="167">
        <f>I184</f>
        <v>10</v>
      </c>
      <c r="K184" s="20"/>
      <c r="L184" s="167" t="s">
        <v>342</v>
      </c>
      <c r="M184" s="167"/>
      <c r="N184" s="168">
        <f>N182*N183</f>
        <v>45</v>
      </c>
      <c r="O184" s="174">
        <f>N184</f>
        <v>45</v>
      </c>
      <c r="P184" s="20"/>
      <c r="Q184" s="167" t="s">
        <v>343</v>
      </c>
      <c r="R184" s="167"/>
      <c r="S184" s="168">
        <f>S182*S183</f>
        <v>0</v>
      </c>
      <c r="T184" s="174">
        <f>S184</f>
        <v>0</v>
      </c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</row>
    <row r="185" spans="2:31" x14ac:dyDescent="0.2">
      <c r="B185" s="20"/>
      <c r="C185" s="167" t="s">
        <v>344</v>
      </c>
      <c r="D185" s="21">
        <v>1110</v>
      </c>
      <c r="E185" s="177"/>
      <c r="F185" s="167"/>
      <c r="G185" s="167"/>
      <c r="H185" s="169" t="s">
        <v>386</v>
      </c>
      <c r="I185" s="167"/>
      <c r="J185" s="167">
        <f>J184</f>
        <v>10</v>
      </c>
      <c r="K185" s="20"/>
      <c r="L185" s="167" t="s">
        <v>344</v>
      </c>
      <c r="M185" s="167"/>
      <c r="N185" s="21">
        <v>1100</v>
      </c>
      <c r="O185" s="21">
        <v>0</v>
      </c>
      <c r="P185" s="20"/>
      <c r="Q185" s="167" t="s">
        <v>344</v>
      </c>
      <c r="R185" s="167"/>
      <c r="S185" s="21">
        <v>1100</v>
      </c>
      <c r="T185" s="21">
        <v>0</v>
      </c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</row>
    <row r="186" spans="2:31" x14ac:dyDescent="0.2">
      <c r="B186" s="20"/>
      <c r="C186" s="167" t="s">
        <v>341</v>
      </c>
      <c r="D186" s="21">
        <v>10</v>
      </c>
      <c r="E186" s="177" t="s">
        <v>385</v>
      </c>
      <c r="F186" s="22">
        <v>10</v>
      </c>
      <c r="G186" s="22">
        <v>2</v>
      </c>
      <c r="H186" s="167">
        <f>F186/G186</f>
        <v>5</v>
      </c>
      <c r="I186" s="178">
        <f>H186*D183</f>
        <v>5</v>
      </c>
      <c r="J186" s="178">
        <f>I186</f>
        <v>5</v>
      </c>
      <c r="K186" s="20"/>
      <c r="L186" s="167" t="s">
        <v>345</v>
      </c>
      <c r="M186" s="167"/>
      <c r="N186" s="168">
        <f>N185*N183</f>
        <v>1100</v>
      </c>
      <c r="O186" s="168">
        <f>O185*O183</f>
        <v>0</v>
      </c>
      <c r="P186" s="20"/>
      <c r="Q186" s="167" t="s">
        <v>341</v>
      </c>
      <c r="R186" s="167"/>
      <c r="S186" s="21">
        <v>0</v>
      </c>
      <c r="T186" s="174">
        <f>S186</f>
        <v>0</v>
      </c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 spans="2:31" x14ac:dyDescent="0.2">
      <c r="B187" s="20"/>
      <c r="C187" s="167" t="s">
        <v>343</v>
      </c>
      <c r="D187" s="168">
        <f>D186*D185</f>
        <v>11100</v>
      </c>
      <c r="E187" s="167"/>
      <c r="F187" s="167"/>
      <c r="G187" s="167"/>
      <c r="H187" s="169" t="s">
        <v>386</v>
      </c>
      <c r="I187" s="167"/>
      <c r="J187" s="167">
        <f>J186</f>
        <v>5</v>
      </c>
      <c r="K187" s="20"/>
      <c r="L187" s="167"/>
      <c r="M187" s="167"/>
      <c r="N187" s="168"/>
      <c r="O187" s="168"/>
      <c r="P187" s="20"/>
      <c r="Q187" s="167" t="s">
        <v>343</v>
      </c>
      <c r="R187" s="167"/>
      <c r="S187" s="168">
        <f>S186*S185</f>
        <v>0</v>
      </c>
      <c r="T187" s="168">
        <f>T186*T184</f>
        <v>0</v>
      </c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spans="2:31" x14ac:dyDescent="0.2">
      <c r="B188" s="20"/>
      <c r="C188" s="167"/>
      <c r="D188" s="168"/>
      <c r="E188" s="177" t="s">
        <v>385</v>
      </c>
      <c r="F188" s="22">
        <v>10</v>
      </c>
      <c r="G188" s="22">
        <v>2</v>
      </c>
      <c r="H188" s="167">
        <f>F188/G188</f>
        <v>5</v>
      </c>
      <c r="I188" s="167">
        <f>H188*J187</f>
        <v>25</v>
      </c>
      <c r="J188" s="167">
        <f>I188</f>
        <v>25</v>
      </c>
      <c r="K188" s="20"/>
      <c r="L188" s="167"/>
      <c r="M188" s="167"/>
      <c r="N188" s="168"/>
      <c r="O188" s="168"/>
      <c r="P188" s="20"/>
      <c r="Q188" s="167"/>
      <c r="R188" s="167"/>
      <c r="S188" s="168"/>
      <c r="T188" s="168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 spans="2:31" x14ac:dyDescent="0.2">
      <c r="B189" s="20"/>
      <c r="C189" s="169" t="s">
        <v>346</v>
      </c>
      <c r="D189" s="170">
        <f>D187/D184</f>
        <v>23.617021276595743</v>
      </c>
      <c r="E189" s="177"/>
      <c r="F189" s="167"/>
      <c r="G189" s="167"/>
      <c r="H189" s="169" t="s">
        <v>386</v>
      </c>
      <c r="I189" s="167"/>
      <c r="J189" s="167">
        <f>J188</f>
        <v>25</v>
      </c>
      <c r="K189" s="20"/>
      <c r="L189" s="169" t="s">
        <v>346</v>
      </c>
      <c r="M189" s="169"/>
      <c r="N189" s="170">
        <f>N186/N184</f>
        <v>24.444444444444443</v>
      </c>
      <c r="O189" s="170">
        <f>O186/O184</f>
        <v>0</v>
      </c>
      <c r="P189" s="20"/>
      <c r="Q189" s="169" t="s">
        <v>346</v>
      </c>
      <c r="R189" s="169"/>
      <c r="S189" s="170" t="e">
        <f>S187/S184</f>
        <v>#DIV/0!</v>
      </c>
      <c r="T189" s="170" t="e">
        <f>T187/T184</f>
        <v>#DIV/0!</v>
      </c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31" x14ac:dyDescent="0.2"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31" x14ac:dyDescent="0.2">
      <c r="B191" s="20"/>
      <c r="C191" s="20"/>
      <c r="D191" s="137"/>
      <c r="E191" s="179"/>
      <c r="F191" s="179"/>
      <c r="G191" s="180"/>
      <c r="H191" s="20"/>
      <c r="I191" s="137"/>
      <c r="J191" s="179"/>
      <c r="K191" s="18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31" ht="14.25" x14ac:dyDescent="0.2">
      <c r="B192" s="20"/>
      <c r="C192" s="20"/>
      <c r="D192" s="183" t="s">
        <v>27</v>
      </c>
      <c r="E192" s="184"/>
      <c r="F192" s="184"/>
      <c r="G192" s="185"/>
      <c r="H192" s="20"/>
      <c r="I192" s="183" t="s">
        <v>391</v>
      </c>
      <c r="J192" s="184"/>
      <c r="K192" s="185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 t="s">
        <v>28</v>
      </c>
      <c r="E193" s="127"/>
      <c r="F193" s="127"/>
      <c r="G193" s="21">
        <v>1</v>
      </c>
      <c r="H193" s="20"/>
      <c r="I193" s="20" t="s">
        <v>28</v>
      </c>
      <c r="J193" s="127"/>
      <c r="K193" s="21">
        <f>G193</f>
        <v>1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 t="s">
        <v>29</v>
      </c>
      <c r="E194" s="127"/>
      <c r="F194" s="127"/>
      <c r="G194" s="21">
        <v>2</v>
      </c>
      <c r="H194" s="20"/>
      <c r="I194" s="20" t="s">
        <v>29</v>
      </c>
      <c r="J194" s="20"/>
      <c r="K194" s="21">
        <f>G194</f>
        <v>2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20"/>
      <c r="D195" s="20" t="s">
        <v>30</v>
      </c>
      <c r="E195" s="20"/>
      <c r="F195" s="20"/>
      <c r="G195" s="22">
        <v>2</v>
      </c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20"/>
      <c r="D196" s="23" t="s">
        <v>31</v>
      </c>
      <c r="E196" s="3"/>
      <c r="F196" s="3"/>
      <c r="G196" s="3">
        <f>((G194/G193)^(1/G195))-1</f>
        <v>0.41421356237309515</v>
      </c>
      <c r="H196" s="20"/>
      <c r="I196" s="20" t="s">
        <v>392</v>
      </c>
      <c r="J196" s="20"/>
      <c r="K196" s="20">
        <f>(K194-K193)/K193</f>
        <v>1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20"/>
      <c r="D197" s="23" t="s">
        <v>32</v>
      </c>
      <c r="E197" s="165"/>
      <c r="F197" s="165"/>
      <c r="G197" s="24">
        <f>G195*12</f>
        <v>24</v>
      </c>
      <c r="H197" s="20"/>
      <c r="I197" s="20" t="s">
        <v>393</v>
      </c>
      <c r="J197" s="20"/>
      <c r="K197" s="20">
        <f>K194/K193</f>
        <v>2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20"/>
      <c r="D198" s="20" t="s">
        <v>30</v>
      </c>
      <c r="E198" s="25"/>
      <c r="F198" s="25"/>
      <c r="G198" s="25">
        <f>G197/12</f>
        <v>2</v>
      </c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20"/>
      <c r="D199" s="23" t="s">
        <v>33</v>
      </c>
      <c r="E199" s="3"/>
      <c r="F199" s="3"/>
      <c r="G199" s="3">
        <f>((G194/G193)^(1/G198))-1</f>
        <v>0.41421356237309515</v>
      </c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</sheetData>
  <mergeCells count="7">
    <mergeCell ref="D192:G192"/>
    <mergeCell ref="I192:K192"/>
    <mergeCell ref="AD2:AE2"/>
    <mergeCell ref="AD3:AE3"/>
    <mergeCell ref="L180:N180"/>
    <mergeCell ref="Q180:S180"/>
    <mergeCell ref="K166:L166"/>
  </mergeCells>
  <pageMargins left="0.7" right="0.7" top="0.75" bottom="0.75" header="0.3" footer="0.3"/>
  <pageSetup orientation="portrait" r:id="rId1"/>
  <ignoredErrors>
    <ignoredError sqref="C157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95" t="s">
        <v>27</v>
      </c>
      <c r="K5" s="195"/>
      <c r="M5" s="195" t="s">
        <v>65</v>
      </c>
      <c r="N5" s="195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95" t="s">
        <v>36</v>
      </c>
      <c r="K14" s="195"/>
      <c r="L14" s="195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95" t="s">
        <v>27</v>
      </c>
      <c r="S5" s="195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95" t="s">
        <v>36</v>
      </c>
      <c r="S14" s="195"/>
      <c r="T14" s="195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95" t="s">
        <v>27</v>
      </c>
      <c r="C2" s="195"/>
      <c r="E2" s="195" t="s">
        <v>65</v>
      </c>
      <c r="F2" s="195"/>
      <c r="H2" s="199" t="s">
        <v>36</v>
      </c>
      <c r="I2" s="200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96" t="s">
        <v>68</v>
      </c>
      <c r="E10" s="197"/>
      <c r="F10" s="197"/>
      <c r="G10" s="197"/>
      <c r="H10" s="198"/>
      <c r="I10" s="196" t="s">
        <v>72</v>
      </c>
      <c r="J10" s="197"/>
      <c r="K10" s="197"/>
      <c r="L10" s="198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2014-04-03T09:09:33Z</dcterms:modified>
</cp:coreProperties>
</file>
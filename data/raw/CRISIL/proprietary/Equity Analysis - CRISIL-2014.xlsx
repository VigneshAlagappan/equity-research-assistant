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P16" i="18" l="1"/>
  <c r="Q16" i="18" s="1"/>
  <c r="P12" i="18"/>
  <c r="Q12" i="18" s="1"/>
  <c r="Q23" i="18"/>
  <c r="Q22" i="18"/>
  <c r="Q21" i="18"/>
  <c r="Q20" i="18"/>
  <c r="Q47" i="18"/>
  <c r="Q46" i="18"/>
  <c r="Q45" i="18"/>
  <c r="Q44" i="18"/>
  <c r="Q42" i="18"/>
  <c r="Q38" i="18"/>
  <c r="Q36" i="18"/>
  <c r="Q34" i="18"/>
  <c r="Q33" i="18"/>
  <c r="Q29" i="18"/>
  <c r="Q27" i="18"/>
  <c r="Q18" i="18"/>
  <c r="Q15" i="18"/>
  <c r="Q14" i="18"/>
  <c r="Q13" i="18"/>
  <c r="Q10" i="18"/>
  <c r="Q9" i="18"/>
  <c r="Q6" i="18"/>
  <c r="P44" i="18"/>
  <c r="O41" i="18"/>
  <c r="N41" i="18"/>
  <c r="M41" i="18"/>
  <c r="L41" i="18"/>
  <c r="K41" i="18"/>
  <c r="J41" i="18"/>
  <c r="I41" i="18"/>
  <c r="H41" i="18"/>
  <c r="G41" i="18"/>
  <c r="P41" i="18"/>
  <c r="P39" i="18"/>
  <c r="O39" i="18"/>
  <c r="N39" i="18"/>
  <c r="M39" i="18"/>
  <c r="L39" i="18"/>
  <c r="K39" i="18"/>
  <c r="J39" i="18"/>
  <c r="I39" i="18"/>
  <c r="H39" i="18"/>
  <c r="G39" i="18"/>
  <c r="O37" i="18"/>
  <c r="N37" i="18"/>
  <c r="M37" i="18"/>
  <c r="L37" i="18"/>
  <c r="K37" i="18"/>
  <c r="J37" i="18"/>
  <c r="I37" i="18"/>
  <c r="H37" i="18"/>
  <c r="G37" i="18"/>
  <c r="P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O12" i="18"/>
  <c r="N12" i="18"/>
  <c r="M12" i="18"/>
  <c r="L12" i="18"/>
  <c r="K12" i="18"/>
  <c r="J12" i="18"/>
  <c r="I12" i="18"/>
  <c r="H12" i="18"/>
  <c r="G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F115" i="18" l="1"/>
  <c r="F181" i="18" l="1"/>
  <c r="E181" i="18"/>
  <c r="D181" i="18"/>
  <c r="C181" i="18"/>
  <c r="Q198" i="18" l="1"/>
  <c r="Q197" i="18"/>
  <c r="Q196" i="18"/>
  <c r="Q180" i="18"/>
  <c r="Q50" i="18"/>
  <c r="Q173" i="18" s="1"/>
  <c r="Q51" i="18"/>
  <c r="Q52" i="18"/>
  <c r="Q91" i="18" s="1"/>
  <c r="Q54" i="18"/>
  <c r="P193" i="18" s="1"/>
  <c r="Q55" i="18"/>
  <c r="Q56" i="18"/>
  <c r="Q57" i="18"/>
  <c r="Q175" i="18" s="1"/>
  <c r="Q58" i="18"/>
  <c r="Q60" i="18"/>
  <c r="Q61" i="18"/>
  <c r="Q62" i="18"/>
  <c r="Q178" i="18" s="1"/>
  <c r="Q64" i="18"/>
  <c r="Q65" i="18"/>
  <c r="Q66" i="18" s="1"/>
  <c r="Q176" i="18" s="1"/>
  <c r="Q67" i="18"/>
  <c r="Q68" i="18"/>
  <c r="Q177" i="18" s="1"/>
  <c r="Q70" i="18"/>
  <c r="Q111" i="18" s="1"/>
  <c r="Q112" i="18" s="1"/>
  <c r="Q72" i="18"/>
  <c r="Q74" i="18" s="1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100" i="18" s="1"/>
  <c r="Q95" i="18"/>
  <c r="Q101" i="18" s="1"/>
  <c r="Q96" i="18"/>
  <c r="Q102" i="18" s="1"/>
  <c r="Q97" i="18"/>
  <c r="Q103" i="18" s="1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5" i="18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13" i="18" l="1"/>
  <c r="Q114" i="18" s="1"/>
  <c r="Q115" i="18"/>
  <c r="Q179" i="18"/>
  <c r="Q174" i="18"/>
  <c r="Q181" i="18" s="1"/>
  <c r="Q182" i="18" s="1"/>
  <c r="T193" i="18"/>
  <c r="T194" i="18" s="1"/>
  <c r="Q193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H193" i="18" l="1"/>
  <c r="R52" i="18"/>
  <c r="P91" i="18"/>
  <c r="R91" i="18" s="1"/>
  <c r="S44" i="18"/>
  <c r="K189" i="18" l="1"/>
  <c r="K188" i="18"/>
  <c r="K187" i="18"/>
  <c r="K186" i="18"/>
  <c r="AE38" i="18" l="1"/>
  <c r="S38" i="18"/>
  <c r="T38" i="18" l="1"/>
  <c r="U38" i="18" l="1"/>
  <c r="V38" i="18" s="1"/>
  <c r="W38" i="18" s="1"/>
  <c r="K193" i="18"/>
  <c r="K192" i="18"/>
  <c r="X38" i="18" l="1"/>
  <c r="U207" i="18"/>
  <c r="U208" i="18" s="1"/>
  <c r="D205" i="18"/>
  <c r="G215" i="18" s="1"/>
  <c r="H205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9" i="18"/>
  <c r="G220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10" i="18"/>
  <c r="D209" i="18"/>
  <c r="G216" i="18" s="1"/>
  <c r="K216" i="18" s="1"/>
  <c r="H208" i="18"/>
  <c r="I208" i="18" s="1"/>
  <c r="J208" i="18" s="1"/>
  <c r="J209" i="18" s="1"/>
  <c r="H206" i="18"/>
  <c r="H204" i="18"/>
  <c r="H203" i="18"/>
  <c r="I203" i="18" s="1"/>
  <c r="J203" i="18" s="1"/>
  <c r="G218" i="18" l="1"/>
  <c r="K215" i="18"/>
  <c r="K218" i="18" s="1"/>
  <c r="G221" i="18"/>
  <c r="Y38" i="18"/>
  <c r="D211" i="18"/>
  <c r="K219" i="18"/>
  <c r="R55" i="18"/>
  <c r="I204" i="18"/>
  <c r="J204" i="18" s="1"/>
  <c r="I210" i="18"/>
  <c r="J210" i="18" s="1"/>
  <c r="J211" i="18" s="1"/>
  <c r="H90" i="18"/>
  <c r="I90" i="18"/>
  <c r="J90" i="18"/>
  <c r="K90" i="18"/>
  <c r="L90" i="18"/>
  <c r="M90" i="18"/>
  <c r="N90" i="18"/>
  <c r="O90" i="18"/>
  <c r="P90" i="18"/>
  <c r="G90" i="18"/>
  <c r="G138" i="18"/>
  <c r="G137" i="18"/>
  <c r="AE14" i="18"/>
  <c r="S14" i="18"/>
  <c r="U204" i="18"/>
  <c r="U203" i="18"/>
  <c r="O204" i="18"/>
  <c r="O207" i="18" s="1"/>
  <c r="O203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R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5" i="18"/>
  <c r="J205" i="18" s="1"/>
  <c r="I206" i="18" s="1"/>
  <c r="J206" i="18" s="1"/>
  <c r="J207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2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8" i="18"/>
  <c r="N207" i="18"/>
  <c r="T205" i="18"/>
  <c r="U205" i="18" s="1"/>
  <c r="U210" i="18" s="1"/>
  <c r="N205" i="18"/>
  <c r="O205" i="18" s="1"/>
  <c r="O210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10" i="18"/>
  <c r="T210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80" i="18"/>
  <c r="D180" i="18"/>
  <c r="E180" i="18"/>
  <c r="F180" i="18"/>
  <c r="G180" i="18"/>
  <c r="H180" i="18"/>
  <c r="I180" i="18"/>
  <c r="J180" i="18"/>
  <c r="K180" i="18"/>
  <c r="L180" i="18"/>
  <c r="M180" i="18"/>
  <c r="N180" i="18"/>
  <c r="O180" i="18"/>
  <c r="P180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80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5" i="18"/>
  <c r="Z29" i="18"/>
  <c r="R82" i="18"/>
  <c r="R80" i="18"/>
  <c r="R81" i="18"/>
  <c r="R87" i="18"/>
  <c r="R88" i="18"/>
  <c r="P86" i="18"/>
  <c r="R86" i="18" s="1"/>
  <c r="C196" i="18"/>
  <c r="D196" i="18"/>
  <c r="E196" i="18"/>
  <c r="F196" i="18"/>
  <c r="C197" i="18"/>
  <c r="D197" i="18"/>
  <c r="E197" i="18"/>
  <c r="F197" i="18"/>
  <c r="C198" i="18"/>
  <c r="D198" i="18"/>
  <c r="E198" i="18"/>
  <c r="F198" i="18"/>
  <c r="H198" i="18"/>
  <c r="I198" i="18"/>
  <c r="J198" i="18"/>
  <c r="K198" i="18"/>
  <c r="L198" i="18"/>
  <c r="M198" i="18"/>
  <c r="N198" i="18"/>
  <c r="O198" i="18"/>
  <c r="P198" i="18"/>
  <c r="G198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3" i="18" s="1"/>
  <c r="I50" i="18"/>
  <c r="I173" i="18" s="1"/>
  <c r="J50" i="18"/>
  <c r="J173" i="18" s="1"/>
  <c r="K50" i="18"/>
  <c r="K173" i="18" s="1"/>
  <c r="L50" i="18"/>
  <c r="L173" i="18" s="1"/>
  <c r="M50" i="18"/>
  <c r="M173" i="18" s="1"/>
  <c r="N50" i="18"/>
  <c r="N173" i="18" s="1"/>
  <c r="O50" i="18"/>
  <c r="O173" i="18" s="1"/>
  <c r="P50" i="18"/>
  <c r="P173" i="18" s="1"/>
  <c r="C50" i="18"/>
  <c r="C173" i="18" s="1"/>
  <c r="D50" i="18"/>
  <c r="D173" i="18" s="1"/>
  <c r="E50" i="18"/>
  <c r="E173" i="18" s="1"/>
  <c r="F50" i="18"/>
  <c r="F173" i="18" s="1"/>
  <c r="G50" i="18"/>
  <c r="G173" i="18" s="1"/>
  <c r="T94" i="18"/>
  <c r="T100" i="18" s="1"/>
  <c r="G179" i="18" l="1"/>
  <c r="X44" i="18"/>
  <c r="W70" i="18"/>
  <c r="R173" i="18"/>
  <c r="AA29" i="18"/>
  <c r="U36" i="18"/>
  <c r="U94" i="18" s="1"/>
  <c r="U100" i="18" s="1"/>
  <c r="R198" i="18"/>
  <c r="R51" i="18"/>
  <c r="R50" i="18"/>
  <c r="R197" i="18"/>
  <c r="R196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2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7" i="18" s="1"/>
  <c r="O67" i="18"/>
  <c r="O65" i="18"/>
  <c r="O64" i="18"/>
  <c r="O62" i="18"/>
  <c r="O178" i="18" s="1"/>
  <c r="O61" i="18"/>
  <c r="O60" i="18"/>
  <c r="O58" i="18"/>
  <c r="O57" i="18"/>
  <c r="O175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4" i="18"/>
  <c r="O181" i="18" s="1"/>
  <c r="O182" i="18" s="1"/>
  <c r="O179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6" i="18" s="1"/>
  <c r="D62" i="18"/>
  <c r="E62" i="18"/>
  <c r="F62" i="18"/>
  <c r="G62" i="18"/>
  <c r="G178" i="18" s="1"/>
  <c r="H62" i="18"/>
  <c r="H178" i="18" s="1"/>
  <c r="I62" i="18"/>
  <c r="I178" i="18" s="1"/>
  <c r="J62" i="18"/>
  <c r="J178" i="18" s="1"/>
  <c r="K62" i="18"/>
  <c r="K178" i="18" s="1"/>
  <c r="L62" i="18"/>
  <c r="L178" i="18" s="1"/>
  <c r="M62" i="18"/>
  <c r="M178" i="18" s="1"/>
  <c r="N62" i="18"/>
  <c r="N178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8" i="18"/>
  <c r="R178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5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2" i="18"/>
  <c r="T180" i="18" s="1"/>
  <c r="C54" i="18"/>
  <c r="D54" i="18"/>
  <c r="E54" i="18"/>
  <c r="F54" i="18"/>
  <c r="H54" i="18"/>
  <c r="I54" i="18"/>
  <c r="J54" i="18"/>
  <c r="K54" i="18"/>
  <c r="L54" i="18"/>
  <c r="L179" i="18" s="1"/>
  <c r="M54" i="18"/>
  <c r="N54" i="18"/>
  <c r="N179" i="18" s="1"/>
  <c r="P54" i="18"/>
  <c r="D68" i="18"/>
  <c r="D177" i="18" s="1"/>
  <c r="E68" i="18"/>
  <c r="E177" i="18" s="1"/>
  <c r="F68" i="18"/>
  <c r="F177" i="18" s="1"/>
  <c r="G68" i="18"/>
  <c r="H68" i="18"/>
  <c r="H177" i="18" s="1"/>
  <c r="I68" i="18"/>
  <c r="I177" i="18" s="1"/>
  <c r="J68" i="18"/>
  <c r="J177" i="18" s="1"/>
  <c r="K68" i="18"/>
  <c r="K177" i="18" s="1"/>
  <c r="L68" i="18"/>
  <c r="L177" i="18" s="1"/>
  <c r="M68" i="18"/>
  <c r="M177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6" i="18" s="1"/>
  <c r="E64" i="18"/>
  <c r="E66" i="18" s="1"/>
  <c r="E176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5" i="18" s="1"/>
  <c r="E57" i="18"/>
  <c r="E175" i="18" s="1"/>
  <c r="F57" i="18"/>
  <c r="F175" i="18" s="1"/>
  <c r="G57" i="18"/>
  <c r="H57" i="18"/>
  <c r="H175" i="18" s="1"/>
  <c r="I57" i="18"/>
  <c r="I175" i="18" s="1"/>
  <c r="J57" i="18"/>
  <c r="J175" i="18" s="1"/>
  <c r="K57" i="18"/>
  <c r="K175" i="18" s="1"/>
  <c r="L57" i="18"/>
  <c r="L175" i="18" s="1"/>
  <c r="M57" i="18"/>
  <c r="M175" i="18" s="1"/>
  <c r="N57" i="18"/>
  <c r="P57" i="18"/>
  <c r="C68" i="18"/>
  <c r="C177" i="18" s="1"/>
  <c r="C67" i="18"/>
  <c r="C65" i="18"/>
  <c r="C64" i="18"/>
  <c r="C58" i="18"/>
  <c r="C57" i="18"/>
  <c r="C175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R141" i="18" l="1"/>
  <c r="T106" i="18"/>
  <c r="S159" i="18"/>
  <c r="P185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9" i="18"/>
  <c r="H174" i="18"/>
  <c r="H181" i="18" s="1"/>
  <c r="H182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4" i="18"/>
  <c r="D178" i="18" s="1"/>
  <c r="D179" i="18"/>
  <c r="E174" i="18"/>
  <c r="E178" i="18" s="1"/>
  <c r="E179" i="18"/>
  <c r="C174" i="18"/>
  <c r="C178" i="18" s="1"/>
  <c r="C179" i="18"/>
  <c r="P174" i="18"/>
  <c r="P181" i="18" s="1"/>
  <c r="P179" i="18"/>
  <c r="R179" i="18" s="1"/>
  <c r="K174" i="18"/>
  <c r="K181" i="18" s="1"/>
  <c r="K182" i="18" s="1"/>
  <c r="K179" i="18"/>
  <c r="F174" i="18"/>
  <c r="F178" i="18" s="1"/>
  <c r="F179" i="18"/>
  <c r="J174" i="18"/>
  <c r="J181" i="18" s="1"/>
  <c r="J182" i="18" s="1"/>
  <c r="J179" i="18"/>
  <c r="M174" i="18"/>
  <c r="M181" i="18" s="1"/>
  <c r="M182" i="18" s="1"/>
  <c r="M179" i="18"/>
  <c r="I174" i="18"/>
  <c r="I181" i="18" s="1"/>
  <c r="I182" i="18" s="1"/>
  <c r="I179" i="18"/>
  <c r="Z20" i="18"/>
  <c r="Y72" i="18"/>
  <c r="H66" i="18"/>
  <c r="H176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6" i="18" s="1"/>
  <c r="L66" i="18"/>
  <c r="L176" i="18" s="1"/>
  <c r="K66" i="18"/>
  <c r="K176" i="18" s="1"/>
  <c r="J66" i="18"/>
  <c r="J176" i="18" s="1"/>
  <c r="AA21" i="18"/>
  <c r="C66" i="18"/>
  <c r="C176" i="18" s="1"/>
  <c r="U172" i="18"/>
  <c r="U180" i="18" s="1"/>
  <c r="I66" i="18"/>
  <c r="I176" i="18" s="1"/>
  <c r="R56" i="18"/>
  <c r="G175" i="18"/>
  <c r="R57" i="18"/>
  <c r="R58" i="18"/>
  <c r="R65" i="18"/>
  <c r="R67" i="18"/>
  <c r="G174" i="18"/>
  <c r="G181" i="18" s="1"/>
  <c r="G182" i="18" s="1"/>
  <c r="R54" i="18"/>
  <c r="G177" i="18"/>
  <c r="R68" i="18"/>
  <c r="G66" i="18"/>
  <c r="R64" i="18"/>
  <c r="N175" i="18"/>
  <c r="N174" i="18"/>
  <c r="N181" i="18" s="1"/>
  <c r="N182" i="18" s="1"/>
  <c r="N177" i="18"/>
  <c r="P175" i="18"/>
  <c r="L174" i="18"/>
  <c r="L181" i="18" s="1"/>
  <c r="L182" i="18" s="1"/>
  <c r="N66" i="18"/>
  <c r="M66" i="18"/>
  <c r="M176" i="18" s="1"/>
  <c r="P177" i="18"/>
  <c r="P66" i="18"/>
  <c r="T65" i="18"/>
  <c r="C6" i="12"/>
  <c r="C26" i="15"/>
  <c r="C58" i="15"/>
  <c r="C57" i="15"/>
  <c r="C54" i="15"/>
  <c r="C53" i="15"/>
  <c r="C50" i="15"/>
  <c r="C49" i="15"/>
  <c r="C45" i="15"/>
  <c r="P182" i="18" l="1"/>
  <c r="R181" i="18"/>
  <c r="Q192" i="18"/>
  <c r="P192" i="18"/>
  <c r="T192" i="18"/>
  <c r="T191" i="18" s="1"/>
  <c r="U95" i="18"/>
  <c r="U101" i="18" s="1"/>
  <c r="U52" i="18"/>
  <c r="U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8" i="18" s="1"/>
  <c r="T68" i="18"/>
  <c r="T177" i="18" s="1"/>
  <c r="T78" i="18"/>
  <c r="T80" i="18"/>
  <c r="T135" i="18" s="1"/>
  <c r="T51" i="18"/>
  <c r="T50" i="18"/>
  <c r="T173" i="18" s="1"/>
  <c r="T61" i="18"/>
  <c r="T57" i="18"/>
  <c r="T58" i="18"/>
  <c r="T67" i="18"/>
  <c r="T56" i="18"/>
  <c r="T82" i="18"/>
  <c r="T54" i="18"/>
  <c r="T179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2" i="18"/>
  <c r="V180" i="18" s="1"/>
  <c r="R175" i="18"/>
  <c r="R174" i="18"/>
  <c r="R177" i="18"/>
  <c r="G176" i="18"/>
  <c r="R66" i="18"/>
  <c r="N176" i="18"/>
  <c r="P176" i="18"/>
  <c r="C16" i="15"/>
  <c r="C21" i="15"/>
  <c r="C10" i="15"/>
  <c r="V95" i="18" l="1"/>
  <c r="V101" i="18" s="1"/>
  <c r="V52" i="18"/>
  <c r="V91" i="18" s="1"/>
  <c r="U194" i="18"/>
  <c r="V194" i="18" s="1"/>
  <c r="W194" i="18" s="1"/>
  <c r="X194" i="18" s="1"/>
  <c r="Y194" i="18" s="1"/>
  <c r="Z194" i="18" s="1"/>
  <c r="AA194" i="18" s="1"/>
  <c r="AB194" i="18" s="1"/>
  <c r="AC194" i="18" s="1"/>
  <c r="AD194" i="18" s="1"/>
  <c r="AE194" i="18" s="1"/>
  <c r="AF194" i="18" s="1"/>
  <c r="AG194" i="18" s="1"/>
  <c r="AH194" i="18" s="1"/>
  <c r="AI194" i="18" s="1"/>
  <c r="AJ194" i="18" s="1"/>
  <c r="AK194" i="18" s="1"/>
  <c r="AL194" i="18" s="1"/>
  <c r="AM194" i="18" s="1"/>
  <c r="AN194" i="18" s="1"/>
  <c r="AO194" i="18" s="1"/>
  <c r="AP194" i="18" s="1"/>
  <c r="AQ194" i="18" s="1"/>
  <c r="AR194" i="18" s="1"/>
  <c r="AS194" i="18" s="1"/>
  <c r="AT194" i="18" s="1"/>
  <c r="AD94" i="18"/>
  <c r="AC100" i="18"/>
  <c r="AD100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8" i="18" s="1"/>
  <c r="U68" i="18"/>
  <c r="U177" i="18" s="1"/>
  <c r="U78" i="18"/>
  <c r="U80" i="18"/>
  <c r="U135" i="18" s="1"/>
  <c r="U50" i="18"/>
  <c r="U173" i="18" s="1"/>
  <c r="U51" i="18"/>
  <c r="U57" i="18"/>
  <c r="U56" i="18"/>
  <c r="U67" i="18"/>
  <c r="U82" i="18"/>
  <c r="U61" i="18"/>
  <c r="U58" i="18"/>
  <c r="U54" i="18"/>
  <c r="U179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6" i="18"/>
  <c r="W172" i="18"/>
  <c r="W180" i="18" s="1"/>
  <c r="T174" i="18"/>
  <c r="T181" i="18" s="1"/>
  <c r="T175" i="18"/>
  <c r="R176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2" i="18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6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7" i="18" s="1"/>
  <c r="V67" i="18"/>
  <c r="V62" i="18"/>
  <c r="V178" i="18" s="1"/>
  <c r="V65" i="18"/>
  <c r="V56" i="18"/>
  <c r="V78" i="18"/>
  <c r="V80" i="18"/>
  <c r="V135" i="18" s="1"/>
  <c r="V51" i="18"/>
  <c r="V50" i="18"/>
  <c r="V173" i="18" s="1"/>
  <c r="V61" i="18"/>
  <c r="V57" i="18"/>
  <c r="V58" i="18"/>
  <c r="V54" i="18"/>
  <c r="V179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2" i="18"/>
  <c r="X180" i="18" s="1"/>
  <c r="U174" i="18"/>
  <c r="U181" i="18" s="1"/>
  <c r="U17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6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8" i="18" s="1"/>
  <c r="W78" i="18"/>
  <c r="W80" i="18"/>
  <c r="W135" i="18" s="1"/>
  <c r="W50" i="18"/>
  <c r="W173" i="18" s="1"/>
  <c r="W51" i="18"/>
  <c r="W60" i="18"/>
  <c r="W68" i="18"/>
  <c r="W177" i="18" s="1"/>
  <c r="W54" i="18"/>
  <c r="W179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2" i="18"/>
  <c r="Y180" i="18" s="1"/>
  <c r="V174" i="18"/>
  <c r="V181" i="18" s="1"/>
  <c r="V17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6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7" i="18" s="1"/>
  <c r="X67" i="18"/>
  <c r="X62" i="18"/>
  <c r="X178" i="18" s="1"/>
  <c r="X64" i="18"/>
  <c r="X61" i="18"/>
  <c r="X81" i="18"/>
  <c r="X60" i="18"/>
  <c r="X82" i="18"/>
  <c r="X78" i="18"/>
  <c r="X80" i="18"/>
  <c r="X135" i="18" s="1"/>
  <c r="X51" i="18"/>
  <c r="X50" i="18"/>
  <c r="X173" i="18" s="1"/>
  <c r="X56" i="18"/>
  <c r="X57" i="18"/>
  <c r="X58" i="18"/>
  <c r="X54" i="18"/>
  <c r="X179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2" i="18"/>
  <c r="Z180" i="18" s="1"/>
  <c r="W174" i="18"/>
  <c r="W181" i="18" s="1"/>
  <c r="W175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6" i="18" s="1"/>
  <c r="Y58" i="18"/>
  <c r="Z107" i="18"/>
  <c r="Z108" i="18"/>
  <c r="U161" i="18"/>
  <c r="S161" i="18" s="1"/>
  <c r="Y60" i="18"/>
  <c r="Y67" i="18"/>
  <c r="Y54" i="18"/>
  <c r="Y179" i="18" s="1"/>
  <c r="Y62" i="18"/>
  <c r="Y178" i="18" s="1"/>
  <c r="Y57" i="18"/>
  <c r="Y56" i="18"/>
  <c r="Y78" i="18"/>
  <c r="Y80" i="18"/>
  <c r="Y135" i="18" s="1"/>
  <c r="Y51" i="18"/>
  <c r="Y50" i="18"/>
  <c r="Y173" i="18" s="1"/>
  <c r="Y82" i="18"/>
  <c r="Y61" i="18"/>
  <c r="Y68" i="18"/>
  <c r="Y177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2" i="18"/>
  <c r="AA180" i="18" s="1"/>
  <c r="X174" i="18"/>
  <c r="X181" i="18" s="1"/>
  <c r="X17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6" i="18" s="1"/>
  <c r="Z78" i="18"/>
  <c r="Z80" i="18"/>
  <c r="Z135" i="18" s="1"/>
  <c r="Z50" i="18"/>
  <c r="Z173" i="18" s="1"/>
  <c r="Z51" i="18"/>
  <c r="Z62" i="18"/>
  <c r="Z178" i="18" s="1"/>
  <c r="Z68" i="18"/>
  <c r="Z177" i="18" s="1"/>
  <c r="Z67" i="18"/>
  <c r="Z65" i="18"/>
  <c r="Z56" i="18"/>
  <c r="Z54" i="18"/>
  <c r="Z179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2" i="18"/>
  <c r="AB180" i="18" s="1"/>
  <c r="Y174" i="18"/>
  <c r="Y181" i="18" s="1"/>
  <c r="Y175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6" i="18" s="1"/>
  <c r="AA78" i="18"/>
  <c r="AA80" i="18"/>
  <c r="AA135" i="18" s="1"/>
  <c r="AA51" i="18"/>
  <c r="AA50" i="18"/>
  <c r="AA173" i="18" s="1"/>
  <c r="AA56" i="18"/>
  <c r="AA67" i="18"/>
  <c r="AA57" i="18"/>
  <c r="AA62" i="18"/>
  <c r="AA178" i="18" s="1"/>
  <c r="AA65" i="18"/>
  <c r="AA64" i="18"/>
  <c r="AA82" i="18"/>
  <c r="AA68" i="18"/>
  <c r="AA177" i="18" s="1"/>
  <c r="AA54" i="18"/>
  <c r="AA179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2" i="18"/>
  <c r="AC180" i="18" s="1"/>
  <c r="Z174" i="18"/>
  <c r="Z181" i="18" s="1"/>
  <c r="Z175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06" i="18" s="1"/>
  <c r="AD180" i="18"/>
  <c r="AF180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F12" i="18"/>
  <c r="AC96" i="18"/>
  <c r="AF40" i="18"/>
  <c r="AC107" i="18"/>
  <c r="AD107" i="18" s="1"/>
  <c r="AC108" i="18"/>
  <c r="AD108" i="18" s="1"/>
  <c r="AA66" i="18"/>
  <c r="AA176" i="18" s="1"/>
  <c r="AB78" i="18"/>
  <c r="AB80" i="18"/>
  <c r="AB135" i="18" s="1"/>
  <c r="AB50" i="18"/>
  <c r="AB173" i="18" s="1"/>
  <c r="AB51" i="18"/>
  <c r="AB60" i="18"/>
  <c r="AB68" i="18"/>
  <c r="AB177" i="18" s="1"/>
  <c r="AB54" i="18"/>
  <c r="AB179" i="18" s="1"/>
  <c r="AB62" i="18"/>
  <c r="AB178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2" i="18"/>
  <c r="AF172" i="18" s="1"/>
  <c r="AA174" i="18"/>
  <c r="AA181" i="18" s="1"/>
  <c r="AA175" i="18"/>
  <c r="N36" i="11"/>
  <c r="O35" i="11"/>
  <c r="F5" i="8"/>
  <c r="G5" i="8" s="1"/>
  <c r="H5" i="8" s="1"/>
  <c r="I5" i="8" s="1"/>
  <c r="AB113" i="18" l="1"/>
  <c r="AB114" i="18" s="1"/>
  <c r="AB115" i="18"/>
  <c r="AD9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6" i="18" s="1"/>
  <c r="AC78" i="18"/>
  <c r="AC80" i="18"/>
  <c r="AC50" i="18"/>
  <c r="AC173" i="18" s="1"/>
  <c r="AD173" i="18" s="1"/>
  <c r="AF173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8" i="18" s="1"/>
  <c r="AC77" i="18"/>
  <c r="AC75" i="18"/>
  <c r="AD42" i="18"/>
  <c r="AC76" i="18"/>
  <c r="AC74" i="18"/>
  <c r="AB174" i="18"/>
  <c r="AB181" i="18" s="1"/>
  <c r="AB175" i="18"/>
  <c r="N37" i="11"/>
  <c r="O36" i="11"/>
  <c r="F18" i="8"/>
  <c r="G18" i="8"/>
  <c r="AC113" i="18" l="1"/>
  <c r="AC114" i="18" s="1"/>
  <c r="AC115" i="18"/>
  <c r="AF54" i="18"/>
  <c r="AC179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7" i="18"/>
  <c r="AD177" i="18" s="1"/>
  <c r="AF177" i="18" s="1"/>
  <c r="AF68" i="18"/>
  <c r="AD50" i="18"/>
  <c r="AF50" i="18"/>
  <c r="AD65" i="18"/>
  <c r="AF65" i="18"/>
  <c r="T146" i="18"/>
  <c r="AF64" i="18"/>
  <c r="T145" i="18"/>
  <c r="AF58" i="18"/>
  <c r="AC178" i="18"/>
  <c r="AD178" i="18" s="1"/>
  <c r="AF178" i="18" s="1"/>
  <c r="AF62" i="18"/>
  <c r="AD61" i="18"/>
  <c r="AF61" i="18"/>
  <c r="T143" i="18"/>
  <c r="Q187" i="18" s="1"/>
  <c r="AF56" i="18"/>
  <c r="T148" i="18"/>
  <c r="AF60" i="18"/>
  <c r="AD82" i="18"/>
  <c r="AF82" i="18"/>
  <c r="T169" i="18"/>
  <c r="Q189" i="18" s="1"/>
  <c r="AF78" i="18"/>
  <c r="T166" i="18"/>
  <c r="AF77" i="18"/>
  <c r="T165" i="18"/>
  <c r="AF76" i="18"/>
  <c r="T163" i="18"/>
  <c r="AF74" i="18"/>
  <c r="T164" i="18"/>
  <c r="T167" i="18" s="1"/>
  <c r="AF75" i="18"/>
  <c r="AD67" i="18"/>
  <c r="T149" i="18"/>
  <c r="AD56" i="18"/>
  <c r="AD58" i="18"/>
  <c r="U145" i="18" s="1"/>
  <c r="AD60" i="18"/>
  <c r="T150" i="18"/>
  <c r="Q186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90" i="18" s="1"/>
  <c r="Q191" i="18" s="1"/>
  <c r="AD54" i="18"/>
  <c r="AC174" i="18"/>
  <c r="AC181" i="18" s="1"/>
  <c r="AD181" i="18" s="1"/>
  <c r="AD57" i="18"/>
  <c r="U144" i="18" s="1"/>
  <c r="AC175" i="18"/>
  <c r="T144" i="18"/>
  <c r="N38" i="11"/>
  <c r="O37" i="11"/>
  <c r="H18" i="8"/>
  <c r="M188" i="18" l="1"/>
  <c r="P188" i="18"/>
  <c r="AD179" i="18"/>
  <c r="AF179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6" i="18" s="1"/>
  <c r="U169" i="18"/>
  <c r="S169" i="18" s="1"/>
  <c r="P189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6" i="18"/>
  <c r="AD176" i="18" s="1"/>
  <c r="AF176" i="18" s="1"/>
  <c r="U166" i="18"/>
  <c r="S166" i="18" s="1"/>
  <c r="U164" i="18"/>
  <c r="AD175" i="18"/>
  <c r="AF175" i="18" s="1"/>
  <c r="AD174" i="18"/>
  <c r="AF174" i="18" s="1"/>
  <c r="AF181" i="18" s="1"/>
  <c r="S144" i="18"/>
  <c r="N39" i="11"/>
  <c r="O38" i="11"/>
  <c r="I18" i="8"/>
  <c r="S164" i="18" l="1"/>
  <c r="S167" i="18" s="1"/>
  <c r="U167" i="18"/>
  <c r="M187" i="18"/>
  <c r="P187" i="18"/>
  <c r="P190" i="18"/>
  <c r="P191" i="18" s="1"/>
  <c r="M189" i="18"/>
  <c r="M186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<sst xmlns="http://schemas.openxmlformats.org/spreadsheetml/2006/main" count="652" uniqueCount="460">
  <si>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</si>
  <si>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</si>
  <si>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</si>
  <si>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</si>
  <si>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</si>
  <si>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</si>
  <si>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</si>
  <si>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</si>
  <si>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</si>
  <si>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</si>
  <si>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</si>
  <si>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</si>
  <si>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</si>
  <si>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</si>
  <si>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</si>
  <si>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</si>
  <si>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</si>
  <si>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</si>
  <si>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</si>
  <si>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</si>
  <si>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</si>
  <si>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</si>
  <si>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</si>
  <si>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</si>
  <si>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</si>
  <si>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</si>
  <si>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</si>
  <si>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</si>
  <si>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</si>
  <si>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</si>
  <si>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</si>
  <si>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</si>
  <si>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</si>
  <si>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</si>
  <si>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</si>
  <si>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</si>
  <si>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</si>
  <si>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</si>
  <si>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</si>
  <si>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</si>
  <si>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</si>
  <si>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</si>
  <si>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</si>
  <si>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</si>
  <si>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</si>
  <si>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</si>
  <si>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</si>
  <si>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</si>
  <si>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</si>
  <si>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</si>
  <si>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</si>
  <si>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</si>
  <si>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</si>
  <si>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</si>
  <si>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</si>
  <si>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</si>
  <si>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</si>
  <si>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</si>
  <si>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</si>
  <si>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</si>
  <si>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</si>
  <si>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</si>
  <si>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</si>
  <si>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</si>
  <si>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</si>
  <si>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</si>
  <si>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</si>
  <si>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</si>
  <si>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</si>
  <si>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</si>
  <si>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</si>
  <si>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</si>
  <si>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</si>
  <si>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</si>
  <si>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</si>
  <si>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</si>
  <si>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</si>
  <si>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</si>
  <si>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</si>
  <si>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</si>
  <si>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</si>
  <si>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</si>
  <si>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</si>
  <si>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</si>
  <si>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</si>
  <si>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</si>
  <si>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</si>
  <si>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</si>
  <si>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</si>
  <si>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</si>
  <si>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</si>
  <si>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</si>
  <si>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</si>
  <si>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</si>
  <si>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</si>
  <si>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</si>
  <si>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</si>
  <si>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</si>
  <si>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</si>
  <si>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</si>
  <si>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</si>
  <si>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</si>
  <si>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</si>
  <si>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</si>
  <si>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</si>
  <si>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</si>
  <si>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</si>
  <si>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</si>
  <si>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</si>
  <si>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</si>
  <si>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</si>
  <si>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</si>
  <si>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</si>
  <si>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</si>
  <si>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</si>
  <si>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</si>
  <si>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</si>
  <si>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</si>
  <si>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</si>
  <si>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</si>
  <si>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</si>
  <si>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</si>
  <si>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</si>
  <si>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</si>
  <si>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</si>
  <si>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</si>
  <si>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</si>
  <si>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</si>
  <si>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</si>
  <si>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</si>
  <si>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</si>
  <si>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</si>
  <si>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</si>
  <si>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</si>
  <si>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</si>
  <si>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</si>
  <si>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</si>
  <si>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</si>
  <si>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</si>
  <si>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</si>
  <si>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</si>
  <si>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</si>
  <si>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</si>
  <si>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</si>
  <si>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</si>
  <si>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</si>
  <si>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</si>
  <si>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</si>
  <si>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</si>
  <si>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</si>
  <si>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</si>
  <si>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</si>
  <si>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</si>
  <si>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</si>
  <si>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</si>
  <si>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</si>
  <si>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</si>
  <si>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</si>
  <si>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</si>
  <si>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</si>
  <si>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</si>
  <si>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</si>
  <si>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</si>
  <si>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</si>
  <si>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</si>
  <si>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</si>
  <si>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</si>
  <si>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</si>
  <si>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</si>
  <si>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</si>
  <si>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</si>
  <si>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</si>
  <si>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</si>
  <si>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</si>
  <si>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</si>
  <si>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</si>
  <si>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</si>
  <si>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</si>
  <si>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</si>
  <si>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</si>
  <si>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</si>
  <si>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</si>
  <si>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</si>
  <si>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</si>
  <si>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</si>
  <si>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</si>
  <si>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</si>
  <si>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</si>
  <si>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</si>
  <si>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</si>
  <si>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</si>
  <si>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</si>
  <si>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</si>
  <si>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</si>
  <si>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</si>
  <si>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</si>
  <si>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</si>
  <si>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</si>
  <si>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</si>
  <si>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</si>
  <si>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</si>
  <si>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</si>
  <si>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</si>
  <si>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</si>
  <si>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</si>
  <si>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</si>
  <si>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</si>
  <si>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</si>
  <si>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</si>
  <si>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</si>
  <si>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</si>
  <si>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</si>
  <si>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</si>
  <si>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</si>
  <si>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</si>
  <si>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</si>
  <si>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</si>
  <si>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</si>
  <si>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</si>
  <si>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</si>
  <si>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</si>
  <si>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</si>
  <si>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</si>
  <si>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</si>
  <si>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</si>
  <si>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</si>
  <si>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</si>
  <si>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</si>
  <si>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</si>
  <si>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</si>
  <si>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</si>
  <si>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</si>
  <si>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</si>
  <si>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</si>
  <si>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</si>
  <si>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</si>
  <si>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</si>
  <si>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</si>
  <si>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</si>
  <si>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</si>
  <si>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</si>
  <si>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</si>
  <si>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</si>
  <si>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</si>
  <si>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</si>
  <si>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</si>
  <si>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</si>
  <si>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</si>
  <si>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</si>
  <si>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</si>
  <si>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</si>
  <si>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</si>
  <si>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</si>
  <si>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</si>
  <si>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</si>
  <si>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</si>
  <si>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</si>
  <si>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</si>
  <si>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</si>
  <si>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</si>
  <si>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</si>
  <si>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</si>
  <si>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</si>
  <si>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</si>
  <si>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</si>
  <si>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</si>
  <si>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</si>
  <si>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</si>
  <si>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</si>
  <si>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</si>
  <si>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</si>
  <si>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</si>
  <si>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</si>
  <si>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</si>
  <si>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</si>
  <si>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</si>
  <si>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</si>
  <si>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</si>
  <si>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</si>
  <si>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</si>
  <si>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</si>
  <si>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</si>
  <si>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</si>
  <si>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</si>
  <si>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</si>
  <si>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</si>
  <si>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</si>
  <si>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</si>
  <si>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</si>
  <si>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</si>
  <si>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</si>
  <si>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</si>
  <si>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</si>
  <si>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</si>
  <si>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</si>
  <si>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</si>
  <si>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</si>
  <si>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</si>
  <si>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</si>
  <si>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</si>
  <si>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</si>
  <si>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</si>
  <si>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</si>
  <si>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</si>
  <si>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</si>
  <si>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</si>
  <si>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</si>
  <si>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</si>
  <si>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</si>
  <si>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</si>
  <si>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</si>
  <si>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</si>
  <si>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</si>
  <si>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</si>
  <si>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</si>
  <si>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</si>
  <si>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</si>
  <si>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</si>
  <si>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</si>
  <si>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</si>
  <si>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</si>
  <si>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</si>
  <si>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</si>
  <si>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</si>
  <si>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</si>
  <si>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</si>
  <si>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</si>
  <si>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</si>
  <si>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</si>
  <si>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</si>
  <si>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</si>
  <si>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</si>
  <si>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</si>
  <si>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</si>
  <si>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</si>
  <si>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</si>
  <si>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</si>
  <si>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</si>
  <si>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</si>
  <si>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</si>
  <si>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</si>
  <si>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</si>
  <si>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</si>
  <si>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</si>
  <si>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</si>
  <si>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</si>
  <si>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</si>
  <si>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</si>
  <si>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</si>
  <si>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</si>
  <si>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</si>
  <si>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</si>
  <si>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</si>
  <si>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</si>
  <si>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</si>
  <si>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</si>
  <si>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</si>
  <si>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</si>
  <si>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</si>
  <si>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</si>
  <si>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</si>
  <si>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</si>
  <si>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</si>
  <si>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</si>
  <si>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</si>
  <si>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</si>
  <si>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</si>
  <si>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</si>
  <si>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</si>
  <si>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</si>
  <si>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</si>
  <si>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</si>
  <si>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</si>
  <si>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</si>
  <si>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</si>
  <si>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</si>
  <si>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</si>
  <si>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</si>
  <si>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</si>
  <si>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</si>
  <si>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</si>
  <si>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</si>
  <si>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</si>
  <si>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</si>
  <si>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</si>
  <si>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</si>
  <si>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</si>
  <si>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</si>
  <si>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</si>
  <si>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</si>
  <si>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</si>
  <si>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</si>
  <si>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</si>
  <si>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</si>
  <si>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</si>
  <si>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</si>
  <si>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</si>
  <si>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</si>
  <si>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</si>
  <si>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</si>
  <si>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</si>
  <si>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</si>
  <si>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</si>
  <si>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</si>
  <si>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</si>
  <si>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</si>
  <si>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</si>
  <si>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</si>
  <si>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</si>
  <si>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</si>
  <si>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</si>
  <si>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</si>
  <si>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</si>
  <si>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</si>
  <si>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</si>
  <si>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</si>
  <si>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</si>
  <si>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</si>
  <si>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</si>
  <si>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</si>
  <si>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</si>
  <si>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</si>
  <si>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</si>
  <si>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</si>
  <si>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</si>
  <si>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</si>
  <si>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</si>
  <si>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</si>
  <si>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</si>
  <si>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</si>
  <si>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</si>
  <si>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</si>
  <si>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</si>
  <si>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</si>
  <si>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</si>
  <si>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</si>
  <si>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</si>
  <si>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</si>
  <si>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</si>
  <si>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</si>
  <si>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</si>
  <si>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</si>
  <si>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</si>
  <si>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</si>
  <si>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</si>
  <si>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</si>
  <si>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</si>
  <si>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</si>
  <si>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</si>
  <si>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</si>
  <si>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</si>
  <si>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</si>
  <si>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</si>
  <si>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</si>
  <si>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</si>
  <si>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</si>
  <si>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10x1</t>
  </si>
  <si>
    <t>December as FY</t>
  </si>
  <si>
    <t>Standalone</t>
  </si>
  <si>
    <t>Free Cash Flow (per share)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</si>
</sst>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4" fontId="8" fillId="5" borderId="1" xfId="2" applyNumberFormat="1" applyFont="1" applyFill="1" applyBorder="1"/>
    <xf numFmtId="0" fontId="8" fillId="5" borderId="1" xfId="2" applyNumberFormat="1" applyFont="1" applyFill="1" applyBorder="1"/>
    <xf numFmtId="0" fontId="5" fillId="13" borderId="1" xfId="0" applyFont="1" applyFill="1" applyBorder="1"/>
    <xf numFmtId="0" fontId="5" fillId="11" borderId="4" xfId="0" applyFont="1" applyFill="1" applyBorder="1" applyAlignment="1"/>
    <xf numFmtId="0" fontId="5" fillId="11" borderId="5" xfId="0" applyFont="1" applyFill="1" applyBorder="1" applyAlignment="1"/>
    <xf numFmtId="0" fontId="5" fillId="11" borderId="6" xfId="0" applyFont="1" applyFill="1" applyBorder="1" applyAlignment="1"/>
    <xf numFmtId="0" fontId="4" fillId="11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47648"/>
        <c:axId val="95400704"/>
      </c:lineChart>
      <c:catAx>
        <c:axId val="94747648"/>
        <c:scaling>
          <c:orientation val="minMax"/>
        </c:scaling>
        <c:delete val="0"/>
        <c:axPos val="b"/>
        <c:majorTickMark val="out"/>
        <c:minorTickMark val="none"/>
        <c:tickLblPos val="nextTo"/>
        <c:crossAx val="95400704"/>
        <c:crosses val="autoZero"/>
        <c:auto val="1"/>
        <c:lblAlgn val="ctr"/>
        <c:lblOffset val="100"/>
        <c:noMultiLvlLbl val="0"/>
      </c:catAx>
      <c:valAx>
        <c:axId val="95400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74764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3"/>
  <sheetViews>
    <sheetView tabSelected="1" zoomScale="80" zoomScaleNormal="80" workbookViewId="0">
      <pane xSplit="2" ySplit="3" topLeftCell="C175" activePane="bottomRight" state="frozen"/>
      <selection pane="topRight" activeCell="C1" sqref="C1"/>
      <selection pane="bottomLeft" activeCell="A5" sqref="A5"/>
      <selection pane="bottomRight" activeCell="C186" sqref="C186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0.15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0.15</v>
      </c>
      <c r="P2" s="123" t="s">
        <v>458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3" t="s">
        <v>291</v>
      </c>
      <c r="AF2" s="204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95">
        <v>2013</v>
      </c>
      <c r="Q3" s="195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5" t="s">
        <v>292</v>
      </c>
      <c r="AF3" s="206"/>
    </row>
    <row r="4" spans="2:32" x14ac:dyDescent="0.2">
      <c r="B4" s="20"/>
      <c r="C4" s="20"/>
      <c r="D4" s="20"/>
      <c r="E4" s="20"/>
      <c r="F4" s="20"/>
      <c r="G4" s="196" t="s">
        <v>457</v>
      </c>
      <c r="H4" s="197"/>
      <c r="I4" s="197"/>
      <c r="J4" s="197"/>
      <c r="K4" s="197"/>
      <c r="L4" s="197"/>
      <c r="M4" s="197"/>
      <c r="N4" s="197"/>
      <c r="O4" s="197"/>
      <c r="P4" s="198"/>
      <c r="Q4" s="199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89</v>
      </c>
      <c r="H6" s="147">
        <v>104</v>
      </c>
      <c r="I6" s="147">
        <v>182</v>
      </c>
      <c r="J6" s="147">
        <v>270</v>
      </c>
      <c r="K6" s="147">
        <v>350</v>
      </c>
      <c r="L6" s="147">
        <v>426</v>
      </c>
      <c r="M6" s="147">
        <v>387</v>
      </c>
      <c r="N6" s="147">
        <v>406</v>
      </c>
      <c r="O6" s="147">
        <v>522</v>
      </c>
      <c r="P6" s="147">
        <v>667</v>
      </c>
      <c r="Q6" s="147">
        <f>P6</f>
        <v>667</v>
      </c>
      <c r="R6" s="118">
        <f>((Q6/G6)^(1/($H$2-$H$1) ))-1</f>
        <v>0.25081439217250479</v>
      </c>
      <c r="S6" s="31">
        <f>$L$2</f>
        <v>0.15</v>
      </c>
      <c r="T6" s="154">
        <f>Q6*(1+$S6)</f>
        <v>767.05</v>
      </c>
      <c r="U6" s="154">
        <f>T6*(1+$S6)</f>
        <v>882.10749999999985</v>
      </c>
      <c r="V6" s="154">
        <f t="shared" ref="V6:AC6" si="0">U6*(1+$S6)</f>
        <v>1014.4236249999998</v>
      </c>
      <c r="W6" s="154">
        <f t="shared" si="0"/>
        <v>1166.5871687499996</v>
      </c>
      <c r="X6" s="154">
        <f t="shared" si="0"/>
        <v>1341.5752440624995</v>
      </c>
      <c r="Y6" s="154">
        <f t="shared" si="0"/>
        <v>1542.8115306718742</v>
      </c>
      <c r="Z6" s="154">
        <f t="shared" si="0"/>
        <v>1774.2332602726551</v>
      </c>
      <c r="AA6" s="154">
        <f t="shared" si="0"/>
        <v>2040.3682493135532</v>
      </c>
      <c r="AB6" s="154">
        <f t="shared" si="0"/>
        <v>2346.4234867105861</v>
      </c>
      <c r="AC6" s="154">
        <f t="shared" si="0"/>
        <v>2698.3870097171739</v>
      </c>
      <c r="AD6" s="138">
        <f>((AC6/G6)^(1/($AC$3-$H$1) ))-1</f>
        <v>0.18600279234685391</v>
      </c>
      <c r="AE6" s="31">
        <f>$L$1</f>
        <v>0.05</v>
      </c>
      <c r="AF6" s="146">
        <f t="shared" ref="AF6:AF44" si="1">(AC6*(1+AE6))/($C$1-AE6)</f>
        <v>28333.063602030332</v>
      </c>
    </row>
    <row r="7" spans="2:32" x14ac:dyDescent="0.2">
      <c r="B7" s="20" t="s">
        <v>240</v>
      </c>
      <c r="C7" s="141"/>
      <c r="D7" s="141"/>
      <c r="E7" s="147"/>
      <c r="F7" s="147"/>
      <c r="G7" s="147">
        <v>95</v>
      </c>
      <c r="H7" s="147">
        <v>110</v>
      </c>
      <c r="I7" s="147">
        <v>189</v>
      </c>
      <c r="J7" s="147">
        <v>276</v>
      </c>
      <c r="K7" s="147">
        <v>357</v>
      </c>
      <c r="L7" s="147">
        <v>433</v>
      </c>
      <c r="M7" s="147">
        <v>395</v>
      </c>
      <c r="N7" s="147">
        <v>413</v>
      </c>
      <c r="O7" s="147">
        <v>529</v>
      </c>
      <c r="P7" s="147">
        <v>674</v>
      </c>
      <c r="Q7" s="147">
        <v>820</v>
      </c>
      <c r="R7" s="118">
        <f>((Q7/G7)^(1/($H$2-$H$1) ))-1</f>
        <v>0.2706034419196035</v>
      </c>
      <c r="S7" s="31">
        <f>$L$2</f>
        <v>0.15</v>
      </c>
      <c r="T7" s="154">
        <f t="shared" ref="T7:T44" si="2">Q7*(1+$S7)</f>
        <v>942.99999999999989</v>
      </c>
      <c r="U7" s="154">
        <f t="shared" ref="U7:AC7" si="3">T7*(1+$S7)</f>
        <v>1084.4499999999998</v>
      </c>
      <c r="V7" s="154">
        <f t="shared" si="3"/>
        <v>1247.1174999999996</v>
      </c>
      <c r="W7" s="154">
        <f t="shared" si="3"/>
        <v>1434.1851249999995</v>
      </c>
      <c r="X7" s="154">
        <f t="shared" si="3"/>
        <v>1649.3128937499994</v>
      </c>
      <c r="Y7" s="154">
        <f t="shared" si="3"/>
        <v>1896.709827812499</v>
      </c>
      <c r="Z7" s="154">
        <f t="shared" si="3"/>
        <v>2181.2163019843738</v>
      </c>
      <c r="AA7" s="154">
        <f t="shared" si="3"/>
        <v>2508.3987472820295</v>
      </c>
      <c r="AB7" s="154">
        <f t="shared" si="3"/>
        <v>2884.6585593743339</v>
      </c>
      <c r="AC7" s="154">
        <f t="shared" si="3"/>
        <v>3317.3573432804837</v>
      </c>
      <c r="AD7" s="138">
        <f>((AC7/G7)^(1/($AC$3-$H$1) ))-1</f>
        <v>0.19441000478733561</v>
      </c>
      <c r="AE7" s="31">
        <f>$L$1</f>
        <v>0.05</v>
      </c>
      <c r="AF7" s="146">
        <f t="shared" si="1"/>
        <v>34832.252104445084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0.13636363636363635</v>
      </c>
      <c r="I8" s="151">
        <f t="shared" ref="I8:P8" si="4">(I7-H7)/I7</f>
        <v>0.41798941798941797</v>
      </c>
      <c r="J8" s="151">
        <f t="shared" si="4"/>
        <v>0.31521739130434784</v>
      </c>
      <c r="K8" s="151">
        <f t="shared" si="4"/>
        <v>0.22689075630252101</v>
      </c>
      <c r="L8" s="151">
        <f t="shared" si="4"/>
        <v>0.17551963048498845</v>
      </c>
      <c r="M8" s="151">
        <f t="shared" si="4"/>
        <v>-9.6202531645569619E-2</v>
      </c>
      <c r="N8" s="151">
        <f t="shared" si="4"/>
        <v>4.3583535108958835E-2</v>
      </c>
      <c r="O8" s="151">
        <f t="shared" si="4"/>
        <v>0.21928166351606806</v>
      </c>
      <c r="P8" s="151">
        <f t="shared" si="4"/>
        <v>0.21513353115727002</v>
      </c>
      <c r="Q8" s="151">
        <f t="shared" ref="Q8" si="5">(Q7-P7)/Q7</f>
        <v>0.17804878048780487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16.2</v>
      </c>
      <c r="H9" s="147">
        <v>20</v>
      </c>
      <c r="I9" s="147">
        <v>74</v>
      </c>
      <c r="J9" s="147">
        <v>99</v>
      </c>
      <c r="K9" s="147">
        <v>118</v>
      </c>
      <c r="L9" s="147">
        <v>161</v>
      </c>
      <c r="M9" s="147">
        <v>175</v>
      </c>
      <c r="N9" s="147">
        <v>241</v>
      </c>
      <c r="O9" s="147">
        <v>382</v>
      </c>
      <c r="P9" s="147">
        <v>237</v>
      </c>
      <c r="Q9" s="147">
        <f>P9</f>
        <v>237</v>
      </c>
      <c r="R9" s="118">
        <f>((Q9/G9)^(1/($H$2-$H$1) ))-1</f>
        <v>0.3473188010858872</v>
      </c>
      <c r="S9" s="31">
        <f t="shared" ref="S9:S40" si="6">$L$2</f>
        <v>0.15</v>
      </c>
      <c r="T9" s="154">
        <f t="shared" si="2"/>
        <v>272.54999999999995</v>
      </c>
      <c r="U9" s="154">
        <f t="shared" ref="U9" si="7">T9*(1+$S9)</f>
        <v>313.43249999999995</v>
      </c>
      <c r="V9" s="154">
        <f t="shared" ref="V9" si="8">U9*(1+$S9)</f>
        <v>360.44737499999991</v>
      </c>
      <c r="W9" s="154">
        <f t="shared" ref="W9" si="9">V9*(1+$S9)</f>
        <v>414.51448124999985</v>
      </c>
      <c r="X9" s="154">
        <f t="shared" ref="X9" si="10">W9*(1+$S9)</f>
        <v>476.69165343749978</v>
      </c>
      <c r="Y9" s="154">
        <f t="shared" ref="Y9" si="11">X9*(1+$S9)</f>
        <v>548.19540145312476</v>
      </c>
      <c r="Z9" s="154">
        <f t="shared" ref="Z9" si="12">Y9*(1+$S9)</f>
        <v>630.42471167109341</v>
      </c>
      <c r="AA9" s="154">
        <f t="shared" ref="AA9" si="13">Z9*(1+$S9)</f>
        <v>724.98841842175739</v>
      </c>
      <c r="AB9" s="154">
        <f t="shared" ref="AB9" si="14">AA9*(1+$S9)</f>
        <v>833.73668118502098</v>
      </c>
      <c r="AC9" s="154">
        <f t="shared" ref="AC9" si="15">AB9*(1+$S9)</f>
        <v>958.79718336277404</v>
      </c>
      <c r="AD9" s="138">
        <f>((AC9/G9)^(1/($AC$3-$H$1) ))-1</f>
        <v>0.22633913228236469</v>
      </c>
      <c r="AE9" s="31">
        <f t="shared" ref="AE9:AE81" si="16">$L$1</f>
        <v>0.05</v>
      </c>
      <c r="AF9" s="146">
        <f t="shared" si="1"/>
        <v>10067.370425309127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0</v>
      </c>
      <c r="H10" s="147">
        <v>0</v>
      </c>
      <c r="I10" s="147">
        <v>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0</v>
      </c>
      <c r="P10" s="147">
        <v>0</v>
      </c>
      <c r="Q10" s="147">
        <f>P10</f>
        <v>0</v>
      </c>
      <c r="R10" s="118" t="e">
        <f>((Q10/G10)^(1/($H$2-$H$1) ))-1</f>
        <v>#DIV/0!</v>
      </c>
      <c r="S10" s="31">
        <f t="shared" si="6"/>
        <v>0.15</v>
      </c>
      <c r="T10" s="154">
        <f t="shared" si="2"/>
        <v>0</v>
      </c>
      <c r="U10" s="154">
        <f t="shared" ref="U10:AC10" si="17">T10*(1+$S10)</f>
        <v>0</v>
      </c>
      <c r="V10" s="154">
        <f t="shared" si="17"/>
        <v>0</v>
      </c>
      <c r="W10" s="154">
        <f t="shared" si="17"/>
        <v>0</v>
      </c>
      <c r="X10" s="154">
        <f t="shared" si="17"/>
        <v>0</v>
      </c>
      <c r="Y10" s="154">
        <f t="shared" si="17"/>
        <v>0</v>
      </c>
      <c r="Z10" s="154">
        <f t="shared" si="17"/>
        <v>0</v>
      </c>
      <c r="AA10" s="154">
        <f t="shared" si="17"/>
        <v>0</v>
      </c>
      <c r="AB10" s="154">
        <f t="shared" si="17"/>
        <v>0</v>
      </c>
      <c r="AC10" s="154">
        <f t="shared" si="17"/>
        <v>0</v>
      </c>
      <c r="AD10" s="138" t="e">
        <f t="shared" ref="AD10:AD42" si="18">((AC10/G10)^(1/($AC$3-$H$1) ))-1</f>
        <v>#DIV/0!</v>
      </c>
      <c r="AE10" s="31">
        <f t="shared" si="16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19">(H10-G10)/H10</f>
        <v>#DIV/0!</v>
      </c>
      <c r="I11" s="148" t="e">
        <f t="shared" si="19"/>
        <v>#DIV/0!</v>
      </c>
      <c r="J11" s="148" t="e">
        <f t="shared" si="19"/>
        <v>#DIV/0!</v>
      </c>
      <c r="K11" s="148" t="e">
        <f t="shared" si="19"/>
        <v>#DIV/0!</v>
      </c>
      <c r="L11" s="148" t="e">
        <f t="shared" si="19"/>
        <v>#DIV/0!</v>
      </c>
      <c r="M11" s="148" t="e">
        <f t="shared" si="19"/>
        <v>#DIV/0!</v>
      </c>
      <c r="N11" s="148" t="e">
        <f t="shared" si="19"/>
        <v>#DIV/0!</v>
      </c>
      <c r="O11" s="148" t="e">
        <f t="shared" si="19"/>
        <v>#DIV/0!</v>
      </c>
      <c r="P11" s="148" t="e">
        <f t="shared" si="19"/>
        <v>#DIV/0!</v>
      </c>
      <c r="Q11" s="148" t="e">
        <f t="shared" ref="Q11" si="20">(Q10-P10)/Q10</f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f>5.12+1.39</f>
        <v>6.51</v>
      </c>
      <c r="H12" s="147">
        <f>4.5+6.5</f>
        <v>11</v>
      </c>
      <c r="I12" s="147">
        <f>34+4</f>
        <v>38</v>
      </c>
      <c r="J12" s="147">
        <f>39+3.1</f>
        <v>42.1</v>
      </c>
      <c r="K12" s="147">
        <f>85+44</f>
        <v>129</v>
      </c>
      <c r="L12" s="147">
        <f>91+66</f>
        <v>157</v>
      </c>
      <c r="M12" s="147">
        <f>59.5+102</f>
        <v>161.5</v>
      </c>
      <c r="N12" s="147">
        <f>94+164</f>
        <v>258</v>
      </c>
      <c r="O12" s="147">
        <f>153+0</f>
        <v>153</v>
      </c>
      <c r="P12" s="147">
        <f>57+35</f>
        <v>92</v>
      </c>
      <c r="Q12" s="147">
        <f>P12</f>
        <v>92</v>
      </c>
      <c r="R12" s="118">
        <f>((Q12/G12)^(1/($H$2-$H$1) ))-1</f>
        <v>0.34214908567508795</v>
      </c>
      <c r="S12" s="31">
        <f t="shared" si="6"/>
        <v>0.15</v>
      </c>
      <c r="T12" s="154">
        <f t="shared" si="2"/>
        <v>105.8</v>
      </c>
      <c r="U12" s="154">
        <f t="shared" ref="U12:AC12" si="21">T12*(1+$S12)</f>
        <v>121.66999999999999</v>
      </c>
      <c r="V12" s="154">
        <f t="shared" si="21"/>
        <v>139.92049999999998</v>
      </c>
      <c r="W12" s="154">
        <f t="shared" si="21"/>
        <v>160.90857499999996</v>
      </c>
      <c r="X12" s="154">
        <f t="shared" si="21"/>
        <v>185.04486124999994</v>
      </c>
      <c r="Y12" s="154">
        <f t="shared" si="21"/>
        <v>212.80159043749993</v>
      </c>
      <c r="Z12" s="154">
        <f t="shared" si="21"/>
        <v>244.7218290031249</v>
      </c>
      <c r="AA12" s="154">
        <f t="shared" si="21"/>
        <v>281.43010335359361</v>
      </c>
      <c r="AB12" s="154">
        <f t="shared" si="21"/>
        <v>323.64461885663263</v>
      </c>
      <c r="AC12" s="154">
        <f t="shared" si="21"/>
        <v>372.19131168512752</v>
      </c>
      <c r="AD12" s="138">
        <f t="shared" si="18"/>
        <v>0.22421941326555439</v>
      </c>
      <c r="AE12" s="31">
        <f t="shared" si="16"/>
        <v>0.05</v>
      </c>
      <c r="AF12" s="146">
        <f t="shared" si="1"/>
        <v>3908.0087726938395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55.66</v>
      </c>
      <c r="H13" s="147">
        <v>66.5</v>
      </c>
      <c r="I13" s="147">
        <v>40</v>
      </c>
      <c r="J13" s="147">
        <v>97.5</v>
      </c>
      <c r="K13" s="147">
        <v>111</v>
      </c>
      <c r="L13" s="147">
        <v>106</v>
      </c>
      <c r="M13" s="147">
        <v>26</v>
      </c>
      <c r="N13" s="147">
        <v>15.85</v>
      </c>
      <c r="O13" s="147">
        <v>115</v>
      </c>
      <c r="P13" s="147">
        <v>176</v>
      </c>
      <c r="Q13" s="147">
        <f>P13</f>
        <v>176</v>
      </c>
      <c r="R13" s="118">
        <f>((Q13/G13)^(1/($H$2-$H$1) ))-1</f>
        <v>0.1364547884222278</v>
      </c>
      <c r="S13" s="31">
        <f t="shared" si="6"/>
        <v>0.15</v>
      </c>
      <c r="T13" s="154">
        <f t="shared" si="2"/>
        <v>202.39999999999998</v>
      </c>
      <c r="U13" s="154">
        <f t="shared" ref="U13:AC13" si="22">T13*(1+$S13)</f>
        <v>232.75999999999996</v>
      </c>
      <c r="V13" s="154">
        <f t="shared" si="22"/>
        <v>267.67399999999992</v>
      </c>
      <c r="W13" s="154">
        <f t="shared" si="22"/>
        <v>307.82509999999991</v>
      </c>
      <c r="X13" s="154">
        <f t="shared" si="22"/>
        <v>353.99886499999985</v>
      </c>
      <c r="Y13" s="154">
        <f t="shared" si="22"/>
        <v>407.09869474999982</v>
      </c>
      <c r="Z13" s="154">
        <f t="shared" si="22"/>
        <v>468.16349896249977</v>
      </c>
      <c r="AA13" s="154">
        <f t="shared" si="22"/>
        <v>538.38802380687468</v>
      </c>
      <c r="AB13" s="154">
        <f t="shared" si="22"/>
        <v>619.1462273779058</v>
      </c>
      <c r="AC13" s="154">
        <f t="shared" si="22"/>
        <v>712.01816148459159</v>
      </c>
      <c r="AD13" s="138">
        <f t="shared" si="18"/>
        <v>0.13591907746366738</v>
      </c>
      <c r="AE13" s="31">
        <f t="shared" si="16"/>
        <v>0.05</v>
      </c>
      <c r="AF13" s="146">
        <f t="shared" si="1"/>
        <v>7476.1906955882132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0</v>
      </c>
      <c r="H14" s="147">
        <v>0</v>
      </c>
      <c r="I14" s="147">
        <v>0</v>
      </c>
      <c r="J14" s="147">
        <v>0</v>
      </c>
      <c r="K14" s="147">
        <v>0</v>
      </c>
      <c r="L14" s="147">
        <v>0</v>
      </c>
      <c r="M14" s="147">
        <v>0</v>
      </c>
      <c r="N14" s="147">
        <v>0</v>
      </c>
      <c r="O14" s="147">
        <v>0</v>
      </c>
      <c r="P14" s="147">
        <v>0</v>
      </c>
      <c r="Q14" s="147">
        <f>P14</f>
        <v>0</v>
      </c>
      <c r="R14" s="118" t="e">
        <f>((Q14/G14)^(1/($H$2-$H$1) ))-1</f>
        <v>#DIV/0!</v>
      </c>
      <c r="S14" s="31">
        <f t="shared" si="6"/>
        <v>0.15</v>
      </c>
      <c r="T14" s="154">
        <f t="shared" si="2"/>
        <v>0</v>
      </c>
      <c r="U14" s="154">
        <f t="shared" ref="U14" si="23">T14*(1+$S14)</f>
        <v>0</v>
      </c>
      <c r="V14" s="154">
        <f t="shared" ref="V14" si="24">U14*(1+$S14)</f>
        <v>0</v>
      </c>
      <c r="W14" s="154">
        <f t="shared" ref="W14" si="25">V14*(1+$S14)</f>
        <v>0</v>
      </c>
      <c r="X14" s="154">
        <f t="shared" ref="X14" si="26">W14*(1+$S14)</f>
        <v>0</v>
      </c>
      <c r="Y14" s="154">
        <f t="shared" ref="Y14" si="27">X14*(1+$S14)</f>
        <v>0</v>
      </c>
      <c r="Z14" s="154">
        <f t="shared" ref="Z14" si="28">Y14*(1+$S14)</f>
        <v>0</v>
      </c>
      <c r="AA14" s="154">
        <f t="shared" ref="AA14" si="29">Z14*(1+$S14)</f>
        <v>0</v>
      </c>
      <c r="AB14" s="154">
        <f t="shared" ref="AB14" si="30">AA14*(1+$S14)</f>
        <v>0</v>
      </c>
      <c r="AC14" s="154">
        <f t="shared" ref="AC14" si="31">AB14*(1+$S14)</f>
        <v>0</v>
      </c>
      <c r="AD14" s="138" t="e">
        <f t="shared" ref="AD14" si="32">((AC14/G14)^(1/($AC$3-$H$1) ))-1</f>
        <v>#DIV/0!</v>
      </c>
      <c r="AE14" s="31">
        <f t="shared" si="16"/>
        <v>0.05</v>
      </c>
      <c r="AF14" s="146">
        <f t="shared" ref="AF14" si="33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14.32</v>
      </c>
      <c r="H15" s="147">
        <v>21</v>
      </c>
      <c r="I15" s="147">
        <v>101</v>
      </c>
      <c r="J15" s="147">
        <v>129</v>
      </c>
      <c r="K15" s="147">
        <v>163</v>
      </c>
      <c r="L15" s="147">
        <v>183</v>
      </c>
      <c r="M15" s="147">
        <v>168</v>
      </c>
      <c r="N15" s="147">
        <v>182</v>
      </c>
      <c r="O15" s="147">
        <v>270</v>
      </c>
      <c r="P15" s="147">
        <v>529</v>
      </c>
      <c r="Q15" s="147">
        <f>P15</f>
        <v>529</v>
      </c>
      <c r="R15" s="118">
        <f>((Q15/G15)^(1/($H$2-$H$1) ))-1</f>
        <v>0.49337223525578566</v>
      </c>
      <c r="S15" s="31">
        <f t="shared" si="6"/>
        <v>0.15</v>
      </c>
      <c r="T15" s="154">
        <f t="shared" si="2"/>
        <v>608.34999999999991</v>
      </c>
      <c r="U15" s="154">
        <f t="shared" ref="U15:AC15" si="34">T15*(1+$S15)</f>
        <v>699.60249999999985</v>
      </c>
      <c r="V15" s="154">
        <f t="shared" si="34"/>
        <v>804.54287499999975</v>
      </c>
      <c r="W15" s="154">
        <f t="shared" si="34"/>
        <v>925.2243062499997</v>
      </c>
      <c r="X15" s="154">
        <f t="shared" si="34"/>
        <v>1064.0079521874995</v>
      </c>
      <c r="Y15" s="154">
        <f t="shared" si="34"/>
        <v>1223.6091450156243</v>
      </c>
      <c r="Z15" s="154">
        <f t="shared" si="34"/>
        <v>1407.1505167679679</v>
      </c>
      <c r="AA15" s="154">
        <f t="shared" si="34"/>
        <v>1618.2230942831629</v>
      </c>
      <c r="AB15" s="154">
        <f t="shared" si="34"/>
        <v>1860.9565584256372</v>
      </c>
      <c r="AC15" s="154">
        <f t="shared" si="34"/>
        <v>2140.1000421894828</v>
      </c>
      <c r="AD15" s="138">
        <f t="shared" si="18"/>
        <v>0.28447173763220723</v>
      </c>
      <c r="AE15" s="31">
        <f t="shared" si="16"/>
        <v>0.05</v>
      </c>
      <c r="AF15" s="146">
        <f t="shared" si="1"/>
        <v>22471.050442989574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-6.5</v>
      </c>
      <c r="H16" s="147">
        <v>1.24</v>
      </c>
      <c r="I16" s="147">
        <v>31.7</v>
      </c>
      <c r="J16" s="147">
        <v>41.69</v>
      </c>
      <c r="K16" s="147">
        <v>109</v>
      </c>
      <c r="L16" s="147">
        <v>132</v>
      </c>
      <c r="M16" s="147">
        <v>143</v>
      </c>
      <c r="N16" s="147">
        <v>170</v>
      </c>
      <c r="O16" s="147">
        <v>-53</v>
      </c>
      <c r="P16" s="147">
        <f>P15-P9</f>
        <v>292</v>
      </c>
      <c r="Q16" s="147">
        <f>P16</f>
        <v>292</v>
      </c>
      <c r="R16" s="118">
        <f>((Q16/G16)^(1/($H$2-$H$1) ))-1</f>
        <v>-2.5261869005978665</v>
      </c>
      <c r="S16" s="31">
        <f t="shared" si="6"/>
        <v>0.15</v>
      </c>
      <c r="T16" s="154">
        <f t="shared" si="2"/>
        <v>335.79999999999995</v>
      </c>
      <c r="U16" s="154">
        <f t="shared" ref="U16:AC16" si="35">T16*(1+$S16)</f>
        <v>386.1699999999999</v>
      </c>
      <c r="V16" s="154">
        <f t="shared" si="35"/>
        <v>444.09549999999984</v>
      </c>
      <c r="W16" s="154">
        <f t="shared" si="35"/>
        <v>510.7098249999998</v>
      </c>
      <c r="X16" s="154">
        <f t="shared" si="35"/>
        <v>587.31629874999976</v>
      </c>
      <c r="Y16" s="154">
        <f t="shared" si="35"/>
        <v>675.41374356249969</v>
      </c>
      <c r="Z16" s="154">
        <f t="shared" si="35"/>
        <v>776.72580509687464</v>
      </c>
      <c r="AA16" s="154">
        <f t="shared" si="35"/>
        <v>893.23467586140578</v>
      </c>
      <c r="AB16" s="154">
        <f t="shared" si="35"/>
        <v>1027.2198772406166</v>
      </c>
      <c r="AC16" s="154">
        <f t="shared" si="35"/>
        <v>1181.3028588267091</v>
      </c>
      <c r="AD16" s="138" t="e">
        <f t="shared" si="18"/>
        <v>#NUM!</v>
      </c>
      <c r="AE16" s="31">
        <f t="shared" si="16"/>
        <v>0.05</v>
      </c>
      <c r="AF16" s="146">
        <f t="shared" si="1"/>
        <v>12403.680017680448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46</v>
      </c>
      <c r="H18" s="147">
        <v>42.2</v>
      </c>
      <c r="I18" s="147">
        <v>117</v>
      </c>
      <c r="J18" s="147">
        <v>129</v>
      </c>
      <c r="K18" s="147">
        <v>126</v>
      </c>
      <c r="L18" s="147">
        <v>120</v>
      </c>
      <c r="M18" s="147">
        <v>224</v>
      </c>
      <c r="N18" s="147">
        <v>226</v>
      </c>
      <c r="O18" s="147">
        <v>467</v>
      </c>
      <c r="P18" s="147">
        <v>79</v>
      </c>
      <c r="Q18" s="147">
        <f>P18</f>
        <v>79</v>
      </c>
      <c r="R18" s="118">
        <f>((Q18/G18)^(1/($H$2-$H$1) ))-1</f>
        <v>6.1931697967324784E-2</v>
      </c>
      <c r="S18" s="31">
        <f t="shared" si="6"/>
        <v>0.15</v>
      </c>
      <c r="T18" s="154">
        <f t="shared" si="2"/>
        <v>90.85</v>
      </c>
      <c r="U18" s="154">
        <f t="shared" ref="U18:U34" si="36">T18*(1+$S18)</f>
        <v>104.47749999999999</v>
      </c>
      <c r="V18" s="154">
        <f t="shared" ref="V18:V34" si="37">U18*(1+$S18)</f>
        <v>120.14912499999998</v>
      </c>
      <c r="W18" s="154">
        <f t="shared" ref="W18:W34" si="38">V18*(1+$S18)</f>
        <v>138.17149374999997</v>
      </c>
      <c r="X18" s="154">
        <f t="shared" ref="X18:X36" si="39">W18*(1+$S18)</f>
        <v>158.89721781249995</v>
      </c>
      <c r="Y18" s="154">
        <f t="shared" ref="Y18:Y36" si="40">X18*(1+$S18)</f>
        <v>182.73180048437493</v>
      </c>
      <c r="Z18" s="154">
        <f t="shared" ref="Z18:Z36" si="41">Y18*(1+$S18)</f>
        <v>210.14157055703114</v>
      </c>
      <c r="AA18" s="154">
        <f t="shared" ref="AA18:AA36" si="42">Z18*(1+$S18)</f>
        <v>241.66280614058579</v>
      </c>
      <c r="AB18" s="154">
        <f t="shared" ref="AB18:AB36" si="43">AA18*(1+$S18)</f>
        <v>277.9122270616736</v>
      </c>
      <c r="AC18" s="154">
        <f t="shared" ref="AC18:AC36" si="44">AB18*(1+$S18)</f>
        <v>319.5990611209246</v>
      </c>
      <c r="AD18" s="138">
        <f t="shared" si="18"/>
        <v>0.10177365399626526</v>
      </c>
      <c r="AE18" s="31">
        <f t="shared" si="16"/>
        <v>0.05</v>
      </c>
      <c r="AF18" s="146">
        <f t="shared" si="1"/>
        <v>3355.790141769709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23.4</v>
      </c>
      <c r="H20" s="147">
        <v>21</v>
      </c>
      <c r="I20" s="147">
        <v>25</v>
      </c>
      <c r="J20" s="147">
        <v>53</v>
      </c>
      <c r="K20" s="147">
        <v>137</v>
      </c>
      <c r="L20" s="147">
        <v>176</v>
      </c>
      <c r="M20" s="147">
        <v>135</v>
      </c>
      <c r="N20" s="147">
        <v>238</v>
      </c>
      <c r="O20" s="147">
        <v>149</v>
      </c>
      <c r="P20" s="147">
        <v>146</v>
      </c>
      <c r="Q20" s="147">
        <f>P20</f>
        <v>146</v>
      </c>
      <c r="R20" s="118">
        <f>((Q20/G20)^(1/($H$2-$H$1) ))-1</f>
        <v>0.22559944430041767</v>
      </c>
      <c r="S20" s="31">
        <f t="shared" si="6"/>
        <v>0.15</v>
      </c>
      <c r="T20" s="154">
        <f t="shared" si="2"/>
        <v>167.89999999999998</v>
      </c>
      <c r="U20" s="154">
        <f t="shared" ref="U20:U22" si="45">T20*(1+$S20)</f>
        <v>193.08499999999995</v>
      </c>
      <c r="V20" s="154">
        <f t="shared" ref="V20:V22" si="46">U20*(1+$S20)</f>
        <v>222.04774999999992</v>
      </c>
      <c r="W20" s="154">
        <f t="shared" ref="W20:W22" si="47">V20*(1+$S20)</f>
        <v>255.3549124999999</v>
      </c>
      <c r="X20" s="154">
        <f t="shared" ref="X20:X22" si="48">W20*(1+$S20)</f>
        <v>293.65814937499988</v>
      </c>
      <c r="Y20" s="154">
        <f t="shared" ref="Y20:Y22" si="49">X20*(1+$S20)</f>
        <v>337.70687178124984</v>
      </c>
      <c r="Z20" s="154">
        <f t="shared" ref="Z20:Z22" si="50">Y20*(1+$S20)</f>
        <v>388.36290254843732</v>
      </c>
      <c r="AA20" s="154">
        <f t="shared" ref="AA20:AA22" si="51">Z20*(1+$S20)</f>
        <v>446.61733793070289</v>
      </c>
      <c r="AB20" s="154">
        <f t="shared" ref="AB20:AB22" si="52">AA20*(1+$S20)</f>
        <v>513.6099386203083</v>
      </c>
      <c r="AC20" s="154">
        <f t="shared" ref="AC20:AC22" si="53">AB20*(1+$S20)</f>
        <v>590.65142941335455</v>
      </c>
      <c r="AD20" s="138">
        <f t="shared" ref="AD20:AD22" si="54">((AC20/G20)^(1/($AC$3-$H$1) ))-1</f>
        <v>0.17518372979449137</v>
      </c>
      <c r="AE20" s="31">
        <f t="shared" si="16"/>
        <v>0.05</v>
      </c>
      <c r="AF20" s="146">
        <f t="shared" si="1"/>
        <v>6201.8400088402241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-17</v>
      </c>
      <c r="H21" s="147">
        <v>-11</v>
      </c>
      <c r="I21" s="147">
        <v>-32</v>
      </c>
      <c r="J21" s="147">
        <v>-52</v>
      </c>
      <c r="K21" s="147">
        <v>-89</v>
      </c>
      <c r="L21" s="147">
        <v>-29</v>
      </c>
      <c r="M21" s="147">
        <v>104</v>
      </c>
      <c r="N21" s="147">
        <v>-45</v>
      </c>
      <c r="O21" s="147">
        <v>-66</v>
      </c>
      <c r="P21" s="147">
        <v>-74</v>
      </c>
      <c r="Q21" s="147">
        <f>P21</f>
        <v>-74</v>
      </c>
      <c r="R21" s="118">
        <f>((Q21/G21)^(1/($H$2-$H$1) ))-1</f>
        <v>0.17754053639324052</v>
      </c>
      <c r="S21" s="31">
        <f t="shared" si="6"/>
        <v>0.15</v>
      </c>
      <c r="T21" s="154">
        <f t="shared" si="2"/>
        <v>-85.1</v>
      </c>
      <c r="U21" s="154">
        <f t="shared" si="45"/>
        <v>-97.864999999999981</v>
      </c>
      <c r="V21" s="154">
        <f t="shared" si="46"/>
        <v>-112.54474999999996</v>
      </c>
      <c r="W21" s="154">
        <f t="shared" si="47"/>
        <v>-129.42646249999996</v>
      </c>
      <c r="X21" s="154">
        <f t="shared" si="48"/>
        <v>-148.84043187499995</v>
      </c>
      <c r="Y21" s="154">
        <f t="shared" si="49"/>
        <v>-171.16649665624993</v>
      </c>
      <c r="Z21" s="154">
        <f t="shared" si="50"/>
        <v>-196.84147115468741</v>
      </c>
      <c r="AA21" s="154">
        <f t="shared" si="51"/>
        <v>-226.3676918278905</v>
      </c>
      <c r="AB21" s="154">
        <f t="shared" si="52"/>
        <v>-260.32284560207404</v>
      </c>
      <c r="AC21" s="154">
        <f t="shared" si="53"/>
        <v>-299.37127244238513</v>
      </c>
      <c r="AD21" s="138">
        <f t="shared" si="54"/>
        <v>0.15421857740276068</v>
      </c>
      <c r="AE21" s="31">
        <f t="shared" si="16"/>
        <v>0.05</v>
      </c>
      <c r="AF21" s="146">
        <f t="shared" si="1"/>
        <v>-3143.3983606450447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-5.42</v>
      </c>
      <c r="H22" s="147">
        <v>-5.04</v>
      </c>
      <c r="I22" s="147">
        <v>0.7</v>
      </c>
      <c r="J22" s="147">
        <v>0.28000000000000003</v>
      </c>
      <c r="K22" s="147">
        <v>-46</v>
      </c>
      <c r="L22" s="147">
        <v>-94</v>
      </c>
      <c r="M22" s="147">
        <v>-277</v>
      </c>
      <c r="N22" s="147">
        <v>-164</v>
      </c>
      <c r="O22" s="147">
        <v>-110</v>
      </c>
      <c r="P22" s="147">
        <v>-82</v>
      </c>
      <c r="Q22" s="147">
        <f>P22</f>
        <v>-82</v>
      </c>
      <c r="R22" s="118">
        <f>((Q22/G22)^(1/($H$2-$H$1) ))-1</f>
        <v>0.35235436555690502</v>
      </c>
      <c r="S22" s="31">
        <f t="shared" si="6"/>
        <v>0.15</v>
      </c>
      <c r="T22" s="154">
        <f t="shared" si="2"/>
        <v>-94.3</v>
      </c>
      <c r="U22" s="154">
        <f t="shared" si="45"/>
        <v>-108.44499999999999</v>
      </c>
      <c r="V22" s="154">
        <f t="shared" si="46"/>
        <v>-124.71174999999998</v>
      </c>
      <c r="W22" s="154">
        <f t="shared" si="47"/>
        <v>-143.41851249999996</v>
      </c>
      <c r="X22" s="154">
        <f t="shared" si="48"/>
        <v>-164.93128937499995</v>
      </c>
      <c r="Y22" s="154">
        <f t="shared" si="49"/>
        <v>-189.67098278124993</v>
      </c>
      <c r="Z22" s="154">
        <f t="shared" si="50"/>
        <v>-218.1216301984374</v>
      </c>
      <c r="AA22" s="154">
        <f t="shared" si="51"/>
        <v>-250.839874728203</v>
      </c>
      <c r="AB22" s="154">
        <f t="shared" si="52"/>
        <v>-288.46585593743345</v>
      </c>
      <c r="AC22" s="154">
        <f t="shared" si="53"/>
        <v>-331.73573432804841</v>
      </c>
      <c r="AD22" s="138">
        <f t="shared" si="54"/>
        <v>0.22839954941520402</v>
      </c>
      <c r="AE22" s="31">
        <f t="shared" si="16"/>
        <v>0.05</v>
      </c>
      <c r="AF22" s="146">
        <f t="shared" si="1"/>
        <v>-3483.2252104445088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6.5</v>
      </c>
      <c r="H23" s="147">
        <v>11.4</v>
      </c>
      <c r="I23" s="147">
        <v>5.25</v>
      </c>
      <c r="J23" s="147">
        <v>9.4499999999999993</v>
      </c>
      <c r="K23" s="147">
        <v>19</v>
      </c>
      <c r="L23" s="147">
        <v>73</v>
      </c>
      <c r="M23" s="147">
        <v>34</v>
      </c>
      <c r="N23" s="147">
        <v>64</v>
      </c>
      <c r="O23" s="147">
        <v>36</v>
      </c>
      <c r="P23" s="147">
        <v>26</v>
      </c>
      <c r="Q23" s="147">
        <f>P23</f>
        <v>26</v>
      </c>
      <c r="R23" s="118">
        <f>((Q23/G23)^(1/($H$2-$H$1) ))-1</f>
        <v>0.16652903957611653</v>
      </c>
      <c r="S23" s="31">
        <f t="shared" si="6"/>
        <v>0.15</v>
      </c>
      <c r="T23" s="154">
        <f t="shared" si="2"/>
        <v>29.9</v>
      </c>
      <c r="U23" s="154">
        <f t="shared" ref="U23" si="55">T23*(1+$S23)</f>
        <v>34.384999999999998</v>
      </c>
      <c r="V23" s="154">
        <f t="shared" ref="V23" si="56">U23*(1+$S23)</f>
        <v>39.542749999999998</v>
      </c>
      <c r="W23" s="154">
        <f t="shared" ref="W23" si="57">V23*(1+$S23)</f>
        <v>45.474162499999991</v>
      </c>
      <c r="X23" s="154">
        <f t="shared" ref="X23" si="58">W23*(1+$S23)</f>
        <v>52.295286874999988</v>
      </c>
      <c r="Y23" s="154">
        <f t="shared" ref="Y23" si="59">X23*(1+$S23)</f>
        <v>60.139579906249985</v>
      </c>
      <c r="Z23" s="154">
        <f t="shared" ref="Z23" si="60">Y23*(1+$S23)</f>
        <v>69.160516892187474</v>
      </c>
      <c r="AA23" s="154">
        <f t="shared" ref="AA23" si="61">Z23*(1+$S23)</f>
        <v>79.534594426015587</v>
      </c>
      <c r="AB23" s="154">
        <f t="shared" ref="AB23" si="62">AA23*(1+$S23)</f>
        <v>91.464783589917914</v>
      </c>
      <c r="AC23" s="154">
        <f t="shared" ref="AC23" si="63">AB23*(1+$S23)</f>
        <v>105.1845011284056</v>
      </c>
      <c r="AD23" s="138">
        <f t="shared" ref="AD23" si="64">((AC23/G23)^(1/($AC$3-$H$1) ))-1</f>
        <v>0.14934899323338269</v>
      </c>
      <c r="AE23" s="31">
        <f t="shared" si="16"/>
        <v>0.05</v>
      </c>
      <c r="AF23" s="146">
        <f t="shared" si="1"/>
        <v>1104.4372618482589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73</v>
      </c>
      <c r="H25" s="147">
        <v>92</v>
      </c>
      <c r="I25" s="147">
        <v>294</v>
      </c>
      <c r="J25" s="147">
        <v>407</v>
      </c>
      <c r="K25" s="147">
        <v>528</v>
      </c>
      <c r="L25" s="147">
        <v>557</v>
      </c>
      <c r="M25" s="147">
        <v>698</v>
      </c>
      <c r="N25" s="147">
        <v>850</v>
      </c>
      <c r="O25" s="147">
        <v>998</v>
      </c>
      <c r="P25" s="147">
        <v>1112</v>
      </c>
      <c r="Q25" s="147">
        <v>1250</v>
      </c>
      <c r="R25" s="118">
        <f>((Q25/G25)^(1/($H$2-$H$1) ))-1</f>
        <v>0.37108771389054374</v>
      </c>
      <c r="S25" s="31">
        <f t="shared" si="6"/>
        <v>0.15</v>
      </c>
      <c r="T25" s="154">
        <f t="shared" si="2"/>
        <v>1437.5</v>
      </c>
      <c r="U25" s="154">
        <f t="shared" si="36"/>
        <v>1653.1249999999998</v>
      </c>
      <c r="V25" s="154">
        <f t="shared" si="37"/>
        <v>1901.0937499999995</v>
      </c>
      <c r="W25" s="154">
        <f t="shared" si="38"/>
        <v>2186.2578124999991</v>
      </c>
      <c r="X25" s="154">
        <f t="shared" si="39"/>
        <v>2514.1964843749988</v>
      </c>
      <c r="Y25" s="154">
        <f t="shared" si="40"/>
        <v>2891.3259570312484</v>
      </c>
      <c r="Z25" s="154">
        <f t="shared" si="41"/>
        <v>3325.0248505859354</v>
      </c>
      <c r="AA25" s="154">
        <f t="shared" si="42"/>
        <v>3823.7785781738253</v>
      </c>
      <c r="AB25" s="154">
        <f t="shared" si="43"/>
        <v>4397.3453648998984</v>
      </c>
      <c r="AC25" s="154">
        <f t="shared" si="44"/>
        <v>5056.9471696348828</v>
      </c>
      <c r="AD25" s="138">
        <f t="shared" si="18"/>
        <v>0.23602791118445343</v>
      </c>
      <c r="AE25" s="31">
        <f t="shared" si="16"/>
        <v>0.05</v>
      </c>
      <c r="AF25" s="146">
        <f t="shared" si="1"/>
        <v>53097.945281166278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0.20652173913043478</v>
      </c>
      <c r="I26" s="148">
        <f t="shared" ref="I26:P26" si="65">(I25-H25)/I25</f>
        <v>0.68707482993197277</v>
      </c>
      <c r="J26" s="148">
        <f t="shared" si="65"/>
        <v>0.27764127764127766</v>
      </c>
      <c r="K26" s="148">
        <f t="shared" si="65"/>
        <v>0.22916666666666666</v>
      </c>
      <c r="L26" s="148">
        <f t="shared" si="65"/>
        <v>5.2064631956912029E-2</v>
      </c>
      <c r="M26" s="148">
        <f t="shared" si="65"/>
        <v>0.2020057306590258</v>
      </c>
      <c r="N26" s="148">
        <f t="shared" si="65"/>
        <v>0.17882352941176471</v>
      </c>
      <c r="O26" s="148">
        <f t="shared" si="65"/>
        <v>0.14829659318637275</v>
      </c>
      <c r="P26" s="148">
        <f t="shared" si="65"/>
        <v>0.10251798561151079</v>
      </c>
      <c r="Q26" s="148">
        <f t="shared" ref="Q26" si="66">(Q25-P25)/Q25</f>
        <v>0.1104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40</v>
      </c>
      <c r="H27" s="147">
        <v>53</v>
      </c>
      <c r="I27" s="147">
        <v>206</v>
      </c>
      <c r="J27" s="147">
        <v>281</v>
      </c>
      <c r="K27" s="147">
        <v>327</v>
      </c>
      <c r="L27" s="147">
        <v>335</v>
      </c>
      <c r="M27" s="147">
        <v>410</v>
      </c>
      <c r="N27" s="147">
        <v>544</v>
      </c>
      <c r="O27" s="147">
        <v>650</v>
      </c>
      <c r="P27" s="147">
        <v>792</v>
      </c>
      <c r="Q27" s="147">
        <f>P27</f>
        <v>792</v>
      </c>
      <c r="R27" s="118">
        <f>((Q27/G27)^(1/($H$2-$H$1) ))-1</f>
        <v>0.39339391630123877</v>
      </c>
      <c r="S27" s="31">
        <f t="shared" si="6"/>
        <v>0.15</v>
      </c>
      <c r="T27" s="154">
        <f t="shared" si="2"/>
        <v>910.8</v>
      </c>
      <c r="U27" s="154">
        <f t="shared" si="36"/>
        <v>1047.4199999999998</v>
      </c>
      <c r="V27" s="154">
        <f t="shared" si="37"/>
        <v>1204.5329999999997</v>
      </c>
      <c r="W27" s="154">
        <f t="shared" si="38"/>
        <v>1385.2129499999994</v>
      </c>
      <c r="X27" s="154">
        <f t="shared" si="39"/>
        <v>1592.9948924999992</v>
      </c>
      <c r="Y27" s="154">
        <f t="shared" si="40"/>
        <v>1831.9441263749989</v>
      </c>
      <c r="Z27" s="154">
        <f t="shared" si="41"/>
        <v>2106.7357453312484</v>
      </c>
      <c r="AA27" s="154">
        <f t="shared" si="42"/>
        <v>2422.7461071309353</v>
      </c>
      <c r="AB27" s="154">
        <f t="shared" si="43"/>
        <v>2786.1580232005754</v>
      </c>
      <c r="AC27" s="154">
        <f t="shared" si="44"/>
        <v>3204.0817266806616</v>
      </c>
      <c r="AD27" s="138">
        <f t="shared" si="18"/>
        <v>0.24503677554727465</v>
      </c>
      <c r="AE27" s="31">
        <f t="shared" si="16"/>
        <v>0.05</v>
      </c>
      <c r="AF27" s="146">
        <f t="shared" si="1"/>
        <v>33642.858130146953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P28" si="67">(G27-F27)/G27</f>
        <v>1</v>
      </c>
      <c r="H28" s="148">
        <f t="shared" si="67"/>
        <v>0.24528301886792453</v>
      </c>
      <c r="I28" s="148">
        <f t="shared" si="67"/>
        <v>0.74271844660194175</v>
      </c>
      <c r="J28" s="148">
        <f t="shared" si="67"/>
        <v>0.2669039145907473</v>
      </c>
      <c r="K28" s="148">
        <f t="shared" si="67"/>
        <v>0.14067278287461774</v>
      </c>
      <c r="L28" s="148">
        <f t="shared" si="67"/>
        <v>2.3880597014925373E-2</v>
      </c>
      <c r="M28" s="148">
        <f t="shared" si="67"/>
        <v>0.18292682926829268</v>
      </c>
      <c r="N28" s="148">
        <f t="shared" si="67"/>
        <v>0.24632352941176472</v>
      </c>
      <c r="O28" s="148">
        <f t="shared" si="67"/>
        <v>0.16307692307692306</v>
      </c>
      <c r="P28" s="148">
        <f t="shared" si="67"/>
        <v>0.17929292929292928</v>
      </c>
      <c r="Q28" s="148">
        <f t="shared" ref="Q28" si="68">(Q27-P27)/Q27</f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0</v>
      </c>
      <c r="H29" s="147">
        <v>0</v>
      </c>
      <c r="I29" s="147">
        <v>0</v>
      </c>
      <c r="J29" s="147">
        <v>0</v>
      </c>
      <c r="K29" s="147">
        <v>0</v>
      </c>
      <c r="L29" s="147">
        <v>0</v>
      </c>
      <c r="M29" s="147">
        <v>0</v>
      </c>
      <c r="N29" s="147">
        <v>0</v>
      </c>
      <c r="O29" s="147">
        <v>0</v>
      </c>
      <c r="P29" s="147">
        <v>0</v>
      </c>
      <c r="Q29" s="147">
        <f>P29</f>
        <v>0</v>
      </c>
      <c r="R29" s="118" t="e">
        <f>((Q29/G29)^(1/($H$2-$H$1) ))-1</f>
        <v>#DIV/0!</v>
      </c>
      <c r="S29" s="31">
        <f t="shared" si="6"/>
        <v>0.15</v>
      </c>
      <c r="T29" s="154">
        <f t="shared" si="2"/>
        <v>0</v>
      </c>
      <c r="U29" s="154">
        <f t="shared" ref="U29" si="69">T29*(1+$S29)</f>
        <v>0</v>
      </c>
      <c r="V29" s="154">
        <f t="shared" ref="V29" si="70">U29*(1+$S29)</f>
        <v>0</v>
      </c>
      <c r="W29" s="154">
        <f t="shared" ref="W29" si="71">V29*(1+$S29)</f>
        <v>0</v>
      </c>
      <c r="X29" s="154">
        <f t="shared" ref="X29" si="72">W29*(1+$S29)</f>
        <v>0</v>
      </c>
      <c r="Y29" s="154">
        <f t="shared" ref="Y29" si="73">X29*(1+$S29)</f>
        <v>0</v>
      </c>
      <c r="Z29" s="154">
        <f t="shared" ref="Z29" si="74">Y29*(1+$S29)</f>
        <v>0</v>
      </c>
      <c r="AA29" s="154">
        <f t="shared" ref="AA29" si="75">Z29*(1+$S29)</f>
        <v>0</v>
      </c>
      <c r="AB29" s="154">
        <f t="shared" ref="AB29" si="76">AA29*(1+$S29)</f>
        <v>0</v>
      </c>
      <c r="AC29" s="154">
        <f t="shared" ref="AC29" si="77">AB29*(1+$S29)</f>
        <v>0</v>
      </c>
      <c r="AD29" s="138" t="e">
        <f t="shared" ref="AD29" si="78">((AC29/G29)^(1/($AC$3-$H$1) ))-1</f>
        <v>#DIV/0!</v>
      </c>
      <c r="AE29" s="31">
        <f t="shared" si="16"/>
        <v>0.05</v>
      </c>
      <c r="AF29" s="146">
        <f t="shared" ref="AF29" si="79">(AC29*(1+AE29))/($C$1-AE29)</f>
        <v>0</v>
      </c>
    </row>
    <row r="30" spans="2:32" s="123" customFormat="1" x14ac:dyDescent="0.2">
      <c r="B30" s="23"/>
      <c r="C30" s="149"/>
      <c r="D30" s="149"/>
      <c r="E30" s="150"/>
      <c r="F30" s="150"/>
      <c r="G30" s="148" t="e">
        <f t="shared" ref="G30:P30" si="80">(G29-F29)/G29</f>
        <v>#DIV/0!</v>
      </c>
      <c r="H30" s="148" t="e">
        <f t="shared" si="80"/>
        <v>#DIV/0!</v>
      </c>
      <c r="I30" s="148" t="e">
        <f t="shared" si="80"/>
        <v>#DIV/0!</v>
      </c>
      <c r="J30" s="148" t="e">
        <f t="shared" si="80"/>
        <v>#DIV/0!</v>
      </c>
      <c r="K30" s="148" t="e">
        <f t="shared" si="80"/>
        <v>#DIV/0!</v>
      </c>
      <c r="L30" s="148" t="e">
        <f t="shared" si="80"/>
        <v>#DIV/0!</v>
      </c>
      <c r="M30" s="148" t="e">
        <f t="shared" si="80"/>
        <v>#DIV/0!</v>
      </c>
      <c r="N30" s="148" t="e">
        <f t="shared" si="80"/>
        <v>#DIV/0!</v>
      </c>
      <c r="O30" s="148" t="e">
        <f t="shared" si="80"/>
        <v>#DIV/0!</v>
      </c>
      <c r="P30" s="148" t="e">
        <f t="shared" si="80"/>
        <v>#DIV/0!</v>
      </c>
      <c r="Q30" s="148" t="e">
        <f t="shared" ref="Q30" si="81">(Q29-P29)/Q29</f>
        <v>#DIV/0!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>
        <v>0</v>
      </c>
      <c r="H31" s="147"/>
      <c r="I31" s="147">
        <v>0</v>
      </c>
      <c r="J31" s="147"/>
      <c r="K31" s="147">
        <v>0</v>
      </c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6"/>
        <v>0.15</v>
      </c>
      <c r="T31" s="154">
        <f t="shared" si="2"/>
        <v>0</v>
      </c>
      <c r="U31" s="154">
        <f>T31*(1+$S31)</f>
        <v>0</v>
      </c>
      <c r="V31" s="154">
        <f t="shared" ref="V31:AC32" si="82">U31*(1+$S31)</f>
        <v>0</v>
      </c>
      <c r="W31" s="154">
        <f t="shared" si="82"/>
        <v>0</v>
      </c>
      <c r="X31" s="154">
        <f t="shared" si="82"/>
        <v>0</v>
      </c>
      <c r="Y31" s="154">
        <f t="shared" si="82"/>
        <v>0</v>
      </c>
      <c r="Z31" s="154">
        <f t="shared" si="82"/>
        <v>0</v>
      </c>
      <c r="AA31" s="154">
        <f t="shared" si="82"/>
        <v>0</v>
      </c>
      <c r="AB31" s="154">
        <f t="shared" si="82"/>
        <v>0</v>
      </c>
      <c r="AC31" s="154">
        <f t="shared" si="82"/>
        <v>0</v>
      </c>
      <c r="AD31" s="138" t="e">
        <f t="shared" ref="AD31" si="83">((AC31/G31)^(1/($AC$3-$H$1) ))-1</f>
        <v>#DIV/0!</v>
      </c>
      <c r="AE31" s="31">
        <f t="shared" si="16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>
        <v>0</v>
      </c>
      <c r="I32" s="147">
        <v>0</v>
      </c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6"/>
        <v>0.15</v>
      </c>
      <c r="T32" s="154">
        <f t="shared" si="2"/>
        <v>0</v>
      </c>
      <c r="U32" s="154">
        <f>T32*(1+$S32)</f>
        <v>0</v>
      </c>
      <c r="V32" s="154">
        <f t="shared" si="82"/>
        <v>0</v>
      </c>
      <c r="W32" s="154">
        <f t="shared" si="82"/>
        <v>0</v>
      </c>
      <c r="X32" s="154">
        <f t="shared" si="82"/>
        <v>0</v>
      </c>
      <c r="Y32" s="154">
        <f t="shared" si="82"/>
        <v>0</v>
      </c>
      <c r="Z32" s="154">
        <f t="shared" si="82"/>
        <v>0</v>
      </c>
      <c r="AA32" s="154">
        <f t="shared" si="82"/>
        <v>0</v>
      </c>
      <c r="AB32" s="154">
        <f t="shared" si="82"/>
        <v>0</v>
      </c>
      <c r="AC32" s="154">
        <f t="shared" si="82"/>
        <v>0</v>
      </c>
      <c r="AD32" s="138" t="e">
        <f t="shared" ref="AD32" si="84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21.5</v>
      </c>
      <c r="H33" s="147">
        <v>26.5</v>
      </c>
      <c r="I33" s="147">
        <v>116</v>
      </c>
      <c r="J33" s="147">
        <v>153</v>
      </c>
      <c r="K33" s="147">
        <v>192</v>
      </c>
      <c r="L33" s="147">
        <v>208</v>
      </c>
      <c r="M33" s="147">
        <v>259</v>
      </c>
      <c r="N33" s="147">
        <v>353</v>
      </c>
      <c r="O33" s="147">
        <v>439</v>
      </c>
      <c r="P33" s="147">
        <v>515</v>
      </c>
      <c r="Q33" s="147">
        <f>P33</f>
        <v>515</v>
      </c>
      <c r="R33" s="118">
        <f>((Q33/G33)^(1/($H$2-$H$1) ))-1</f>
        <v>0.42319102583586754</v>
      </c>
      <c r="S33" s="31">
        <f t="shared" si="6"/>
        <v>0.15</v>
      </c>
      <c r="T33" s="154">
        <f t="shared" si="2"/>
        <v>592.25</v>
      </c>
      <c r="U33" s="154">
        <f t="shared" si="36"/>
        <v>681.08749999999998</v>
      </c>
      <c r="V33" s="154">
        <f t="shared" si="37"/>
        <v>783.2506249999999</v>
      </c>
      <c r="W33" s="154">
        <f t="shared" si="38"/>
        <v>900.73821874999976</v>
      </c>
      <c r="X33" s="154">
        <f t="shared" si="39"/>
        <v>1035.8489515624997</v>
      </c>
      <c r="Y33" s="154">
        <f t="shared" si="40"/>
        <v>1191.2262942968746</v>
      </c>
      <c r="Z33" s="154">
        <f t="shared" si="41"/>
        <v>1369.9102384414057</v>
      </c>
      <c r="AA33" s="154">
        <f t="shared" si="42"/>
        <v>1575.3967742076163</v>
      </c>
      <c r="AB33" s="154">
        <f t="shared" si="43"/>
        <v>1811.7062903387587</v>
      </c>
      <c r="AC33" s="154">
        <f t="shared" si="44"/>
        <v>2083.4622338895724</v>
      </c>
      <c r="AD33" s="138">
        <f t="shared" si="18"/>
        <v>0.25694813706890374</v>
      </c>
      <c r="AE33" s="31">
        <f t="shared" si="16"/>
        <v>0.05</v>
      </c>
      <c r="AF33" s="146">
        <f t="shared" si="1"/>
        <v>21876.353455840515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15.35</v>
      </c>
      <c r="H34" s="147">
        <v>21.8</v>
      </c>
      <c r="I34" s="147">
        <v>74</v>
      </c>
      <c r="J34" s="147">
        <v>107</v>
      </c>
      <c r="K34" s="147">
        <v>112.5</v>
      </c>
      <c r="L34" s="147">
        <v>105</v>
      </c>
      <c r="M34" s="147">
        <v>129</v>
      </c>
      <c r="N34" s="147">
        <v>159</v>
      </c>
      <c r="O34" s="147">
        <v>211</v>
      </c>
      <c r="P34" s="147">
        <v>515</v>
      </c>
      <c r="Q34" s="147">
        <f>P34</f>
        <v>515</v>
      </c>
      <c r="R34" s="118">
        <f>((Q34/G34)^(1/($H$2-$H$1) ))-1</f>
        <v>0.47748164528705495</v>
      </c>
      <c r="S34" s="31">
        <f t="shared" si="6"/>
        <v>0.15</v>
      </c>
      <c r="T34" s="154">
        <f t="shared" si="2"/>
        <v>592.25</v>
      </c>
      <c r="U34" s="154">
        <f t="shared" si="36"/>
        <v>681.08749999999998</v>
      </c>
      <c r="V34" s="154">
        <f t="shared" si="37"/>
        <v>783.2506249999999</v>
      </c>
      <c r="W34" s="154">
        <f t="shared" si="38"/>
        <v>900.73821874999976</v>
      </c>
      <c r="X34" s="154">
        <f t="shared" si="39"/>
        <v>1035.8489515624997</v>
      </c>
      <c r="Y34" s="154">
        <f t="shared" si="40"/>
        <v>1191.2262942968746</v>
      </c>
      <c r="Z34" s="154">
        <f t="shared" si="41"/>
        <v>1369.9102384414057</v>
      </c>
      <c r="AA34" s="154">
        <f t="shared" si="42"/>
        <v>1575.3967742076163</v>
      </c>
      <c r="AB34" s="154">
        <f t="shared" si="43"/>
        <v>1811.7062903387587</v>
      </c>
      <c r="AC34" s="154">
        <f t="shared" si="44"/>
        <v>2083.4622338895724</v>
      </c>
      <c r="AD34" s="138">
        <f t="shared" si="18"/>
        <v>0.27830316037985203</v>
      </c>
      <c r="AE34" s="31">
        <f t="shared" si="16"/>
        <v>0.05</v>
      </c>
      <c r="AF34" s="146">
        <f t="shared" si="1"/>
        <v>21876.353455840515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31.13</v>
      </c>
      <c r="H36" s="147">
        <v>38.24</v>
      </c>
      <c r="I36" s="147">
        <v>78.599999999999994</v>
      </c>
      <c r="J36" s="147">
        <v>120</v>
      </c>
      <c r="K36" s="147">
        <v>180.5</v>
      </c>
      <c r="L36" s="147">
        <v>196</v>
      </c>
      <c r="M36" s="147">
        <v>211</v>
      </c>
      <c r="N36" s="147">
        <v>251</v>
      </c>
      <c r="O36" s="147">
        <v>327.5</v>
      </c>
      <c r="P36" s="147">
        <v>320</v>
      </c>
      <c r="Q36" s="147">
        <f>P36</f>
        <v>320</v>
      </c>
      <c r="R36" s="118">
        <f>((Q36/G36)^(1/($H$2-$H$1) ))-1</f>
        <v>0.29551130287800564</v>
      </c>
      <c r="S36" s="31">
        <f t="shared" si="6"/>
        <v>0.15</v>
      </c>
      <c r="T36" s="154">
        <f t="shared" si="2"/>
        <v>368</v>
      </c>
      <c r="U36" s="154">
        <f t="shared" ref="U36" si="85">T36*(1+$S36)</f>
        <v>423.2</v>
      </c>
      <c r="V36" s="154">
        <f t="shared" ref="V36" si="86">U36*(1+$S36)</f>
        <v>486.67999999999995</v>
      </c>
      <c r="W36" s="154">
        <f t="shared" ref="W36" si="87">V36*(1+$S36)</f>
        <v>559.6819999999999</v>
      </c>
      <c r="X36" s="154">
        <f t="shared" si="39"/>
        <v>643.63429999999983</v>
      </c>
      <c r="Y36" s="154">
        <f t="shared" si="40"/>
        <v>740.17944499999976</v>
      </c>
      <c r="Z36" s="154">
        <f t="shared" si="41"/>
        <v>851.2063617499997</v>
      </c>
      <c r="AA36" s="154">
        <f t="shared" si="42"/>
        <v>978.88731601249958</v>
      </c>
      <c r="AB36" s="154">
        <f t="shared" si="43"/>
        <v>1125.7204134143744</v>
      </c>
      <c r="AC36" s="154">
        <f t="shared" si="44"/>
        <v>1294.5784754265305</v>
      </c>
      <c r="AD36" s="138">
        <f t="shared" si="18"/>
        <v>0.20489017505351215</v>
      </c>
      <c r="AE36" s="31">
        <f t="shared" si="16"/>
        <v>0.05</v>
      </c>
      <c r="AF36" s="146">
        <f t="shared" si="1"/>
        <v>13593.073991978574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:P37" si="88">(G36-F36)/G36</f>
        <v>1</v>
      </c>
      <c r="H37" s="148">
        <f t="shared" si="88"/>
        <v>0.18593096234309631</v>
      </c>
      <c r="I37" s="148">
        <f t="shared" si="88"/>
        <v>0.51348600508905851</v>
      </c>
      <c r="J37" s="148">
        <f t="shared" si="88"/>
        <v>0.34500000000000003</v>
      </c>
      <c r="K37" s="148">
        <f t="shared" si="88"/>
        <v>0.33518005540166207</v>
      </c>
      <c r="L37" s="148">
        <f t="shared" si="88"/>
        <v>7.9081632653061229E-2</v>
      </c>
      <c r="M37" s="148">
        <f t="shared" si="88"/>
        <v>7.1090047393364927E-2</v>
      </c>
      <c r="N37" s="148">
        <f t="shared" si="88"/>
        <v>0.15936254980079681</v>
      </c>
      <c r="O37" s="148">
        <f t="shared" si="88"/>
        <v>0.23358778625954199</v>
      </c>
      <c r="P37" s="148">
        <f t="shared" si="88"/>
        <v>-2.34375E-2</v>
      </c>
      <c r="Q37" s="148">
        <f t="shared" ref="Q37" si="89">(Q36-P36)/Q36</f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>
        <v>27</v>
      </c>
      <c r="H38" s="147">
        <v>33</v>
      </c>
      <c r="I38" s="147">
        <v>80</v>
      </c>
      <c r="J38" s="147">
        <v>110</v>
      </c>
      <c r="K38" s="147">
        <v>187</v>
      </c>
      <c r="L38" s="147">
        <v>207</v>
      </c>
      <c r="M38" s="147">
        <v>267</v>
      </c>
      <c r="N38" s="147">
        <v>275</v>
      </c>
      <c r="O38" s="147">
        <v>314</v>
      </c>
      <c r="P38" s="147">
        <v>359</v>
      </c>
      <c r="Q38" s="147">
        <f>P38</f>
        <v>359</v>
      </c>
      <c r="R38" s="118">
        <f>((Q38/G38)^(1/($H$2-$H$1) ))-1</f>
        <v>0.33308844773821145</v>
      </c>
      <c r="S38" s="31">
        <f t="shared" si="6"/>
        <v>0.15</v>
      </c>
      <c r="T38" s="154">
        <f t="shared" si="2"/>
        <v>412.84999999999997</v>
      </c>
      <c r="U38" s="154">
        <f t="shared" ref="U38" si="90">T38*(1+$S38)</f>
        <v>474.77749999999992</v>
      </c>
      <c r="V38" s="154">
        <f t="shared" ref="V38" si="91">U38*(1+$S38)</f>
        <v>545.99412499999983</v>
      </c>
      <c r="W38" s="154">
        <f t="shared" ref="W38" si="92">V38*(1+$S38)</f>
        <v>627.89324374999978</v>
      </c>
      <c r="X38" s="154">
        <f t="shared" ref="X38" si="93">W38*(1+$S38)</f>
        <v>722.07723031249975</v>
      </c>
      <c r="Y38" s="154">
        <f t="shared" ref="Y38" si="94">X38*(1+$S38)</f>
        <v>830.38881485937463</v>
      </c>
      <c r="Z38" s="154">
        <f t="shared" ref="Z38" si="95">Y38*(1+$S38)</f>
        <v>954.94713708828078</v>
      </c>
      <c r="AA38" s="154">
        <f t="shared" ref="AA38" si="96">Z38*(1+$S38)</f>
        <v>1098.1892076515228</v>
      </c>
      <c r="AB38" s="154">
        <f t="shared" ref="AB38" si="97">AA38*(1+$S38)</f>
        <v>1262.917588799251</v>
      </c>
      <c r="AC38" s="154">
        <f t="shared" ref="AC38" si="98">AB38*(1+$S38)</f>
        <v>1452.3552271191386</v>
      </c>
      <c r="AD38" s="138">
        <f t="shared" ref="AD38" si="99">((AC38/G38)^(1/($AC$3-$H$1) ))-1</f>
        <v>0.22049345381808272</v>
      </c>
      <c r="AE38" s="31">
        <f t="shared" si="16"/>
        <v>0.05</v>
      </c>
      <c r="AF38" s="146">
        <f t="shared" ref="AF38" si="100">(AC38*(1+AE38))/($C$1-AE38)</f>
        <v>15249.729884750957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:P39" si="101">(G38-F38)/G38</f>
        <v>1</v>
      </c>
      <c r="H39" s="148">
        <f t="shared" si="101"/>
        <v>0.18181818181818182</v>
      </c>
      <c r="I39" s="148">
        <f t="shared" si="101"/>
        <v>0.58750000000000002</v>
      </c>
      <c r="J39" s="148">
        <f t="shared" si="101"/>
        <v>0.27272727272727271</v>
      </c>
      <c r="K39" s="148">
        <f t="shared" si="101"/>
        <v>0.41176470588235292</v>
      </c>
      <c r="L39" s="148">
        <f t="shared" si="101"/>
        <v>9.6618357487922704E-2</v>
      </c>
      <c r="M39" s="148">
        <f t="shared" si="101"/>
        <v>0.2247191011235955</v>
      </c>
      <c r="N39" s="148">
        <f t="shared" si="101"/>
        <v>2.9090909090909091E-2</v>
      </c>
      <c r="O39" s="148">
        <f t="shared" si="101"/>
        <v>0.12420382165605096</v>
      </c>
      <c r="P39" s="148">
        <f t="shared" si="101"/>
        <v>0.12534818941504178</v>
      </c>
      <c r="Q39" s="148">
        <f t="shared" ref="Q39" si="102">(Q38-P38)/Q38</f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>
        <v>17.940000000000001</v>
      </c>
      <c r="H40" s="147">
        <v>22</v>
      </c>
      <c r="I40" s="147">
        <v>61.4</v>
      </c>
      <c r="J40" s="147">
        <v>84</v>
      </c>
      <c r="K40" s="147">
        <v>140.5</v>
      </c>
      <c r="L40" s="147">
        <v>161</v>
      </c>
      <c r="M40" s="147">
        <v>205</v>
      </c>
      <c r="N40" s="147">
        <v>206</v>
      </c>
      <c r="O40" s="147">
        <v>220</v>
      </c>
      <c r="P40" s="147">
        <v>298</v>
      </c>
      <c r="Q40" s="147">
        <v>350</v>
      </c>
      <c r="R40" s="118">
        <f>((Q40/G40)^(1/($H$2-$H$1) ))-1</f>
        <v>0.39110727827005509</v>
      </c>
      <c r="S40" s="31">
        <f t="shared" si="6"/>
        <v>0.15</v>
      </c>
      <c r="T40" s="154">
        <f t="shared" si="2"/>
        <v>402.49999999999994</v>
      </c>
      <c r="U40" s="154">
        <f t="shared" ref="U40:AC40" si="103">T40*(1+$S40)</f>
        <v>462.87499999999989</v>
      </c>
      <c r="V40" s="154">
        <f t="shared" si="103"/>
        <v>532.30624999999986</v>
      </c>
      <c r="W40" s="154">
        <f t="shared" si="103"/>
        <v>612.15218749999974</v>
      </c>
      <c r="X40" s="154">
        <f t="shared" si="103"/>
        <v>703.97501562499963</v>
      </c>
      <c r="Y40" s="154">
        <f t="shared" si="103"/>
        <v>809.57126796874945</v>
      </c>
      <c r="Z40" s="154">
        <f t="shared" si="103"/>
        <v>931.00695816406176</v>
      </c>
      <c r="AA40" s="154">
        <f t="shared" si="103"/>
        <v>1070.6580018886709</v>
      </c>
      <c r="AB40" s="154">
        <f t="shared" si="103"/>
        <v>1231.2567021719715</v>
      </c>
      <c r="AC40" s="154">
        <f t="shared" si="103"/>
        <v>1415.9452074977671</v>
      </c>
      <c r="AD40" s="138">
        <f t="shared" si="18"/>
        <v>0.24411693124866174</v>
      </c>
      <c r="AE40" s="31">
        <f t="shared" si="16"/>
        <v>0.05</v>
      </c>
      <c r="AF40" s="146">
        <f t="shared" si="1"/>
        <v>14867.424678726555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04">(H40-G40)/H40</f>
        <v>0.18454545454545448</v>
      </c>
      <c r="I41" s="148">
        <f t="shared" si="104"/>
        <v>0.64169381107491852</v>
      </c>
      <c r="J41" s="148">
        <f t="shared" si="104"/>
        <v>0.26904761904761909</v>
      </c>
      <c r="K41" s="148">
        <f t="shared" si="104"/>
        <v>0.40213523131672596</v>
      </c>
      <c r="L41" s="148">
        <f t="shared" si="104"/>
        <v>0.12732919254658384</v>
      </c>
      <c r="M41" s="148">
        <f t="shared" si="104"/>
        <v>0.21463414634146341</v>
      </c>
      <c r="N41" s="148">
        <f t="shared" si="104"/>
        <v>4.8543689320388345E-3</v>
      </c>
      <c r="O41" s="148">
        <f t="shared" si="104"/>
        <v>6.363636363636363E-2</v>
      </c>
      <c r="P41" s="148">
        <f t="shared" si="104"/>
        <v>0.26174496644295303</v>
      </c>
      <c r="Q41" s="148">
        <f t="shared" ref="Q41" si="105">(Q40-P40)/Q40</f>
        <v>0.14857142857142858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93">
        <v>0.62929999999999997</v>
      </c>
      <c r="H42" s="193">
        <v>0.63660000000000005</v>
      </c>
      <c r="I42" s="193">
        <v>0.67549999999999999</v>
      </c>
      <c r="J42" s="193">
        <v>0.72550000000000003</v>
      </c>
      <c r="K42" s="193">
        <v>0.72250000000000003</v>
      </c>
      <c r="L42" s="193">
        <v>0.72250000000000003</v>
      </c>
      <c r="M42" s="193">
        <v>0.7097</v>
      </c>
      <c r="N42" s="193">
        <v>7.09</v>
      </c>
      <c r="O42" s="193">
        <v>7.02</v>
      </c>
      <c r="P42" s="193">
        <v>7.07</v>
      </c>
      <c r="Q42" s="147">
        <f>P42</f>
        <v>7.07</v>
      </c>
      <c r="R42" s="118">
        <f>((Q42/G42)^(1/($H$2-$H$1) ))-1</f>
        <v>0.30836547588189522</v>
      </c>
      <c r="S42" s="31">
        <v>0.01</v>
      </c>
      <c r="T42" s="154">
        <f t="shared" si="2"/>
        <v>7.1407000000000007</v>
      </c>
      <c r="U42" s="154">
        <f t="shared" ref="U42:AC42" si="106">T42*(1+$S42)</f>
        <v>7.2121070000000005</v>
      </c>
      <c r="V42" s="154">
        <f t="shared" si="106"/>
        <v>7.2842280700000002</v>
      </c>
      <c r="W42" s="154">
        <f t="shared" si="106"/>
        <v>7.3570703506999999</v>
      </c>
      <c r="X42" s="154">
        <f t="shared" si="106"/>
        <v>7.4306410542070003</v>
      </c>
      <c r="Y42" s="154">
        <f t="shared" si="106"/>
        <v>7.5049474647490699</v>
      </c>
      <c r="Z42" s="154">
        <f t="shared" si="106"/>
        <v>7.5799969393965609</v>
      </c>
      <c r="AA42" s="154">
        <f t="shared" si="106"/>
        <v>7.6557969087905269</v>
      </c>
      <c r="AB42" s="154">
        <f t="shared" si="106"/>
        <v>7.7323548778784321</v>
      </c>
      <c r="AC42" s="154">
        <f t="shared" si="106"/>
        <v>7.8096784266572161</v>
      </c>
      <c r="AD42" s="138">
        <f t="shared" si="18"/>
        <v>0.13419772280847053</v>
      </c>
      <c r="AE42" s="31">
        <f t="shared" si="16"/>
        <v>0.05</v>
      </c>
      <c r="AF42" s="146">
        <f t="shared" si="1"/>
        <v>82.001623479900772</v>
      </c>
    </row>
    <row r="43" spans="2:32" x14ac:dyDescent="0.2">
      <c r="B43" s="20"/>
      <c r="C43" s="142"/>
      <c r="D43" s="142"/>
      <c r="E43" s="143"/>
      <c r="F43" s="147"/>
      <c r="G43" s="148">
        <f>(G42-F42)/G42</f>
        <v>-0.58906721754330216</v>
      </c>
      <c r="H43" s="148">
        <f t="shared" ref="H43" si="107">(H42-G42)/H42</f>
        <v>1.1467169337103494E-2</v>
      </c>
      <c r="I43" s="148">
        <f t="shared" ref="I43" si="108">(I42-H42)/I42</f>
        <v>5.7586972612879254E-2</v>
      </c>
      <c r="J43" s="148">
        <f t="shared" ref="J43" si="109">(J42-I42)/J42</f>
        <v>6.8917987594762295E-2</v>
      </c>
      <c r="K43" s="148">
        <f t="shared" ref="K43" si="110">(K42-J42)/K42</f>
        <v>-4.1522491349481007E-3</v>
      </c>
      <c r="L43" s="148">
        <f t="shared" ref="L43" si="111">(L42-K42)/L42</f>
        <v>0</v>
      </c>
      <c r="M43" s="148">
        <f t="shared" ref="M43" si="112">(M42-L42)/M42</f>
        <v>-1.8035789770325536E-2</v>
      </c>
      <c r="N43" s="148">
        <f t="shared" ref="N43" si="113">(N42-M42)/N42</f>
        <v>0.899901269393512</v>
      </c>
      <c r="O43" s="148">
        <f t="shared" ref="O43" si="114">(O42-N42)/O42</f>
        <v>-9.971509971510013E-3</v>
      </c>
      <c r="P43" s="148">
        <f t="shared" ref="P43:Q43" si="115">(P42-O42)/P42</f>
        <v>7.0721357850071723E-3</v>
      </c>
      <c r="Q43" s="148">
        <f t="shared" si="115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7">
        <v>10</v>
      </c>
      <c r="H44" s="147">
        <v>12.5</v>
      </c>
      <c r="I44" s="147">
        <v>25</v>
      </c>
      <c r="J44" s="147">
        <v>25</v>
      </c>
      <c r="K44" s="194">
        <v>70</v>
      </c>
      <c r="L44" s="194">
        <v>100</v>
      </c>
      <c r="M44" s="194">
        <v>200</v>
      </c>
      <c r="N44" s="194">
        <v>11</v>
      </c>
      <c r="O44" s="194">
        <v>16</v>
      </c>
      <c r="P44" s="147">
        <f>O44</f>
        <v>16</v>
      </c>
      <c r="Q44" s="147">
        <f>P44</f>
        <v>16</v>
      </c>
      <c r="R44" s="118">
        <f>((Q44/G44)^(1/($H$2-$H$1) ))-1</f>
        <v>5.3610276890664554E-2</v>
      </c>
      <c r="S44" s="31">
        <f>P1</f>
        <v>0.05</v>
      </c>
      <c r="T44" s="154">
        <f t="shared" si="2"/>
        <v>16.8</v>
      </c>
      <c r="U44" s="154">
        <f t="shared" ref="U44" si="116">T44*(1+$S44)</f>
        <v>17.64</v>
      </c>
      <c r="V44" s="154">
        <f t="shared" ref="V44" si="117">U44*(1+$S44)</f>
        <v>18.522000000000002</v>
      </c>
      <c r="W44" s="154">
        <f t="shared" ref="W44" si="118">V44*(1+$S44)</f>
        <v>19.448100000000004</v>
      </c>
      <c r="X44" s="154">
        <f t="shared" ref="X44" si="119">W44*(1+$S44)</f>
        <v>20.420505000000006</v>
      </c>
      <c r="Y44" s="154">
        <f t="shared" ref="Y44" si="120">X44*(1+$S44)</f>
        <v>21.441530250000007</v>
      </c>
      <c r="Z44" s="154">
        <f t="shared" ref="Z44" si="121">Y44*(1+$S44)</f>
        <v>22.513606762500007</v>
      </c>
      <c r="AA44" s="154">
        <f t="shared" ref="AA44" si="122">Z44*(1+$S44)</f>
        <v>23.639287100625008</v>
      </c>
      <c r="AB44" s="154">
        <f t="shared" ref="AB44" si="123">AA44*(1+$S44)</f>
        <v>24.82125145565626</v>
      </c>
      <c r="AC44" s="154">
        <f t="shared" ref="AC44" si="124">AB44*(1+$S44)</f>
        <v>26.062314028439072</v>
      </c>
      <c r="AD44" s="138">
        <f t="shared" ref="AD44" si="125">((AC44/G44)^(1/($AC$3-$H$1) ))-1</f>
        <v>4.9060774665798723E-2</v>
      </c>
      <c r="AE44" s="31">
        <f t="shared" si="16"/>
        <v>0.05</v>
      </c>
      <c r="AF44" s="146">
        <f t="shared" si="1"/>
        <v>273.65429729861029</v>
      </c>
    </row>
    <row r="45" spans="2:32" x14ac:dyDescent="0.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 t="s">
        <v>456</v>
      </c>
      <c r="O45" s="147">
        <v>0</v>
      </c>
      <c r="P45" s="147">
        <v>0</v>
      </c>
      <c r="Q45" s="147">
        <f>P45</f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f>P46</f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f>P47</f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47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26">C25/C42</f>
        <v>0</v>
      </c>
      <c r="D50" s="133">
        <f t="shared" si="126"/>
        <v>0</v>
      </c>
      <c r="E50" s="133">
        <f t="shared" si="126"/>
        <v>0</v>
      </c>
      <c r="F50" s="133">
        <f t="shared" si="126"/>
        <v>0</v>
      </c>
      <c r="G50" s="133">
        <f t="shared" si="126"/>
        <v>116.00190688066105</v>
      </c>
      <c r="H50" s="133">
        <f t="shared" si="126"/>
        <v>144.51775054979578</v>
      </c>
      <c r="I50" s="133">
        <f t="shared" si="126"/>
        <v>435.23316062176167</v>
      </c>
      <c r="J50" s="133">
        <f t="shared" si="126"/>
        <v>560.99241902136453</v>
      </c>
      <c r="K50" s="133">
        <f t="shared" si="126"/>
        <v>730.79584775086505</v>
      </c>
      <c r="L50" s="133">
        <f t="shared" si="126"/>
        <v>770.93425605536333</v>
      </c>
      <c r="M50" s="133">
        <f t="shared" si="126"/>
        <v>983.51416091306191</v>
      </c>
      <c r="N50" s="133">
        <f t="shared" si="126"/>
        <v>119.88716502115656</v>
      </c>
      <c r="O50" s="133">
        <f t="shared" si="126"/>
        <v>142.16524216524218</v>
      </c>
      <c r="P50" s="133">
        <f t="shared" si="126"/>
        <v>157.28429985855729</v>
      </c>
      <c r="Q50" s="133">
        <f t="shared" ref="Q50" si="127">Q25/Q42</f>
        <v>176.80339462517679</v>
      </c>
      <c r="R50" s="118">
        <f>((P50/G50)^(1/($H$2-$H$1) ))-1</f>
        <v>3.440625572816769E-2</v>
      </c>
      <c r="S50" s="128"/>
      <c r="T50" s="158">
        <f t="shared" ref="T50:AC50" si="128">T25/T42</f>
        <v>201.3107958603498</v>
      </c>
      <c r="U50" s="158">
        <f t="shared" si="128"/>
        <v>229.21526261326954</v>
      </c>
      <c r="V50" s="158">
        <f t="shared" si="128"/>
        <v>260.98767525273263</v>
      </c>
      <c r="W50" s="158">
        <f t="shared" si="128"/>
        <v>297.16418469370547</v>
      </c>
      <c r="X50" s="158">
        <f t="shared" si="128"/>
        <v>338.35525979976359</v>
      </c>
      <c r="Y50" s="158">
        <f t="shared" si="128"/>
        <v>385.25598888091895</v>
      </c>
      <c r="Z50" s="158">
        <f t="shared" si="128"/>
        <v>438.65780912183834</v>
      </c>
      <c r="AA50" s="158">
        <f t="shared" si="128"/>
        <v>499.4618618714</v>
      </c>
      <c r="AB50" s="158">
        <f t="shared" si="128"/>
        <v>568.69419916050492</v>
      </c>
      <c r="AC50" s="158">
        <f t="shared" si="128"/>
        <v>647.52309805404013</v>
      </c>
      <c r="AD50" s="138">
        <f t="shared" ref="AD50" si="129">((AC50/G50)^(1/($AC$3-$H$1) ))-1</f>
        <v>8.9781690024763661E-2</v>
      </c>
      <c r="AE50" s="31">
        <f t="shared" si="16"/>
        <v>0.05</v>
      </c>
      <c r="AF50" s="146">
        <f t="shared" ref="AF50:AF51" si="130">(AC50*(1+AE50))/($C$1-AE50)</f>
        <v>6798.9925295674229</v>
      </c>
    </row>
    <row r="51" spans="2:32" x14ac:dyDescent="0.2">
      <c r="B51" s="20" t="s">
        <v>304</v>
      </c>
      <c r="C51" s="133">
        <f t="shared" ref="C51:P51" si="131">C27/C42</f>
        <v>0</v>
      </c>
      <c r="D51" s="133">
        <f t="shared" si="131"/>
        <v>0</v>
      </c>
      <c r="E51" s="133">
        <f t="shared" si="131"/>
        <v>0</v>
      </c>
      <c r="F51" s="133">
        <f t="shared" si="131"/>
        <v>0</v>
      </c>
      <c r="G51" s="133">
        <f t="shared" si="131"/>
        <v>63.562688701732085</v>
      </c>
      <c r="H51" s="133">
        <f t="shared" si="131"/>
        <v>83.254791077599748</v>
      </c>
      <c r="I51" s="133">
        <f t="shared" si="131"/>
        <v>304.95928941524795</v>
      </c>
      <c r="J51" s="133">
        <f t="shared" si="131"/>
        <v>387.31909028256371</v>
      </c>
      <c r="K51" s="133">
        <f t="shared" si="131"/>
        <v>452.59515570934252</v>
      </c>
      <c r="L51" s="133">
        <f t="shared" si="131"/>
        <v>463.66782006920414</v>
      </c>
      <c r="M51" s="133">
        <f t="shared" si="131"/>
        <v>577.70889108073834</v>
      </c>
      <c r="N51" s="133">
        <f t="shared" si="131"/>
        <v>76.727785613540206</v>
      </c>
      <c r="O51" s="133">
        <f t="shared" si="131"/>
        <v>92.592592592592595</v>
      </c>
      <c r="P51" s="133">
        <f t="shared" si="131"/>
        <v>112.02263083451201</v>
      </c>
      <c r="Q51" s="133">
        <f t="shared" ref="Q51" si="132">Q27/Q42</f>
        <v>112.02263083451201</v>
      </c>
      <c r="R51" s="118">
        <f>((P51/G51)^(1/($H$2-$H$1) ))-1</f>
        <v>6.4988294163013327E-2</v>
      </c>
      <c r="S51" s="128"/>
      <c r="T51" s="158">
        <f t="shared" ref="T51:AC51" si="133">T27/T42</f>
        <v>127.55052025711763</v>
      </c>
      <c r="U51" s="158">
        <f t="shared" si="133"/>
        <v>145.23079039176758</v>
      </c>
      <c r="V51" s="158">
        <f t="shared" si="133"/>
        <v>165.36179104013141</v>
      </c>
      <c r="W51" s="158">
        <f t="shared" si="133"/>
        <v>188.28322742193177</v>
      </c>
      <c r="X51" s="158">
        <f t="shared" si="133"/>
        <v>214.3818926091302</v>
      </c>
      <c r="Y51" s="158">
        <f t="shared" si="133"/>
        <v>244.09819455495023</v>
      </c>
      <c r="Z51" s="158">
        <f t="shared" si="133"/>
        <v>277.93358785959674</v>
      </c>
      <c r="AA51" s="158">
        <f t="shared" si="133"/>
        <v>316.459035681719</v>
      </c>
      <c r="AB51" s="158">
        <f t="shared" si="133"/>
        <v>360.32464458809585</v>
      </c>
      <c r="AC51" s="158">
        <f t="shared" si="133"/>
        <v>410.27063492703985</v>
      </c>
      <c r="AD51" s="138">
        <f t="shared" ref="AD51" si="134">((AC51/G51)^(1/($AC$3-$H$1) ))-1</f>
        <v>9.7724629938726659E-2</v>
      </c>
      <c r="AE51" s="31">
        <f t="shared" si="16"/>
        <v>0.05</v>
      </c>
      <c r="AF51" s="146">
        <f t="shared" si="130"/>
        <v>4307.8416667339188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9.0599999999999987</v>
      </c>
      <c r="H52" s="133">
        <f t="shared" ref="H52:P52" si="135">H38-H40</f>
        <v>11</v>
      </c>
      <c r="I52" s="133">
        <f t="shared" si="135"/>
        <v>18.600000000000001</v>
      </c>
      <c r="J52" s="133">
        <f t="shared" si="135"/>
        <v>26</v>
      </c>
      <c r="K52" s="133">
        <f t="shared" si="135"/>
        <v>46.5</v>
      </c>
      <c r="L52" s="133">
        <f t="shared" si="135"/>
        <v>46</v>
      </c>
      <c r="M52" s="133">
        <f t="shared" si="135"/>
        <v>62</v>
      </c>
      <c r="N52" s="133">
        <f t="shared" si="135"/>
        <v>69</v>
      </c>
      <c r="O52" s="133">
        <f t="shared" si="135"/>
        <v>94</v>
      </c>
      <c r="P52" s="133">
        <f t="shared" si="135"/>
        <v>61</v>
      </c>
      <c r="Q52" s="133">
        <f t="shared" ref="Q52" si="136">Q38-Q40</f>
        <v>9</v>
      </c>
      <c r="R52" s="118">
        <f>((P52/G52)^(1/($H$2-$H$1) ))-1</f>
        <v>0.23601119447508068</v>
      </c>
      <c r="S52" s="128"/>
      <c r="T52" s="133">
        <f t="shared" ref="T52:AC52" si="137">T38-T40</f>
        <v>10.350000000000023</v>
      </c>
      <c r="U52" s="133">
        <f t="shared" si="137"/>
        <v>11.902500000000032</v>
      </c>
      <c r="V52" s="133">
        <f t="shared" si="137"/>
        <v>13.687874999999963</v>
      </c>
      <c r="W52" s="133">
        <f t="shared" si="137"/>
        <v>15.741056250000042</v>
      </c>
      <c r="X52" s="133">
        <f t="shared" si="137"/>
        <v>18.102214687500123</v>
      </c>
      <c r="Y52" s="133">
        <f t="shared" si="137"/>
        <v>20.817546890625181</v>
      </c>
      <c r="Z52" s="133">
        <f t="shared" si="137"/>
        <v>23.940178924219026</v>
      </c>
      <c r="AA52" s="133">
        <f t="shared" si="137"/>
        <v>27.531205762851869</v>
      </c>
      <c r="AB52" s="133">
        <f t="shared" si="137"/>
        <v>31.660886627279524</v>
      </c>
      <c r="AC52" s="133">
        <f t="shared" si="137"/>
        <v>36.410019621371475</v>
      </c>
      <c r="AD52" s="138">
        <f t="shared" ref="AD52" si="138">((AC52/G52)^(1/($AC$3-$H$1) ))-1</f>
        <v>7.2024314739799866E-2</v>
      </c>
      <c r="AE52" s="31">
        <f t="shared" si="16"/>
        <v>0.05</v>
      </c>
      <c r="AF52" s="146">
        <f t="shared" ref="AF52" si="139">(AC52*(1+AE52))/($C$1-AE52)</f>
        <v>382.30520602440055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40">C40/C42</f>
        <v>0</v>
      </c>
      <c r="D54" s="25">
        <f t="shared" si="140"/>
        <v>0</v>
      </c>
      <c r="E54" s="25">
        <f t="shared" si="140"/>
        <v>0</v>
      </c>
      <c r="F54" s="133">
        <f t="shared" si="140"/>
        <v>0</v>
      </c>
      <c r="G54" s="133">
        <f t="shared" si="140"/>
        <v>28.507865882726843</v>
      </c>
      <c r="H54" s="133">
        <f t="shared" si="140"/>
        <v>34.558592522777253</v>
      </c>
      <c r="I54" s="133">
        <f t="shared" si="140"/>
        <v>90.89563286454478</v>
      </c>
      <c r="J54" s="133">
        <f t="shared" si="140"/>
        <v>115.78221915920055</v>
      </c>
      <c r="K54" s="133">
        <f t="shared" si="140"/>
        <v>194.46366782006919</v>
      </c>
      <c r="L54" s="133">
        <f t="shared" si="140"/>
        <v>222.83737024221452</v>
      </c>
      <c r="M54" s="133">
        <f t="shared" si="140"/>
        <v>288.85444554036917</v>
      </c>
      <c r="N54" s="133">
        <f t="shared" si="140"/>
        <v>29.055007052186177</v>
      </c>
      <c r="O54" s="133">
        <f t="shared" si="140"/>
        <v>31.33903133903134</v>
      </c>
      <c r="P54" s="133">
        <f t="shared" si="140"/>
        <v>42.149929278642148</v>
      </c>
      <c r="Q54" s="133">
        <f t="shared" ref="Q54" si="141">Q40/Q42</f>
        <v>49.504950495049506</v>
      </c>
      <c r="R54" s="118">
        <f>((P54/G54)^(1/($H$2-$H$1) ))-1</f>
        <v>4.4408116288075616E-2</v>
      </c>
      <c r="S54" s="128"/>
      <c r="T54" s="158">
        <f t="shared" ref="T54:AC54" si="142">T40/T42</f>
        <v>56.367022840897938</v>
      </c>
      <c r="U54" s="158">
        <f t="shared" si="142"/>
        <v>64.180273531715471</v>
      </c>
      <c r="V54" s="158">
        <f t="shared" si="142"/>
        <v>73.07654907076514</v>
      </c>
      <c r="W54" s="158">
        <f t="shared" si="142"/>
        <v>83.205971714237521</v>
      </c>
      <c r="X54" s="158">
        <f t="shared" si="142"/>
        <v>94.739472743933803</v>
      </c>
      <c r="Y54" s="158">
        <f t="shared" si="142"/>
        <v>107.87167688665728</v>
      </c>
      <c r="Z54" s="158">
        <f t="shared" si="142"/>
        <v>122.82418655411472</v>
      </c>
      <c r="AA54" s="158">
        <f t="shared" si="142"/>
        <v>139.84932132399197</v>
      </c>
      <c r="AB54" s="158">
        <f t="shared" si="142"/>
        <v>159.23437576494135</v>
      </c>
      <c r="AC54" s="158">
        <f t="shared" si="142"/>
        <v>181.30646745513124</v>
      </c>
      <c r="AD54" s="138">
        <f t="shared" ref="AD54:AD68" si="143">((AC54/G54)^(1/($AC$3-$H$1) ))-1</f>
        <v>9.6913621170048092E-2</v>
      </c>
      <c r="AE54" s="31">
        <f t="shared" si="16"/>
        <v>0.05</v>
      </c>
      <c r="AF54" s="146">
        <f t="shared" ref="AF54:AF82" si="144">(AC54*(1+AE54))/($C$1-AE54)</f>
        <v>1903.7179082788784</v>
      </c>
    </row>
    <row r="55" spans="2:32" x14ac:dyDescent="0.2">
      <c r="B55" s="20" t="s">
        <v>388</v>
      </c>
      <c r="C55" s="133">
        <f t="shared" ref="C55:F55" si="145">C20/C42</f>
        <v>0</v>
      </c>
      <c r="D55" s="133">
        <f t="shared" si="145"/>
        <v>0</v>
      </c>
      <c r="E55" s="133">
        <f t="shared" si="145"/>
        <v>0</v>
      </c>
      <c r="F55" s="133">
        <f t="shared" si="145"/>
        <v>0</v>
      </c>
      <c r="G55" s="133">
        <f>G20/G42</f>
        <v>37.184172890513267</v>
      </c>
      <c r="H55" s="133">
        <f t="shared" ref="H55:P55" si="146">H20/H42</f>
        <v>32.987747408105555</v>
      </c>
      <c r="I55" s="133">
        <f t="shared" si="146"/>
        <v>37.00962250185048</v>
      </c>
      <c r="J55" s="133">
        <f t="shared" si="146"/>
        <v>73.053066850447962</v>
      </c>
      <c r="K55" s="133">
        <f t="shared" si="146"/>
        <v>189.61937716262975</v>
      </c>
      <c r="L55" s="133">
        <f t="shared" si="146"/>
        <v>243.598615916955</v>
      </c>
      <c r="M55" s="133">
        <f t="shared" si="146"/>
        <v>190.22122023390165</v>
      </c>
      <c r="N55" s="133">
        <f t="shared" si="146"/>
        <v>33.568406205923836</v>
      </c>
      <c r="O55" s="133">
        <f t="shared" si="146"/>
        <v>21.225071225071225</v>
      </c>
      <c r="P55" s="133">
        <f t="shared" si="146"/>
        <v>20.650636492220649</v>
      </c>
      <c r="Q55" s="133">
        <f t="shared" ref="Q55" si="147">Q20/Q42</f>
        <v>20.650636492220649</v>
      </c>
      <c r="R55" s="118">
        <f>((P55/G55)^(1/($H$2-$H$1) ))-1</f>
        <v>-6.3259106959918543E-2</v>
      </c>
      <c r="S55" s="128"/>
      <c r="T55" s="133">
        <f t="shared" ref="T55:AC55" si="148">T20/T42</f>
        <v>23.513100956488856</v>
      </c>
      <c r="U55" s="133">
        <f t="shared" si="148"/>
        <v>26.772342673229883</v>
      </c>
      <c r="V55" s="133">
        <f t="shared" si="148"/>
        <v>30.48336046951917</v>
      </c>
      <c r="W55" s="133">
        <f t="shared" si="148"/>
        <v>34.708776772224795</v>
      </c>
      <c r="X55" s="133">
        <f t="shared" si="148"/>
        <v>39.519894344612389</v>
      </c>
      <c r="Y55" s="133">
        <f t="shared" si="148"/>
        <v>44.997899501291336</v>
      </c>
      <c r="Z55" s="133">
        <f t="shared" si="148"/>
        <v>51.235232105430725</v>
      </c>
      <c r="AA55" s="133">
        <f t="shared" si="148"/>
        <v>58.337145466579535</v>
      </c>
      <c r="AB55" s="133">
        <f t="shared" si="148"/>
        <v>66.423482461946989</v>
      </c>
      <c r="AC55" s="133">
        <f t="shared" si="148"/>
        <v>75.630697852711918</v>
      </c>
      <c r="AD55" s="138">
        <f t="shared" ref="AD55" si="149">((AC55/G55)^(1/($AC$3-$H$1) ))-1</f>
        <v>3.613656257793596E-2</v>
      </c>
      <c r="AE55" s="31">
        <f t="shared" si="16"/>
        <v>0.05</v>
      </c>
      <c r="AF55" s="146">
        <f t="shared" si="144"/>
        <v>794.12232745347535</v>
      </c>
    </row>
    <row r="56" spans="2:32" x14ac:dyDescent="0.2">
      <c r="B56" s="20" t="s">
        <v>245</v>
      </c>
      <c r="C56" s="25">
        <f t="shared" ref="C56:P56" si="150">C7/C42</f>
        <v>0</v>
      </c>
      <c r="D56" s="25">
        <f t="shared" si="150"/>
        <v>0</v>
      </c>
      <c r="E56" s="25">
        <f t="shared" si="150"/>
        <v>0</v>
      </c>
      <c r="F56" s="133">
        <f t="shared" si="150"/>
        <v>0</v>
      </c>
      <c r="G56" s="133">
        <f t="shared" si="150"/>
        <v>150.96138566661369</v>
      </c>
      <c r="H56" s="133">
        <f t="shared" si="150"/>
        <v>172.79296261388626</v>
      </c>
      <c r="I56" s="133">
        <f t="shared" si="150"/>
        <v>279.79274611398966</v>
      </c>
      <c r="J56" s="133">
        <f t="shared" si="150"/>
        <v>380.42729152308749</v>
      </c>
      <c r="K56" s="133">
        <f t="shared" si="150"/>
        <v>494.11764705882354</v>
      </c>
      <c r="L56" s="133">
        <f t="shared" si="150"/>
        <v>599.30795847750858</v>
      </c>
      <c r="M56" s="133">
        <f t="shared" si="150"/>
        <v>556.5731999436382</v>
      </c>
      <c r="N56" s="133">
        <f t="shared" si="150"/>
        <v>58.251057827926658</v>
      </c>
      <c r="O56" s="133">
        <f t="shared" si="150"/>
        <v>75.356125356125361</v>
      </c>
      <c r="P56" s="133">
        <f t="shared" si="150"/>
        <v>95.332390381895323</v>
      </c>
      <c r="Q56" s="133">
        <f t="shared" ref="Q56" si="151">Q7/Q42</f>
        <v>115.98302687411598</v>
      </c>
      <c r="R56" s="118">
        <f>((P56/G56)^(1/($H$2-$H$1) ))-1</f>
        <v>-4.979042795183275E-2</v>
      </c>
      <c r="S56" s="128"/>
      <c r="T56" s="158">
        <f t="shared" ref="T56:AC56" si="152">T7/T42</f>
        <v>132.05988208438944</v>
      </c>
      <c r="U56" s="158">
        <f t="shared" si="152"/>
        <v>150.36521227430484</v>
      </c>
      <c r="V56" s="158">
        <f t="shared" si="152"/>
        <v>171.20791496579261</v>
      </c>
      <c r="W56" s="158">
        <f t="shared" si="152"/>
        <v>194.9397051590708</v>
      </c>
      <c r="X56" s="158">
        <f t="shared" si="152"/>
        <v>221.96105042864494</v>
      </c>
      <c r="Y56" s="158">
        <f t="shared" si="152"/>
        <v>252.72792870588282</v>
      </c>
      <c r="Z56" s="158">
        <f t="shared" si="152"/>
        <v>287.75952278392595</v>
      </c>
      <c r="AA56" s="158">
        <f t="shared" si="152"/>
        <v>327.64698138763839</v>
      </c>
      <c r="AB56" s="158">
        <f t="shared" si="152"/>
        <v>373.06339464929124</v>
      </c>
      <c r="AC56" s="158">
        <f t="shared" si="152"/>
        <v>424.77515232345041</v>
      </c>
      <c r="AD56" s="138">
        <f t="shared" si="143"/>
        <v>5.3087994066650879E-2</v>
      </c>
      <c r="AE56" s="31">
        <f t="shared" si="16"/>
        <v>0.05</v>
      </c>
      <c r="AF56" s="146">
        <f t="shared" si="144"/>
        <v>4460.1390993962304</v>
      </c>
    </row>
    <row r="57" spans="2:32" x14ac:dyDescent="0.2">
      <c r="B57" s="20" t="s">
        <v>246</v>
      </c>
      <c r="C57" s="127">
        <f t="shared" ref="C57:P57" si="153">C6/C42</f>
        <v>0</v>
      </c>
      <c r="D57" s="127">
        <f t="shared" si="153"/>
        <v>0</v>
      </c>
      <c r="E57" s="127">
        <f t="shared" si="153"/>
        <v>0</v>
      </c>
      <c r="F57" s="144">
        <f t="shared" si="153"/>
        <v>0</v>
      </c>
      <c r="G57" s="144">
        <f t="shared" si="153"/>
        <v>141.42698236135388</v>
      </c>
      <c r="H57" s="144">
        <f t="shared" si="153"/>
        <v>163.3678919258561</v>
      </c>
      <c r="I57" s="144">
        <f t="shared" si="153"/>
        <v>269.43005181347149</v>
      </c>
      <c r="J57" s="144">
        <f t="shared" si="153"/>
        <v>372.15713301171604</v>
      </c>
      <c r="K57" s="144">
        <f t="shared" si="153"/>
        <v>484.42906574394459</v>
      </c>
      <c r="L57" s="144">
        <f t="shared" si="153"/>
        <v>589.61937716262969</v>
      </c>
      <c r="M57" s="144">
        <f t="shared" si="153"/>
        <v>545.30083133718472</v>
      </c>
      <c r="N57" s="144">
        <f t="shared" si="153"/>
        <v>57.263751763046542</v>
      </c>
      <c r="O57" s="144">
        <f t="shared" si="153"/>
        <v>74.358974358974365</v>
      </c>
      <c r="P57" s="144">
        <f t="shared" si="153"/>
        <v>94.342291371994335</v>
      </c>
      <c r="Q57" s="144">
        <f t="shared" ref="Q57" si="154">Q6/Q42</f>
        <v>94.342291371994335</v>
      </c>
      <c r="R57" s="118">
        <f>((P57/G57)^(1/($H$2-$H$1) ))-1</f>
        <v>-4.3987008806234629E-2</v>
      </c>
      <c r="S57" s="128"/>
      <c r="T57" s="157">
        <f t="shared" ref="T57:AC57" si="155">T6/T42</f>
        <v>107.41944067108265</v>
      </c>
      <c r="U57" s="157">
        <f t="shared" si="155"/>
        <v>122.30926413044062</v>
      </c>
      <c r="V57" s="157">
        <f t="shared" si="155"/>
        <v>139.26302351485813</v>
      </c>
      <c r="W57" s="157">
        <f t="shared" si="155"/>
        <v>158.56680895256125</v>
      </c>
      <c r="X57" s="157">
        <f t="shared" si="155"/>
        <v>180.54636662915385</v>
      </c>
      <c r="Y57" s="157">
        <f t="shared" si="155"/>
        <v>205.57259566685835</v>
      </c>
      <c r="Z57" s="157">
        <f t="shared" si="155"/>
        <v>234.06780694741292</v>
      </c>
      <c r="AA57" s="157">
        <f t="shared" si="155"/>
        <v>266.51284949457903</v>
      </c>
      <c r="AB57" s="157">
        <f t="shared" si="155"/>
        <v>303.45522467204546</v>
      </c>
      <c r="AC57" s="157">
        <f t="shared" si="155"/>
        <v>345.51832512163588</v>
      </c>
      <c r="AD57" s="138">
        <f t="shared" si="143"/>
        <v>4.5675518912262625E-2</v>
      </c>
      <c r="AE57" s="31">
        <f t="shared" si="16"/>
        <v>0.05</v>
      </c>
      <c r="AF57" s="146">
        <f t="shared" si="144"/>
        <v>3627.9424137771771</v>
      </c>
    </row>
    <row r="58" spans="2:32" x14ac:dyDescent="0.2">
      <c r="B58" s="20" t="s">
        <v>247</v>
      </c>
      <c r="C58" s="127">
        <f t="shared" ref="C58:P58" si="156">C10/C42</f>
        <v>0</v>
      </c>
      <c r="D58" s="127">
        <f t="shared" si="156"/>
        <v>0</v>
      </c>
      <c r="E58" s="127">
        <f t="shared" si="156"/>
        <v>0</v>
      </c>
      <c r="F58" s="144">
        <f t="shared" si="156"/>
        <v>0</v>
      </c>
      <c r="G58" s="144">
        <f t="shared" si="156"/>
        <v>0</v>
      </c>
      <c r="H58" s="144">
        <f t="shared" si="156"/>
        <v>0</v>
      </c>
      <c r="I58" s="144">
        <f t="shared" si="156"/>
        <v>0</v>
      </c>
      <c r="J58" s="144">
        <f t="shared" si="156"/>
        <v>0</v>
      </c>
      <c r="K58" s="144">
        <f t="shared" si="156"/>
        <v>0</v>
      </c>
      <c r="L58" s="144">
        <f t="shared" si="156"/>
        <v>0</v>
      </c>
      <c r="M58" s="144">
        <f t="shared" si="156"/>
        <v>0</v>
      </c>
      <c r="N58" s="144">
        <f t="shared" si="156"/>
        <v>0</v>
      </c>
      <c r="O58" s="144">
        <f t="shared" si="156"/>
        <v>0</v>
      </c>
      <c r="P58" s="144">
        <f t="shared" si="156"/>
        <v>0</v>
      </c>
      <c r="Q58" s="144">
        <f t="shared" ref="Q58" si="157">Q10/Q42</f>
        <v>0</v>
      </c>
      <c r="R58" s="118" t="e">
        <f>((P58/G58)^(1/($H$2-$H$1) ))-1</f>
        <v>#DIV/0!</v>
      </c>
      <c r="S58" s="128"/>
      <c r="T58" s="157">
        <f t="shared" ref="T58:AC58" si="158">T10/T42</f>
        <v>0</v>
      </c>
      <c r="U58" s="157">
        <f t="shared" si="158"/>
        <v>0</v>
      </c>
      <c r="V58" s="157">
        <f t="shared" si="158"/>
        <v>0</v>
      </c>
      <c r="W58" s="157">
        <f t="shared" si="158"/>
        <v>0</v>
      </c>
      <c r="X58" s="157">
        <f t="shared" si="158"/>
        <v>0</v>
      </c>
      <c r="Y58" s="157">
        <f t="shared" si="158"/>
        <v>0</v>
      </c>
      <c r="Z58" s="157">
        <f t="shared" si="158"/>
        <v>0</v>
      </c>
      <c r="AA58" s="157">
        <f t="shared" si="158"/>
        <v>0</v>
      </c>
      <c r="AB58" s="157">
        <f t="shared" si="158"/>
        <v>0</v>
      </c>
      <c r="AC58" s="157">
        <f t="shared" si="158"/>
        <v>0</v>
      </c>
      <c r="AD58" s="138" t="e">
        <f t="shared" si="143"/>
        <v>#DIV/0!</v>
      </c>
      <c r="AE58" s="31">
        <f t="shared" si="16"/>
        <v>0.05</v>
      </c>
      <c r="AF58" s="146">
        <f t="shared" si="144"/>
        <v>0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59">(C7-C10)/C42</f>
        <v>0</v>
      </c>
      <c r="D60" s="127">
        <f t="shared" si="159"/>
        <v>0</v>
      </c>
      <c r="E60" s="127">
        <f t="shared" si="159"/>
        <v>0</v>
      </c>
      <c r="F60" s="144">
        <f t="shared" si="159"/>
        <v>0</v>
      </c>
      <c r="G60" s="144">
        <f t="shared" si="159"/>
        <v>150.96138566661369</v>
      </c>
      <c r="H60" s="144">
        <f t="shared" si="159"/>
        <v>172.79296261388626</v>
      </c>
      <c r="I60" s="144">
        <f t="shared" si="159"/>
        <v>279.79274611398966</v>
      </c>
      <c r="J60" s="144">
        <f t="shared" si="159"/>
        <v>380.42729152308749</v>
      </c>
      <c r="K60" s="144">
        <f t="shared" si="159"/>
        <v>494.11764705882354</v>
      </c>
      <c r="L60" s="144">
        <f t="shared" si="159"/>
        <v>599.30795847750858</v>
      </c>
      <c r="M60" s="144">
        <f t="shared" si="159"/>
        <v>556.5731999436382</v>
      </c>
      <c r="N60" s="144">
        <f t="shared" si="159"/>
        <v>58.251057827926658</v>
      </c>
      <c r="O60" s="144">
        <f t="shared" si="159"/>
        <v>75.356125356125361</v>
      </c>
      <c r="P60" s="144">
        <f t="shared" si="159"/>
        <v>95.332390381895323</v>
      </c>
      <c r="Q60" s="144">
        <f t="shared" ref="Q60" si="160">(Q7-Q10)/Q42</f>
        <v>115.98302687411598</v>
      </c>
      <c r="R60" s="118">
        <f>((P60/G60)^(1/($H$2-$H$1) ))-1</f>
        <v>-4.979042795183275E-2</v>
      </c>
      <c r="S60" s="128"/>
      <c r="T60" s="157">
        <f t="shared" ref="T60:AC60" si="161">(T7-T10)/T42</f>
        <v>132.05988208438944</v>
      </c>
      <c r="U60" s="157">
        <f t="shared" si="161"/>
        <v>150.36521227430484</v>
      </c>
      <c r="V60" s="157">
        <f t="shared" si="161"/>
        <v>171.20791496579261</v>
      </c>
      <c r="W60" s="157">
        <f t="shared" si="161"/>
        <v>194.9397051590708</v>
      </c>
      <c r="X60" s="157">
        <f t="shared" si="161"/>
        <v>221.96105042864494</v>
      </c>
      <c r="Y60" s="157">
        <f t="shared" si="161"/>
        <v>252.72792870588282</v>
      </c>
      <c r="Z60" s="157">
        <f t="shared" si="161"/>
        <v>287.75952278392595</v>
      </c>
      <c r="AA60" s="157">
        <f t="shared" si="161"/>
        <v>327.64698138763839</v>
      </c>
      <c r="AB60" s="157">
        <f t="shared" si="161"/>
        <v>373.06339464929124</v>
      </c>
      <c r="AC60" s="157">
        <f t="shared" si="161"/>
        <v>424.77515232345041</v>
      </c>
      <c r="AD60" s="138">
        <f t="shared" si="143"/>
        <v>5.3087994066650879E-2</v>
      </c>
      <c r="AE60" s="31">
        <f t="shared" si="16"/>
        <v>0.05</v>
      </c>
      <c r="AF60" s="146">
        <f t="shared" si="144"/>
        <v>4460.1390993962304</v>
      </c>
    </row>
    <row r="61" spans="2:32" x14ac:dyDescent="0.2">
      <c r="B61" s="20" t="s">
        <v>271</v>
      </c>
      <c r="C61" s="127">
        <f t="shared" ref="C61:P61" si="162">(C7-C10-C9)/C42</f>
        <v>0</v>
      </c>
      <c r="D61" s="127">
        <f t="shared" si="162"/>
        <v>0</v>
      </c>
      <c r="E61" s="127">
        <f t="shared" si="162"/>
        <v>0</v>
      </c>
      <c r="F61" s="144">
        <f t="shared" si="162"/>
        <v>0</v>
      </c>
      <c r="G61" s="144">
        <f t="shared" si="162"/>
        <v>125.2184967424122</v>
      </c>
      <c r="H61" s="144">
        <f t="shared" si="162"/>
        <v>141.37606032045238</v>
      </c>
      <c r="I61" s="144">
        <f t="shared" si="162"/>
        <v>170.2442635085122</v>
      </c>
      <c r="J61" s="144">
        <f t="shared" si="162"/>
        <v>243.9696760854583</v>
      </c>
      <c r="K61" s="144">
        <f t="shared" si="162"/>
        <v>330.79584775086505</v>
      </c>
      <c r="L61" s="144">
        <f t="shared" si="162"/>
        <v>376.47058823529409</v>
      </c>
      <c r="M61" s="144">
        <f t="shared" si="162"/>
        <v>309.99013667746937</v>
      </c>
      <c r="N61" s="144">
        <f t="shared" si="162"/>
        <v>24.259520451339917</v>
      </c>
      <c r="O61" s="144">
        <f t="shared" si="162"/>
        <v>20.94017094017094</v>
      </c>
      <c r="P61" s="144">
        <f t="shared" si="162"/>
        <v>61.810466760961809</v>
      </c>
      <c r="Q61" s="144">
        <f t="shared" ref="Q61" si="163">(Q7-Q10-Q9)/Q42</f>
        <v>82.461103253182458</v>
      </c>
      <c r="R61" s="118">
        <f>((P61/G61)^(1/($H$2-$H$1) ))-1</f>
        <v>-7.5445290244392504E-2</v>
      </c>
      <c r="S61" s="128"/>
      <c r="T61" s="157">
        <f t="shared" ref="T61:AC61" si="164">(T7-T10-T9)/T42</f>
        <v>93.891355189267145</v>
      </c>
      <c r="U61" s="157">
        <f t="shared" si="164"/>
        <v>106.90599848282892</v>
      </c>
      <c r="V61" s="157">
        <f t="shared" si="164"/>
        <v>121.72465173787448</v>
      </c>
      <c r="W61" s="157">
        <f t="shared" si="164"/>
        <v>138.59737574114425</v>
      </c>
      <c r="X61" s="157">
        <f t="shared" si="164"/>
        <v>157.80889317060976</v>
      </c>
      <c r="Y61" s="157">
        <f t="shared" si="164"/>
        <v>179.6833932140606</v>
      </c>
      <c r="Z61" s="157">
        <f t="shared" si="164"/>
        <v>204.59000217442539</v>
      </c>
      <c r="AA61" s="157">
        <f t="shared" si="164"/>
        <v>232.94901237682097</v>
      </c>
      <c r="AB61" s="157">
        <f t="shared" si="164"/>
        <v>265.23897448845952</v>
      </c>
      <c r="AC61" s="157">
        <f t="shared" si="164"/>
        <v>302.00477293240442</v>
      </c>
      <c r="AD61" s="138">
        <f t="shared" si="143"/>
        <v>4.5002347491334138E-2</v>
      </c>
      <c r="AE61" s="31">
        <f t="shared" si="16"/>
        <v>0.05</v>
      </c>
      <c r="AF61" s="146">
        <f t="shared" si="144"/>
        <v>3171.0501157902472</v>
      </c>
    </row>
    <row r="62" spans="2:32" x14ac:dyDescent="0.2">
      <c r="B62" s="20" t="s">
        <v>276</v>
      </c>
      <c r="C62" s="127">
        <f t="shared" ref="C62:P62" si="165">(C7+C15-C10-C9)/C42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147.97393929763228</v>
      </c>
      <c r="H62" s="144">
        <f t="shared" si="165"/>
        <v>174.36380772855796</v>
      </c>
      <c r="I62" s="144">
        <f t="shared" si="165"/>
        <v>319.76313841598818</v>
      </c>
      <c r="J62" s="144">
        <f t="shared" si="165"/>
        <v>421.77808407994485</v>
      </c>
      <c r="K62" s="144">
        <f t="shared" si="165"/>
        <v>556.40138408304495</v>
      </c>
      <c r="L62" s="144">
        <f t="shared" si="165"/>
        <v>629.75778546712797</v>
      </c>
      <c r="M62" s="144">
        <f t="shared" si="165"/>
        <v>546.70987741299143</v>
      </c>
      <c r="N62" s="144">
        <f t="shared" si="165"/>
        <v>49.929478138222848</v>
      </c>
      <c r="O62" s="144">
        <f t="shared" si="165"/>
        <v>59.401709401709404</v>
      </c>
      <c r="P62" s="144">
        <f t="shared" si="165"/>
        <v>136.63366336633663</v>
      </c>
      <c r="Q62" s="144">
        <f t="shared" ref="Q62" si="166">(Q7+Q15-Q10-Q9)/Q42</f>
        <v>157.28429985855729</v>
      </c>
      <c r="R62" s="118">
        <f>((P62/G62)^(1/($H$2-$H$1) ))-1</f>
        <v>-8.8200749143088064E-3</v>
      </c>
      <c r="S62" s="128"/>
      <c r="T62" s="157">
        <f t="shared" ref="T62:AC62" si="167">(T7+T15-T10-T9)/T42</f>
        <v>179.08608399736718</v>
      </c>
      <c r="U62" s="157">
        <f t="shared" si="167"/>
        <v>203.90989762076461</v>
      </c>
      <c r="V62" s="157">
        <f t="shared" si="167"/>
        <v>232.17463590483095</v>
      </c>
      <c r="W62" s="157">
        <f t="shared" si="167"/>
        <v>264.35725870352042</v>
      </c>
      <c r="X62" s="157">
        <f t="shared" si="167"/>
        <v>301.00083911786976</v>
      </c>
      <c r="Y62" s="157">
        <f t="shared" si="167"/>
        <v>342.72372770846545</v>
      </c>
      <c r="Z62" s="157">
        <f t="shared" si="167"/>
        <v>390.2299869947874</v>
      </c>
      <c r="AA62" s="157">
        <f t="shared" si="167"/>
        <v>444.32127232079756</v>
      </c>
      <c r="AB62" s="157">
        <f t="shared" si="167"/>
        <v>505.91035957318513</v>
      </c>
      <c r="AC62" s="157">
        <f t="shared" si="167"/>
        <v>576.03654802887422</v>
      </c>
      <c r="AD62" s="138">
        <f t="shared" si="143"/>
        <v>7.0319012845659223E-2</v>
      </c>
      <c r="AE62" s="31">
        <f t="shared" si="16"/>
        <v>0.05</v>
      </c>
      <c r="AF62" s="146">
        <f t="shared" si="144"/>
        <v>6048.3837543031796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68">C12/C42</f>
        <v>0</v>
      </c>
      <c r="D64" s="127">
        <f t="shared" si="168"/>
        <v>0</v>
      </c>
      <c r="E64" s="127">
        <f t="shared" si="168"/>
        <v>0</v>
      </c>
      <c r="F64" s="144">
        <f t="shared" si="168"/>
        <v>0</v>
      </c>
      <c r="G64" s="144">
        <f t="shared" si="168"/>
        <v>10.344827586206897</v>
      </c>
      <c r="H64" s="144">
        <f t="shared" si="168"/>
        <v>17.279296261388627</v>
      </c>
      <c r="I64" s="144">
        <f t="shared" si="168"/>
        <v>56.25462620281273</v>
      </c>
      <c r="J64" s="144">
        <f t="shared" si="168"/>
        <v>58.0289455547898</v>
      </c>
      <c r="K64" s="144">
        <f t="shared" si="168"/>
        <v>178.54671280276816</v>
      </c>
      <c r="L64" s="144">
        <f t="shared" si="168"/>
        <v>217.30103806228374</v>
      </c>
      <c r="M64" s="144">
        <f t="shared" si="168"/>
        <v>227.56094124277865</v>
      </c>
      <c r="N64" s="144">
        <f t="shared" si="168"/>
        <v>36.389280677009872</v>
      </c>
      <c r="O64" s="144">
        <f t="shared" si="168"/>
        <v>21.794871794871796</v>
      </c>
      <c r="P64" s="144">
        <f t="shared" si="168"/>
        <v>13.012729844413013</v>
      </c>
      <c r="Q64" s="144">
        <f t="shared" ref="Q64" si="169">Q12/Q42</f>
        <v>13.012729844413013</v>
      </c>
      <c r="R64" s="118">
        <f>((P64/G64)^(1/($H$2-$H$1) ))-1</f>
        <v>2.5821232993343157E-2</v>
      </c>
      <c r="S64" s="128"/>
      <c r="T64" s="157">
        <f t="shared" ref="T64:AC64" si="170">T12/T42</f>
        <v>14.816474575321745</v>
      </c>
      <c r="U64" s="157">
        <f t="shared" si="170"/>
        <v>16.870243328336638</v>
      </c>
      <c r="V64" s="157">
        <f t="shared" si="170"/>
        <v>19.208692898601125</v>
      </c>
      <c r="W64" s="157">
        <f t="shared" si="170"/>
        <v>21.871283993456725</v>
      </c>
      <c r="X64" s="157">
        <f t="shared" si="170"/>
        <v>24.902947121262603</v>
      </c>
      <c r="Y64" s="157">
        <f t="shared" si="170"/>
        <v>28.354840781635637</v>
      </c>
      <c r="Z64" s="157">
        <f t="shared" si="170"/>
        <v>32.285214751367306</v>
      </c>
      <c r="AA64" s="157">
        <f t="shared" si="170"/>
        <v>36.760393033735049</v>
      </c>
      <c r="AB64" s="157">
        <f t="shared" si="170"/>
        <v>41.855893058213169</v>
      </c>
      <c r="AC64" s="157">
        <f t="shared" si="170"/>
        <v>47.657700016777376</v>
      </c>
      <c r="AD64" s="138">
        <f t="shared" si="143"/>
        <v>7.9370367835137845E-2</v>
      </c>
      <c r="AE64" s="31">
        <f t="shared" si="16"/>
        <v>0.05</v>
      </c>
      <c r="AF64" s="146">
        <f t="shared" si="144"/>
        <v>500.40585017616246</v>
      </c>
    </row>
    <row r="65" spans="2:32" x14ac:dyDescent="0.2">
      <c r="B65" s="20" t="s">
        <v>255</v>
      </c>
      <c r="C65" s="127">
        <f t="shared" ref="C65:P65" si="171">C13/C42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88.447481328460199</v>
      </c>
      <c r="H65" s="144">
        <f t="shared" si="171"/>
        <v>104.4612001256676</v>
      </c>
      <c r="I65" s="144">
        <f t="shared" si="171"/>
        <v>59.215396002960773</v>
      </c>
      <c r="J65" s="144">
        <f t="shared" si="171"/>
        <v>134.39007580978634</v>
      </c>
      <c r="K65" s="144">
        <f t="shared" si="171"/>
        <v>153.63321799307957</v>
      </c>
      <c r="L65" s="144">
        <f t="shared" si="171"/>
        <v>146.71280276816609</v>
      </c>
      <c r="M65" s="144">
        <f t="shared" si="171"/>
        <v>36.63519797097365</v>
      </c>
      <c r="N65" s="144">
        <f t="shared" si="171"/>
        <v>2.2355430183356839</v>
      </c>
      <c r="O65" s="144">
        <f t="shared" si="171"/>
        <v>16.381766381766383</v>
      </c>
      <c r="P65" s="144">
        <f t="shared" si="171"/>
        <v>24.893917963224894</v>
      </c>
      <c r="Q65" s="144">
        <f t="shared" ref="Q65" si="172">Q13/Q42</f>
        <v>24.893917963224894</v>
      </c>
      <c r="R65" s="118">
        <f>((P65/G65)^(1/($H$2-$H$1) ))-1</f>
        <v>-0.13139347577464322</v>
      </c>
      <c r="S65" s="128"/>
      <c r="T65" s="157">
        <f t="shared" ref="T65:AC65" si="173">T13/T42</f>
        <v>28.344560057137251</v>
      </c>
      <c r="U65" s="157">
        <f t="shared" si="173"/>
        <v>32.273508975948353</v>
      </c>
      <c r="V65" s="157">
        <f t="shared" si="173"/>
        <v>36.747064675584753</v>
      </c>
      <c r="W65" s="157">
        <f t="shared" si="173"/>
        <v>41.840717204873734</v>
      </c>
      <c r="X65" s="157">
        <f t="shared" si="173"/>
        <v>47.640420579806715</v>
      </c>
      <c r="Y65" s="157">
        <f t="shared" si="173"/>
        <v>54.244043234433391</v>
      </c>
      <c r="Z65" s="157">
        <f t="shared" si="173"/>
        <v>61.763019524354846</v>
      </c>
      <c r="AA65" s="157">
        <f t="shared" si="173"/>
        <v>70.324230151493126</v>
      </c>
      <c r="AB65" s="157">
        <f t="shared" si="173"/>
        <v>80.072143241799097</v>
      </c>
      <c r="AC65" s="157">
        <f t="shared" si="173"/>
        <v>91.171252206008873</v>
      </c>
      <c r="AD65" s="138">
        <f t="shared" si="143"/>
        <v>1.5176848097830931E-3</v>
      </c>
      <c r="AE65" s="31">
        <f t="shared" si="16"/>
        <v>0.05</v>
      </c>
      <c r="AF65" s="146">
        <f t="shared" si="144"/>
        <v>957.29814816309317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74">(D64+D65)</f>
        <v>0</v>
      </c>
      <c r="E66" s="127">
        <f t="shared" si="174"/>
        <v>0</v>
      </c>
      <c r="F66" s="144">
        <f t="shared" si="174"/>
        <v>0</v>
      </c>
      <c r="G66" s="144">
        <f t="shared" si="174"/>
        <v>98.792308914667103</v>
      </c>
      <c r="H66" s="144">
        <f t="shared" si="174"/>
        <v>121.74049638705623</v>
      </c>
      <c r="I66" s="144">
        <f t="shared" si="174"/>
        <v>115.4700222057735</v>
      </c>
      <c r="J66" s="144">
        <f t="shared" si="174"/>
        <v>192.41902136457614</v>
      </c>
      <c r="K66" s="144">
        <f t="shared" si="174"/>
        <v>332.17993079584772</v>
      </c>
      <c r="L66" s="144">
        <f t="shared" si="174"/>
        <v>364.01384083044979</v>
      </c>
      <c r="M66" s="144">
        <f t="shared" si="174"/>
        <v>264.1961392137523</v>
      </c>
      <c r="N66" s="144">
        <f t="shared" si="174"/>
        <v>38.624823695345555</v>
      </c>
      <c r="O66" s="144">
        <f t="shared" ref="O66" si="175">(O64+O65)</f>
        <v>38.176638176638178</v>
      </c>
      <c r="P66" s="144">
        <f t="shared" si="174"/>
        <v>37.90664780763791</v>
      </c>
      <c r="Q66" s="144">
        <f t="shared" ref="Q66" si="176">(Q64+Q65)</f>
        <v>37.90664780763791</v>
      </c>
      <c r="R66" s="118">
        <f>((P66/G66)^(1/($H$2-$H$1) ))-1</f>
        <v>-0.10096434450679059</v>
      </c>
      <c r="S66" s="128"/>
      <c r="T66" s="157">
        <f t="shared" ref="T66:AC66" si="177">(T64+T65)</f>
        <v>43.161034632458993</v>
      </c>
      <c r="U66" s="157">
        <f t="shared" si="177"/>
        <v>49.143752304284988</v>
      </c>
      <c r="V66" s="157">
        <f t="shared" si="177"/>
        <v>55.955757574185881</v>
      </c>
      <c r="W66" s="157">
        <f t="shared" si="177"/>
        <v>63.712001198330455</v>
      </c>
      <c r="X66" s="157">
        <f t="shared" si="177"/>
        <v>72.543367701069315</v>
      </c>
      <c r="Y66" s="157">
        <f t="shared" si="177"/>
        <v>82.598884016069036</v>
      </c>
      <c r="Z66" s="157">
        <f t="shared" si="177"/>
        <v>94.048234275722152</v>
      </c>
      <c r="AA66" s="157">
        <f t="shared" si="177"/>
        <v>107.08462318522817</v>
      </c>
      <c r="AB66" s="157">
        <f t="shared" si="177"/>
        <v>121.92803630001227</v>
      </c>
      <c r="AC66" s="157">
        <f t="shared" si="177"/>
        <v>138.82895222278626</v>
      </c>
      <c r="AD66" s="138">
        <f t="shared" si="143"/>
        <v>1.7156656392525393E-2</v>
      </c>
      <c r="AE66" s="31">
        <f t="shared" si="16"/>
        <v>0.05</v>
      </c>
      <c r="AF66" s="146">
        <f t="shared" si="144"/>
        <v>1457.703998339256</v>
      </c>
    </row>
    <row r="67" spans="2:32" x14ac:dyDescent="0.2">
      <c r="B67" s="20" t="s">
        <v>249</v>
      </c>
      <c r="C67" s="127">
        <f t="shared" ref="C67:P67" si="178">C15/C42</f>
        <v>0</v>
      </c>
      <c r="D67" s="127">
        <f t="shared" si="178"/>
        <v>0</v>
      </c>
      <c r="E67" s="127">
        <f t="shared" si="178"/>
        <v>0</v>
      </c>
      <c r="F67" s="144">
        <f t="shared" si="178"/>
        <v>0</v>
      </c>
      <c r="G67" s="144">
        <f t="shared" si="178"/>
        <v>22.755442555220089</v>
      </c>
      <c r="H67" s="144">
        <f t="shared" si="178"/>
        <v>32.987747408105555</v>
      </c>
      <c r="I67" s="144">
        <f t="shared" si="178"/>
        <v>149.51887490747595</v>
      </c>
      <c r="J67" s="144">
        <f t="shared" si="178"/>
        <v>177.80840799448654</v>
      </c>
      <c r="K67" s="144">
        <f t="shared" si="178"/>
        <v>225.60553633217992</v>
      </c>
      <c r="L67" s="144">
        <f t="shared" si="178"/>
        <v>253.28719723183389</v>
      </c>
      <c r="M67" s="144">
        <f t="shared" si="178"/>
        <v>236.71974073552207</v>
      </c>
      <c r="N67" s="144">
        <f t="shared" si="178"/>
        <v>25.669957686882935</v>
      </c>
      <c r="O67" s="144">
        <f t="shared" si="178"/>
        <v>38.461538461538467</v>
      </c>
      <c r="P67" s="144">
        <f t="shared" si="178"/>
        <v>74.823196605374818</v>
      </c>
      <c r="Q67" s="144">
        <f t="shared" ref="Q67" si="179">Q15/Q42</f>
        <v>74.823196605374818</v>
      </c>
      <c r="R67" s="118">
        <f>((P67/G67)^(1/($H$2-$H$1) ))-1</f>
        <v>0.14140296636089977</v>
      </c>
      <c r="S67" s="128"/>
      <c r="T67" s="157">
        <f t="shared" ref="T67:AC67" si="180">T15/T42</f>
        <v>85.194728808100024</v>
      </c>
      <c r="U67" s="157">
        <f t="shared" si="180"/>
        <v>97.003899137935676</v>
      </c>
      <c r="V67" s="157">
        <f t="shared" si="180"/>
        <v>110.44998416695645</v>
      </c>
      <c r="W67" s="157">
        <f t="shared" si="180"/>
        <v>125.75988296237615</v>
      </c>
      <c r="X67" s="157">
        <f t="shared" si="180"/>
        <v>143.19194594725997</v>
      </c>
      <c r="Y67" s="157">
        <f t="shared" si="180"/>
        <v>163.0403344944049</v>
      </c>
      <c r="Z67" s="157">
        <f t="shared" si="180"/>
        <v>185.639984820362</v>
      </c>
      <c r="AA67" s="157">
        <f t="shared" si="180"/>
        <v>211.3722599439765</v>
      </c>
      <c r="AB67" s="157">
        <f t="shared" si="180"/>
        <v>240.6713850847257</v>
      </c>
      <c r="AC67" s="157">
        <f t="shared" si="180"/>
        <v>274.03177509646986</v>
      </c>
      <c r="AD67" s="138">
        <f t="shared" si="143"/>
        <v>0.13249366649373284</v>
      </c>
      <c r="AE67" s="31">
        <f t="shared" si="16"/>
        <v>0.05</v>
      </c>
      <c r="AF67" s="146">
        <f t="shared" si="144"/>
        <v>2877.3336385129337</v>
      </c>
    </row>
    <row r="68" spans="2:32" x14ac:dyDescent="0.2">
      <c r="B68" s="20" t="s">
        <v>250</v>
      </c>
      <c r="C68" s="127">
        <f t="shared" ref="C68:P68" si="181">C16/C42</f>
        <v>0</v>
      </c>
      <c r="D68" s="127">
        <f t="shared" si="181"/>
        <v>0</v>
      </c>
      <c r="E68" s="127">
        <f t="shared" si="181"/>
        <v>0</v>
      </c>
      <c r="F68" s="144">
        <f t="shared" si="181"/>
        <v>0</v>
      </c>
      <c r="G68" s="144">
        <f t="shared" si="181"/>
        <v>-10.328936914031464</v>
      </c>
      <c r="H68" s="144">
        <f t="shared" si="181"/>
        <v>1.9478479421928996</v>
      </c>
      <c r="I68" s="144">
        <f t="shared" si="181"/>
        <v>46.928201332346411</v>
      </c>
      <c r="J68" s="144">
        <f t="shared" si="181"/>
        <v>57.463818056512743</v>
      </c>
      <c r="K68" s="144">
        <f t="shared" si="181"/>
        <v>150.86505190311419</v>
      </c>
      <c r="L68" s="144">
        <f t="shared" si="181"/>
        <v>182.69896193771626</v>
      </c>
      <c r="M68" s="144">
        <f t="shared" si="181"/>
        <v>201.49358884035507</v>
      </c>
      <c r="N68" s="144">
        <f t="shared" si="181"/>
        <v>23.977433004231312</v>
      </c>
      <c r="O68" s="144">
        <f t="shared" si="181"/>
        <v>-7.54985754985755</v>
      </c>
      <c r="P68" s="144">
        <f t="shared" si="181"/>
        <v>41.301272984441297</v>
      </c>
      <c r="Q68" s="144">
        <f t="shared" ref="Q68" si="182">Q16/Q42</f>
        <v>41.301272984441297</v>
      </c>
      <c r="R68" s="118">
        <f>((P68/G68)^(1/($H$2-$H$1) ))-1</f>
        <v>-2.1664836230634643</v>
      </c>
      <c r="S68" s="128"/>
      <c r="T68" s="157">
        <f t="shared" ref="T68:AC68" si="183">T16/T42</f>
        <v>47.026201912977712</v>
      </c>
      <c r="U68" s="157">
        <f t="shared" si="183"/>
        <v>53.544685346459765</v>
      </c>
      <c r="V68" s="157">
        <f t="shared" si="183"/>
        <v>60.966720939038339</v>
      </c>
      <c r="W68" s="157">
        <f t="shared" si="183"/>
        <v>69.417553544449589</v>
      </c>
      <c r="X68" s="157">
        <f t="shared" si="183"/>
        <v>79.039788689224778</v>
      </c>
      <c r="Y68" s="157">
        <f t="shared" si="183"/>
        <v>89.995799002582672</v>
      </c>
      <c r="Z68" s="157">
        <f t="shared" si="183"/>
        <v>102.47046421086145</v>
      </c>
      <c r="AA68" s="157">
        <f t="shared" si="183"/>
        <v>116.67429093315907</v>
      </c>
      <c r="AB68" s="157">
        <f t="shared" si="183"/>
        <v>132.84696492389398</v>
      </c>
      <c r="AC68" s="157">
        <f t="shared" si="183"/>
        <v>151.26139570542384</v>
      </c>
      <c r="AD68" s="138" t="e">
        <f t="shared" si="143"/>
        <v>#NUM!</v>
      </c>
      <c r="AE68" s="137"/>
      <c r="AF68" s="146">
        <f t="shared" si="144"/>
        <v>1008.4093047028256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44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84">D44</f>
        <v>0</v>
      </c>
      <c r="E70" s="159">
        <f t="shared" si="184"/>
        <v>0</v>
      </c>
      <c r="F70" s="159">
        <f t="shared" si="184"/>
        <v>0</v>
      </c>
      <c r="G70" s="159">
        <f t="shared" si="184"/>
        <v>10</v>
      </c>
      <c r="H70" s="159">
        <f t="shared" si="184"/>
        <v>12.5</v>
      </c>
      <c r="I70" s="159">
        <f t="shared" si="184"/>
        <v>25</v>
      </c>
      <c r="J70" s="159">
        <f t="shared" si="184"/>
        <v>25</v>
      </c>
      <c r="K70" s="159">
        <f t="shared" si="184"/>
        <v>70</v>
      </c>
      <c r="L70" s="159">
        <f t="shared" si="184"/>
        <v>100</v>
      </c>
      <c r="M70" s="159">
        <f t="shared" si="184"/>
        <v>200</v>
      </c>
      <c r="N70" s="159">
        <f t="shared" si="184"/>
        <v>11</v>
      </c>
      <c r="O70" s="159">
        <f t="shared" si="184"/>
        <v>16</v>
      </c>
      <c r="P70" s="159">
        <f t="shared" si="184"/>
        <v>16</v>
      </c>
      <c r="Q70" s="159">
        <f t="shared" ref="Q70" si="185">Q44</f>
        <v>16</v>
      </c>
      <c r="R70" s="118">
        <f>((P70/G70)^(1/($H$2-$H$1) ))-1</f>
        <v>5.3610276890664554E-2</v>
      </c>
      <c r="S70" s="128"/>
      <c r="T70" s="159">
        <f t="shared" ref="T70:AC70" si="186">T44</f>
        <v>16.8</v>
      </c>
      <c r="U70" s="159">
        <f t="shared" si="186"/>
        <v>17.64</v>
      </c>
      <c r="V70" s="159">
        <f t="shared" si="186"/>
        <v>18.522000000000002</v>
      </c>
      <c r="W70" s="159">
        <f t="shared" si="186"/>
        <v>19.448100000000004</v>
      </c>
      <c r="X70" s="159">
        <f t="shared" si="186"/>
        <v>20.420505000000006</v>
      </c>
      <c r="Y70" s="159">
        <f t="shared" si="186"/>
        <v>21.441530250000007</v>
      </c>
      <c r="Z70" s="159">
        <f t="shared" si="186"/>
        <v>22.513606762500007</v>
      </c>
      <c r="AA70" s="159">
        <f t="shared" si="186"/>
        <v>23.639287100625008</v>
      </c>
      <c r="AB70" s="159">
        <f t="shared" si="186"/>
        <v>24.82125145565626</v>
      </c>
      <c r="AC70" s="159">
        <f t="shared" si="186"/>
        <v>26.062314028439072</v>
      </c>
      <c r="AD70" s="138">
        <f t="shared" ref="AD70" si="187">((AC70/G70)^(1/($AC$3-$H$1) ))-1</f>
        <v>4.9060774665798723E-2</v>
      </c>
      <c r="AE70" s="31">
        <f t="shared" si="16"/>
        <v>0.05</v>
      </c>
      <c r="AF70" s="146">
        <f t="shared" si="144"/>
        <v>273.65429729861029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188">C20+C21</f>
        <v>0</v>
      </c>
      <c r="D72" s="127">
        <f t="shared" si="188"/>
        <v>0</v>
      </c>
      <c r="E72" s="127">
        <f t="shared" si="188"/>
        <v>0</v>
      </c>
      <c r="F72" s="144">
        <f t="shared" si="188"/>
        <v>0</v>
      </c>
      <c r="G72" s="144">
        <f t="shared" si="188"/>
        <v>6.3999999999999986</v>
      </c>
      <c r="H72" s="144">
        <f t="shared" si="188"/>
        <v>10</v>
      </c>
      <c r="I72" s="144">
        <f t="shared" si="188"/>
        <v>-7</v>
      </c>
      <c r="J72" s="144">
        <f t="shared" si="188"/>
        <v>1</v>
      </c>
      <c r="K72" s="144">
        <f t="shared" si="188"/>
        <v>48</v>
      </c>
      <c r="L72" s="144">
        <f t="shared" si="188"/>
        <v>147</v>
      </c>
      <c r="M72" s="144">
        <f t="shared" si="188"/>
        <v>239</v>
      </c>
      <c r="N72" s="144">
        <f t="shared" si="188"/>
        <v>193</v>
      </c>
      <c r="O72" s="144">
        <f t="shared" si="188"/>
        <v>83</v>
      </c>
      <c r="P72" s="144">
        <f t="shared" si="188"/>
        <v>72</v>
      </c>
      <c r="Q72" s="144">
        <f t="shared" ref="Q72" si="189">Q20+Q21</f>
        <v>72</v>
      </c>
      <c r="R72" s="118">
        <f>((P72/G72)^(1/($H$2-$H$1) ))-1</f>
        <v>0.30856326630610575</v>
      </c>
      <c r="S72" s="128"/>
      <c r="T72" s="144">
        <f t="shared" ref="T72:AC72" si="190">T20+T21</f>
        <v>82.799999999999983</v>
      </c>
      <c r="U72" s="144">
        <f t="shared" si="190"/>
        <v>95.21999999999997</v>
      </c>
      <c r="V72" s="144">
        <f t="shared" si="190"/>
        <v>109.50299999999996</v>
      </c>
      <c r="W72" s="144">
        <f t="shared" si="190"/>
        <v>125.92844999999994</v>
      </c>
      <c r="X72" s="144">
        <f t="shared" si="190"/>
        <v>144.81771749999993</v>
      </c>
      <c r="Y72" s="144">
        <f t="shared" si="190"/>
        <v>166.54037512499991</v>
      </c>
      <c r="Z72" s="144">
        <f t="shared" si="190"/>
        <v>191.52143139374991</v>
      </c>
      <c r="AA72" s="144">
        <f t="shared" si="190"/>
        <v>220.24964610281239</v>
      </c>
      <c r="AB72" s="144">
        <f t="shared" si="190"/>
        <v>253.28709301823426</v>
      </c>
      <c r="AC72" s="144">
        <f t="shared" si="190"/>
        <v>291.28015697096941</v>
      </c>
      <c r="AD72" s="138">
        <f t="shared" ref="AD72:AD77" si="191">((AC72/G72)^(1/($AC$3-$H$1) ))-1</f>
        <v>0.21033765889812228</v>
      </c>
      <c r="AE72" s="31">
        <f t="shared" si="16"/>
        <v>0.05</v>
      </c>
      <c r="AF72" s="146">
        <f t="shared" si="144"/>
        <v>3058.4416481951794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192">C72/C42</f>
        <v>0</v>
      </c>
      <c r="D74" s="127">
        <f t="shared" si="192"/>
        <v>0</v>
      </c>
      <c r="E74" s="127">
        <f t="shared" si="192"/>
        <v>0</v>
      </c>
      <c r="F74" s="144">
        <f t="shared" si="192"/>
        <v>0</v>
      </c>
      <c r="G74" s="144">
        <f t="shared" si="192"/>
        <v>10.170030192277132</v>
      </c>
      <c r="H74" s="144">
        <f t="shared" si="192"/>
        <v>15.708451146716932</v>
      </c>
      <c r="I74" s="144">
        <f t="shared" si="192"/>
        <v>-10.362694300518134</v>
      </c>
      <c r="J74" s="144">
        <f t="shared" si="192"/>
        <v>1.3783597518952446</v>
      </c>
      <c r="K74" s="144">
        <f t="shared" si="192"/>
        <v>66.435986159169545</v>
      </c>
      <c r="L74" s="144">
        <f t="shared" si="192"/>
        <v>203.46020761245674</v>
      </c>
      <c r="M74" s="144">
        <f t="shared" si="192"/>
        <v>336.76201211779625</v>
      </c>
      <c r="N74" s="144">
        <f t="shared" si="192"/>
        <v>27.221438645980253</v>
      </c>
      <c r="O74" s="144">
        <f t="shared" si="192"/>
        <v>11.823361823361823</v>
      </c>
      <c r="P74" s="144">
        <f t="shared" si="192"/>
        <v>10.183875530410184</v>
      </c>
      <c r="Q74" s="144">
        <f t="shared" ref="Q74" si="193">Q72/Q42</f>
        <v>10.183875530410184</v>
      </c>
      <c r="R74" s="118">
        <f>((P74/G74)^(1/($H$2-$H$1) ))-1</f>
        <v>1.5117368033368273E-4</v>
      </c>
      <c r="S74" s="128"/>
      <c r="T74" s="146">
        <f t="shared" ref="T74:AC74" si="194">T72/T42</f>
        <v>11.595501841556146</v>
      </c>
      <c r="U74" s="146">
        <f t="shared" si="194"/>
        <v>13.202799126524324</v>
      </c>
      <c r="V74" s="146">
        <f t="shared" si="194"/>
        <v>15.032890094557398</v>
      </c>
      <c r="W74" s="146">
        <f t="shared" si="194"/>
        <v>17.116657038357435</v>
      </c>
      <c r="X74" s="146">
        <f t="shared" si="194"/>
        <v>19.489262964466384</v>
      </c>
      <c r="Y74" s="146">
        <f t="shared" si="194"/>
        <v>22.190744959540933</v>
      </c>
      <c r="Z74" s="146">
        <f t="shared" si="194"/>
        <v>25.26668980541789</v>
      </c>
      <c r="AA74" s="146">
        <f t="shared" si="194"/>
        <v>28.769003243792646</v>
      </c>
      <c r="AB74" s="146">
        <f t="shared" si="194"/>
        <v>32.756785871645093</v>
      </c>
      <c r="AC74" s="146">
        <f t="shared" si="194"/>
        <v>37.297330447912735</v>
      </c>
      <c r="AD74" s="138">
        <f t="shared" si="191"/>
        <v>6.7131095891390213E-2</v>
      </c>
      <c r="AE74" s="31">
        <f t="shared" si="16"/>
        <v>0.05</v>
      </c>
      <c r="AF74" s="146">
        <f t="shared" si="144"/>
        <v>391.62196970308378</v>
      </c>
    </row>
    <row r="75" spans="2:32" x14ac:dyDescent="0.2">
      <c r="B75" s="20" t="s">
        <v>287</v>
      </c>
      <c r="C75" s="127">
        <f t="shared" ref="C75:P75" si="195">C20/C42</f>
        <v>0</v>
      </c>
      <c r="D75" s="127">
        <f t="shared" si="195"/>
        <v>0</v>
      </c>
      <c r="E75" s="127">
        <f t="shared" si="195"/>
        <v>0</v>
      </c>
      <c r="F75" s="144">
        <f t="shared" si="195"/>
        <v>0</v>
      </c>
      <c r="G75" s="144">
        <f t="shared" si="195"/>
        <v>37.184172890513267</v>
      </c>
      <c r="H75" s="144">
        <f t="shared" si="195"/>
        <v>32.987747408105555</v>
      </c>
      <c r="I75" s="144">
        <f t="shared" si="195"/>
        <v>37.00962250185048</v>
      </c>
      <c r="J75" s="144">
        <f t="shared" si="195"/>
        <v>73.053066850447962</v>
      </c>
      <c r="K75" s="144">
        <f t="shared" si="195"/>
        <v>189.61937716262975</v>
      </c>
      <c r="L75" s="144">
        <f t="shared" si="195"/>
        <v>243.598615916955</v>
      </c>
      <c r="M75" s="144">
        <f t="shared" si="195"/>
        <v>190.22122023390165</v>
      </c>
      <c r="N75" s="144">
        <f t="shared" si="195"/>
        <v>33.568406205923836</v>
      </c>
      <c r="O75" s="144">
        <f t="shared" si="195"/>
        <v>21.225071225071225</v>
      </c>
      <c r="P75" s="144">
        <f t="shared" si="195"/>
        <v>20.650636492220649</v>
      </c>
      <c r="Q75" s="144">
        <f t="shared" ref="Q75" si="196">Q20/Q42</f>
        <v>20.650636492220649</v>
      </c>
      <c r="R75" s="118">
        <f>((P75/G75)^(1/($H$2-$H$1) ))-1</f>
        <v>-6.3259106959918543E-2</v>
      </c>
      <c r="S75" s="128"/>
      <c r="T75" s="146">
        <f t="shared" ref="T75:AC75" si="197">T20/T42</f>
        <v>23.513100956488856</v>
      </c>
      <c r="U75" s="146">
        <f t="shared" si="197"/>
        <v>26.772342673229883</v>
      </c>
      <c r="V75" s="146">
        <f t="shared" si="197"/>
        <v>30.48336046951917</v>
      </c>
      <c r="W75" s="146">
        <f t="shared" si="197"/>
        <v>34.708776772224795</v>
      </c>
      <c r="X75" s="146">
        <f t="shared" si="197"/>
        <v>39.519894344612389</v>
      </c>
      <c r="Y75" s="146">
        <f t="shared" si="197"/>
        <v>44.997899501291336</v>
      </c>
      <c r="Z75" s="146">
        <f t="shared" si="197"/>
        <v>51.235232105430725</v>
      </c>
      <c r="AA75" s="146">
        <f t="shared" si="197"/>
        <v>58.337145466579535</v>
      </c>
      <c r="AB75" s="146">
        <f t="shared" si="197"/>
        <v>66.423482461946989</v>
      </c>
      <c r="AC75" s="146">
        <f t="shared" si="197"/>
        <v>75.630697852711918</v>
      </c>
      <c r="AD75" s="138">
        <f t="shared" si="191"/>
        <v>3.613656257793596E-2</v>
      </c>
      <c r="AE75" s="31">
        <f t="shared" si="16"/>
        <v>0.05</v>
      </c>
      <c r="AF75" s="146">
        <f t="shared" si="144"/>
        <v>794.12232745347535</v>
      </c>
    </row>
    <row r="76" spans="2:32" x14ac:dyDescent="0.2">
      <c r="B76" s="20" t="s">
        <v>288</v>
      </c>
      <c r="C76" s="127">
        <f t="shared" ref="C76:P76" si="198">C21/C42</f>
        <v>0</v>
      </c>
      <c r="D76" s="127">
        <f t="shared" si="198"/>
        <v>0</v>
      </c>
      <c r="E76" s="127">
        <f t="shared" si="198"/>
        <v>0</v>
      </c>
      <c r="F76" s="144">
        <f t="shared" si="198"/>
        <v>0</v>
      </c>
      <c r="G76" s="144">
        <f t="shared" si="198"/>
        <v>-27.014142698236135</v>
      </c>
      <c r="H76" s="144">
        <f t="shared" si="198"/>
        <v>-17.279296261388627</v>
      </c>
      <c r="I76" s="144">
        <f t="shared" si="198"/>
        <v>-47.372316802368616</v>
      </c>
      <c r="J76" s="144">
        <f t="shared" si="198"/>
        <v>-71.674707098552716</v>
      </c>
      <c r="K76" s="144">
        <f t="shared" si="198"/>
        <v>-123.1833910034602</v>
      </c>
      <c r="L76" s="144">
        <f t="shared" si="198"/>
        <v>-40.13840830449827</v>
      </c>
      <c r="M76" s="144">
        <f t="shared" si="198"/>
        <v>146.5407918838946</v>
      </c>
      <c r="N76" s="144">
        <f t="shared" si="198"/>
        <v>-6.3469675599435824</v>
      </c>
      <c r="O76" s="144">
        <f t="shared" si="198"/>
        <v>-9.4017094017094021</v>
      </c>
      <c r="P76" s="144">
        <f t="shared" si="198"/>
        <v>-10.466760961810467</v>
      </c>
      <c r="Q76" s="144">
        <f t="shared" ref="Q76" si="199">Q21/Q42</f>
        <v>-10.466760961810467</v>
      </c>
      <c r="R76" s="118">
        <f>((P76/G76)^(1/($H$2-$H$1) ))-1</f>
        <v>-9.9991127785203027E-2</v>
      </c>
      <c r="S76" s="128"/>
      <c r="T76" s="146">
        <f t="shared" ref="T76:AC76" si="200">T21/T42</f>
        <v>-11.917599114932708</v>
      </c>
      <c r="U76" s="146">
        <f t="shared" si="200"/>
        <v>-13.569543546705557</v>
      </c>
      <c r="V76" s="146">
        <f t="shared" si="200"/>
        <v>-15.450470374961771</v>
      </c>
      <c r="W76" s="146">
        <f t="shared" si="200"/>
        <v>-17.592119733867364</v>
      </c>
      <c r="X76" s="146">
        <f t="shared" si="200"/>
        <v>-20.030631380146009</v>
      </c>
      <c r="Y76" s="146">
        <f t="shared" si="200"/>
        <v>-22.807154541750403</v>
      </c>
      <c r="Z76" s="146">
        <f t="shared" si="200"/>
        <v>-25.968542300012835</v>
      </c>
      <c r="AA76" s="146">
        <f t="shared" si="200"/>
        <v>-29.568142222786886</v>
      </c>
      <c r="AB76" s="146">
        <f t="shared" si="200"/>
        <v>-33.666696590301896</v>
      </c>
      <c r="AC76" s="146">
        <f t="shared" si="200"/>
        <v>-38.333367404799191</v>
      </c>
      <c r="AD76" s="138">
        <f t="shared" si="191"/>
        <v>1.7651996818257798E-2</v>
      </c>
      <c r="AE76" s="31">
        <f t="shared" si="16"/>
        <v>0.05</v>
      </c>
      <c r="AF76" s="146">
        <f t="shared" si="144"/>
        <v>-402.50035775039157</v>
      </c>
    </row>
    <row r="77" spans="2:32" x14ac:dyDescent="0.2">
      <c r="B77" s="20" t="s">
        <v>289</v>
      </c>
      <c r="C77" s="127">
        <f t="shared" ref="C77:P77" si="201">C22/C42</f>
        <v>0</v>
      </c>
      <c r="D77" s="127">
        <f t="shared" si="201"/>
        <v>0</v>
      </c>
      <c r="E77" s="127">
        <f t="shared" si="201"/>
        <v>0</v>
      </c>
      <c r="F77" s="144">
        <f t="shared" si="201"/>
        <v>0</v>
      </c>
      <c r="G77" s="144">
        <f t="shared" si="201"/>
        <v>-8.6127443190846975</v>
      </c>
      <c r="H77" s="144">
        <f t="shared" si="201"/>
        <v>-7.9170593779453338</v>
      </c>
      <c r="I77" s="144">
        <f t="shared" si="201"/>
        <v>1.0362694300518134</v>
      </c>
      <c r="J77" s="144">
        <f t="shared" si="201"/>
        <v>0.38594073053066852</v>
      </c>
      <c r="K77" s="144">
        <f t="shared" si="201"/>
        <v>-63.667820069204147</v>
      </c>
      <c r="L77" s="144">
        <f t="shared" si="201"/>
        <v>-130.10380622837368</v>
      </c>
      <c r="M77" s="144">
        <f t="shared" si="201"/>
        <v>-390.30576299845006</v>
      </c>
      <c r="N77" s="144">
        <f t="shared" si="201"/>
        <v>-23.1311706629055</v>
      </c>
      <c r="O77" s="144">
        <f t="shared" si="201"/>
        <v>-15.66951566951567</v>
      </c>
      <c r="P77" s="144">
        <f t="shared" si="201"/>
        <v>-11.598302687411598</v>
      </c>
      <c r="Q77" s="144">
        <f t="shared" ref="Q77" si="202">Q22/Q42</f>
        <v>-11.598302687411598</v>
      </c>
      <c r="R77" s="118">
        <f>((P77/G77)^(1/($H$2-$H$1) ))-1</f>
        <v>3.362125528828952E-2</v>
      </c>
      <c r="S77" s="128"/>
      <c r="T77" s="146">
        <f t="shared" ref="T77:AC77" si="203">T22/T42</f>
        <v>-13.205988208438947</v>
      </c>
      <c r="U77" s="146">
        <f t="shared" si="203"/>
        <v>-15.036521227430484</v>
      </c>
      <c r="V77" s="146">
        <f t="shared" si="203"/>
        <v>-17.120791496579262</v>
      </c>
      <c r="W77" s="146">
        <f t="shared" si="203"/>
        <v>-19.49397051590708</v>
      </c>
      <c r="X77" s="146">
        <f t="shared" si="203"/>
        <v>-22.196105042864495</v>
      </c>
      <c r="Y77" s="146">
        <f t="shared" si="203"/>
        <v>-25.272792870588287</v>
      </c>
      <c r="Z77" s="146">
        <f t="shared" si="203"/>
        <v>-28.775952278392602</v>
      </c>
      <c r="AA77" s="146">
        <f t="shared" si="203"/>
        <v>-32.764698138763848</v>
      </c>
      <c r="AB77" s="146">
        <f t="shared" si="203"/>
        <v>-37.306339464929131</v>
      </c>
      <c r="AC77" s="146">
        <f t="shared" si="203"/>
        <v>-42.477515232345048</v>
      </c>
      <c r="AD77" s="138">
        <f t="shared" si="191"/>
        <v>8.3055912309075719E-2</v>
      </c>
      <c r="AE77" s="31">
        <f t="shared" si="16"/>
        <v>0.05</v>
      </c>
      <c r="AF77" s="146">
        <f t="shared" si="144"/>
        <v>-446.01390993962309</v>
      </c>
    </row>
    <row r="78" spans="2:32" x14ac:dyDescent="0.2">
      <c r="B78" s="20" t="s">
        <v>296</v>
      </c>
      <c r="C78" s="127">
        <f t="shared" ref="C78:P78" si="204">C23/C42</f>
        <v>0</v>
      </c>
      <c r="D78" s="127">
        <f t="shared" si="204"/>
        <v>0</v>
      </c>
      <c r="E78" s="127">
        <f t="shared" si="204"/>
        <v>0</v>
      </c>
      <c r="F78" s="144">
        <f t="shared" si="204"/>
        <v>0</v>
      </c>
      <c r="G78" s="144">
        <f t="shared" si="204"/>
        <v>10.328936914031464</v>
      </c>
      <c r="H78" s="144">
        <f t="shared" si="204"/>
        <v>17.907634307257304</v>
      </c>
      <c r="I78" s="144">
        <f t="shared" si="204"/>
        <v>7.7720207253886011</v>
      </c>
      <c r="J78" s="144">
        <f t="shared" si="204"/>
        <v>13.02549965541006</v>
      </c>
      <c r="K78" s="144">
        <f t="shared" si="204"/>
        <v>26.297577854671278</v>
      </c>
      <c r="L78" s="144">
        <f t="shared" si="204"/>
        <v>101.03806228373702</v>
      </c>
      <c r="M78" s="144">
        <f t="shared" si="204"/>
        <v>47.907566577427083</v>
      </c>
      <c r="N78" s="144">
        <f t="shared" si="204"/>
        <v>9.0267983074753175</v>
      </c>
      <c r="O78" s="144">
        <f t="shared" si="204"/>
        <v>5.1282051282051286</v>
      </c>
      <c r="P78" s="144">
        <f t="shared" si="204"/>
        <v>3.6775106082036775</v>
      </c>
      <c r="Q78" s="144">
        <f t="shared" ref="Q78" si="205">Q23/Q42</f>
        <v>3.6775106082036775</v>
      </c>
      <c r="R78" s="118">
        <f>((P78/G78)^(1/($H$2-$H$1) ))-1</f>
        <v>-0.10840735170742311</v>
      </c>
      <c r="S78" s="128"/>
      <c r="T78" s="146">
        <f t="shared" ref="T78:AC78" si="206">T23/T42</f>
        <v>4.1872645538952762</v>
      </c>
      <c r="U78" s="146">
        <f t="shared" si="206"/>
        <v>4.7676774623560068</v>
      </c>
      <c r="V78" s="146">
        <f t="shared" si="206"/>
        <v>5.4285436452568403</v>
      </c>
      <c r="W78" s="146">
        <f t="shared" si="206"/>
        <v>6.1810150416290748</v>
      </c>
      <c r="X78" s="146">
        <f t="shared" si="206"/>
        <v>7.0377894038350846</v>
      </c>
      <c r="Y78" s="146">
        <f t="shared" si="206"/>
        <v>8.0133245687231156</v>
      </c>
      <c r="Z78" s="146">
        <f t="shared" si="206"/>
        <v>9.1240824297342389</v>
      </c>
      <c r="AA78" s="146">
        <f t="shared" si="206"/>
        <v>10.388806726925123</v>
      </c>
      <c r="AB78" s="146">
        <f t="shared" si="206"/>
        <v>11.828839342538505</v>
      </c>
      <c r="AC78" s="146">
        <f t="shared" si="206"/>
        <v>13.46848043952404</v>
      </c>
      <c r="AD78" s="138">
        <f t="shared" ref="AD78" si="207">((AC78/G78)^(1/($AC$3-$H$1) ))-1</f>
        <v>1.3358579478889299E-2</v>
      </c>
      <c r="AE78" s="31">
        <f t="shared" si="16"/>
        <v>0.05</v>
      </c>
      <c r="AF78" s="146">
        <f t="shared" si="144"/>
        <v>141.41904461500243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08">C36/C42</f>
        <v>0</v>
      </c>
      <c r="D80" s="144">
        <f t="shared" si="208"/>
        <v>0</v>
      </c>
      <c r="E80" s="144">
        <f t="shared" si="208"/>
        <v>0</v>
      </c>
      <c r="F80" s="144">
        <f t="shared" si="208"/>
        <v>0</v>
      </c>
      <c r="G80" s="144">
        <f t="shared" si="208"/>
        <v>49.467662482122996</v>
      </c>
      <c r="H80" s="144">
        <f t="shared" si="208"/>
        <v>60.069117185045549</v>
      </c>
      <c r="I80" s="144">
        <f t="shared" si="208"/>
        <v>116.35825314581791</v>
      </c>
      <c r="J80" s="144">
        <f t="shared" si="208"/>
        <v>165.40317022742934</v>
      </c>
      <c r="K80" s="144">
        <f t="shared" si="208"/>
        <v>249.82698961937714</v>
      </c>
      <c r="L80" s="144">
        <f t="shared" si="208"/>
        <v>271.28027681660899</v>
      </c>
      <c r="M80" s="144">
        <f t="shared" si="208"/>
        <v>297.30872199520923</v>
      </c>
      <c r="N80" s="144">
        <f t="shared" si="208"/>
        <v>35.401974612129763</v>
      </c>
      <c r="O80" s="144">
        <f t="shared" si="208"/>
        <v>46.652421652421658</v>
      </c>
      <c r="P80" s="144">
        <f t="shared" si="208"/>
        <v>45.261669024045261</v>
      </c>
      <c r="Q80" s="144">
        <f t="shared" ref="Q80" si="209">Q36/Q42</f>
        <v>45.261669024045261</v>
      </c>
      <c r="R80" s="118">
        <f>((P80/G80)^(1/($H$2-$H$1) ))-1</f>
        <v>-9.8246042415826018E-3</v>
      </c>
      <c r="S80" s="128"/>
      <c r="T80" s="144">
        <f t="shared" ref="T80:AC80" si="210">T36/T42</f>
        <v>51.53556374024955</v>
      </c>
      <c r="U80" s="144">
        <f t="shared" si="210"/>
        <v>58.679107228997012</v>
      </c>
      <c r="V80" s="144">
        <f t="shared" si="210"/>
        <v>66.812844864699571</v>
      </c>
      <c r="W80" s="144">
        <f t="shared" si="210"/>
        <v>76.074031281588617</v>
      </c>
      <c r="X80" s="144">
        <f t="shared" si="210"/>
        <v>86.618946508739498</v>
      </c>
      <c r="Y80" s="144">
        <f t="shared" si="210"/>
        <v>98.625533153515264</v>
      </c>
      <c r="Z80" s="144">
        <f t="shared" si="210"/>
        <v>112.29639913519064</v>
      </c>
      <c r="AA80" s="144">
        <f t="shared" si="210"/>
        <v>127.86223663907845</v>
      </c>
      <c r="AB80" s="144">
        <f t="shared" si="210"/>
        <v>145.58571498508931</v>
      </c>
      <c r="AC80" s="144">
        <f t="shared" si="210"/>
        <v>165.76591310183434</v>
      </c>
      <c r="AD80" s="138">
        <f t="shared" ref="AD80:AD82" si="211">((AC80/G80)^(1/($AC$3-$H$1) ))-1</f>
        <v>6.2328155685231756E-2</v>
      </c>
      <c r="AE80" s="31">
        <f t="shared" si="16"/>
        <v>0.05</v>
      </c>
      <c r="AF80" s="146">
        <f t="shared" si="144"/>
        <v>1740.542087569261</v>
      </c>
    </row>
    <row r="81" spans="2:32" x14ac:dyDescent="0.2">
      <c r="B81" s="20" t="s">
        <v>312</v>
      </c>
      <c r="C81" s="144">
        <f t="shared" ref="C81:P81" si="212">C40/C42</f>
        <v>0</v>
      </c>
      <c r="D81" s="144">
        <f t="shared" si="212"/>
        <v>0</v>
      </c>
      <c r="E81" s="144">
        <f t="shared" si="212"/>
        <v>0</v>
      </c>
      <c r="F81" s="144">
        <f t="shared" si="212"/>
        <v>0</v>
      </c>
      <c r="G81" s="144">
        <f t="shared" si="212"/>
        <v>28.507865882726843</v>
      </c>
      <c r="H81" s="144">
        <f t="shared" si="212"/>
        <v>34.558592522777253</v>
      </c>
      <c r="I81" s="144">
        <f t="shared" si="212"/>
        <v>90.89563286454478</v>
      </c>
      <c r="J81" s="144">
        <f t="shared" si="212"/>
        <v>115.78221915920055</v>
      </c>
      <c r="K81" s="144">
        <f t="shared" si="212"/>
        <v>194.46366782006919</v>
      </c>
      <c r="L81" s="144">
        <f t="shared" si="212"/>
        <v>222.83737024221452</v>
      </c>
      <c r="M81" s="144">
        <f t="shared" si="212"/>
        <v>288.85444554036917</v>
      </c>
      <c r="N81" s="144">
        <f t="shared" si="212"/>
        <v>29.055007052186177</v>
      </c>
      <c r="O81" s="144">
        <f t="shared" si="212"/>
        <v>31.33903133903134</v>
      </c>
      <c r="P81" s="144">
        <f t="shared" si="212"/>
        <v>42.149929278642148</v>
      </c>
      <c r="Q81" s="144">
        <f t="shared" ref="Q81" si="213">Q40/Q42</f>
        <v>49.504950495049506</v>
      </c>
      <c r="R81" s="118">
        <f>((P81/G81)^(1/($H$2-$H$1) ))-1</f>
        <v>4.4408116288075616E-2</v>
      </c>
      <c r="S81" s="128"/>
      <c r="T81" s="144">
        <f t="shared" ref="T81:AC81" si="214">T40/T42</f>
        <v>56.367022840897938</v>
      </c>
      <c r="U81" s="144">
        <f t="shared" si="214"/>
        <v>64.180273531715471</v>
      </c>
      <c r="V81" s="144">
        <f t="shared" si="214"/>
        <v>73.07654907076514</v>
      </c>
      <c r="W81" s="144">
        <f t="shared" si="214"/>
        <v>83.205971714237521</v>
      </c>
      <c r="X81" s="144">
        <f t="shared" si="214"/>
        <v>94.739472743933803</v>
      </c>
      <c r="Y81" s="144">
        <f t="shared" si="214"/>
        <v>107.87167688665728</v>
      </c>
      <c r="Z81" s="144">
        <f t="shared" si="214"/>
        <v>122.82418655411472</v>
      </c>
      <c r="AA81" s="144">
        <f t="shared" si="214"/>
        <v>139.84932132399197</v>
      </c>
      <c r="AB81" s="144">
        <f t="shared" si="214"/>
        <v>159.23437576494135</v>
      </c>
      <c r="AC81" s="144">
        <f t="shared" si="214"/>
        <v>181.30646745513124</v>
      </c>
      <c r="AD81" s="138">
        <f t="shared" si="211"/>
        <v>9.6913621170048092E-2</v>
      </c>
      <c r="AE81" s="31">
        <f t="shared" si="16"/>
        <v>0.05</v>
      </c>
      <c r="AF81" s="146">
        <f t="shared" si="144"/>
        <v>1903.7179082788784</v>
      </c>
    </row>
    <row r="82" spans="2:32" x14ac:dyDescent="0.2">
      <c r="B82" s="20" t="s">
        <v>313</v>
      </c>
      <c r="C82" s="144">
        <f t="shared" ref="C82:P82" si="215">C6/C42</f>
        <v>0</v>
      </c>
      <c r="D82" s="144">
        <f t="shared" si="215"/>
        <v>0</v>
      </c>
      <c r="E82" s="144">
        <f t="shared" si="215"/>
        <v>0</v>
      </c>
      <c r="F82" s="144">
        <f t="shared" si="215"/>
        <v>0</v>
      </c>
      <c r="G82" s="144">
        <f t="shared" si="215"/>
        <v>141.42698236135388</v>
      </c>
      <c r="H82" s="144">
        <f t="shared" si="215"/>
        <v>163.3678919258561</v>
      </c>
      <c r="I82" s="144">
        <f t="shared" si="215"/>
        <v>269.43005181347149</v>
      </c>
      <c r="J82" s="144">
        <f t="shared" si="215"/>
        <v>372.15713301171604</v>
      </c>
      <c r="K82" s="144">
        <f t="shared" si="215"/>
        <v>484.42906574394459</v>
      </c>
      <c r="L82" s="144">
        <f t="shared" si="215"/>
        <v>589.61937716262969</v>
      </c>
      <c r="M82" s="144">
        <f t="shared" si="215"/>
        <v>545.30083133718472</v>
      </c>
      <c r="N82" s="144">
        <f t="shared" si="215"/>
        <v>57.263751763046542</v>
      </c>
      <c r="O82" s="144">
        <f t="shared" si="215"/>
        <v>74.358974358974365</v>
      </c>
      <c r="P82" s="144">
        <f t="shared" si="215"/>
        <v>94.342291371994335</v>
      </c>
      <c r="Q82" s="144">
        <f t="shared" ref="Q82" si="216">Q6/Q42</f>
        <v>94.342291371994335</v>
      </c>
      <c r="R82" s="118">
        <f>((P82/G82)^(1/($H$2-$H$1) ))-1</f>
        <v>-4.3987008806234629E-2</v>
      </c>
      <c r="S82" s="128"/>
      <c r="T82" s="144">
        <f t="shared" ref="T82:AC82" si="217">T6/T42</f>
        <v>107.41944067108265</v>
      </c>
      <c r="U82" s="144">
        <f t="shared" si="217"/>
        <v>122.30926413044062</v>
      </c>
      <c r="V82" s="144">
        <f t="shared" si="217"/>
        <v>139.26302351485813</v>
      </c>
      <c r="W82" s="144">
        <f t="shared" si="217"/>
        <v>158.56680895256125</v>
      </c>
      <c r="X82" s="144">
        <f t="shared" si="217"/>
        <v>180.54636662915385</v>
      </c>
      <c r="Y82" s="144">
        <f t="shared" si="217"/>
        <v>205.57259566685835</v>
      </c>
      <c r="Z82" s="144">
        <f t="shared" si="217"/>
        <v>234.06780694741292</v>
      </c>
      <c r="AA82" s="144">
        <f t="shared" si="217"/>
        <v>266.51284949457903</v>
      </c>
      <c r="AB82" s="144">
        <f t="shared" si="217"/>
        <v>303.45522467204546</v>
      </c>
      <c r="AC82" s="144">
        <f t="shared" si="217"/>
        <v>345.51832512163588</v>
      </c>
      <c r="AD82" s="138">
        <f t="shared" si="211"/>
        <v>4.5675518912262625E-2</v>
      </c>
      <c r="AE82" s="31">
        <f t="shared" ref="AE82" si="218">$L$1</f>
        <v>0.05</v>
      </c>
      <c r="AF82" s="146">
        <f t="shared" si="144"/>
        <v>3627.9424137771771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19">E36/E25</f>
        <v>#DIV/0!</v>
      </c>
      <c r="F86" s="152" t="e">
        <f t="shared" si="219"/>
        <v>#DIV/0!</v>
      </c>
      <c r="G86" s="152">
        <f t="shared" si="219"/>
        <v>0.42643835616438353</v>
      </c>
      <c r="H86" s="152">
        <f t="shared" si="219"/>
        <v>0.41565217391304349</v>
      </c>
      <c r="I86" s="152">
        <f t="shared" si="219"/>
        <v>0.26734693877551019</v>
      </c>
      <c r="J86" s="152">
        <f t="shared" si="219"/>
        <v>0.29484029484029484</v>
      </c>
      <c r="K86" s="152">
        <f t="shared" si="219"/>
        <v>0.34185606060606061</v>
      </c>
      <c r="L86" s="152">
        <f t="shared" si="219"/>
        <v>0.35188509874326751</v>
      </c>
      <c r="M86" s="152">
        <f t="shared" si="219"/>
        <v>0.30229226361031519</v>
      </c>
      <c r="N86" s="152">
        <f t="shared" si="219"/>
        <v>0.29529411764705882</v>
      </c>
      <c r="O86" s="152">
        <f t="shared" si="219"/>
        <v>0.32815631262525052</v>
      </c>
      <c r="P86" s="152">
        <f t="shared" si="219"/>
        <v>0.28776978417266186</v>
      </c>
      <c r="Q86" s="152">
        <f t="shared" ref="Q86" si="220">Q36/Q25</f>
        <v>0.25600000000000001</v>
      </c>
      <c r="R86" s="118">
        <f t="shared" ref="R86:R138" si="221">((P86/G86)^(1/($H$2-$H$1) ))-1</f>
        <v>-4.2759660167188573E-2</v>
      </c>
      <c r="S86" s="152"/>
      <c r="T86" s="152">
        <f t="shared" ref="T86:AC86" si="222">T36/T25</f>
        <v>0.25600000000000001</v>
      </c>
      <c r="U86" s="152">
        <f t="shared" si="222"/>
        <v>0.25600000000000001</v>
      </c>
      <c r="V86" s="152">
        <f t="shared" si="222"/>
        <v>0.25600000000000006</v>
      </c>
      <c r="W86" s="152">
        <f t="shared" si="222"/>
        <v>0.25600000000000006</v>
      </c>
      <c r="X86" s="152">
        <f t="shared" si="222"/>
        <v>0.25600000000000006</v>
      </c>
      <c r="Y86" s="152">
        <f t="shared" si="222"/>
        <v>0.25600000000000006</v>
      </c>
      <c r="Z86" s="152">
        <f t="shared" si="222"/>
        <v>0.25600000000000006</v>
      </c>
      <c r="AA86" s="152">
        <f t="shared" si="222"/>
        <v>0.25600000000000006</v>
      </c>
      <c r="AB86" s="152">
        <f t="shared" si="222"/>
        <v>0.25600000000000012</v>
      </c>
      <c r="AC86" s="152">
        <f t="shared" si="222"/>
        <v>0.25600000000000012</v>
      </c>
      <c r="AD86" s="138">
        <f t="shared" ref="AD86:AD125" si="223">((AC86/G86)^(1/($AC$3-$H$1) ))-1</f>
        <v>-2.519177427077901E-2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24">E40/E25</f>
        <v>#DIV/0!</v>
      </c>
      <c r="F87" s="152" t="e">
        <f t="shared" si="224"/>
        <v>#DIV/0!</v>
      </c>
      <c r="G87" s="152">
        <f t="shared" si="224"/>
        <v>0.24575342465753428</v>
      </c>
      <c r="H87" s="152">
        <f t="shared" si="224"/>
        <v>0.2391304347826087</v>
      </c>
      <c r="I87" s="152">
        <f t="shared" si="224"/>
        <v>0.20884353741496597</v>
      </c>
      <c r="J87" s="152">
        <f t="shared" si="224"/>
        <v>0.20638820638820637</v>
      </c>
      <c r="K87" s="152">
        <f t="shared" si="224"/>
        <v>0.26609848484848486</v>
      </c>
      <c r="L87" s="152">
        <f t="shared" si="224"/>
        <v>0.28904847396768402</v>
      </c>
      <c r="M87" s="152">
        <f t="shared" si="224"/>
        <v>0.29369627507163326</v>
      </c>
      <c r="N87" s="152">
        <f t="shared" si="224"/>
        <v>0.24235294117647058</v>
      </c>
      <c r="O87" s="152">
        <f t="shared" si="224"/>
        <v>0.22044088176352705</v>
      </c>
      <c r="P87" s="152">
        <f t="shared" si="224"/>
        <v>0.26798561151079137</v>
      </c>
      <c r="Q87" s="152">
        <f t="shared" ref="Q87" si="225">Q40/Q25</f>
        <v>0.28000000000000003</v>
      </c>
      <c r="R87" s="118">
        <f t="shared" si="221"/>
        <v>9.6691802708281926E-3</v>
      </c>
      <c r="S87" s="152"/>
      <c r="T87" s="152">
        <f t="shared" ref="T87:AC87" si="226">T40/T25</f>
        <v>0.27999999999999997</v>
      </c>
      <c r="U87" s="152">
        <f t="shared" si="226"/>
        <v>0.27999999999999997</v>
      </c>
      <c r="V87" s="152">
        <f t="shared" si="226"/>
        <v>0.27999999999999997</v>
      </c>
      <c r="W87" s="152">
        <f t="shared" si="226"/>
        <v>0.27999999999999997</v>
      </c>
      <c r="X87" s="152">
        <f t="shared" si="226"/>
        <v>0.27999999999999997</v>
      </c>
      <c r="Y87" s="152">
        <f t="shared" si="226"/>
        <v>0.27999999999999997</v>
      </c>
      <c r="Z87" s="152">
        <f t="shared" si="226"/>
        <v>0.27999999999999997</v>
      </c>
      <c r="AA87" s="152">
        <f t="shared" si="226"/>
        <v>0.27999999999999997</v>
      </c>
      <c r="AB87" s="152">
        <f t="shared" si="226"/>
        <v>0.27999999999999997</v>
      </c>
      <c r="AC87" s="152">
        <f t="shared" si="226"/>
        <v>0.27999999999999997</v>
      </c>
      <c r="AD87" s="138">
        <f t="shared" si="223"/>
        <v>6.5443668310505299E-3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27">E40/E7</f>
        <v>#DIV/0!</v>
      </c>
      <c r="F88" s="152" t="e">
        <f t="shared" si="227"/>
        <v>#DIV/0!</v>
      </c>
      <c r="G88" s="152">
        <f>G40/G7</f>
        <v>0.18884210526315789</v>
      </c>
      <c r="H88" s="152">
        <f t="shared" si="227"/>
        <v>0.2</v>
      </c>
      <c r="I88" s="152">
        <f t="shared" si="227"/>
        <v>0.32486772486772486</v>
      </c>
      <c r="J88" s="152">
        <f t="shared" si="227"/>
        <v>0.30434782608695654</v>
      </c>
      <c r="K88" s="152">
        <f t="shared" si="227"/>
        <v>0.39355742296918766</v>
      </c>
      <c r="L88" s="152">
        <f t="shared" si="227"/>
        <v>0.37182448036951499</v>
      </c>
      <c r="M88" s="152">
        <f t="shared" si="227"/>
        <v>0.51898734177215189</v>
      </c>
      <c r="N88" s="152">
        <f t="shared" si="227"/>
        <v>0.49878934624697335</v>
      </c>
      <c r="O88" s="152">
        <f t="shared" si="227"/>
        <v>0.41587901701323249</v>
      </c>
      <c r="P88" s="152">
        <f t="shared" ref="P88:Q88" si="228">P40/P7</f>
        <v>0.44213649851632048</v>
      </c>
      <c r="Q88" s="152">
        <f t="shared" si="228"/>
        <v>0.42682926829268292</v>
      </c>
      <c r="R88" s="118">
        <f t="shared" si="221"/>
        <v>9.9134493074895635E-2</v>
      </c>
      <c r="S88" s="20"/>
      <c r="T88" s="152">
        <f t="shared" ref="T88" si="229">T40/T7</f>
        <v>0.42682926829268292</v>
      </c>
      <c r="U88" s="152">
        <f t="shared" ref="U88:AC88" si="230">U40/U7</f>
        <v>0.42682926829268292</v>
      </c>
      <c r="V88" s="152">
        <f t="shared" si="230"/>
        <v>0.42682926829268297</v>
      </c>
      <c r="W88" s="152">
        <f t="shared" si="230"/>
        <v>0.42682926829268292</v>
      </c>
      <c r="X88" s="152">
        <f t="shared" si="230"/>
        <v>0.42682926829268286</v>
      </c>
      <c r="Y88" s="152">
        <f t="shared" si="230"/>
        <v>0.42682926829268286</v>
      </c>
      <c r="Z88" s="152">
        <f t="shared" si="230"/>
        <v>0.42682926829268281</v>
      </c>
      <c r="AA88" s="152">
        <f t="shared" si="230"/>
        <v>0.42682926829268286</v>
      </c>
      <c r="AB88" s="152">
        <f t="shared" si="230"/>
        <v>0.42682926829268281</v>
      </c>
      <c r="AC88" s="152">
        <f t="shared" si="230"/>
        <v>0.42682926829268281</v>
      </c>
      <c r="AD88" s="138">
        <f t="shared" si="223"/>
        <v>4.1616301154624447E-2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31">(E40)/(E7+E10)</f>
        <v>#DIV/0!</v>
      </c>
      <c r="F89" s="152" t="e">
        <f t="shared" si="231"/>
        <v>#DIV/0!</v>
      </c>
      <c r="G89" s="152">
        <f>(G40)/(G7+G10)</f>
        <v>0.18884210526315789</v>
      </c>
      <c r="H89" s="152">
        <f t="shared" ref="H89:O89" si="232">(H40)/(H7+H10)</f>
        <v>0.2</v>
      </c>
      <c r="I89" s="152">
        <f t="shared" si="232"/>
        <v>0.32486772486772486</v>
      </c>
      <c r="J89" s="152">
        <f t="shared" si="232"/>
        <v>0.30434782608695654</v>
      </c>
      <c r="K89" s="152">
        <f t="shared" si="232"/>
        <v>0.39355742296918766</v>
      </c>
      <c r="L89" s="152">
        <f t="shared" si="232"/>
        <v>0.37182448036951499</v>
      </c>
      <c r="M89" s="152">
        <f t="shared" si="232"/>
        <v>0.51898734177215189</v>
      </c>
      <c r="N89" s="152">
        <f t="shared" si="232"/>
        <v>0.49878934624697335</v>
      </c>
      <c r="O89" s="152">
        <f t="shared" si="232"/>
        <v>0.41587901701323249</v>
      </c>
      <c r="P89" s="152">
        <f t="shared" ref="P89:Q89" si="233">(P40)/(P7+P10)</f>
        <v>0.44213649851632048</v>
      </c>
      <c r="Q89" s="152">
        <f t="shared" si="233"/>
        <v>0.42682926829268292</v>
      </c>
      <c r="R89" s="118">
        <f t="shared" si="221"/>
        <v>9.9134493074895635E-2</v>
      </c>
      <c r="S89" s="20"/>
      <c r="T89" s="152">
        <f t="shared" ref="T89:AC89" si="234">(T40)/(T7+T10)</f>
        <v>0.42682926829268292</v>
      </c>
      <c r="U89" s="152">
        <f t="shared" si="234"/>
        <v>0.42682926829268292</v>
      </c>
      <c r="V89" s="152">
        <f t="shared" si="234"/>
        <v>0.42682926829268297</v>
      </c>
      <c r="W89" s="152">
        <f t="shared" si="234"/>
        <v>0.42682926829268292</v>
      </c>
      <c r="X89" s="152">
        <f t="shared" si="234"/>
        <v>0.42682926829268286</v>
      </c>
      <c r="Y89" s="152">
        <f t="shared" si="234"/>
        <v>0.42682926829268286</v>
      </c>
      <c r="Z89" s="152">
        <f t="shared" si="234"/>
        <v>0.42682926829268281</v>
      </c>
      <c r="AA89" s="152">
        <f t="shared" si="234"/>
        <v>0.42682926829268286</v>
      </c>
      <c r="AB89" s="152">
        <f t="shared" si="234"/>
        <v>0.42682926829268281</v>
      </c>
      <c r="AC89" s="152">
        <f t="shared" si="234"/>
        <v>0.42682926829268281</v>
      </c>
      <c r="AD89" s="138">
        <f t="shared" si="223"/>
        <v>4.1616301154624447E-2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0.32054794520547941</v>
      </c>
      <c r="H90" s="152">
        <f t="shared" ref="H90:P90" si="235">H20/H25</f>
        <v>0.22826086956521738</v>
      </c>
      <c r="I90" s="152">
        <f t="shared" si="235"/>
        <v>8.5034013605442174E-2</v>
      </c>
      <c r="J90" s="152">
        <f t="shared" si="235"/>
        <v>0.13022113022113022</v>
      </c>
      <c r="K90" s="152">
        <f t="shared" si="235"/>
        <v>0.25946969696969696</v>
      </c>
      <c r="L90" s="152">
        <f t="shared" si="235"/>
        <v>0.31597845601436264</v>
      </c>
      <c r="M90" s="152">
        <f t="shared" si="235"/>
        <v>0.19340974212034384</v>
      </c>
      <c r="N90" s="152">
        <f t="shared" si="235"/>
        <v>0.28000000000000003</v>
      </c>
      <c r="O90" s="152">
        <f t="shared" si="235"/>
        <v>0.14929859719438879</v>
      </c>
      <c r="P90" s="152">
        <f t="shared" si="235"/>
        <v>0.13129496402877697</v>
      </c>
      <c r="Q90" s="152">
        <f t="shared" ref="Q90" si="236">Q20/Q25</f>
        <v>0.1168</v>
      </c>
      <c r="R90" s="118">
        <f t="shared" si="221"/>
        <v>-9.4416832987282207E-2</v>
      </c>
      <c r="S90" s="20"/>
      <c r="T90" s="152">
        <f t="shared" ref="T90:AC90" si="237">T20/T25</f>
        <v>0.11679999999999999</v>
      </c>
      <c r="U90" s="152">
        <f t="shared" si="237"/>
        <v>0.11679999999999999</v>
      </c>
      <c r="V90" s="152">
        <f t="shared" si="237"/>
        <v>0.11679999999999999</v>
      </c>
      <c r="W90" s="152">
        <f t="shared" si="237"/>
        <v>0.1168</v>
      </c>
      <c r="X90" s="152">
        <f t="shared" si="237"/>
        <v>0.1168</v>
      </c>
      <c r="Y90" s="152">
        <f t="shared" si="237"/>
        <v>0.11680000000000001</v>
      </c>
      <c r="Z90" s="152">
        <f t="shared" si="237"/>
        <v>0.11680000000000001</v>
      </c>
      <c r="AA90" s="152">
        <f t="shared" si="237"/>
        <v>0.11680000000000003</v>
      </c>
      <c r="AB90" s="152">
        <f t="shared" si="237"/>
        <v>0.11680000000000004</v>
      </c>
      <c r="AC90" s="152">
        <f t="shared" si="237"/>
        <v>0.11680000000000004</v>
      </c>
      <c r="AD90" s="138">
        <f t="shared" si="223"/>
        <v>-4.9225572367258885E-2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>
        <f>G52/G25</f>
        <v>0.12410958904109587</v>
      </c>
      <c r="H91" s="152">
        <f t="shared" ref="H91:P91" si="238">H52/H25</f>
        <v>0.11956521739130435</v>
      </c>
      <c r="I91" s="152">
        <f t="shared" si="238"/>
        <v>6.3265306122448989E-2</v>
      </c>
      <c r="J91" s="152">
        <f t="shared" si="238"/>
        <v>6.3882063882063883E-2</v>
      </c>
      <c r="K91" s="152">
        <f t="shared" si="238"/>
        <v>8.8068181818181823E-2</v>
      </c>
      <c r="L91" s="152">
        <f t="shared" si="238"/>
        <v>8.2585278276481155E-2</v>
      </c>
      <c r="M91" s="152">
        <f t="shared" si="238"/>
        <v>8.882521489971347E-2</v>
      </c>
      <c r="N91" s="152">
        <f t="shared" si="238"/>
        <v>8.1176470588235294E-2</v>
      </c>
      <c r="O91" s="152">
        <f t="shared" si="238"/>
        <v>9.4188376753507011E-2</v>
      </c>
      <c r="P91" s="152">
        <f t="shared" si="238"/>
        <v>5.4856115107913668E-2</v>
      </c>
      <c r="Q91" s="152">
        <f t="shared" ref="Q91" si="239">Q52/Q25</f>
        <v>7.1999999999999998E-3</v>
      </c>
      <c r="R91" s="118">
        <f t="shared" si="221"/>
        <v>-8.6723694954979558E-2</v>
      </c>
      <c r="S91" s="20"/>
      <c r="T91" s="152">
        <f t="shared" ref="T91:AC91" si="240">T52/T25</f>
        <v>7.2000000000000154E-3</v>
      </c>
      <c r="U91" s="152">
        <f t="shared" si="240"/>
        <v>7.2000000000000206E-3</v>
      </c>
      <c r="V91" s="152">
        <f t="shared" si="240"/>
        <v>7.1999999999999825E-3</v>
      </c>
      <c r="W91" s="152">
        <f t="shared" si="240"/>
        <v>7.2000000000000224E-3</v>
      </c>
      <c r="X91" s="152">
        <f t="shared" si="240"/>
        <v>7.2000000000000518E-3</v>
      </c>
      <c r="Y91" s="152">
        <f t="shared" si="240"/>
        <v>7.2000000000000666E-3</v>
      </c>
      <c r="Z91" s="152">
        <f t="shared" si="240"/>
        <v>7.2000000000000874E-3</v>
      </c>
      <c r="AA91" s="152">
        <f t="shared" si="240"/>
        <v>7.2000000000000857E-3</v>
      </c>
      <c r="AB91" s="152">
        <f t="shared" si="240"/>
        <v>7.2000000000000579E-3</v>
      </c>
      <c r="AC91" s="152">
        <f t="shared" si="240"/>
        <v>7.2000000000000631E-3</v>
      </c>
      <c r="AD91" s="138">
        <f t="shared" si="223"/>
        <v>-0.13268599759004895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0</v>
      </c>
      <c r="H93" s="152">
        <f t="shared" ref="H93:P93" si="241">H29/H25</f>
        <v>0</v>
      </c>
      <c r="I93" s="152">
        <f t="shared" si="241"/>
        <v>0</v>
      </c>
      <c r="J93" s="152">
        <f t="shared" si="241"/>
        <v>0</v>
      </c>
      <c r="K93" s="152">
        <f t="shared" si="241"/>
        <v>0</v>
      </c>
      <c r="L93" s="152">
        <f t="shared" si="241"/>
        <v>0</v>
      </c>
      <c r="M93" s="152">
        <f t="shared" si="241"/>
        <v>0</v>
      </c>
      <c r="N93" s="152">
        <f t="shared" si="241"/>
        <v>0</v>
      </c>
      <c r="O93" s="152">
        <f t="shared" si="241"/>
        <v>0</v>
      </c>
      <c r="P93" s="152">
        <f t="shared" si="241"/>
        <v>0</v>
      </c>
      <c r="Q93" s="152">
        <f t="shared" ref="Q93" si="242">Q29/Q25</f>
        <v>0</v>
      </c>
      <c r="R93" s="118" t="e">
        <f t="shared" si="221"/>
        <v>#DIV/0!</v>
      </c>
      <c r="S93" s="20"/>
      <c r="T93" s="152">
        <f t="shared" ref="T93:AC93" si="243">T29/T25</f>
        <v>0</v>
      </c>
      <c r="U93" s="152">
        <f t="shared" si="243"/>
        <v>0</v>
      </c>
      <c r="V93" s="152">
        <f t="shared" si="243"/>
        <v>0</v>
      </c>
      <c r="W93" s="152">
        <f t="shared" si="243"/>
        <v>0</v>
      </c>
      <c r="X93" s="152">
        <f t="shared" si="243"/>
        <v>0</v>
      </c>
      <c r="Y93" s="152">
        <f t="shared" si="243"/>
        <v>0</v>
      </c>
      <c r="Z93" s="152">
        <f t="shared" si="243"/>
        <v>0</v>
      </c>
      <c r="AA93" s="152">
        <f t="shared" si="243"/>
        <v>0</v>
      </c>
      <c r="AB93" s="152">
        <f t="shared" si="243"/>
        <v>0</v>
      </c>
      <c r="AC93" s="152">
        <f t="shared" si="243"/>
        <v>0</v>
      </c>
      <c r="AD93" s="138" t="e">
        <f t="shared" si="223"/>
        <v>#DIV/0!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</v>
      </c>
      <c r="H94" s="152">
        <f t="shared" ref="H94:P94" si="244">H29/H36</f>
        <v>0</v>
      </c>
      <c r="I94" s="152">
        <f t="shared" si="244"/>
        <v>0</v>
      </c>
      <c r="J94" s="152">
        <f t="shared" si="244"/>
        <v>0</v>
      </c>
      <c r="K94" s="152">
        <f t="shared" si="244"/>
        <v>0</v>
      </c>
      <c r="L94" s="152">
        <f t="shared" si="244"/>
        <v>0</v>
      </c>
      <c r="M94" s="152">
        <f t="shared" si="244"/>
        <v>0</v>
      </c>
      <c r="N94" s="152">
        <f t="shared" si="244"/>
        <v>0</v>
      </c>
      <c r="O94" s="152">
        <f t="shared" si="244"/>
        <v>0</v>
      </c>
      <c r="P94" s="152">
        <f t="shared" si="244"/>
        <v>0</v>
      </c>
      <c r="Q94" s="152">
        <f t="shared" ref="Q94" si="245">Q29/Q36</f>
        <v>0</v>
      </c>
      <c r="R94" s="118" t="e">
        <f t="shared" ref="R94" si="246">((P94/G94)^(1/($H$2-$H$1) ))-1</f>
        <v>#DIV/0!</v>
      </c>
      <c r="S94" s="20"/>
      <c r="T94" s="152">
        <f t="shared" ref="T94:AC94" si="247">T29/T36</f>
        <v>0</v>
      </c>
      <c r="U94" s="152">
        <f t="shared" si="247"/>
        <v>0</v>
      </c>
      <c r="V94" s="152">
        <f t="shared" si="247"/>
        <v>0</v>
      </c>
      <c r="W94" s="152">
        <f t="shared" si="247"/>
        <v>0</v>
      </c>
      <c r="X94" s="152">
        <f t="shared" si="247"/>
        <v>0</v>
      </c>
      <c r="Y94" s="152">
        <f t="shared" si="247"/>
        <v>0</v>
      </c>
      <c r="Z94" s="152">
        <f t="shared" si="247"/>
        <v>0</v>
      </c>
      <c r="AA94" s="152">
        <f t="shared" si="247"/>
        <v>0</v>
      </c>
      <c r="AB94" s="152">
        <f t="shared" si="247"/>
        <v>0</v>
      </c>
      <c r="AC94" s="152">
        <f t="shared" si="247"/>
        <v>0</v>
      </c>
      <c r="AD94" s="138" t="e">
        <f t="shared" ref="AD94" si="248">((AC94/G94)^(1/($AC$3-$H$1) ))-1</f>
        <v>#DIV/0!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49">G29/G40</f>
        <v>0</v>
      </c>
      <c r="H95" s="171">
        <f t="shared" si="249"/>
        <v>0</v>
      </c>
      <c r="I95" s="171">
        <f t="shared" si="249"/>
        <v>0</v>
      </c>
      <c r="J95" s="171">
        <f t="shared" si="249"/>
        <v>0</v>
      </c>
      <c r="K95" s="171">
        <f t="shared" si="249"/>
        <v>0</v>
      </c>
      <c r="L95" s="171">
        <f t="shared" si="249"/>
        <v>0</v>
      </c>
      <c r="M95" s="171">
        <f t="shared" si="249"/>
        <v>0</v>
      </c>
      <c r="N95" s="171">
        <f t="shared" si="249"/>
        <v>0</v>
      </c>
      <c r="O95" s="171">
        <f t="shared" si="249"/>
        <v>0</v>
      </c>
      <c r="P95" s="171">
        <f t="shared" si="249"/>
        <v>0</v>
      </c>
      <c r="Q95" s="171">
        <f t="shared" ref="Q95" si="250">Q29/Q40</f>
        <v>0</v>
      </c>
      <c r="R95" s="118" t="e">
        <f t="shared" ref="R95" si="251">((P95/G95)^(1/($H$2-$H$1) ))-1</f>
        <v>#DIV/0!</v>
      </c>
      <c r="S95" s="20"/>
      <c r="T95" s="171">
        <f t="shared" ref="T95:AC95" si="252">T29/T40</f>
        <v>0</v>
      </c>
      <c r="U95" s="171">
        <f t="shared" si="252"/>
        <v>0</v>
      </c>
      <c r="V95" s="171">
        <f t="shared" si="252"/>
        <v>0</v>
      </c>
      <c r="W95" s="171">
        <f t="shared" si="252"/>
        <v>0</v>
      </c>
      <c r="X95" s="171">
        <f t="shared" si="252"/>
        <v>0</v>
      </c>
      <c r="Y95" s="171">
        <f t="shared" si="252"/>
        <v>0</v>
      </c>
      <c r="Z95" s="171">
        <f t="shared" si="252"/>
        <v>0</v>
      </c>
      <c r="AA95" s="171">
        <f t="shared" si="252"/>
        <v>0</v>
      </c>
      <c r="AB95" s="171">
        <f t="shared" si="252"/>
        <v>0</v>
      </c>
      <c r="AC95" s="171">
        <f t="shared" si="252"/>
        <v>0</v>
      </c>
      <c r="AD95" s="138" t="e">
        <f t="shared" ref="AD95" si="253">((AC95/G95)^(1/($AC$3-$H$1) ))-1</f>
        <v>#DIV/0!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54">G29/G12</f>
        <v>0</v>
      </c>
      <c r="H96" s="171">
        <f t="shared" si="254"/>
        <v>0</v>
      </c>
      <c r="I96" s="171">
        <f t="shared" si="254"/>
        <v>0</v>
      </c>
      <c r="J96" s="171">
        <f t="shared" si="254"/>
        <v>0</v>
      </c>
      <c r="K96" s="171">
        <f t="shared" si="254"/>
        <v>0</v>
      </c>
      <c r="L96" s="171">
        <f t="shared" si="254"/>
        <v>0</v>
      </c>
      <c r="M96" s="171">
        <f t="shared" si="254"/>
        <v>0</v>
      </c>
      <c r="N96" s="171">
        <f t="shared" si="254"/>
        <v>0</v>
      </c>
      <c r="O96" s="171">
        <f t="shared" si="254"/>
        <v>0</v>
      </c>
      <c r="P96" s="171">
        <f t="shared" si="254"/>
        <v>0</v>
      </c>
      <c r="Q96" s="171">
        <f t="shared" ref="Q96" si="255">Q29/Q12</f>
        <v>0</v>
      </c>
      <c r="R96" s="118" t="e">
        <f t="shared" si="221"/>
        <v>#DIV/0!</v>
      </c>
      <c r="S96" s="20"/>
      <c r="T96" s="152">
        <f t="shared" ref="T96:AC96" si="256">T29/T12</f>
        <v>0</v>
      </c>
      <c r="U96" s="152">
        <f t="shared" si="256"/>
        <v>0</v>
      </c>
      <c r="V96" s="152">
        <f t="shared" si="256"/>
        <v>0</v>
      </c>
      <c r="W96" s="152">
        <f t="shared" si="256"/>
        <v>0</v>
      </c>
      <c r="X96" s="152">
        <f t="shared" si="256"/>
        <v>0</v>
      </c>
      <c r="Y96" s="152">
        <f t="shared" si="256"/>
        <v>0</v>
      </c>
      <c r="Z96" s="152">
        <f t="shared" si="256"/>
        <v>0</v>
      </c>
      <c r="AA96" s="152">
        <f t="shared" si="256"/>
        <v>0</v>
      </c>
      <c r="AB96" s="152">
        <f t="shared" si="256"/>
        <v>0</v>
      </c>
      <c r="AC96" s="152">
        <f t="shared" si="256"/>
        <v>0</v>
      </c>
      <c r="AD96" s="138" t="e">
        <f t="shared" si="223"/>
        <v>#DIV/0!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0</v>
      </c>
      <c r="H97" s="171">
        <f t="shared" ref="H97:P97" si="257">H29/H23</f>
        <v>0</v>
      </c>
      <c r="I97" s="171">
        <f t="shared" si="257"/>
        <v>0</v>
      </c>
      <c r="J97" s="171">
        <f t="shared" si="257"/>
        <v>0</v>
      </c>
      <c r="K97" s="171">
        <f t="shared" si="257"/>
        <v>0</v>
      </c>
      <c r="L97" s="171">
        <f t="shared" si="257"/>
        <v>0</v>
      </c>
      <c r="M97" s="171">
        <f t="shared" si="257"/>
        <v>0</v>
      </c>
      <c r="N97" s="171">
        <f t="shared" si="257"/>
        <v>0</v>
      </c>
      <c r="O97" s="171">
        <f t="shared" si="257"/>
        <v>0</v>
      </c>
      <c r="P97" s="171">
        <f t="shared" si="257"/>
        <v>0</v>
      </c>
      <c r="Q97" s="171">
        <f t="shared" ref="Q97" si="258">Q29/Q23</f>
        <v>0</v>
      </c>
      <c r="R97" s="118" t="e">
        <f t="shared" ref="R97" si="259">((P97/G97)^(1/($H$2-$H$1) ))-1</f>
        <v>#DIV/0!</v>
      </c>
      <c r="S97" s="20"/>
      <c r="T97" s="171">
        <f t="shared" ref="T97:AC97" si="260">T29/T23</f>
        <v>0</v>
      </c>
      <c r="U97" s="171">
        <f t="shared" si="260"/>
        <v>0</v>
      </c>
      <c r="V97" s="171">
        <f t="shared" si="260"/>
        <v>0</v>
      </c>
      <c r="W97" s="171">
        <f t="shared" si="260"/>
        <v>0</v>
      </c>
      <c r="X97" s="171">
        <f t="shared" si="260"/>
        <v>0</v>
      </c>
      <c r="Y97" s="171">
        <f t="shared" si="260"/>
        <v>0</v>
      </c>
      <c r="Z97" s="171">
        <f t="shared" si="260"/>
        <v>0</v>
      </c>
      <c r="AA97" s="171">
        <f t="shared" si="260"/>
        <v>0</v>
      </c>
      <c r="AB97" s="171">
        <f t="shared" si="260"/>
        <v>0</v>
      </c>
      <c r="AC97" s="171">
        <f t="shared" si="260"/>
        <v>0</v>
      </c>
      <c r="AD97" s="138" t="e">
        <f t="shared" ref="AD97" si="261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 t="e">
        <f>1/G93</f>
        <v>#DIV/0!</v>
      </c>
      <c r="H99" s="127" t="e">
        <f t="shared" ref="H99:P99" si="262">1/H93</f>
        <v>#DIV/0!</v>
      </c>
      <c r="I99" s="127" t="e">
        <f t="shared" si="262"/>
        <v>#DIV/0!</v>
      </c>
      <c r="J99" s="127" t="e">
        <f t="shared" si="262"/>
        <v>#DIV/0!</v>
      </c>
      <c r="K99" s="127" t="e">
        <f t="shared" si="262"/>
        <v>#DIV/0!</v>
      </c>
      <c r="L99" s="127" t="e">
        <f t="shared" si="262"/>
        <v>#DIV/0!</v>
      </c>
      <c r="M99" s="127" t="e">
        <f t="shared" si="262"/>
        <v>#DIV/0!</v>
      </c>
      <c r="N99" s="127" t="e">
        <f t="shared" si="262"/>
        <v>#DIV/0!</v>
      </c>
      <c r="O99" s="127" t="e">
        <f t="shared" si="262"/>
        <v>#DIV/0!</v>
      </c>
      <c r="P99" s="127" t="e">
        <f t="shared" si="262"/>
        <v>#DIV/0!</v>
      </c>
      <c r="Q99" s="127" t="e">
        <f t="shared" ref="Q99" si="263">1/Q93</f>
        <v>#DIV/0!</v>
      </c>
      <c r="R99" s="118" t="e">
        <f t="shared" si="221"/>
        <v>#DIV/0!</v>
      </c>
      <c r="S99" s="20"/>
      <c r="T99" s="127" t="e">
        <f t="shared" ref="T99:AC99" si="264">1/T93</f>
        <v>#DIV/0!</v>
      </c>
      <c r="U99" s="127" t="e">
        <f t="shared" si="264"/>
        <v>#DIV/0!</v>
      </c>
      <c r="V99" s="127" t="e">
        <f t="shared" si="264"/>
        <v>#DIV/0!</v>
      </c>
      <c r="W99" s="127" t="e">
        <f t="shared" si="264"/>
        <v>#DIV/0!</v>
      </c>
      <c r="X99" s="127" t="e">
        <f t="shared" si="264"/>
        <v>#DIV/0!</v>
      </c>
      <c r="Y99" s="127" t="e">
        <f t="shared" si="264"/>
        <v>#DIV/0!</v>
      </c>
      <c r="Z99" s="127" t="e">
        <f t="shared" si="264"/>
        <v>#DIV/0!</v>
      </c>
      <c r="AA99" s="127" t="e">
        <f t="shared" si="264"/>
        <v>#DIV/0!</v>
      </c>
      <c r="AB99" s="127" t="e">
        <f t="shared" si="264"/>
        <v>#DIV/0!</v>
      </c>
      <c r="AC99" s="127" t="e">
        <f t="shared" si="264"/>
        <v>#DIV/0!</v>
      </c>
      <c r="AD99" s="138" t="e">
        <f t="shared" si="223"/>
        <v>#DIV/0!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 t="e">
        <f t="shared" ref="G100:P103" si="265">1/G94</f>
        <v>#DIV/0!</v>
      </c>
      <c r="H100" s="127" t="e">
        <f t="shared" si="265"/>
        <v>#DIV/0!</v>
      </c>
      <c r="I100" s="127" t="e">
        <f t="shared" si="265"/>
        <v>#DIV/0!</v>
      </c>
      <c r="J100" s="127" t="e">
        <f t="shared" si="265"/>
        <v>#DIV/0!</v>
      </c>
      <c r="K100" s="127" t="e">
        <f t="shared" si="265"/>
        <v>#DIV/0!</v>
      </c>
      <c r="L100" s="127" t="e">
        <f t="shared" si="265"/>
        <v>#DIV/0!</v>
      </c>
      <c r="M100" s="127" t="e">
        <f t="shared" si="265"/>
        <v>#DIV/0!</v>
      </c>
      <c r="N100" s="127" t="e">
        <f t="shared" si="265"/>
        <v>#DIV/0!</v>
      </c>
      <c r="O100" s="127" t="e">
        <f t="shared" si="265"/>
        <v>#DIV/0!</v>
      </c>
      <c r="P100" s="127" t="e">
        <f t="shared" si="265"/>
        <v>#DIV/0!</v>
      </c>
      <c r="Q100" s="127" t="e">
        <f t="shared" ref="Q100" si="266">1/Q94</f>
        <v>#DIV/0!</v>
      </c>
      <c r="R100" s="118" t="e">
        <f t="shared" si="221"/>
        <v>#DIV/0!</v>
      </c>
      <c r="S100" s="20"/>
      <c r="T100" s="127" t="e">
        <f t="shared" ref="T100:AC100" si="267">1/T94</f>
        <v>#DIV/0!</v>
      </c>
      <c r="U100" s="127" t="e">
        <f t="shared" si="267"/>
        <v>#DIV/0!</v>
      </c>
      <c r="V100" s="127" t="e">
        <f t="shared" si="267"/>
        <v>#DIV/0!</v>
      </c>
      <c r="W100" s="127" t="e">
        <f t="shared" si="267"/>
        <v>#DIV/0!</v>
      </c>
      <c r="X100" s="127" t="e">
        <f t="shared" si="267"/>
        <v>#DIV/0!</v>
      </c>
      <c r="Y100" s="127" t="e">
        <f t="shared" si="267"/>
        <v>#DIV/0!</v>
      </c>
      <c r="Z100" s="127" t="e">
        <f t="shared" si="267"/>
        <v>#DIV/0!</v>
      </c>
      <c r="AA100" s="127" t="e">
        <f t="shared" si="267"/>
        <v>#DIV/0!</v>
      </c>
      <c r="AB100" s="127" t="e">
        <f t="shared" si="267"/>
        <v>#DIV/0!</v>
      </c>
      <c r="AC100" s="127" t="e">
        <f t="shared" si="267"/>
        <v>#DIV/0!</v>
      </c>
      <c r="AD100" s="138" t="e">
        <f t="shared" si="223"/>
        <v>#DIV/0!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 t="e">
        <f t="shared" si="265"/>
        <v>#DIV/0!</v>
      </c>
      <c r="H101" s="127" t="e">
        <f t="shared" si="265"/>
        <v>#DIV/0!</v>
      </c>
      <c r="I101" s="127" t="e">
        <f t="shared" si="265"/>
        <v>#DIV/0!</v>
      </c>
      <c r="J101" s="127" t="e">
        <f t="shared" si="265"/>
        <v>#DIV/0!</v>
      </c>
      <c r="K101" s="127" t="e">
        <f t="shared" si="265"/>
        <v>#DIV/0!</v>
      </c>
      <c r="L101" s="127" t="e">
        <f t="shared" si="265"/>
        <v>#DIV/0!</v>
      </c>
      <c r="M101" s="127" t="e">
        <f t="shared" si="265"/>
        <v>#DIV/0!</v>
      </c>
      <c r="N101" s="127" t="e">
        <f t="shared" si="265"/>
        <v>#DIV/0!</v>
      </c>
      <c r="O101" s="127" t="e">
        <f t="shared" si="265"/>
        <v>#DIV/0!</v>
      </c>
      <c r="P101" s="127" t="e">
        <f t="shared" si="265"/>
        <v>#DIV/0!</v>
      </c>
      <c r="Q101" s="127" t="e">
        <f t="shared" ref="Q101" si="268">1/Q95</f>
        <v>#DIV/0!</v>
      </c>
      <c r="R101" s="118" t="e">
        <f t="shared" si="221"/>
        <v>#DIV/0!</v>
      </c>
      <c r="S101" s="20"/>
      <c r="T101" s="127" t="e">
        <f t="shared" ref="T101:AC101" si="269">1/T95</f>
        <v>#DIV/0!</v>
      </c>
      <c r="U101" s="127" t="e">
        <f t="shared" si="269"/>
        <v>#DIV/0!</v>
      </c>
      <c r="V101" s="127" t="e">
        <f t="shared" si="269"/>
        <v>#DIV/0!</v>
      </c>
      <c r="W101" s="127" t="e">
        <f t="shared" si="269"/>
        <v>#DIV/0!</v>
      </c>
      <c r="X101" s="127" t="e">
        <f t="shared" si="269"/>
        <v>#DIV/0!</v>
      </c>
      <c r="Y101" s="127" t="e">
        <f t="shared" si="269"/>
        <v>#DIV/0!</v>
      </c>
      <c r="Z101" s="127" t="e">
        <f t="shared" si="269"/>
        <v>#DIV/0!</v>
      </c>
      <c r="AA101" s="127" t="e">
        <f t="shared" si="269"/>
        <v>#DIV/0!</v>
      </c>
      <c r="AB101" s="127" t="e">
        <f t="shared" si="269"/>
        <v>#DIV/0!</v>
      </c>
      <c r="AC101" s="127" t="e">
        <f t="shared" si="269"/>
        <v>#DIV/0!</v>
      </c>
      <c r="AD101" s="138" t="e">
        <f t="shared" si="223"/>
        <v>#DIV/0!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 t="e">
        <f t="shared" si="265"/>
        <v>#DIV/0!</v>
      </c>
      <c r="H102" s="127" t="e">
        <f t="shared" si="265"/>
        <v>#DIV/0!</v>
      </c>
      <c r="I102" s="127" t="e">
        <f t="shared" si="265"/>
        <v>#DIV/0!</v>
      </c>
      <c r="J102" s="127" t="e">
        <f t="shared" si="265"/>
        <v>#DIV/0!</v>
      </c>
      <c r="K102" s="127" t="e">
        <f t="shared" si="265"/>
        <v>#DIV/0!</v>
      </c>
      <c r="L102" s="127" t="e">
        <f t="shared" si="265"/>
        <v>#DIV/0!</v>
      </c>
      <c r="M102" s="127" t="e">
        <f t="shared" si="265"/>
        <v>#DIV/0!</v>
      </c>
      <c r="N102" s="127" t="e">
        <f t="shared" si="265"/>
        <v>#DIV/0!</v>
      </c>
      <c r="O102" s="127" t="e">
        <f t="shared" si="265"/>
        <v>#DIV/0!</v>
      </c>
      <c r="P102" s="127" t="e">
        <f t="shared" si="265"/>
        <v>#DIV/0!</v>
      </c>
      <c r="Q102" s="127" t="e">
        <f t="shared" ref="Q102" si="270">1/Q96</f>
        <v>#DIV/0!</v>
      </c>
      <c r="R102" s="118" t="e">
        <f t="shared" si="221"/>
        <v>#DIV/0!</v>
      </c>
      <c r="S102" s="20"/>
      <c r="T102" s="127" t="e">
        <f t="shared" ref="T102:AC102" si="271">1/T96</f>
        <v>#DIV/0!</v>
      </c>
      <c r="U102" s="127" t="e">
        <f t="shared" si="271"/>
        <v>#DIV/0!</v>
      </c>
      <c r="V102" s="127" t="e">
        <f t="shared" si="271"/>
        <v>#DIV/0!</v>
      </c>
      <c r="W102" s="127" t="e">
        <f t="shared" si="271"/>
        <v>#DIV/0!</v>
      </c>
      <c r="X102" s="127" t="e">
        <f t="shared" si="271"/>
        <v>#DIV/0!</v>
      </c>
      <c r="Y102" s="127" t="e">
        <f t="shared" si="271"/>
        <v>#DIV/0!</v>
      </c>
      <c r="Z102" s="127" t="e">
        <f t="shared" si="271"/>
        <v>#DIV/0!</v>
      </c>
      <c r="AA102" s="127" t="e">
        <f t="shared" si="271"/>
        <v>#DIV/0!</v>
      </c>
      <c r="AB102" s="127" t="e">
        <f t="shared" si="271"/>
        <v>#DIV/0!</v>
      </c>
      <c r="AC102" s="127" t="e">
        <f t="shared" si="271"/>
        <v>#DIV/0!</v>
      </c>
      <c r="AD102" s="138" t="e">
        <f t="shared" si="223"/>
        <v>#DIV/0!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65"/>
        <v>#DIV/0!</v>
      </c>
      <c r="H103" s="127" t="e">
        <f t="shared" si="265"/>
        <v>#DIV/0!</v>
      </c>
      <c r="I103" s="127" t="e">
        <f t="shared" si="265"/>
        <v>#DIV/0!</v>
      </c>
      <c r="J103" s="127" t="e">
        <f t="shared" si="265"/>
        <v>#DIV/0!</v>
      </c>
      <c r="K103" s="127" t="e">
        <f t="shared" si="265"/>
        <v>#DIV/0!</v>
      </c>
      <c r="L103" s="127" t="e">
        <f t="shared" si="265"/>
        <v>#DIV/0!</v>
      </c>
      <c r="M103" s="127" t="e">
        <f t="shared" si="265"/>
        <v>#DIV/0!</v>
      </c>
      <c r="N103" s="127" t="e">
        <f t="shared" si="265"/>
        <v>#DIV/0!</v>
      </c>
      <c r="O103" s="127" t="e">
        <f t="shared" si="265"/>
        <v>#DIV/0!</v>
      </c>
      <c r="P103" s="127" t="e">
        <f t="shared" si="265"/>
        <v>#DIV/0!</v>
      </c>
      <c r="Q103" s="127" t="e">
        <f t="shared" ref="Q103" si="272">1/Q97</f>
        <v>#DIV/0!</v>
      </c>
      <c r="R103" s="118" t="e">
        <f t="shared" si="221"/>
        <v>#DIV/0!</v>
      </c>
      <c r="S103" s="20"/>
      <c r="T103" s="127" t="e">
        <f t="shared" ref="T103:AC103" si="273">1/T97</f>
        <v>#DIV/0!</v>
      </c>
      <c r="U103" s="127" t="e">
        <f t="shared" si="273"/>
        <v>#DIV/0!</v>
      </c>
      <c r="V103" s="127" t="e">
        <f t="shared" si="273"/>
        <v>#DIV/0!</v>
      </c>
      <c r="W103" s="127" t="e">
        <f t="shared" si="273"/>
        <v>#DIV/0!</v>
      </c>
      <c r="X103" s="127" t="e">
        <f t="shared" si="273"/>
        <v>#DIV/0!</v>
      </c>
      <c r="Y103" s="127" t="e">
        <f t="shared" si="273"/>
        <v>#DIV/0!</v>
      </c>
      <c r="Z103" s="127" t="e">
        <f t="shared" si="273"/>
        <v>#DIV/0!</v>
      </c>
      <c r="AA103" s="127" t="e">
        <f t="shared" si="273"/>
        <v>#DIV/0!</v>
      </c>
      <c r="AB103" s="127" t="e">
        <f t="shared" si="273"/>
        <v>#DIV/0!</v>
      </c>
      <c r="AC103" s="127" t="e">
        <f t="shared" si="273"/>
        <v>#DIV/0!</v>
      </c>
      <c r="AD103" s="138" t="e">
        <f t="shared" si="223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74">F10-(F12+F13)</f>
        <v>0</v>
      </c>
      <c r="G106" s="163">
        <f t="shared" si="274"/>
        <v>-62.169999999999995</v>
      </c>
      <c r="H106" s="163">
        <f t="shared" si="274"/>
        <v>-77.5</v>
      </c>
      <c r="I106" s="163">
        <f t="shared" si="274"/>
        <v>-78</v>
      </c>
      <c r="J106" s="163">
        <f t="shared" si="274"/>
        <v>-139.6</v>
      </c>
      <c r="K106" s="163">
        <f t="shared" si="274"/>
        <v>-240</v>
      </c>
      <c r="L106" s="163">
        <f t="shared" si="274"/>
        <v>-263</v>
      </c>
      <c r="M106" s="163">
        <f t="shared" si="274"/>
        <v>-187.5</v>
      </c>
      <c r="N106" s="163">
        <f t="shared" si="274"/>
        <v>-273.85000000000002</v>
      </c>
      <c r="O106" s="163">
        <f t="shared" si="274"/>
        <v>-268</v>
      </c>
      <c r="P106" s="163">
        <f>P10-(P12+P13)</f>
        <v>-268</v>
      </c>
      <c r="Q106" s="163">
        <f>Q10-(Q12+Q13)</f>
        <v>-268</v>
      </c>
      <c r="R106" s="118">
        <f t="shared" si="221"/>
        <v>0.1762672132341645</v>
      </c>
      <c r="S106" s="20"/>
      <c r="T106" s="163">
        <f>T10-(T12+T13)</f>
        <v>-308.2</v>
      </c>
      <c r="U106" s="163">
        <f t="shared" ref="U106:AC106" si="275">U10-(U12+U13)</f>
        <v>-354.42999999999995</v>
      </c>
      <c r="V106" s="163">
        <f t="shared" si="275"/>
        <v>-407.59449999999993</v>
      </c>
      <c r="W106" s="163">
        <f t="shared" si="275"/>
        <v>-468.73367499999983</v>
      </c>
      <c r="X106" s="163">
        <f t="shared" si="275"/>
        <v>-539.04372624999974</v>
      </c>
      <c r="Y106" s="163">
        <f t="shared" si="275"/>
        <v>-619.90028518749978</v>
      </c>
      <c r="Z106" s="163">
        <f t="shared" si="275"/>
        <v>-712.8853279656247</v>
      </c>
      <c r="AA106" s="163">
        <f t="shared" si="275"/>
        <v>-819.81812716046829</v>
      </c>
      <c r="AB106" s="163">
        <f t="shared" si="275"/>
        <v>-942.79084623453844</v>
      </c>
      <c r="AC106" s="163">
        <f t="shared" si="275"/>
        <v>-1084.2094731697191</v>
      </c>
      <c r="AD106" s="138">
        <f t="shared" si="223"/>
        <v>0.15365676341988022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76">G40/G18</f>
        <v>0.39</v>
      </c>
      <c r="H107" s="152">
        <f t="shared" si="276"/>
        <v>0.52132701421800942</v>
      </c>
      <c r="I107" s="152">
        <f t="shared" si="276"/>
        <v>0.52478632478632481</v>
      </c>
      <c r="J107" s="152">
        <f t="shared" si="276"/>
        <v>0.65116279069767447</v>
      </c>
      <c r="K107" s="152">
        <f t="shared" si="276"/>
        <v>1.1150793650793651</v>
      </c>
      <c r="L107" s="152">
        <f t="shared" si="276"/>
        <v>1.3416666666666666</v>
      </c>
      <c r="M107" s="152">
        <f t="shared" si="276"/>
        <v>0.9151785714285714</v>
      </c>
      <c r="N107" s="152">
        <f t="shared" si="276"/>
        <v>0.91150442477876104</v>
      </c>
      <c r="O107" s="152">
        <f t="shared" si="276"/>
        <v>0.47109207708779444</v>
      </c>
      <c r="P107" s="152">
        <f t="shared" si="276"/>
        <v>3.7721518987341773</v>
      </c>
      <c r="Q107" s="152">
        <f t="shared" ref="Q107" si="277">Q40/Q18</f>
        <v>4.4303797468354427</v>
      </c>
      <c r="R107" s="118">
        <f t="shared" si="221"/>
        <v>0.28677534035169905</v>
      </c>
      <c r="S107" s="20"/>
      <c r="T107" s="152">
        <f t="shared" ref="T107:AC107" si="278">T40/T18</f>
        <v>4.4303797468354427</v>
      </c>
      <c r="U107" s="152">
        <f t="shared" si="278"/>
        <v>4.4303797468354427</v>
      </c>
      <c r="V107" s="152">
        <f t="shared" si="278"/>
        <v>4.4303797468354427</v>
      </c>
      <c r="W107" s="152">
        <f t="shared" si="278"/>
        <v>4.4303797468354418</v>
      </c>
      <c r="X107" s="152">
        <f t="shared" si="278"/>
        <v>4.4303797468354418</v>
      </c>
      <c r="Y107" s="152">
        <f t="shared" si="278"/>
        <v>4.4303797468354418</v>
      </c>
      <c r="Z107" s="152">
        <f t="shared" si="278"/>
        <v>4.4303797468354418</v>
      </c>
      <c r="AA107" s="152">
        <f t="shared" si="278"/>
        <v>4.4303797468354418</v>
      </c>
      <c r="AB107" s="152">
        <f t="shared" si="278"/>
        <v>4.4303797468354427</v>
      </c>
      <c r="AC107" s="152">
        <f t="shared" si="278"/>
        <v>4.4303797468354427</v>
      </c>
      <c r="AD107" s="138">
        <f t="shared" si="223"/>
        <v>0.12919466419994752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279">G40/G25</f>
        <v>0.24575342465753428</v>
      </c>
      <c r="H108" s="152">
        <f t="shared" si="279"/>
        <v>0.2391304347826087</v>
      </c>
      <c r="I108" s="152">
        <f t="shared" si="279"/>
        <v>0.20884353741496597</v>
      </c>
      <c r="J108" s="152">
        <f t="shared" si="279"/>
        <v>0.20638820638820637</v>
      </c>
      <c r="K108" s="152">
        <f t="shared" si="279"/>
        <v>0.26609848484848486</v>
      </c>
      <c r="L108" s="152">
        <f t="shared" si="279"/>
        <v>0.28904847396768402</v>
      </c>
      <c r="M108" s="152">
        <f t="shared" si="279"/>
        <v>0.29369627507163326</v>
      </c>
      <c r="N108" s="152">
        <f t="shared" si="279"/>
        <v>0.24235294117647058</v>
      </c>
      <c r="O108" s="152">
        <f t="shared" si="279"/>
        <v>0.22044088176352705</v>
      </c>
      <c r="P108" s="152">
        <f t="shared" si="279"/>
        <v>0.26798561151079137</v>
      </c>
      <c r="Q108" s="152">
        <f t="shared" ref="Q108" si="280">Q40/Q25</f>
        <v>0.28000000000000003</v>
      </c>
      <c r="R108" s="118">
        <f t="shared" si="221"/>
        <v>9.6691802708281926E-3</v>
      </c>
      <c r="S108" s="20"/>
      <c r="T108" s="152">
        <f t="shared" ref="T108:AC108" si="281">T40/T25</f>
        <v>0.27999999999999997</v>
      </c>
      <c r="U108" s="152">
        <f t="shared" si="281"/>
        <v>0.27999999999999997</v>
      </c>
      <c r="V108" s="152">
        <f t="shared" si="281"/>
        <v>0.27999999999999997</v>
      </c>
      <c r="W108" s="152">
        <f t="shared" si="281"/>
        <v>0.27999999999999997</v>
      </c>
      <c r="X108" s="152">
        <f t="shared" si="281"/>
        <v>0.27999999999999997</v>
      </c>
      <c r="Y108" s="152">
        <f t="shared" si="281"/>
        <v>0.27999999999999997</v>
      </c>
      <c r="Z108" s="152">
        <f t="shared" si="281"/>
        <v>0.27999999999999997</v>
      </c>
      <c r="AA108" s="152">
        <f t="shared" si="281"/>
        <v>0.27999999999999997</v>
      </c>
      <c r="AB108" s="152">
        <f t="shared" si="281"/>
        <v>0.27999999999999997</v>
      </c>
      <c r="AC108" s="152">
        <f t="shared" si="281"/>
        <v>0.27999999999999997</v>
      </c>
      <c r="AD108" s="138">
        <f t="shared" si="223"/>
        <v>6.5443668310505299E-3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82">G25/G18</f>
        <v>1.5869565217391304</v>
      </c>
      <c r="H109" s="152">
        <f t="shared" si="282"/>
        <v>2.1800947867298577</v>
      </c>
      <c r="I109" s="152">
        <f t="shared" si="282"/>
        <v>2.5128205128205128</v>
      </c>
      <c r="J109" s="152">
        <f t="shared" si="282"/>
        <v>3.1550387596899223</v>
      </c>
      <c r="K109" s="152">
        <f t="shared" si="282"/>
        <v>4.1904761904761907</v>
      </c>
      <c r="L109" s="152">
        <f t="shared" si="282"/>
        <v>4.6416666666666666</v>
      </c>
      <c r="M109" s="152">
        <f t="shared" si="282"/>
        <v>3.1160714285714284</v>
      </c>
      <c r="N109" s="152">
        <f t="shared" si="282"/>
        <v>3.7610619469026547</v>
      </c>
      <c r="O109" s="152">
        <f t="shared" si="282"/>
        <v>2.1370449678800858</v>
      </c>
      <c r="P109" s="152">
        <f>P25/P18</f>
        <v>14.075949367088608</v>
      </c>
      <c r="Q109" s="152">
        <f>Q25/Q18</f>
        <v>15.822784810126583</v>
      </c>
      <c r="R109" s="118">
        <f t="shared" si="221"/>
        <v>0.27445243005886488</v>
      </c>
      <c r="S109" s="20"/>
      <c r="T109" s="152">
        <f>T25/T18</f>
        <v>15.822784810126583</v>
      </c>
      <c r="U109" s="152">
        <f t="shared" ref="U109:AC109" si="283">U25/U18</f>
        <v>15.822784810126581</v>
      </c>
      <c r="V109" s="152">
        <f t="shared" si="283"/>
        <v>15.822784810126581</v>
      </c>
      <c r="W109" s="152">
        <f t="shared" si="283"/>
        <v>15.82278481012658</v>
      </c>
      <c r="X109" s="152">
        <f t="shared" si="283"/>
        <v>15.82278481012658</v>
      </c>
      <c r="Y109" s="152">
        <f t="shared" si="283"/>
        <v>15.82278481012658</v>
      </c>
      <c r="Z109" s="152">
        <f t="shared" si="283"/>
        <v>15.82278481012658</v>
      </c>
      <c r="AA109" s="152">
        <f t="shared" si="283"/>
        <v>15.82278481012658</v>
      </c>
      <c r="AB109" s="152">
        <f t="shared" si="283"/>
        <v>15.822784810126581</v>
      </c>
      <c r="AC109" s="152">
        <f t="shared" si="283"/>
        <v>15.822784810126581</v>
      </c>
      <c r="AD109" s="138">
        <f t="shared" si="223"/>
        <v>0.12185284763456816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84">E70*E42</f>
        <v>0</v>
      </c>
      <c r="F111" s="165">
        <f t="shared" si="284"/>
        <v>0</v>
      </c>
      <c r="G111" s="165">
        <f>G70*G42</f>
        <v>6.2929999999999993</v>
      </c>
      <c r="H111" s="165">
        <f t="shared" ref="H111:P111" si="285">H70*H42</f>
        <v>7.9575000000000005</v>
      </c>
      <c r="I111" s="165">
        <f t="shared" si="285"/>
        <v>16.887499999999999</v>
      </c>
      <c r="J111" s="165">
        <f t="shared" si="285"/>
        <v>18.137499999999999</v>
      </c>
      <c r="K111" s="165">
        <f t="shared" si="285"/>
        <v>50.575000000000003</v>
      </c>
      <c r="L111" s="165">
        <f t="shared" si="285"/>
        <v>72.25</v>
      </c>
      <c r="M111" s="165">
        <f t="shared" si="285"/>
        <v>141.94</v>
      </c>
      <c r="N111" s="165">
        <f t="shared" si="285"/>
        <v>77.989999999999995</v>
      </c>
      <c r="O111" s="165">
        <f t="shared" si="285"/>
        <v>112.32</v>
      </c>
      <c r="P111" s="165">
        <f t="shared" si="285"/>
        <v>113.12</v>
      </c>
      <c r="Q111" s="165">
        <f t="shared" ref="Q111" si="286">Q70*Q42</f>
        <v>113.12</v>
      </c>
      <c r="R111" s="118">
        <f t="shared" si="221"/>
        <v>0.37850731131810988</v>
      </c>
      <c r="S111" s="20"/>
      <c r="T111" s="165">
        <f t="shared" ref="T111:AC111" si="287">T70*T42</f>
        <v>119.96376000000002</v>
      </c>
      <c r="U111" s="165">
        <f t="shared" si="287"/>
        <v>127.22156748000002</v>
      </c>
      <c r="V111" s="165">
        <f t="shared" si="287"/>
        <v>134.91847231254002</v>
      </c>
      <c r="W111" s="165">
        <f t="shared" si="287"/>
        <v>143.0810398874487</v>
      </c>
      <c r="X111" s="165">
        <f t="shared" si="287"/>
        <v>151.73744280063937</v>
      </c>
      <c r="Y111" s="165">
        <f t="shared" si="287"/>
        <v>160.91755809007805</v>
      </c>
      <c r="Z111" s="165">
        <f t="shared" si="287"/>
        <v>170.65307035452778</v>
      </c>
      <c r="AA111" s="165">
        <f t="shared" si="287"/>
        <v>180.97758111097673</v>
      </c>
      <c r="AB111" s="165">
        <f t="shared" si="287"/>
        <v>191.92672476819081</v>
      </c>
      <c r="AC111" s="165">
        <f t="shared" si="287"/>
        <v>203.53829161666636</v>
      </c>
      <c r="AD111" s="138">
        <f t="shared" si="223"/>
        <v>0.18984234171363901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8">(G111*0.17)+G111</f>
        <v>7.3628099999999996</v>
      </c>
      <c r="H112" s="165">
        <f t="shared" si="288"/>
        <v>9.3102750000000007</v>
      </c>
      <c r="I112" s="165">
        <f t="shared" si="288"/>
        <v>19.758375000000001</v>
      </c>
      <c r="J112" s="165">
        <f t="shared" si="288"/>
        <v>21.220874999999999</v>
      </c>
      <c r="K112" s="165">
        <f t="shared" si="288"/>
        <v>59.172750000000008</v>
      </c>
      <c r="L112" s="165">
        <f t="shared" si="288"/>
        <v>84.532499999999999</v>
      </c>
      <c r="M112" s="165">
        <f t="shared" si="288"/>
        <v>166.06979999999999</v>
      </c>
      <c r="N112" s="165">
        <f t="shared" si="288"/>
        <v>91.2483</v>
      </c>
      <c r="O112" s="165">
        <f t="shared" si="288"/>
        <v>131.4144</v>
      </c>
      <c r="P112" s="165">
        <f t="shared" si="288"/>
        <v>132.35040000000001</v>
      </c>
      <c r="Q112" s="165">
        <f t="shared" ref="Q112" si="289">(Q111*0.17)+Q111</f>
        <v>132.35040000000001</v>
      </c>
      <c r="R112" s="118">
        <f t="shared" si="221"/>
        <v>0.37850731131810988</v>
      </c>
      <c r="S112" s="20"/>
      <c r="T112" s="165">
        <f t="shared" ref="T112:AC112" si="290">(T111*0.17)+T111</f>
        <v>140.35759920000004</v>
      </c>
      <c r="U112" s="165">
        <f t="shared" si="290"/>
        <v>148.84923395160001</v>
      </c>
      <c r="V112" s="165">
        <f t="shared" si="290"/>
        <v>157.85461260567183</v>
      </c>
      <c r="W112" s="165">
        <f t="shared" si="290"/>
        <v>167.40481666831496</v>
      </c>
      <c r="X112" s="165">
        <f t="shared" si="290"/>
        <v>177.53280807674807</v>
      </c>
      <c r="Y112" s="165">
        <f t="shared" si="290"/>
        <v>188.2735429653913</v>
      </c>
      <c r="Z112" s="165">
        <f t="shared" si="290"/>
        <v>199.6640923147975</v>
      </c>
      <c r="AA112" s="165">
        <f t="shared" si="290"/>
        <v>211.74376989984279</v>
      </c>
      <c r="AB112" s="165">
        <f t="shared" si="290"/>
        <v>224.55426797878326</v>
      </c>
      <c r="AC112" s="165">
        <f t="shared" si="290"/>
        <v>238.13980119149963</v>
      </c>
      <c r="AD112" s="138">
        <f t="shared" si="223"/>
        <v>0.18984234171363901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291">F112/F40</f>
        <v>#DIV/0!</v>
      </c>
      <c r="G113" s="152">
        <f t="shared" si="291"/>
        <v>0.4104130434782608</v>
      </c>
      <c r="H113" s="152">
        <f t="shared" si="291"/>
        <v>0.42319431818181824</v>
      </c>
      <c r="I113" s="152">
        <f t="shared" si="291"/>
        <v>0.32179763843648213</v>
      </c>
      <c r="J113" s="152">
        <f t="shared" si="291"/>
        <v>0.25262946428571426</v>
      </c>
      <c r="K113" s="152">
        <f t="shared" si="291"/>
        <v>0.42115836298932391</v>
      </c>
      <c r="L113" s="152">
        <f t="shared" si="291"/>
        <v>0.52504658385093173</v>
      </c>
      <c r="M113" s="152">
        <f t="shared" si="291"/>
        <v>0.81009658536585361</v>
      </c>
      <c r="N113" s="152">
        <f t="shared" si="291"/>
        <v>0.44295291262135922</v>
      </c>
      <c r="O113" s="152">
        <f t="shared" si="291"/>
        <v>0.59733818181818177</v>
      </c>
      <c r="P113" s="152">
        <f t="shared" si="291"/>
        <v>0.44412885906040273</v>
      </c>
      <c r="Q113" s="152">
        <f t="shared" ref="Q113" si="292">Q112/Q40</f>
        <v>0.37814400000000004</v>
      </c>
      <c r="R113" s="118">
        <f t="shared" si="221"/>
        <v>8.8108857630235793E-3</v>
      </c>
      <c r="S113" s="20"/>
      <c r="T113" s="152">
        <f t="shared" ref="T113:AC113" si="293">T112/T40</f>
        <v>0.34871453217391318</v>
      </c>
      <c r="U113" s="152">
        <f t="shared" si="293"/>
        <v>0.32157544466994342</v>
      </c>
      <c r="V113" s="152">
        <f t="shared" si="293"/>
        <v>0.29654848614997825</v>
      </c>
      <c r="W113" s="152">
        <f t="shared" si="293"/>
        <v>0.27346927788004521</v>
      </c>
      <c r="X113" s="152">
        <f t="shared" si="293"/>
        <v>0.25218623407981572</v>
      </c>
      <c r="Y113" s="152">
        <f t="shared" si="293"/>
        <v>0.23255956629708222</v>
      </c>
      <c r="Z113" s="152">
        <f t="shared" si="293"/>
        <v>0.21446036526787457</v>
      </c>
      <c r="AA113" s="152">
        <f t="shared" si="293"/>
        <v>0.19776975423180959</v>
      </c>
      <c r="AB113" s="152">
        <f t="shared" si="293"/>
        <v>0.18237810814159486</v>
      </c>
      <c r="AC113" s="152">
        <f t="shared" si="293"/>
        <v>0.16818433363840116</v>
      </c>
      <c r="AD113" s="138">
        <f t="shared" si="223"/>
        <v>-4.3624990683592713E-2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0.5895869565217392</v>
      </c>
      <c r="H114" s="152">
        <f t="shared" ref="H114:P114" si="294">1-H113</f>
        <v>0.5768056818181817</v>
      </c>
      <c r="I114" s="152">
        <f t="shared" si="294"/>
        <v>0.67820236156351787</v>
      </c>
      <c r="J114" s="152">
        <f t="shared" si="294"/>
        <v>0.74737053571428569</v>
      </c>
      <c r="K114" s="152">
        <f t="shared" si="294"/>
        <v>0.57884163701067615</v>
      </c>
      <c r="L114" s="152">
        <f t="shared" si="294"/>
        <v>0.47495341614906827</v>
      </c>
      <c r="M114" s="152">
        <f t="shared" si="294"/>
        <v>0.18990341463414639</v>
      </c>
      <c r="N114" s="152">
        <f t="shared" si="294"/>
        <v>0.55704708737864084</v>
      </c>
      <c r="O114" s="152">
        <f t="shared" si="294"/>
        <v>0.40266181818181823</v>
      </c>
      <c r="P114" s="152">
        <f t="shared" si="294"/>
        <v>0.55587114093959733</v>
      </c>
      <c r="Q114" s="152">
        <f t="shared" ref="Q114" si="295">1-Q113</f>
        <v>0.62185599999999996</v>
      </c>
      <c r="R114" s="118">
        <f t="shared" si="221"/>
        <v>-6.5214989572003335E-3</v>
      </c>
      <c r="S114" s="20"/>
      <c r="T114" s="152">
        <f t="shared" ref="T114:AC114" si="296">1-T113</f>
        <v>0.65128546782608687</v>
      </c>
      <c r="U114" s="152">
        <f t="shared" si="296"/>
        <v>0.67842455533005652</v>
      </c>
      <c r="V114" s="152">
        <f t="shared" si="296"/>
        <v>0.70345151385002169</v>
      </c>
      <c r="W114" s="152">
        <f t="shared" si="296"/>
        <v>0.72653072211995484</v>
      </c>
      <c r="X114" s="152">
        <f t="shared" si="296"/>
        <v>0.74781376592018423</v>
      </c>
      <c r="Y114" s="152">
        <f t="shared" si="296"/>
        <v>0.76744043370291781</v>
      </c>
      <c r="Z114" s="152">
        <f t="shared" si="296"/>
        <v>0.7855396347321254</v>
      </c>
      <c r="AA114" s="152">
        <f t="shared" si="296"/>
        <v>0.80223024576819046</v>
      </c>
      <c r="AB114" s="152">
        <f t="shared" si="296"/>
        <v>0.81762189185840517</v>
      </c>
      <c r="AC114" s="152">
        <f t="shared" si="296"/>
        <v>0.83181566636159887</v>
      </c>
      <c r="AD114" s="138">
        <f t="shared" si="223"/>
        <v>1.7358367584702883E-2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 t="e">
        <f t="shared" ref="F115:P115" si="297">F112/F20</f>
        <v>#DIV/0!</v>
      </c>
      <c r="G115" s="152">
        <f t="shared" si="297"/>
        <v>0.31464999999999999</v>
      </c>
      <c r="H115" s="152">
        <f t="shared" si="297"/>
        <v>0.44334642857142859</v>
      </c>
      <c r="I115" s="152">
        <f t="shared" si="297"/>
        <v>0.79033500000000001</v>
      </c>
      <c r="J115" s="152">
        <f t="shared" si="297"/>
        <v>0.4003938679245283</v>
      </c>
      <c r="K115" s="152">
        <f t="shared" si="297"/>
        <v>0.4319178832116789</v>
      </c>
      <c r="L115" s="152">
        <f t="shared" si="297"/>
        <v>0.48029829545454544</v>
      </c>
      <c r="M115" s="152">
        <f t="shared" si="297"/>
        <v>1.2301466666666665</v>
      </c>
      <c r="N115" s="152">
        <f t="shared" si="297"/>
        <v>0.38339621848739497</v>
      </c>
      <c r="O115" s="152">
        <f t="shared" si="297"/>
        <v>0.88197583892617448</v>
      </c>
      <c r="P115" s="152">
        <f t="shared" si="297"/>
        <v>0.90650958904109591</v>
      </c>
      <c r="Q115" s="152">
        <f>Q112/Q20</f>
        <v>0.90650958904109591</v>
      </c>
      <c r="R115" s="118">
        <f t="shared" si="221"/>
        <v>0.12476169741164767</v>
      </c>
      <c r="S115" s="20"/>
      <c r="T115" s="152">
        <f>T112/T20</f>
        <v>0.83595949493746313</v>
      </c>
      <c r="U115" s="152">
        <f t="shared" ref="U115:AC115" si="298">U112/U20</f>
        <v>0.77090003859233003</v>
      </c>
      <c r="V115" s="152">
        <f t="shared" si="298"/>
        <v>0.71090390515405755</v>
      </c>
      <c r="W115" s="152">
        <f t="shared" si="298"/>
        <v>0.65557703601380701</v>
      </c>
      <c r="X115" s="152">
        <f t="shared" si="298"/>
        <v>0.60455604060229784</v>
      </c>
      <c r="Y115" s="152">
        <f t="shared" si="298"/>
        <v>0.55750580961629281</v>
      </c>
      <c r="Z115" s="152">
        <f t="shared" si="298"/>
        <v>0.51411731399832927</v>
      </c>
      <c r="AA115" s="152">
        <f t="shared" si="298"/>
        <v>0.47410557521324204</v>
      </c>
      <c r="AB115" s="152">
        <f t="shared" si="298"/>
        <v>0.43720779349012445</v>
      </c>
      <c r="AC115" s="152">
        <f t="shared" si="298"/>
        <v>0.403181621735893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299">H31/H25</f>
        <v>0</v>
      </c>
      <c r="I117" s="152">
        <f t="shared" si="299"/>
        <v>0</v>
      </c>
      <c r="J117" s="152">
        <f t="shared" si="299"/>
        <v>0</v>
      </c>
      <c r="K117" s="152">
        <f t="shared" si="299"/>
        <v>0</v>
      </c>
      <c r="L117" s="152">
        <f t="shared" si="299"/>
        <v>0</v>
      </c>
      <c r="M117" s="152">
        <f t="shared" si="299"/>
        <v>0</v>
      </c>
      <c r="N117" s="152">
        <f t="shared" si="299"/>
        <v>0</v>
      </c>
      <c r="O117" s="152">
        <f t="shared" si="299"/>
        <v>0</v>
      </c>
      <c r="P117" s="152">
        <f t="shared" si="299"/>
        <v>0</v>
      </c>
      <c r="Q117" s="152">
        <f t="shared" ref="Q117" si="300">Q31/Q25</f>
        <v>0</v>
      </c>
      <c r="R117" s="118" t="e">
        <f t="shared" si="221"/>
        <v>#DIV/0!</v>
      </c>
      <c r="S117" s="20"/>
      <c r="T117" s="152">
        <f t="shared" ref="T117:AC117" si="301">T31/T25</f>
        <v>0</v>
      </c>
      <c r="U117" s="152">
        <f t="shared" si="301"/>
        <v>0</v>
      </c>
      <c r="V117" s="152">
        <f t="shared" si="301"/>
        <v>0</v>
      </c>
      <c r="W117" s="152">
        <f t="shared" si="301"/>
        <v>0</v>
      </c>
      <c r="X117" s="152">
        <f t="shared" si="301"/>
        <v>0</v>
      </c>
      <c r="Y117" s="152">
        <f t="shared" si="301"/>
        <v>0</v>
      </c>
      <c r="Z117" s="152">
        <f t="shared" si="301"/>
        <v>0</v>
      </c>
      <c r="AA117" s="152">
        <f t="shared" si="301"/>
        <v>0</v>
      </c>
      <c r="AB117" s="152">
        <f t="shared" si="301"/>
        <v>0</v>
      </c>
      <c r="AC117" s="152">
        <f t="shared" si="301"/>
        <v>0</v>
      </c>
      <c r="AD117" s="138" t="e">
        <f t="shared" si="223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02">H32/H25</f>
        <v>0</v>
      </c>
      <c r="I118" s="152">
        <f t="shared" si="302"/>
        <v>0</v>
      </c>
      <c r="J118" s="152">
        <f t="shared" si="302"/>
        <v>0</v>
      </c>
      <c r="K118" s="152">
        <f t="shared" si="302"/>
        <v>0</v>
      </c>
      <c r="L118" s="152">
        <f t="shared" si="302"/>
        <v>0</v>
      </c>
      <c r="M118" s="152">
        <f t="shared" si="302"/>
        <v>0</v>
      </c>
      <c r="N118" s="152">
        <f t="shared" si="302"/>
        <v>0</v>
      </c>
      <c r="O118" s="152">
        <f t="shared" si="302"/>
        <v>0</v>
      </c>
      <c r="P118" s="152">
        <f t="shared" si="302"/>
        <v>0</v>
      </c>
      <c r="Q118" s="152">
        <f t="shared" ref="Q118" si="303">Q32/Q25</f>
        <v>0</v>
      </c>
      <c r="R118" s="118" t="e">
        <f t="shared" si="221"/>
        <v>#DIV/0!</v>
      </c>
      <c r="S118" s="20"/>
      <c r="T118" s="152">
        <f t="shared" ref="T118:AC118" si="304">T32/T25</f>
        <v>0</v>
      </c>
      <c r="U118" s="152">
        <f t="shared" si="304"/>
        <v>0</v>
      </c>
      <c r="V118" s="152">
        <f t="shared" si="304"/>
        <v>0</v>
      </c>
      <c r="W118" s="152">
        <f t="shared" si="304"/>
        <v>0</v>
      </c>
      <c r="X118" s="152">
        <f t="shared" si="304"/>
        <v>0</v>
      </c>
      <c r="Y118" s="152">
        <f t="shared" si="304"/>
        <v>0</v>
      </c>
      <c r="Z118" s="152">
        <f t="shared" si="304"/>
        <v>0</v>
      </c>
      <c r="AA118" s="152">
        <f t="shared" si="304"/>
        <v>0</v>
      </c>
      <c r="AB118" s="152">
        <f t="shared" si="304"/>
        <v>0</v>
      </c>
      <c r="AC118" s="152">
        <f t="shared" si="304"/>
        <v>0</v>
      </c>
      <c r="AD118" s="138" t="e">
        <f t="shared" si="223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0.54794520547945202</v>
      </c>
      <c r="H120" s="152">
        <f t="shared" ref="H120:P120" si="305">H27/H25</f>
        <v>0.57608695652173914</v>
      </c>
      <c r="I120" s="152">
        <f t="shared" si="305"/>
        <v>0.70068027210884354</v>
      </c>
      <c r="J120" s="152">
        <f t="shared" si="305"/>
        <v>0.69041769041769041</v>
      </c>
      <c r="K120" s="152">
        <f t="shared" si="305"/>
        <v>0.61931818181818177</v>
      </c>
      <c r="L120" s="152">
        <f t="shared" si="305"/>
        <v>0.6014362657091562</v>
      </c>
      <c r="M120" s="152">
        <f t="shared" si="305"/>
        <v>0.58739255014326652</v>
      </c>
      <c r="N120" s="152">
        <f t="shared" si="305"/>
        <v>0.64</v>
      </c>
      <c r="O120" s="152">
        <f t="shared" si="305"/>
        <v>0.65130260521042083</v>
      </c>
      <c r="P120" s="152">
        <f t="shared" si="305"/>
        <v>0.71223021582733814</v>
      </c>
      <c r="Q120" s="152">
        <f t="shared" ref="Q120" si="306">Q27/Q25</f>
        <v>0.63360000000000005</v>
      </c>
      <c r="R120" s="118">
        <f t="shared" si="221"/>
        <v>2.95648235550523E-2</v>
      </c>
      <c r="S120" s="20"/>
      <c r="T120" s="152">
        <f t="shared" ref="T120:AC120" si="307">T27/T25</f>
        <v>0.63359999999999994</v>
      </c>
      <c r="U120" s="152">
        <f t="shared" si="307"/>
        <v>0.63359999999999994</v>
      </c>
      <c r="V120" s="152">
        <f t="shared" si="307"/>
        <v>0.63359999999999994</v>
      </c>
      <c r="W120" s="152">
        <f t="shared" si="307"/>
        <v>0.63359999999999994</v>
      </c>
      <c r="X120" s="152">
        <f t="shared" si="307"/>
        <v>0.63359999999999994</v>
      </c>
      <c r="Y120" s="152">
        <f t="shared" si="307"/>
        <v>0.63359999999999994</v>
      </c>
      <c r="Z120" s="152">
        <f t="shared" si="307"/>
        <v>0.63359999999999994</v>
      </c>
      <c r="AA120" s="152">
        <f t="shared" si="307"/>
        <v>0.63359999999999994</v>
      </c>
      <c r="AB120" s="152">
        <f t="shared" si="307"/>
        <v>0.63359999999999994</v>
      </c>
      <c r="AC120" s="152">
        <f t="shared" si="307"/>
        <v>0.63359999999999994</v>
      </c>
      <c r="AD120" s="138">
        <f t="shared" si="223"/>
        <v>7.2885606233505928E-3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0.29452054794520549</v>
      </c>
      <c r="H121" s="152">
        <f t="shared" ref="H121:P121" si="308">H33/H25</f>
        <v>0.28804347826086957</v>
      </c>
      <c r="I121" s="152">
        <f t="shared" si="308"/>
        <v>0.39455782312925169</v>
      </c>
      <c r="J121" s="152">
        <f t="shared" si="308"/>
        <v>0.37592137592137592</v>
      </c>
      <c r="K121" s="152">
        <f t="shared" si="308"/>
        <v>0.36363636363636365</v>
      </c>
      <c r="L121" s="152">
        <f t="shared" si="308"/>
        <v>0.3734290843806104</v>
      </c>
      <c r="M121" s="152">
        <f t="shared" si="308"/>
        <v>0.37106017191977075</v>
      </c>
      <c r="N121" s="152">
        <f t="shared" si="308"/>
        <v>0.41529411764705881</v>
      </c>
      <c r="O121" s="152">
        <f t="shared" si="308"/>
        <v>0.43987975951903807</v>
      </c>
      <c r="P121" s="152">
        <f t="shared" si="308"/>
        <v>0.46312949640287771</v>
      </c>
      <c r="Q121" s="152">
        <f t="shared" ref="Q121" si="309">Q33/Q25</f>
        <v>0.41199999999999998</v>
      </c>
      <c r="R121" s="118">
        <f t="shared" si="221"/>
        <v>5.1581609663825967E-2</v>
      </c>
      <c r="S121" s="20"/>
      <c r="T121" s="152">
        <f t="shared" ref="T121:AC121" si="310">T33/T25</f>
        <v>0.41199999999999998</v>
      </c>
      <c r="U121" s="152">
        <f t="shared" si="310"/>
        <v>0.41200000000000003</v>
      </c>
      <c r="V121" s="152">
        <f t="shared" si="310"/>
        <v>0.41200000000000003</v>
      </c>
      <c r="W121" s="152">
        <f t="shared" si="310"/>
        <v>0.41200000000000009</v>
      </c>
      <c r="X121" s="152">
        <f t="shared" si="310"/>
        <v>0.41200000000000009</v>
      </c>
      <c r="Y121" s="152">
        <f t="shared" si="310"/>
        <v>0.41200000000000009</v>
      </c>
      <c r="Z121" s="152">
        <f t="shared" si="310"/>
        <v>0.41200000000000009</v>
      </c>
      <c r="AA121" s="152">
        <f t="shared" si="310"/>
        <v>0.41200000000000009</v>
      </c>
      <c r="AB121" s="152">
        <f t="shared" si="310"/>
        <v>0.41200000000000014</v>
      </c>
      <c r="AC121" s="152">
        <f t="shared" si="310"/>
        <v>0.41200000000000014</v>
      </c>
      <c r="AD121" s="138">
        <f t="shared" si="223"/>
        <v>1.6925366891110905E-2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0.21027397260273972</v>
      </c>
      <c r="H122" s="152">
        <f t="shared" ref="H122:P122" si="311">H34/H25</f>
        <v>0.23695652173913045</v>
      </c>
      <c r="I122" s="152">
        <f t="shared" si="311"/>
        <v>0.25170068027210885</v>
      </c>
      <c r="J122" s="152">
        <f t="shared" si="311"/>
        <v>0.26289926289926291</v>
      </c>
      <c r="K122" s="152">
        <f t="shared" si="311"/>
        <v>0.21306818181818182</v>
      </c>
      <c r="L122" s="152">
        <f t="shared" si="311"/>
        <v>0.18850987432675045</v>
      </c>
      <c r="M122" s="152">
        <f t="shared" si="311"/>
        <v>0.18481375358166188</v>
      </c>
      <c r="N122" s="152">
        <f t="shared" si="311"/>
        <v>0.18705882352941178</v>
      </c>
      <c r="O122" s="152">
        <f t="shared" si="311"/>
        <v>0.21142284569138275</v>
      </c>
      <c r="P122" s="152">
        <f t="shared" si="311"/>
        <v>0.46312949640287771</v>
      </c>
      <c r="Q122" s="152">
        <f t="shared" ref="Q122" si="312">Q34/Q25</f>
        <v>0.41199999999999998</v>
      </c>
      <c r="R122" s="118">
        <f t="shared" si="221"/>
        <v>9.1696405187213115E-2</v>
      </c>
      <c r="S122" s="20"/>
      <c r="T122" s="152">
        <f t="shared" ref="T122:AC122" si="313">T34/T25</f>
        <v>0.41199999999999998</v>
      </c>
      <c r="U122" s="152">
        <f t="shared" si="313"/>
        <v>0.41200000000000003</v>
      </c>
      <c r="V122" s="152">
        <f t="shared" si="313"/>
        <v>0.41200000000000003</v>
      </c>
      <c r="W122" s="152">
        <f t="shared" si="313"/>
        <v>0.41200000000000009</v>
      </c>
      <c r="X122" s="152">
        <f t="shared" si="313"/>
        <v>0.41200000000000009</v>
      </c>
      <c r="Y122" s="152">
        <f t="shared" si="313"/>
        <v>0.41200000000000009</v>
      </c>
      <c r="Z122" s="152">
        <f t="shared" si="313"/>
        <v>0.41200000000000009</v>
      </c>
      <c r="AA122" s="152">
        <f t="shared" si="313"/>
        <v>0.41200000000000009</v>
      </c>
      <c r="AB122" s="152">
        <f t="shared" si="313"/>
        <v>0.41200000000000014</v>
      </c>
      <c r="AC122" s="152">
        <f t="shared" si="313"/>
        <v>0.41200000000000014</v>
      </c>
      <c r="AD122" s="138">
        <f t="shared" si="223"/>
        <v>3.4202503691755037E-2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0.88395061728395063</v>
      </c>
      <c r="H125" s="25">
        <f t="shared" ref="H125:AC125" si="314">H15/H9</f>
        <v>1.05</v>
      </c>
      <c r="I125" s="25">
        <f t="shared" si="314"/>
        <v>1.3648648648648649</v>
      </c>
      <c r="J125" s="25">
        <f t="shared" si="314"/>
        <v>1.303030303030303</v>
      </c>
      <c r="K125" s="25">
        <f t="shared" si="314"/>
        <v>1.3813559322033899</v>
      </c>
      <c r="L125" s="25">
        <f t="shared" si="314"/>
        <v>1.1366459627329193</v>
      </c>
      <c r="M125" s="25">
        <f t="shared" si="314"/>
        <v>0.96</v>
      </c>
      <c r="N125" s="25">
        <f t="shared" si="314"/>
        <v>0.75518672199170123</v>
      </c>
      <c r="O125" s="25">
        <f t="shared" si="314"/>
        <v>0.70680628272251311</v>
      </c>
      <c r="P125" s="25">
        <f t="shared" si="314"/>
        <v>2.2320675105485233</v>
      </c>
      <c r="Q125" s="25">
        <f t="shared" ref="Q125" si="315">Q15/Q9</f>
        <v>2.2320675105485233</v>
      </c>
      <c r="R125" s="118">
        <f t="shared" si="221"/>
        <v>0.10840302536577462</v>
      </c>
      <c r="S125" s="20"/>
      <c r="T125" s="20">
        <f t="shared" si="314"/>
        <v>2.2320675105485233</v>
      </c>
      <c r="U125" s="20">
        <f t="shared" si="314"/>
        <v>2.2320675105485233</v>
      </c>
      <c r="V125" s="20">
        <f t="shared" si="314"/>
        <v>2.2320675105485233</v>
      </c>
      <c r="W125" s="20">
        <f t="shared" si="314"/>
        <v>2.2320675105485233</v>
      </c>
      <c r="X125" s="20">
        <f t="shared" si="314"/>
        <v>2.2320675105485233</v>
      </c>
      <c r="Y125" s="20">
        <f t="shared" si="314"/>
        <v>2.2320675105485228</v>
      </c>
      <c r="Z125" s="20">
        <f t="shared" si="314"/>
        <v>2.2320675105485233</v>
      </c>
      <c r="AA125" s="20">
        <f t="shared" si="314"/>
        <v>2.2320675105485228</v>
      </c>
      <c r="AB125" s="20">
        <f t="shared" si="314"/>
        <v>2.2320675105485228</v>
      </c>
      <c r="AC125" s="20">
        <f t="shared" si="314"/>
        <v>2.2320675105485228</v>
      </c>
      <c r="AD125" s="138">
        <f t="shared" si="223"/>
        <v>4.7403368138184243E-2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0.40185185185185185</v>
      </c>
      <c r="H126" s="25">
        <f t="shared" ref="H126:P126" si="316">H12/H9</f>
        <v>0.55000000000000004</v>
      </c>
      <c r="I126" s="25">
        <f t="shared" si="316"/>
        <v>0.51351351351351349</v>
      </c>
      <c r="J126" s="25">
        <f t="shared" si="316"/>
        <v>0.42525252525252527</v>
      </c>
      <c r="K126" s="25">
        <f t="shared" si="316"/>
        <v>1.0932203389830508</v>
      </c>
      <c r="L126" s="25">
        <f t="shared" si="316"/>
        <v>0.97515527950310554</v>
      </c>
      <c r="M126" s="25">
        <f t="shared" si="316"/>
        <v>0.92285714285714282</v>
      </c>
      <c r="N126" s="25">
        <f t="shared" si="316"/>
        <v>1.0705394190871369</v>
      </c>
      <c r="O126" s="25">
        <f t="shared" si="316"/>
        <v>0.40052356020942409</v>
      </c>
      <c r="P126" s="25">
        <f t="shared" si="316"/>
        <v>0.3881856540084388</v>
      </c>
      <c r="Q126" s="25">
        <f t="shared" ref="Q126" si="317">Q12/Q9</f>
        <v>0.3881856540084388</v>
      </c>
      <c r="R126" s="118">
        <f t="shared" si="221"/>
        <v>-3.8370394643291172E-3</v>
      </c>
      <c r="S126" s="128"/>
      <c r="T126" s="20">
        <f t="shared" ref="T126:AC126" si="318">T12/T9</f>
        <v>0.38818565400843885</v>
      </c>
      <c r="U126" s="20">
        <f t="shared" si="318"/>
        <v>0.38818565400843885</v>
      </c>
      <c r="V126" s="20">
        <f t="shared" si="318"/>
        <v>0.38818565400843885</v>
      </c>
      <c r="W126" s="20">
        <f t="shared" si="318"/>
        <v>0.38818565400843885</v>
      </c>
      <c r="X126" s="20">
        <f t="shared" si="318"/>
        <v>0.38818565400843885</v>
      </c>
      <c r="Y126" s="20">
        <f t="shared" si="318"/>
        <v>0.38818565400843885</v>
      </c>
      <c r="Z126" s="20">
        <f t="shared" si="318"/>
        <v>0.38818565400843885</v>
      </c>
      <c r="AA126" s="20">
        <f t="shared" si="318"/>
        <v>0.38818565400843885</v>
      </c>
      <c r="AB126" s="20">
        <f t="shared" si="318"/>
        <v>0.38818565400843885</v>
      </c>
      <c r="AC126" s="20">
        <f t="shared" si="318"/>
        <v>0.38818565400843885</v>
      </c>
      <c r="AD126" s="118">
        <f t="shared" ref="AD126" si="319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0.20277777777777778</v>
      </c>
      <c r="H127" s="25">
        <f t="shared" ref="H127:P127" si="320">H25/360</f>
        <v>0.25555555555555554</v>
      </c>
      <c r="I127" s="25">
        <f t="shared" si="320"/>
        <v>0.81666666666666665</v>
      </c>
      <c r="J127" s="25">
        <f t="shared" si="320"/>
        <v>1.1305555555555555</v>
      </c>
      <c r="K127" s="25">
        <f t="shared" si="320"/>
        <v>1.4666666666666666</v>
      </c>
      <c r="L127" s="25">
        <f t="shared" si="320"/>
        <v>1.5472222222222223</v>
      </c>
      <c r="M127" s="25">
        <f t="shared" si="320"/>
        <v>1.9388888888888889</v>
      </c>
      <c r="N127" s="25">
        <f t="shared" si="320"/>
        <v>2.3611111111111112</v>
      </c>
      <c r="O127" s="25">
        <f t="shared" si="320"/>
        <v>2.7722222222222221</v>
      </c>
      <c r="P127" s="25">
        <f t="shared" si="320"/>
        <v>3.088888888888889</v>
      </c>
      <c r="Q127" s="25">
        <f t="shared" ref="Q127" si="321">Q25/360</f>
        <v>3.4722222222222223</v>
      </c>
      <c r="R127" s="118">
        <f t="shared" si="221"/>
        <v>0.35338143303099367</v>
      </c>
      <c r="S127" s="128"/>
      <c r="T127" s="25">
        <f t="shared" ref="T127:AC127" si="322">T25/360</f>
        <v>3.9930555555555554</v>
      </c>
      <c r="U127" s="25">
        <f t="shared" si="322"/>
        <v>4.5920138888888884</v>
      </c>
      <c r="V127" s="25">
        <f t="shared" si="322"/>
        <v>5.2808159722222205</v>
      </c>
      <c r="W127" s="25">
        <f t="shared" si="322"/>
        <v>6.0729383680555529</v>
      </c>
      <c r="X127" s="25">
        <f t="shared" si="322"/>
        <v>6.9838791232638853</v>
      </c>
      <c r="Y127" s="25">
        <f t="shared" si="322"/>
        <v>8.0314609917534678</v>
      </c>
      <c r="Z127" s="25">
        <f t="shared" si="322"/>
        <v>9.2361801405164865</v>
      </c>
      <c r="AA127" s="25">
        <f t="shared" si="322"/>
        <v>10.621607161593959</v>
      </c>
      <c r="AB127" s="25">
        <f t="shared" si="322"/>
        <v>12.214848235833051</v>
      </c>
      <c r="AC127" s="25">
        <f t="shared" si="322"/>
        <v>14.047075471208007</v>
      </c>
      <c r="AD127" s="118">
        <f t="shared" ref="AD127:AD138" si="323">((AC127/T127)^(1/($H$2-$H$1) ))-1</f>
        <v>0.14999999999999991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0.1111111111111111</v>
      </c>
      <c r="H128" s="25">
        <f t="shared" ref="H128:P128" si="324">H27/360</f>
        <v>0.14722222222222223</v>
      </c>
      <c r="I128" s="25">
        <f t="shared" si="324"/>
        <v>0.57222222222222219</v>
      </c>
      <c r="J128" s="25">
        <f t="shared" si="324"/>
        <v>0.78055555555555556</v>
      </c>
      <c r="K128" s="25">
        <f t="shared" si="324"/>
        <v>0.90833333333333333</v>
      </c>
      <c r="L128" s="25">
        <f t="shared" si="324"/>
        <v>0.93055555555555558</v>
      </c>
      <c r="M128" s="25">
        <f t="shared" si="324"/>
        <v>1.1388888888888888</v>
      </c>
      <c r="N128" s="25">
        <f t="shared" si="324"/>
        <v>1.5111111111111111</v>
      </c>
      <c r="O128" s="25">
        <f t="shared" si="324"/>
        <v>1.8055555555555556</v>
      </c>
      <c r="P128" s="25">
        <f t="shared" si="324"/>
        <v>2.2000000000000002</v>
      </c>
      <c r="Q128" s="25">
        <f t="shared" ref="Q128" si="325">Q27/360</f>
        <v>2.2000000000000002</v>
      </c>
      <c r="R128" s="118">
        <f t="shared" si="221"/>
        <v>0.39339391630123877</v>
      </c>
      <c r="S128" s="128"/>
      <c r="T128" s="25">
        <f t="shared" ref="T128:AC128" si="326">T27/360</f>
        <v>2.5299999999999998</v>
      </c>
      <c r="U128" s="25">
        <f t="shared" si="326"/>
        <v>2.9094999999999995</v>
      </c>
      <c r="V128" s="25">
        <f t="shared" si="326"/>
        <v>3.3459249999999989</v>
      </c>
      <c r="W128" s="25">
        <f t="shared" si="326"/>
        <v>3.8478137499999985</v>
      </c>
      <c r="X128" s="25">
        <f t="shared" si="326"/>
        <v>4.4249858124999975</v>
      </c>
      <c r="Y128" s="25">
        <f t="shared" si="326"/>
        <v>5.0887336843749971</v>
      </c>
      <c r="Z128" s="25">
        <f t="shared" si="326"/>
        <v>5.8520437370312459</v>
      </c>
      <c r="AA128" s="25">
        <f t="shared" si="326"/>
        <v>6.7298502975859318</v>
      </c>
      <c r="AB128" s="25">
        <f t="shared" si="326"/>
        <v>7.7393278422238208</v>
      </c>
      <c r="AC128" s="25">
        <f t="shared" si="326"/>
        <v>8.9002270185573931</v>
      </c>
      <c r="AD128" s="118">
        <f t="shared" si="323"/>
        <v>0.14999999999999991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</v>
      </c>
      <c r="H130" s="25">
        <f t="shared" ref="H130:P130" si="327">H10/H7</f>
        <v>0</v>
      </c>
      <c r="I130" s="25">
        <f t="shared" si="327"/>
        <v>0</v>
      </c>
      <c r="J130" s="25">
        <f t="shared" si="327"/>
        <v>0</v>
      </c>
      <c r="K130" s="25">
        <f t="shared" si="327"/>
        <v>0</v>
      </c>
      <c r="L130" s="25">
        <f t="shared" si="327"/>
        <v>0</v>
      </c>
      <c r="M130" s="25">
        <f t="shared" si="327"/>
        <v>0</v>
      </c>
      <c r="N130" s="25">
        <f t="shared" si="327"/>
        <v>0</v>
      </c>
      <c r="O130" s="25">
        <f t="shared" si="327"/>
        <v>0</v>
      </c>
      <c r="P130" s="25">
        <f t="shared" si="327"/>
        <v>0</v>
      </c>
      <c r="Q130" s="25">
        <f t="shared" ref="Q130" si="328">Q10/Q7</f>
        <v>0</v>
      </c>
      <c r="R130" s="118" t="e">
        <f t="shared" si="221"/>
        <v>#DIV/0!</v>
      </c>
      <c r="S130" s="128"/>
      <c r="T130" s="25">
        <f t="shared" ref="T130:AC130" si="329">T10/T7</f>
        <v>0</v>
      </c>
      <c r="U130" s="25">
        <f t="shared" si="329"/>
        <v>0</v>
      </c>
      <c r="V130" s="25">
        <f t="shared" si="329"/>
        <v>0</v>
      </c>
      <c r="W130" s="25">
        <f t="shared" si="329"/>
        <v>0</v>
      </c>
      <c r="X130" s="25">
        <f t="shared" si="329"/>
        <v>0</v>
      </c>
      <c r="Y130" s="25">
        <f t="shared" si="329"/>
        <v>0</v>
      </c>
      <c r="Z130" s="25">
        <f t="shared" si="329"/>
        <v>0</v>
      </c>
      <c r="AA130" s="25">
        <f t="shared" si="329"/>
        <v>0</v>
      </c>
      <c r="AB130" s="25">
        <f t="shared" si="329"/>
        <v>0</v>
      </c>
      <c r="AC130" s="25">
        <f t="shared" si="329"/>
        <v>0</v>
      </c>
      <c r="AD130" s="118" t="e">
        <f t="shared" si="323"/>
        <v>#DIV/0!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</v>
      </c>
      <c r="H131" s="25">
        <f t="shared" ref="H131:P131" si="330">H10/(H10+H7)</f>
        <v>0</v>
      </c>
      <c r="I131" s="25">
        <f t="shared" si="330"/>
        <v>0</v>
      </c>
      <c r="J131" s="25">
        <f t="shared" si="330"/>
        <v>0</v>
      </c>
      <c r="K131" s="25">
        <f t="shared" si="330"/>
        <v>0</v>
      </c>
      <c r="L131" s="25">
        <f t="shared" si="330"/>
        <v>0</v>
      </c>
      <c r="M131" s="25">
        <f t="shared" si="330"/>
        <v>0</v>
      </c>
      <c r="N131" s="25">
        <f t="shared" si="330"/>
        <v>0</v>
      </c>
      <c r="O131" s="25">
        <f t="shared" si="330"/>
        <v>0</v>
      </c>
      <c r="P131" s="25">
        <f t="shared" si="330"/>
        <v>0</v>
      </c>
      <c r="Q131" s="25">
        <f t="shared" ref="Q131" si="331">Q10/(Q10+Q7)</f>
        <v>0</v>
      </c>
      <c r="R131" s="118" t="e">
        <f t="shared" si="221"/>
        <v>#DIV/0!</v>
      </c>
      <c r="S131" s="128"/>
      <c r="T131" s="25">
        <f t="shared" ref="T131:AC131" si="332">T10/(T10+T7)</f>
        <v>0</v>
      </c>
      <c r="U131" s="25">
        <f t="shared" si="332"/>
        <v>0</v>
      </c>
      <c r="V131" s="25">
        <f t="shared" si="332"/>
        <v>0</v>
      </c>
      <c r="W131" s="25">
        <f t="shared" si="332"/>
        <v>0</v>
      </c>
      <c r="X131" s="25">
        <f t="shared" si="332"/>
        <v>0</v>
      </c>
      <c r="Y131" s="25">
        <f t="shared" si="332"/>
        <v>0</v>
      </c>
      <c r="Z131" s="25">
        <f t="shared" si="332"/>
        <v>0</v>
      </c>
      <c r="AA131" s="25">
        <f t="shared" si="332"/>
        <v>0</v>
      </c>
      <c r="AB131" s="25">
        <f t="shared" si="332"/>
        <v>0</v>
      </c>
      <c r="AC131" s="25">
        <f t="shared" si="332"/>
        <v>0</v>
      </c>
      <c r="AD131" s="118" t="e">
        <f t="shared" si="323"/>
        <v>#DIV/0!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-6.5</v>
      </c>
      <c r="H133" s="25">
        <f t="shared" ref="H133:P133" si="333">H16</f>
        <v>1.24</v>
      </c>
      <c r="I133" s="25">
        <f t="shared" si="333"/>
        <v>31.7</v>
      </c>
      <c r="J133" s="25">
        <f t="shared" si="333"/>
        <v>41.69</v>
      </c>
      <c r="K133" s="25">
        <f t="shared" si="333"/>
        <v>109</v>
      </c>
      <c r="L133" s="25">
        <f t="shared" si="333"/>
        <v>132</v>
      </c>
      <c r="M133" s="25">
        <f t="shared" si="333"/>
        <v>143</v>
      </c>
      <c r="N133" s="25">
        <f t="shared" si="333"/>
        <v>170</v>
      </c>
      <c r="O133" s="25">
        <f t="shared" si="333"/>
        <v>-53</v>
      </c>
      <c r="P133" s="25">
        <f t="shared" si="333"/>
        <v>292</v>
      </c>
      <c r="Q133" s="25">
        <f t="shared" ref="Q133" si="334">Q16</f>
        <v>292</v>
      </c>
      <c r="R133" s="118">
        <f t="shared" si="221"/>
        <v>-2.5261869005978665</v>
      </c>
      <c r="S133" s="128"/>
      <c r="T133" s="25">
        <f t="shared" ref="T133:AC133" si="335">T16</f>
        <v>335.79999999999995</v>
      </c>
      <c r="U133" s="25">
        <f t="shared" si="335"/>
        <v>386.1699999999999</v>
      </c>
      <c r="V133" s="25">
        <f t="shared" si="335"/>
        <v>444.09549999999984</v>
      </c>
      <c r="W133" s="25">
        <f t="shared" si="335"/>
        <v>510.7098249999998</v>
      </c>
      <c r="X133" s="25">
        <f t="shared" si="335"/>
        <v>587.31629874999976</v>
      </c>
      <c r="Y133" s="25">
        <f t="shared" si="335"/>
        <v>675.41374356249969</v>
      </c>
      <c r="Z133" s="25">
        <f t="shared" si="335"/>
        <v>776.72580509687464</v>
      </c>
      <c r="AA133" s="25">
        <f t="shared" si="335"/>
        <v>893.23467586140578</v>
      </c>
      <c r="AB133" s="25">
        <f t="shared" si="335"/>
        <v>1027.2198772406166</v>
      </c>
      <c r="AC133" s="25">
        <f t="shared" si="335"/>
        <v>1181.3028588267091</v>
      </c>
      <c r="AD133" s="118">
        <f t="shared" si="323"/>
        <v>0.14999999999999991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36">G133*365/G25</f>
        <v>-32.5</v>
      </c>
      <c r="H134" s="119">
        <f t="shared" si="336"/>
        <v>4.9195652173913045</v>
      </c>
      <c r="I134" s="119">
        <f t="shared" si="336"/>
        <v>39.355442176870746</v>
      </c>
      <c r="J134" s="119">
        <f t="shared" si="336"/>
        <v>37.387837837837836</v>
      </c>
      <c r="K134" s="119">
        <f t="shared" si="336"/>
        <v>75.350378787878782</v>
      </c>
      <c r="L134" s="119">
        <f t="shared" si="336"/>
        <v>86.499102333931774</v>
      </c>
      <c r="M134" s="119">
        <f t="shared" si="336"/>
        <v>74.777936962750715</v>
      </c>
      <c r="N134" s="119">
        <f t="shared" si="336"/>
        <v>73</v>
      </c>
      <c r="O134" s="119">
        <f t="shared" si="336"/>
        <v>-19.383767535070142</v>
      </c>
      <c r="P134" s="119">
        <f t="shared" si="336"/>
        <v>95.845323741007192</v>
      </c>
      <c r="Q134" s="119">
        <f t="shared" ref="Q134" si="337">Q133*365/Q25</f>
        <v>85.263999999999996</v>
      </c>
      <c r="R134" s="118">
        <f t="shared" si="221"/>
        <v>-2.127684231030023</v>
      </c>
      <c r="S134" s="128"/>
      <c r="T134" s="119">
        <f t="shared" ref="T134:AC134" si="338">T133*365/T25</f>
        <v>85.263999999999996</v>
      </c>
      <c r="U134" s="119">
        <f t="shared" si="338"/>
        <v>85.263999999999982</v>
      </c>
      <c r="V134" s="119">
        <f t="shared" si="338"/>
        <v>85.263999999999996</v>
      </c>
      <c r="W134" s="119">
        <f t="shared" si="338"/>
        <v>85.263999999999996</v>
      </c>
      <c r="X134" s="119">
        <f t="shared" si="338"/>
        <v>85.26400000000001</v>
      </c>
      <c r="Y134" s="119">
        <f t="shared" si="338"/>
        <v>85.26400000000001</v>
      </c>
      <c r="Z134" s="119">
        <f t="shared" si="338"/>
        <v>85.26400000000001</v>
      </c>
      <c r="AA134" s="119">
        <f t="shared" si="338"/>
        <v>85.264000000000024</v>
      </c>
      <c r="AB134" s="119">
        <f t="shared" si="338"/>
        <v>85.264000000000024</v>
      </c>
      <c r="AC134" s="119">
        <f t="shared" si="338"/>
        <v>85.264000000000038</v>
      </c>
      <c r="AD134" s="118">
        <f t="shared" si="323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 t="e">
        <f>G80/G29</f>
        <v>#DIV/0!</v>
      </c>
      <c r="H135" s="133" t="e">
        <f t="shared" ref="H135:P135" si="339">H80/H29</f>
        <v>#DIV/0!</v>
      </c>
      <c r="I135" s="133" t="e">
        <f t="shared" si="339"/>
        <v>#DIV/0!</v>
      </c>
      <c r="J135" s="133" t="e">
        <f t="shared" si="339"/>
        <v>#DIV/0!</v>
      </c>
      <c r="K135" s="133" t="e">
        <f t="shared" si="339"/>
        <v>#DIV/0!</v>
      </c>
      <c r="L135" s="133" t="e">
        <f t="shared" si="339"/>
        <v>#DIV/0!</v>
      </c>
      <c r="M135" s="133" t="e">
        <f t="shared" si="339"/>
        <v>#DIV/0!</v>
      </c>
      <c r="N135" s="133" t="e">
        <f t="shared" si="339"/>
        <v>#DIV/0!</v>
      </c>
      <c r="O135" s="133" t="e">
        <f t="shared" si="339"/>
        <v>#DIV/0!</v>
      </c>
      <c r="P135" s="133" t="e">
        <f t="shared" si="339"/>
        <v>#DIV/0!</v>
      </c>
      <c r="Q135" s="133" t="e">
        <f t="shared" ref="Q135" si="340">Q80/Q29</f>
        <v>#DIV/0!</v>
      </c>
      <c r="R135" s="118" t="e">
        <f t="shared" si="221"/>
        <v>#DIV/0!</v>
      </c>
      <c r="S135" s="128"/>
      <c r="T135" s="133" t="e">
        <f t="shared" ref="T135:AC135" si="341">T80/T29</f>
        <v>#DIV/0!</v>
      </c>
      <c r="U135" s="133" t="e">
        <f t="shared" si="341"/>
        <v>#DIV/0!</v>
      </c>
      <c r="V135" s="133" t="e">
        <f t="shared" si="341"/>
        <v>#DIV/0!</v>
      </c>
      <c r="W135" s="133" t="e">
        <f t="shared" si="341"/>
        <v>#DIV/0!</v>
      </c>
      <c r="X135" s="133" t="e">
        <f t="shared" si="341"/>
        <v>#DIV/0!</v>
      </c>
      <c r="Y135" s="133" t="e">
        <f t="shared" si="341"/>
        <v>#DIV/0!</v>
      </c>
      <c r="Z135" s="133" t="e">
        <f t="shared" si="341"/>
        <v>#DIV/0!</v>
      </c>
      <c r="AA135" s="133" t="e">
        <f t="shared" si="341"/>
        <v>#DIV/0!</v>
      </c>
      <c r="AB135" s="133" t="e">
        <f t="shared" si="341"/>
        <v>#DIV/0!</v>
      </c>
      <c r="AC135" s="133" t="e">
        <f t="shared" si="341"/>
        <v>#DIV/0!</v>
      </c>
      <c r="AD135" s="118" t="e">
        <f t="shared" si="323"/>
        <v>#DIV/0!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 t="e">
        <f>G25/G14</f>
        <v>#DIV/0!</v>
      </c>
      <c r="H137" s="180" t="e">
        <f t="shared" ref="H137:P137" si="342">H25/H14</f>
        <v>#DIV/0!</v>
      </c>
      <c r="I137" s="180" t="e">
        <f t="shared" si="342"/>
        <v>#DIV/0!</v>
      </c>
      <c r="J137" s="180" t="e">
        <f t="shared" si="342"/>
        <v>#DIV/0!</v>
      </c>
      <c r="K137" s="180" t="e">
        <f t="shared" si="342"/>
        <v>#DIV/0!</v>
      </c>
      <c r="L137" s="180" t="e">
        <f t="shared" si="342"/>
        <v>#DIV/0!</v>
      </c>
      <c r="M137" s="180" t="e">
        <f t="shared" si="342"/>
        <v>#DIV/0!</v>
      </c>
      <c r="N137" s="180" t="e">
        <f t="shared" si="342"/>
        <v>#DIV/0!</v>
      </c>
      <c r="O137" s="180" t="e">
        <f t="shared" si="342"/>
        <v>#DIV/0!</v>
      </c>
      <c r="P137" s="180" t="e">
        <f t="shared" si="342"/>
        <v>#DIV/0!</v>
      </c>
      <c r="Q137" s="180" t="e">
        <f t="shared" ref="Q137" si="343">Q25/Q14</f>
        <v>#DIV/0!</v>
      </c>
      <c r="R137" s="118" t="e">
        <f t="shared" si="221"/>
        <v>#DIV/0!</v>
      </c>
      <c r="S137" s="128"/>
      <c r="T137" s="20" t="e">
        <f t="shared" ref="T137" si="344">T25/T14</f>
        <v>#DIV/0!</v>
      </c>
      <c r="U137" s="20" t="e">
        <f t="shared" ref="U137:AC137" si="345">U25/U14</f>
        <v>#DIV/0!</v>
      </c>
      <c r="V137" s="20" t="e">
        <f t="shared" si="345"/>
        <v>#DIV/0!</v>
      </c>
      <c r="W137" s="20" t="e">
        <f t="shared" si="345"/>
        <v>#DIV/0!</v>
      </c>
      <c r="X137" s="20" t="e">
        <f t="shared" si="345"/>
        <v>#DIV/0!</v>
      </c>
      <c r="Y137" s="20" t="e">
        <f t="shared" si="345"/>
        <v>#DIV/0!</v>
      </c>
      <c r="Z137" s="20" t="e">
        <f t="shared" si="345"/>
        <v>#DIV/0!</v>
      </c>
      <c r="AA137" s="20" t="e">
        <f t="shared" si="345"/>
        <v>#DIV/0!</v>
      </c>
      <c r="AB137" s="20" t="e">
        <f t="shared" si="345"/>
        <v>#DIV/0!</v>
      </c>
      <c r="AC137" s="20" t="e">
        <f t="shared" si="345"/>
        <v>#DIV/0!</v>
      </c>
      <c r="AD137" s="118" t="e">
        <f t="shared" si="323"/>
        <v>#DIV/0!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 t="e">
        <f>G27/G14</f>
        <v>#DIV/0!</v>
      </c>
      <c r="H138" s="180" t="e">
        <f t="shared" ref="H138:P138" si="346">H27/H14</f>
        <v>#DIV/0!</v>
      </c>
      <c r="I138" s="180" t="e">
        <f t="shared" si="346"/>
        <v>#DIV/0!</v>
      </c>
      <c r="J138" s="180" t="e">
        <f t="shared" si="346"/>
        <v>#DIV/0!</v>
      </c>
      <c r="K138" s="180" t="e">
        <f t="shared" si="346"/>
        <v>#DIV/0!</v>
      </c>
      <c r="L138" s="180" t="e">
        <f t="shared" si="346"/>
        <v>#DIV/0!</v>
      </c>
      <c r="M138" s="180" t="e">
        <f t="shared" si="346"/>
        <v>#DIV/0!</v>
      </c>
      <c r="N138" s="180" t="e">
        <f t="shared" si="346"/>
        <v>#DIV/0!</v>
      </c>
      <c r="O138" s="180" t="e">
        <f t="shared" si="346"/>
        <v>#DIV/0!</v>
      </c>
      <c r="P138" s="180" t="e">
        <f t="shared" si="346"/>
        <v>#DIV/0!</v>
      </c>
      <c r="Q138" s="180" t="e">
        <f t="shared" ref="Q138" si="347">Q27/Q14</f>
        <v>#DIV/0!</v>
      </c>
      <c r="R138" s="118" t="e">
        <f t="shared" si="221"/>
        <v>#DIV/0!</v>
      </c>
      <c r="S138" s="128"/>
      <c r="T138" s="20" t="e">
        <f t="shared" ref="T138:AC138" si="348">T27/T14</f>
        <v>#DIV/0!</v>
      </c>
      <c r="U138" s="20" t="e">
        <f t="shared" si="348"/>
        <v>#DIV/0!</v>
      </c>
      <c r="V138" s="20" t="e">
        <f t="shared" si="348"/>
        <v>#DIV/0!</v>
      </c>
      <c r="W138" s="20" t="e">
        <f t="shared" si="348"/>
        <v>#DIV/0!</v>
      </c>
      <c r="X138" s="20" t="e">
        <f t="shared" si="348"/>
        <v>#DIV/0!</v>
      </c>
      <c r="Y138" s="20" t="e">
        <f t="shared" si="348"/>
        <v>#DIV/0!</v>
      </c>
      <c r="Z138" s="20" t="e">
        <f t="shared" si="348"/>
        <v>#DIV/0!</v>
      </c>
      <c r="AA138" s="20" t="e">
        <f t="shared" si="348"/>
        <v>#DIV/0!</v>
      </c>
      <c r="AB138" s="20" t="e">
        <f t="shared" si="348"/>
        <v>#DIV/0!</v>
      </c>
      <c r="AC138" s="20" t="e">
        <f t="shared" si="348"/>
        <v>#DIV/0!</v>
      </c>
      <c r="AD138" s="118" t="e">
        <f t="shared" si="323"/>
        <v>#DIV/0!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102.54079201789195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592.6940582086487</v>
      </c>
      <c r="T142" s="133">
        <f>PV($C$1, ($AC$3-$T$3), 0, -AC54)</f>
        <v>51.538613757273787</v>
      </c>
      <c r="U142" s="133">
        <f>PV($C$1, ($AC$3-$T$3), 0, -AF54)</f>
        <v>541.15544445137493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49">T143+U143</f>
        <v>1388.5975078031199</v>
      </c>
      <c r="T143" s="133">
        <f>PV($C$1, ($AC$3-$T$3), 0, -AC56)</f>
        <v>120.74760937418432</v>
      </c>
      <c r="U143" s="133">
        <f>PV($C$1, ($AC$3-$T$3), 0, -AF56)</f>
        <v>1267.8498984289356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49"/>
        <v>1129.5055337861961</v>
      </c>
      <c r="T144" s="133">
        <f>PV($C$1, ($AC$3-$T$3), 0, -AC57)</f>
        <v>98.21787250314749</v>
      </c>
      <c r="U144" s="133">
        <f>PV($C$1, ($AC$3-$T$3), 0, -AF57)</f>
        <v>1031.2876612830487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49"/>
        <v>0</v>
      </c>
      <c r="T145" s="133">
        <f>PV($C$1, ($AC$3-$T$3), 0, -AC58)</f>
        <v>0</v>
      </c>
      <c r="U145" s="133">
        <f>PV($C$1, ($AC$3-$T$3), 0, -AF58)</f>
        <v>0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49"/>
        <v>155.79386672913057</v>
      </c>
      <c r="T146" s="133">
        <f>PV($C$1, ($AC$3-$T$3), 0, -AC64)</f>
        <v>13.54729275905483</v>
      </c>
      <c r="U146" s="133">
        <f>PV($C$1, ($AC$3-$T$3), 0, -AF64)</f>
        <v>142.24657397007573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49"/>
        <v>1388.5975078031199</v>
      </c>
      <c r="T148" s="133">
        <f>PV($C$1, ($AC$3-$T$3), 0, -AC60)</f>
        <v>120.74760937418432</v>
      </c>
      <c r="U148" s="133">
        <f>PV($C$1, ($AC$3-$T$3), 0, -$AF$60)</f>
        <v>1267.8498984289356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49"/>
        <v>987.25895981612086</v>
      </c>
      <c r="T149" s="133">
        <f>PV($C$1, ($AC$3-$T$3), 0, -AC61)</f>
        <v>85.848605201401796</v>
      </c>
      <c r="U149" s="133">
        <f>PV($C$1, ($AC$3-$T$3), 0, -$AF$61)</f>
        <v>901.41035461471904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49"/>
        <v>1883.0736935086211</v>
      </c>
      <c r="T150" s="133">
        <f>PV($C$1, ($AC$3-$T$3), 0, -AC62)</f>
        <v>163.74553856596702</v>
      </c>
      <c r="U150" s="133">
        <f>PV($C$1, ($AC$3-$T$3), 0, -$AF$62)</f>
        <v>1719.328154942654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49"/>
        <v>895.81473369250057</v>
      </c>
      <c r="T152" s="133">
        <f>PV($C$1, ($AC$3-$T$3), 0, -AC67)</f>
        <v>77.896933364565257</v>
      </c>
      <c r="U152" s="133">
        <f>PV($C$1, ($AC$3-$T$3), 0, -AF67)</f>
        <v>817.91780032793531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49"/>
        <v>329.65079047033419</v>
      </c>
      <c r="T153" s="133">
        <f>PV($C$1, ($AC$3-$T$3), 0, -AC68)</f>
        <v>42.997929191782717</v>
      </c>
      <c r="U153" s="133">
        <f>PV($C$1, ($AC$3-$T$3), 0, -AF68)</f>
        <v>286.65286127855148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50">T155+U155</f>
        <v>1216.7000000000003</v>
      </c>
      <c r="T155" s="133">
        <f>PV($C$1, ($AC$3-$T$3), 0, -AC12)</f>
        <v>105.80000000000003</v>
      </c>
      <c r="U155" s="133">
        <f>PV($C$1, ($AC$3-$T$3), 0, -AF12)</f>
        <v>1110.9000000000003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172.09335219236215</v>
      </c>
      <c r="T156" s="140">
        <f>T155/P42</f>
        <v>14.964639321074968</v>
      </c>
      <c r="U156" s="140">
        <f>U155/P42</f>
        <v>157.12871287128718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51">T159+U159</f>
        <v>228.21046317280826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150.42083255755418</v>
      </c>
      <c r="U159" s="133">
        <f>PV($C$1, ($AC$3-$T$3), 0, -AF70)</f>
        <v>77.789630615254097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49"/>
        <v>2550.5478701107668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1681.1478701107662</v>
      </c>
      <c r="U161" s="133">
        <f>PV($C$1, ($AC$3-$T$3), 0, -AF72)</f>
        <v>869.40000000000043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52">T163+U163</f>
        <v>326.58807837782894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215.26467266211748</v>
      </c>
      <c r="U163" s="133">
        <f>PV($C$1, ($AC$3-$T$3), 0, -AF74)</f>
        <v>111.32340571571146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52"/>
        <v>662.24804782170861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436.50891956484924</v>
      </c>
      <c r="U164" s="133">
        <f>PV($C$1, ($AC$3-$T$3), 0, -AF75)</f>
        <v>225.73912825685935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52"/>
        <v>-335.65996944387967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-221.24424690273182</v>
      </c>
      <c r="U165" s="133">
        <f>PV($C$1, ($AC$3-$T$3), 0, -AF76)</f>
        <v>-114.41572254114787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52"/>
        <v>-371.94753370808286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-245.16254386518926</v>
      </c>
      <c r="U166" s="133">
        <f>PV($C$1, ($AC$3-$T$3), 0, -AF77)</f>
        <v>-126.78498984289358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 t="s">
        <v>459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>S164+S165+S166</f>
        <v>-45.359455330253923</v>
      </c>
      <c r="T167" s="140">
        <f t="shared" ref="T167:U167" si="353">T164+T165+T166</f>
        <v>-29.897871203071844</v>
      </c>
      <c r="U167" s="140">
        <f t="shared" si="353"/>
        <v>-15.461584127182107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/>
      <c r="T168" s="140"/>
      <c r="U168" s="140"/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 t="s">
        <v>298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40">
        <f>T169+U169</f>
        <v>117.93458385866043</v>
      </c>
      <c r="T169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77.734465127986851</v>
      </c>
      <c r="U169" s="133">
        <f>PV($C$1, ($AC$3-$T$3), 0, -AF78)</f>
        <v>40.200118730673573</v>
      </c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183">
        <v>41729</v>
      </c>
      <c r="P170" s="20">
        <v>1150</v>
      </c>
      <c r="Q170" s="20"/>
      <c r="R170" s="20"/>
      <c r="S170" s="20"/>
      <c r="T170" s="121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108" t="s">
        <v>251</v>
      </c>
      <c r="C171" s="20"/>
      <c r="D171" s="20"/>
      <c r="E171" s="20"/>
      <c r="F171" s="20"/>
      <c r="G171" s="20">
        <v>470</v>
      </c>
      <c r="H171" s="20"/>
      <c r="I171" s="20"/>
      <c r="J171" s="20"/>
      <c r="K171" s="20"/>
      <c r="L171" s="20"/>
      <c r="M171" s="20"/>
      <c r="N171" s="20"/>
      <c r="O171" s="23" t="s">
        <v>390</v>
      </c>
      <c r="P171" s="20">
        <v>1200</v>
      </c>
      <c r="Q171" s="20"/>
      <c r="R171" s="20" t="s">
        <v>392</v>
      </c>
      <c r="S171" s="23" t="s">
        <v>391</v>
      </c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137"/>
      <c r="AE171" s="20"/>
      <c r="AF171" s="20"/>
    </row>
    <row r="172" spans="2:32" x14ac:dyDescent="0.2">
      <c r="B172" s="20" t="s">
        <v>204</v>
      </c>
      <c r="C172" s="22">
        <v>0</v>
      </c>
      <c r="D172" s="22">
        <v>0</v>
      </c>
      <c r="E172" s="22">
        <v>0</v>
      </c>
      <c r="F172" s="22">
        <v>0</v>
      </c>
      <c r="G172" s="22">
        <v>700</v>
      </c>
      <c r="H172" s="22">
        <v>650</v>
      </c>
      <c r="I172" s="22">
        <v>1600</v>
      </c>
      <c r="J172" s="22">
        <v>2000</v>
      </c>
      <c r="K172" s="22">
        <v>3000</v>
      </c>
      <c r="L172" s="22">
        <v>2120</v>
      </c>
      <c r="M172" s="22">
        <v>4900</v>
      </c>
      <c r="N172" s="22">
        <v>5600</v>
      </c>
      <c r="O172" s="22">
        <v>920</v>
      </c>
      <c r="P172" s="22">
        <v>750</v>
      </c>
      <c r="Q172" s="22">
        <v>750</v>
      </c>
      <c r="R172" s="118">
        <f t="shared" ref="R172:R177" si="354">((P172/G172)^(1/($H$2-$H$1) ))-1</f>
        <v>7.6953326522022358E-3</v>
      </c>
      <c r="S172" s="31">
        <f>L2-3%</f>
        <v>0.12</v>
      </c>
      <c r="T172" s="119">
        <f t="shared" ref="T172" si="355">P172*(1+$S172)</f>
        <v>840.00000000000011</v>
      </c>
      <c r="U172" s="119">
        <f t="shared" ref="U172:AC172" si="356">T172*(1+$S172)</f>
        <v>940.80000000000018</v>
      </c>
      <c r="V172" s="119">
        <f t="shared" si="356"/>
        <v>1053.6960000000004</v>
      </c>
      <c r="W172" s="119">
        <f t="shared" si="356"/>
        <v>1180.1395200000006</v>
      </c>
      <c r="X172" s="119">
        <f t="shared" si="356"/>
        <v>1321.7562624000009</v>
      </c>
      <c r="Y172" s="119">
        <f t="shared" si="356"/>
        <v>1480.3670138880011</v>
      </c>
      <c r="Z172" s="119">
        <f t="shared" si="356"/>
        <v>1658.0110555545614</v>
      </c>
      <c r="AA172" s="119">
        <f t="shared" si="356"/>
        <v>1856.972382221109</v>
      </c>
      <c r="AB172" s="119">
        <f t="shared" si="356"/>
        <v>2079.8090680876421</v>
      </c>
      <c r="AC172" s="119">
        <f t="shared" si="356"/>
        <v>2329.3861562581592</v>
      </c>
      <c r="AD172" s="138">
        <f t="shared" ref="AD172:AD177" si="357">((AC172/G172)^(1/($AC$3-$H$1) ))-1</f>
        <v>6.1957588186301704E-2</v>
      </c>
      <c r="AE172" s="31">
        <v>0.08</v>
      </c>
      <c r="AF172" s="127">
        <f t="shared" ref="AF172:AF180" si="358">(AC172*(1+AD172))/($C$1-AE172)</f>
        <v>35338.704349349639</v>
      </c>
    </row>
    <row r="173" spans="2:32" x14ac:dyDescent="0.2">
      <c r="B173" s="20" t="s">
        <v>361</v>
      </c>
      <c r="C173" s="25" t="e">
        <f t="shared" ref="C173:P173" si="359">C172/C50</f>
        <v>#DIV/0!</v>
      </c>
      <c r="D173" s="25" t="e">
        <f t="shared" si="359"/>
        <v>#DIV/0!</v>
      </c>
      <c r="E173" s="25" t="e">
        <f t="shared" si="359"/>
        <v>#DIV/0!</v>
      </c>
      <c r="F173" s="25" t="e">
        <f t="shared" si="359"/>
        <v>#DIV/0!</v>
      </c>
      <c r="G173" s="25">
        <f t="shared" si="359"/>
        <v>6.0343835616438355</v>
      </c>
      <c r="H173" s="25">
        <f t="shared" si="359"/>
        <v>4.4977173913043478</v>
      </c>
      <c r="I173" s="25">
        <f t="shared" si="359"/>
        <v>3.676190476190476</v>
      </c>
      <c r="J173" s="25">
        <f t="shared" si="359"/>
        <v>3.5651105651105652</v>
      </c>
      <c r="K173" s="25">
        <f t="shared" si="359"/>
        <v>4.1051136363636367</v>
      </c>
      <c r="L173" s="25">
        <f t="shared" si="359"/>
        <v>2.7499102333931775</v>
      </c>
      <c r="M173" s="25">
        <f t="shared" si="359"/>
        <v>4.9821346704871061</v>
      </c>
      <c r="N173" s="25">
        <f t="shared" si="359"/>
        <v>46.710588235294118</v>
      </c>
      <c r="O173" s="25">
        <f t="shared" si="359"/>
        <v>6.4713426853707405</v>
      </c>
      <c r="P173" s="25">
        <f t="shared" si="359"/>
        <v>4.7684352517985609</v>
      </c>
      <c r="Q173" s="25">
        <f t="shared" ref="Q173" si="360">Q172/Q50</f>
        <v>4.242</v>
      </c>
      <c r="R173" s="118">
        <f t="shared" ref="R173" si="361">((P173/G173)^(1/($H$2-$H$1) ))-1</f>
        <v>-2.5822468617189842E-2</v>
      </c>
      <c r="S173" s="128"/>
      <c r="T173" s="25">
        <f t="shared" ref="T173:AC173" si="362">T172/T50</f>
        <v>4.1726525217391313</v>
      </c>
      <c r="U173" s="25">
        <f t="shared" si="362"/>
        <v>4.1044387239924403</v>
      </c>
      <c r="V173" s="25">
        <f t="shared" si="362"/>
        <v>4.0373400735480436</v>
      </c>
      <c r="W173" s="25">
        <f t="shared" si="362"/>
        <v>3.9713383401717803</v>
      </c>
      <c r="X173" s="25">
        <f t="shared" si="362"/>
        <v>3.9064155916541905</v>
      </c>
      <c r="Y173" s="25">
        <f t="shared" si="362"/>
        <v>3.8425541889384527</v>
      </c>
      <c r="Z173" s="25">
        <f t="shared" si="362"/>
        <v>3.7797367813279816</v>
      </c>
      <c r="AA173" s="25">
        <f t="shared" si="362"/>
        <v>3.71794630177236</v>
      </c>
      <c r="AB173" s="25">
        <f t="shared" si="362"/>
        <v>3.6571659622303425</v>
      </c>
      <c r="AC173" s="25">
        <f t="shared" si="362"/>
        <v>3.5973792491086649</v>
      </c>
      <c r="AD173" s="138">
        <f t="shared" ref="AD173" si="363">((AC173/G173)^(1/($AC$3-$H$1) ))-1</f>
        <v>-2.5531812557641476E-2</v>
      </c>
      <c r="AE173" s="31">
        <v>0.08</v>
      </c>
      <c r="AF173" s="127">
        <f t="shared" ref="AF173" si="364">(AC173*(1+AD173))/($C$1-AE173)</f>
        <v>50.079023377452486</v>
      </c>
    </row>
    <row r="174" spans="2:32" x14ac:dyDescent="0.2">
      <c r="B174" s="20" t="s">
        <v>389</v>
      </c>
      <c r="C174" s="25" t="e">
        <f t="shared" ref="C174:P174" si="365">C172/C54</f>
        <v>#DIV/0!</v>
      </c>
      <c r="D174" s="25" t="e">
        <f t="shared" si="365"/>
        <v>#DIV/0!</v>
      </c>
      <c r="E174" s="25" t="e">
        <f t="shared" si="365"/>
        <v>#DIV/0!</v>
      </c>
      <c r="F174" s="25" t="e">
        <f t="shared" si="365"/>
        <v>#DIV/0!</v>
      </c>
      <c r="G174" s="25">
        <f t="shared" si="365"/>
        <v>24.554626532887401</v>
      </c>
      <c r="H174" s="25">
        <f t="shared" si="365"/>
        <v>18.808636363636364</v>
      </c>
      <c r="I174" s="25">
        <f t="shared" si="365"/>
        <v>17.602605863192181</v>
      </c>
      <c r="J174" s="25">
        <f t="shared" si="365"/>
        <v>17.273809523809526</v>
      </c>
      <c r="K174" s="25">
        <f t="shared" si="365"/>
        <v>15.427046263345197</v>
      </c>
      <c r="L174" s="25">
        <f t="shared" si="365"/>
        <v>9.5136645962732924</v>
      </c>
      <c r="M174" s="25">
        <f t="shared" si="365"/>
        <v>16.963560975609756</v>
      </c>
      <c r="N174" s="25">
        <f t="shared" si="365"/>
        <v>192.73786407766991</v>
      </c>
      <c r="O174" s="25">
        <f t="shared" si="365"/>
        <v>29.356363636363636</v>
      </c>
      <c r="P174" s="25">
        <f t="shared" si="365"/>
        <v>17.793624161073826</v>
      </c>
      <c r="Q174" s="25">
        <f t="shared" ref="Q174" si="366">Q172/Q54</f>
        <v>15.15</v>
      </c>
      <c r="R174" s="118">
        <f t="shared" si="354"/>
        <v>-3.5151760181981406E-2</v>
      </c>
      <c r="S174" s="128"/>
      <c r="T174" s="119">
        <f t="shared" ref="T174:AC174" si="367">T172/T54</f>
        <v>14.902330434782614</v>
      </c>
      <c r="U174" s="119">
        <f t="shared" si="367"/>
        <v>14.65870972854443</v>
      </c>
      <c r="V174" s="119">
        <f t="shared" si="367"/>
        <v>14.41907169124301</v>
      </c>
      <c r="W174" s="119">
        <f t="shared" si="367"/>
        <v>14.183351214899217</v>
      </c>
      <c r="X174" s="119">
        <f t="shared" si="367"/>
        <v>13.951484255907824</v>
      </c>
      <c r="Y174" s="119">
        <f t="shared" si="367"/>
        <v>13.723407817637334</v>
      </c>
      <c r="Z174" s="119">
        <f t="shared" si="367"/>
        <v>13.499059933314221</v>
      </c>
      <c r="AA174" s="119">
        <f t="shared" si="367"/>
        <v>13.278379649187004</v>
      </c>
      <c r="AB174" s="119">
        <f t="shared" si="367"/>
        <v>13.061307007965512</v>
      </c>
      <c r="AC174" s="119">
        <f t="shared" si="367"/>
        <v>12.847783032530945</v>
      </c>
      <c r="AD174" s="138">
        <f t="shared" si="357"/>
        <v>-3.1867625954411616E-2</v>
      </c>
      <c r="AE174" s="31">
        <v>0.08</v>
      </c>
      <c r="AF174" s="127">
        <f t="shared" si="358"/>
        <v>177.69078126438305</v>
      </c>
    </row>
    <row r="175" spans="2:32" x14ac:dyDescent="0.2">
      <c r="B175" s="20" t="s">
        <v>258</v>
      </c>
      <c r="C175" s="25" t="e">
        <f t="shared" ref="C175:P175" si="368">C172/C57</f>
        <v>#DIV/0!</v>
      </c>
      <c r="D175" s="25" t="e">
        <f t="shared" si="368"/>
        <v>#DIV/0!</v>
      </c>
      <c r="E175" s="25" t="e">
        <f t="shared" si="368"/>
        <v>#DIV/0!</v>
      </c>
      <c r="F175" s="25" t="e">
        <f t="shared" si="368"/>
        <v>#DIV/0!</v>
      </c>
      <c r="G175" s="25">
        <f t="shared" si="368"/>
        <v>4.9495505617977527</v>
      </c>
      <c r="H175" s="25">
        <f t="shared" si="368"/>
        <v>3.9787500000000002</v>
      </c>
      <c r="I175" s="25">
        <f t="shared" si="368"/>
        <v>5.9384615384615387</v>
      </c>
      <c r="J175" s="25">
        <f t="shared" si="368"/>
        <v>5.3740740740740742</v>
      </c>
      <c r="K175" s="25">
        <f t="shared" si="368"/>
        <v>6.1928571428571431</v>
      </c>
      <c r="L175" s="25">
        <f t="shared" si="368"/>
        <v>3.5955399061032867</v>
      </c>
      <c r="M175" s="25">
        <f t="shared" si="368"/>
        <v>8.9858656330749351</v>
      </c>
      <c r="N175" s="25">
        <f t="shared" si="368"/>
        <v>97.793103448275872</v>
      </c>
      <c r="O175" s="25">
        <f t="shared" si="368"/>
        <v>12.372413793103448</v>
      </c>
      <c r="P175" s="25">
        <f t="shared" si="368"/>
        <v>7.9497751124437785</v>
      </c>
      <c r="Q175" s="25">
        <f t="shared" ref="Q175" si="369">Q172/Q57</f>
        <v>7.9497751124437785</v>
      </c>
      <c r="R175" s="118">
        <f t="shared" si="354"/>
        <v>5.4060291998649257E-2</v>
      </c>
      <c r="S175" s="128"/>
      <c r="T175" s="119">
        <f t="shared" ref="T175:AC175" si="370">T172/T57</f>
        <v>7.8198135714751338</v>
      </c>
      <c r="U175" s="119">
        <f t="shared" si="370"/>
        <v>7.6919766191762378</v>
      </c>
      <c r="V175" s="119">
        <f t="shared" si="370"/>
        <v>7.5662295231410104</v>
      </c>
      <c r="W175" s="119">
        <f t="shared" si="370"/>
        <v>7.4425381187627062</v>
      </c>
      <c r="X175" s="119">
        <f t="shared" si="370"/>
        <v>7.320868799951632</v>
      </c>
      <c r="Y175" s="119">
        <f t="shared" si="370"/>
        <v>7.2011885100045969</v>
      </c>
      <c r="Z175" s="119">
        <f t="shared" si="370"/>
        <v>7.0834647326236544</v>
      </c>
      <c r="AA175" s="119">
        <f t="shared" si="370"/>
        <v>6.9676654830816345</v>
      </c>
      <c r="AB175" s="119">
        <f t="shared" si="370"/>
        <v>6.8537592995321255</v>
      </c>
      <c r="AC175" s="119">
        <f t="shared" si="370"/>
        <v>6.7417152344615143</v>
      </c>
      <c r="AD175" s="138">
        <f t="shared" si="357"/>
        <v>1.5570862069120839E-2</v>
      </c>
      <c r="AE175" s="31">
        <v>0.08</v>
      </c>
      <c r="AF175" s="127">
        <f t="shared" si="358"/>
        <v>97.80985074980866</v>
      </c>
    </row>
    <row r="176" spans="2:32" x14ac:dyDescent="0.2">
      <c r="B176" s="20" t="s">
        <v>259</v>
      </c>
      <c r="C176" s="25" t="e">
        <f t="shared" ref="C176:P176" si="371">C172/C66</f>
        <v>#DIV/0!</v>
      </c>
      <c r="D176" s="25" t="e">
        <f t="shared" si="371"/>
        <v>#DIV/0!</v>
      </c>
      <c r="E176" s="25" t="e">
        <f t="shared" si="371"/>
        <v>#DIV/0!</v>
      </c>
      <c r="F176" s="25" t="e">
        <f t="shared" si="371"/>
        <v>#DIV/0!</v>
      </c>
      <c r="G176" s="25">
        <f t="shared" si="371"/>
        <v>7.0855718192054038</v>
      </c>
      <c r="H176" s="25">
        <f t="shared" si="371"/>
        <v>5.3392258064516129</v>
      </c>
      <c r="I176" s="25">
        <f t="shared" si="371"/>
        <v>13.856410256410257</v>
      </c>
      <c r="J176" s="25">
        <f t="shared" si="371"/>
        <v>10.393982808022923</v>
      </c>
      <c r="K176" s="25">
        <f t="shared" si="371"/>
        <v>9.03125</v>
      </c>
      <c r="L176" s="25">
        <f t="shared" si="371"/>
        <v>5.8239543726235743</v>
      </c>
      <c r="M176" s="25">
        <f t="shared" si="371"/>
        <v>18.546826666666664</v>
      </c>
      <c r="N176" s="25">
        <f t="shared" si="371"/>
        <v>144.98448055504841</v>
      </c>
      <c r="O176" s="25">
        <f t="shared" si="371"/>
        <v>24.098507462686566</v>
      </c>
      <c r="P176" s="25">
        <f t="shared" si="371"/>
        <v>19.785447761194028</v>
      </c>
      <c r="Q176" s="25">
        <f t="shared" ref="Q176" si="372">Q172/Q66</f>
        <v>19.785447761194028</v>
      </c>
      <c r="R176" s="118">
        <f t="shared" si="354"/>
        <v>0.12086247802861871</v>
      </c>
      <c r="S176" s="128"/>
      <c r="T176" s="119">
        <f t="shared" ref="T176:AC176" si="373">T172/T66</f>
        <v>19.461998702141475</v>
      </c>
      <c r="U176" s="119">
        <f t="shared" si="373"/>
        <v>19.143837332054293</v>
      </c>
      <c r="V176" s="119">
        <f t="shared" si="373"/>
        <v>18.830877208712888</v>
      </c>
      <c r="W176" s="119">
        <f t="shared" si="373"/>
        <v>18.52303330304002</v>
      </c>
      <c r="X176" s="119">
        <f t="shared" si="373"/>
        <v>18.220221975999024</v>
      </c>
      <c r="Y176" s="119">
        <f t="shared" si="373"/>
        <v>17.922360955869646</v>
      </c>
      <c r="Z176" s="119">
        <f t="shared" si="373"/>
        <v>17.629369315895435</v>
      </c>
      <c r="AA176" s="119">
        <f t="shared" si="373"/>
        <v>17.341167452296453</v>
      </c>
      <c r="AB176" s="119">
        <f t="shared" si="373"/>
        <v>17.05767706264152</v>
      </c>
      <c r="AC176" s="119">
        <f t="shared" si="373"/>
        <v>16.778821124573991</v>
      </c>
      <c r="AD176" s="138">
        <f t="shared" si="357"/>
        <v>4.4045262361717574E-2</v>
      </c>
      <c r="AE176" s="31">
        <v>0.08</v>
      </c>
      <c r="AF176" s="127">
        <f t="shared" si="358"/>
        <v>250.25498147323117</v>
      </c>
    </row>
    <row r="177" spans="2:46" x14ac:dyDescent="0.2">
      <c r="B177" s="20" t="s">
        <v>260</v>
      </c>
      <c r="C177" s="25" t="e">
        <f t="shared" ref="C177:P177" si="374">C172/C68</f>
        <v>#DIV/0!</v>
      </c>
      <c r="D177" s="25" t="e">
        <f t="shared" si="374"/>
        <v>#DIV/0!</v>
      </c>
      <c r="E177" s="25" t="e">
        <f t="shared" si="374"/>
        <v>#DIV/0!</v>
      </c>
      <c r="F177" s="25" t="e">
        <f t="shared" si="374"/>
        <v>#DIV/0!</v>
      </c>
      <c r="G177" s="25">
        <f t="shared" si="374"/>
        <v>-67.770769230769218</v>
      </c>
      <c r="H177" s="25">
        <f t="shared" si="374"/>
        <v>333.70161290322585</v>
      </c>
      <c r="I177" s="25">
        <f t="shared" si="374"/>
        <v>34.094637223974765</v>
      </c>
      <c r="J177" s="25">
        <f t="shared" si="374"/>
        <v>34.804509474694179</v>
      </c>
      <c r="K177" s="25">
        <f t="shared" si="374"/>
        <v>19.88532110091743</v>
      </c>
      <c r="L177" s="25">
        <f t="shared" si="374"/>
        <v>11.603787878787879</v>
      </c>
      <c r="M177" s="25">
        <f t="shared" si="374"/>
        <v>24.318391608391607</v>
      </c>
      <c r="N177" s="25">
        <f t="shared" si="374"/>
        <v>233.5529411764706</v>
      </c>
      <c r="O177" s="25">
        <f t="shared" si="374"/>
        <v>-121.85660377358491</v>
      </c>
      <c r="P177" s="25">
        <f t="shared" si="374"/>
        <v>18.159246575342468</v>
      </c>
      <c r="Q177" s="25">
        <f t="shared" ref="Q177" si="375">Q172/Q68</f>
        <v>18.159246575342468</v>
      </c>
      <c r="R177" s="118">
        <f t="shared" si="354"/>
        <v>-1.8638743937148075</v>
      </c>
      <c r="S177" s="128"/>
      <c r="T177" s="119">
        <f t="shared" ref="T177:AC177" si="376">T172/T68</f>
        <v>17.862382370458612</v>
      </c>
      <c r="U177" s="119">
        <f t="shared" si="376"/>
        <v>17.570371249967639</v>
      </c>
      <c r="V177" s="119">
        <f t="shared" si="376"/>
        <v>17.283133876489913</v>
      </c>
      <c r="W177" s="119">
        <f t="shared" si="376"/>
        <v>17.000592209639471</v>
      </c>
      <c r="X177" s="119">
        <f t="shared" si="376"/>
        <v>16.722669484821022</v>
      </c>
      <c r="Y177" s="119">
        <f t="shared" si="376"/>
        <v>16.449290192373514</v>
      </c>
      <c r="Z177" s="119">
        <f t="shared" si="376"/>
        <v>16.180380057054712</v>
      </c>
      <c r="AA177" s="119">
        <f t="shared" si="376"/>
        <v>15.915866017861127</v>
      </c>
      <c r="AB177" s="119">
        <f t="shared" si="376"/>
        <v>15.655676208177834</v>
      </c>
      <c r="AC177" s="119">
        <f t="shared" si="376"/>
        <v>15.399739936252839</v>
      </c>
      <c r="AD177" s="138" t="e">
        <f t="shared" si="357"/>
        <v>#NUM!</v>
      </c>
      <c r="AE177" s="31">
        <v>0.08</v>
      </c>
      <c r="AF177" s="127" t="e">
        <f t="shared" si="358"/>
        <v>#NUM!</v>
      </c>
    </row>
    <row r="178" spans="2:46" x14ac:dyDescent="0.2">
      <c r="B178" s="20" t="s">
        <v>281</v>
      </c>
      <c r="C178" s="25" t="e">
        <f>C174/C123</f>
        <v>#DIV/0!</v>
      </c>
      <c r="D178" s="25" t="e">
        <f>D174/D123</f>
        <v>#DIV/0!</v>
      </c>
      <c r="E178" s="25" t="e">
        <f>E174/E123</f>
        <v>#DIV/0!</v>
      </c>
      <c r="F178" s="25" t="e">
        <f>F174/F123</f>
        <v>#DIV/0!</v>
      </c>
      <c r="G178" s="182">
        <f t="shared" ref="G178:P178" si="377">G172/G62</f>
        <v>4.7305627147766325</v>
      </c>
      <c r="H178" s="182">
        <f t="shared" si="377"/>
        <v>3.7278378378378378</v>
      </c>
      <c r="I178" s="182">
        <f t="shared" si="377"/>
        <v>5.0037037037037031</v>
      </c>
      <c r="J178" s="182">
        <f t="shared" si="377"/>
        <v>4.7418300653594772</v>
      </c>
      <c r="K178" s="182">
        <f t="shared" si="377"/>
        <v>5.3917910447761201</v>
      </c>
      <c r="L178" s="182">
        <f t="shared" si="377"/>
        <v>3.3663736263736266</v>
      </c>
      <c r="M178" s="182">
        <f t="shared" si="377"/>
        <v>8.9627061855670096</v>
      </c>
      <c r="N178" s="182">
        <f t="shared" si="377"/>
        <v>112.15819209039549</v>
      </c>
      <c r="O178" s="182">
        <f t="shared" si="377"/>
        <v>15.487769784172661</v>
      </c>
      <c r="P178" s="182">
        <f t="shared" si="377"/>
        <v>5.4891304347826084</v>
      </c>
      <c r="Q178" s="182">
        <f t="shared" ref="Q178" si="378">Q172/Q62</f>
        <v>4.7684352517985609</v>
      </c>
      <c r="R178" s="118">
        <f t="shared" ref="R178:R181" si="379">((P178/G178)^(1/($H$2-$H$1) ))-1</f>
        <v>1.6662370926331382E-2</v>
      </c>
      <c r="S178" s="128"/>
      <c r="T178" s="135">
        <f t="shared" ref="T178:AC178" si="380">T172/T62</f>
        <v>4.6904817015952469</v>
      </c>
      <c r="U178" s="135">
        <f t="shared" si="380"/>
        <v>4.6138025224735157</v>
      </c>
      <c r="V178" s="135">
        <f t="shared" si="380"/>
        <v>4.5383768812365597</v>
      </c>
      <c r="W178" s="135">
        <f t="shared" si="380"/>
        <v>4.4641842852650404</v>
      </c>
      <c r="X178" s="135">
        <f t="shared" si="380"/>
        <v>4.3912045769494039</v>
      </c>
      <c r="Y178" s="135">
        <f t="shared" si="380"/>
        <v>4.3194179282131895</v>
      </c>
      <c r="Z178" s="135">
        <f t="shared" si="380"/>
        <v>4.2488048351258785</v>
      </c>
      <c r="AA178" s="135">
        <f t="shared" si="380"/>
        <v>4.1793461126038212</v>
      </c>
      <c r="AB178" s="135">
        <f t="shared" si="380"/>
        <v>4.1110228891977778</v>
      </c>
      <c r="AC178" s="135">
        <f t="shared" si="380"/>
        <v>4.0438166019656743</v>
      </c>
      <c r="AD178" s="138">
        <f t="shared" ref="AD178" si="381">((AC178/G178)^(1/($AC$3-$H$1) ))-1</f>
        <v>-7.8120864518017585E-3</v>
      </c>
      <c r="AE178" s="31">
        <v>0.08</v>
      </c>
      <c r="AF178" s="127">
        <f t="shared" si="358"/>
        <v>57.317513672512675</v>
      </c>
    </row>
    <row r="179" spans="2:46" x14ac:dyDescent="0.2">
      <c r="B179" s="20" t="s">
        <v>371</v>
      </c>
      <c r="C179" s="161" t="e">
        <f t="shared" ref="C179:P179" si="382">C54/C172</f>
        <v>#DIV/0!</v>
      </c>
      <c r="D179" s="161" t="e">
        <f t="shared" si="382"/>
        <v>#DIV/0!</v>
      </c>
      <c r="E179" s="161" t="e">
        <f t="shared" si="382"/>
        <v>#DIV/0!</v>
      </c>
      <c r="F179" s="161" t="e">
        <f t="shared" si="382"/>
        <v>#DIV/0!</v>
      </c>
      <c r="G179" s="161">
        <f t="shared" si="382"/>
        <v>4.0725522689609779E-2</v>
      </c>
      <c r="H179" s="161">
        <f t="shared" si="382"/>
        <v>5.3167065419657315E-2</v>
      </c>
      <c r="I179" s="161">
        <f t="shared" si="382"/>
        <v>5.680977054034049E-2</v>
      </c>
      <c r="J179" s="161">
        <f t="shared" si="382"/>
        <v>5.7891109579600274E-2</v>
      </c>
      <c r="K179" s="161">
        <f t="shared" si="382"/>
        <v>6.4821222606689724E-2</v>
      </c>
      <c r="L179" s="161">
        <f t="shared" si="382"/>
        <v>0.1051119670953842</v>
      </c>
      <c r="M179" s="161">
        <f t="shared" si="382"/>
        <v>5.89498868449733E-2</v>
      </c>
      <c r="N179" s="161">
        <f t="shared" si="382"/>
        <v>5.1883941164618174E-3</v>
      </c>
      <c r="O179" s="161">
        <f t="shared" si="382"/>
        <v>3.4064164498947107E-2</v>
      </c>
      <c r="P179" s="161">
        <f t="shared" si="382"/>
        <v>5.6199905704856196E-2</v>
      </c>
      <c r="Q179" s="161">
        <f t="shared" ref="Q179" si="383">Q54/Q172</f>
        <v>6.6006600660066014E-2</v>
      </c>
      <c r="R179" s="118">
        <f t="shared" si="379"/>
        <v>3.6432424013761455E-2</v>
      </c>
      <c r="S179" s="128"/>
      <c r="T179" s="161">
        <f t="shared" ref="T179:AC179" si="384">T54/T172</f>
        <v>6.7103598620116583E-2</v>
      </c>
      <c r="U179" s="161">
        <f t="shared" si="384"/>
        <v>6.8218828158711164E-2</v>
      </c>
      <c r="V179" s="161">
        <f t="shared" si="384"/>
        <v>6.9352592275917446E-2</v>
      </c>
      <c r="W179" s="161">
        <f t="shared" si="384"/>
        <v>7.0505199007518601E-2</v>
      </c>
      <c r="X179" s="161">
        <f t="shared" si="384"/>
        <v>7.1676961508704354E-2</v>
      </c>
      <c r="Y179" s="161">
        <f t="shared" si="384"/>
        <v>7.2868198139153101E-2</v>
      </c>
      <c r="Z179" s="161">
        <f t="shared" si="384"/>
        <v>7.4079232549527987E-2</v>
      </c>
      <c r="AA179" s="161">
        <f t="shared" si="384"/>
        <v>7.5310393769410497E-2</v>
      </c>
      <c r="AB179" s="161">
        <f t="shared" si="384"/>
        <v>7.6562016296695595E-2</v>
      </c>
      <c r="AC179" s="161">
        <f t="shared" si="384"/>
        <v>7.7834440188472367E-2</v>
      </c>
      <c r="AD179" s="138">
        <f t="shared" ref="AD179:AD181" si="385">((AC179/G179)^(1/($AC$3-$H$1) ))-1</f>
        <v>3.2916599845994821E-2</v>
      </c>
      <c r="AE179" s="31">
        <v>0.08</v>
      </c>
      <c r="AF179" s="127">
        <f t="shared" si="358"/>
        <v>1.1485212187199048</v>
      </c>
    </row>
    <row r="180" spans="2:46" x14ac:dyDescent="0.2">
      <c r="B180" s="20" t="s">
        <v>320</v>
      </c>
      <c r="C180" s="152" t="e">
        <f t="shared" ref="C180:P180" si="386">C44/C172</f>
        <v>#DIV/0!</v>
      </c>
      <c r="D180" s="152" t="e">
        <f t="shared" si="386"/>
        <v>#DIV/0!</v>
      </c>
      <c r="E180" s="152" t="e">
        <f t="shared" si="386"/>
        <v>#DIV/0!</v>
      </c>
      <c r="F180" s="152" t="e">
        <f t="shared" si="386"/>
        <v>#DIV/0!</v>
      </c>
      <c r="G180" s="152">
        <f t="shared" si="386"/>
        <v>1.4285714285714285E-2</v>
      </c>
      <c r="H180" s="152">
        <f t="shared" si="386"/>
        <v>1.9230769230769232E-2</v>
      </c>
      <c r="I180" s="152">
        <f t="shared" si="386"/>
        <v>1.5625E-2</v>
      </c>
      <c r="J180" s="152">
        <f t="shared" si="386"/>
        <v>1.2500000000000001E-2</v>
      </c>
      <c r="K180" s="152">
        <f t="shared" si="386"/>
        <v>2.3333333333333334E-2</v>
      </c>
      <c r="L180" s="152">
        <f t="shared" si="386"/>
        <v>4.716981132075472E-2</v>
      </c>
      <c r="M180" s="152">
        <f t="shared" si="386"/>
        <v>4.0816326530612242E-2</v>
      </c>
      <c r="N180" s="152">
        <f t="shared" si="386"/>
        <v>1.9642857142857144E-3</v>
      </c>
      <c r="O180" s="152">
        <f t="shared" si="386"/>
        <v>1.7391304347826087E-2</v>
      </c>
      <c r="P180" s="152">
        <f t="shared" si="386"/>
        <v>2.1333333333333333E-2</v>
      </c>
      <c r="Q180" s="152">
        <f t="shared" ref="Q180" si="387">Q44/Q172</f>
        <v>2.1333333333333333E-2</v>
      </c>
      <c r="R180" s="118">
        <f t="shared" si="379"/>
        <v>4.5564311702840365E-2</v>
      </c>
      <c r="S180" s="128"/>
      <c r="T180" s="152">
        <f t="shared" ref="T180:AC180" si="388">T44/T172</f>
        <v>1.9999999999999997E-2</v>
      </c>
      <c r="U180" s="152">
        <f t="shared" si="388"/>
        <v>1.8749999999999996E-2</v>
      </c>
      <c r="V180" s="152">
        <f t="shared" si="388"/>
        <v>1.7578124999999997E-2</v>
      </c>
      <c r="W180" s="152">
        <f t="shared" si="388"/>
        <v>1.6479492187499993E-2</v>
      </c>
      <c r="X180" s="152">
        <f t="shared" si="388"/>
        <v>1.5449523925781245E-2</v>
      </c>
      <c r="Y180" s="152">
        <f t="shared" si="388"/>
        <v>1.4483928680419915E-2</v>
      </c>
      <c r="Z180" s="152">
        <f t="shared" si="388"/>
        <v>1.357868313789367E-2</v>
      </c>
      <c r="AA180" s="152">
        <f t="shared" si="388"/>
        <v>1.2730015441775313E-2</v>
      </c>
      <c r="AB180" s="152">
        <f t="shared" si="388"/>
        <v>1.1934389476664357E-2</v>
      </c>
      <c r="AC180" s="152">
        <f t="shared" si="388"/>
        <v>1.1188490134372835E-2</v>
      </c>
      <c r="AD180" s="138">
        <f t="shared" si="385"/>
        <v>-1.2144377199214906E-2</v>
      </c>
      <c r="AE180" s="31">
        <v>0.08</v>
      </c>
      <c r="AF180" s="127">
        <f t="shared" si="358"/>
        <v>0.15789446985559025</v>
      </c>
    </row>
    <row r="181" spans="2:46" x14ac:dyDescent="0.2">
      <c r="B181" s="20" t="s">
        <v>447</v>
      </c>
      <c r="C181" s="181" t="e">
        <f t="shared" ref="C181:O181" si="389">(C174)/($L$2*100)</f>
        <v>#DIV/0!</v>
      </c>
      <c r="D181" s="181" t="e">
        <f t="shared" si="389"/>
        <v>#DIV/0!</v>
      </c>
      <c r="E181" s="181" t="e">
        <f t="shared" si="389"/>
        <v>#DIV/0!</v>
      </c>
      <c r="F181" s="181" t="e">
        <f t="shared" si="389"/>
        <v>#DIV/0!</v>
      </c>
      <c r="G181" s="181">
        <f t="shared" si="389"/>
        <v>1.6369751021924934</v>
      </c>
      <c r="H181" s="181">
        <f t="shared" si="389"/>
        <v>1.2539090909090909</v>
      </c>
      <c r="I181" s="181">
        <f t="shared" si="389"/>
        <v>1.1735070575461455</v>
      </c>
      <c r="J181" s="181">
        <f t="shared" si="389"/>
        <v>1.1515873015873017</v>
      </c>
      <c r="K181" s="181">
        <f t="shared" si="389"/>
        <v>1.0284697508896798</v>
      </c>
      <c r="L181" s="181">
        <f t="shared" si="389"/>
        <v>0.63424430641821949</v>
      </c>
      <c r="M181" s="181">
        <f t="shared" si="389"/>
        <v>1.1309040650406503</v>
      </c>
      <c r="N181" s="181">
        <f t="shared" si="389"/>
        <v>12.849190938511327</v>
      </c>
      <c r="O181" s="181">
        <f t="shared" si="389"/>
        <v>1.957090909090909</v>
      </c>
      <c r="P181" s="181">
        <f>(P174)/($L$2*100)</f>
        <v>1.186241610738255</v>
      </c>
      <c r="Q181" s="181">
        <f>(Q174)/($L$2*100)</f>
        <v>1.01</v>
      </c>
      <c r="R181" s="118">
        <f t="shared" si="379"/>
        <v>-3.5151760181981406E-2</v>
      </c>
      <c r="S181" s="128"/>
      <c r="T181" s="181">
        <f>(T174)/($L$2*100)</f>
        <v>0.99348869565217435</v>
      </c>
      <c r="U181" s="181">
        <f t="shared" ref="U181:AC181" si="390">(U174)/($L$2*100)</f>
        <v>0.97724731523629538</v>
      </c>
      <c r="V181" s="181">
        <f t="shared" si="390"/>
        <v>0.9612714460828673</v>
      </c>
      <c r="W181" s="181">
        <f t="shared" si="390"/>
        <v>0.94555674765994779</v>
      </c>
      <c r="X181" s="181">
        <f t="shared" si="390"/>
        <v>0.93009895039385493</v>
      </c>
      <c r="Y181" s="181">
        <f t="shared" si="390"/>
        <v>0.91489385450915561</v>
      </c>
      <c r="Z181" s="181">
        <f t="shared" si="390"/>
        <v>0.8999373288876148</v>
      </c>
      <c r="AA181" s="181">
        <f t="shared" si="390"/>
        <v>0.88522530994580029</v>
      </c>
      <c r="AB181" s="181">
        <f t="shared" si="390"/>
        <v>0.87075380053103413</v>
      </c>
      <c r="AC181" s="181">
        <f t="shared" si="390"/>
        <v>0.8565188688353963</v>
      </c>
      <c r="AD181" s="138">
        <f t="shared" si="385"/>
        <v>-3.1867625954411616E-2</v>
      </c>
      <c r="AE181" s="31">
        <v>0.08</v>
      </c>
      <c r="AF181" s="181">
        <f>(AF174)/($L$2*100)</f>
        <v>11.846052084292204</v>
      </c>
    </row>
    <row r="182" spans="2:46" x14ac:dyDescent="0.2">
      <c r="B182" s="20" t="s">
        <v>448</v>
      </c>
      <c r="C182" s="152"/>
      <c r="D182" s="152"/>
      <c r="E182" s="152"/>
      <c r="F182" s="152"/>
      <c r="G182" s="152">
        <f t="shared" ref="G182:P182" si="391">G181-1</f>
        <v>0.63697510219249343</v>
      </c>
      <c r="H182" s="152">
        <f t="shared" si="391"/>
        <v>0.25390909090909086</v>
      </c>
      <c r="I182" s="152">
        <f t="shared" si="391"/>
        <v>0.17350705754614548</v>
      </c>
      <c r="J182" s="152">
        <f t="shared" si="391"/>
        <v>0.15158730158730171</v>
      </c>
      <c r="K182" s="152">
        <f t="shared" si="391"/>
        <v>2.8469750889679846E-2</v>
      </c>
      <c r="L182" s="152">
        <f t="shared" si="391"/>
        <v>-0.36575569358178051</v>
      </c>
      <c r="M182" s="152">
        <f t="shared" si="391"/>
        <v>0.13090406504065033</v>
      </c>
      <c r="N182" s="152">
        <f t="shared" si="391"/>
        <v>11.849190938511327</v>
      </c>
      <c r="O182" s="152">
        <f t="shared" si="391"/>
        <v>0.95709090909090899</v>
      </c>
      <c r="P182" s="152">
        <f t="shared" si="391"/>
        <v>0.18624161073825496</v>
      </c>
      <c r="Q182" s="152">
        <f>Q181-1</f>
        <v>1.0000000000000009E-2</v>
      </c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127"/>
    </row>
    <row r="183" spans="2:46" x14ac:dyDescent="0.2">
      <c r="B183" s="20"/>
      <c r="C183" s="129"/>
      <c r="D183" s="129"/>
      <c r="E183" s="129"/>
      <c r="F183" s="129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28"/>
      <c r="S183" s="128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7"/>
      <c r="AE183" s="20"/>
      <c r="AF183" s="20"/>
    </row>
    <row r="184" spans="2:46" x14ac:dyDescent="0.2">
      <c r="B184" s="108" t="s">
        <v>301</v>
      </c>
      <c r="C184" s="20"/>
      <c r="D184" s="20"/>
      <c r="E184" s="20"/>
      <c r="F184" s="20"/>
      <c r="G184" s="20"/>
      <c r="H184" s="20"/>
      <c r="I184" s="20"/>
      <c r="J184" s="20"/>
      <c r="K184" s="210" t="s">
        <v>351</v>
      </c>
      <c r="L184" s="211"/>
      <c r="M184" s="20"/>
      <c r="N184" s="20"/>
      <c r="O184" s="20"/>
      <c r="P184" s="108" t="s">
        <v>431</v>
      </c>
      <c r="Q184" s="108" t="s">
        <v>430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299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20" t="s">
        <v>352</v>
      </c>
      <c r="L185" s="22">
        <v>1</v>
      </c>
      <c r="M185" s="20"/>
      <c r="N185" s="20"/>
      <c r="O185" s="20"/>
      <c r="P185" s="128">
        <f>(Q172-S159)/Q172</f>
        <v>0.69571938243625575</v>
      </c>
      <c r="Q185" s="128">
        <f>(Q172-T159)/Q172</f>
        <v>0.79943888992326118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349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$L$185</f>
        <v>1</v>
      </c>
      <c r="L186" s="20"/>
      <c r="M186" s="128">
        <f>(P172-(K186*S150))/P172</f>
        <v>-1.5107649246781614</v>
      </c>
      <c r="N186" s="20"/>
      <c r="O186" s="20"/>
      <c r="P186" s="128">
        <f>(Q172-S150)/Q172</f>
        <v>-1.5107649246781614</v>
      </c>
      <c r="Q186" s="128">
        <f>(Q172-T150)/Q172</f>
        <v>0.78167261524537723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350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$L$185</f>
        <v>1</v>
      </c>
      <c r="L187" s="20"/>
      <c r="M187" s="128">
        <f>(P172-(K187*S143))/P172</f>
        <v>-0.85146334373749322</v>
      </c>
      <c r="N187" s="20"/>
      <c r="O187" s="20"/>
      <c r="P187" s="128">
        <f>(Q172-S143)/Q172</f>
        <v>-0.85146334373749322</v>
      </c>
      <c r="Q187" s="128">
        <f>(Q172-T143)/Q172</f>
        <v>0.8390031875010876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353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$L$185</f>
        <v>1</v>
      </c>
      <c r="L188" s="20"/>
      <c r="M188" s="128">
        <f>(P172-(K188*S156))/P172</f>
        <v>0.77054219707685057</v>
      </c>
      <c r="N188" s="20"/>
      <c r="O188" s="20"/>
      <c r="P188" s="128">
        <f>(Q172-S156)/Q172</f>
        <v>0.77054219707685057</v>
      </c>
      <c r="Q188" s="128">
        <f>(Q172-T156)/Q172</f>
        <v>0.98004714757190003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400</v>
      </c>
      <c r="C189" s="20" t="s">
        <v>314</v>
      </c>
      <c r="D189" s="20"/>
      <c r="E189" s="20"/>
      <c r="F189" s="20"/>
      <c r="G189" s="20"/>
      <c r="H189" s="20"/>
      <c r="I189" s="20"/>
      <c r="J189" s="20"/>
      <c r="K189" s="172">
        <f>$L$185</f>
        <v>1</v>
      </c>
      <c r="L189" s="20"/>
      <c r="M189" s="128">
        <f>(P172-(K189*S169))/P172</f>
        <v>0.84275388818845276</v>
      </c>
      <c r="N189" s="20"/>
      <c r="O189" s="20"/>
      <c r="P189" s="128">
        <f>(Q172-S169)/Q172</f>
        <v>0.84275388818845276</v>
      </c>
      <c r="Q189" s="128">
        <f>(Q172-T169)/Q172</f>
        <v>0.89635404649601758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37"/>
      <c r="AE189" s="20"/>
      <c r="AF189" s="20"/>
    </row>
    <row r="190" spans="2:46" x14ac:dyDescent="0.2">
      <c r="B190" s="20" t="s">
        <v>300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5">
        <f>Q172/S142</f>
        <v>1.2654083327016823</v>
      </c>
      <c r="Q190" s="25">
        <f>Q172/T142</f>
        <v>14.552195826069351</v>
      </c>
      <c r="R190" s="20"/>
      <c r="S190" s="20"/>
      <c r="T190" s="115" t="s">
        <v>11</v>
      </c>
      <c r="U190" s="115" t="s">
        <v>12</v>
      </c>
      <c r="V190" s="115" t="s">
        <v>13</v>
      </c>
      <c r="W190" s="115" t="s">
        <v>14</v>
      </c>
      <c r="X190" s="115" t="s">
        <v>15</v>
      </c>
      <c r="Y190" s="115" t="s">
        <v>234</v>
      </c>
      <c r="Z190" s="115" t="s">
        <v>235</v>
      </c>
      <c r="AA190" s="115" t="s">
        <v>236</v>
      </c>
      <c r="AB190" s="115" t="s">
        <v>237</v>
      </c>
      <c r="AC190" s="115" t="s">
        <v>238</v>
      </c>
      <c r="AD190" s="115" t="s">
        <v>408</v>
      </c>
      <c r="AE190" s="115" t="s">
        <v>409</v>
      </c>
      <c r="AF190" s="115" t="s">
        <v>410</v>
      </c>
      <c r="AG190" s="115" t="s">
        <v>411</v>
      </c>
      <c r="AH190" s="115" t="s">
        <v>412</v>
      </c>
      <c r="AI190" s="115" t="s">
        <v>413</v>
      </c>
      <c r="AJ190" s="115" t="s">
        <v>414</v>
      </c>
      <c r="AK190" s="115" t="s">
        <v>415</v>
      </c>
      <c r="AL190" s="115" t="s">
        <v>416</v>
      </c>
      <c r="AM190" s="115" t="s">
        <v>417</v>
      </c>
      <c r="AN190" s="115" t="s">
        <v>418</v>
      </c>
      <c r="AO190" s="115" t="s">
        <v>419</v>
      </c>
      <c r="AP190" s="115" t="s">
        <v>420</v>
      </c>
      <c r="AQ190" s="115" t="s">
        <v>421</v>
      </c>
      <c r="AR190" s="115" t="s">
        <v>422</v>
      </c>
      <c r="AS190" s="115" t="s">
        <v>423</v>
      </c>
      <c r="AT190" s="115" t="s">
        <v>424</v>
      </c>
    </row>
    <row r="191" spans="2:46" x14ac:dyDescent="0.2">
      <c r="B191" s="20" t="s">
        <v>371</v>
      </c>
      <c r="C191" s="20"/>
      <c r="D191" s="20"/>
      <c r="E191" s="20"/>
      <c r="F191" s="20"/>
      <c r="G191" s="189" t="s">
        <v>449</v>
      </c>
      <c r="H191" s="190"/>
      <c r="I191" s="189" t="s">
        <v>450</v>
      </c>
      <c r="J191" s="190"/>
      <c r="K191" s="20"/>
      <c r="L191" s="189" t="s">
        <v>451</v>
      </c>
      <c r="M191" s="190"/>
      <c r="N191" s="189" t="s">
        <v>452</v>
      </c>
      <c r="O191" s="190"/>
      <c r="P191" s="152">
        <f>1/P190</f>
        <v>0.79025874427819831</v>
      </c>
      <c r="Q191" s="152">
        <f>1/Q190</f>
        <v>6.8718151676365052E-2</v>
      </c>
      <c r="R191" s="20"/>
      <c r="S191" s="20"/>
      <c r="T191" s="129">
        <f>Q172-T192</f>
        <v>642.33216838121348</v>
      </c>
      <c r="U191" s="185">
        <f>T191-U192</f>
        <v>529.2809451814876</v>
      </c>
      <c r="V191" s="185">
        <f t="shared" ref="V191:X191" si="392">U191-V192</f>
        <v>410.57716082177541</v>
      </c>
      <c r="W191" s="185">
        <f t="shared" si="392"/>
        <v>285.9381872440776</v>
      </c>
      <c r="X191" s="185">
        <f t="shared" si="392"/>
        <v>155.06726498749489</v>
      </c>
      <c r="Y191" s="185">
        <f>X191-Y192</f>
        <v>17.652796618083045</v>
      </c>
      <c r="Z191" s="185">
        <f t="shared" ref="Z191:AC191" si="393">Y191-Z192</f>
        <v>-126.63239516979939</v>
      </c>
      <c r="AA191" s="185">
        <f t="shared" si="393"/>
        <v>-278.13184654707595</v>
      </c>
      <c r="AB191" s="185">
        <f t="shared" si="393"/>
        <v>-437.20627049321638</v>
      </c>
      <c r="AC191" s="185">
        <f t="shared" si="393"/>
        <v>-604.23441563666381</v>
      </c>
      <c r="AD191" s="185">
        <f t="shared" ref="AD191" si="394">AC191-AD192</f>
        <v>-779.6139680372836</v>
      </c>
      <c r="AE191" s="185">
        <f t="shared" ref="AE191" si="395">AD191-AE192</f>
        <v>-963.76249805793441</v>
      </c>
      <c r="AF191" s="185">
        <f t="shared" ref="AF191" si="396">AE191-AF192</f>
        <v>-1157.1184545796177</v>
      </c>
      <c r="AG191" s="185">
        <f t="shared" ref="AG191" si="397">AF191-AG192</f>
        <v>-1360.1422089273854</v>
      </c>
      <c r="AH191" s="185">
        <f t="shared" ref="AH191" si="398">AG191-AH192</f>
        <v>-1573.3171509925412</v>
      </c>
      <c r="AI191" s="185">
        <f t="shared" ref="AI191" si="399">AH191-AI192</f>
        <v>-1797.1508401609549</v>
      </c>
      <c r="AJ191" s="185">
        <f t="shared" ref="AJ191" si="400">AI191-AJ192</f>
        <v>-2032.1762137877893</v>
      </c>
      <c r="AK191" s="185">
        <f t="shared" ref="AK191" si="401">AJ191-AK192</f>
        <v>-2278.9528560959652</v>
      </c>
      <c r="AL191" s="185">
        <f t="shared" ref="AL191" si="402">AK191-AL192</f>
        <v>-2538.0683305195503</v>
      </c>
      <c r="AM191" s="185">
        <f t="shared" ref="AM191" si="403">AL191-AM192</f>
        <v>-2810.1395786643143</v>
      </c>
      <c r="AN191" s="185">
        <f t="shared" ref="AN191" si="404">AM191-AN192</f>
        <v>-3095.8143892163166</v>
      </c>
      <c r="AO191" s="185">
        <f t="shared" ref="AO191" si="405">AN191-AO192</f>
        <v>-3395.7729402959194</v>
      </c>
      <c r="AP191" s="185">
        <f t="shared" ref="AP191" si="406">AO191-AP192</f>
        <v>-3710.7294189295021</v>
      </c>
      <c r="AQ191" s="185">
        <f t="shared" ref="AQ191" si="407">AP191-AQ192</f>
        <v>-4041.4337214947641</v>
      </c>
      <c r="AR191" s="185">
        <f t="shared" ref="AR191" si="408">AQ191-AR192</f>
        <v>-4388.6732391882888</v>
      </c>
      <c r="AS191" s="185">
        <f t="shared" ref="AS191" si="409">AR191-AS192</f>
        <v>-4753.2747327664902</v>
      </c>
      <c r="AT191" s="185">
        <f t="shared" ref="AT191" si="410">AS191-AT192</f>
        <v>-5136.1063010236012</v>
      </c>
    </row>
    <row r="192" spans="2:46" x14ac:dyDescent="0.2">
      <c r="B192" s="20" t="s">
        <v>397</v>
      </c>
      <c r="C192" s="20"/>
      <c r="D192" s="20"/>
      <c r="E192" s="20"/>
      <c r="F192" s="20"/>
      <c r="G192" s="191">
        <v>0</v>
      </c>
      <c r="H192" s="190"/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Q172/R141</f>
        <v>7.3141623469139523</v>
      </c>
      <c r="Q192" s="181">
        <f>Q172/R141</f>
        <v>7.3141623469139523</v>
      </c>
      <c r="R192" s="20"/>
      <c r="S192" s="20"/>
      <c r="T192" s="186">
        <f>R141*(1+$K$192)</f>
        <v>107.66783161878655</v>
      </c>
      <c r="U192" s="186">
        <f>T192*(1+$K$192)</f>
        <v>113.05122319972588</v>
      </c>
      <c r="V192" s="186">
        <f t="shared" ref="V192:AC192" si="411">U192*(1+$K$192)</f>
        <v>118.70378435971219</v>
      </c>
      <c r="W192" s="186">
        <f t="shared" si="411"/>
        <v>124.6389735776978</v>
      </c>
      <c r="X192" s="186">
        <f t="shared" si="411"/>
        <v>130.8709222565827</v>
      </c>
      <c r="Y192" s="186">
        <f t="shared" si="411"/>
        <v>137.41446836941185</v>
      </c>
      <c r="Z192" s="186">
        <f t="shared" si="411"/>
        <v>144.28519178788244</v>
      </c>
      <c r="AA192" s="186">
        <f t="shared" si="411"/>
        <v>151.49945137727656</v>
      </c>
      <c r="AB192" s="186">
        <f t="shared" si="411"/>
        <v>159.0744239461404</v>
      </c>
      <c r="AC192" s="186">
        <f t="shared" si="411"/>
        <v>167.02814514344743</v>
      </c>
      <c r="AD192" s="186">
        <f t="shared" ref="AD192" si="412">AC192*(1+$K$192)</f>
        <v>175.37955240061981</v>
      </c>
      <c r="AE192" s="186">
        <f t="shared" ref="AE192" si="413">AD192*(1+$K$192)</f>
        <v>184.14853002065081</v>
      </c>
      <c r="AF192" s="186">
        <f t="shared" ref="AF192" si="414">AE192*(1+$K$192)</f>
        <v>193.35595652168337</v>
      </c>
      <c r="AG192" s="186">
        <f t="shared" ref="AG192" si="415">AF192*(1+$K$192)</f>
        <v>203.02375434776755</v>
      </c>
      <c r="AH192" s="186">
        <f t="shared" ref="AH192" si="416">AG192*(1+$K$192)</f>
        <v>213.17494206515593</v>
      </c>
      <c r="AI192" s="186">
        <f t="shared" ref="AI192" si="417">AH192*(1+$K$192)</f>
        <v>223.83368916841374</v>
      </c>
      <c r="AJ192" s="186">
        <f t="shared" ref="AJ192" si="418">AI192*(1+$K$192)</f>
        <v>235.02537362683444</v>
      </c>
      <c r="AK192" s="186">
        <f t="shared" ref="AK192" si="419">AJ192*(1+$K$192)</f>
        <v>246.77664230817618</v>
      </c>
      <c r="AL192" s="186">
        <f t="shared" ref="AL192" si="420">AK192*(1+$K$192)</f>
        <v>259.115474423585</v>
      </c>
      <c r="AM192" s="186">
        <f t="shared" ref="AM192" si="421">AL192*(1+$K$192)</f>
        <v>272.07124814476424</v>
      </c>
      <c r="AN192" s="186">
        <f t="shared" ref="AN192" si="422">AM192*(1+$K$192)</f>
        <v>285.67481055200244</v>
      </c>
      <c r="AO192" s="186">
        <f t="shared" ref="AO192" si="423">AN192*(1+$K$192)</f>
        <v>299.95855107960256</v>
      </c>
      <c r="AP192" s="186">
        <f t="shared" ref="AP192" si="424">AO192*(1+$K$192)</f>
        <v>314.95647863358272</v>
      </c>
      <c r="AQ192" s="186">
        <f t="shared" ref="AQ192" si="425">AP192*(1+$K$192)</f>
        <v>330.70430256526186</v>
      </c>
      <c r="AR192" s="186">
        <f t="shared" ref="AR192" si="426">AQ192*(1+$K$192)</f>
        <v>347.23951769352499</v>
      </c>
      <c r="AS192" s="186">
        <f t="shared" ref="AS192" si="427">AR192*(1+$K$192)</f>
        <v>364.60149357820126</v>
      </c>
      <c r="AT192" s="186">
        <f t="shared" ref="AT192" si="428">AS192*(1+$K$192)</f>
        <v>382.83156825711131</v>
      </c>
    </row>
    <row r="193" spans="2:46" x14ac:dyDescent="0.2">
      <c r="B193" s="20" t="s">
        <v>396</v>
      </c>
      <c r="C193" s="20"/>
      <c r="D193" s="20"/>
      <c r="E193" s="23" t="s">
        <v>391</v>
      </c>
      <c r="F193" s="22"/>
      <c r="G193" s="191">
        <v>0</v>
      </c>
      <c r="H193" s="192">
        <f>Q174</f>
        <v>15.15</v>
      </c>
      <c r="I193" s="191">
        <v>0.05</v>
      </c>
      <c r="J193" s="190"/>
      <c r="K193" s="184">
        <f>P1</f>
        <v>0.05</v>
      </c>
      <c r="L193" s="191">
        <v>0.12</v>
      </c>
      <c r="M193" s="190"/>
      <c r="N193" s="191">
        <v>0.2</v>
      </c>
      <c r="O193" s="190"/>
      <c r="P193" s="181">
        <f>Q172/Q54</f>
        <v>15.15</v>
      </c>
      <c r="Q193" s="181">
        <f>Q172/Q54</f>
        <v>15.15</v>
      </c>
      <c r="R193" s="20"/>
      <c r="S193" s="20"/>
      <c r="T193" s="186">
        <f>Q54*(1+$K$193)</f>
        <v>51.980198019801982</v>
      </c>
      <c r="U193" s="186">
        <f>T193*(1+$K$193)</f>
        <v>54.579207920792086</v>
      </c>
      <c r="V193" s="186">
        <f t="shared" ref="V193:AC193" si="429">U193*(1+$K$193)</f>
        <v>57.30816831683169</v>
      </c>
      <c r="W193" s="186">
        <f t="shared" si="429"/>
        <v>60.173576732673276</v>
      </c>
      <c r="X193" s="186">
        <f t="shared" si="429"/>
        <v>63.182255569306939</v>
      </c>
      <c r="Y193" s="186">
        <f t="shared" si="429"/>
        <v>66.341368347772288</v>
      </c>
      <c r="Z193" s="186">
        <f t="shared" si="429"/>
        <v>69.6584367651609</v>
      </c>
      <c r="AA193" s="186">
        <f t="shared" si="429"/>
        <v>73.141358603418951</v>
      </c>
      <c r="AB193" s="186">
        <f t="shared" si="429"/>
        <v>76.798426533589904</v>
      </c>
      <c r="AC193" s="186">
        <f t="shared" si="429"/>
        <v>80.638347860269405</v>
      </c>
      <c r="AD193" s="186">
        <f t="shared" ref="AD193" si="430">AC193*(1+$K$193)</f>
        <v>84.670265253282878</v>
      </c>
      <c r="AE193" s="186">
        <f t="shared" ref="AE193" si="431">AD193*(1+$K$193)</f>
        <v>88.903778515947025</v>
      </c>
      <c r="AF193" s="186">
        <f t="shared" ref="AF193" si="432">AE193*(1+$K$193)</f>
        <v>93.348967441744378</v>
      </c>
      <c r="AG193" s="186">
        <f t="shared" ref="AG193" si="433">AF193*(1+$K$193)</f>
        <v>98.0164158138316</v>
      </c>
      <c r="AH193" s="186">
        <f t="shared" ref="AH193" si="434">AG193*(1+$K$193)</f>
        <v>102.91723660452318</v>
      </c>
      <c r="AI193" s="186">
        <f t="shared" ref="AI193" si="435">AH193*(1+$K$193)</f>
        <v>108.06309843474935</v>
      </c>
      <c r="AJ193" s="186">
        <f t="shared" ref="AJ193" si="436">AI193*(1+$K$193)</f>
        <v>113.46625335648682</v>
      </c>
      <c r="AK193" s="186">
        <f t="shared" ref="AK193" si="437">AJ193*(1+$K$193)</f>
        <v>119.13956602431116</v>
      </c>
      <c r="AL193" s="186">
        <f t="shared" ref="AL193" si="438">AK193*(1+$K$193)</f>
        <v>125.09654432552672</v>
      </c>
      <c r="AM193" s="186">
        <f t="shared" ref="AM193" si="439">AL193*(1+$K$193)</f>
        <v>131.35137154180308</v>
      </c>
      <c r="AN193" s="186">
        <f t="shared" ref="AN193" si="440">AM193*(1+$K$193)</f>
        <v>137.91894011889323</v>
      </c>
      <c r="AO193" s="186">
        <f t="shared" ref="AO193" si="441">AN193*(1+$K$193)</f>
        <v>144.8148871248379</v>
      </c>
      <c r="AP193" s="186">
        <f t="shared" ref="AP193" si="442">AO193*(1+$K$193)</f>
        <v>152.05563148107979</v>
      </c>
      <c r="AQ193" s="186">
        <f t="shared" ref="AQ193" si="443">AP193*(1+$K$193)</f>
        <v>159.65841305513379</v>
      </c>
      <c r="AR193" s="186">
        <f t="shared" ref="AR193" si="444">AQ193*(1+$K$193)</f>
        <v>167.64133370789048</v>
      </c>
      <c r="AS193" s="186">
        <f t="shared" ref="AS193" si="445">AR193*(1+$K$193)</f>
        <v>176.02340039328502</v>
      </c>
      <c r="AT193" s="186">
        <f t="shared" ref="AT193" si="446">AS193*(1+$K$193)</f>
        <v>184.82457041294927</v>
      </c>
    </row>
    <row r="194" spans="2:46" x14ac:dyDescent="0.2">
      <c r="B194" s="20"/>
      <c r="C194" s="20"/>
      <c r="D194" s="20"/>
      <c r="E194" s="23" t="s">
        <v>455</v>
      </c>
      <c r="F194" s="22"/>
      <c r="G194" s="191">
        <v>0</v>
      </c>
      <c r="H194" s="192"/>
      <c r="I194" s="191">
        <v>0.05</v>
      </c>
      <c r="J194" s="190"/>
      <c r="K194" s="190"/>
      <c r="L194" s="191">
        <v>0.12</v>
      </c>
      <c r="M194" s="190"/>
      <c r="N194" s="191">
        <v>0.2</v>
      </c>
      <c r="O194" s="20"/>
      <c r="P194" s="20"/>
      <c r="Q194" s="20"/>
      <c r="R194" s="20"/>
      <c r="S194" s="20"/>
      <c r="T194" s="129">
        <f>Q172-T193</f>
        <v>698.01980198019805</v>
      </c>
      <c r="U194" s="185">
        <f>T194-U193</f>
        <v>643.44059405940595</v>
      </c>
      <c r="V194" s="185">
        <f t="shared" ref="V194:AA194" si="447">U194-V193</f>
        <v>586.13242574257424</v>
      </c>
      <c r="W194" s="185">
        <f t="shared" si="447"/>
        <v>525.95884900990097</v>
      </c>
      <c r="X194" s="185">
        <f t="shared" si="447"/>
        <v>462.77659344059401</v>
      </c>
      <c r="Y194" s="185">
        <f t="shared" si="447"/>
        <v>396.43522509282172</v>
      </c>
      <c r="Z194" s="185">
        <f t="shared" si="447"/>
        <v>326.77678832766082</v>
      </c>
      <c r="AA194" s="185">
        <f t="shared" si="447"/>
        <v>253.63542972424187</v>
      </c>
      <c r="AB194" s="185">
        <f>AA194-AB193</f>
        <v>176.83700319065196</v>
      </c>
      <c r="AC194" s="185">
        <f t="shared" ref="AC194" si="448">AB194-AC193</f>
        <v>96.19865533038255</v>
      </c>
      <c r="AD194" s="185">
        <f t="shared" ref="AD194" si="449">AC194-AD193</f>
        <v>11.528390077099672</v>
      </c>
      <c r="AE194" s="185">
        <f t="shared" ref="AE194" si="450">AD194-AE193</f>
        <v>-77.375388438847352</v>
      </c>
      <c r="AF194" s="185">
        <f t="shared" ref="AF194" si="451">AE194-AF193</f>
        <v>-170.72435588059173</v>
      </c>
      <c r="AG194" s="185">
        <f t="shared" ref="AG194" si="452">AF194-AG193</f>
        <v>-268.7407716944233</v>
      </c>
      <c r="AH194" s="185">
        <f t="shared" ref="AH194" si="453">AG194-AH193</f>
        <v>-371.65800829894647</v>
      </c>
      <c r="AI194" s="185">
        <f t="shared" ref="AI194" si="454">AH194-AI193</f>
        <v>-479.72110673369582</v>
      </c>
      <c r="AJ194" s="185">
        <f t="shared" ref="AJ194" si="455">AI194-AJ193</f>
        <v>-593.18736009018266</v>
      </c>
      <c r="AK194" s="185">
        <f t="shared" ref="AK194" si="456">AJ194-AK193</f>
        <v>-712.32692611449386</v>
      </c>
      <c r="AL194" s="185">
        <f t="shared" ref="AL194" si="457">AK194-AL193</f>
        <v>-837.42347044002054</v>
      </c>
      <c r="AM194" s="185">
        <f t="shared" ref="AM194" si="458">AL194-AM193</f>
        <v>-968.77484198182356</v>
      </c>
      <c r="AN194" s="185">
        <f t="shared" ref="AN194" si="459">AM194-AN193</f>
        <v>-1106.6937821007168</v>
      </c>
      <c r="AO194" s="185">
        <f t="shared" ref="AO194" si="460">AN194-AO193</f>
        <v>-1251.5086692255547</v>
      </c>
      <c r="AP194" s="185">
        <f t="shared" ref="AP194" si="461">AO194-AP193</f>
        <v>-1403.5643007066346</v>
      </c>
      <c r="AQ194" s="185">
        <f t="shared" ref="AQ194" si="462">AP194-AQ193</f>
        <v>-1563.2227137617683</v>
      </c>
      <c r="AR194" s="185">
        <f t="shared" ref="AR194" si="463">AQ194-AR193</f>
        <v>-1730.8640474696588</v>
      </c>
      <c r="AS194" s="185">
        <f t="shared" ref="AS194" si="464">AR194-AS193</f>
        <v>-1906.8874478629439</v>
      </c>
      <c r="AT194" s="185">
        <f t="shared" ref="AT194" si="465">AS194-AT193</f>
        <v>-2091.7120182758931</v>
      </c>
    </row>
    <row r="195" spans="2:46" x14ac:dyDescent="0.2">
      <c r="B195" s="108" t="s">
        <v>302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305</v>
      </c>
      <c r="C196" s="25" t="e">
        <f t="shared" ref="C196:P196" si="466">C10/C7</f>
        <v>#DIV/0!</v>
      </c>
      <c r="D196" s="25" t="e">
        <f t="shared" si="466"/>
        <v>#DIV/0!</v>
      </c>
      <c r="E196" s="25" t="e">
        <f t="shared" si="466"/>
        <v>#DIV/0!</v>
      </c>
      <c r="F196" s="25" t="e">
        <f t="shared" si="466"/>
        <v>#DIV/0!</v>
      </c>
      <c r="G196" s="25">
        <f t="shared" si="466"/>
        <v>0</v>
      </c>
      <c r="H196" s="25">
        <f t="shared" si="466"/>
        <v>0</v>
      </c>
      <c r="I196" s="25">
        <f t="shared" si="466"/>
        <v>0</v>
      </c>
      <c r="J196" s="25">
        <f t="shared" si="466"/>
        <v>0</v>
      </c>
      <c r="K196" s="25">
        <f t="shared" si="466"/>
        <v>0</v>
      </c>
      <c r="L196" s="25">
        <f t="shared" si="466"/>
        <v>0</v>
      </c>
      <c r="M196" s="25">
        <f t="shared" si="466"/>
        <v>0</v>
      </c>
      <c r="N196" s="25">
        <f t="shared" si="466"/>
        <v>0</v>
      </c>
      <c r="O196" s="25">
        <f t="shared" si="466"/>
        <v>0</v>
      </c>
      <c r="P196" s="25">
        <f t="shared" si="466"/>
        <v>0</v>
      </c>
      <c r="Q196" s="25">
        <f t="shared" ref="Q196" si="467">Q10/Q7</f>
        <v>0</v>
      </c>
      <c r="R196" s="118" t="e">
        <f t="shared" ref="R196:R198" si="468">((P196/G196)^(1/($H$2-$H$1) ))-1</f>
        <v>#DIV/0!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306</v>
      </c>
      <c r="C197" s="112" t="e">
        <f>C10/C12</f>
        <v>#DIV/0!</v>
      </c>
      <c r="D197" s="112" t="e">
        <f>D10/D12</f>
        <v>#DIV/0!</v>
      </c>
      <c r="E197" s="112" t="e">
        <f>E10/E12</f>
        <v>#DIV/0!</v>
      </c>
      <c r="F197" s="112" t="e">
        <f>F10/F12</f>
        <v>#DIV/0!</v>
      </c>
      <c r="G197" s="112">
        <f>G10/G12</f>
        <v>0</v>
      </c>
      <c r="H197" s="112">
        <f t="shared" ref="H197:P197" si="469">H10/H12</f>
        <v>0</v>
      </c>
      <c r="I197" s="112">
        <f t="shared" si="469"/>
        <v>0</v>
      </c>
      <c r="J197" s="112">
        <f t="shared" si="469"/>
        <v>0</v>
      </c>
      <c r="K197" s="112">
        <f t="shared" si="469"/>
        <v>0</v>
      </c>
      <c r="L197" s="112">
        <f t="shared" si="469"/>
        <v>0</v>
      </c>
      <c r="M197" s="112">
        <f t="shared" si="469"/>
        <v>0</v>
      </c>
      <c r="N197" s="112">
        <f t="shared" si="469"/>
        <v>0</v>
      </c>
      <c r="O197" s="112">
        <f t="shared" si="469"/>
        <v>0</v>
      </c>
      <c r="P197" s="112">
        <f t="shared" si="469"/>
        <v>0</v>
      </c>
      <c r="Q197" s="112">
        <f t="shared" ref="Q197" si="470">Q10/Q12</f>
        <v>0</v>
      </c>
      <c r="R197" s="118" t="e">
        <f t="shared" si="468"/>
        <v>#DIV/0!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 t="s">
        <v>307</v>
      </c>
      <c r="C198" s="25" t="e">
        <f>C10/(C12+C13)</f>
        <v>#DIV/0!</v>
      </c>
      <c r="D198" s="25" t="e">
        <f>D10/(D12+D13)</f>
        <v>#DIV/0!</v>
      </c>
      <c r="E198" s="25" t="e">
        <f>E10/(E12+E13)</f>
        <v>#DIV/0!</v>
      </c>
      <c r="F198" s="25" t="e">
        <f>F10/(F12+F13)</f>
        <v>#DIV/0!</v>
      </c>
      <c r="G198" s="25">
        <f>G10/(G12+G13)</f>
        <v>0</v>
      </c>
      <c r="H198" s="25">
        <f t="shared" ref="H198:P198" si="471">H10/(H12+H13)</f>
        <v>0</v>
      </c>
      <c r="I198" s="25">
        <f t="shared" si="471"/>
        <v>0</v>
      </c>
      <c r="J198" s="25">
        <f t="shared" si="471"/>
        <v>0</v>
      </c>
      <c r="K198" s="25">
        <f t="shared" si="471"/>
        <v>0</v>
      </c>
      <c r="L198" s="25">
        <f t="shared" si="471"/>
        <v>0</v>
      </c>
      <c r="M198" s="25">
        <f t="shared" si="471"/>
        <v>0</v>
      </c>
      <c r="N198" s="25">
        <f t="shared" si="471"/>
        <v>0</v>
      </c>
      <c r="O198" s="25">
        <f t="shared" si="471"/>
        <v>0</v>
      </c>
      <c r="P198" s="25">
        <f t="shared" si="471"/>
        <v>0</v>
      </c>
      <c r="Q198" s="25">
        <f t="shared" ref="Q198" si="472">Q10/(Q12+Q13)</f>
        <v>0</v>
      </c>
      <c r="R198" s="118" t="e">
        <f t="shared" si="468"/>
        <v>#DIV/0!</v>
      </c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74" t="s">
        <v>377</v>
      </c>
      <c r="D201" s="175"/>
      <c r="E201" s="175"/>
      <c r="F201" s="175"/>
      <c r="G201" s="175"/>
      <c r="H201" s="175"/>
      <c r="I201" s="175"/>
      <c r="J201" s="175"/>
      <c r="K201" s="20"/>
      <c r="L201" s="207" t="s">
        <v>337</v>
      </c>
      <c r="M201" s="208"/>
      <c r="N201" s="209"/>
      <c r="O201" s="23" t="s">
        <v>340</v>
      </c>
      <c r="P201" s="20"/>
      <c r="Q201" s="137"/>
      <c r="R201" s="207" t="s">
        <v>338</v>
      </c>
      <c r="S201" s="208"/>
      <c r="T201" s="209"/>
      <c r="U201" s="23" t="s">
        <v>340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6" t="s">
        <v>339</v>
      </c>
      <c r="D202" s="166" t="s">
        <v>0</v>
      </c>
      <c r="E202" s="166" t="s">
        <v>378</v>
      </c>
      <c r="F202" s="166" t="s">
        <v>379</v>
      </c>
      <c r="G202" s="166" t="s">
        <v>380</v>
      </c>
      <c r="H202" s="166" t="s">
        <v>381</v>
      </c>
      <c r="I202" s="166" t="s">
        <v>382</v>
      </c>
      <c r="J202" s="166" t="s">
        <v>383</v>
      </c>
      <c r="K202" s="20"/>
      <c r="L202" s="166" t="s">
        <v>339</v>
      </c>
      <c r="M202" s="166"/>
      <c r="N202" s="166" t="s">
        <v>0</v>
      </c>
      <c r="O202" s="166" t="s">
        <v>372</v>
      </c>
      <c r="P202" s="20"/>
      <c r="Q202" s="20"/>
      <c r="R202" s="166" t="s">
        <v>339</v>
      </c>
      <c r="S202" s="166"/>
      <c r="T202" s="166" t="s">
        <v>0</v>
      </c>
      <c r="U202" s="166" t="s">
        <v>372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341</v>
      </c>
      <c r="D203" s="21">
        <v>700</v>
      </c>
      <c r="E203" s="176" t="s">
        <v>384</v>
      </c>
      <c r="F203" s="22">
        <v>0</v>
      </c>
      <c r="G203" s="22">
        <v>1</v>
      </c>
      <c r="H203" s="167">
        <f>F203/G203</f>
        <v>0</v>
      </c>
      <c r="I203" s="167">
        <f>H203*D204</f>
        <v>0</v>
      </c>
      <c r="J203" s="177">
        <f>I203+D204</f>
        <v>1</v>
      </c>
      <c r="K203" s="20"/>
      <c r="L203" s="167" t="s">
        <v>341</v>
      </c>
      <c r="M203" s="167"/>
      <c r="N203" s="21">
        <v>45</v>
      </c>
      <c r="O203" s="173">
        <f>N203</f>
        <v>45</v>
      </c>
      <c r="P203" s="20"/>
      <c r="Q203" s="20"/>
      <c r="R203" s="167" t="s">
        <v>341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342</v>
      </c>
      <c r="D204" s="21">
        <v>1</v>
      </c>
      <c r="E204" s="176" t="s">
        <v>385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1</v>
      </c>
      <c r="K204" s="20"/>
      <c r="L204" s="167" t="s">
        <v>342</v>
      </c>
      <c r="M204" s="167"/>
      <c r="N204" s="21">
        <v>1</v>
      </c>
      <c r="O204" s="173">
        <f>N204</f>
        <v>1</v>
      </c>
      <c r="P204" s="20"/>
      <c r="Q204" s="20"/>
      <c r="R204" s="167" t="s">
        <v>342</v>
      </c>
      <c r="S204" s="167"/>
      <c r="T204" s="21"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 t="s">
        <v>344</v>
      </c>
      <c r="D205" s="168">
        <f>D203*D204</f>
        <v>700</v>
      </c>
      <c r="E205" s="176" t="s">
        <v>398</v>
      </c>
      <c r="F205" s="22">
        <v>0</v>
      </c>
      <c r="G205" s="22">
        <v>1</v>
      </c>
      <c r="H205" s="167">
        <f>F205/G205</f>
        <v>0</v>
      </c>
      <c r="I205" s="167">
        <f>H205*J204</f>
        <v>0</v>
      </c>
      <c r="J205" s="167">
        <f>I205+J204</f>
        <v>1</v>
      </c>
      <c r="K205" s="20"/>
      <c r="L205" s="167" t="s">
        <v>343</v>
      </c>
      <c r="M205" s="167"/>
      <c r="N205" s="168">
        <f>N203*N204</f>
        <v>45</v>
      </c>
      <c r="O205" s="173">
        <f>N205</f>
        <v>45</v>
      </c>
      <c r="P205" s="20"/>
      <c r="Q205" s="20"/>
      <c r="R205" s="167" t="s">
        <v>344</v>
      </c>
      <c r="S205" s="167"/>
      <c r="T205" s="168">
        <f>T203*T204</f>
        <v>1</v>
      </c>
      <c r="U205" s="173">
        <f>T205</f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/>
      <c r="D206" s="168"/>
      <c r="E206" s="176" t="s">
        <v>386</v>
      </c>
      <c r="F206" s="22">
        <v>10</v>
      </c>
      <c r="G206" s="22">
        <v>1</v>
      </c>
      <c r="H206" s="167">
        <f>F206/G206</f>
        <v>10</v>
      </c>
      <c r="I206" s="167">
        <f>H206*J205</f>
        <v>10</v>
      </c>
      <c r="J206" s="167">
        <f>I206</f>
        <v>10</v>
      </c>
      <c r="K206" s="20"/>
      <c r="L206" s="167" t="s">
        <v>345</v>
      </c>
      <c r="M206" s="167"/>
      <c r="N206" s="21">
        <v>1200</v>
      </c>
      <c r="O206" s="21">
        <v>1250</v>
      </c>
      <c r="P206" s="20"/>
      <c r="Q206" s="20"/>
      <c r="R206" s="167" t="s">
        <v>345</v>
      </c>
      <c r="S206" s="167"/>
      <c r="T206" s="21">
        <v>1</v>
      </c>
      <c r="U206" s="21"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345</v>
      </c>
      <c r="D207" s="21">
        <v>5000</v>
      </c>
      <c r="E207" s="176"/>
      <c r="F207" s="167"/>
      <c r="G207" s="167"/>
      <c r="H207" s="169" t="s">
        <v>387</v>
      </c>
      <c r="I207" s="167"/>
      <c r="J207" s="167">
        <f>J206</f>
        <v>10</v>
      </c>
      <c r="K207" s="20"/>
      <c r="L207" s="167" t="s">
        <v>346</v>
      </c>
      <c r="M207" s="167"/>
      <c r="N207" s="168">
        <f>N206*N204</f>
        <v>1200</v>
      </c>
      <c r="O207" s="168">
        <f>O206*O204</f>
        <v>1250</v>
      </c>
      <c r="P207" s="20"/>
      <c r="Q207" s="20"/>
      <c r="R207" s="167" t="s">
        <v>342</v>
      </c>
      <c r="S207" s="167"/>
      <c r="T207" s="21">
        <v>1</v>
      </c>
      <c r="U207" s="127">
        <f>T207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342</v>
      </c>
      <c r="D208" s="21">
        <v>1</v>
      </c>
      <c r="E208" s="176" t="s">
        <v>386</v>
      </c>
      <c r="F208" s="22">
        <v>10</v>
      </c>
      <c r="G208" s="22">
        <v>2</v>
      </c>
      <c r="H208" s="167">
        <f>F208/G208</f>
        <v>5</v>
      </c>
      <c r="I208" s="177">
        <f>H208*D204</f>
        <v>5</v>
      </c>
      <c r="J208" s="177">
        <f>I208</f>
        <v>5</v>
      </c>
      <c r="K208" s="20"/>
      <c r="L208" s="167"/>
      <c r="M208" s="167"/>
      <c r="N208" s="168"/>
      <c r="O208" s="168"/>
      <c r="P208" s="20"/>
      <c r="Q208" s="20"/>
      <c r="R208" s="167" t="s">
        <v>344</v>
      </c>
      <c r="S208" s="167"/>
      <c r="T208" s="168">
        <f>T207*T206</f>
        <v>1</v>
      </c>
      <c r="U208" s="168">
        <f>U207*U206</f>
        <v>1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 t="s">
        <v>344</v>
      </c>
      <c r="D209" s="168">
        <f>D208*D207</f>
        <v>5000</v>
      </c>
      <c r="E209" s="167"/>
      <c r="F209" s="167"/>
      <c r="G209" s="167"/>
      <c r="H209" s="169" t="s">
        <v>387</v>
      </c>
      <c r="I209" s="167"/>
      <c r="J209" s="167">
        <f>J208</f>
        <v>5</v>
      </c>
      <c r="K209" s="20"/>
      <c r="L209" s="167"/>
      <c r="M209" s="167"/>
      <c r="N209" s="168"/>
      <c r="O209" s="168"/>
      <c r="P209" s="20"/>
      <c r="Q209" s="20"/>
      <c r="R209" s="167"/>
      <c r="S209" s="167"/>
      <c r="T209" s="168"/>
      <c r="U209" s="168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7"/>
      <c r="D210" s="168"/>
      <c r="E210" s="176" t="s">
        <v>386</v>
      </c>
      <c r="F210" s="22">
        <v>10</v>
      </c>
      <c r="G210" s="22">
        <v>2</v>
      </c>
      <c r="H210" s="167">
        <f>F210/G210</f>
        <v>5</v>
      </c>
      <c r="I210" s="167">
        <f>H210*J209</f>
        <v>25</v>
      </c>
      <c r="J210" s="167">
        <f>I210</f>
        <v>25</v>
      </c>
      <c r="K210" s="20"/>
      <c r="L210" s="169" t="s">
        <v>347</v>
      </c>
      <c r="M210" s="169"/>
      <c r="N210" s="170">
        <f>N207/N205</f>
        <v>26.666666666666668</v>
      </c>
      <c r="O210" s="170">
        <f>O207/O205</f>
        <v>27.777777777777779</v>
      </c>
      <c r="P210" s="20"/>
      <c r="Q210" s="20"/>
      <c r="R210" s="169" t="s">
        <v>347</v>
      </c>
      <c r="S210" s="169"/>
      <c r="T210" s="170">
        <f>T208/T205</f>
        <v>1</v>
      </c>
      <c r="U210" s="170">
        <f>U208/U205</f>
        <v>1</v>
      </c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169" t="s">
        <v>347</v>
      </c>
      <c r="D211" s="170">
        <f>D209/D205</f>
        <v>7.1428571428571432</v>
      </c>
      <c r="E211" s="176"/>
      <c r="F211" s="167"/>
      <c r="G211" s="167"/>
      <c r="H211" s="169" t="s">
        <v>387</v>
      </c>
      <c r="I211" s="167"/>
      <c r="J211" s="167">
        <f>J210</f>
        <v>25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20"/>
      <c r="D213" s="137"/>
      <c r="E213" s="178"/>
      <c r="F213" s="178"/>
      <c r="G213" s="179"/>
      <c r="H213" s="20"/>
      <c r="I213" s="137"/>
      <c r="J213" s="178"/>
      <c r="K213" s="179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ht="14.25" x14ac:dyDescent="0.2">
      <c r="B214" s="20"/>
      <c r="C214" s="20"/>
      <c r="D214" s="200" t="s">
        <v>27</v>
      </c>
      <c r="E214" s="201"/>
      <c r="F214" s="201"/>
      <c r="G214" s="202"/>
      <c r="H214" s="20"/>
      <c r="I214" s="200" t="s">
        <v>393</v>
      </c>
      <c r="J214" s="201"/>
      <c r="K214" s="202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28</v>
      </c>
      <c r="E215" s="127"/>
      <c r="F215" s="127"/>
      <c r="G215" s="21">
        <f>D205</f>
        <v>700</v>
      </c>
      <c r="H215" s="20"/>
      <c r="I215" s="20" t="s">
        <v>28</v>
      </c>
      <c r="J215" s="127"/>
      <c r="K215" s="21">
        <f>G215</f>
        <v>700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29</v>
      </c>
      <c r="E216" s="127"/>
      <c r="F216" s="127"/>
      <c r="G216" s="21">
        <f>D209</f>
        <v>5000</v>
      </c>
      <c r="H216" s="20"/>
      <c r="I216" s="20" t="s">
        <v>29</v>
      </c>
      <c r="J216" s="20"/>
      <c r="K216" s="21">
        <f>G216</f>
        <v>5000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0" t="s">
        <v>30</v>
      </c>
      <c r="E217" s="20"/>
      <c r="F217" s="20"/>
      <c r="G217" s="22">
        <v>1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31</v>
      </c>
      <c r="E218" s="3"/>
      <c r="F218" s="3"/>
      <c r="G218" s="3">
        <f>((G216/G215)^(1/G217))-1</f>
        <v>6.1428571428571432</v>
      </c>
      <c r="H218" s="20"/>
      <c r="I218" s="23" t="s">
        <v>394</v>
      </c>
      <c r="J218" s="23"/>
      <c r="K218" s="23">
        <f>(K216-K215)/K215</f>
        <v>6.1428571428571432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3" t="s">
        <v>32</v>
      </c>
      <c r="E219" s="165"/>
      <c r="F219" s="165"/>
      <c r="G219" s="24">
        <f>G217*12</f>
        <v>12</v>
      </c>
      <c r="H219" s="20"/>
      <c r="I219" s="23" t="s">
        <v>395</v>
      </c>
      <c r="J219" s="23"/>
      <c r="K219" s="23">
        <f>K216/K215</f>
        <v>7.1428571428571432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0" t="s">
        <v>30</v>
      </c>
      <c r="E220" s="25"/>
      <c r="F220" s="25"/>
      <c r="G220" s="25">
        <f>G219/12</f>
        <v>1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3" t="s">
        <v>33</v>
      </c>
      <c r="E221" s="3"/>
      <c r="F221" s="3"/>
      <c r="G221" s="3">
        <f>((G216/G215)^(1/G220))-1</f>
        <v>6.1428571428571432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32" x14ac:dyDescent="0.2">
      <c r="C223" s="20"/>
      <c r="D223" s="20"/>
      <c r="E223" s="20"/>
      <c r="F223" s="20"/>
      <c r="G223" s="20"/>
      <c r="H223" s="20"/>
      <c r="I223" s="20"/>
      <c r="J223" s="20"/>
      <c r="K223" s="20"/>
    </row>
  </sheetData>
  <mergeCells count="7">
    <mergeCell ref="D214:G214"/>
    <mergeCell ref="I214:K214"/>
    <mergeCell ref="AE2:AF2"/>
    <mergeCell ref="AE3:AF3"/>
    <mergeCell ref="L201:N201"/>
    <mergeCell ref="R201:T201"/>
    <mergeCell ref="K184:L184"/>
  </mergeCells>
  <pageMargins left="0.7" right="0.7" top="0.75" bottom="0.75" header="0.3" footer="0.3"/>
  <pageSetup orientation="portrait" r:id="rId1"/>
  <ignoredErrors>
    <ignoredError sqref="C174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2" t="s">
        <v>27</v>
      </c>
      <c r="K5" s="212"/>
      <c r="M5" s="212" t="s">
        <v>65</v>
      </c>
      <c r="N5" s="212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2" t="s">
        <v>36</v>
      </c>
      <c r="K14" s="212"/>
      <c r="L14" s="212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2" t="s">
        <v>27</v>
      </c>
      <c r="S5" s="212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2" t="s">
        <v>36</v>
      </c>
      <c r="S14" s="212"/>
      <c r="T14" s="212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2" t="s">
        <v>27</v>
      </c>
      <c r="C2" s="212"/>
      <c r="E2" s="212" t="s">
        <v>65</v>
      </c>
      <c r="F2" s="212"/>
      <c r="H2" s="216" t="s">
        <v>36</v>
      </c>
      <c r="I2" s="217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3" t="s">
        <v>68</v>
      </c>
      <c r="E10" s="214"/>
      <c r="F10" s="214"/>
      <c r="G10" s="214"/>
      <c r="H10" s="215"/>
      <c r="I10" s="213" t="s">
        <v>72</v>
      </c>
      <c r="J10" s="214"/>
      <c r="K10" s="214"/>
      <c r="L10" s="215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8" t="s">
        <v>432</v>
      </c>
      <c r="C3" s="219"/>
      <c r="F3" s="218" t="s">
        <v>433</v>
      </c>
      <c r="G3" s="219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2014-08-10T10:18:41Z</dcterms:modified>
</cp:coreProperties>
</file>
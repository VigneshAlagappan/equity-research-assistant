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Q176" i="18" l="1"/>
  <c r="S176" i="18"/>
  <c r="O177" i="18"/>
  <c r="AF176" i="18"/>
  <c r="P176" i="18"/>
  <c r="P177" i="18" s="1"/>
  <c r="O176" i="18"/>
  <c r="N176" i="18"/>
  <c r="N177" i="18" s="1"/>
  <c r="M176" i="18"/>
  <c r="M177" i="18" s="1"/>
  <c r="L176" i="18"/>
  <c r="L177" i="18" s="1"/>
  <c r="K176" i="18"/>
  <c r="K177" i="18" s="1"/>
  <c r="J176" i="18"/>
  <c r="J177" i="18" s="1"/>
  <c r="I176" i="18"/>
  <c r="I177" i="18" s="1"/>
  <c r="H176" i="18"/>
  <c r="H177" i="18" s="1"/>
  <c r="G176" i="18"/>
  <c r="G177" i="18" s="1"/>
  <c r="F176" i="18"/>
  <c r="E176" i="18"/>
  <c r="D176" i="18"/>
  <c r="C176" i="18"/>
  <c r="P43" i="18" l="1"/>
  <c r="P42" i="18"/>
  <c r="O41" i="18"/>
  <c r="N41" i="18"/>
  <c r="M41" i="18"/>
  <c r="L41" i="18"/>
  <c r="K41" i="18"/>
  <c r="J41" i="18"/>
  <c r="I41" i="18"/>
  <c r="H41" i="18"/>
  <c r="G41" i="18"/>
  <c r="P40" i="18"/>
  <c r="P41" i="18" s="1"/>
  <c r="P36" i="18"/>
  <c r="P34" i="18"/>
  <c r="P33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7" i="18"/>
  <c r="P26" i="18"/>
  <c r="O26" i="18"/>
  <c r="N26" i="18"/>
  <c r="M26" i="18"/>
  <c r="L26" i="18"/>
  <c r="K26" i="18"/>
  <c r="J26" i="18"/>
  <c r="I26" i="18"/>
  <c r="H26" i="18"/>
  <c r="G26" i="18"/>
  <c r="P25" i="18"/>
  <c r="P23" i="18"/>
  <c r="P22" i="18"/>
  <c r="P21" i="18"/>
  <c r="P20" i="18"/>
  <c r="P18" i="18"/>
  <c r="P16" i="18"/>
  <c r="P15" i="18"/>
  <c r="P13" i="18"/>
  <c r="O12" i="18"/>
  <c r="P12" i="18" s="1"/>
  <c r="N12" i="18"/>
  <c r="M12" i="18"/>
  <c r="L12" i="18"/>
  <c r="K12" i="18"/>
  <c r="J12" i="18"/>
  <c r="I12" i="18"/>
  <c r="H12" i="18"/>
  <c r="G12" i="18"/>
  <c r="P11" i="18"/>
  <c r="O11" i="18"/>
  <c r="N11" i="18"/>
  <c r="M11" i="18"/>
  <c r="L11" i="18"/>
  <c r="K11" i="18"/>
  <c r="J11" i="18"/>
  <c r="I11" i="18"/>
  <c r="H11" i="18"/>
  <c r="G11" i="18"/>
  <c r="P9" i="18"/>
  <c r="P8" i="18"/>
  <c r="O8" i="18"/>
  <c r="N8" i="18"/>
  <c r="M8" i="18"/>
  <c r="L8" i="18"/>
  <c r="K8" i="18"/>
  <c r="J8" i="18"/>
  <c r="I8" i="18"/>
  <c r="H8" i="18"/>
  <c r="G8" i="18"/>
  <c r="P7" i="18"/>
  <c r="P6" i="18"/>
  <c r="R43" i="18" l="1"/>
  <c r="S42" i="18" l="1"/>
  <c r="K184" i="18" l="1"/>
  <c r="K183" i="18"/>
  <c r="K182" i="18"/>
  <c r="K181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8" i="18" l="1"/>
  <c r="K187" i="18"/>
  <c r="T202" i="18" l="1"/>
  <c r="T203" i="18" s="1"/>
  <c r="D200" i="18"/>
  <c r="G210" i="18" s="1"/>
  <c r="H200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4" i="18"/>
  <c r="G215" i="18" s="1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5" i="18"/>
  <c r="D204" i="18"/>
  <c r="G211" i="18" s="1"/>
  <c r="K211" i="18" s="1"/>
  <c r="H203" i="18"/>
  <c r="I203" i="18" s="1"/>
  <c r="J203" i="18" s="1"/>
  <c r="J204" i="18" s="1"/>
  <c r="H201" i="18"/>
  <c r="H199" i="18"/>
  <c r="H198" i="18"/>
  <c r="I198" i="18" s="1"/>
  <c r="J198" i="18" s="1"/>
  <c r="G213" i="18" l="1"/>
  <c r="K210" i="18"/>
  <c r="G216" i="18"/>
  <c r="D206" i="18"/>
  <c r="K214" i="18"/>
  <c r="Q53" i="18"/>
  <c r="K213" i="18"/>
  <c r="I199" i="18"/>
  <c r="J199" i="18" s="1"/>
  <c r="I205" i="18"/>
  <c r="J205" i="18" s="1"/>
  <c r="J206" i="18" s="1"/>
  <c r="H88" i="18"/>
  <c r="I88" i="18"/>
  <c r="J88" i="18"/>
  <c r="K88" i="18"/>
  <c r="L88" i="18"/>
  <c r="M88" i="18"/>
  <c r="N88" i="18"/>
  <c r="O88" i="18"/>
  <c r="P88" i="18"/>
  <c r="G88" i="18"/>
  <c r="K37" i="18"/>
  <c r="L37" i="18"/>
  <c r="M37" i="18"/>
  <c r="J37" i="18"/>
  <c r="I37" i="18"/>
  <c r="H37" i="18"/>
  <c r="G37" i="18"/>
  <c r="P37" i="18"/>
  <c r="O37" i="18"/>
  <c r="N37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9" i="18"/>
  <c r="T198" i="18"/>
  <c r="O199" i="18"/>
  <c r="O202" i="18" s="1"/>
  <c r="O198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Q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Q100" i="18"/>
  <c r="I200" i="18"/>
  <c r="J200" i="18" s="1"/>
  <c r="I201" i="18" s="1"/>
  <c r="J201" i="18" s="1"/>
  <c r="J202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3" i="18"/>
  <c r="N202" i="18"/>
  <c r="S200" i="18"/>
  <c r="T200" i="18" s="1"/>
  <c r="T205" i="18" s="1"/>
  <c r="N200" i="18"/>
  <c r="O200" i="18" s="1"/>
  <c r="O205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5" i="18"/>
  <c r="S205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Q99" i="18" s="1"/>
  <c r="G93" i="18"/>
  <c r="G99" i="18" s="1"/>
  <c r="G90" i="18"/>
  <c r="G96" i="18" s="1"/>
  <c r="S29" i="18"/>
  <c r="Q29" i="18"/>
  <c r="Q96" i="18" l="1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V43" i="18" l="1"/>
  <c r="U68" i="18"/>
  <c r="Q131" i="18"/>
  <c r="Y29" i="18"/>
  <c r="Q80" i="18"/>
  <c r="Q78" i="18"/>
  <c r="Q79" i="18"/>
  <c r="Q85" i="18"/>
  <c r="Q86" i="18"/>
  <c r="P84" i="18"/>
  <c r="Q84" i="18" s="1"/>
  <c r="C191" i="18"/>
  <c r="D191" i="18"/>
  <c r="E191" i="18"/>
  <c r="F191" i="18"/>
  <c r="C192" i="18"/>
  <c r="D192" i="18"/>
  <c r="E192" i="18"/>
  <c r="F192" i="18"/>
  <c r="C193" i="18"/>
  <c r="D193" i="18"/>
  <c r="E193" i="18"/>
  <c r="F193" i="18"/>
  <c r="H193" i="18"/>
  <c r="I193" i="18"/>
  <c r="J193" i="18"/>
  <c r="K193" i="18"/>
  <c r="L193" i="18"/>
  <c r="M193" i="18"/>
  <c r="N193" i="18"/>
  <c r="O193" i="18"/>
  <c r="P193" i="18"/>
  <c r="G193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3" i="18"/>
  <c r="Q50" i="18"/>
  <c r="Q49" i="18"/>
  <c r="Q192" i="18"/>
  <c r="Q191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8" i="18" l="1"/>
  <c r="S188" i="18"/>
  <c r="S103" i="18"/>
  <c r="R155" i="18"/>
  <c r="P180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S189" i="18"/>
  <c r="T189" i="18" s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P187" i="18"/>
  <c r="S187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AC91" i="18" l="1"/>
  <c r="AB97" i="18"/>
  <c r="AC97" i="18" s="1"/>
  <c r="T187" i="18"/>
  <c r="U187" i="18" s="1"/>
  <c r="V187" i="18" s="1"/>
  <c r="W187" i="18" s="1"/>
  <c r="X187" i="18" s="1"/>
  <c r="Y187" i="18" s="1"/>
  <c r="Z187" i="18" s="1"/>
  <c r="AA187" i="18" s="1"/>
  <c r="AB187" i="18" s="1"/>
  <c r="AC187" i="18" s="1"/>
  <c r="S186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6" i="18" l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7" i="18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6" i="18" s="1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6" i="18" l="1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6" i="18" s="1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6" i="18" s="1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6" i="18" s="1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6" i="18" s="1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6" i="18" s="1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6" i="18" s="1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6" i="18" s="1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3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B176" i="18" s="1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5" i="18" s="1"/>
  <c r="P186" i="18" s="1"/>
  <c r="P183" i="18"/>
  <c r="AC109" i="18"/>
  <c r="T149" i="18"/>
  <c r="R149" i="18" s="1"/>
  <c r="T139" i="18"/>
  <c r="R139" i="18" s="1"/>
  <c r="M182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R140" i="18"/>
  <c r="N39" i="11"/>
  <c r="O38" i="11"/>
  <c r="I18" i="8"/>
  <c r="AE169" i="18" l="1"/>
  <c r="AC176" i="18"/>
  <c r="AD176" i="18" s="1"/>
  <c r="P184" i="18"/>
  <c r="M184" i="18"/>
  <c r="P182" i="18"/>
  <c r="P181" i="18"/>
  <c r="M181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<sst xmlns="http://schemas.openxmlformats.org/spreadsheetml/2006/main" count="619" uniqueCount="430">
  <si>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</si>
  <si>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</si>
  <si>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</si>
  <si>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</si>
  <si>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</si>
  <si>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</si>
  <si>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</si>
  <si>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</si>
  <si>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</si>
  <si>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</si>
  <si>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</si>
  <si>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</si>
  <si>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</si>
  <si>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</si>
  <si>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</si>
  <si>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</si>
  <si>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</si>
  <si>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</si>
  <si>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</si>
  <si>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</si>
  <si>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</si>
  <si>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</si>
  <si>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</si>
  <si>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</si>
  <si>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</si>
  <si>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</si>
  <si>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</si>
  <si>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</si>
  <si>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</si>
  <si>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</si>
  <si>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</si>
  <si>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</si>
  <si>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</si>
  <si>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</si>
  <si>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</si>
  <si>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</si>
  <si>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</si>
  <si>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</si>
  <si>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</si>
  <si>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</si>
  <si>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</si>
  <si>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</si>
  <si>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</si>
  <si>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</si>
  <si>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</si>
  <si>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</si>
  <si>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</si>
  <si>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</si>
  <si>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</si>
  <si>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</si>
  <si>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</si>
  <si>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</si>
  <si>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</si>
  <si>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</si>
  <si>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</si>
  <si>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</si>
  <si>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</si>
  <si>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</si>
  <si>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</si>
  <si>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</si>
  <si>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</si>
  <si>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</si>
  <si>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</si>
  <si>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</si>
  <si>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</si>
  <si>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</si>
  <si>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</si>
  <si>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</si>
  <si>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</si>
  <si>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</si>
  <si>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</si>
  <si>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</si>
  <si>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</si>
  <si>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</si>
  <si>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</si>
  <si>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</si>
  <si>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</si>
  <si>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</si>
  <si>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</si>
  <si>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</si>
  <si>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</si>
  <si>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</si>
  <si>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</si>
  <si>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</si>
  <si>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</si>
  <si>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</si>
  <si>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</si>
  <si>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</si>
  <si>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</si>
  <si>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</si>
  <si>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</si>
  <si>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</si>
  <si>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</si>
  <si>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</si>
  <si>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</si>
  <si>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</si>
  <si>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</si>
  <si>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</si>
  <si>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</si>
  <si>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</si>
  <si>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</si>
  <si>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</si>
  <si>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</si>
  <si>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</si>
  <si>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</si>
  <si>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</si>
  <si>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</si>
  <si>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</si>
  <si>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</si>
  <si>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</si>
  <si>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</si>
  <si>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</si>
  <si>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</si>
  <si>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</si>
  <si>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</si>
  <si>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</si>
  <si>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</si>
  <si>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</si>
  <si>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</si>
  <si>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</si>
  <si>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</si>
  <si>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</si>
  <si>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</si>
  <si>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</si>
  <si>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</si>
  <si>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</si>
  <si>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</si>
  <si>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</si>
  <si>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</si>
  <si>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</si>
  <si>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</si>
  <si>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</si>
  <si>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</si>
  <si>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</si>
  <si>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</si>
  <si>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</si>
  <si>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</si>
  <si>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</si>
  <si>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</si>
  <si>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</si>
  <si>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</si>
  <si>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</si>
  <si>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</si>
  <si>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</si>
  <si>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</si>
  <si>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</si>
  <si>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</si>
  <si>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</si>
  <si>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</si>
  <si>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</si>
  <si>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</si>
  <si>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</si>
  <si>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</si>
  <si>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</si>
  <si>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</si>
  <si>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</si>
  <si>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</si>
  <si>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</si>
  <si>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</si>
  <si>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</si>
  <si>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</si>
  <si>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</si>
  <si>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</si>
  <si>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</si>
  <si>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</si>
  <si>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</si>
  <si>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</si>
  <si>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</si>
  <si>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</si>
  <si>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</si>
  <si>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</si>
  <si>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</si>
  <si>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</si>
  <si>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</si>
  <si>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</si>
  <si>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</si>
  <si>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</si>
  <si>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</si>
  <si>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</si>
  <si>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</si>
  <si>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</si>
  <si>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</si>
  <si>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</si>
  <si>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</si>
  <si>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</si>
  <si>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</si>
  <si>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</si>
  <si>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</si>
  <si>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</si>
  <si>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</si>
  <si>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</si>
  <si>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</si>
  <si>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</si>
  <si>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</si>
  <si>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</si>
  <si>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</si>
  <si>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</si>
  <si>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</si>
  <si>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</si>
  <si>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</si>
  <si>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</si>
  <si>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</si>
  <si>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</si>
  <si>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</si>
  <si>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</si>
  <si>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</si>
  <si>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</si>
  <si>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</si>
  <si>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</si>
  <si>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</si>
  <si>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</si>
  <si>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</si>
  <si>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</si>
  <si>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</si>
  <si>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</si>
  <si>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</si>
  <si>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</si>
  <si>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</si>
  <si>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</si>
  <si>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</si>
  <si>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</si>
  <si>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</si>
  <si>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</si>
  <si>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</si>
  <si>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</si>
  <si>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</si>
  <si>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</si>
  <si>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</si>
  <si>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</si>
  <si>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</si>
  <si>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</si>
  <si>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</si>
  <si>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</si>
  <si>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</si>
  <si>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</si>
  <si>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</si>
  <si>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</si>
  <si>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</si>
  <si>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</si>
  <si>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</si>
  <si>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</si>
  <si>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</si>
  <si>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</si>
  <si>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</si>
  <si>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</si>
  <si>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</si>
  <si>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</si>
  <si>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</si>
  <si>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</si>
  <si>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</si>
  <si>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</si>
  <si>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</si>
  <si>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</si>
  <si>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</si>
  <si>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</si>
  <si>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</si>
  <si>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</si>
  <si>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</si>
  <si>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</si>
  <si>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</si>
  <si>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</si>
  <si>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</si>
  <si>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</si>
  <si>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</si>
  <si>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</si>
  <si>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</si>
  <si>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</si>
  <si>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</si>
  <si>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</si>
  <si>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</si>
  <si>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</si>
  <si>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</si>
  <si>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</si>
  <si>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</si>
  <si>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</si>
  <si>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</si>
  <si>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</si>
  <si>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</si>
  <si>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</si>
  <si>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</si>
  <si>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</si>
  <si>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</si>
  <si>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</si>
  <si>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</si>
  <si>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</si>
  <si>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</si>
  <si>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</si>
  <si>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</si>
  <si>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</si>
  <si>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</si>
  <si>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</si>
  <si>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</si>
  <si>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</si>
  <si>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</si>
  <si>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</si>
  <si>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</si>
  <si>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</si>
  <si>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</si>
  <si>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</si>
  <si>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</si>
  <si>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</si>
  <si>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</si>
  <si>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</si>
  <si>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</si>
  <si>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</si>
  <si>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</si>
  <si>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</si>
  <si>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</si>
  <si>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</si>
  <si>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</si>
  <si>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</si>
  <si>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</si>
  <si>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</si>
  <si>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</si>
  <si>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</si>
  <si>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</si>
  <si>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</si>
  <si>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</si>
  <si>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</si>
  <si>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</si>
  <si>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</si>
  <si>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</si>
  <si>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</si>
  <si>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</si>
  <si>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</si>
  <si>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</si>
  <si>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</si>
  <si>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</si>
  <si>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</si>
  <si>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</si>
  <si>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</si>
  <si>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</si>
  <si>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</si>
  <si>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</si>
  <si>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</si>
  <si>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</si>
  <si>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</si>
  <si>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</si>
  <si>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</si>
  <si>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</si>
  <si>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</si>
  <si>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</si>
  <si>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</si>
  <si>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</si>
  <si>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</si>
  <si>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</si>
  <si>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</si>
  <si>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</si>
  <si>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</si>
  <si>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</si>
  <si>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</si>
  <si>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</si>
  <si>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</si>
  <si>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</si>
  <si>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</si>
  <si>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</si>
  <si>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</si>
  <si>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</si>
  <si>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</si>
  <si>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</si>
  <si>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</si>
  <si>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</si>
  <si>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</si>
  <si>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</si>
  <si>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</si>
  <si>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</si>
  <si>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</si>
  <si>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</si>
  <si>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</si>
  <si>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</si>
  <si>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</si>
  <si>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</si>
  <si>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</si>
  <si>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</si>
  <si>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</si>
  <si>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</si>
  <si>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</si>
  <si>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</si>
  <si>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</si>
  <si>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</si>
  <si>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</si>
  <si>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</si>
  <si>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</si>
  <si>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</si>
  <si>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</si>
  <si>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</si>
  <si>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</si>
  <si>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</si>
  <si>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</si>
  <si>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</si>
  <si>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</si>
  <si>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</si>
  <si>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</si>
  <si>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</si>
  <si>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</si>
  <si>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</si>
  <si>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</si>
  <si>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</si>
  <si>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</si>
  <si>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</si>
  <si>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</si>
  <si>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</si>
  <si>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</si>
  <si>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</si>
  <si>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</si>
  <si>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</si>
  <si>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</si>
  <si>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</si>
  <si>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</si>
  <si>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</si>
  <si>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</si>
  <si>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</si>
  <si>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</si>
  <si>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</si>
  <si>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</si>
  <si>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</si>
  <si>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</si>
  <si>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</si>
  <si>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</si>
  <si>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</si>
  <si>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</si>
  <si>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</si>
  <si>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</si>
  <si>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</si>
  <si>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</si>
  <si>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</si>
  <si>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</si>
  <si>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10x1</t>
  </si>
  <si>
    <t>PEG</t>
  </si>
  <si>
    <t>Discount/Prem to 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</si>
</sst>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9" fontId="4" fillId="5" borderId="4" xfId="1" applyFont="1" applyFill="1" applyBorder="1"/>
    <xf numFmtId="9" fontId="4" fillId="5" borderId="6" xfId="1" applyFont="1" applyFill="1" applyBorder="1"/>
    <xf numFmtId="43" fontId="4" fillId="5" borderId="4" xfId="0" applyNumberFormat="1" applyFont="1" applyFill="1" applyBorder="1"/>
    <xf numFmtId="164" fontId="4" fillId="5" borderId="0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66368"/>
        <c:axId val="117723520"/>
      </c:lineChart>
      <c:catAx>
        <c:axId val="117066368"/>
        <c:scaling>
          <c:orientation val="minMax"/>
        </c:scaling>
        <c:delete val="0"/>
        <c:axPos val="b"/>
        <c:majorTickMark val="out"/>
        <c:minorTickMark val="none"/>
        <c:tickLblPos val="nextTo"/>
        <c:crossAx val="117723520"/>
        <c:crosses val="autoZero"/>
        <c:auto val="1"/>
        <c:lblAlgn val="ctr"/>
        <c:lblOffset val="100"/>
        <c:noMultiLvlLbl val="0"/>
      </c:catAx>
      <c:valAx>
        <c:axId val="11772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706636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29">
        <v>14</v>
      </c>
      <c r="D7" s="20"/>
      <c r="E7" s="20"/>
      <c r="F7" s="20"/>
      <c r="G7" s="20"/>
    </row>
    <row r="8" spans="2:7" x14ac:dyDescent="0.2">
      <c r="B8" s="20" t="s">
        <v>25</v>
      </c>
      <c r="C8" s="129">
        <v>5</v>
      </c>
      <c r="D8" s="20"/>
      <c r="E8" s="20"/>
      <c r="F8" s="20"/>
      <c r="G8" s="20"/>
    </row>
    <row r="9" spans="2:7" x14ac:dyDescent="0.2">
      <c r="B9" s="20" t="s">
        <v>319</v>
      </c>
      <c r="C9" s="151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29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29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29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29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29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29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29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0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1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1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1"/>
      <c r="D32" s="20"/>
      <c r="E32" s="20"/>
      <c r="F32" s="20"/>
      <c r="G32" s="20"/>
    </row>
    <row r="33" spans="2:7" x14ac:dyDescent="0.2">
      <c r="B33" s="20" t="s">
        <v>267</v>
      </c>
      <c r="C33" s="131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1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29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29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29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29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29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29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29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29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29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8"/>
  <sheetViews>
    <sheetView tabSelected="1" zoomScale="80" zoomScaleNormal="80" workbookViewId="0">
      <pane xSplit="2" ySplit="3" topLeftCell="E157" activePane="bottomRight" state="frozen"/>
      <selection pane="topRight" activeCell="C1" sqref="C1"/>
      <selection pane="bottomLeft" activeCell="A5" sqref="A5"/>
      <selection pane="bottomRight" activeCell="P178" sqref="P178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327</v>
      </c>
      <c r="L1" s="163">
        <v>0.05</v>
      </c>
      <c r="N1" s="104" t="s">
        <v>398</v>
      </c>
      <c r="P1" s="163">
        <v>0.05</v>
      </c>
    </row>
    <row r="2" spans="2:31" x14ac:dyDescent="0.2">
      <c r="B2" s="152" t="s">
        <v>315</v>
      </c>
      <c r="C2" s="120"/>
      <c r="F2" s="104" t="s">
        <v>253</v>
      </c>
      <c r="H2" s="126">
        <v>2013</v>
      </c>
      <c r="J2" s="104" t="s">
        <v>328</v>
      </c>
      <c r="L2" s="163">
        <v>0.13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2" t="s">
        <v>291</v>
      </c>
      <c r="AE2" s="193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5" t="s">
        <v>1</v>
      </c>
      <c r="AD3" s="194" t="s">
        <v>292</v>
      </c>
      <c r="AE3" s="195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6"/>
      <c r="AD4" s="20"/>
      <c r="AE4" s="20"/>
    </row>
    <row r="5" spans="2:31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20"/>
      <c r="R5" s="20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36"/>
      <c r="AD5" s="20"/>
      <c r="AE5" s="153"/>
    </row>
    <row r="6" spans="2:31" x14ac:dyDescent="0.2">
      <c r="B6" s="20" t="s">
        <v>16</v>
      </c>
      <c r="C6" s="140"/>
      <c r="D6" s="140"/>
      <c r="E6" s="146"/>
      <c r="F6" s="146"/>
      <c r="G6" s="146">
        <v>89</v>
      </c>
      <c r="H6" s="146">
        <v>104</v>
      </c>
      <c r="I6" s="146">
        <v>182</v>
      </c>
      <c r="J6" s="146">
        <v>270</v>
      </c>
      <c r="K6" s="146">
        <v>350</v>
      </c>
      <c r="L6" s="146">
        <v>426</v>
      </c>
      <c r="M6" s="146">
        <v>387</v>
      </c>
      <c r="N6" s="146">
        <v>406</v>
      </c>
      <c r="O6" s="146">
        <v>522</v>
      </c>
      <c r="P6" s="146">
        <f>O6</f>
        <v>522</v>
      </c>
      <c r="Q6" s="118">
        <f>((P6/G6)^(1/($H$2-$H$1) ))-1</f>
        <v>0.21720716348440772</v>
      </c>
      <c r="R6" s="31">
        <f>$L$2</f>
        <v>0.13</v>
      </c>
      <c r="S6" s="153">
        <f>P6*(1+$R6)</f>
        <v>589.8599999999999</v>
      </c>
      <c r="T6" s="153">
        <f>S6*(1+$R6)</f>
        <v>666.54179999999985</v>
      </c>
      <c r="U6" s="153">
        <f t="shared" ref="U6:AB6" si="0">T6*(1+$R6)</f>
        <v>753.19223399999976</v>
      </c>
      <c r="V6" s="153">
        <f t="shared" si="0"/>
        <v>851.10722441999962</v>
      </c>
      <c r="W6" s="153">
        <f t="shared" si="0"/>
        <v>961.75116359459946</v>
      </c>
      <c r="X6" s="153">
        <f t="shared" si="0"/>
        <v>1086.7788148618972</v>
      </c>
      <c r="Y6" s="153">
        <f t="shared" si="0"/>
        <v>1228.0600607939436</v>
      </c>
      <c r="Z6" s="153">
        <f t="shared" si="0"/>
        <v>1387.7078686971563</v>
      </c>
      <c r="AA6" s="153">
        <f t="shared" si="0"/>
        <v>1568.1098916277865</v>
      </c>
      <c r="AB6" s="153">
        <f t="shared" si="0"/>
        <v>1771.9641775393986</v>
      </c>
      <c r="AC6" s="137">
        <f>((AB6/G6)^(1/($AB$3-$H$1) ))-1</f>
        <v>0.17050113319026039</v>
      </c>
      <c r="AD6" s="31">
        <f>$L$1</f>
        <v>0.05</v>
      </c>
      <c r="AE6" s="145">
        <f t="shared" ref="AE6:AE43" si="1">(AB6*(1+AD6))/($C$1-AD6)</f>
        <v>18605.623864163688</v>
      </c>
    </row>
    <row r="7" spans="2:31" x14ac:dyDescent="0.2">
      <c r="B7" s="20" t="s">
        <v>240</v>
      </c>
      <c r="C7" s="140"/>
      <c r="D7" s="140"/>
      <c r="E7" s="146"/>
      <c r="F7" s="146"/>
      <c r="G7" s="146">
        <v>95</v>
      </c>
      <c r="H7" s="146">
        <v>110</v>
      </c>
      <c r="I7" s="146">
        <v>189</v>
      </c>
      <c r="J7" s="146">
        <v>276</v>
      </c>
      <c r="K7" s="146">
        <v>357</v>
      </c>
      <c r="L7" s="146">
        <v>433</v>
      </c>
      <c r="M7" s="146">
        <v>395</v>
      </c>
      <c r="N7" s="146">
        <v>413</v>
      </c>
      <c r="O7" s="146">
        <v>529</v>
      </c>
      <c r="P7" s="146">
        <f>O7</f>
        <v>529</v>
      </c>
      <c r="Q7" s="118">
        <f>((P7/G7)^(1/($H$2-$H$1) ))-1</f>
        <v>0.21020548939937345</v>
      </c>
      <c r="R7" s="31">
        <f>$L$2</f>
        <v>0.13</v>
      </c>
      <c r="S7" s="153">
        <f t="shared" ref="S7:S16" si="2">P7*(1+$R7)</f>
        <v>597.77</v>
      </c>
      <c r="T7" s="153">
        <f t="shared" ref="T7:AB7" si="3">S7*(1+$R7)</f>
        <v>675.48009999999988</v>
      </c>
      <c r="U7" s="153">
        <f t="shared" si="3"/>
        <v>763.29251299999976</v>
      </c>
      <c r="V7" s="153">
        <f t="shared" si="3"/>
        <v>862.52053968999962</v>
      </c>
      <c r="W7" s="153">
        <f t="shared" si="3"/>
        <v>974.64820984969947</v>
      </c>
      <c r="X7" s="153">
        <f t="shared" si="3"/>
        <v>1101.3524771301602</v>
      </c>
      <c r="Y7" s="153">
        <f t="shared" si="3"/>
        <v>1244.5282991570809</v>
      </c>
      <c r="Z7" s="153">
        <f t="shared" si="3"/>
        <v>1406.3169780475014</v>
      </c>
      <c r="AA7" s="153">
        <f t="shared" si="3"/>
        <v>1589.1381851936765</v>
      </c>
      <c r="AB7" s="153">
        <f t="shared" si="3"/>
        <v>1795.7261492688542</v>
      </c>
      <c r="AC7" s="137">
        <f>((AB7/G7)^(1/($AB$3-$H$1) ))-1</f>
        <v>0.16730697086898694</v>
      </c>
      <c r="AD7" s="31">
        <f>$L$1</f>
        <v>0.05</v>
      </c>
      <c r="AE7" s="145">
        <f t="shared" si="1"/>
        <v>18855.124567322971</v>
      </c>
    </row>
    <row r="8" spans="2:31" x14ac:dyDescent="0.2">
      <c r="B8" s="20"/>
      <c r="C8" s="140"/>
      <c r="D8" s="140"/>
      <c r="E8" s="146"/>
      <c r="F8" s="146"/>
      <c r="G8" s="147">
        <f>(G7-F7)/G7</f>
        <v>1</v>
      </c>
      <c r="H8" s="150">
        <f>(H7-G7)/H7</f>
        <v>0.13636363636363635</v>
      </c>
      <c r="I8" s="150">
        <f t="shared" ref="I8:P8" si="4">(I7-H7)/I7</f>
        <v>0.41798941798941797</v>
      </c>
      <c r="J8" s="150">
        <f t="shared" si="4"/>
        <v>0.31521739130434784</v>
      </c>
      <c r="K8" s="150">
        <f t="shared" si="4"/>
        <v>0.22689075630252101</v>
      </c>
      <c r="L8" s="150">
        <f t="shared" si="4"/>
        <v>0.17551963048498845</v>
      </c>
      <c r="M8" s="150">
        <f t="shared" si="4"/>
        <v>-9.6202531645569619E-2</v>
      </c>
      <c r="N8" s="150">
        <f t="shared" si="4"/>
        <v>4.3583535108958835E-2</v>
      </c>
      <c r="O8" s="150">
        <f t="shared" si="4"/>
        <v>0.21928166351606806</v>
      </c>
      <c r="P8" s="150">
        <f t="shared" si="4"/>
        <v>0</v>
      </c>
      <c r="Q8" s="128"/>
      <c r="R8" s="20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36"/>
      <c r="AD8" s="136"/>
      <c r="AE8" s="145"/>
    </row>
    <row r="9" spans="2:31" x14ac:dyDescent="0.2">
      <c r="B9" s="20" t="s">
        <v>269</v>
      </c>
      <c r="C9" s="140"/>
      <c r="D9" s="140"/>
      <c r="E9" s="146"/>
      <c r="F9" s="146"/>
      <c r="G9" s="146">
        <v>16.2</v>
      </c>
      <c r="H9" s="146">
        <v>20</v>
      </c>
      <c r="I9" s="146">
        <v>74</v>
      </c>
      <c r="J9" s="146">
        <v>99</v>
      </c>
      <c r="K9" s="146">
        <v>118</v>
      </c>
      <c r="L9" s="146">
        <v>161</v>
      </c>
      <c r="M9" s="146">
        <v>175</v>
      </c>
      <c r="N9" s="146">
        <v>241</v>
      </c>
      <c r="O9" s="146">
        <v>382</v>
      </c>
      <c r="P9" s="146">
        <f>O9</f>
        <v>382</v>
      </c>
      <c r="Q9" s="118">
        <f t="shared" ref="Q9:Q16" si="5">((P9/G9)^(1/($H$2-$H$1) ))-1</f>
        <v>0.42070978633704814</v>
      </c>
      <c r="R9" s="31">
        <f t="shared" ref="R9:R40" si="6">$L$2</f>
        <v>0.13</v>
      </c>
      <c r="S9" s="153">
        <f t="shared" ref="S9" si="7">P9*(1+$R9)</f>
        <v>431.65999999999997</v>
      </c>
      <c r="T9" s="153">
        <f t="shared" ref="T9" si="8">S9*(1+$R9)</f>
        <v>487.77579999999989</v>
      </c>
      <c r="U9" s="153">
        <f t="shared" ref="U9" si="9">T9*(1+$R9)</f>
        <v>551.18665399999986</v>
      </c>
      <c r="V9" s="153">
        <f t="shared" ref="V9" si="10">U9*(1+$R9)</f>
        <v>622.84091901999977</v>
      </c>
      <c r="W9" s="153">
        <f t="shared" ref="W9" si="11">V9*(1+$R9)</f>
        <v>703.81023849259964</v>
      </c>
      <c r="X9" s="153">
        <f t="shared" ref="X9" si="12">W9*(1+$R9)</f>
        <v>795.30556949663753</v>
      </c>
      <c r="Y9" s="153">
        <f t="shared" ref="Y9" si="13">X9*(1+$R9)</f>
        <v>898.69529353120038</v>
      </c>
      <c r="Z9" s="153">
        <f t="shared" ref="Z9" si="14">Y9*(1+$R9)</f>
        <v>1015.5256816902563</v>
      </c>
      <c r="AA9" s="153">
        <f t="shared" ref="AA9" si="15">Z9*(1+$R9)</f>
        <v>1147.5440203099895</v>
      </c>
      <c r="AB9" s="153">
        <f t="shared" ref="AB9" si="16">AA9*(1+$R9)</f>
        <v>1296.7247429502879</v>
      </c>
      <c r="AC9" s="137">
        <f>((AB9/G9)^(1/($AB$3-$H$1) ))-1</f>
        <v>0.25943398896244263</v>
      </c>
      <c r="AD9" s="31">
        <f t="shared" ref="AD9:AD79" si="17">$L$1</f>
        <v>0.05</v>
      </c>
      <c r="AE9" s="145">
        <f t="shared" si="1"/>
        <v>13615.609800978025</v>
      </c>
    </row>
    <row r="10" spans="2:31" x14ac:dyDescent="0.2">
      <c r="B10" s="20" t="s">
        <v>4</v>
      </c>
      <c r="C10" s="140"/>
      <c r="D10" s="140"/>
      <c r="E10" s="146"/>
      <c r="F10" s="146"/>
      <c r="G10" s="146">
        <v>0</v>
      </c>
      <c r="H10" s="146">
        <v>0</v>
      </c>
      <c r="I10" s="146">
        <v>0</v>
      </c>
      <c r="J10" s="146">
        <v>0</v>
      </c>
      <c r="K10" s="146">
        <v>0</v>
      </c>
      <c r="L10" s="146">
        <v>0</v>
      </c>
      <c r="M10" s="146">
        <v>0</v>
      </c>
      <c r="N10" s="146">
        <v>0</v>
      </c>
      <c r="O10" s="146">
        <v>0</v>
      </c>
      <c r="P10" s="146">
        <v>0</v>
      </c>
      <c r="Q10" s="118" t="e">
        <f t="shared" si="5"/>
        <v>#DIV/0!</v>
      </c>
      <c r="R10" s="31">
        <f t="shared" si="6"/>
        <v>0.13</v>
      </c>
      <c r="S10" s="153">
        <f t="shared" si="2"/>
        <v>0</v>
      </c>
      <c r="T10" s="153">
        <f t="shared" ref="T10:AB10" si="18">S10*(1+$R10)</f>
        <v>0</v>
      </c>
      <c r="U10" s="153">
        <f t="shared" si="18"/>
        <v>0</v>
      </c>
      <c r="V10" s="153">
        <f t="shared" si="18"/>
        <v>0</v>
      </c>
      <c r="W10" s="153">
        <f t="shared" si="18"/>
        <v>0</v>
      </c>
      <c r="X10" s="153">
        <f t="shared" si="18"/>
        <v>0</v>
      </c>
      <c r="Y10" s="153">
        <f t="shared" si="18"/>
        <v>0</v>
      </c>
      <c r="Z10" s="153">
        <f t="shared" si="18"/>
        <v>0</v>
      </c>
      <c r="AA10" s="153">
        <f t="shared" si="18"/>
        <v>0</v>
      </c>
      <c r="AB10" s="153">
        <f t="shared" si="18"/>
        <v>0</v>
      </c>
      <c r="AC10" s="137" t="e">
        <f t="shared" ref="AC10:AC42" si="19">((AB10/G10)^(1/($AB$3-$H$1) ))-1</f>
        <v>#DIV/0!</v>
      </c>
      <c r="AD10" s="31">
        <f t="shared" si="17"/>
        <v>0.05</v>
      </c>
      <c r="AE10" s="145">
        <f t="shared" si="1"/>
        <v>0</v>
      </c>
    </row>
    <row r="11" spans="2:31" x14ac:dyDescent="0.2">
      <c r="B11" s="20"/>
      <c r="C11" s="140"/>
      <c r="D11" s="140"/>
      <c r="E11" s="146"/>
      <c r="F11" s="146"/>
      <c r="G11" s="147" t="e">
        <f>(G10-F10)/G10</f>
        <v>#DIV/0!</v>
      </c>
      <c r="H11" s="147" t="e">
        <f t="shared" ref="H11:P11" si="20">(H10-G10)/H10</f>
        <v>#DIV/0!</v>
      </c>
      <c r="I11" s="147" t="e">
        <f t="shared" si="20"/>
        <v>#DIV/0!</v>
      </c>
      <c r="J11" s="147" t="e">
        <f t="shared" si="20"/>
        <v>#DIV/0!</v>
      </c>
      <c r="K11" s="147" t="e">
        <f t="shared" si="20"/>
        <v>#DIV/0!</v>
      </c>
      <c r="L11" s="147" t="e">
        <f t="shared" si="20"/>
        <v>#DIV/0!</v>
      </c>
      <c r="M11" s="147" t="e">
        <f t="shared" si="20"/>
        <v>#DIV/0!</v>
      </c>
      <c r="N11" s="147" t="e">
        <f t="shared" si="20"/>
        <v>#DIV/0!</v>
      </c>
      <c r="O11" s="147" t="e">
        <f t="shared" si="20"/>
        <v>#DIV/0!</v>
      </c>
      <c r="P11" s="147" t="e">
        <f t="shared" si="20"/>
        <v>#DIV/0!</v>
      </c>
      <c r="Q11" s="128"/>
      <c r="R11" s="20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19"/>
      <c r="AD11" s="31">
        <f t="shared" si="17"/>
        <v>0.05</v>
      </c>
      <c r="AE11" s="153"/>
    </row>
    <row r="12" spans="2:31" x14ac:dyDescent="0.2">
      <c r="B12" s="20" t="s">
        <v>2</v>
      </c>
      <c r="C12" s="140"/>
      <c r="D12" s="140"/>
      <c r="E12" s="146"/>
      <c r="F12" s="146"/>
      <c r="G12" s="146">
        <f>5.12+1.39</f>
        <v>6.51</v>
      </c>
      <c r="H12" s="146">
        <f>4.5+6.5</f>
        <v>11</v>
      </c>
      <c r="I12" s="146">
        <f>34+4</f>
        <v>38</v>
      </c>
      <c r="J12" s="146">
        <f>39+3.1</f>
        <v>42.1</v>
      </c>
      <c r="K12" s="146">
        <f>85+44</f>
        <v>129</v>
      </c>
      <c r="L12" s="146">
        <f>91+66</f>
        <v>157</v>
      </c>
      <c r="M12" s="146">
        <f>59.5+102</f>
        <v>161.5</v>
      </c>
      <c r="N12" s="146">
        <f>94+164</f>
        <v>258</v>
      </c>
      <c r="O12" s="146">
        <f>153+0</f>
        <v>153</v>
      </c>
      <c r="P12" s="146">
        <f>O12</f>
        <v>153</v>
      </c>
      <c r="Q12" s="118">
        <f t="shared" si="5"/>
        <v>0.42018723471263586</v>
      </c>
      <c r="R12" s="31">
        <f t="shared" si="6"/>
        <v>0.13</v>
      </c>
      <c r="S12" s="153">
        <f t="shared" si="2"/>
        <v>172.89</v>
      </c>
      <c r="T12" s="153">
        <f t="shared" ref="T12:AB12" si="21">S12*(1+$R12)</f>
        <v>195.36569999999998</v>
      </c>
      <c r="U12" s="153">
        <f t="shared" si="21"/>
        <v>220.76324099999997</v>
      </c>
      <c r="V12" s="153">
        <f t="shared" si="21"/>
        <v>249.46246232999994</v>
      </c>
      <c r="W12" s="153">
        <f t="shared" si="21"/>
        <v>281.89258243289993</v>
      </c>
      <c r="X12" s="153">
        <f t="shared" si="21"/>
        <v>318.5386181491769</v>
      </c>
      <c r="Y12" s="153">
        <f t="shared" si="21"/>
        <v>359.94863850856984</v>
      </c>
      <c r="Z12" s="153">
        <f t="shared" si="21"/>
        <v>406.74196151468391</v>
      </c>
      <c r="AA12" s="153">
        <f t="shared" si="21"/>
        <v>459.61841651159278</v>
      </c>
      <c r="AB12" s="153">
        <f t="shared" si="21"/>
        <v>519.36881065809985</v>
      </c>
      <c r="AC12" s="137">
        <f t="shared" si="19"/>
        <v>0.25921454168844171</v>
      </c>
      <c r="AD12" s="31">
        <f t="shared" si="17"/>
        <v>0.05</v>
      </c>
      <c r="AE12" s="145">
        <f t="shared" si="1"/>
        <v>5453.3725119100491</v>
      </c>
    </row>
    <row r="13" spans="2:31" x14ac:dyDescent="0.2">
      <c r="B13" s="20" t="s">
        <v>218</v>
      </c>
      <c r="C13" s="140"/>
      <c r="D13" s="140"/>
      <c r="E13" s="146"/>
      <c r="F13" s="146"/>
      <c r="G13" s="146">
        <v>55.66</v>
      </c>
      <c r="H13" s="146">
        <v>66.5</v>
      </c>
      <c r="I13" s="146">
        <v>40</v>
      </c>
      <c r="J13" s="146">
        <v>97.5</v>
      </c>
      <c r="K13" s="146">
        <v>111</v>
      </c>
      <c r="L13" s="146">
        <v>106</v>
      </c>
      <c r="M13" s="146">
        <v>26</v>
      </c>
      <c r="N13" s="146">
        <v>15.85</v>
      </c>
      <c r="O13" s="146">
        <v>115</v>
      </c>
      <c r="P13" s="146">
        <f>O13</f>
        <v>115</v>
      </c>
      <c r="Q13" s="118">
        <f t="shared" si="5"/>
        <v>8.3969798387126815E-2</v>
      </c>
      <c r="R13" s="31">
        <f t="shared" si="6"/>
        <v>0.13</v>
      </c>
      <c r="S13" s="153">
        <f t="shared" si="2"/>
        <v>129.94999999999999</v>
      </c>
      <c r="T13" s="153">
        <f t="shared" ref="T13:AB13" si="22">S13*(1+$R13)</f>
        <v>146.84349999999998</v>
      </c>
      <c r="U13" s="153">
        <f t="shared" si="22"/>
        <v>165.93315499999997</v>
      </c>
      <c r="V13" s="153">
        <f t="shared" si="22"/>
        <v>187.50446514999996</v>
      </c>
      <c r="W13" s="153">
        <f t="shared" si="22"/>
        <v>211.88004561949992</v>
      </c>
      <c r="X13" s="153">
        <f t="shared" si="22"/>
        <v>239.42445155003489</v>
      </c>
      <c r="Y13" s="153">
        <f t="shared" si="22"/>
        <v>270.54963025153938</v>
      </c>
      <c r="Z13" s="153">
        <f t="shared" si="22"/>
        <v>305.72108218423949</v>
      </c>
      <c r="AA13" s="153">
        <f t="shared" si="22"/>
        <v>345.46482286819059</v>
      </c>
      <c r="AB13" s="153">
        <f t="shared" si="22"/>
        <v>390.37524984105534</v>
      </c>
      <c r="AC13" s="137">
        <f t="shared" si="19"/>
        <v>0.10795751900570361</v>
      </c>
      <c r="AD13" s="31">
        <f t="shared" si="17"/>
        <v>0.05</v>
      </c>
      <c r="AE13" s="145">
        <f t="shared" si="1"/>
        <v>4098.9401233310809</v>
      </c>
    </row>
    <row r="14" spans="2:31" x14ac:dyDescent="0.2">
      <c r="B14" s="20" t="s">
        <v>373</v>
      </c>
      <c r="C14" s="140"/>
      <c r="D14" s="140"/>
      <c r="E14" s="146"/>
      <c r="F14" s="146"/>
      <c r="G14" s="146">
        <v>0</v>
      </c>
      <c r="H14" s="146">
        <v>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18" t="e">
        <f t="shared" ref="Q14" si="23">((P14/G14)^(1/($H$2-$H$1) ))-1</f>
        <v>#DIV/0!</v>
      </c>
      <c r="R14" s="31">
        <f t="shared" si="6"/>
        <v>0.13</v>
      </c>
      <c r="S14" s="153">
        <f t="shared" ref="S14" si="24">P14*(1+$R14)</f>
        <v>0</v>
      </c>
      <c r="T14" s="153">
        <f t="shared" ref="T14" si="25">S14*(1+$R14)</f>
        <v>0</v>
      </c>
      <c r="U14" s="153">
        <f t="shared" ref="U14" si="26">T14*(1+$R14)</f>
        <v>0</v>
      </c>
      <c r="V14" s="153">
        <f t="shared" ref="V14" si="27">U14*(1+$R14)</f>
        <v>0</v>
      </c>
      <c r="W14" s="153">
        <f t="shared" ref="W14" si="28">V14*(1+$R14)</f>
        <v>0</v>
      </c>
      <c r="X14" s="153">
        <f t="shared" ref="X14" si="29">W14*(1+$R14)</f>
        <v>0</v>
      </c>
      <c r="Y14" s="153">
        <f t="shared" ref="Y14" si="30">X14*(1+$R14)</f>
        <v>0</v>
      </c>
      <c r="Z14" s="153">
        <f t="shared" ref="Z14" si="31">Y14*(1+$R14)</f>
        <v>0</v>
      </c>
      <c r="AA14" s="153">
        <f t="shared" ref="AA14" si="32">Z14*(1+$R14)</f>
        <v>0</v>
      </c>
      <c r="AB14" s="153">
        <f t="shared" ref="AB14" si="33">AA14*(1+$R14)</f>
        <v>0</v>
      </c>
      <c r="AC14" s="137" t="e">
        <f t="shared" ref="AC14" si="34">((AB14/G14)^(1/($AB$3-$H$1) ))-1</f>
        <v>#DIV/0!</v>
      </c>
      <c r="AD14" s="31">
        <f t="shared" si="17"/>
        <v>0.05</v>
      </c>
      <c r="AE14" s="145">
        <f t="shared" ref="AE14" si="35">(AB14*(1+AD14))/($C$1-AD14)</f>
        <v>0</v>
      </c>
    </row>
    <row r="15" spans="2:31" x14ac:dyDescent="0.2">
      <c r="B15" s="20" t="s">
        <v>19</v>
      </c>
      <c r="C15" s="140"/>
      <c r="D15" s="140"/>
      <c r="E15" s="146"/>
      <c r="F15" s="146"/>
      <c r="G15" s="146">
        <v>14.32</v>
      </c>
      <c r="H15" s="146">
        <v>21</v>
      </c>
      <c r="I15" s="146">
        <v>101</v>
      </c>
      <c r="J15" s="146">
        <v>129</v>
      </c>
      <c r="K15" s="146">
        <v>163</v>
      </c>
      <c r="L15" s="146">
        <v>183</v>
      </c>
      <c r="M15" s="146">
        <v>168</v>
      </c>
      <c r="N15" s="146">
        <v>182</v>
      </c>
      <c r="O15" s="146">
        <v>270</v>
      </c>
      <c r="P15" s="146">
        <f>O15</f>
        <v>270</v>
      </c>
      <c r="Q15" s="118">
        <f t="shared" si="5"/>
        <v>0.38584103346268517</v>
      </c>
      <c r="R15" s="31">
        <f t="shared" si="6"/>
        <v>0.13</v>
      </c>
      <c r="S15" s="153">
        <f t="shared" si="2"/>
        <v>305.09999999999997</v>
      </c>
      <c r="T15" s="153">
        <f t="shared" ref="T15:AB15" si="36">S15*(1+$R15)</f>
        <v>344.76299999999992</v>
      </c>
      <c r="U15" s="153">
        <f t="shared" si="36"/>
        <v>389.58218999999985</v>
      </c>
      <c r="V15" s="153">
        <f t="shared" si="36"/>
        <v>440.2278746999998</v>
      </c>
      <c r="W15" s="153">
        <f t="shared" si="36"/>
        <v>497.45749841099973</v>
      </c>
      <c r="X15" s="153">
        <f t="shared" si="36"/>
        <v>562.12697320442965</v>
      </c>
      <c r="Y15" s="153">
        <f t="shared" si="36"/>
        <v>635.20347972100546</v>
      </c>
      <c r="Z15" s="153">
        <f t="shared" si="36"/>
        <v>717.77993208473606</v>
      </c>
      <c r="AA15" s="153">
        <f t="shared" si="36"/>
        <v>811.09132325575172</v>
      </c>
      <c r="AB15" s="153">
        <f t="shared" si="36"/>
        <v>916.5331952789993</v>
      </c>
      <c r="AC15" s="137">
        <f t="shared" si="19"/>
        <v>0.24469639176649416</v>
      </c>
      <c r="AD15" s="31">
        <f t="shared" si="17"/>
        <v>0.05</v>
      </c>
      <c r="AE15" s="145">
        <f t="shared" si="1"/>
        <v>9623.5985504294949</v>
      </c>
    </row>
    <row r="16" spans="2:31" x14ac:dyDescent="0.2">
      <c r="B16" s="20" t="s">
        <v>23</v>
      </c>
      <c r="C16" s="140"/>
      <c r="D16" s="140"/>
      <c r="E16" s="146"/>
      <c r="F16" s="146"/>
      <c r="G16" s="146">
        <v>-6.5</v>
      </c>
      <c r="H16" s="146">
        <v>1.24</v>
      </c>
      <c r="I16" s="146">
        <v>31.7</v>
      </c>
      <c r="J16" s="146">
        <v>41.69</v>
      </c>
      <c r="K16" s="146">
        <v>109</v>
      </c>
      <c r="L16" s="146">
        <v>132</v>
      </c>
      <c r="M16" s="146">
        <v>143</v>
      </c>
      <c r="N16" s="146">
        <v>170</v>
      </c>
      <c r="O16" s="146">
        <v>-53</v>
      </c>
      <c r="P16" s="146">
        <f>O16</f>
        <v>-53</v>
      </c>
      <c r="Q16" s="118">
        <f t="shared" si="5"/>
        <v>0.26259045395070446</v>
      </c>
      <c r="R16" s="31">
        <f t="shared" si="6"/>
        <v>0.13</v>
      </c>
      <c r="S16" s="153">
        <f t="shared" si="2"/>
        <v>-59.889999999999993</v>
      </c>
      <c r="T16" s="153">
        <f t="shared" ref="T16:AB16" si="37">S16*(1+$R16)</f>
        <v>-67.675699999999992</v>
      </c>
      <c r="U16" s="153">
        <f t="shared" si="37"/>
        <v>-76.473540999999983</v>
      </c>
      <c r="V16" s="153">
        <f t="shared" si="37"/>
        <v>-86.41510132999997</v>
      </c>
      <c r="W16" s="153">
        <f t="shared" si="37"/>
        <v>-97.649064502899961</v>
      </c>
      <c r="X16" s="153">
        <f t="shared" si="37"/>
        <v>-110.34344288827694</v>
      </c>
      <c r="Y16" s="153">
        <f t="shared" si="37"/>
        <v>-124.68809046375293</v>
      </c>
      <c r="Z16" s="153">
        <f t="shared" si="37"/>
        <v>-140.89754222404079</v>
      </c>
      <c r="AA16" s="153">
        <f t="shared" si="37"/>
        <v>-159.21422271316607</v>
      </c>
      <c r="AB16" s="153">
        <f t="shared" si="37"/>
        <v>-179.91207166587765</v>
      </c>
      <c r="AC16" s="137">
        <f t="shared" si="19"/>
        <v>0.19097452207474164</v>
      </c>
      <c r="AD16" s="31">
        <f t="shared" si="17"/>
        <v>0.05</v>
      </c>
      <c r="AE16" s="145">
        <f t="shared" si="1"/>
        <v>-1889.0767524917155</v>
      </c>
    </row>
    <row r="17" spans="2:31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28"/>
      <c r="R17" s="20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38"/>
      <c r="AD17" s="136"/>
      <c r="AE17" s="153"/>
    </row>
    <row r="18" spans="2:31" x14ac:dyDescent="0.2">
      <c r="B18" s="20" t="s">
        <v>277</v>
      </c>
      <c r="C18" s="140"/>
      <c r="D18" s="140"/>
      <c r="E18" s="146"/>
      <c r="F18" s="146"/>
      <c r="G18" s="146">
        <v>46</v>
      </c>
      <c r="H18" s="146">
        <v>42.2</v>
      </c>
      <c r="I18" s="146">
        <v>117</v>
      </c>
      <c r="J18" s="146">
        <v>129</v>
      </c>
      <c r="K18" s="146">
        <v>126</v>
      </c>
      <c r="L18" s="146">
        <v>120</v>
      </c>
      <c r="M18" s="146">
        <v>224</v>
      </c>
      <c r="N18" s="146">
        <v>226</v>
      </c>
      <c r="O18" s="146">
        <v>467</v>
      </c>
      <c r="P18" s="146">
        <f>O18</f>
        <v>467</v>
      </c>
      <c r="Q18" s="118">
        <f>((P18/G18)^(1/($H$2-$H$1) ))-1</f>
        <v>0.29371881509213971</v>
      </c>
      <c r="R18" s="31">
        <f t="shared" si="6"/>
        <v>0.13</v>
      </c>
      <c r="S18" s="153">
        <f t="shared" ref="S18:S34" si="38">P18*(1+$R18)</f>
        <v>527.70999999999992</v>
      </c>
      <c r="T18" s="153">
        <f t="shared" ref="T18:T34" si="39">S18*(1+$R18)</f>
        <v>596.31229999999982</v>
      </c>
      <c r="U18" s="153">
        <f t="shared" ref="U18:U34" si="40">T18*(1+$R18)</f>
        <v>673.83289899999977</v>
      </c>
      <c r="V18" s="153">
        <f t="shared" ref="V18:V34" si="41">U18*(1+$R18)</f>
        <v>761.43117586999972</v>
      </c>
      <c r="W18" s="153">
        <f t="shared" ref="W18:W36" si="42">V18*(1+$R18)</f>
        <v>860.41722873309959</v>
      </c>
      <c r="X18" s="153">
        <f t="shared" ref="X18:X36" si="43">W18*(1+$R18)</f>
        <v>972.27146846840242</v>
      </c>
      <c r="Y18" s="153">
        <f t="shared" ref="Y18:Y36" si="44">X18*(1+$R18)</f>
        <v>1098.6667593692946</v>
      </c>
      <c r="Z18" s="153">
        <f t="shared" ref="Z18:Z36" si="45">Y18*(1+$R18)</f>
        <v>1241.4934380873028</v>
      </c>
      <c r="AA18" s="153">
        <f t="shared" ref="AA18:AA36" si="46">Z18*(1+$R18)</f>
        <v>1402.8875850386521</v>
      </c>
      <c r="AB18" s="153">
        <f t="shared" ref="AB18:AB36" si="47">AA18*(1+$R18)</f>
        <v>1585.2629710936767</v>
      </c>
      <c r="AC18" s="137">
        <f t="shared" si="19"/>
        <v>0.20479405243805759</v>
      </c>
      <c r="AD18" s="31">
        <f t="shared" si="17"/>
        <v>0.05</v>
      </c>
      <c r="AE18" s="145">
        <f t="shared" si="1"/>
        <v>16645.261196483607</v>
      </c>
    </row>
    <row r="19" spans="2:31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28"/>
      <c r="R19" s="20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38"/>
      <c r="AD19" s="136"/>
      <c r="AE19" s="153"/>
    </row>
    <row r="20" spans="2:31" x14ac:dyDescent="0.2">
      <c r="B20" s="20" t="s">
        <v>283</v>
      </c>
      <c r="C20" s="140"/>
      <c r="D20" s="140"/>
      <c r="E20" s="146"/>
      <c r="F20" s="146"/>
      <c r="G20" s="146">
        <v>23.4</v>
      </c>
      <c r="H20" s="146">
        <v>21</v>
      </c>
      <c r="I20" s="146">
        <v>25</v>
      </c>
      <c r="J20" s="146">
        <v>53</v>
      </c>
      <c r="K20" s="146">
        <v>137</v>
      </c>
      <c r="L20" s="146">
        <v>176</v>
      </c>
      <c r="M20" s="146">
        <v>135</v>
      </c>
      <c r="N20" s="146">
        <v>238</v>
      </c>
      <c r="O20" s="146">
        <v>149</v>
      </c>
      <c r="P20" s="146">
        <f>O20</f>
        <v>149</v>
      </c>
      <c r="Q20" s="118">
        <f>((P20/G20)^(1/($H$2-$H$1) ))-1</f>
        <v>0.22837238824245909</v>
      </c>
      <c r="R20" s="31">
        <f t="shared" si="6"/>
        <v>0.13</v>
      </c>
      <c r="S20" s="153">
        <f t="shared" ref="S20:S22" si="48">P20*(1+$R20)</f>
        <v>168.36999999999998</v>
      </c>
      <c r="T20" s="153">
        <f t="shared" ref="T20:T22" si="49">S20*(1+$R20)</f>
        <v>190.25809999999996</v>
      </c>
      <c r="U20" s="153">
        <f t="shared" ref="U20:U22" si="50">T20*(1+$R20)</f>
        <v>214.99165299999993</v>
      </c>
      <c r="V20" s="153">
        <f t="shared" ref="V20:V22" si="51">U20*(1+$R20)</f>
        <v>242.9405678899999</v>
      </c>
      <c r="W20" s="153">
        <f t="shared" ref="W20:W22" si="52">V20*(1+$R20)</f>
        <v>274.52284171569988</v>
      </c>
      <c r="X20" s="153">
        <f t="shared" ref="X20:X22" si="53">W20*(1+$R20)</f>
        <v>310.21081113874084</v>
      </c>
      <c r="Y20" s="153">
        <f t="shared" ref="Y20:Y22" si="54">X20*(1+$R20)</f>
        <v>350.53821658677714</v>
      </c>
      <c r="Z20" s="153">
        <f t="shared" ref="Z20:Z22" si="55">Y20*(1+$R20)</f>
        <v>396.10818474305813</v>
      </c>
      <c r="AA20" s="153">
        <f t="shared" ref="AA20:AA22" si="56">Z20*(1+$R20)</f>
        <v>447.60224875965565</v>
      </c>
      <c r="AB20" s="153">
        <f t="shared" ref="AB20:AB22" si="57">AA20*(1+$R20)</f>
        <v>505.79054109841081</v>
      </c>
      <c r="AC20" s="137">
        <f t="shared" ref="AC20:AC22" si="58">((AB20/G20)^(1/($AB$3-$H$1) ))-1</f>
        <v>0.1755747654064177</v>
      </c>
      <c r="AD20" s="31">
        <f t="shared" si="17"/>
        <v>0.05</v>
      </c>
      <c r="AE20" s="145">
        <f t="shared" si="1"/>
        <v>5310.8006815333138</v>
      </c>
    </row>
    <row r="21" spans="2:31" x14ac:dyDescent="0.2">
      <c r="B21" s="20" t="s">
        <v>284</v>
      </c>
      <c r="C21" s="140"/>
      <c r="D21" s="140"/>
      <c r="E21" s="146"/>
      <c r="F21" s="146"/>
      <c r="G21" s="146">
        <v>-17</v>
      </c>
      <c r="H21" s="146">
        <v>-11</v>
      </c>
      <c r="I21" s="146">
        <v>-32</v>
      </c>
      <c r="J21" s="146">
        <v>-52</v>
      </c>
      <c r="K21" s="146">
        <v>-89</v>
      </c>
      <c r="L21" s="146">
        <v>-29</v>
      </c>
      <c r="M21" s="146">
        <v>104</v>
      </c>
      <c r="N21" s="146">
        <v>-45</v>
      </c>
      <c r="O21" s="146">
        <v>-66</v>
      </c>
      <c r="P21" s="146">
        <f>O21</f>
        <v>-66</v>
      </c>
      <c r="Q21" s="118">
        <f>((P21/G21)^(1/($H$2-$H$1) ))-1</f>
        <v>0.16266607778423592</v>
      </c>
      <c r="R21" s="31">
        <f t="shared" si="6"/>
        <v>0.13</v>
      </c>
      <c r="S21" s="153">
        <f t="shared" si="48"/>
        <v>-74.58</v>
      </c>
      <c r="T21" s="153">
        <f t="shared" si="49"/>
        <v>-84.275399999999991</v>
      </c>
      <c r="U21" s="153">
        <f t="shared" si="50"/>
        <v>-95.231201999999982</v>
      </c>
      <c r="V21" s="153">
        <f t="shared" si="51"/>
        <v>-107.61125825999997</v>
      </c>
      <c r="W21" s="153">
        <f t="shared" si="52"/>
        <v>-121.60072183379995</v>
      </c>
      <c r="X21" s="153">
        <f t="shared" si="53"/>
        <v>-137.40881567219392</v>
      </c>
      <c r="Y21" s="153">
        <f t="shared" si="54"/>
        <v>-155.27196170957913</v>
      </c>
      <c r="Z21" s="153">
        <f t="shared" si="55"/>
        <v>-175.45731673182439</v>
      </c>
      <c r="AA21" s="153">
        <f t="shared" si="56"/>
        <v>-198.26676790696155</v>
      </c>
      <c r="AB21" s="153">
        <f t="shared" si="57"/>
        <v>-224.04144773486652</v>
      </c>
      <c r="AC21" s="137">
        <f t="shared" si="58"/>
        <v>0.14535739351830168</v>
      </c>
      <c r="AD21" s="31">
        <f t="shared" si="17"/>
        <v>0.05</v>
      </c>
      <c r="AE21" s="145">
        <f t="shared" si="1"/>
        <v>-2352.4352012160989</v>
      </c>
    </row>
    <row r="22" spans="2:31" x14ac:dyDescent="0.2">
      <c r="B22" s="20" t="s">
        <v>285</v>
      </c>
      <c r="C22" s="140"/>
      <c r="D22" s="140"/>
      <c r="E22" s="146"/>
      <c r="F22" s="146"/>
      <c r="G22" s="146">
        <v>-5.42</v>
      </c>
      <c r="H22" s="146">
        <v>-5.04</v>
      </c>
      <c r="I22" s="146">
        <v>0.7</v>
      </c>
      <c r="J22" s="146">
        <v>0.28000000000000003</v>
      </c>
      <c r="K22" s="146">
        <v>-46</v>
      </c>
      <c r="L22" s="146">
        <v>-94</v>
      </c>
      <c r="M22" s="146">
        <v>-277</v>
      </c>
      <c r="N22" s="146">
        <v>-164</v>
      </c>
      <c r="O22" s="146">
        <v>-110</v>
      </c>
      <c r="P22" s="146">
        <f>O22</f>
        <v>-110</v>
      </c>
      <c r="Q22" s="118">
        <f>((P22/G22)^(1/($H$2-$H$1) ))-1</f>
        <v>0.39722366640654538</v>
      </c>
      <c r="R22" s="31">
        <f t="shared" si="6"/>
        <v>0.13</v>
      </c>
      <c r="S22" s="153">
        <f t="shared" si="48"/>
        <v>-124.29999999999998</v>
      </c>
      <c r="T22" s="153">
        <f t="shared" si="49"/>
        <v>-140.45899999999997</v>
      </c>
      <c r="U22" s="153">
        <f t="shared" si="50"/>
        <v>-158.71866999999995</v>
      </c>
      <c r="V22" s="153">
        <f t="shared" si="51"/>
        <v>-179.35209709999992</v>
      </c>
      <c r="W22" s="153">
        <f t="shared" si="52"/>
        <v>-202.66786972299988</v>
      </c>
      <c r="X22" s="153">
        <f t="shared" si="53"/>
        <v>-229.01469278698985</v>
      </c>
      <c r="Y22" s="153">
        <f t="shared" si="54"/>
        <v>-258.7866028492985</v>
      </c>
      <c r="Z22" s="153">
        <f t="shared" si="55"/>
        <v>-292.4288612197073</v>
      </c>
      <c r="AA22" s="153">
        <f t="shared" si="56"/>
        <v>-330.44461317826921</v>
      </c>
      <c r="AB22" s="153">
        <f t="shared" si="57"/>
        <v>-373.40241289144416</v>
      </c>
      <c r="AC22" s="137">
        <f t="shared" si="58"/>
        <v>0.24952860223851991</v>
      </c>
      <c r="AD22" s="31">
        <f t="shared" si="17"/>
        <v>0.05</v>
      </c>
      <c r="AE22" s="145">
        <f t="shared" si="1"/>
        <v>-3920.7253353601645</v>
      </c>
    </row>
    <row r="23" spans="2:31" x14ac:dyDescent="0.2">
      <c r="B23" s="20" t="s">
        <v>295</v>
      </c>
      <c r="C23" s="140"/>
      <c r="D23" s="140"/>
      <c r="E23" s="146"/>
      <c r="F23" s="146"/>
      <c r="G23" s="146">
        <v>6.5</v>
      </c>
      <c r="H23" s="146">
        <v>11.4</v>
      </c>
      <c r="I23" s="146">
        <v>5.25</v>
      </c>
      <c r="J23" s="146">
        <v>9.4499999999999993</v>
      </c>
      <c r="K23" s="146">
        <v>19</v>
      </c>
      <c r="L23" s="146">
        <v>73</v>
      </c>
      <c r="M23" s="146">
        <v>34</v>
      </c>
      <c r="N23" s="146">
        <v>64</v>
      </c>
      <c r="O23" s="146">
        <v>36</v>
      </c>
      <c r="P23" s="146">
        <f>O23</f>
        <v>36</v>
      </c>
      <c r="Q23" s="118">
        <f>((P23/G23)^(1/($H$2-$H$1) ))-1</f>
        <v>0.20948028557179055</v>
      </c>
      <c r="R23" s="31">
        <f t="shared" si="6"/>
        <v>0.13</v>
      </c>
      <c r="S23" s="153">
        <f t="shared" ref="S23" si="59">P23*(1+$R23)</f>
        <v>40.679999999999993</v>
      </c>
      <c r="T23" s="153">
        <f t="shared" ref="T23" si="60">S23*(1+$R23)</f>
        <v>45.968399999999988</v>
      </c>
      <c r="U23" s="153">
        <f t="shared" ref="U23" si="61">T23*(1+$R23)</f>
        <v>51.944291999999983</v>
      </c>
      <c r="V23" s="153">
        <f t="shared" ref="V23" si="62">U23*(1+$R23)</f>
        <v>58.697049959999973</v>
      </c>
      <c r="W23" s="153">
        <f t="shared" ref="W23" si="63">V23*(1+$R23)</f>
        <v>66.327666454799967</v>
      </c>
      <c r="X23" s="153">
        <f t="shared" ref="X23" si="64">W23*(1+$R23)</f>
        <v>74.950263093923951</v>
      </c>
      <c r="Y23" s="153">
        <f t="shared" ref="Y23" si="65">X23*(1+$R23)</f>
        <v>84.693797296134051</v>
      </c>
      <c r="Z23" s="153">
        <f t="shared" ref="Z23" si="66">Y23*(1+$R23)</f>
        <v>95.703990944631471</v>
      </c>
      <c r="AA23" s="153">
        <f t="shared" ref="AA23" si="67">Z23*(1+$R23)</f>
        <v>108.14550976743355</v>
      </c>
      <c r="AB23" s="153">
        <f t="shared" ref="AB23" si="68">AA23*(1+$R23)</f>
        <v>122.20442603719991</v>
      </c>
      <c r="AC23" s="137">
        <f t="shared" ref="AC23" si="69">((AB23/G23)^(1/($AB$3-$H$1) ))-1</f>
        <v>0.1669755777717199</v>
      </c>
      <c r="AD23" s="31">
        <f t="shared" si="17"/>
        <v>0.05</v>
      </c>
      <c r="AE23" s="145">
        <f t="shared" si="1"/>
        <v>1283.1464733905993</v>
      </c>
    </row>
    <row r="24" spans="2:31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28"/>
      <c r="R24" s="20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19"/>
      <c r="AD24" s="136"/>
      <c r="AE24" s="153"/>
    </row>
    <row r="25" spans="2:31" x14ac:dyDescent="0.2">
      <c r="B25" s="20" t="s">
        <v>89</v>
      </c>
      <c r="C25" s="140"/>
      <c r="D25" s="140"/>
      <c r="E25" s="146"/>
      <c r="F25" s="146"/>
      <c r="G25" s="146">
        <v>73</v>
      </c>
      <c r="H25" s="146">
        <v>92</v>
      </c>
      <c r="I25" s="146">
        <v>294</v>
      </c>
      <c r="J25" s="146">
        <v>407</v>
      </c>
      <c r="K25" s="146">
        <v>528</v>
      </c>
      <c r="L25" s="146">
        <v>557</v>
      </c>
      <c r="M25" s="146">
        <v>698</v>
      </c>
      <c r="N25" s="146">
        <v>850</v>
      </c>
      <c r="O25" s="146">
        <v>998</v>
      </c>
      <c r="P25" s="146">
        <f>O25</f>
        <v>998</v>
      </c>
      <c r="Q25" s="118">
        <f>((P25/G25)^(1/($H$2-$H$1) ))-1</f>
        <v>0.33721381113185211</v>
      </c>
      <c r="R25" s="31">
        <f t="shared" si="6"/>
        <v>0.13</v>
      </c>
      <c r="S25" s="153">
        <f t="shared" si="38"/>
        <v>1127.7399999999998</v>
      </c>
      <c r="T25" s="153">
        <f t="shared" si="39"/>
        <v>1274.3461999999997</v>
      </c>
      <c r="U25" s="153">
        <f t="shared" si="40"/>
        <v>1440.0112059999994</v>
      </c>
      <c r="V25" s="153">
        <f t="shared" si="41"/>
        <v>1627.2126627799992</v>
      </c>
      <c r="W25" s="153">
        <f t="shared" si="42"/>
        <v>1838.7503089413988</v>
      </c>
      <c r="X25" s="153">
        <f t="shared" si="43"/>
        <v>2077.7878491037804</v>
      </c>
      <c r="Y25" s="153">
        <f t="shared" si="44"/>
        <v>2347.9002694872715</v>
      </c>
      <c r="Z25" s="153">
        <f t="shared" si="45"/>
        <v>2653.1273045206167</v>
      </c>
      <c r="AA25" s="153">
        <f t="shared" si="46"/>
        <v>2998.0338541082965</v>
      </c>
      <c r="AB25" s="153">
        <f t="shared" si="47"/>
        <v>3387.7782551423747</v>
      </c>
      <c r="AC25" s="137">
        <f t="shared" si="19"/>
        <v>0.22381388013012726</v>
      </c>
      <c r="AD25" s="31">
        <f t="shared" si="17"/>
        <v>0.05</v>
      </c>
      <c r="AE25" s="145">
        <f t="shared" si="1"/>
        <v>35571.671678994935</v>
      </c>
    </row>
    <row r="26" spans="2:31" s="123" customFormat="1" x14ac:dyDescent="0.2">
      <c r="B26" s="23"/>
      <c r="C26" s="148"/>
      <c r="D26" s="148"/>
      <c r="E26" s="149"/>
      <c r="F26" s="149"/>
      <c r="G26" s="147">
        <f>(G25-F25)/G25</f>
        <v>1</v>
      </c>
      <c r="H26" s="147">
        <f>(H25-G25)/H25</f>
        <v>0.20652173913043478</v>
      </c>
      <c r="I26" s="147">
        <f t="shared" ref="I26:P26" si="70">(I25-H25)/I25</f>
        <v>0.68707482993197277</v>
      </c>
      <c r="J26" s="147">
        <f t="shared" si="70"/>
        <v>0.27764127764127766</v>
      </c>
      <c r="K26" s="147">
        <f t="shared" si="70"/>
        <v>0.22916666666666666</v>
      </c>
      <c r="L26" s="147">
        <f t="shared" si="70"/>
        <v>5.2064631956912029E-2</v>
      </c>
      <c r="M26" s="147">
        <f t="shared" si="70"/>
        <v>0.2020057306590258</v>
      </c>
      <c r="N26" s="147">
        <f t="shared" si="70"/>
        <v>0.17882352941176471</v>
      </c>
      <c r="O26" s="147">
        <f t="shared" si="70"/>
        <v>0.14829659318637275</v>
      </c>
      <c r="P26" s="147">
        <f t="shared" si="70"/>
        <v>0</v>
      </c>
      <c r="Q26" s="128"/>
      <c r="R26" s="20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19"/>
      <c r="AD26" s="136"/>
      <c r="AE26" s="153"/>
    </row>
    <row r="27" spans="2:31" x14ac:dyDescent="0.2">
      <c r="B27" s="20" t="s">
        <v>261</v>
      </c>
      <c r="C27" s="140"/>
      <c r="D27" s="140"/>
      <c r="E27" s="146"/>
      <c r="F27" s="146"/>
      <c r="G27" s="146">
        <v>40</v>
      </c>
      <c r="H27" s="146">
        <v>53</v>
      </c>
      <c r="I27" s="146">
        <v>206</v>
      </c>
      <c r="J27" s="146">
        <v>281</v>
      </c>
      <c r="K27" s="146">
        <v>327</v>
      </c>
      <c r="L27" s="146">
        <v>335</v>
      </c>
      <c r="M27" s="146">
        <v>410</v>
      </c>
      <c r="N27" s="146">
        <v>544</v>
      </c>
      <c r="O27" s="146">
        <v>650</v>
      </c>
      <c r="P27" s="146">
        <f>O27</f>
        <v>650</v>
      </c>
      <c r="Q27" s="118">
        <f>((P27/G27)^(1/($H$2-$H$1) ))-1</f>
        <v>0.36313623628749347</v>
      </c>
      <c r="R27" s="31">
        <f t="shared" si="6"/>
        <v>0.13</v>
      </c>
      <c r="S27" s="153">
        <f t="shared" si="38"/>
        <v>734.49999999999989</v>
      </c>
      <c r="T27" s="153">
        <f t="shared" si="39"/>
        <v>829.98499999999979</v>
      </c>
      <c r="U27" s="153">
        <f t="shared" si="40"/>
        <v>937.88304999999968</v>
      </c>
      <c r="V27" s="153">
        <f t="shared" si="41"/>
        <v>1059.8078464999996</v>
      </c>
      <c r="W27" s="153">
        <f t="shared" si="42"/>
        <v>1197.5828665449994</v>
      </c>
      <c r="X27" s="153">
        <f t="shared" si="43"/>
        <v>1353.2686391958491</v>
      </c>
      <c r="Y27" s="153">
        <f t="shared" si="44"/>
        <v>1529.1935622913093</v>
      </c>
      <c r="Z27" s="153">
        <f t="shared" si="45"/>
        <v>1727.9887253891793</v>
      </c>
      <c r="AA27" s="153">
        <f t="shared" si="46"/>
        <v>1952.6272596897725</v>
      </c>
      <c r="AB27" s="153">
        <f t="shared" si="47"/>
        <v>2206.4688034494425</v>
      </c>
      <c r="AC27" s="137">
        <f t="shared" si="19"/>
        <v>0.23499485230318706</v>
      </c>
      <c r="AD27" s="31">
        <f t="shared" si="17"/>
        <v>0.05</v>
      </c>
      <c r="AE27" s="145">
        <f t="shared" si="1"/>
        <v>23167.922436219149</v>
      </c>
    </row>
    <row r="28" spans="2:31" s="123" customFormat="1" x14ac:dyDescent="0.2">
      <c r="B28" s="23"/>
      <c r="C28" s="148"/>
      <c r="D28" s="148"/>
      <c r="E28" s="149"/>
      <c r="F28" s="149"/>
      <c r="G28" s="147">
        <f t="shared" ref="G28:P28" si="71">(G27-F27)/G27</f>
        <v>1</v>
      </c>
      <c r="H28" s="147">
        <f t="shared" si="71"/>
        <v>0.24528301886792453</v>
      </c>
      <c r="I28" s="147">
        <f t="shared" si="71"/>
        <v>0.74271844660194175</v>
      </c>
      <c r="J28" s="147">
        <f t="shared" si="71"/>
        <v>0.2669039145907473</v>
      </c>
      <c r="K28" s="147">
        <f t="shared" si="71"/>
        <v>0.14067278287461774</v>
      </c>
      <c r="L28" s="147">
        <f t="shared" si="71"/>
        <v>2.3880597014925373E-2</v>
      </c>
      <c r="M28" s="147">
        <f t="shared" si="71"/>
        <v>0.18292682926829268</v>
      </c>
      <c r="N28" s="147">
        <f t="shared" si="71"/>
        <v>0.24632352941176472</v>
      </c>
      <c r="O28" s="147">
        <f t="shared" si="71"/>
        <v>0.16307692307692306</v>
      </c>
      <c r="P28" s="147">
        <f t="shared" si="71"/>
        <v>0</v>
      </c>
      <c r="Q28" s="128"/>
      <c r="R28" s="20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19"/>
      <c r="AD28" s="136"/>
      <c r="AE28" s="153"/>
    </row>
    <row r="29" spans="2:31" s="123" customFormat="1" x14ac:dyDescent="0.2">
      <c r="B29" s="20" t="s">
        <v>324</v>
      </c>
      <c r="C29" s="148"/>
      <c r="D29" s="148"/>
      <c r="E29" s="149"/>
      <c r="F29" s="146"/>
      <c r="G29" s="146">
        <v>0</v>
      </c>
      <c r="H29" s="146">
        <v>0</v>
      </c>
      <c r="I29" s="146">
        <v>0</v>
      </c>
      <c r="J29" s="146">
        <v>0</v>
      </c>
      <c r="K29" s="146">
        <v>0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18" t="e">
        <f>((P29/G29)^(1/($H$2-$H$1) ))-1</f>
        <v>#DIV/0!</v>
      </c>
      <c r="R29" s="31">
        <f t="shared" si="6"/>
        <v>0.13</v>
      </c>
      <c r="S29" s="153">
        <f t="shared" ref="S29" si="72">P29*(1+$R29)</f>
        <v>0</v>
      </c>
      <c r="T29" s="153">
        <f t="shared" ref="T29" si="73">S29*(1+$R29)</f>
        <v>0</v>
      </c>
      <c r="U29" s="153">
        <f t="shared" ref="U29" si="74">T29*(1+$R29)</f>
        <v>0</v>
      </c>
      <c r="V29" s="153">
        <f t="shared" ref="V29" si="75">U29*(1+$R29)</f>
        <v>0</v>
      </c>
      <c r="W29" s="153">
        <f t="shared" ref="W29" si="76">V29*(1+$R29)</f>
        <v>0</v>
      </c>
      <c r="X29" s="153">
        <f t="shared" ref="X29" si="77">W29*(1+$R29)</f>
        <v>0</v>
      </c>
      <c r="Y29" s="153">
        <f t="shared" ref="Y29" si="78">X29*(1+$R29)</f>
        <v>0</v>
      </c>
      <c r="Z29" s="153">
        <f t="shared" ref="Z29" si="79">Y29*(1+$R29)</f>
        <v>0</v>
      </c>
      <c r="AA29" s="153">
        <f t="shared" ref="AA29" si="80">Z29*(1+$R29)</f>
        <v>0</v>
      </c>
      <c r="AB29" s="153">
        <f t="shared" ref="AB29" si="81">AA29*(1+$R29)</f>
        <v>0</v>
      </c>
      <c r="AC29" s="137" t="e">
        <f t="shared" ref="AC29" si="82">((AB29/G29)^(1/($AB$3-$H$1) ))-1</f>
        <v>#DIV/0!</v>
      </c>
      <c r="AD29" s="31">
        <f t="shared" si="17"/>
        <v>0.05</v>
      </c>
      <c r="AE29" s="145">
        <f t="shared" ref="AE29" si="83">(AB29*(1+AD29))/($C$1-AD29)</f>
        <v>0</v>
      </c>
    </row>
    <row r="30" spans="2:31" s="123" customFormat="1" x14ac:dyDescent="0.2">
      <c r="B30" s="23"/>
      <c r="C30" s="148"/>
      <c r="D30" s="148"/>
      <c r="E30" s="149"/>
      <c r="F30" s="149"/>
      <c r="G30" s="147" t="e">
        <f t="shared" ref="G30:P30" si="84">(G29-F29)/G29</f>
        <v>#DIV/0!</v>
      </c>
      <c r="H30" s="147" t="e">
        <f t="shared" si="84"/>
        <v>#DIV/0!</v>
      </c>
      <c r="I30" s="147" t="e">
        <f t="shared" si="84"/>
        <v>#DIV/0!</v>
      </c>
      <c r="J30" s="147" t="e">
        <f t="shared" si="84"/>
        <v>#DIV/0!</v>
      </c>
      <c r="K30" s="147" t="e">
        <f t="shared" si="84"/>
        <v>#DIV/0!</v>
      </c>
      <c r="L30" s="147" t="e">
        <f t="shared" si="84"/>
        <v>#DIV/0!</v>
      </c>
      <c r="M30" s="147" t="e">
        <f t="shared" si="84"/>
        <v>#DIV/0!</v>
      </c>
      <c r="N30" s="147" t="e">
        <f t="shared" si="84"/>
        <v>#DIV/0!</v>
      </c>
      <c r="O30" s="147" t="e">
        <f t="shared" si="84"/>
        <v>#DIV/0!</v>
      </c>
      <c r="P30" s="147" t="e">
        <f t="shared" si="84"/>
        <v>#DIV/0!</v>
      </c>
      <c r="Q30" s="128"/>
      <c r="R30" s="20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61"/>
      <c r="AD30" s="136"/>
      <c r="AE30" s="153"/>
    </row>
    <row r="31" spans="2:31" x14ac:dyDescent="0.2">
      <c r="B31" s="20" t="s">
        <v>332</v>
      </c>
      <c r="C31" s="140"/>
      <c r="D31" s="140"/>
      <c r="E31" s="146"/>
      <c r="F31" s="146"/>
      <c r="G31" s="146">
        <v>0</v>
      </c>
      <c r="H31" s="146"/>
      <c r="I31" s="146">
        <v>0</v>
      </c>
      <c r="J31" s="146"/>
      <c r="K31" s="146">
        <v>0</v>
      </c>
      <c r="L31" s="146"/>
      <c r="M31" s="146"/>
      <c r="N31" s="146"/>
      <c r="O31" s="146"/>
      <c r="P31" s="146"/>
      <c r="Q31" s="118" t="e">
        <f>((P31/G31)^(1/($H$2-$H$1) ))-1</f>
        <v>#DIV/0!</v>
      </c>
      <c r="R31" s="31">
        <f t="shared" si="6"/>
        <v>0.13</v>
      </c>
      <c r="S31" s="153">
        <f>P31*(1+$R31)</f>
        <v>0</v>
      </c>
      <c r="T31" s="153">
        <f>S31*(1+$R31)</f>
        <v>0</v>
      </c>
      <c r="U31" s="153">
        <f t="shared" ref="U31:AB32" si="85">T31*(1+$R31)</f>
        <v>0</v>
      </c>
      <c r="V31" s="153">
        <f t="shared" si="85"/>
        <v>0</v>
      </c>
      <c r="W31" s="153">
        <f t="shared" si="85"/>
        <v>0</v>
      </c>
      <c r="X31" s="153">
        <f t="shared" si="85"/>
        <v>0</v>
      </c>
      <c r="Y31" s="153">
        <f t="shared" si="85"/>
        <v>0</v>
      </c>
      <c r="Z31" s="153">
        <f t="shared" si="85"/>
        <v>0</v>
      </c>
      <c r="AA31" s="153">
        <f t="shared" si="85"/>
        <v>0</v>
      </c>
      <c r="AB31" s="153">
        <f t="shared" si="85"/>
        <v>0</v>
      </c>
      <c r="AC31" s="137" t="e">
        <f t="shared" ref="AC31" si="86">((AB31/G31)^(1/($AB$3-$H$1) ))-1</f>
        <v>#DIV/0!</v>
      </c>
      <c r="AD31" s="31">
        <f t="shared" si="17"/>
        <v>0.05</v>
      </c>
      <c r="AE31" s="145">
        <f t="shared" si="1"/>
        <v>0</v>
      </c>
    </row>
    <row r="32" spans="2:31" x14ac:dyDescent="0.2">
      <c r="B32" s="20" t="s">
        <v>331</v>
      </c>
      <c r="C32" s="140"/>
      <c r="D32" s="140"/>
      <c r="E32" s="146"/>
      <c r="F32" s="146"/>
      <c r="G32" s="146"/>
      <c r="H32" s="146">
        <v>0</v>
      </c>
      <c r="I32" s="146">
        <v>0</v>
      </c>
      <c r="J32" s="146"/>
      <c r="K32" s="146"/>
      <c r="L32" s="146"/>
      <c r="M32" s="146"/>
      <c r="N32" s="146"/>
      <c r="O32" s="146"/>
      <c r="P32" s="146"/>
      <c r="Q32" s="118" t="e">
        <f>((P32/G32)^(1/($H$2-$H$1) ))-1</f>
        <v>#DIV/0!</v>
      </c>
      <c r="R32" s="31">
        <f t="shared" si="6"/>
        <v>0.13</v>
      </c>
      <c r="S32" s="153">
        <f>P32*(1+$R32)</f>
        <v>0</v>
      </c>
      <c r="T32" s="153">
        <f>S32*(1+$R32)</f>
        <v>0</v>
      </c>
      <c r="U32" s="153">
        <f t="shared" si="85"/>
        <v>0</v>
      </c>
      <c r="V32" s="153">
        <f t="shared" si="85"/>
        <v>0</v>
      </c>
      <c r="W32" s="153">
        <f t="shared" si="85"/>
        <v>0</v>
      </c>
      <c r="X32" s="153">
        <f t="shared" si="85"/>
        <v>0</v>
      </c>
      <c r="Y32" s="153">
        <f t="shared" si="85"/>
        <v>0</v>
      </c>
      <c r="Z32" s="153">
        <f t="shared" si="85"/>
        <v>0</v>
      </c>
      <c r="AA32" s="153">
        <f t="shared" si="85"/>
        <v>0</v>
      </c>
      <c r="AB32" s="153">
        <f t="shared" si="85"/>
        <v>0</v>
      </c>
      <c r="AC32" s="137" t="e">
        <f t="shared" ref="AC32" si="87">((AB32/G32)^(1/($AB$3-$H$1) ))-1</f>
        <v>#DIV/0!</v>
      </c>
      <c r="AD32" s="31">
        <f t="shared" si="17"/>
        <v>0.05</v>
      </c>
      <c r="AE32" s="145">
        <f t="shared" si="1"/>
        <v>0</v>
      </c>
    </row>
    <row r="33" spans="2:31" x14ac:dyDescent="0.2">
      <c r="B33" s="20" t="s">
        <v>316</v>
      </c>
      <c r="C33" s="140"/>
      <c r="D33" s="140"/>
      <c r="E33" s="146"/>
      <c r="F33" s="146"/>
      <c r="G33" s="146">
        <v>21.5</v>
      </c>
      <c r="H33" s="146">
        <v>26.5</v>
      </c>
      <c r="I33" s="146">
        <v>116</v>
      </c>
      <c r="J33" s="146">
        <v>153</v>
      </c>
      <c r="K33" s="146">
        <v>192</v>
      </c>
      <c r="L33" s="146">
        <v>208</v>
      </c>
      <c r="M33" s="146">
        <v>259</v>
      </c>
      <c r="N33" s="146">
        <v>353</v>
      </c>
      <c r="O33" s="146">
        <v>439</v>
      </c>
      <c r="P33" s="146">
        <f>O33</f>
        <v>439</v>
      </c>
      <c r="Q33" s="118">
        <f>((P33/G33)^(1/($H$2-$H$1) ))-1</f>
        <v>0.39816507993740613</v>
      </c>
      <c r="R33" s="31">
        <f t="shared" si="6"/>
        <v>0.13</v>
      </c>
      <c r="S33" s="153">
        <f t="shared" si="38"/>
        <v>496.06999999999994</v>
      </c>
      <c r="T33" s="153">
        <f t="shared" si="39"/>
        <v>560.55909999999983</v>
      </c>
      <c r="U33" s="153">
        <f t="shared" si="40"/>
        <v>633.43178299999977</v>
      </c>
      <c r="V33" s="153">
        <f t="shared" si="41"/>
        <v>715.77791478999973</v>
      </c>
      <c r="W33" s="153">
        <f t="shared" si="42"/>
        <v>808.82904371269956</v>
      </c>
      <c r="X33" s="153">
        <f t="shared" si="43"/>
        <v>913.97681939535039</v>
      </c>
      <c r="Y33" s="153">
        <f t="shared" si="44"/>
        <v>1032.7938059167459</v>
      </c>
      <c r="Z33" s="153">
        <f t="shared" si="45"/>
        <v>1167.0570006859227</v>
      </c>
      <c r="AA33" s="153">
        <f t="shared" si="46"/>
        <v>1318.7744107750925</v>
      </c>
      <c r="AB33" s="153">
        <f t="shared" si="47"/>
        <v>1490.2150841758544</v>
      </c>
      <c r="AC33" s="137">
        <f t="shared" si="19"/>
        <v>0.24992732646884686</v>
      </c>
      <c r="AD33" s="31">
        <f t="shared" si="17"/>
        <v>0.05</v>
      </c>
      <c r="AE33" s="145">
        <f t="shared" si="1"/>
        <v>15647.258383846472</v>
      </c>
    </row>
    <row r="34" spans="2:31" x14ac:dyDescent="0.2">
      <c r="B34" s="20" t="s">
        <v>308</v>
      </c>
      <c r="C34" s="140"/>
      <c r="D34" s="140"/>
      <c r="E34" s="146"/>
      <c r="F34" s="146"/>
      <c r="G34" s="146">
        <v>15.35</v>
      </c>
      <c r="H34" s="146">
        <v>21.8</v>
      </c>
      <c r="I34" s="146">
        <v>74</v>
      </c>
      <c r="J34" s="146">
        <v>107</v>
      </c>
      <c r="K34" s="146">
        <v>112.5</v>
      </c>
      <c r="L34" s="146">
        <v>105</v>
      </c>
      <c r="M34" s="146">
        <v>129</v>
      </c>
      <c r="N34" s="146">
        <v>159</v>
      </c>
      <c r="O34" s="146">
        <v>211</v>
      </c>
      <c r="P34" s="146">
        <f>O34</f>
        <v>211</v>
      </c>
      <c r="Q34" s="118">
        <f>((P34/G34)^(1/($H$2-$H$1) ))-1</f>
        <v>0.33802363881664244</v>
      </c>
      <c r="R34" s="31">
        <f t="shared" si="6"/>
        <v>0.13</v>
      </c>
      <c r="S34" s="153">
        <f t="shared" si="38"/>
        <v>238.42999999999998</v>
      </c>
      <c r="T34" s="153">
        <f t="shared" si="39"/>
        <v>269.42589999999996</v>
      </c>
      <c r="U34" s="153">
        <f t="shared" si="40"/>
        <v>304.45126699999992</v>
      </c>
      <c r="V34" s="153">
        <f t="shared" si="41"/>
        <v>344.02993170999986</v>
      </c>
      <c r="W34" s="153">
        <f t="shared" si="42"/>
        <v>388.75382283229982</v>
      </c>
      <c r="X34" s="153">
        <f t="shared" si="43"/>
        <v>439.29181980049873</v>
      </c>
      <c r="Y34" s="153">
        <f t="shared" si="44"/>
        <v>496.39975637456354</v>
      </c>
      <c r="Z34" s="153">
        <f t="shared" si="45"/>
        <v>560.93172470325669</v>
      </c>
      <c r="AA34" s="153">
        <f t="shared" si="46"/>
        <v>633.85284891467995</v>
      </c>
      <c r="AB34" s="153">
        <f t="shared" si="47"/>
        <v>716.25371927358833</v>
      </c>
      <c r="AC34" s="137">
        <f t="shared" si="19"/>
        <v>0.22416489608014833</v>
      </c>
      <c r="AD34" s="31">
        <f t="shared" si="17"/>
        <v>0.05</v>
      </c>
      <c r="AE34" s="145">
        <f t="shared" si="1"/>
        <v>7520.6640523726783</v>
      </c>
    </row>
    <row r="35" spans="2:31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28"/>
      <c r="R35" s="20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38"/>
      <c r="AD35" s="136"/>
      <c r="AE35" s="153"/>
    </row>
    <row r="36" spans="2:31" x14ac:dyDescent="0.2">
      <c r="B36" s="20" t="s">
        <v>278</v>
      </c>
      <c r="C36" s="140"/>
      <c r="D36" s="140"/>
      <c r="E36" s="146"/>
      <c r="F36" s="146"/>
      <c r="G36" s="146">
        <v>31.13</v>
      </c>
      <c r="H36" s="146">
        <v>38.24</v>
      </c>
      <c r="I36" s="146">
        <v>78.599999999999994</v>
      </c>
      <c r="J36" s="146">
        <v>120</v>
      </c>
      <c r="K36" s="146">
        <v>180.5</v>
      </c>
      <c r="L36" s="146">
        <v>196</v>
      </c>
      <c r="M36" s="146">
        <v>211</v>
      </c>
      <c r="N36" s="146">
        <v>251</v>
      </c>
      <c r="O36" s="146">
        <v>327.5</v>
      </c>
      <c r="P36" s="146">
        <f>O36</f>
        <v>327.5</v>
      </c>
      <c r="Q36" s="118">
        <f>((P36/G36)^(1/($H$2-$H$1) ))-1</f>
        <v>0.29885039721779449</v>
      </c>
      <c r="R36" s="31">
        <f t="shared" si="6"/>
        <v>0.13</v>
      </c>
      <c r="S36" s="153">
        <f t="shared" ref="S36" si="88">P36*(1+$R36)</f>
        <v>370.07499999999999</v>
      </c>
      <c r="T36" s="153">
        <f t="shared" ref="T36" si="89">S36*(1+$R36)</f>
        <v>418.18474999999995</v>
      </c>
      <c r="U36" s="153">
        <f t="shared" ref="U36" si="90">T36*(1+$R36)</f>
        <v>472.54876749999988</v>
      </c>
      <c r="V36" s="153">
        <f t="shared" ref="V36" si="91">U36*(1+$R36)</f>
        <v>533.9801072749998</v>
      </c>
      <c r="W36" s="153">
        <f t="shared" si="42"/>
        <v>603.3975212207497</v>
      </c>
      <c r="X36" s="153">
        <f t="shared" si="43"/>
        <v>681.83919897944713</v>
      </c>
      <c r="Y36" s="153">
        <f t="shared" si="44"/>
        <v>770.47829484677516</v>
      </c>
      <c r="Z36" s="153">
        <f t="shared" si="45"/>
        <v>870.64047317685583</v>
      </c>
      <c r="AA36" s="153">
        <f t="shared" si="46"/>
        <v>983.82373468984702</v>
      </c>
      <c r="AB36" s="153">
        <f t="shared" si="47"/>
        <v>1111.720820199527</v>
      </c>
      <c r="AC36" s="137">
        <f t="shared" si="19"/>
        <v>0.20705536430603111</v>
      </c>
      <c r="AD36" s="31">
        <f t="shared" si="17"/>
        <v>0.05</v>
      </c>
      <c r="AE36" s="145">
        <f t="shared" si="1"/>
        <v>11673.068612095036</v>
      </c>
    </row>
    <row r="37" spans="2:31" s="123" customFormat="1" x14ac:dyDescent="0.2">
      <c r="B37" s="23"/>
      <c r="C37" s="148"/>
      <c r="D37" s="148"/>
      <c r="E37" s="149"/>
      <c r="F37" s="149"/>
      <c r="G37" s="147">
        <f t="shared" ref="G37" si="92">(G36-F36)/G36</f>
        <v>1</v>
      </c>
      <c r="H37" s="147">
        <f t="shared" ref="H37" si="93">(H36-G36)/H36</f>
        <v>0.18593096234309631</v>
      </c>
      <c r="I37" s="147">
        <f t="shared" ref="I37" si="94">(I36-H36)/I36</f>
        <v>0.51348600508905851</v>
      </c>
      <c r="J37" s="147">
        <f t="shared" ref="J37" si="95">(J36-I36)/J36</f>
        <v>0.34500000000000003</v>
      </c>
      <c r="K37" s="147">
        <f t="shared" ref="K37" si="96">(K36-J36)/K36</f>
        <v>0.33518005540166207</v>
      </c>
      <c r="L37" s="147">
        <f t="shared" ref="L37" si="97">(L36-K36)/L36</f>
        <v>7.9081632653061229E-2</v>
      </c>
      <c r="M37" s="147">
        <f t="shared" ref="M37" si="98">(M36-L36)/M36</f>
        <v>7.1090047393364927E-2</v>
      </c>
      <c r="N37" s="147">
        <f t="shared" ref="N37" si="99">(N36-M36)/N36</f>
        <v>0.15936254980079681</v>
      </c>
      <c r="O37" s="147">
        <f t="shared" ref="O37" si="100">(O36-N36)/O36</f>
        <v>0.23358778625954199</v>
      </c>
      <c r="P37" s="147">
        <f t="shared" ref="P37" si="101">(P36-O36)/P36</f>
        <v>0</v>
      </c>
      <c r="Q37" s="128"/>
      <c r="R37" s="20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38"/>
      <c r="AD37" s="136"/>
      <c r="AE37" s="155"/>
    </row>
    <row r="38" spans="2:31" s="123" customFormat="1" x14ac:dyDescent="0.2">
      <c r="B38" s="20" t="s">
        <v>400</v>
      </c>
      <c r="C38" s="148"/>
      <c r="D38" s="148"/>
      <c r="E38" s="149"/>
      <c r="F38" s="149"/>
      <c r="G38" s="146">
        <v>27</v>
      </c>
      <c r="H38" s="146">
        <v>33</v>
      </c>
      <c r="I38" s="146">
        <v>80</v>
      </c>
      <c r="J38" s="146">
        <v>110</v>
      </c>
      <c r="K38" s="146">
        <v>187</v>
      </c>
      <c r="L38" s="146">
        <v>207</v>
      </c>
      <c r="M38" s="146">
        <v>267</v>
      </c>
      <c r="N38" s="146">
        <v>275</v>
      </c>
      <c r="O38" s="146">
        <v>314</v>
      </c>
      <c r="P38" s="146">
        <v>388</v>
      </c>
      <c r="Q38" s="118">
        <f>((P38/G38)^(1/($H$2-$H$1) ))-1</f>
        <v>0.3446447212647723</v>
      </c>
      <c r="R38" s="31">
        <f t="shared" si="6"/>
        <v>0.13</v>
      </c>
      <c r="S38" s="153">
        <f t="shared" ref="S38" si="102">P38*(1+$R38)</f>
        <v>438.43999999999994</v>
      </c>
      <c r="T38" s="153">
        <f t="shared" ref="T38" si="103">S38*(1+$R38)</f>
        <v>495.4371999999999</v>
      </c>
      <c r="U38" s="153">
        <f t="shared" ref="U38" si="104">T38*(1+$R38)</f>
        <v>559.84403599999985</v>
      </c>
      <c r="V38" s="153">
        <f t="shared" ref="V38" si="105">U38*(1+$R38)</f>
        <v>632.6237606799998</v>
      </c>
      <c r="W38" s="153">
        <f t="shared" ref="W38" si="106">V38*(1+$R38)</f>
        <v>714.86484956839968</v>
      </c>
      <c r="X38" s="153">
        <f t="shared" ref="X38" si="107">W38*(1+$R38)</f>
        <v>807.79728001229159</v>
      </c>
      <c r="Y38" s="153">
        <f t="shared" ref="Y38" si="108">X38*(1+$R38)</f>
        <v>912.81092641388943</v>
      </c>
      <c r="Z38" s="153">
        <f t="shared" ref="Z38" si="109">Y38*(1+$R38)</f>
        <v>1031.4763468476949</v>
      </c>
      <c r="AA38" s="153">
        <f t="shared" ref="AA38" si="110">Z38*(1+$R38)</f>
        <v>1165.5682719378951</v>
      </c>
      <c r="AB38" s="153">
        <f t="shared" ref="AB38" si="111">AA38*(1+$R38)</f>
        <v>1317.0921472898215</v>
      </c>
      <c r="AC38" s="137">
        <f t="shared" ref="AC38" si="112">((AB38/G38)^(1/($AB$3-$H$1) ))-1</f>
        <v>0.22703058832979717</v>
      </c>
      <c r="AD38" s="31">
        <f t="shared" si="17"/>
        <v>0.05</v>
      </c>
      <c r="AE38" s="145">
        <f t="shared" ref="AE38" si="113">(AB38*(1+AD38))/($C$1-AD38)</f>
        <v>13829.467546543126</v>
      </c>
    </row>
    <row r="39" spans="2:31" s="123" customFormat="1" x14ac:dyDescent="0.2">
      <c r="B39" s="23"/>
      <c r="C39" s="148"/>
      <c r="D39" s="148"/>
      <c r="E39" s="149"/>
      <c r="F39" s="149"/>
      <c r="G39" s="147">
        <f t="shared" ref="G39" si="114">(G38-F38)/G38</f>
        <v>1</v>
      </c>
      <c r="H39" s="147">
        <f t="shared" ref="H39" si="115">(H38-G38)/H38</f>
        <v>0.18181818181818182</v>
      </c>
      <c r="I39" s="147">
        <f t="shared" ref="I39" si="116">(I38-H38)/I38</f>
        <v>0.58750000000000002</v>
      </c>
      <c r="J39" s="147">
        <f t="shared" ref="J39" si="117">(J38-I38)/J38</f>
        <v>0.27272727272727271</v>
      </c>
      <c r="K39" s="147">
        <f t="shared" ref="K39" si="118">(K38-J38)/K38</f>
        <v>0.41176470588235292</v>
      </c>
      <c r="L39" s="147">
        <f t="shared" ref="L39" si="119">(L38-K38)/L38</f>
        <v>9.6618357487922704E-2</v>
      </c>
      <c r="M39" s="147">
        <f t="shared" ref="M39" si="120">(M38-L38)/M38</f>
        <v>0.2247191011235955</v>
      </c>
      <c r="N39" s="147">
        <f t="shared" ref="N39" si="121">(N38-M38)/N38</f>
        <v>2.9090909090909091E-2</v>
      </c>
      <c r="O39" s="147">
        <f t="shared" ref="O39" si="122">(O38-N38)/O38</f>
        <v>0.12420382165605096</v>
      </c>
      <c r="P39" s="147">
        <f t="shared" ref="P39" si="123">(P38-O38)/P38</f>
        <v>0.19072164948453607</v>
      </c>
      <c r="Q39" s="128"/>
      <c r="R39" s="20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38"/>
      <c r="AD39" s="136"/>
      <c r="AE39" s="155"/>
    </row>
    <row r="40" spans="2:31" x14ac:dyDescent="0.2">
      <c r="B40" s="20" t="s">
        <v>401</v>
      </c>
      <c r="C40" s="140"/>
      <c r="D40" s="140"/>
      <c r="E40" s="146"/>
      <c r="F40" s="146"/>
      <c r="G40" s="146">
        <v>17.940000000000001</v>
      </c>
      <c r="H40" s="146">
        <v>22</v>
      </c>
      <c r="I40" s="146">
        <v>61.4</v>
      </c>
      <c r="J40" s="146">
        <v>84</v>
      </c>
      <c r="K40" s="146">
        <v>140.5</v>
      </c>
      <c r="L40" s="146">
        <v>161</v>
      </c>
      <c r="M40" s="146">
        <v>205</v>
      </c>
      <c r="N40" s="146">
        <v>206</v>
      </c>
      <c r="O40" s="146">
        <v>220</v>
      </c>
      <c r="P40" s="146">
        <f>O40</f>
        <v>220</v>
      </c>
      <c r="Q40" s="118">
        <f>((P40/G40)^(1/($H$2-$H$1) ))-1</f>
        <v>0.32116050535848761</v>
      </c>
      <c r="R40" s="31">
        <f t="shared" si="6"/>
        <v>0.13</v>
      </c>
      <c r="S40" s="153">
        <f>P40*(1+$R40)</f>
        <v>248.59999999999997</v>
      </c>
      <c r="T40" s="153">
        <f t="shared" ref="T40:AB40" si="124">S40*(1+$R40)</f>
        <v>280.91799999999995</v>
      </c>
      <c r="U40" s="153">
        <f t="shared" si="124"/>
        <v>317.43733999999989</v>
      </c>
      <c r="V40" s="153">
        <f t="shared" si="124"/>
        <v>358.70419419999985</v>
      </c>
      <c r="W40" s="153">
        <f t="shared" si="124"/>
        <v>405.33573944599976</v>
      </c>
      <c r="X40" s="153">
        <f t="shared" si="124"/>
        <v>458.02938557397971</v>
      </c>
      <c r="Y40" s="153">
        <f t="shared" si="124"/>
        <v>517.57320569859701</v>
      </c>
      <c r="Z40" s="153">
        <f t="shared" si="124"/>
        <v>584.8577224394146</v>
      </c>
      <c r="AA40" s="153">
        <f t="shared" si="124"/>
        <v>660.88922635653842</v>
      </c>
      <c r="AB40" s="153">
        <f t="shared" si="124"/>
        <v>746.80482578288832</v>
      </c>
      <c r="AC40" s="137">
        <f t="shared" si="19"/>
        <v>0.21683242108603595</v>
      </c>
      <c r="AD40" s="31">
        <f t="shared" si="17"/>
        <v>0.05</v>
      </c>
      <c r="AE40" s="145">
        <f t="shared" si="1"/>
        <v>7841.4506707203291</v>
      </c>
    </row>
    <row r="41" spans="2:31" s="123" customFormat="1" x14ac:dyDescent="0.2">
      <c r="B41" s="23"/>
      <c r="C41" s="148"/>
      <c r="D41" s="148"/>
      <c r="E41" s="149"/>
      <c r="F41" s="149"/>
      <c r="G41" s="147">
        <f>(G40-F40)/G40</f>
        <v>1</v>
      </c>
      <c r="H41" s="147">
        <f t="shared" ref="H41:P41" si="125">(H40-G40)/H40</f>
        <v>0.18454545454545448</v>
      </c>
      <c r="I41" s="147">
        <f t="shared" si="125"/>
        <v>0.64169381107491852</v>
      </c>
      <c r="J41" s="147">
        <f t="shared" si="125"/>
        <v>0.26904761904761909</v>
      </c>
      <c r="K41" s="147">
        <f t="shared" si="125"/>
        <v>0.40213523131672596</v>
      </c>
      <c r="L41" s="147">
        <f t="shared" si="125"/>
        <v>0.12732919254658384</v>
      </c>
      <c r="M41" s="147">
        <f t="shared" si="125"/>
        <v>0.21463414634146341</v>
      </c>
      <c r="N41" s="147">
        <f t="shared" si="125"/>
        <v>4.8543689320388345E-3</v>
      </c>
      <c r="O41" s="147">
        <f t="shared" si="125"/>
        <v>6.363636363636363E-2</v>
      </c>
      <c r="P41" s="147">
        <f t="shared" si="125"/>
        <v>0</v>
      </c>
      <c r="Q41" s="128"/>
      <c r="R41" s="20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38"/>
      <c r="AD41" s="136"/>
      <c r="AE41" s="155"/>
    </row>
    <row r="42" spans="2:31" x14ac:dyDescent="0.2">
      <c r="B42" s="20" t="s">
        <v>239</v>
      </c>
      <c r="C42" s="141">
        <v>1</v>
      </c>
      <c r="D42" s="141">
        <v>1</v>
      </c>
      <c r="E42" s="142">
        <v>1</v>
      </c>
      <c r="F42" s="146">
        <v>1</v>
      </c>
      <c r="G42" s="187">
        <v>0.62929999999999997</v>
      </c>
      <c r="H42" s="187">
        <v>0.63660000000000005</v>
      </c>
      <c r="I42" s="187">
        <v>0.67549999999999999</v>
      </c>
      <c r="J42" s="187">
        <v>0.72550000000000003</v>
      </c>
      <c r="K42" s="187">
        <v>0.72250000000000003</v>
      </c>
      <c r="L42" s="187">
        <v>0.72250000000000003</v>
      </c>
      <c r="M42" s="187">
        <v>0.7097</v>
      </c>
      <c r="N42" s="187">
        <v>7.09</v>
      </c>
      <c r="O42" s="187">
        <v>7.02</v>
      </c>
      <c r="P42" s="187">
        <f>O42</f>
        <v>7.02</v>
      </c>
      <c r="Q42" s="118">
        <f>((P42/G42)^(1/($H$2-$H$1) ))-1</f>
        <v>0.30733412565493334</v>
      </c>
      <c r="R42" s="31">
        <v>0</v>
      </c>
      <c r="S42" s="153">
        <f t="shared" ref="S42:S43" si="126">P42*(1+$R42)</f>
        <v>7.02</v>
      </c>
      <c r="T42" s="153">
        <f t="shared" ref="T42:AB42" si="127">S42*(1+$R42)</f>
        <v>7.02</v>
      </c>
      <c r="U42" s="153">
        <f t="shared" si="127"/>
        <v>7.02</v>
      </c>
      <c r="V42" s="153">
        <f t="shared" si="127"/>
        <v>7.02</v>
      </c>
      <c r="W42" s="153">
        <f t="shared" si="127"/>
        <v>7.02</v>
      </c>
      <c r="X42" s="153">
        <f t="shared" si="127"/>
        <v>7.02</v>
      </c>
      <c r="Y42" s="153">
        <f t="shared" si="127"/>
        <v>7.02</v>
      </c>
      <c r="Z42" s="153">
        <f t="shared" si="127"/>
        <v>7.02</v>
      </c>
      <c r="AA42" s="153">
        <f t="shared" si="127"/>
        <v>7.02</v>
      </c>
      <c r="AB42" s="153">
        <f t="shared" si="127"/>
        <v>7.02</v>
      </c>
      <c r="AC42" s="137">
        <f t="shared" si="19"/>
        <v>0.1353519068580864</v>
      </c>
      <c r="AD42" s="31">
        <f t="shared" si="17"/>
        <v>0.05</v>
      </c>
      <c r="AE42" s="145">
        <f t="shared" si="1"/>
        <v>73.710000000000008</v>
      </c>
    </row>
    <row r="43" spans="2:31" x14ac:dyDescent="0.2">
      <c r="B43" s="20" t="s">
        <v>282</v>
      </c>
      <c r="C43" s="144"/>
      <c r="D43" s="144"/>
      <c r="E43" s="144"/>
      <c r="F43" s="146"/>
      <c r="G43" s="146">
        <v>10</v>
      </c>
      <c r="H43" s="146">
        <v>12.5</v>
      </c>
      <c r="I43" s="146">
        <v>25</v>
      </c>
      <c r="J43" s="146">
        <v>25</v>
      </c>
      <c r="K43" s="188">
        <v>70</v>
      </c>
      <c r="L43" s="188">
        <v>100</v>
      </c>
      <c r="M43" s="188">
        <v>200</v>
      </c>
      <c r="N43" s="188">
        <v>11</v>
      </c>
      <c r="O43" s="188">
        <v>16</v>
      </c>
      <c r="P43" s="146">
        <f>O43</f>
        <v>16</v>
      </c>
      <c r="Q43" s="118">
        <f>((P43/G43)^(1/($H$2-$H$1) ))-1</f>
        <v>5.3610276890664554E-2</v>
      </c>
      <c r="R43" s="31">
        <f>P1</f>
        <v>0.05</v>
      </c>
      <c r="S43" s="153">
        <f t="shared" si="126"/>
        <v>16.8</v>
      </c>
      <c r="T43" s="153">
        <f t="shared" ref="T43" si="128">S43*(1+$R43)</f>
        <v>17.64</v>
      </c>
      <c r="U43" s="153">
        <f t="shared" ref="U43" si="129">T43*(1+$R43)</f>
        <v>18.522000000000002</v>
      </c>
      <c r="V43" s="153">
        <f t="shared" ref="V43" si="130">U43*(1+$R43)</f>
        <v>19.448100000000004</v>
      </c>
      <c r="W43" s="153">
        <f t="shared" ref="W43" si="131">V43*(1+$R43)</f>
        <v>20.420505000000006</v>
      </c>
      <c r="X43" s="153">
        <f t="shared" ref="X43" si="132">W43*(1+$R43)</f>
        <v>21.441530250000007</v>
      </c>
      <c r="Y43" s="153">
        <f t="shared" ref="Y43" si="133">X43*(1+$R43)</f>
        <v>22.513606762500007</v>
      </c>
      <c r="Z43" s="153">
        <f t="shared" ref="Z43" si="134">Y43*(1+$R43)</f>
        <v>23.639287100625008</v>
      </c>
      <c r="AA43" s="153">
        <f t="shared" ref="AA43" si="135">Z43*(1+$R43)</f>
        <v>24.82125145565626</v>
      </c>
      <c r="AB43" s="153">
        <f t="shared" ref="AB43" si="136">AA43*(1+$R43)</f>
        <v>26.062314028439072</v>
      </c>
      <c r="AC43" s="137">
        <f t="shared" ref="AC43" si="137">((AB43/G43)^(1/($AB$3-$H$1) ))-1</f>
        <v>5.1708586479565666E-2</v>
      </c>
      <c r="AD43" s="31">
        <f t="shared" si="17"/>
        <v>0.05</v>
      </c>
      <c r="AE43" s="145">
        <f t="shared" si="1"/>
        <v>273.65429729861029</v>
      </c>
    </row>
    <row r="44" spans="2:31" x14ac:dyDescent="0.2">
      <c r="B44" s="20" t="s">
        <v>426</v>
      </c>
      <c r="C44" s="20"/>
      <c r="D44" s="20"/>
      <c r="E44" s="127"/>
      <c r="F44" s="127"/>
      <c r="G44" s="146">
        <v>0</v>
      </c>
      <c r="H44" s="146">
        <v>0</v>
      </c>
      <c r="I44" s="146">
        <v>0</v>
      </c>
      <c r="J44" s="146">
        <v>0</v>
      </c>
      <c r="K44" s="146">
        <v>0</v>
      </c>
      <c r="L44" s="146">
        <v>0</v>
      </c>
      <c r="M44" s="146">
        <v>0</v>
      </c>
      <c r="N44" s="146" t="s">
        <v>427</v>
      </c>
      <c r="O44" s="146">
        <v>0</v>
      </c>
      <c r="P44" s="146">
        <v>0</v>
      </c>
      <c r="Q44" s="128"/>
      <c r="R44" s="128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38"/>
      <c r="AD44" s="136"/>
      <c r="AE44" s="153"/>
    </row>
    <row r="45" spans="2:31" x14ac:dyDescent="0.2">
      <c r="B45" s="20" t="s">
        <v>424</v>
      </c>
      <c r="C45" s="20"/>
      <c r="D45" s="20"/>
      <c r="E45" s="127"/>
      <c r="F45" s="127"/>
      <c r="G45" s="146">
        <v>0</v>
      </c>
      <c r="H45" s="146">
        <v>0</v>
      </c>
      <c r="I45" s="146">
        <v>0</v>
      </c>
      <c r="J45" s="146">
        <v>0</v>
      </c>
      <c r="K45" s="146">
        <v>0</v>
      </c>
      <c r="L45" s="146">
        <v>0</v>
      </c>
      <c r="M45" s="146">
        <v>0</v>
      </c>
      <c r="N45" s="146">
        <v>0</v>
      </c>
      <c r="O45" s="146">
        <v>0</v>
      </c>
      <c r="P45" s="146">
        <v>0</v>
      </c>
      <c r="Q45" s="128"/>
      <c r="R45" s="128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38"/>
      <c r="AD45" s="136"/>
      <c r="AE45" s="153"/>
    </row>
    <row r="46" spans="2:31" x14ac:dyDescent="0.2">
      <c r="B46" s="20" t="s">
        <v>425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28"/>
      <c r="R46" s="128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38"/>
      <c r="AD46" s="136"/>
      <c r="AE46" s="153"/>
    </row>
    <row r="47" spans="2:31" x14ac:dyDescent="0.2">
      <c r="B47" s="20"/>
      <c r="C47" s="20"/>
      <c r="D47" s="20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8"/>
      <c r="R47" s="128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38"/>
      <c r="AD47" s="136"/>
      <c r="AE47" s="153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38"/>
      <c r="AD48" s="136"/>
      <c r="AE48" s="153"/>
    </row>
    <row r="49" spans="2:31" x14ac:dyDescent="0.2">
      <c r="B49" s="20" t="s">
        <v>303</v>
      </c>
      <c r="C49" s="132">
        <f t="shared" ref="C49:P49" si="138">C25/C42</f>
        <v>0</v>
      </c>
      <c r="D49" s="132">
        <f t="shared" si="138"/>
        <v>0</v>
      </c>
      <c r="E49" s="132">
        <f t="shared" si="138"/>
        <v>0</v>
      </c>
      <c r="F49" s="132">
        <f t="shared" si="138"/>
        <v>0</v>
      </c>
      <c r="G49" s="132">
        <f t="shared" si="138"/>
        <v>116.00190688066105</v>
      </c>
      <c r="H49" s="132">
        <f t="shared" si="138"/>
        <v>144.51775054979578</v>
      </c>
      <c r="I49" s="132">
        <f t="shared" si="138"/>
        <v>435.23316062176167</v>
      </c>
      <c r="J49" s="132">
        <f t="shared" si="138"/>
        <v>560.99241902136453</v>
      </c>
      <c r="K49" s="132">
        <f t="shared" si="138"/>
        <v>730.79584775086505</v>
      </c>
      <c r="L49" s="132">
        <f t="shared" si="138"/>
        <v>770.93425605536333</v>
      </c>
      <c r="M49" s="132">
        <f t="shared" si="138"/>
        <v>983.51416091306191</v>
      </c>
      <c r="N49" s="132">
        <f t="shared" si="138"/>
        <v>119.88716502115656</v>
      </c>
      <c r="O49" s="132">
        <f t="shared" si="138"/>
        <v>142.16524216524218</v>
      </c>
      <c r="P49" s="132">
        <f t="shared" si="138"/>
        <v>142.16524216524218</v>
      </c>
      <c r="Q49" s="118">
        <f>((P49/G49)^(1/($H$2-$H$1) ))-1</f>
        <v>2.2855431439112728E-2</v>
      </c>
      <c r="R49" s="128"/>
      <c r="S49" s="157">
        <f t="shared" ref="S49:AB49" si="139">S25/S42</f>
        <v>160.64672364672361</v>
      </c>
      <c r="T49" s="157">
        <f t="shared" si="139"/>
        <v>181.53079772079769</v>
      </c>
      <c r="U49" s="157">
        <f t="shared" si="139"/>
        <v>205.12980142450135</v>
      </c>
      <c r="V49" s="157">
        <f t="shared" si="139"/>
        <v>231.7966756096865</v>
      </c>
      <c r="W49" s="157">
        <f t="shared" si="139"/>
        <v>261.93024343894569</v>
      </c>
      <c r="X49" s="157">
        <f t="shared" si="139"/>
        <v>295.98117508600865</v>
      </c>
      <c r="Y49" s="157">
        <f t="shared" si="139"/>
        <v>334.45872784718972</v>
      </c>
      <c r="Z49" s="157">
        <f t="shared" si="139"/>
        <v>377.93836246732434</v>
      </c>
      <c r="AA49" s="157">
        <f t="shared" si="139"/>
        <v>427.07034958807645</v>
      </c>
      <c r="AB49" s="157">
        <f t="shared" si="139"/>
        <v>482.58949503452635</v>
      </c>
      <c r="AC49" s="137">
        <f t="shared" ref="AC49" si="140">((AB49/G49)^(1/($AB$3-$H$1) ))-1</f>
        <v>7.7915906722564765E-2</v>
      </c>
      <c r="AD49" s="31">
        <f t="shared" si="17"/>
        <v>0.05</v>
      </c>
      <c r="AE49" s="145">
        <f t="shared" ref="AE49:AE50" si="141">(AB49*(1+AD49))/($C$1-AD49)</f>
        <v>5067.1896978625273</v>
      </c>
    </row>
    <row r="50" spans="2:31" x14ac:dyDescent="0.2">
      <c r="B50" s="20" t="s">
        <v>304</v>
      </c>
      <c r="C50" s="132">
        <f t="shared" ref="C50:P50" si="142">C27/C42</f>
        <v>0</v>
      </c>
      <c r="D50" s="132">
        <f t="shared" si="142"/>
        <v>0</v>
      </c>
      <c r="E50" s="132">
        <f t="shared" si="142"/>
        <v>0</v>
      </c>
      <c r="F50" s="132">
        <f t="shared" si="142"/>
        <v>0</v>
      </c>
      <c r="G50" s="132">
        <f t="shared" si="142"/>
        <v>63.562688701732085</v>
      </c>
      <c r="H50" s="132">
        <f t="shared" si="142"/>
        <v>83.254791077599748</v>
      </c>
      <c r="I50" s="132">
        <f t="shared" si="142"/>
        <v>304.95928941524795</v>
      </c>
      <c r="J50" s="132">
        <f t="shared" si="142"/>
        <v>387.31909028256371</v>
      </c>
      <c r="K50" s="132">
        <f t="shared" si="142"/>
        <v>452.59515570934252</v>
      </c>
      <c r="L50" s="132">
        <f t="shared" si="142"/>
        <v>463.66782006920414</v>
      </c>
      <c r="M50" s="132">
        <f t="shared" si="142"/>
        <v>577.70889108073834</v>
      </c>
      <c r="N50" s="132">
        <f t="shared" si="142"/>
        <v>76.727785613540206</v>
      </c>
      <c r="O50" s="132">
        <f t="shared" si="142"/>
        <v>92.592592592592595</v>
      </c>
      <c r="P50" s="132">
        <f t="shared" si="142"/>
        <v>92.592592592592595</v>
      </c>
      <c r="Q50" s="118">
        <f>((P50/G50)^(1/($H$2-$H$1) ))-1</f>
        <v>4.2683893533800976E-2</v>
      </c>
      <c r="R50" s="128"/>
      <c r="S50" s="157">
        <f t="shared" ref="S50:AB50" si="143">S27/S42</f>
        <v>104.62962962962962</v>
      </c>
      <c r="T50" s="157">
        <f t="shared" si="143"/>
        <v>118.23148148148145</v>
      </c>
      <c r="U50" s="157">
        <f t="shared" si="143"/>
        <v>133.60157407407405</v>
      </c>
      <c r="V50" s="157">
        <f t="shared" si="143"/>
        <v>150.96977870370367</v>
      </c>
      <c r="W50" s="157">
        <f t="shared" si="143"/>
        <v>170.59584993518513</v>
      </c>
      <c r="X50" s="157">
        <f t="shared" si="143"/>
        <v>192.77331042675914</v>
      </c>
      <c r="Y50" s="157">
        <f t="shared" si="143"/>
        <v>217.83384078223779</v>
      </c>
      <c r="Z50" s="157">
        <f t="shared" si="143"/>
        <v>246.15224008392869</v>
      </c>
      <c r="AA50" s="157">
        <f t="shared" si="143"/>
        <v>278.15203129483939</v>
      </c>
      <c r="AB50" s="157">
        <f t="shared" si="143"/>
        <v>314.31179536316847</v>
      </c>
      <c r="AC50" s="137">
        <f t="shared" ref="AC50" si="144">((AB50/G50)^(1/($AB$3-$H$1) ))-1</f>
        <v>8.7763930146422586E-2</v>
      </c>
      <c r="AD50" s="31">
        <f t="shared" si="17"/>
        <v>0.05</v>
      </c>
      <c r="AE50" s="145">
        <f t="shared" si="141"/>
        <v>3300.2738513132695</v>
      </c>
    </row>
    <row r="51" spans="2:31" x14ac:dyDescent="0.2">
      <c r="B51" s="20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28"/>
      <c r="R51" s="128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19"/>
      <c r="AD51" s="136"/>
      <c r="AE51" s="145"/>
    </row>
    <row r="52" spans="2:31" x14ac:dyDescent="0.2">
      <c r="B52" s="20" t="s">
        <v>257</v>
      </c>
      <c r="C52" s="25">
        <f t="shared" ref="C52:P52" si="145">C40/C42</f>
        <v>0</v>
      </c>
      <c r="D52" s="25">
        <f t="shared" si="145"/>
        <v>0</v>
      </c>
      <c r="E52" s="25">
        <f t="shared" si="145"/>
        <v>0</v>
      </c>
      <c r="F52" s="132">
        <f t="shared" si="145"/>
        <v>0</v>
      </c>
      <c r="G52" s="132">
        <f t="shared" si="145"/>
        <v>28.507865882726843</v>
      </c>
      <c r="H52" s="132">
        <f t="shared" si="145"/>
        <v>34.558592522777253</v>
      </c>
      <c r="I52" s="132">
        <f t="shared" si="145"/>
        <v>90.89563286454478</v>
      </c>
      <c r="J52" s="132">
        <f t="shared" si="145"/>
        <v>115.78221915920055</v>
      </c>
      <c r="K52" s="132">
        <f t="shared" si="145"/>
        <v>194.46366782006919</v>
      </c>
      <c r="L52" s="132">
        <f t="shared" si="145"/>
        <v>222.83737024221452</v>
      </c>
      <c r="M52" s="132">
        <f t="shared" si="145"/>
        <v>288.85444554036917</v>
      </c>
      <c r="N52" s="132">
        <f t="shared" si="145"/>
        <v>29.055007052186177</v>
      </c>
      <c r="O52" s="132">
        <f t="shared" si="145"/>
        <v>31.33903133903134</v>
      </c>
      <c r="P52" s="132">
        <f t="shared" si="145"/>
        <v>31.33903133903134</v>
      </c>
      <c r="Q52" s="118">
        <f>((P52/G52)^(1/($H$2-$H$1) ))-1</f>
        <v>1.0576010701646377E-2</v>
      </c>
      <c r="R52" s="128"/>
      <c r="S52" s="157">
        <f t="shared" ref="S52:AB52" si="146">S40/S42</f>
        <v>35.413105413105413</v>
      </c>
      <c r="T52" s="157">
        <f t="shared" si="146"/>
        <v>40.016809116809114</v>
      </c>
      <c r="U52" s="157">
        <f t="shared" si="146"/>
        <v>45.218994301994286</v>
      </c>
      <c r="V52" s="157">
        <f t="shared" si="146"/>
        <v>51.097463561253541</v>
      </c>
      <c r="W52" s="157">
        <f t="shared" si="146"/>
        <v>57.740133824216493</v>
      </c>
      <c r="X52" s="157">
        <f t="shared" si="146"/>
        <v>65.246351221364634</v>
      </c>
      <c r="Y52" s="157">
        <f t="shared" si="146"/>
        <v>73.728376880142022</v>
      </c>
      <c r="Z52" s="157">
        <f t="shared" si="146"/>
        <v>83.313065874560493</v>
      </c>
      <c r="AA52" s="157">
        <f t="shared" si="146"/>
        <v>94.143764438253342</v>
      </c>
      <c r="AB52" s="157">
        <f t="shared" si="146"/>
        <v>106.38245381522626</v>
      </c>
      <c r="AC52" s="137">
        <f t="shared" ref="AC52:AC66" si="147">((AB52/G52)^(1/($AB$3-$H$1) ))-1</f>
        <v>7.176674803271732E-2</v>
      </c>
      <c r="AD52" s="31">
        <f t="shared" si="17"/>
        <v>0.05</v>
      </c>
      <c r="AE52" s="145">
        <f t="shared" ref="AE52:AE80" si="148">(AB52*(1+AD52))/($C$1-AD52)</f>
        <v>1117.0157650598758</v>
      </c>
    </row>
    <row r="53" spans="2:31" x14ac:dyDescent="0.2">
      <c r="B53" s="20" t="s">
        <v>388</v>
      </c>
      <c r="C53" s="132">
        <f t="shared" ref="C53:F53" si="149">C20/C42</f>
        <v>0</v>
      </c>
      <c r="D53" s="132">
        <f t="shared" si="149"/>
        <v>0</v>
      </c>
      <c r="E53" s="132">
        <f t="shared" si="149"/>
        <v>0</v>
      </c>
      <c r="F53" s="132">
        <f t="shared" si="149"/>
        <v>0</v>
      </c>
      <c r="G53" s="132">
        <f>G20/G42</f>
        <v>37.184172890513267</v>
      </c>
      <c r="H53" s="132">
        <f t="shared" ref="H53:P53" si="150">H20/H42</f>
        <v>32.987747408105555</v>
      </c>
      <c r="I53" s="132">
        <f t="shared" si="150"/>
        <v>37.00962250185048</v>
      </c>
      <c r="J53" s="132">
        <f t="shared" si="150"/>
        <v>73.053066850447962</v>
      </c>
      <c r="K53" s="132">
        <f t="shared" si="150"/>
        <v>189.61937716262975</v>
      </c>
      <c r="L53" s="132">
        <f t="shared" si="150"/>
        <v>243.598615916955</v>
      </c>
      <c r="M53" s="132">
        <f t="shared" si="150"/>
        <v>190.22122023390165</v>
      </c>
      <c r="N53" s="132">
        <f t="shared" si="150"/>
        <v>33.568406205923836</v>
      </c>
      <c r="O53" s="132">
        <f t="shared" si="150"/>
        <v>21.225071225071225</v>
      </c>
      <c r="P53" s="132">
        <f t="shared" si="150"/>
        <v>21.225071225071225</v>
      </c>
      <c r="Q53" s="118">
        <f>((P53/G53)^(1/($H$2-$H$1) ))-1</f>
        <v>-6.0399048615759954E-2</v>
      </c>
      <c r="R53" s="128"/>
      <c r="S53" s="132">
        <f t="shared" ref="S53:AB53" si="151">S20/S42</f>
        <v>23.984330484330481</v>
      </c>
      <c r="T53" s="132">
        <f t="shared" si="151"/>
        <v>27.102293447293444</v>
      </c>
      <c r="U53" s="132">
        <f t="shared" si="151"/>
        <v>30.625591595441588</v>
      </c>
      <c r="V53" s="132">
        <f t="shared" si="151"/>
        <v>34.606918502848991</v>
      </c>
      <c r="W53" s="132">
        <f t="shared" si="151"/>
        <v>39.105817908219358</v>
      </c>
      <c r="X53" s="132">
        <f t="shared" si="151"/>
        <v>44.189574236287868</v>
      </c>
      <c r="Y53" s="132">
        <f t="shared" si="151"/>
        <v>49.934218887005294</v>
      </c>
      <c r="Z53" s="132">
        <f t="shared" si="151"/>
        <v>56.425667342315975</v>
      </c>
      <c r="AA53" s="132">
        <f t="shared" si="151"/>
        <v>63.761004096817047</v>
      </c>
      <c r="AB53" s="132">
        <f t="shared" si="151"/>
        <v>72.049934629403253</v>
      </c>
      <c r="AC53" s="137">
        <f t="shared" ref="AC53" si="152">((AB53/G53)^(1/($AB$3-$H$1) ))-1</f>
        <v>3.5427657544207625E-2</v>
      </c>
      <c r="AD53" s="31">
        <f t="shared" si="17"/>
        <v>0.05</v>
      </c>
      <c r="AE53" s="145">
        <f t="shared" si="148"/>
        <v>756.52431360873425</v>
      </c>
    </row>
    <row r="54" spans="2:31" x14ac:dyDescent="0.2">
      <c r="B54" s="20" t="s">
        <v>245</v>
      </c>
      <c r="C54" s="25">
        <f t="shared" ref="C54:P54" si="153">C7/C42</f>
        <v>0</v>
      </c>
      <c r="D54" s="25">
        <f t="shared" si="153"/>
        <v>0</v>
      </c>
      <c r="E54" s="25">
        <f t="shared" si="153"/>
        <v>0</v>
      </c>
      <c r="F54" s="132">
        <f t="shared" si="153"/>
        <v>0</v>
      </c>
      <c r="G54" s="132">
        <f t="shared" si="153"/>
        <v>150.96138566661369</v>
      </c>
      <c r="H54" s="132">
        <f t="shared" si="153"/>
        <v>172.79296261388626</v>
      </c>
      <c r="I54" s="132">
        <f t="shared" si="153"/>
        <v>279.79274611398966</v>
      </c>
      <c r="J54" s="132">
        <f t="shared" si="153"/>
        <v>380.42729152308749</v>
      </c>
      <c r="K54" s="132">
        <f t="shared" si="153"/>
        <v>494.11764705882354</v>
      </c>
      <c r="L54" s="132">
        <f t="shared" si="153"/>
        <v>599.30795847750858</v>
      </c>
      <c r="M54" s="132">
        <f t="shared" si="153"/>
        <v>556.5731999436382</v>
      </c>
      <c r="N54" s="132">
        <f t="shared" si="153"/>
        <v>58.251057827926658</v>
      </c>
      <c r="O54" s="132">
        <f t="shared" si="153"/>
        <v>75.356125356125361</v>
      </c>
      <c r="P54" s="132">
        <f t="shared" si="153"/>
        <v>75.356125356125361</v>
      </c>
      <c r="Q54" s="118">
        <f>((P54/G54)^(1/($H$2-$H$1) ))-1</f>
        <v>-7.4295189232440162E-2</v>
      </c>
      <c r="R54" s="128"/>
      <c r="S54" s="157">
        <f t="shared" ref="S54:AB54" si="154">S7/S42</f>
        <v>85.152421652421651</v>
      </c>
      <c r="T54" s="157">
        <f t="shared" si="154"/>
        <v>96.222236467236456</v>
      </c>
      <c r="U54" s="157">
        <f t="shared" si="154"/>
        <v>108.73112720797718</v>
      </c>
      <c r="V54" s="157">
        <f t="shared" si="154"/>
        <v>122.86617374501419</v>
      </c>
      <c r="W54" s="157">
        <f t="shared" si="154"/>
        <v>138.83877633186603</v>
      </c>
      <c r="X54" s="157">
        <f t="shared" si="154"/>
        <v>156.88781725500857</v>
      </c>
      <c r="Y54" s="157">
        <f t="shared" si="154"/>
        <v>177.28323349815969</v>
      </c>
      <c r="Z54" s="157">
        <f t="shared" si="154"/>
        <v>200.33005385292043</v>
      </c>
      <c r="AA54" s="157">
        <f t="shared" si="154"/>
        <v>226.37296085380007</v>
      </c>
      <c r="AB54" s="157">
        <f t="shared" si="154"/>
        <v>255.80144576479407</v>
      </c>
      <c r="AC54" s="137">
        <f t="shared" si="147"/>
        <v>2.8145514899720725E-2</v>
      </c>
      <c r="AD54" s="31">
        <f t="shared" si="17"/>
        <v>0.05</v>
      </c>
      <c r="AE54" s="145">
        <f t="shared" si="148"/>
        <v>2685.9151805303381</v>
      </c>
    </row>
    <row r="55" spans="2:31" x14ac:dyDescent="0.2">
      <c r="B55" s="20" t="s">
        <v>246</v>
      </c>
      <c r="C55" s="127">
        <f t="shared" ref="C55:P55" si="155">C6/C42</f>
        <v>0</v>
      </c>
      <c r="D55" s="127">
        <f t="shared" si="155"/>
        <v>0</v>
      </c>
      <c r="E55" s="127">
        <f t="shared" si="155"/>
        <v>0</v>
      </c>
      <c r="F55" s="143">
        <f t="shared" si="155"/>
        <v>0</v>
      </c>
      <c r="G55" s="143">
        <f t="shared" si="155"/>
        <v>141.42698236135388</v>
      </c>
      <c r="H55" s="143">
        <f t="shared" si="155"/>
        <v>163.3678919258561</v>
      </c>
      <c r="I55" s="143">
        <f t="shared" si="155"/>
        <v>269.43005181347149</v>
      </c>
      <c r="J55" s="143">
        <f t="shared" si="155"/>
        <v>372.15713301171604</v>
      </c>
      <c r="K55" s="143">
        <f t="shared" si="155"/>
        <v>484.42906574394459</v>
      </c>
      <c r="L55" s="143">
        <f t="shared" si="155"/>
        <v>589.61937716262969</v>
      </c>
      <c r="M55" s="143">
        <f t="shared" si="155"/>
        <v>545.30083133718472</v>
      </c>
      <c r="N55" s="143">
        <f t="shared" si="155"/>
        <v>57.263751763046542</v>
      </c>
      <c r="O55" s="143">
        <f t="shared" si="155"/>
        <v>74.358974358974365</v>
      </c>
      <c r="P55" s="143">
        <f t="shared" si="155"/>
        <v>74.358974358974365</v>
      </c>
      <c r="Q55" s="118">
        <f>((P55/G55)^(1/($H$2-$H$1) ))-1</f>
        <v>-6.8939500929324216E-2</v>
      </c>
      <c r="R55" s="128"/>
      <c r="S55" s="156">
        <f t="shared" ref="S55:AB55" si="156">S6/S42</f>
        <v>84.025641025641022</v>
      </c>
      <c r="T55" s="156">
        <f t="shared" si="156"/>
        <v>94.94897435897434</v>
      </c>
      <c r="U55" s="156">
        <f t="shared" si="156"/>
        <v>107.29234102564099</v>
      </c>
      <c r="V55" s="156">
        <f t="shared" si="156"/>
        <v>121.24034535897431</v>
      </c>
      <c r="W55" s="156">
        <f t="shared" si="156"/>
        <v>137.00159025564096</v>
      </c>
      <c r="X55" s="156">
        <f t="shared" si="156"/>
        <v>154.81179698887425</v>
      </c>
      <c r="Y55" s="156">
        <f t="shared" si="156"/>
        <v>174.93733059742789</v>
      </c>
      <c r="Z55" s="156">
        <f t="shared" si="156"/>
        <v>197.6791835750935</v>
      </c>
      <c r="AA55" s="156">
        <f t="shared" si="156"/>
        <v>223.37747743985565</v>
      </c>
      <c r="AB55" s="156">
        <f t="shared" si="156"/>
        <v>252.41654950703685</v>
      </c>
      <c r="AC55" s="137">
        <f t="shared" si="147"/>
        <v>3.0958882545451649E-2</v>
      </c>
      <c r="AD55" s="31">
        <f t="shared" si="17"/>
        <v>0.05</v>
      </c>
      <c r="AE55" s="145">
        <f t="shared" si="148"/>
        <v>2650.3737698238874</v>
      </c>
    </row>
    <row r="56" spans="2:31" x14ac:dyDescent="0.2">
      <c r="B56" s="20" t="s">
        <v>247</v>
      </c>
      <c r="C56" s="127">
        <f t="shared" ref="C56:P56" si="157">C10/C42</f>
        <v>0</v>
      </c>
      <c r="D56" s="127">
        <f t="shared" si="157"/>
        <v>0</v>
      </c>
      <c r="E56" s="127">
        <f t="shared" si="157"/>
        <v>0</v>
      </c>
      <c r="F56" s="143">
        <f t="shared" si="157"/>
        <v>0</v>
      </c>
      <c r="G56" s="143">
        <f t="shared" si="157"/>
        <v>0</v>
      </c>
      <c r="H56" s="143">
        <f t="shared" si="157"/>
        <v>0</v>
      </c>
      <c r="I56" s="143">
        <f t="shared" si="157"/>
        <v>0</v>
      </c>
      <c r="J56" s="143">
        <f t="shared" si="157"/>
        <v>0</v>
      </c>
      <c r="K56" s="143">
        <f t="shared" si="157"/>
        <v>0</v>
      </c>
      <c r="L56" s="143">
        <f t="shared" si="157"/>
        <v>0</v>
      </c>
      <c r="M56" s="143">
        <f t="shared" si="157"/>
        <v>0</v>
      </c>
      <c r="N56" s="143">
        <f t="shared" si="157"/>
        <v>0</v>
      </c>
      <c r="O56" s="143">
        <f t="shared" si="157"/>
        <v>0</v>
      </c>
      <c r="P56" s="143">
        <f t="shared" si="157"/>
        <v>0</v>
      </c>
      <c r="Q56" s="118" t="e">
        <f>((P56/G56)^(1/($H$2-$H$1) ))-1</f>
        <v>#DIV/0!</v>
      </c>
      <c r="R56" s="128"/>
      <c r="S56" s="156">
        <f t="shared" ref="S56:AB56" si="158">S10/S42</f>
        <v>0</v>
      </c>
      <c r="T56" s="156">
        <f t="shared" si="158"/>
        <v>0</v>
      </c>
      <c r="U56" s="156">
        <f t="shared" si="158"/>
        <v>0</v>
      </c>
      <c r="V56" s="156">
        <f t="shared" si="158"/>
        <v>0</v>
      </c>
      <c r="W56" s="156">
        <f t="shared" si="158"/>
        <v>0</v>
      </c>
      <c r="X56" s="156">
        <f t="shared" si="158"/>
        <v>0</v>
      </c>
      <c r="Y56" s="156">
        <f t="shared" si="158"/>
        <v>0</v>
      </c>
      <c r="Z56" s="156">
        <f t="shared" si="158"/>
        <v>0</v>
      </c>
      <c r="AA56" s="156">
        <f t="shared" si="158"/>
        <v>0</v>
      </c>
      <c r="AB56" s="156">
        <f t="shared" si="158"/>
        <v>0</v>
      </c>
      <c r="AC56" s="137" t="e">
        <f t="shared" si="147"/>
        <v>#DIV/0!</v>
      </c>
      <c r="AD56" s="31">
        <f t="shared" si="17"/>
        <v>0.05</v>
      </c>
      <c r="AE56" s="145">
        <f t="shared" si="148"/>
        <v>0</v>
      </c>
    </row>
    <row r="57" spans="2:31" x14ac:dyDescent="0.2">
      <c r="B57" s="20"/>
      <c r="C57" s="127"/>
      <c r="D57" s="127"/>
      <c r="E57" s="127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28"/>
      <c r="R57" s="128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38"/>
      <c r="AD57" s="136"/>
      <c r="AE57" s="145"/>
    </row>
    <row r="58" spans="2:31" x14ac:dyDescent="0.2">
      <c r="B58" s="20" t="s">
        <v>270</v>
      </c>
      <c r="C58" s="127">
        <f t="shared" ref="C58:P58" si="159">(C7-C10)/C42</f>
        <v>0</v>
      </c>
      <c r="D58" s="127">
        <f t="shared" si="159"/>
        <v>0</v>
      </c>
      <c r="E58" s="127">
        <f t="shared" si="159"/>
        <v>0</v>
      </c>
      <c r="F58" s="143">
        <f t="shared" si="159"/>
        <v>0</v>
      </c>
      <c r="G58" s="143">
        <f t="shared" si="159"/>
        <v>150.96138566661369</v>
      </c>
      <c r="H58" s="143">
        <f t="shared" si="159"/>
        <v>172.79296261388626</v>
      </c>
      <c r="I58" s="143">
        <f t="shared" si="159"/>
        <v>279.79274611398966</v>
      </c>
      <c r="J58" s="143">
        <f t="shared" si="159"/>
        <v>380.42729152308749</v>
      </c>
      <c r="K58" s="143">
        <f t="shared" si="159"/>
        <v>494.11764705882354</v>
      </c>
      <c r="L58" s="143">
        <f t="shared" si="159"/>
        <v>599.30795847750858</v>
      </c>
      <c r="M58" s="143">
        <f t="shared" si="159"/>
        <v>556.5731999436382</v>
      </c>
      <c r="N58" s="143">
        <f t="shared" si="159"/>
        <v>58.251057827926658</v>
      </c>
      <c r="O58" s="143">
        <f t="shared" si="159"/>
        <v>75.356125356125361</v>
      </c>
      <c r="P58" s="143">
        <f t="shared" si="159"/>
        <v>75.356125356125361</v>
      </c>
      <c r="Q58" s="118">
        <f>((P58/G58)^(1/($H$2-$H$1) ))-1</f>
        <v>-7.4295189232440162E-2</v>
      </c>
      <c r="R58" s="128"/>
      <c r="S58" s="156">
        <f t="shared" ref="S58:AB58" si="160">(S7-S10)/S42</f>
        <v>85.152421652421651</v>
      </c>
      <c r="T58" s="156">
        <f t="shared" si="160"/>
        <v>96.222236467236456</v>
      </c>
      <c r="U58" s="156">
        <f t="shared" si="160"/>
        <v>108.73112720797718</v>
      </c>
      <c r="V58" s="156">
        <f t="shared" si="160"/>
        <v>122.86617374501419</v>
      </c>
      <c r="W58" s="156">
        <f t="shared" si="160"/>
        <v>138.83877633186603</v>
      </c>
      <c r="X58" s="156">
        <f t="shared" si="160"/>
        <v>156.88781725500857</v>
      </c>
      <c r="Y58" s="156">
        <f t="shared" si="160"/>
        <v>177.28323349815969</v>
      </c>
      <c r="Z58" s="156">
        <f t="shared" si="160"/>
        <v>200.33005385292043</v>
      </c>
      <c r="AA58" s="156">
        <f t="shared" si="160"/>
        <v>226.37296085380007</v>
      </c>
      <c r="AB58" s="156">
        <f t="shared" si="160"/>
        <v>255.80144576479407</v>
      </c>
      <c r="AC58" s="137">
        <f t="shared" si="147"/>
        <v>2.8145514899720725E-2</v>
      </c>
      <c r="AD58" s="31">
        <f t="shared" si="17"/>
        <v>0.05</v>
      </c>
      <c r="AE58" s="145">
        <f t="shared" si="148"/>
        <v>2685.9151805303381</v>
      </c>
    </row>
    <row r="59" spans="2:31" x14ac:dyDescent="0.2">
      <c r="B59" s="20" t="s">
        <v>271</v>
      </c>
      <c r="C59" s="127">
        <f t="shared" ref="C59:P59" si="161">(C7-C10-C9)/C42</f>
        <v>0</v>
      </c>
      <c r="D59" s="127">
        <f t="shared" si="161"/>
        <v>0</v>
      </c>
      <c r="E59" s="127">
        <f t="shared" si="161"/>
        <v>0</v>
      </c>
      <c r="F59" s="143">
        <f t="shared" si="161"/>
        <v>0</v>
      </c>
      <c r="G59" s="143">
        <f t="shared" si="161"/>
        <v>125.2184967424122</v>
      </c>
      <c r="H59" s="143">
        <f t="shared" si="161"/>
        <v>141.37606032045238</v>
      </c>
      <c r="I59" s="143">
        <f t="shared" si="161"/>
        <v>170.2442635085122</v>
      </c>
      <c r="J59" s="143">
        <f t="shared" si="161"/>
        <v>243.9696760854583</v>
      </c>
      <c r="K59" s="143">
        <f t="shared" si="161"/>
        <v>330.79584775086505</v>
      </c>
      <c r="L59" s="143">
        <f t="shared" si="161"/>
        <v>376.47058823529409</v>
      </c>
      <c r="M59" s="143">
        <f t="shared" si="161"/>
        <v>309.99013667746937</v>
      </c>
      <c r="N59" s="143">
        <f t="shared" si="161"/>
        <v>24.259520451339917</v>
      </c>
      <c r="O59" s="143">
        <f t="shared" si="161"/>
        <v>20.94017094017094</v>
      </c>
      <c r="P59" s="143">
        <f t="shared" si="161"/>
        <v>20.94017094017094</v>
      </c>
      <c r="Q59" s="118">
        <f>((P59/G59)^(1/($H$2-$H$1) ))-1</f>
        <v>-0.18021247711211674</v>
      </c>
      <c r="R59" s="128"/>
      <c r="S59" s="156">
        <f t="shared" ref="S59:AB59" si="162">(S7-S10-S9)/S42</f>
        <v>23.662393162393165</v>
      </c>
      <c r="T59" s="156">
        <f t="shared" si="162"/>
        <v>26.738504273504272</v>
      </c>
      <c r="U59" s="156">
        <f t="shared" si="162"/>
        <v>30.214509829059818</v>
      </c>
      <c r="V59" s="156">
        <f t="shared" si="162"/>
        <v>34.142396106837587</v>
      </c>
      <c r="W59" s="156">
        <f t="shared" si="162"/>
        <v>38.580907600726476</v>
      </c>
      <c r="X59" s="156">
        <f t="shared" si="162"/>
        <v>43.596425588820892</v>
      </c>
      <c r="Y59" s="156">
        <f t="shared" si="162"/>
        <v>49.263960915367605</v>
      </c>
      <c r="Z59" s="156">
        <f t="shared" si="162"/>
        <v>55.668275834365396</v>
      </c>
      <c r="AA59" s="156">
        <f t="shared" si="162"/>
        <v>62.905151692832909</v>
      </c>
      <c r="AB59" s="156">
        <f t="shared" si="162"/>
        <v>71.082821412901183</v>
      </c>
      <c r="AC59" s="137">
        <f t="shared" si="147"/>
        <v>-2.9361098140488484E-2</v>
      </c>
      <c r="AD59" s="31">
        <f t="shared" si="17"/>
        <v>0.05</v>
      </c>
      <c r="AE59" s="145">
        <f t="shared" si="148"/>
        <v>746.36962483546245</v>
      </c>
    </row>
    <row r="60" spans="2:31" x14ac:dyDescent="0.2">
      <c r="B60" s="20" t="s">
        <v>276</v>
      </c>
      <c r="C60" s="127">
        <f t="shared" ref="C60:P60" si="163">(C7+C15-C10-C9)/C42</f>
        <v>0</v>
      </c>
      <c r="D60" s="127">
        <f t="shared" si="163"/>
        <v>0</v>
      </c>
      <c r="E60" s="127">
        <f t="shared" si="163"/>
        <v>0</v>
      </c>
      <c r="F60" s="143">
        <f t="shared" si="163"/>
        <v>0</v>
      </c>
      <c r="G60" s="143">
        <f t="shared" si="163"/>
        <v>147.97393929763228</v>
      </c>
      <c r="H60" s="143">
        <f t="shared" si="163"/>
        <v>174.36380772855796</v>
      </c>
      <c r="I60" s="143">
        <f t="shared" si="163"/>
        <v>319.76313841598818</v>
      </c>
      <c r="J60" s="143">
        <f t="shared" si="163"/>
        <v>421.77808407994485</v>
      </c>
      <c r="K60" s="143">
        <f t="shared" si="163"/>
        <v>556.40138408304495</v>
      </c>
      <c r="L60" s="143">
        <f t="shared" si="163"/>
        <v>629.75778546712797</v>
      </c>
      <c r="M60" s="143">
        <f t="shared" si="163"/>
        <v>546.70987741299143</v>
      </c>
      <c r="N60" s="143">
        <f t="shared" si="163"/>
        <v>49.929478138222848</v>
      </c>
      <c r="O60" s="143">
        <f t="shared" si="163"/>
        <v>59.401709401709404</v>
      </c>
      <c r="P60" s="143">
        <f t="shared" si="163"/>
        <v>59.401709401709404</v>
      </c>
      <c r="Q60" s="118">
        <f>((P60/G60)^(1/($H$2-$H$1) ))-1</f>
        <v>-9.6439829727488435E-2</v>
      </c>
      <c r="R60" s="128"/>
      <c r="S60" s="156">
        <f t="shared" ref="S60:AB60" si="164">(S7+S15-S10-S9)/S42</f>
        <v>67.123931623931611</v>
      </c>
      <c r="T60" s="156">
        <f t="shared" si="164"/>
        <v>75.85004273504272</v>
      </c>
      <c r="U60" s="156">
        <f t="shared" si="164"/>
        <v>85.71054829059824</v>
      </c>
      <c r="V60" s="156">
        <f t="shared" si="164"/>
        <v>96.852919568376024</v>
      </c>
      <c r="W60" s="156">
        <f t="shared" si="164"/>
        <v>109.4437991122649</v>
      </c>
      <c r="X60" s="156">
        <f t="shared" si="164"/>
        <v>123.6714929968593</v>
      </c>
      <c r="Y60" s="156">
        <f t="shared" si="164"/>
        <v>139.74878708645102</v>
      </c>
      <c r="Z60" s="156">
        <f t="shared" si="164"/>
        <v>157.91612940768965</v>
      </c>
      <c r="AA60" s="156">
        <f t="shared" si="164"/>
        <v>178.44522623068926</v>
      </c>
      <c r="AB60" s="156">
        <f t="shared" si="164"/>
        <v>201.64310564067884</v>
      </c>
      <c r="AC60" s="137">
        <f t="shared" si="147"/>
        <v>1.6420899632683783E-2</v>
      </c>
      <c r="AD60" s="31">
        <f t="shared" si="17"/>
        <v>0.05</v>
      </c>
      <c r="AE60" s="145">
        <f t="shared" si="148"/>
        <v>2117.2526092271278</v>
      </c>
    </row>
    <row r="61" spans="2:31" x14ac:dyDescent="0.2">
      <c r="B61" s="20"/>
      <c r="C61" s="127"/>
      <c r="D61" s="127"/>
      <c r="E61" s="127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28"/>
      <c r="R61" s="128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38"/>
      <c r="AD61" s="136"/>
      <c r="AE61" s="153"/>
    </row>
    <row r="62" spans="2:31" x14ac:dyDescent="0.2">
      <c r="B62" s="20" t="s">
        <v>248</v>
      </c>
      <c r="C62" s="127">
        <f t="shared" ref="C62:P62" si="165">C12/C42</f>
        <v>0</v>
      </c>
      <c r="D62" s="127">
        <f t="shared" si="165"/>
        <v>0</v>
      </c>
      <c r="E62" s="127">
        <f t="shared" si="165"/>
        <v>0</v>
      </c>
      <c r="F62" s="143">
        <f t="shared" si="165"/>
        <v>0</v>
      </c>
      <c r="G62" s="143">
        <f t="shared" si="165"/>
        <v>10.344827586206897</v>
      </c>
      <c r="H62" s="143">
        <f t="shared" si="165"/>
        <v>17.279296261388627</v>
      </c>
      <c r="I62" s="143">
        <f t="shared" si="165"/>
        <v>56.25462620281273</v>
      </c>
      <c r="J62" s="143">
        <f t="shared" si="165"/>
        <v>58.0289455547898</v>
      </c>
      <c r="K62" s="143">
        <f t="shared" si="165"/>
        <v>178.54671280276816</v>
      </c>
      <c r="L62" s="143">
        <f t="shared" si="165"/>
        <v>217.30103806228374</v>
      </c>
      <c r="M62" s="143">
        <f t="shared" si="165"/>
        <v>227.56094124277865</v>
      </c>
      <c r="N62" s="143">
        <f t="shared" si="165"/>
        <v>36.389280677009872</v>
      </c>
      <c r="O62" s="143">
        <f t="shared" si="165"/>
        <v>21.794871794871796</v>
      </c>
      <c r="P62" s="143">
        <f t="shared" si="165"/>
        <v>21.794871794871796</v>
      </c>
      <c r="Q62" s="118">
        <f>((P62/G62)^(1/($H$2-$H$1) ))-1</f>
        <v>8.6323080567614285E-2</v>
      </c>
      <c r="R62" s="128"/>
      <c r="S62" s="156">
        <f t="shared" ref="S62:AB62" si="166">S12/S42</f>
        <v>24.628205128205128</v>
      </c>
      <c r="T62" s="156">
        <f t="shared" si="166"/>
        <v>27.829871794871792</v>
      </c>
      <c r="U62" s="156">
        <f t="shared" si="166"/>
        <v>31.447755128205124</v>
      </c>
      <c r="V62" s="156">
        <f t="shared" si="166"/>
        <v>35.535963294871792</v>
      </c>
      <c r="W62" s="156">
        <f t="shared" si="166"/>
        <v>40.15563852320512</v>
      </c>
      <c r="X62" s="156">
        <f t="shared" si="166"/>
        <v>45.375871531221783</v>
      </c>
      <c r="Y62" s="156">
        <f t="shared" si="166"/>
        <v>51.274734830280607</v>
      </c>
      <c r="Z62" s="156">
        <f t="shared" si="166"/>
        <v>57.940450358217085</v>
      </c>
      <c r="AA62" s="156">
        <f t="shared" si="166"/>
        <v>65.472708904785307</v>
      </c>
      <c r="AB62" s="156">
        <f t="shared" si="166"/>
        <v>73.984161062407395</v>
      </c>
      <c r="AC62" s="137">
        <f t="shared" si="147"/>
        <v>0.10909624943787355</v>
      </c>
      <c r="AD62" s="31">
        <f t="shared" si="17"/>
        <v>0.05</v>
      </c>
      <c r="AE62" s="145">
        <f t="shared" si="148"/>
        <v>776.83369115527773</v>
      </c>
    </row>
    <row r="63" spans="2:31" x14ac:dyDescent="0.2">
      <c r="B63" s="20" t="s">
        <v>255</v>
      </c>
      <c r="C63" s="127">
        <f t="shared" ref="C63:P63" si="167">C13/C42</f>
        <v>0</v>
      </c>
      <c r="D63" s="127">
        <f t="shared" si="167"/>
        <v>0</v>
      </c>
      <c r="E63" s="127">
        <f t="shared" si="167"/>
        <v>0</v>
      </c>
      <c r="F63" s="143">
        <f t="shared" si="167"/>
        <v>0</v>
      </c>
      <c r="G63" s="143">
        <f t="shared" si="167"/>
        <v>88.447481328460199</v>
      </c>
      <c r="H63" s="143">
        <f t="shared" si="167"/>
        <v>104.4612001256676</v>
      </c>
      <c r="I63" s="143">
        <f t="shared" si="167"/>
        <v>59.215396002960773</v>
      </c>
      <c r="J63" s="143">
        <f t="shared" si="167"/>
        <v>134.39007580978634</v>
      </c>
      <c r="K63" s="143">
        <f t="shared" si="167"/>
        <v>153.63321799307957</v>
      </c>
      <c r="L63" s="143">
        <f t="shared" si="167"/>
        <v>146.71280276816609</v>
      </c>
      <c r="M63" s="143">
        <f t="shared" si="167"/>
        <v>36.63519797097365</v>
      </c>
      <c r="N63" s="143">
        <f t="shared" si="167"/>
        <v>2.2355430183356839</v>
      </c>
      <c r="O63" s="143">
        <f t="shared" si="167"/>
        <v>16.381766381766383</v>
      </c>
      <c r="P63" s="143">
        <f t="shared" si="167"/>
        <v>16.381766381766383</v>
      </c>
      <c r="Q63" s="118">
        <f>((P63/G63)^(1/($H$2-$H$1) ))-1</f>
        <v>-0.17085481277091896</v>
      </c>
      <c r="R63" s="128"/>
      <c r="S63" s="156">
        <f t="shared" ref="S63:AB63" si="168">S13/S42</f>
        <v>18.511396011396013</v>
      </c>
      <c r="T63" s="156">
        <f t="shared" si="168"/>
        <v>20.917877492877491</v>
      </c>
      <c r="U63" s="156">
        <f t="shared" si="168"/>
        <v>23.637201566951564</v>
      </c>
      <c r="V63" s="156">
        <f t="shared" si="168"/>
        <v>26.710037770655266</v>
      </c>
      <c r="W63" s="156">
        <f t="shared" si="168"/>
        <v>30.182342680840446</v>
      </c>
      <c r="X63" s="156">
        <f t="shared" si="168"/>
        <v>34.106047229349699</v>
      </c>
      <c r="Y63" s="156">
        <f t="shared" si="168"/>
        <v>38.539833369165159</v>
      </c>
      <c r="Z63" s="156">
        <f t="shared" si="168"/>
        <v>43.550011707156628</v>
      </c>
      <c r="AA63" s="156">
        <f t="shared" si="168"/>
        <v>49.211513229086982</v>
      </c>
      <c r="AB63" s="156">
        <f t="shared" si="168"/>
        <v>55.609009948868284</v>
      </c>
      <c r="AC63" s="137">
        <f t="shared" si="147"/>
        <v>-2.4128543482339726E-2</v>
      </c>
      <c r="AD63" s="31">
        <f t="shared" si="17"/>
        <v>0.05</v>
      </c>
      <c r="AE63" s="145">
        <f t="shared" si="148"/>
        <v>583.89460446311705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69">(D62+D63)</f>
        <v>0</v>
      </c>
      <c r="E64" s="127">
        <f t="shared" si="169"/>
        <v>0</v>
      </c>
      <c r="F64" s="143">
        <f t="shared" si="169"/>
        <v>0</v>
      </c>
      <c r="G64" s="143">
        <f t="shared" si="169"/>
        <v>98.792308914667103</v>
      </c>
      <c r="H64" s="143">
        <f t="shared" si="169"/>
        <v>121.74049638705623</v>
      </c>
      <c r="I64" s="143">
        <f t="shared" si="169"/>
        <v>115.4700222057735</v>
      </c>
      <c r="J64" s="143">
        <f t="shared" si="169"/>
        <v>192.41902136457614</v>
      </c>
      <c r="K64" s="143">
        <f t="shared" si="169"/>
        <v>332.17993079584772</v>
      </c>
      <c r="L64" s="143">
        <f t="shared" si="169"/>
        <v>364.01384083044979</v>
      </c>
      <c r="M64" s="143">
        <f t="shared" si="169"/>
        <v>264.1961392137523</v>
      </c>
      <c r="N64" s="143">
        <f t="shared" si="169"/>
        <v>38.624823695345555</v>
      </c>
      <c r="O64" s="143">
        <f t="shared" ref="O64" si="170">(O62+O63)</f>
        <v>38.176638176638178</v>
      </c>
      <c r="P64" s="143">
        <f t="shared" si="169"/>
        <v>38.176638176638178</v>
      </c>
      <c r="Q64" s="118">
        <f>((P64/G64)^(1/($H$2-$H$1) ))-1</f>
        <v>-0.10025509917375441</v>
      </c>
      <c r="R64" s="128"/>
      <c r="S64" s="156">
        <f t="shared" ref="S64:AB64" si="171">(S62+S63)</f>
        <v>43.13960113960114</v>
      </c>
      <c r="T64" s="156">
        <f t="shared" si="171"/>
        <v>48.747749287749286</v>
      </c>
      <c r="U64" s="156">
        <f t="shared" si="171"/>
        <v>55.084956695156691</v>
      </c>
      <c r="V64" s="156">
        <f t="shared" si="171"/>
        <v>62.246001065527054</v>
      </c>
      <c r="W64" s="156">
        <f t="shared" si="171"/>
        <v>70.337981204045562</v>
      </c>
      <c r="X64" s="156">
        <f t="shared" si="171"/>
        <v>79.481918760571489</v>
      </c>
      <c r="Y64" s="156">
        <f t="shared" si="171"/>
        <v>89.814568199445773</v>
      </c>
      <c r="Z64" s="156">
        <f t="shared" si="171"/>
        <v>101.49046206537372</v>
      </c>
      <c r="AA64" s="156">
        <f t="shared" si="171"/>
        <v>114.68422213387228</v>
      </c>
      <c r="AB64" s="156">
        <f t="shared" si="171"/>
        <v>129.59317101127567</v>
      </c>
      <c r="AC64" s="137">
        <f t="shared" si="147"/>
        <v>1.4385667359060994E-2</v>
      </c>
      <c r="AD64" s="31">
        <f t="shared" si="17"/>
        <v>0.05</v>
      </c>
      <c r="AE64" s="145">
        <f t="shared" si="148"/>
        <v>1360.7282956183947</v>
      </c>
    </row>
    <row r="65" spans="2:31" x14ac:dyDescent="0.2">
      <c r="B65" s="20" t="s">
        <v>249</v>
      </c>
      <c r="C65" s="127">
        <f t="shared" ref="C65:P65" si="172">C15/C42</f>
        <v>0</v>
      </c>
      <c r="D65" s="127">
        <f t="shared" si="172"/>
        <v>0</v>
      </c>
      <c r="E65" s="127">
        <f t="shared" si="172"/>
        <v>0</v>
      </c>
      <c r="F65" s="143">
        <f t="shared" si="172"/>
        <v>0</v>
      </c>
      <c r="G65" s="143">
        <f t="shared" si="172"/>
        <v>22.755442555220089</v>
      </c>
      <c r="H65" s="143">
        <f t="shared" si="172"/>
        <v>32.987747408105555</v>
      </c>
      <c r="I65" s="143">
        <f t="shared" si="172"/>
        <v>149.51887490747595</v>
      </c>
      <c r="J65" s="143">
        <f t="shared" si="172"/>
        <v>177.80840799448654</v>
      </c>
      <c r="K65" s="143">
        <f t="shared" si="172"/>
        <v>225.60553633217992</v>
      </c>
      <c r="L65" s="143">
        <f t="shared" si="172"/>
        <v>253.28719723183389</v>
      </c>
      <c r="M65" s="143">
        <f t="shared" si="172"/>
        <v>236.71974073552207</v>
      </c>
      <c r="N65" s="143">
        <f t="shared" si="172"/>
        <v>25.669957686882935</v>
      </c>
      <c r="O65" s="143">
        <f t="shared" si="172"/>
        <v>38.461538461538467</v>
      </c>
      <c r="P65" s="143">
        <f t="shared" si="172"/>
        <v>38.461538461538467</v>
      </c>
      <c r="Q65" s="118">
        <f>((P65/G65)^(1/($H$2-$H$1) ))-1</f>
        <v>6.0051142448700467E-2</v>
      </c>
      <c r="R65" s="128"/>
      <c r="S65" s="156">
        <f t="shared" ref="S65:AB65" si="173">S15/S42</f>
        <v>43.46153846153846</v>
      </c>
      <c r="T65" s="156">
        <f t="shared" si="173"/>
        <v>49.111538461538451</v>
      </c>
      <c r="U65" s="156">
        <f t="shared" si="173"/>
        <v>55.496038461538447</v>
      </c>
      <c r="V65" s="156">
        <f t="shared" si="173"/>
        <v>62.710523461538436</v>
      </c>
      <c r="W65" s="156">
        <f t="shared" si="173"/>
        <v>70.862891511538422</v>
      </c>
      <c r="X65" s="156">
        <f t="shared" si="173"/>
        <v>80.075067408038421</v>
      </c>
      <c r="Y65" s="156">
        <f t="shared" si="173"/>
        <v>90.484826171083398</v>
      </c>
      <c r="Z65" s="156">
        <f t="shared" si="173"/>
        <v>102.24785357332424</v>
      </c>
      <c r="AA65" s="156">
        <f t="shared" si="173"/>
        <v>115.54007453785638</v>
      </c>
      <c r="AB65" s="156">
        <f t="shared" si="173"/>
        <v>130.56028422777769</v>
      </c>
      <c r="AC65" s="137">
        <f t="shared" si="147"/>
        <v>9.6308892641931765E-2</v>
      </c>
      <c r="AD65" s="31">
        <f t="shared" si="17"/>
        <v>0.05</v>
      </c>
      <c r="AE65" s="145">
        <f t="shared" si="148"/>
        <v>1370.882984391666</v>
      </c>
    </row>
    <row r="66" spans="2:31" x14ac:dyDescent="0.2">
      <c r="B66" s="20" t="s">
        <v>250</v>
      </c>
      <c r="C66" s="127">
        <f t="shared" ref="C66:P66" si="174">C16/C42</f>
        <v>0</v>
      </c>
      <c r="D66" s="127">
        <f t="shared" si="174"/>
        <v>0</v>
      </c>
      <c r="E66" s="127">
        <f t="shared" si="174"/>
        <v>0</v>
      </c>
      <c r="F66" s="143">
        <f t="shared" si="174"/>
        <v>0</v>
      </c>
      <c r="G66" s="143">
        <f t="shared" si="174"/>
        <v>-10.328936914031464</v>
      </c>
      <c r="H66" s="143">
        <f t="shared" si="174"/>
        <v>1.9478479421928996</v>
      </c>
      <c r="I66" s="143">
        <f t="shared" si="174"/>
        <v>46.928201332346411</v>
      </c>
      <c r="J66" s="143">
        <f t="shared" si="174"/>
        <v>57.463818056512743</v>
      </c>
      <c r="K66" s="143">
        <f t="shared" si="174"/>
        <v>150.86505190311419</v>
      </c>
      <c r="L66" s="143">
        <f t="shared" si="174"/>
        <v>182.69896193771626</v>
      </c>
      <c r="M66" s="143">
        <f t="shared" si="174"/>
        <v>201.49358884035507</v>
      </c>
      <c r="N66" s="143">
        <f t="shared" si="174"/>
        <v>23.977433004231312</v>
      </c>
      <c r="O66" s="143">
        <f t="shared" si="174"/>
        <v>-7.54985754985755</v>
      </c>
      <c r="P66" s="143">
        <f t="shared" si="174"/>
        <v>-7.54985754985755</v>
      </c>
      <c r="Q66" s="118">
        <f>((P66/G66)^(1/($H$2-$H$1) ))-1</f>
        <v>-3.4225123345429265E-2</v>
      </c>
      <c r="R66" s="128"/>
      <c r="S66" s="156">
        <f t="shared" ref="S66:AB66" si="175">S16/S42</f>
        <v>-8.53133903133903</v>
      </c>
      <c r="T66" s="156">
        <f t="shared" si="175"/>
        <v>-9.6404131054131046</v>
      </c>
      <c r="U66" s="156">
        <f t="shared" si="175"/>
        <v>-10.893666809116807</v>
      </c>
      <c r="V66" s="156">
        <f t="shared" si="175"/>
        <v>-12.30984349430199</v>
      </c>
      <c r="W66" s="156">
        <f t="shared" si="175"/>
        <v>-13.910123148561249</v>
      </c>
      <c r="X66" s="156">
        <f t="shared" si="175"/>
        <v>-15.71843915787421</v>
      </c>
      <c r="Y66" s="156">
        <f t="shared" si="175"/>
        <v>-17.761836248397856</v>
      </c>
      <c r="Z66" s="156">
        <f t="shared" si="175"/>
        <v>-20.070874960689572</v>
      </c>
      <c r="AA66" s="156">
        <f t="shared" si="175"/>
        <v>-22.680088705579212</v>
      </c>
      <c r="AB66" s="156">
        <f t="shared" si="175"/>
        <v>-25.628500237304511</v>
      </c>
      <c r="AC66" s="137">
        <f t="shared" si="147"/>
        <v>4.899151961666437E-2</v>
      </c>
      <c r="AD66" s="136"/>
      <c r="AE66" s="145">
        <f t="shared" si="148"/>
        <v>-170.85666824869674</v>
      </c>
    </row>
    <row r="67" spans="2:31" x14ac:dyDescent="0.2">
      <c r="B67" s="20"/>
      <c r="C67" s="127"/>
      <c r="D67" s="127"/>
      <c r="E67" s="127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28"/>
      <c r="R67" s="128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38"/>
      <c r="AD67" s="31">
        <f t="shared" si="17"/>
        <v>0.05</v>
      </c>
      <c r="AE67" s="145">
        <f t="shared" si="148"/>
        <v>0</v>
      </c>
    </row>
    <row r="68" spans="2:31" x14ac:dyDescent="0.2">
      <c r="B68" s="20" t="s">
        <v>282</v>
      </c>
      <c r="C68" s="158">
        <f>C43</f>
        <v>0</v>
      </c>
      <c r="D68" s="158">
        <f t="shared" ref="D68:P68" si="176">D43</f>
        <v>0</v>
      </c>
      <c r="E68" s="158">
        <f t="shared" si="176"/>
        <v>0</v>
      </c>
      <c r="F68" s="158">
        <f t="shared" si="176"/>
        <v>0</v>
      </c>
      <c r="G68" s="158">
        <f t="shared" si="176"/>
        <v>10</v>
      </c>
      <c r="H68" s="158">
        <f t="shared" si="176"/>
        <v>12.5</v>
      </c>
      <c r="I68" s="158">
        <f t="shared" si="176"/>
        <v>25</v>
      </c>
      <c r="J68" s="158">
        <f t="shared" si="176"/>
        <v>25</v>
      </c>
      <c r="K68" s="158">
        <f t="shared" si="176"/>
        <v>70</v>
      </c>
      <c r="L68" s="158">
        <f t="shared" si="176"/>
        <v>100</v>
      </c>
      <c r="M68" s="158">
        <f t="shared" si="176"/>
        <v>200</v>
      </c>
      <c r="N68" s="158">
        <f t="shared" si="176"/>
        <v>11</v>
      </c>
      <c r="O68" s="158">
        <f t="shared" si="176"/>
        <v>16</v>
      </c>
      <c r="P68" s="158">
        <f t="shared" si="176"/>
        <v>16</v>
      </c>
      <c r="Q68" s="118">
        <f>((P68/G68)^(1/($H$2-$H$1) ))-1</f>
        <v>5.3610276890664554E-2</v>
      </c>
      <c r="R68" s="128"/>
      <c r="S68" s="158">
        <f t="shared" ref="S68:AB68" si="177">S43</f>
        <v>16.8</v>
      </c>
      <c r="T68" s="158">
        <f t="shared" si="177"/>
        <v>17.64</v>
      </c>
      <c r="U68" s="158">
        <f t="shared" si="177"/>
        <v>18.522000000000002</v>
      </c>
      <c r="V68" s="158">
        <f t="shared" si="177"/>
        <v>19.448100000000004</v>
      </c>
      <c r="W68" s="158">
        <f t="shared" si="177"/>
        <v>20.420505000000006</v>
      </c>
      <c r="X68" s="158">
        <f t="shared" si="177"/>
        <v>21.441530250000007</v>
      </c>
      <c r="Y68" s="158">
        <f t="shared" si="177"/>
        <v>22.513606762500007</v>
      </c>
      <c r="Z68" s="158">
        <f t="shared" si="177"/>
        <v>23.639287100625008</v>
      </c>
      <c r="AA68" s="158">
        <f t="shared" si="177"/>
        <v>24.82125145565626</v>
      </c>
      <c r="AB68" s="158">
        <f t="shared" si="177"/>
        <v>26.062314028439072</v>
      </c>
      <c r="AC68" s="137">
        <f t="shared" ref="AC68" si="178">((AB68/G68)^(1/($AB$3-$H$1) ))-1</f>
        <v>5.1708586479565666E-2</v>
      </c>
      <c r="AD68" s="31">
        <f t="shared" si="17"/>
        <v>0.05</v>
      </c>
      <c r="AE68" s="145">
        <f t="shared" si="148"/>
        <v>273.65429729861029</v>
      </c>
    </row>
    <row r="69" spans="2:31" x14ac:dyDescent="0.2">
      <c r="B69" s="20"/>
      <c r="C69" s="127"/>
      <c r="D69" s="127"/>
      <c r="E69" s="127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28"/>
      <c r="R69" s="128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38"/>
      <c r="AD69" s="136"/>
      <c r="AE69" s="153"/>
    </row>
    <row r="70" spans="2:31" x14ac:dyDescent="0.2">
      <c r="B70" s="20" t="s">
        <v>317</v>
      </c>
      <c r="C70" s="127">
        <f t="shared" ref="C70:P70" si="179">C20+C21</f>
        <v>0</v>
      </c>
      <c r="D70" s="127">
        <f t="shared" si="179"/>
        <v>0</v>
      </c>
      <c r="E70" s="127">
        <f t="shared" si="179"/>
        <v>0</v>
      </c>
      <c r="F70" s="143">
        <f t="shared" si="179"/>
        <v>0</v>
      </c>
      <c r="G70" s="143">
        <f t="shared" si="179"/>
        <v>6.3999999999999986</v>
      </c>
      <c r="H70" s="143">
        <f t="shared" si="179"/>
        <v>10</v>
      </c>
      <c r="I70" s="143">
        <f t="shared" si="179"/>
        <v>-7</v>
      </c>
      <c r="J70" s="143">
        <f t="shared" si="179"/>
        <v>1</v>
      </c>
      <c r="K70" s="143">
        <f t="shared" si="179"/>
        <v>48</v>
      </c>
      <c r="L70" s="143">
        <f t="shared" si="179"/>
        <v>147</v>
      </c>
      <c r="M70" s="143">
        <f t="shared" si="179"/>
        <v>239</v>
      </c>
      <c r="N70" s="143">
        <f t="shared" si="179"/>
        <v>193</v>
      </c>
      <c r="O70" s="143">
        <f t="shared" si="179"/>
        <v>83</v>
      </c>
      <c r="P70" s="143">
        <f t="shared" si="179"/>
        <v>83</v>
      </c>
      <c r="Q70" s="118">
        <f>((P70/G70)^(1/($H$2-$H$1) ))-1</f>
        <v>0.32939899612654999</v>
      </c>
      <c r="R70" s="128"/>
      <c r="S70" s="143">
        <f t="shared" ref="S70:AB70" si="180">S20+S21</f>
        <v>93.789999999999978</v>
      </c>
      <c r="T70" s="143">
        <f t="shared" si="180"/>
        <v>105.98269999999997</v>
      </c>
      <c r="U70" s="143">
        <f t="shared" si="180"/>
        <v>119.76045099999995</v>
      </c>
      <c r="V70" s="143">
        <f t="shared" si="180"/>
        <v>135.32930962999993</v>
      </c>
      <c r="W70" s="143">
        <f t="shared" si="180"/>
        <v>152.92211988189993</v>
      </c>
      <c r="X70" s="143">
        <f t="shared" si="180"/>
        <v>172.80199546654691</v>
      </c>
      <c r="Y70" s="143">
        <f t="shared" si="180"/>
        <v>195.26625487719801</v>
      </c>
      <c r="Z70" s="143">
        <f t="shared" si="180"/>
        <v>220.65086801123374</v>
      </c>
      <c r="AA70" s="143">
        <f t="shared" si="180"/>
        <v>249.3354808526941</v>
      </c>
      <c r="AB70" s="143">
        <f t="shared" si="180"/>
        <v>281.74909336354426</v>
      </c>
      <c r="AC70" s="137">
        <f t="shared" ref="AC70:AC75" si="181">((AB70/G70)^(1/($AB$3-$H$1) ))-1</f>
        <v>0.220420820286787</v>
      </c>
      <c r="AD70" s="31">
        <f t="shared" si="17"/>
        <v>0.05</v>
      </c>
      <c r="AE70" s="145">
        <f t="shared" si="148"/>
        <v>2958.3654803172149</v>
      </c>
    </row>
    <row r="71" spans="2:31" x14ac:dyDescent="0.2">
      <c r="B71" s="20"/>
      <c r="C71" s="127"/>
      <c r="D71" s="127"/>
      <c r="E71" s="127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28"/>
      <c r="R71" s="128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38"/>
      <c r="AD71" s="136"/>
      <c r="AE71" s="145"/>
    </row>
    <row r="72" spans="2:31" x14ac:dyDescent="0.2">
      <c r="B72" s="20" t="s">
        <v>318</v>
      </c>
      <c r="C72" s="127">
        <f t="shared" ref="C72:P72" si="182">C70/C42</f>
        <v>0</v>
      </c>
      <c r="D72" s="127">
        <f t="shared" si="182"/>
        <v>0</v>
      </c>
      <c r="E72" s="127">
        <f t="shared" si="182"/>
        <v>0</v>
      </c>
      <c r="F72" s="143">
        <f t="shared" si="182"/>
        <v>0</v>
      </c>
      <c r="G72" s="143">
        <f t="shared" si="182"/>
        <v>10.170030192277132</v>
      </c>
      <c r="H72" s="143">
        <f t="shared" si="182"/>
        <v>15.708451146716932</v>
      </c>
      <c r="I72" s="143">
        <f t="shared" si="182"/>
        <v>-10.362694300518134</v>
      </c>
      <c r="J72" s="143">
        <f t="shared" si="182"/>
        <v>1.3783597518952446</v>
      </c>
      <c r="K72" s="143">
        <f t="shared" si="182"/>
        <v>66.435986159169545</v>
      </c>
      <c r="L72" s="143">
        <f t="shared" si="182"/>
        <v>203.46020761245674</v>
      </c>
      <c r="M72" s="143">
        <f t="shared" si="182"/>
        <v>336.76201211779625</v>
      </c>
      <c r="N72" s="143">
        <f t="shared" si="182"/>
        <v>27.221438645980253</v>
      </c>
      <c r="O72" s="143">
        <f t="shared" si="182"/>
        <v>11.823361823361823</v>
      </c>
      <c r="P72" s="143">
        <f t="shared" si="182"/>
        <v>11.823361823361823</v>
      </c>
      <c r="Q72" s="118">
        <f>((P72/G72)^(1/($H$2-$H$1) ))-1</f>
        <v>1.6877759127233549E-2</v>
      </c>
      <c r="R72" s="128"/>
      <c r="S72" s="145">
        <f t="shared" ref="S72:AB72" si="183">S70/S42</f>
        <v>13.360398860398858</v>
      </c>
      <c r="T72" s="145">
        <f t="shared" si="183"/>
        <v>15.097250712250709</v>
      </c>
      <c r="U72" s="145">
        <f t="shared" si="183"/>
        <v>17.0598933048433</v>
      </c>
      <c r="V72" s="145">
        <f t="shared" si="183"/>
        <v>19.277679434472926</v>
      </c>
      <c r="W72" s="145">
        <f t="shared" si="183"/>
        <v>21.783777760954408</v>
      </c>
      <c r="X72" s="145">
        <f t="shared" si="183"/>
        <v>24.61566886987848</v>
      </c>
      <c r="Y72" s="145">
        <f t="shared" si="183"/>
        <v>27.815705822962681</v>
      </c>
      <c r="Z72" s="145">
        <f t="shared" si="183"/>
        <v>31.431747579947828</v>
      </c>
      <c r="AA72" s="145">
        <f t="shared" si="183"/>
        <v>35.517874765341041</v>
      </c>
      <c r="AB72" s="145">
        <f t="shared" si="183"/>
        <v>40.135198484835364</v>
      </c>
      <c r="AC72" s="137">
        <f t="shared" si="181"/>
        <v>7.4927353285657361E-2</v>
      </c>
      <c r="AD72" s="31">
        <f t="shared" si="17"/>
        <v>0.05</v>
      </c>
      <c r="AE72" s="145">
        <f t="shared" si="148"/>
        <v>421.41958409077137</v>
      </c>
    </row>
    <row r="73" spans="2:31" x14ac:dyDescent="0.2">
      <c r="B73" s="20" t="s">
        <v>287</v>
      </c>
      <c r="C73" s="127">
        <f t="shared" ref="C73:P73" si="184">C20/C42</f>
        <v>0</v>
      </c>
      <c r="D73" s="127">
        <f t="shared" si="184"/>
        <v>0</v>
      </c>
      <c r="E73" s="127">
        <f t="shared" si="184"/>
        <v>0</v>
      </c>
      <c r="F73" s="143">
        <f t="shared" si="184"/>
        <v>0</v>
      </c>
      <c r="G73" s="143">
        <f t="shared" si="184"/>
        <v>37.184172890513267</v>
      </c>
      <c r="H73" s="143">
        <f t="shared" si="184"/>
        <v>32.987747408105555</v>
      </c>
      <c r="I73" s="143">
        <f t="shared" si="184"/>
        <v>37.00962250185048</v>
      </c>
      <c r="J73" s="143">
        <f t="shared" si="184"/>
        <v>73.053066850447962</v>
      </c>
      <c r="K73" s="143">
        <f t="shared" si="184"/>
        <v>189.61937716262975</v>
      </c>
      <c r="L73" s="143">
        <f t="shared" si="184"/>
        <v>243.598615916955</v>
      </c>
      <c r="M73" s="143">
        <f t="shared" si="184"/>
        <v>190.22122023390165</v>
      </c>
      <c r="N73" s="143">
        <f t="shared" si="184"/>
        <v>33.568406205923836</v>
      </c>
      <c r="O73" s="143">
        <f t="shared" si="184"/>
        <v>21.225071225071225</v>
      </c>
      <c r="P73" s="143">
        <f t="shared" si="184"/>
        <v>21.225071225071225</v>
      </c>
      <c r="Q73" s="118">
        <f>((P73/G73)^(1/($H$2-$H$1) ))-1</f>
        <v>-6.0399048615759954E-2</v>
      </c>
      <c r="R73" s="128"/>
      <c r="S73" s="145">
        <f t="shared" ref="S73:AB73" si="185">S20/S42</f>
        <v>23.984330484330481</v>
      </c>
      <c r="T73" s="145">
        <f t="shared" si="185"/>
        <v>27.102293447293444</v>
      </c>
      <c r="U73" s="145">
        <f t="shared" si="185"/>
        <v>30.625591595441588</v>
      </c>
      <c r="V73" s="145">
        <f t="shared" si="185"/>
        <v>34.606918502848991</v>
      </c>
      <c r="W73" s="145">
        <f t="shared" si="185"/>
        <v>39.105817908219358</v>
      </c>
      <c r="X73" s="145">
        <f t="shared" si="185"/>
        <v>44.189574236287868</v>
      </c>
      <c r="Y73" s="145">
        <f t="shared" si="185"/>
        <v>49.934218887005294</v>
      </c>
      <c r="Z73" s="145">
        <f t="shared" si="185"/>
        <v>56.425667342315975</v>
      </c>
      <c r="AA73" s="145">
        <f t="shared" si="185"/>
        <v>63.761004096817047</v>
      </c>
      <c r="AB73" s="145">
        <f t="shared" si="185"/>
        <v>72.049934629403253</v>
      </c>
      <c r="AC73" s="137">
        <f t="shared" si="181"/>
        <v>3.5427657544207625E-2</v>
      </c>
      <c r="AD73" s="31">
        <f t="shared" si="17"/>
        <v>0.05</v>
      </c>
      <c r="AE73" s="145">
        <f t="shared" si="148"/>
        <v>756.52431360873425</v>
      </c>
    </row>
    <row r="74" spans="2:31" x14ac:dyDescent="0.2">
      <c r="B74" s="20" t="s">
        <v>288</v>
      </c>
      <c r="C74" s="127">
        <f t="shared" ref="C74:P74" si="186">C21/C42</f>
        <v>0</v>
      </c>
      <c r="D74" s="127">
        <f t="shared" si="186"/>
        <v>0</v>
      </c>
      <c r="E74" s="127">
        <f t="shared" si="186"/>
        <v>0</v>
      </c>
      <c r="F74" s="143">
        <f t="shared" si="186"/>
        <v>0</v>
      </c>
      <c r="G74" s="143">
        <f t="shared" si="186"/>
        <v>-27.014142698236135</v>
      </c>
      <c r="H74" s="143">
        <f t="shared" si="186"/>
        <v>-17.279296261388627</v>
      </c>
      <c r="I74" s="143">
        <f t="shared" si="186"/>
        <v>-47.372316802368616</v>
      </c>
      <c r="J74" s="143">
        <f t="shared" si="186"/>
        <v>-71.674707098552716</v>
      </c>
      <c r="K74" s="143">
        <f t="shared" si="186"/>
        <v>-123.1833910034602</v>
      </c>
      <c r="L74" s="143">
        <f t="shared" si="186"/>
        <v>-40.13840830449827</v>
      </c>
      <c r="M74" s="143">
        <f t="shared" si="186"/>
        <v>146.5407918838946</v>
      </c>
      <c r="N74" s="143">
        <f t="shared" si="186"/>
        <v>-6.3469675599435824</v>
      </c>
      <c r="O74" s="143">
        <f t="shared" si="186"/>
        <v>-9.4017094017094021</v>
      </c>
      <c r="P74" s="143">
        <f t="shared" si="186"/>
        <v>-9.4017094017094021</v>
      </c>
      <c r="Q74" s="118">
        <f>((P74/G74)^(1/($H$2-$H$1) ))-1</f>
        <v>-0.11065881707801628</v>
      </c>
      <c r="R74" s="128"/>
      <c r="S74" s="145">
        <f t="shared" ref="S74:AB74" si="187">S21/S42</f>
        <v>-10.623931623931623</v>
      </c>
      <c r="T74" s="145">
        <f t="shared" si="187"/>
        <v>-12.005042735042734</v>
      </c>
      <c r="U74" s="145">
        <f t="shared" si="187"/>
        <v>-13.56569829059829</v>
      </c>
      <c r="V74" s="145">
        <f t="shared" si="187"/>
        <v>-15.329239068376065</v>
      </c>
      <c r="W74" s="145">
        <f t="shared" si="187"/>
        <v>-17.32204014726495</v>
      </c>
      <c r="X74" s="145">
        <f t="shared" si="187"/>
        <v>-19.573905366409392</v>
      </c>
      <c r="Y74" s="145">
        <f t="shared" si="187"/>
        <v>-22.118513064042613</v>
      </c>
      <c r="Z74" s="145">
        <f t="shared" si="187"/>
        <v>-24.993919762368147</v>
      </c>
      <c r="AA74" s="145">
        <f t="shared" si="187"/>
        <v>-28.243129331476005</v>
      </c>
      <c r="AB74" s="145">
        <f t="shared" si="187"/>
        <v>-31.914736144567883</v>
      </c>
      <c r="AC74" s="137">
        <f t="shared" si="181"/>
        <v>8.8126743785581496E-3</v>
      </c>
      <c r="AD74" s="31">
        <f t="shared" si="17"/>
        <v>0.05</v>
      </c>
      <c r="AE74" s="145">
        <f t="shared" si="148"/>
        <v>-335.10472951796282</v>
      </c>
    </row>
    <row r="75" spans="2:31" x14ac:dyDescent="0.2">
      <c r="B75" s="20" t="s">
        <v>289</v>
      </c>
      <c r="C75" s="127">
        <f t="shared" ref="C75:P75" si="188">C22/C42</f>
        <v>0</v>
      </c>
      <c r="D75" s="127">
        <f t="shared" si="188"/>
        <v>0</v>
      </c>
      <c r="E75" s="127">
        <f t="shared" si="188"/>
        <v>0</v>
      </c>
      <c r="F75" s="143">
        <f t="shared" si="188"/>
        <v>0</v>
      </c>
      <c r="G75" s="143">
        <f t="shared" si="188"/>
        <v>-8.6127443190846975</v>
      </c>
      <c r="H75" s="143">
        <f t="shared" si="188"/>
        <v>-7.9170593779453338</v>
      </c>
      <c r="I75" s="143">
        <f t="shared" si="188"/>
        <v>1.0362694300518134</v>
      </c>
      <c r="J75" s="143">
        <f t="shared" si="188"/>
        <v>0.38594073053066852</v>
      </c>
      <c r="K75" s="143">
        <f t="shared" si="188"/>
        <v>-63.667820069204147</v>
      </c>
      <c r="L75" s="143">
        <f t="shared" si="188"/>
        <v>-130.10380622837368</v>
      </c>
      <c r="M75" s="143">
        <f t="shared" si="188"/>
        <v>-390.30576299845006</v>
      </c>
      <c r="N75" s="143">
        <f t="shared" si="188"/>
        <v>-23.1311706629055</v>
      </c>
      <c r="O75" s="143">
        <f t="shared" si="188"/>
        <v>-15.66951566951567</v>
      </c>
      <c r="P75" s="143">
        <f t="shared" si="188"/>
        <v>-15.66951566951567</v>
      </c>
      <c r="Q75" s="118">
        <f>((P75/G75)^(1/($H$2-$H$1) ))-1</f>
        <v>6.8757893630734923E-2</v>
      </c>
      <c r="R75" s="128"/>
      <c r="S75" s="145">
        <f t="shared" ref="S75:AB75" si="189">S22/S42</f>
        <v>-17.706552706552706</v>
      </c>
      <c r="T75" s="145">
        <f t="shared" si="189"/>
        <v>-20.008404558404557</v>
      </c>
      <c r="U75" s="145">
        <f t="shared" si="189"/>
        <v>-22.609497150997143</v>
      </c>
      <c r="V75" s="145">
        <f t="shared" si="189"/>
        <v>-25.54873178062677</v>
      </c>
      <c r="W75" s="145">
        <f t="shared" si="189"/>
        <v>-28.870066912108246</v>
      </c>
      <c r="X75" s="145">
        <f t="shared" si="189"/>
        <v>-32.623175610682317</v>
      </c>
      <c r="Y75" s="145">
        <f t="shared" si="189"/>
        <v>-36.864188440071011</v>
      </c>
      <c r="Z75" s="145">
        <f t="shared" si="189"/>
        <v>-41.656532937280247</v>
      </c>
      <c r="AA75" s="145">
        <f t="shared" si="189"/>
        <v>-47.071882219126671</v>
      </c>
      <c r="AB75" s="145">
        <f t="shared" si="189"/>
        <v>-53.191226907613128</v>
      </c>
      <c r="AC75" s="137">
        <f t="shared" si="181"/>
        <v>0.10056502718738569</v>
      </c>
      <c r="AD75" s="31">
        <f t="shared" si="17"/>
        <v>0.05</v>
      </c>
      <c r="AE75" s="145">
        <f t="shared" si="148"/>
        <v>-558.50788252993789</v>
      </c>
    </row>
    <row r="76" spans="2:31" x14ac:dyDescent="0.2">
      <c r="B76" s="20" t="s">
        <v>296</v>
      </c>
      <c r="C76" s="127">
        <f t="shared" ref="C76:P76" si="190">C23/C42</f>
        <v>0</v>
      </c>
      <c r="D76" s="127">
        <f t="shared" si="190"/>
        <v>0</v>
      </c>
      <c r="E76" s="127">
        <f t="shared" si="190"/>
        <v>0</v>
      </c>
      <c r="F76" s="143">
        <f t="shared" si="190"/>
        <v>0</v>
      </c>
      <c r="G76" s="143">
        <f t="shared" si="190"/>
        <v>10.328936914031464</v>
      </c>
      <c r="H76" s="143">
        <f t="shared" si="190"/>
        <v>17.907634307257304</v>
      </c>
      <c r="I76" s="143">
        <f t="shared" si="190"/>
        <v>7.7720207253886011</v>
      </c>
      <c r="J76" s="143">
        <f t="shared" si="190"/>
        <v>13.02549965541006</v>
      </c>
      <c r="K76" s="143">
        <f t="shared" si="190"/>
        <v>26.297577854671278</v>
      </c>
      <c r="L76" s="143">
        <f t="shared" si="190"/>
        <v>101.03806228373702</v>
      </c>
      <c r="M76" s="143">
        <f t="shared" si="190"/>
        <v>47.907566577427083</v>
      </c>
      <c r="N76" s="143">
        <f t="shared" si="190"/>
        <v>9.0267983074753175</v>
      </c>
      <c r="O76" s="143">
        <f t="shared" si="190"/>
        <v>5.1282051282051286</v>
      </c>
      <c r="P76" s="143">
        <f t="shared" si="190"/>
        <v>5.1282051282051286</v>
      </c>
      <c r="Q76" s="118">
        <f>((P76/G76)^(1/($H$2-$H$1) ))-1</f>
        <v>-7.4849908805158183E-2</v>
      </c>
      <c r="R76" s="128"/>
      <c r="S76" s="145">
        <f t="shared" ref="S76:AB76" si="191">S23/S42</f>
        <v>5.7948717948717938</v>
      </c>
      <c r="T76" s="145">
        <f t="shared" si="191"/>
        <v>6.5482051282051268</v>
      </c>
      <c r="U76" s="145">
        <f t="shared" si="191"/>
        <v>7.3994717948717925</v>
      </c>
      <c r="V76" s="145">
        <f t="shared" si="191"/>
        <v>8.361403128205124</v>
      </c>
      <c r="W76" s="145">
        <f t="shared" si="191"/>
        <v>9.4483855348717913</v>
      </c>
      <c r="X76" s="145">
        <f t="shared" si="191"/>
        <v>10.676675654405122</v>
      </c>
      <c r="Y76" s="145">
        <f t="shared" si="191"/>
        <v>12.064643489477787</v>
      </c>
      <c r="Z76" s="145">
        <f t="shared" si="191"/>
        <v>13.633047143109897</v>
      </c>
      <c r="AA76" s="145">
        <f t="shared" si="191"/>
        <v>15.405343271714182</v>
      </c>
      <c r="AB76" s="145">
        <f t="shared" si="191"/>
        <v>17.408037897037026</v>
      </c>
      <c r="AC76" s="137">
        <f t="shared" ref="AC76" si="192">((AB76/G76)^(1/($AB$3-$H$1) ))-1</f>
        <v>2.7853629101788568E-2</v>
      </c>
      <c r="AD76" s="31">
        <f t="shared" si="17"/>
        <v>0.05</v>
      </c>
      <c r="AE76" s="145">
        <f t="shared" si="148"/>
        <v>182.7843979188888</v>
      </c>
    </row>
    <row r="77" spans="2:31" x14ac:dyDescent="0.2">
      <c r="B77" s="20"/>
      <c r="C77" s="127"/>
      <c r="D77" s="127"/>
      <c r="E77" s="127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8"/>
      <c r="AD77" s="136"/>
      <c r="AE77" s="153"/>
    </row>
    <row r="78" spans="2:31" x14ac:dyDescent="0.2">
      <c r="B78" s="20" t="s">
        <v>311</v>
      </c>
      <c r="C78" s="143">
        <f t="shared" ref="C78:P78" si="193">C36/C42</f>
        <v>0</v>
      </c>
      <c r="D78" s="143">
        <f t="shared" si="193"/>
        <v>0</v>
      </c>
      <c r="E78" s="143">
        <f t="shared" si="193"/>
        <v>0</v>
      </c>
      <c r="F78" s="143">
        <f t="shared" si="193"/>
        <v>0</v>
      </c>
      <c r="G78" s="143">
        <f t="shared" si="193"/>
        <v>49.467662482122996</v>
      </c>
      <c r="H78" s="143">
        <f t="shared" si="193"/>
        <v>60.069117185045549</v>
      </c>
      <c r="I78" s="143">
        <f t="shared" si="193"/>
        <v>116.35825314581791</v>
      </c>
      <c r="J78" s="143">
        <f t="shared" si="193"/>
        <v>165.40317022742934</v>
      </c>
      <c r="K78" s="143">
        <f t="shared" si="193"/>
        <v>249.82698961937714</v>
      </c>
      <c r="L78" s="143">
        <f t="shared" si="193"/>
        <v>271.28027681660899</v>
      </c>
      <c r="M78" s="143">
        <f t="shared" si="193"/>
        <v>297.30872199520923</v>
      </c>
      <c r="N78" s="143">
        <f t="shared" si="193"/>
        <v>35.401974612129763</v>
      </c>
      <c r="O78" s="143">
        <f t="shared" si="193"/>
        <v>46.652421652421658</v>
      </c>
      <c r="P78" s="143">
        <f t="shared" si="193"/>
        <v>46.652421652421658</v>
      </c>
      <c r="Q78" s="118">
        <f>((P78/G78)^(1/($H$2-$H$1) ))-1</f>
        <v>-6.4893344942624775E-3</v>
      </c>
      <c r="R78" s="128"/>
      <c r="S78" s="143">
        <f t="shared" ref="S78:AB78" si="194">S36/S42</f>
        <v>52.717236467236468</v>
      </c>
      <c r="T78" s="143">
        <f t="shared" si="194"/>
        <v>59.570477207977206</v>
      </c>
      <c r="U78" s="143">
        <f t="shared" si="194"/>
        <v>67.314639245014234</v>
      </c>
      <c r="V78" s="143">
        <f t="shared" si="194"/>
        <v>76.065542346866067</v>
      </c>
      <c r="W78" s="143">
        <f t="shared" si="194"/>
        <v>85.954062851958653</v>
      </c>
      <c r="X78" s="143">
        <f t="shared" si="194"/>
        <v>97.128091022713278</v>
      </c>
      <c r="Y78" s="143">
        <f t="shared" si="194"/>
        <v>109.75474285566598</v>
      </c>
      <c r="Z78" s="143">
        <f t="shared" si="194"/>
        <v>124.02285942690254</v>
      </c>
      <c r="AA78" s="143">
        <f t="shared" si="194"/>
        <v>140.14583115239986</v>
      </c>
      <c r="AB78" s="143">
        <f t="shared" si="194"/>
        <v>158.36478920221182</v>
      </c>
      <c r="AC78" s="137">
        <f t="shared" ref="AC78:AC80" si="195">((AB78/G78)^(1/($AB$3-$H$1) ))-1</f>
        <v>6.3155271079231579E-2</v>
      </c>
      <c r="AD78" s="31">
        <f t="shared" si="17"/>
        <v>0.05</v>
      </c>
      <c r="AE78" s="145">
        <f t="shared" si="148"/>
        <v>1662.8302866232243</v>
      </c>
    </row>
    <row r="79" spans="2:31" x14ac:dyDescent="0.2">
      <c r="B79" s="20" t="s">
        <v>312</v>
      </c>
      <c r="C79" s="143">
        <f t="shared" ref="C79:P79" si="196">C40/C42</f>
        <v>0</v>
      </c>
      <c r="D79" s="143">
        <f t="shared" si="196"/>
        <v>0</v>
      </c>
      <c r="E79" s="143">
        <f t="shared" si="196"/>
        <v>0</v>
      </c>
      <c r="F79" s="143">
        <f t="shared" si="196"/>
        <v>0</v>
      </c>
      <c r="G79" s="143">
        <f t="shared" si="196"/>
        <v>28.507865882726843</v>
      </c>
      <c r="H79" s="143">
        <f t="shared" si="196"/>
        <v>34.558592522777253</v>
      </c>
      <c r="I79" s="143">
        <f t="shared" si="196"/>
        <v>90.89563286454478</v>
      </c>
      <c r="J79" s="143">
        <f t="shared" si="196"/>
        <v>115.78221915920055</v>
      </c>
      <c r="K79" s="143">
        <f t="shared" si="196"/>
        <v>194.46366782006919</v>
      </c>
      <c r="L79" s="143">
        <f t="shared" si="196"/>
        <v>222.83737024221452</v>
      </c>
      <c r="M79" s="143">
        <f t="shared" si="196"/>
        <v>288.85444554036917</v>
      </c>
      <c r="N79" s="143">
        <f t="shared" si="196"/>
        <v>29.055007052186177</v>
      </c>
      <c r="O79" s="143">
        <f t="shared" si="196"/>
        <v>31.33903133903134</v>
      </c>
      <c r="P79" s="143">
        <f t="shared" si="196"/>
        <v>31.33903133903134</v>
      </c>
      <c r="Q79" s="118">
        <f>((P79/G79)^(1/($H$2-$H$1) ))-1</f>
        <v>1.0576010701646377E-2</v>
      </c>
      <c r="R79" s="128"/>
      <c r="S79" s="143">
        <f t="shared" ref="S79:AB79" si="197">S40/S42</f>
        <v>35.413105413105413</v>
      </c>
      <c r="T79" s="143">
        <f t="shared" si="197"/>
        <v>40.016809116809114</v>
      </c>
      <c r="U79" s="143">
        <f t="shared" si="197"/>
        <v>45.218994301994286</v>
      </c>
      <c r="V79" s="143">
        <f t="shared" si="197"/>
        <v>51.097463561253541</v>
      </c>
      <c r="W79" s="143">
        <f t="shared" si="197"/>
        <v>57.740133824216493</v>
      </c>
      <c r="X79" s="143">
        <f t="shared" si="197"/>
        <v>65.246351221364634</v>
      </c>
      <c r="Y79" s="143">
        <f t="shared" si="197"/>
        <v>73.728376880142022</v>
      </c>
      <c r="Z79" s="143">
        <f t="shared" si="197"/>
        <v>83.313065874560493</v>
      </c>
      <c r="AA79" s="143">
        <f t="shared" si="197"/>
        <v>94.143764438253342</v>
      </c>
      <c r="AB79" s="143">
        <f t="shared" si="197"/>
        <v>106.38245381522626</v>
      </c>
      <c r="AC79" s="137">
        <f t="shared" si="195"/>
        <v>7.176674803271732E-2</v>
      </c>
      <c r="AD79" s="31">
        <f t="shared" si="17"/>
        <v>0.05</v>
      </c>
      <c r="AE79" s="145">
        <f t="shared" si="148"/>
        <v>1117.0157650598758</v>
      </c>
    </row>
    <row r="80" spans="2:31" x14ac:dyDescent="0.2">
      <c r="B80" s="20" t="s">
        <v>313</v>
      </c>
      <c r="C80" s="143">
        <f t="shared" ref="C80:P80" si="198">C6/C42</f>
        <v>0</v>
      </c>
      <c r="D80" s="143">
        <f t="shared" si="198"/>
        <v>0</v>
      </c>
      <c r="E80" s="143">
        <f t="shared" si="198"/>
        <v>0</v>
      </c>
      <c r="F80" s="143">
        <f t="shared" si="198"/>
        <v>0</v>
      </c>
      <c r="G80" s="143">
        <f t="shared" si="198"/>
        <v>141.42698236135388</v>
      </c>
      <c r="H80" s="143">
        <f t="shared" si="198"/>
        <v>163.3678919258561</v>
      </c>
      <c r="I80" s="143">
        <f t="shared" si="198"/>
        <v>269.43005181347149</v>
      </c>
      <c r="J80" s="143">
        <f t="shared" si="198"/>
        <v>372.15713301171604</v>
      </c>
      <c r="K80" s="143">
        <f t="shared" si="198"/>
        <v>484.42906574394459</v>
      </c>
      <c r="L80" s="143">
        <f t="shared" si="198"/>
        <v>589.61937716262969</v>
      </c>
      <c r="M80" s="143">
        <f t="shared" si="198"/>
        <v>545.30083133718472</v>
      </c>
      <c r="N80" s="143">
        <f t="shared" si="198"/>
        <v>57.263751763046542</v>
      </c>
      <c r="O80" s="143">
        <f t="shared" si="198"/>
        <v>74.358974358974365</v>
      </c>
      <c r="P80" s="143">
        <f t="shared" si="198"/>
        <v>74.358974358974365</v>
      </c>
      <c r="Q80" s="118">
        <f>((P80/G80)^(1/($H$2-$H$1) ))-1</f>
        <v>-6.8939500929324216E-2</v>
      </c>
      <c r="R80" s="128"/>
      <c r="S80" s="143">
        <f t="shared" ref="S80:AB80" si="199">S6/S42</f>
        <v>84.025641025641022</v>
      </c>
      <c r="T80" s="143">
        <f t="shared" si="199"/>
        <v>94.94897435897434</v>
      </c>
      <c r="U80" s="143">
        <f t="shared" si="199"/>
        <v>107.29234102564099</v>
      </c>
      <c r="V80" s="143">
        <f t="shared" si="199"/>
        <v>121.24034535897431</v>
      </c>
      <c r="W80" s="143">
        <f t="shared" si="199"/>
        <v>137.00159025564096</v>
      </c>
      <c r="X80" s="143">
        <f t="shared" si="199"/>
        <v>154.81179698887425</v>
      </c>
      <c r="Y80" s="143">
        <f t="shared" si="199"/>
        <v>174.93733059742789</v>
      </c>
      <c r="Z80" s="143">
        <f t="shared" si="199"/>
        <v>197.6791835750935</v>
      </c>
      <c r="AA80" s="143">
        <f t="shared" si="199"/>
        <v>223.37747743985565</v>
      </c>
      <c r="AB80" s="143">
        <f t="shared" si="199"/>
        <v>252.41654950703685</v>
      </c>
      <c r="AC80" s="137">
        <f t="shared" si="195"/>
        <v>3.0958882545451649E-2</v>
      </c>
      <c r="AD80" s="31">
        <f t="shared" ref="AD80" si="200">$L$1</f>
        <v>0.05</v>
      </c>
      <c r="AE80" s="145">
        <f t="shared" si="148"/>
        <v>2650.3737698238874</v>
      </c>
    </row>
    <row r="81" spans="2:31" x14ac:dyDescent="0.2">
      <c r="B81" s="20"/>
      <c r="C81" s="127"/>
      <c r="D81" s="127"/>
      <c r="E81" s="127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8"/>
      <c r="AD81" s="20"/>
      <c r="AE81" s="153"/>
    </row>
    <row r="82" spans="2:31" x14ac:dyDescent="0.2">
      <c r="B82" s="20"/>
      <c r="C82" s="127"/>
      <c r="D82" s="127"/>
      <c r="E82" s="127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8"/>
      <c r="AD82" s="20"/>
      <c r="AE82" s="153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1"/>
      <c r="D84" s="151"/>
      <c r="E84" s="151" t="e">
        <f t="shared" ref="E84:P84" si="201">E36/E25</f>
        <v>#DIV/0!</v>
      </c>
      <c r="F84" s="151" t="e">
        <f t="shared" si="201"/>
        <v>#DIV/0!</v>
      </c>
      <c r="G84" s="151">
        <f t="shared" si="201"/>
        <v>0.42643835616438353</v>
      </c>
      <c r="H84" s="151">
        <f t="shared" si="201"/>
        <v>0.41565217391304349</v>
      </c>
      <c r="I84" s="151">
        <f t="shared" si="201"/>
        <v>0.26734693877551019</v>
      </c>
      <c r="J84" s="151">
        <f t="shared" si="201"/>
        <v>0.29484029484029484</v>
      </c>
      <c r="K84" s="151">
        <f t="shared" si="201"/>
        <v>0.34185606060606061</v>
      </c>
      <c r="L84" s="151">
        <f t="shared" si="201"/>
        <v>0.35188509874326751</v>
      </c>
      <c r="M84" s="151">
        <f t="shared" si="201"/>
        <v>0.30229226361031519</v>
      </c>
      <c r="N84" s="151">
        <f t="shared" si="201"/>
        <v>0.29529411764705882</v>
      </c>
      <c r="O84" s="151">
        <f t="shared" si="201"/>
        <v>0.32815631262525052</v>
      </c>
      <c r="P84" s="151">
        <f t="shared" si="201"/>
        <v>0.32815631262525052</v>
      </c>
      <c r="Q84" s="118">
        <f t="shared" ref="Q84:Q134" si="202">((P84/G84)^(1/($H$2-$H$1) ))-1</f>
        <v>-2.8689064975769174E-2</v>
      </c>
      <c r="R84" s="151"/>
      <c r="S84" s="151">
        <f t="shared" ref="S84:AB84" si="203">S36/S25</f>
        <v>0.32815631262525058</v>
      </c>
      <c r="T84" s="151">
        <f t="shared" si="203"/>
        <v>0.32815631262525052</v>
      </c>
      <c r="U84" s="151">
        <f t="shared" si="203"/>
        <v>0.32815631262525052</v>
      </c>
      <c r="V84" s="151">
        <f t="shared" si="203"/>
        <v>0.32815631262525052</v>
      </c>
      <c r="W84" s="151">
        <f t="shared" si="203"/>
        <v>0.32815631262525058</v>
      </c>
      <c r="X84" s="151">
        <f t="shared" si="203"/>
        <v>0.32815631262525058</v>
      </c>
      <c r="Y84" s="151">
        <f t="shared" si="203"/>
        <v>0.32815631262525058</v>
      </c>
      <c r="Z84" s="151">
        <f t="shared" si="203"/>
        <v>0.32815631262525058</v>
      </c>
      <c r="AA84" s="151">
        <f t="shared" si="203"/>
        <v>0.32815631262525058</v>
      </c>
      <c r="AB84" s="151">
        <f t="shared" si="203"/>
        <v>0.32815631262525058</v>
      </c>
      <c r="AC84" s="137">
        <f t="shared" ref="AC84:AC121" si="204">((AB84/G84)^(1/($AB$3-$H$1) ))-1</f>
        <v>-1.3693680138939124E-2</v>
      </c>
      <c r="AD84" s="145"/>
      <c r="AE84" s="145"/>
    </row>
    <row r="85" spans="2:31" x14ac:dyDescent="0.2">
      <c r="B85" s="20" t="s">
        <v>266</v>
      </c>
      <c r="C85" s="151"/>
      <c r="D85" s="151"/>
      <c r="E85" s="151" t="e">
        <f t="shared" ref="E85:P85" si="205">E40/E25</f>
        <v>#DIV/0!</v>
      </c>
      <c r="F85" s="151" t="e">
        <f t="shared" si="205"/>
        <v>#DIV/0!</v>
      </c>
      <c r="G85" s="151">
        <f t="shared" si="205"/>
        <v>0.24575342465753428</v>
      </c>
      <c r="H85" s="151">
        <f t="shared" si="205"/>
        <v>0.2391304347826087</v>
      </c>
      <c r="I85" s="151">
        <f t="shared" si="205"/>
        <v>0.20884353741496597</v>
      </c>
      <c r="J85" s="151">
        <f t="shared" si="205"/>
        <v>0.20638820638820637</v>
      </c>
      <c r="K85" s="151">
        <f t="shared" si="205"/>
        <v>0.26609848484848486</v>
      </c>
      <c r="L85" s="151">
        <f t="shared" si="205"/>
        <v>0.28904847396768402</v>
      </c>
      <c r="M85" s="151">
        <f t="shared" si="205"/>
        <v>0.29369627507163326</v>
      </c>
      <c r="N85" s="151">
        <f t="shared" si="205"/>
        <v>0.24235294117647058</v>
      </c>
      <c r="O85" s="151">
        <f t="shared" si="205"/>
        <v>0.22044088176352705</v>
      </c>
      <c r="P85" s="151">
        <f t="shared" si="205"/>
        <v>0.22044088176352705</v>
      </c>
      <c r="Q85" s="118">
        <f t="shared" si="202"/>
        <v>-1.2005040360581143E-2</v>
      </c>
      <c r="R85" s="151"/>
      <c r="S85" s="151">
        <f t="shared" ref="S85:AB85" si="206">S40/S25</f>
        <v>0.22044088176352708</v>
      </c>
      <c r="T85" s="151">
        <f t="shared" si="206"/>
        <v>0.22044088176352705</v>
      </c>
      <c r="U85" s="151">
        <f t="shared" si="206"/>
        <v>0.22044088176352705</v>
      </c>
      <c r="V85" s="151">
        <f t="shared" si="206"/>
        <v>0.22044088176352708</v>
      </c>
      <c r="W85" s="151">
        <f t="shared" si="206"/>
        <v>0.22044088176352708</v>
      </c>
      <c r="X85" s="151">
        <f t="shared" si="206"/>
        <v>0.22044088176352708</v>
      </c>
      <c r="Y85" s="151">
        <f t="shared" si="206"/>
        <v>0.22044088176352708</v>
      </c>
      <c r="Z85" s="151">
        <f t="shared" si="206"/>
        <v>0.22044088176352708</v>
      </c>
      <c r="AA85" s="151">
        <f t="shared" si="206"/>
        <v>0.22044088176352708</v>
      </c>
      <c r="AB85" s="151">
        <f t="shared" si="206"/>
        <v>0.22044088176352708</v>
      </c>
      <c r="AC85" s="137">
        <f t="shared" si="204"/>
        <v>-5.7046738539596742E-3</v>
      </c>
      <c r="AD85" s="145"/>
      <c r="AE85" s="145"/>
    </row>
    <row r="86" spans="2:31" x14ac:dyDescent="0.2">
      <c r="B86" s="20" t="s">
        <v>359</v>
      </c>
      <c r="C86" s="151"/>
      <c r="D86" s="151"/>
      <c r="E86" s="151" t="e">
        <f t="shared" ref="E86:O86" si="207">E40/E7</f>
        <v>#DIV/0!</v>
      </c>
      <c r="F86" s="151" t="e">
        <f t="shared" si="207"/>
        <v>#DIV/0!</v>
      </c>
      <c r="G86" s="151">
        <f>G40/G7</f>
        <v>0.18884210526315789</v>
      </c>
      <c r="H86" s="151">
        <f t="shared" si="207"/>
        <v>0.2</v>
      </c>
      <c r="I86" s="151">
        <f t="shared" si="207"/>
        <v>0.32486772486772486</v>
      </c>
      <c r="J86" s="151">
        <f t="shared" si="207"/>
        <v>0.30434782608695654</v>
      </c>
      <c r="K86" s="151">
        <f t="shared" si="207"/>
        <v>0.39355742296918766</v>
      </c>
      <c r="L86" s="151">
        <f t="shared" si="207"/>
        <v>0.37182448036951499</v>
      </c>
      <c r="M86" s="151">
        <f t="shared" si="207"/>
        <v>0.51898734177215189</v>
      </c>
      <c r="N86" s="151">
        <f t="shared" si="207"/>
        <v>0.49878934624697335</v>
      </c>
      <c r="O86" s="151">
        <f t="shared" si="207"/>
        <v>0.41587901701323249</v>
      </c>
      <c r="P86" s="151">
        <f t="shared" ref="P86" si="208">P40/P7</f>
        <v>0.41587901701323249</v>
      </c>
      <c r="Q86" s="118">
        <f t="shared" si="202"/>
        <v>9.1682790179857143E-2</v>
      </c>
      <c r="R86" s="20"/>
      <c r="S86" s="151">
        <f t="shared" ref="S86" si="209">S40/S7</f>
        <v>0.41587901701323249</v>
      </c>
      <c r="T86" s="151">
        <f t="shared" ref="T86:AB86" si="210">T40/T7</f>
        <v>0.41587901701323249</v>
      </c>
      <c r="U86" s="151">
        <f t="shared" si="210"/>
        <v>0.41587901701323249</v>
      </c>
      <c r="V86" s="151">
        <f t="shared" si="210"/>
        <v>0.41587901701323254</v>
      </c>
      <c r="W86" s="151">
        <f t="shared" si="210"/>
        <v>0.41587901701323249</v>
      </c>
      <c r="X86" s="151">
        <f t="shared" si="210"/>
        <v>0.41587901701323254</v>
      </c>
      <c r="Y86" s="151">
        <f t="shared" si="210"/>
        <v>0.41587901701323254</v>
      </c>
      <c r="Z86" s="151">
        <f t="shared" si="210"/>
        <v>0.41587901701323254</v>
      </c>
      <c r="AA86" s="151">
        <f t="shared" si="210"/>
        <v>0.41587901701323249</v>
      </c>
      <c r="AB86" s="151">
        <f t="shared" si="210"/>
        <v>0.41587901701323249</v>
      </c>
      <c r="AC86" s="137">
        <f t="shared" si="204"/>
        <v>4.2427100542525187E-2</v>
      </c>
      <c r="AD86" s="145"/>
      <c r="AE86" s="145"/>
    </row>
    <row r="87" spans="2:31" x14ac:dyDescent="0.2">
      <c r="B87" s="20" t="s">
        <v>360</v>
      </c>
      <c r="C87" s="151"/>
      <c r="D87" s="151"/>
      <c r="E87" s="151" t="e">
        <f t="shared" ref="E87:F87" si="211">(E40)/(E7+E10)</f>
        <v>#DIV/0!</v>
      </c>
      <c r="F87" s="151" t="e">
        <f t="shared" si="211"/>
        <v>#DIV/0!</v>
      </c>
      <c r="G87" s="151">
        <f>(G40)/(G7+G10)</f>
        <v>0.18884210526315789</v>
      </c>
      <c r="H87" s="151">
        <f t="shared" ref="H87:O87" si="212">(H40)/(H7+H10)</f>
        <v>0.2</v>
      </c>
      <c r="I87" s="151">
        <f t="shared" si="212"/>
        <v>0.32486772486772486</v>
      </c>
      <c r="J87" s="151">
        <f t="shared" si="212"/>
        <v>0.30434782608695654</v>
      </c>
      <c r="K87" s="151">
        <f t="shared" si="212"/>
        <v>0.39355742296918766</v>
      </c>
      <c r="L87" s="151">
        <f t="shared" si="212"/>
        <v>0.37182448036951499</v>
      </c>
      <c r="M87" s="151">
        <f t="shared" si="212"/>
        <v>0.51898734177215189</v>
      </c>
      <c r="N87" s="151">
        <f t="shared" si="212"/>
        <v>0.49878934624697335</v>
      </c>
      <c r="O87" s="151">
        <f t="shared" si="212"/>
        <v>0.41587901701323249</v>
      </c>
      <c r="P87" s="151">
        <f t="shared" ref="P87" si="213">(P40)/(P7+P10)</f>
        <v>0.41587901701323249</v>
      </c>
      <c r="Q87" s="118">
        <f t="shared" si="202"/>
        <v>9.1682790179857143E-2</v>
      </c>
      <c r="R87" s="20"/>
      <c r="S87" s="151">
        <f t="shared" ref="S87:AB87" si="214">(S40)/(S7+S10)</f>
        <v>0.41587901701323249</v>
      </c>
      <c r="T87" s="151">
        <f t="shared" si="214"/>
        <v>0.41587901701323249</v>
      </c>
      <c r="U87" s="151">
        <f t="shared" si="214"/>
        <v>0.41587901701323249</v>
      </c>
      <c r="V87" s="151">
        <f t="shared" si="214"/>
        <v>0.41587901701323254</v>
      </c>
      <c r="W87" s="151">
        <f t="shared" si="214"/>
        <v>0.41587901701323249</v>
      </c>
      <c r="X87" s="151">
        <f t="shared" si="214"/>
        <v>0.41587901701323254</v>
      </c>
      <c r="Y87" s="151">
        <f t="shared" si="214"/>
        <v>0.41587901701323254</v>
      </c>
      <c r="Z87" s="151">
        <f t="shared" si="214"/>
        <v>0.41587901701323254</v>
      </c>
      <c r="AA87" s="151">
        <f t="shared" si="214"/>
        <v>0.41587901701323249</v>
      </c>
      <c r="AB87" s="151">
        <f t="shared" si="214"/>
        <v>0.41587901701323249</v>
      </c>
      <c r="AC87" s="137">
        <f t="shared" si="204"/>
        <v>4.2427100542525187E-2</v>
      </c>
      <c r="AD87" s="145"/>
      <c r="AE87" s="145"/>
    </row>
    <row r="88" spans="2:31" x14ac:dyDescent="0.2">
      <c r="B88" s="20" t="s">
        <v>376</v>
      </c>
      <c r="C88" s="151"/>
      <c r="D88" s="151"/>
      <c r="E88" s="151"/>
      <c r="F88" s="151"/>
      <c r="G88" s="151">
        <f>G20/G25</f>
        <v>0.32054794520547941</v>
      </c>
      <c r="H88" s="151">
        <f t="shared" ref="H88:P88" si="215">H20/H25</f>
        <v>0.22826086956521738</v>
      </c>
      <c r="I88" s="151">
        <f t="shared" si="215"/>
        <v>8.5034013605442174E-2</v>
      </c>
      <c r="J88" s="151">
        <f t="shared" si="215"/>
        <v>0.13022113022113022</v>
      </c>
      <c r="K88" s="151">
        <f t="shared" si="215"/>
        <v>0.25946969696969696</v>
      </c>
      <c r="L88" s="151">
        <f t="shared" si="215"/>
        <v>0.31597845601436264</v>
      </c>
      <c r="M88" s="151">
        <f t="shared" si="215"/>
        <v>0.19340974212034384</v>
      </c>
      <c r="N88" s="151">
        <f t="shared" si="215"/>
        <v>0.28000000000000003</v>
      </c>
      <c r="O88" s="151">
        <f t="shared" si="215"/>
        <v>0.14929859719438879</v>
      </c>
      <c r="P88" s="151">
        <f t="shared" si="215"/>
        <v>0.14929859719438879</v>
      </c>
      <c r="Q88" s="118">
        <f t="shared" si="202"/>
        <v>-8.1394180933015425E-2</v>
      </c>
      <c r="R88" s="20"/>
      <c r="S88" s="151">
        <f t="shared" ref="S88:AB88" si="216">S20/S25</f>
        <v>0.14929859719438879</v>
      </c>
      <c r="T88" s="151">
        <f t="shared" si="216"/>
        <v>0.14929859719438879</v>
      </c>
      <c r="U88" s="151">
        <f t="shared" si="216"/>
        <v>0.14929859719438879</v>
      </c>
      <c r="V88" s="151">
        <f t="shared" si="216"/>
        <v>0.14929859719438879</v>
      </c>
      <c r="W88" s="151">
        <f t="shared" si="216"/>
        <v>0.14929859719438882</v>
      </c>
      <c r="X88" s="151">
        <f t="shared" si="216"/>
        <v>0.14929859719438882</v>
      </c>
      <c r="Y88" s="151">
        <f t="shared" si="216"/>
        <v>0.14929859719438884</v>
      </c>
      <c r="Z88" s="151">
        <f t="shared" si="216"/>
        <v>0.14929859719438882</v>
      </c>
      <c r="AA88" s="151">
        <f t="shared" si="216"/>
        <v>0.14929859719438884</v>
      </c>
      <c r="AB88" s="151">
        <f t="shared" si="216"/>
        <v>0.14929859719438882</v>
      </c>
      <c r="AC88" s="137">
        <f t="shared" si="204"/>
        <v>-3.9417035144739709E-2</v>
      </c>
      <c r="AD88" s="145"/>
      <c r="AE88" s="145"/>
    </row>
    <row r="89" spans="2:31" x14ac:dyDescent="0.2">
      <c r="B89" s="20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20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3"/>
      <c r="AD89" s="145"/>
      <c r="AE89" s="145"/>
    </row>
    <row r="90" spans="2:31" x14ac:dyDescent="0.2">
      <c r="B90" s="20" t="s">
        <v>323</v>
      </c>
      <c r="C90" s="151"/>
      <c r="D90" s="151"/>
      <c r="E90" s="151"/>
      <c r="F90" s="151"/>
      <c r="G90" s="151">
        <f>G29/G25</f>
        <v>0</v>
      </c>
      <c r="H90" s="151">
        <f t="shared" ref="H90:P90" si="217">H29/H25</f>
        <v>0</v>
      </c>
      <c r="I90" s="151">
        <f t="shared" si="217"/>
        <v>0</v>
      </c>
      <c r="J90" s="151">
        <f t="shared" si="217"/>
        <v>0</v>
      </c>
      <c r="K90" s="151">
        <f t="shared" si="217"/>
        <v>0</v>
      </c>
      <c r="L90" s="151">
        <f t="shared" si="217"/>
        <v>0</v>
      </c>
      <c r="M90" s="151">
        <f t="shared" si="217"/>
        <v>0</v>
      </c>
      <c r="N90" s="151">
        <f t="shared" si="217"/>
        <v>0</v>
      </c>
      <c r="O90" s="151">
        <f t="shared" si="217"/>
        <v>0</v>
      </c>
      <c r="P90" s="151">
        <f t="shared" si="217"/>
        <v>0</v>
      </c>
      <c r="Q90" s="118" t="e">
        <f t="shared" si="202"/>
        <v>#DIV/0!</v>
      </c>
      <c r="R90" s="20"/>
      <c r="S90" s="151">
        <f t="shared" ref="S90:AB90" si="218">S29/S25</f>
        <v>0</v>
      </c>
      <c r="T90" s="151">
        <f t="shared" si="218"/>
        <v>0</v>
      </c>
      <c r="U90" s="151">
        <f t="shared" si="218"/>
        <v>0</v>
      </c>
      <c r="V90" s="151">
        <f t="shared" si="218"/>
        <v>0</v>
      </c>
      <c r="W90" s="151">
        <f t="shared" si="218"/>
        <v>0</v>
      </c>
      <c r="X90" s="151">
        <f t="shared" si="218"/>
        <v>0</v>
      </c>
      <c r="Y90" s="151">
        <f t="shared" si="218"/>
        <v>0</v>
      </c>
      <c r="Z90" s="151">
        <f t="shared" si="218"/>
        <v>0</v>
      </c>
      <c r="AA90" s="151">
        <f t="shared" si="218"/>
        <v>0</v>
      </c>
      <c r="AB90" s="151">
        <f t="shared" si="218"/>
        <v>0</v>
      </c>
      <c r="AC90" s="137" t="e">
        <f t="shared" si="204"/>
        <v>#DIV/0!</v>
      </c>
      <c r="AD90" s="145"/>
      <c r="AE90" s="145"/>
    </row>
    <row r="91" spans="2:31" x14ac:dyDescent="0.2">
      <c r="B91" s="20" t="s">
        <v>369</v>
      </c>
      <c r="C91" s="151"/>
      <c r="D91" s="151"/>
      <c r="E91" s="151"/>
      <c r="F91" s="151"/>
      <c r="G91" s="151">
        <f>G29/G36</f>
        <v>0</v>
      </c>
      <c r="H91" s="151">
        <f t="shared" ref="H91:P91" si="219">H29/H36</f>
        <v>0</v>
      </c>
      <c r="I91" s="151">
        <f t="shared" si="219"/>
        <v>0</v>
      </c>
      <c r="J91" s="151">
        <f t="shared" si="219"/>
        <v>0</v>
      </c>
      <c r="K91" s="151">
        <f t="shared" si="219"/>
        <v>0</v>
      </c>
      <c r="L91" s="151">
        <f t="shared" si="219"/>
        <v>0</v>
      </c>
      <c r="M91" s="151">
        <f t="shared" si="219"/>
        <v>0</v>
      </c>
      <c r="N91" s="151">
        <f t="shared" si="219"/>
        <v>0</v>
      </c>
      <c r="O91" s="151">
        <f t="shared" si="219"/>
        <v>0</v>
      </c>
      <c r="P91" s="151">
        <f t="shared" si="219"/>
        <v>0</v>
      </c>
      <c r="Q91" s="118" t="e">
        <f t="shared" ref="Q91" si="220">((P91/G91)^(1/($H$2-$H$1) ))-1</f>
        <v>#DIV/0!</v>
      </c>
      <c r="R91" s="20"/>
      <c r="S91" s="151">
        <f t="shared" ref="S91:AB91" si="221">S29/S36</f>
        <v>0</v>
      </c>
      <c r="T91" s="151">
        <f t="shared" si="221"/>
        <v>0</v>
      </c>
      <c r="U91" s="151">
        <f t="shared" si="221"/>
        <v>0</v>
      </c>
      <c r="V91" s="151">
        <f t="shared" si="221"/>
        <v>0</v>
      </c>
      <c r="W91" s="151">
        <f t="shared" si="221"/>
        <v>0</v>
      </c>
      <c r="X91" s="151">
        <f t="shared" si="221"/>
        <v>0</v>
      </c>
      <c r="Y91" s="151">
        <f t="shared" si="221"/>
        <v>0</v>
      </c>
      <c r="Z91" s="151">
        <f t="shared" si="221"/>
        <v>0</v>
      </c>
      <c r="AA91" s="151">
        <f t="shared" si="221"/>
        <v>0</v>
      </c>
      <c r="AB91" s="151">
        <f t="shared" si="221"/>
        <v>0</v>
      </c>
      <c r="AC91" s="137" t="e">
        <f t="shared" ref="AC91" si="222">((AB91/G91)^(1/($AB$3-$H$1) ))-1</f>
        <v>#DIV/0!</v>
      </c>
      <c r="AD91" s="145"/>
      <c r="AE91" s="145"/>
    </row>
    <row r="92" spans="2:31" ht="12" customHeight="1" x14ac:dyDescent="0.2">
      <c r="B92" s="20" t="s">
        <v>368</v>
      </c>
      <c r="C92" s="151"/>
      <c r="D92" s="151"/>
      <c r="E92" s="151"/>
      <c r="F92" s="151"/>
      <c r="G92" s="170">
        <f t="shared" ref="G92:P92" si="223">G29/G40</f>
        <v>0</v>
      </c>
      <c r="H92" s="170">
        <f t="shared" si="223"/>
        <v>0</v>
      </c>
      <c r="I92" s="170">
        <f t="shared" si="223"/>
        <v>0</v>
      </c>
      <c r="J92" s="170">
        <f t="shared" si="223"/>
        <v>0</v>
      </c>
      <c r="K92" s="170">
        <f t="shared" si="223"/>
        <v>0</v>
      </c>
      <c r="L92" s="170">
        <f t="shared" si="223"/>
        <v>0</v>
      </c>
      <c r="M92" s="170">
        <f t="shared" si="223"/>
        <v>0</v>
      </c>
      <c r="N92" s="170">
        <f t="shared" si="223"/>
        <v>0</v>
      </c>
      <c r="O92" s="170">
        <f t="shared" si="223"/>
        <v>0</v>
      </c>
      <c r="P92" s="170">
        <f t="shared" si="223"/>
        <v>0</v>
      </c>
      <c r="Q92" s="118" t="e">
        <f t="shared" ref="Q92" si="224">((P92/G92)^(1/($H$2-$H$1) ))-1</f>
        <v>#DIV/0!</v>
      </c>
      <c r="R92" s="20"/>
      <c r="S92" s="170">
        <f t="shared" ref="S92:AB92" si="225">S29/S40</f>
        <v>0</v>
      </c>
      <c r="T92" s="170">
        <f t="shared" si="225"/>
        <v>0</v>
      </c>
      <c r="U92" s="170">
        <f t="shared" si="225"/>
        <v>0</v>
      </c>
      <c r="V92" s="170">
        <f t="shared" si="225"/>
        <v>0</v>
      </c>
      <c r="W92" s="170">
        <f t="shared" si="225"/>
        <v>0</v>
      </c>
      <c r="X92" s="170">
        <f t="shared" si="225"/>
        <v>0</v>
      </c>
      <c r="Y92" s="170">
        <f t="shared" si="225"/>
        <v>0</v>
      </c>
      <c r="Z92" s="170">
        <f t="shared" si="225"/>
        <v>0</v>
      </c>
      <c r="AA92" s="170">
        <f t="shared" si="225"/>
        <v>0</v>
      </c>
      <c r="AB92" s="170">
        <f t="shared" si="225"/>
        <v>0</v>
      </c>
      <c r="AC92" s="137" t="e">
        <f t="shared" ref="AC92" si="226">((AB92/G92)^(1/($AB$3-$H$1) ))-1</f>
        <v>#DIV/0!</v>
      </c>
      <c r="AD92" s="145"/>
      <c r="AE92" s="145"/>
    </row>
    <row r="93" spans="2:31" ht="12" customHeight="1" x14ac:dyDescent="0.2">
      <c r="B93" s="20" t="s">
        <v>325</v>
      </c>
      <c r="C93" s="151"/>
      <c r="D93" s="151"/>
      <c r="E93" s="151"/>
      <c r="F93" s="151"/>
      <c r="G93" s="170">
        <f t="shared" ref="G93:P93" si="227">G29/G12</f>
        <v>0</v>
      </c>
      <c r="H93" s="170">
        <f t="shared" si="227"/>
        <v>0</v>
      </c>
      <c r="I93" s="170">
        <f t="shared" si="227"/>
        <v>0</v>
      </c>
      <c r="J93" s="170">
        <f t="shared" si="227"/>
        <v>0</v>
      </c>
      <c r="K93" s="170">
        <f t="shared" si="227"/>
        <v>0</v>
      </c>
      <c r="L93" s="170">
        <f t="shared" si="227"/>
        <v>0</v>
      </c>
      <c r="M93" s="170">
        <f t="shared" si="227"/>
        <v>0</v>
      </c>
      <c r="N93" s="170">
        <f t="shared" si="227"/>
        <v>0</v>
      </c>
      <c r="O93" s="170">
        <f t="shared" si="227"/>
        <v>0</v>
      </c>
      <c r="P93" s="170">
        <f t="shared" si="227"/>
        <v>0</v>
      </c>
      <c r="Q93" s="118" t="e">
        <f t="shared" si="202"/>
        <v>#DIV/0!</v>
      </c>
      <c r="R93" s="20"/>
      <c r="S93" s="151">
        <f t="shared" ref="S93:AB93" si="228">S29/S12</f>
        <v>0</v>
      </c>
      <c r="T93" s="151">
        <f t="shared" si="228"/>
        <v>0</v>
      </c>
      <c r="U93" s="151">
        <f t="shared" si="228"/>
        <v>0</v>
      </c>
      <c r="V93" s="151">
        <f t="shared" si="228"/>
        <v>0</v>
      </c>
      <c r="W93" s="151">
        <f t="shared" si="228"/>
        <v>0</v>
      </c>
      <c r="X93" s="151">
        <f t="shared" si="228"/>
        <v>0</v>
      </c>
      <c r="Y93" s="151">
        <f t="shared" si="228"/>
        <v>0</v>
      </c>
      <c r="Z93" s="151">
        <f t="shared" si="228"/>
        <v>0</v>
      </c>
      <c r="AA93" s="151">
        <f t="shared" si="228"/>
        <v>0</v>
      </c>
      <c r="AB93" s="151">
        <f t="shared" si="228"/>
        <v>0</v>
      </c>
      <c r="AC93" s="137" t="e">
        <f t="shared" si="204"/>
        <v>#DIV/0!</v>
      </c>
      <c r="AD93" s="145"/>
      <c r="AE93" s="145"/>
    </row>
    <row r="94" spans="2:31" ht="12" customHeight="1" x14ac:dyDescent="0.2">
      <c r="B94" s="20" t="s">
        <v>370</v>
      </c>
      <c r="C94" s="151"/>
      <c r="D94" s="151"/>
      <c r="E94" s="151"/>
      <c r="F94" s="151"/>
      <c r="G94" s="170">
        <f>G29/G23</f>
        <v>0</v>
      </c>
      <c r="H94" s="170">
        <f t="shared" ref="H94:P94" si="229">H29/H23</f>
        <v>0</v>
      </c>
      <c r="I94" s="170">
        <f t="shared" si="229"/>
        <v>0</v>
      </c>
      <c r="J94" s="170">
        <f t="shared" si="229"/>
        <v>0</v>
      </c>
      <c r="K94" s="170">
        <f t="shared" si="229"/>
        <v>0</v>
      </c>
      <c r="L94" s="170">
        <f t="shared" si="229"/>
        <v>0</v>
      </c>
      <c r="M94" s="170">
        <f t="shared" si="229"/>
        <v>0</v>
      </c>
      <c r="N94" s="170">
        <f t="shared" si="229"/>
        <v>0</v>
      </c>
      <c r="O94" s="170">
        <f t="shared" si="229"/>
        <v>0</v>
      </c>
      <c r="P94" s="170">
        <f t="shared" si="229"/>
        <v>0</v>
      </c>
      <c r="Q94" s="118" t="e">
        <f t="shared" ref="Q94" si="230">((P94/G94)^(1/($H$2-$H$1) ))-1</f>
        <v>#DIV/0!</v>
      </c>
      <c r="R94" s="20"/>
      <c r="S94" s="170">
        <f t="shared" ref="S94:AB94" si="231">S29/S23</f>
        <v>0</v>
      </c>
      <c r="T94" s="170">
        <f t="shared" si="231"/>
        <v>0</v>
      </c>
      <c r="U94" s="170">
        <f t="shared" si="231"/>
        <v>0</v>
      </c>
      <c r="V94" s="170">
        <f t="shared" si="231"/>
        <v>0</v>
      </c>
      <c r="W94" s="170">
        <f t="shared" si="231"/>
        <v>0</v>
      </c>
      <c r="X94" s="170">
        <f t="shared" si="231"/>
        <v>0</v>
      </c>
      <c r="Y94" s="170">
        <f t="shared" si="231"/>
        <v>0</v>
      </c>
      <c r="Z94" s="170">
        <f t="shared" si="231"/>
        <v>0</v>
      </c>
      <c r="AA94" s="170">
        <f t="shared" si="231"/>
        <v>0</v>
      </c>
      <c r="AB94" s="170">
        <f t="shared" si="231"/>
        <v>0</v>
      </c>
      <c r="AC94" s="137" t="e">
        <f t="shared" ref="AC94" si="232">((AB94/G94)^(1/($AB$3-$H$1) ))-1</f>
        <v>#DIV/0!</v>
      </c>
      <c r="AD94" s="145"/>
      <c r="AE94" s="145"/>
    </row>
    <row r="95" spans="2:31" ht="12" customHeight="1" x14ac:dyDescent="0.2">
      <c r="B95" s="20"/>
      <c r="C95" s="151"/>
      <c r="D95" s="151"/>
      <c r="E95" s="151"/>
      <c r="F95" s="151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20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45"/>
      <c r="AE95" s="145"/>
    </row>
    <row r="96" spans="2:31" ht="12" customHeight="1" x14ac:dyDescent="0.2">
      <c r="B96" s="20" t="s">
        <v>402</v>
      </c>
      <c r="C96" s="151"/>
      <c r="D96" s="151"/>
      <c r="E96" s="151"/>
      <c r="F96" s="151"/>
      <c r="G96" s="127" t="e">
        <f>1/G90</f>
        <v>#DIV/0!</v>
      </c>
      <c r="H96" s="127" t="e">
        <f t="shared" ref="H96:P96" si="233">1/H90</f>
        <v>#DIV/0!</v>
      </c>
      <c r="I96" s="127" t="e">
        <f t="shared" si="233"/>
        <v>#DIV/0!</v>
      </c>
      <c r="J96" s="127" t="e">
        <f t="shared" si="233"/>
        <v>#DIV/0!</v>
      </c>
      <c r="K96" s="127" t="e">
        <f t="shared" si="233"/>
        <v>#DIV/0!</v>
      </c>
      <c r="L96" s="127" t="e">
        <f t="shared" si="233"/>
        <v>#DIV/0!</v>
      </c>
      <c r="M96" s="127" t="e">
        <f t="shared" si="233"/>
        <v>#DIV/0!</v>
      </c>
      <c r="N96" s="127" t="e">
        <f t="shared" si="233"/>
        <v>#DIV/0!</v>
      </c>
      <c r="O96" s="127" t="e">
        <f t="shared" si="233"/>
        <v>#DIV/0!</v>
      </c>
      <c r="P96" s="127" t="e">
        <f t="shared" si="233"/>
        <v>#DIV/0!</v>
      </c>
      <c r="Q96" s="118" t="e">
        <f t="shared" si="202"/>
        <v>#DIV/0!</v>
      </c>
      <c r="R96" s="20"/>
      <c r="S96" s="127" t="e">
        <f t="shared" ref="S96:AB96" si="234">1/S90</f>
        <v>#DIV/0!</v>
      </c>
      <c r="T96" s="127" t="e">
        <f t="shared" si="234"/>
        <v>#DIV/0!</v>
      </c>
      <c r="U96" s="127" t="e">
        <f t="shared" si="234"/>
        <v>#DIV/0!</v>
      </c>
      <c r="V96" s="127" t="e">
        <f t="shared" si="234"/>
        <v>#DIV/0!</v>
      </c>
      <c r="W96" s="127" t="e">
        <f t="shared" si="234"/>
        <v>#DIV/0!</v>
      </c>
      <c r="X96" s="127" t="e">
        <f t="shared" si="234"/>
        <v>#DIV/0!</v>
      </c>
      <c r="Y96" s="127" t="e">
        <f t="shared" si="234"/>
        <v>#DIV/0!</v>
      </c>
      <c r="Z96" s="127" t="e">
        <f t="shared" si="234"/>
        <v>#DIV/0!</v>
      </c>
      <c r="AA96" s="127" t="e">
        <f t="shared" si="234"/>
        <v>#DIV/0!</v>
      </c>
      <c r="AB96" s="127" t="e">
        <f t="shared" si="234"/>
        <v>#DIV/0!</v>
      </c>
      <c r="AC96" s="137" t="e">
        <f t="shared" si="204"/>
        <v>#DIV/0!</v>
      </c>
      <c r="AD96" s="145"/>
      <c r="AE96" s="145"/>
    </row>
    <row r="97" spans="2:31" ht="12" customHeight="1" x14ac:dyDescent="0.2">
      <c r="B97" s="20" t="s">
        <v>403</v>
      </c>
      <c r="C97" s="151"/>
      <c r="D97" s="151"/>
      <c r="E97" s="151"/>
      <c r="F97" s="151"/>
      <c r="G97" s="127" t="e">
        <f t="shared" ref="G97:P100" si="235">1/G91</f>
        <v>#DIV/0!</v>
      </c>
      <c r="H97" s="127" t="e">
        <f t="shared" si="235"/>
        <v>#DIV/0!</v>
      </c>
      <c r="I97" s="127" t="e">
        <f t="shared" si="235"/>
        <v>#DIV/0!</v>
      </c>
      <c r="J97" s="127" t="e">
        <f t="shared" si="235"/>
        <v>#DIV/0!</v>
      </c>
      <c r="K97" s="127" t="e">
        <f t="shared" si="235"/>
        <v>#DIV/0!</v>
      </c>
      <c r="L97" s="127" t="e">
        <f t="shared" si="235"/>
        <v>#DIV/0!</v>
      </c>
      <c r="M97" s="127" t="e">
        <f t="shared" si="235"/>
        <v>#DIV/0!</v>
      </c>
      <c r="N97" s="127" t="e">
        <f t="shared" si="235"/>
        <v>#DIV/0!</v>
      </c>
      <c r="O97" s="127" t="e">
        <f t="shared" si="235"/>
        <v>#DIV/0!</v>
      </c>
      <c r="P97" s="127" t="e">
        <f t="shared" si="235"/>
        <v>#DIV/0!</v>
      </c>
      <c r="Q97" s="118" t="e">
        <f t="shared" si="202"/>
        <v>#DIV/0!</v>
      </c>
      <c r="R97" s="20"/>
      <c r="S97" s="127" t="e">
        <f t="shared" ref="S97:AB97" si="236">1/S91</f>
        <v>#DIV/0!</v>
      </c>
      <c r="T97" s="127" t="e">
        <f t="shared" si="236"/>
        <v>#DIV/0!</v>
      </c>
      <c r="U97" s="127" t="e">
        <f t="shared" si="236"/>
        <v>#DIV/0!</v>
      </c>
      <c r="V97" s="127" t="e">
        <f t="shared" si="236"/>
        <v>#DIV/0!</v>
      </c>
      <c r="W97" s="127" t="e">
        <f t="shared" si="236"/>
        <v>#DIV/0!</v>
      </c>
      <c r="X97" s="127" t="e">
        <f t="shared" si="236"/>
        <v>#DIV/0!</v>
      </c>
      <c r="Y97" s="127" t="e">
        <f t="shared" si="236"/>
        <v>#DIV/0!</v>
      </c>
      <c r="Z97" s="127" t="e">
        <f t="shared" si="236"/>
        <v>#DIV/0!</v>
      </c>
      <c r="AA97" s="127" t="e">
        <f t="shared" si="236"/>
        <v>#DIV/0!</v>
      </c>
      <c r="AB97" s="127" t="e">
        <f t="shared" si="236"/>
        <v>#DIV/0!</v>
      </c>
      <c r="AC97" s="137" t="e">
        <f t="shared" si="204"/>
        <v>#DIV/0!</v>
      </c>
      <c r="AD97" s="145"/>
      <c r="AE97" s="145"/>
    </row>
    <row r="98" spans="2:31" ht="12" customHeight="1" x14ac:dyDescent="0.2">
      <c r="B98" s="20" t="s">
        <v>404</v>
      </c>
      <c r="C98" s="151"/>
      <c r="D98" s="151"/>
      <c r="E98" s="151"/>
      <c r="F98" s="151"/>
      <c r="G98" s="127" t="e">
        <f t="shared" si="235"/>
        <v>#DIV/0!</v>
      </c>
      <c r="H98" s="127" t="e">
        <f t="shared" si="235"/>
        <v>#DIV/0!</v>
      </c>
      <c r="I98" s="127" t="e">
        <f t="shared" si="235"/>
        <v>#DIV/0!</v>
      </c>
      <c r="J98" s="127" t="e">
        <f t="shared" si="235"/>
        <v>#DIV/0!</v>
      </c>
      <c r="K98" s="127" t="e">
        <f t="shared" si="235"/>
        <v>#DIV/0!</v>
      </c>
      <c r="L98" s="127" t="e">
        <f t="shared" si="235"/>
        <v>#DIV/0!</v>
      </c>
      <c r="M98" s="127" t="e">
        <f t="shared" si="235"/>
        <v>#DIV/0!</v>
      </c>
      <c r="N98" s="127" t="e">
        <f t="shared" si="235"/>
        <v>#DIV/0!</v>
      </c>
      <c r="O98" s="127" t="e">
        <f t="shared" si="235"/>
        <v>#DIV/0!</v>
      </c>
      <c r="P98" s="127" t="e">
        <f t="shared" si="235"/>
        <v>#DIV/0!</v>
      </c>
      <c r="Q98" s="118" t="e">
        <f t="shared" si="202"/>
        <v>#DIV/0!</v>
      </c>
      <c r="R98" s="20"/>
      <c r="S98" s="127" t="e">
        <f t="shared" ref="S98:AB98" si="237">1/S92</f>
        <v>#DIV/0!</v>
      </c>
      <c r="T98" s="127" t="e">
        <f t="shared" si="237"/>
        <v>#DIV/0!</v>
      </c>
      <c r="U98" s="127" t="e">
        <f t="shared" si="237"/>
        <v>#DIV/0!</v>
      </c>
      <c r="V98" s="127" t="e">
        <f t="shared" si="237"/>
        <v>#DIV/0!</v>
      </c>
      <c r="W98" s="127" t="e">
        <f t="shared" si="237"/>
        <v>#DIV/0!</v>
      </c>
      <c r="X98" s="127" t="e">
        <f t="shared" si="237"/>
        <v>#DIV/0!</v>
      </c>
      <c r="Y98" s="127" t="e">
        <f t="shared" si="237"/>
        <v>#DIV/0!</v>
      </c>
      <c r="Z98" s="127" t="e">
        <f t="shared" si="237"/>
        <v>#DIV/0!</v>
      </c>
      <c r="AA98" s="127" t="e">
        <f t="shared" si="237"/>
        <v>#DIV/0!</v>
      </c>
      <c r="AB98" s="127" t="e">
        <f t="shared" si="237"/>
        <v>#DIV/0!</v>
      </c>
      <c r="AC98" s="137" t="e">
        <f t="shared" si="204"/>
        <v>#DIV/0!</v>
      </c>
      <c r="AD98" s="145"/>
      <c r="AE98" s="145"/>
    </row>
    <row r="99" spans="2:31" ht="12" customHeight="1" x14ac:dyDescent="0.2">
      <c r="B99" s="20" t="s">
        <v>405</v>
      </c>
      <c r="C99" s="151"/>
      <c r="D99" s="151"/>
      <c r="E99" s="151"/>
      <c r="F99" s="151"/>
      <c r="G99" s="127" t="e">
        <f t="shared" si="235"/>
        <v>#DIV/0!</v>
      </c>
      <c r="H99" s="127" t="e">
        <f t="shared" si="235"/>
        <v>#DIV/0!</v>
      </c>
      <c r="I99" s="127" t="e">
        <f t="shared" si="235"/>
        <v>#DIV/0!</v>
      </c>
      <c r="J99" s="127" t="e">
        <f t="shared" si="235"/>
        <v>#DIV/0!</v>
      </c>
      <c r="K99" s="127" t="e">
        <f t="shared" si="235"/>
        <v>#DIV/0!</v>
      </c>
      <c r="L99" s="127" t="e">
        <f t="shared" si="235"/>
        <v>#DIV/0!</v>
      </c>
      <c r="M99" s="127" t="e">
        <f t="shared" si="235"/>
        <v>#DIV/0!</v>
      </c>
      <c r="N99" s="127" t="e">
        <f t="shared" si="235"/>
        <v>#DIV/0!</v>
      </c>
      <c r="O99" s="127" t="e">
        <f t="shared" si="235"/>
        <v>#DIV/0!</v>
      </c>
      <c r="P99" s="127" t="e">
        <f t="shared" si="235"/>
        <v>#DIV/0!</v>
      </c>
      <c r="Q99" s="118" t="e">
        <f t="shared" si="202"/>
        <v>#DIV/0!</v>
      </c>
      <c r="R99" s="20"/>
      <c r="S99" s="127" t="e">
        <f t="shared" ref="S99:AB99" si="238">1/S93</f>
        <v>#DIV/0!</v>
      </c>
      <c r="T99" s="127" t="e">
        <f t="shared" si="238"/>
        <v>#DIV/0!</v>
      </c>
      <c r="U99" s="127" t="e">
        <f t="shared" si="238"/>
        <v>#DIV/0!</v>
      </c>
      <c r="V99" s="127" t="e">
        <f t="shared" si="238"/>
        <v>#DIV/0!</v>
      </c>
      <c r="W99" s="127" t="e">
        <f t="shared" si="238"/>
        <v>#DIV/0!</v>
      </c>
      <c r="X99" s="127" t="e">
        <f t="shared" si="238"/>
        <v>#DIV/0!</v>
      </c>
      <c r="Y99" s="127" t="e">
        <f t="shared" si="238"/>
        <v>#DIV/0!</v>
      </c>
      <c r="Z99" s="127" t="e">
        <f t="shared" si="238"/>
        <v>#DIV/0!</v>
      </c>
      <c r="AA99" s="127" t="e">
        <f t="shared" si="238"/>
        <v>#DIV/0!</v>
      </c>
      <c r="AB99" s="127" t="e">
        <f t="shared" si="238"/>
        <v>#DIV/0!</v>
      </c>
      <c r="AC99" s="137" t="e">
        <f t="shared" si="204"/>
        <v>#DIV/0!</v>
      </c>
      <c r="AD99" s="145"/>
      <c r="AE99" s="145"/>
    </row>
    <row r="100" spans="2:31" ht="12" customHeight="1" x14ac:dyDescent="0.2">
      <c r="B100" s="20" t="s">
        <v>406</v>
      </c>
      <c r="C100" s="151"/>
      <c r="D100" s="151"/>
      <c r="E100" s="151"/>
      <c r="F100" s="151"/>
      <c r="G100" s="127" t="e">
        <f t="shared" si="235"/>
        <v>#DIV/0!</v>
      </c>
      <c r="H100" s="127" t="e">
        <f t="shared" si="235"/>
        <v>#DIV/0!</v>
      </c>
      <c r="I100" s="127" t="e">
        <f t="shared" si="235"/>
        <v>#DIV/0!</v>
      </c>
      <c r="J100" s="127" t="e">
        <f t="shared" si="235"/>
        <v>#DIV/0!</v>
      </c>
      <c r="K100" s="127" t="e">
        <f t="shared" si="235"/>
        <v>#DIV/0!</v>
      </c>
      <c r="L100" s="127" t="e">
        <f t="shared" si="235"/>
        <v>#DIV/0!</v>
      </c>
      <c r="M100" s="127" t="e">
        <f t="shared" si="235"/>
        <v>#DIV/0!</v>
      </c>
      <c r="N100" s="127" t="e">
        <f t="shared" si="235"/>
        <v>#DIV/0!</v>
      </c>
      <c r="O100" s="127" t="e">
        <f t="shared" si="235"/>
        <v>#DIV/0!</v>
      </c>
      <c r="P100" s="127" t="e">
        <f t="shared" si="235"/>
        <v>#DIV/0!</v>
      </c>
      <c r="Q100" s="118" t="e">
        <f t="shared" si="202"/>
        <v>#DIV/0!</v>
      </c>
      <c r="R100" s="20"/>
      <c r="S100" s="127" t="e">
        <f t="shared" ref="S100:AB100" si="239">1/S94</f>
        <v>#DIV/0!</v>
      </c>
      <c r="T100" s="127" t="e">
        <f t="shared" si="239"/>
        <v>#DIV/0!</v>
      </c>
      <c r="U100" s="127" t="e">
        <f t="shared" si="239"/>
        <v>#DIV/0!</v>
      </c>
      <c r="V100" s="127" t="e">
        <f t="shared" si="239"/>
        <v>#DIV/0!</v>
      </c>
      <c r="W100" s="127" t="e">
        <f t="shared" si="239"/>
        <v>#DIV/0!</v>
      </c>
      <c r="X100" s="127" t="e">
        <f t="shared" si="239"/>
        <v>#DIV/0!</v>
      </c>
      <c r="Y100" s="127" t="e">
        <f t="shared" si="239"/>
        <v>#DIV/0!</v>
      </c>
      <c r="Z100" s="127" t="e">
        <f t="shared" si="239"/>
        <v>#DIV/0!</v>
      </c>
      <c r="AA100" s="127" t="e">
        <f t="shared" si="239"/>
        <v>#DIV/0!</v>
      </c>
      <c r="AB100" s="127" t="e">
        <f t="shared" si="239"/>
        <v>#DIV/0!</v>
      </c>
      <c r="AC100" s="137" t="e">
        <f t="shared" si="204"/>
        <v>#DIV/0!</v>
      </c>
      <c r="AD100" s="145"/>
      <c r="AE100" s="145"/>
    </row>
    <row r="101" spans="2:31" ht="12" customHeight="1" x14ac:dyDescent="0.2">
      <c r="B101" s="20"/>
      <c r="C101" s="151"/>
      <c r="D101" s="151"/>
      <c r="E101" s="151"/>
      <c r="F101" s="151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20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45"/>
      <c r="AE101" s="145"/>
    </row>
    <row r="102" spans="2:31" ht="12" customHeight="1" x14ac:dyDescent="0.2">
      <c r="B102" s="20"/>
      <c r="C102" s="151"/>
      <c r="D102" s="151"/>
      <c r="E102" s="151"/>
      <c r="F102" s="151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20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45"/>
      <c r="AE102" s="145"/>
    </row>
    <row r="103" spans="2:31" x14ac:dyDescent="0.2">
      <c r="B103" s="20" t="s">
        <v>326</v>
      </c>
      <c r="C103" s="151"/>
      <c r="D103" s="151"/>
      <c r="E103" s="151"/>
      <c r="F103" s="162">
        <f t="shared" ref="F103:O103" si="240">F10-(F12+F13)</f>
        <v>0</v>
      </c>
      <c r="G103" s="162">
        <f t="shared" si="240"/>
        <v>-62.169999999999995</v>
      </c>
      <c r="H103" s="162">
        <f t="shared" si="240"/>
        <v>-77.5</v>
      </c>
      <c r="I103" s="162">
        <f t="shared" si="240"/>
        <v>-78</v>
      </c>
      <c r="J103" s="162">
        <f t="shared" si="240"/>
        <v>-139.6</v>
      </c>
      <c r="K103" s="162">
        <f t="shared" si="240"/>
        <v>-240</v>
      </c>
      <c r="L103" s="162">
        <f t="shared" si="240"/>
        <v>-263</v>
      </c>
      <c r="M103" s="162">
        <f t="shared" si="240"/>
        <v>-187.5</v>
      </c>
      <c r="N103" s="162">
        <f t="shared" si="240"/>
        <v>-273.85000000000002</v>
      </c>
      <c r="O103" s="162">
        <f t="shared" si="240"/>
        <v>-268</v>
      </c>
      <c r="P103" s="162">
        <f>P10-(P12+P13)</f>
        <v>-268</v>
      </c>
      <c r="Q103" s="118">
        <f t="shared" si="202"/>
        <v>0.1762672132341645</v>
      </c>
      <c r="R103" s="20"/>
      <c r="S103" s="162">
        <f>S10-(S12+S13)</f>
        <v>-302.83999999999997</v>
      </c>
      <c r="T103" s="162">
        <f t="shared" ref="T103:AB103" si="241">T10-(T12+T13)</f>
        <v>-342.20919999999995</v>
      </c>
      <c r="U103" s="162">
        <f t="shared" si="241"/>
        <v>-386.69639599999994</v>
      </c>
      <c r="V103" s="162">
        <f t="shared" si="241"/>
        <v>-436.96692747999987</v>
      </c>
      <c r="W103" s="162">
        <f t="shared" si="241"/>
        <v>-493.77262805239985</v>
      </c>
      <c r="X103" s="162">
        <f t="shared" si="241"/>
        <v>-557.96306969921181</v>
      </c>
      <c r="Y103" s="162">
        <f t="shared" si="241"/>
        <v>-630.49826876010923</v>
      </c>
      <c r="Z103" s="162">
        <f t="shared" si="241"/>
        <v>-712.46304369892346</v>
      </c>
      <c r="AA103" s="162">
        <f t="shared" si="241"/>
        <v>-805.08323937978344</v>
      </c>
      <c r="AB103" s="162">
        <f t="shared" si="241"/>
        <v>-909.74406049915524</v>
      </c>
      <c r="AC103" s="137">
        <f t="shared" si="204"/>
        <v>0.15168470172562243</v>
      </c>
      <c r="AD103" s="145"/>
      <c r="AE103" s="145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1">
        <f t="shared" ref="G104:P104" si="242">G40/G18</f>
        <v>0.39</v>
      </c>
      <c r="H104" s="151">
        <f t="shared" si="242"/>
        <v>0.52132701421800942</v>
      </c>
      <c r="I104" s="151">
        <f t="shared" si="242"/>
        <v>0.52478632478632481</v>
      </c>
      <c r="J104" s="151">
        <f t="shared" si="242"/>
        <v>0.65116279069767447</v>
      </c>
      <c r="K104" s="151">
        <f t="shared" si="242"/>
        <v>1.1150793650793651</v>
      </c>
      <c r="L104" s="151">
        <f t="shared" si="242"/>
        <v>1.3416666666666666</v>
      </c>
      <c r="M104" s="151">
        <f t="shared" si="242"/>
        <v>0.9151785714285714</v>
      </c>
      <c r="N104" s="151">
        <f t="shared" si="242"/>
        <v>0.91150442477876104</v>
      </c>
      <c r="O104" s="151">
        <f t="shared" si="242"/>
        <v>0.47109207708779444</v>
      </c>
      <c r="P104" s="151">
        <f t="shared" si="242"/>
        <v>0.47109207708779444</v>
      </c>
      <c r="Q104" s="118">
        <f t="shared" si="202"/>
        <v>2.1211479609186457E-2</v>
      </c>
      <c r="R104" s="20"/>
      <c r="S104" s="151">
        <f t="shared" ref="S104:AB104" si="243">S40/S18</f>
        <v>0.47109207708779444</v>
      </c>
      <c r="T104" s="151">
        <f t="shared" si="243"/>
        <v>0.47109207708779449</v>
      </c>
      <c r="U104" s="151">
        <f t="shared" si="243"/>
        <v>0.47109207708779444</v>
      </c>
      <c r="V104" s="151">
        <f t="shared" si="243"/>
        <v>0.47109207708779438</v>
      </c>
      <c r="W104" s="151">
        <f t="shared" si="243"/>
        <v>0.47109207708779438</v>
      </c>
      <c r="X104" s="151">
        <f t="shared" si="243"/>
        <v>0.47109207708779444</v>
      </c>
      <c r="Y104" s="151">
        <f t="shared" si="243"/>
        <v>0.47109207708779444</v>
      </c>
      <c r="Z104" s="151">
        <f t="shared" si="243"/>
        <v>0.47109207708779444</v>
      </c>
      <c r="AA104" s="151">
        <f t="shared" si="243"/>
        <v>0.47109207708779438</v>
      </c>
      <c r="AB104" s="151">
        <f t="shared" si="243"/>
        <v>0.47109207708779438</v>
      </c>
      <c r="AC104" s="137">
        <f t="shared" si="204"/>
        <v>9.9920551762495702E-3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1">
        <f t="shared" ref="G105:P105" si="244">G40/G25</f>
        <v>0.24575342465753428</v>
      </c>
      <c r="H105" s="151">
        <f t="shared" si="244"/>
        <v>0.2391304347826087</v>
      </c>
      <c r="I105" s="151">
        <f t="shared" si="244"/>
        <v>0.20884353741496597</v>
      </c>
      <c r="J105" s="151">
        <f t="shared" si="244"/>
        <v>0.20638820638820637</v>
      </c>
      <c r="K105" s="151">
        <f t="shared" si="244"/>
        <v>0.26609848484848486</v>
      </c>
      <c r="L105" s="151">
        <f t="shared" si="244"/>
        <v>0.28904847396768402</v>
      </c>
      <c r="M105" s="151">
        <f t="shared" si="244"/>
        <v>0.29369627507163326</v>
      </c>
      <c r="N105" s="151">
        <f t="shared" si="244"/>
        <v>0.24235294117647058</v>
      </c>
      <c r="O105" s="151">
        <f t="shared" si="244"/>
        <v>0.22044088176352705</v>
      </c>
      <c r="P105" s="151">
        <f t="shared" si="244"/>
        <v>0.22044088176352705</v>
      </c>
      <c r="Q105" s="118">
        <f t="shared" si="202"/>
        <v>-1.2005040360581143E-2</v>
      </c>
      <c r="R105" s="20"/>
      <c r="S105" s="151">
        <f t="shared" ref="S105:AB105" si="245">S40/S25</f>
        <v>0.22044088176352708</v>
      </c>
      <c r="T105" s="151">
        <f t="shared" si="245"/>
        <v>0.22044088176352705</v>
      </c>
      <c r="U105" s="151">
        <f t="shared" si="245"/>
        <v>0.22044088176352705</v>
      </c>
      <c r="V105" s="151">
        <f t="shared" si="245"/>
        <v>0.22044088176352708</v>
      </c>
      <c r="W105" s="151">
        <f t="shared" si="245"/>
        <v>0.22044088176352708</v>
      </c>
      <c r="X105" s="151">
        <f t="shared" si="245"/>
        <v>0.22044088176352708</v>
      </c>
      <c r="Y105" s="151">
        <f t="shared" si="245"/>
        <v>0.22044088176352708</v>
      </c>
      <c r="Z105" s="151">
        <f t="shared" si="245"/>
        <v>0.22044088176352708</v>
      </c>
      <c r="AA105" s="151">
        <f t="shared" si="245"/>
        <v>0.22044088176352708</v>
      </c>
      <c r="AB105" s="151">
        <f t="shared" si="245"/>
        <v>0.22044088176352708</v>
      </c>
      <c r="AC105" s="137">
        <f t="shared" si="204"/>
        <v>-5.7046738539596742E-3</v>
      </c>
      <c r="AD105" s="20"/>
      <c r="AE105" s="20"/>
    </row>
    <row r="106" spans="2:31" x14ac:dyDescent="0.2">
      <c r="B106" s="20" t="s">
        <v>348</v>
      </c>
      <c r="C106" s="20"/>
      <c r="D106" s="20"/>
      <c r="E106" s="151"/>
      <c r="F106" s="151"/>
      <c r="G106" s="151">
        <f t="shared" ref="G106:O106" si="246">G25/G18</f>
        <v>1.5869565217391304</v>
      </c>
      <c r="H106" s="151">
        <f t="shared" si="246"/>
        <v>2.1800947867298577</v>
      </c>
      <c r="I106" s="151">
        <f t="shared" si="246"/>
        <v>2.5128205128205128</v>
      </c>
      <c r="J106" s="151">
        <f t="shared" si="246"/>
        <v>3.1550387596899223</v>
      </c>
      <c r="K106" s="151">
        <f t="shared" si="246"/>
        <v>4.1904761904761907</v>
      </c>
      <c r="L106" s="151">
        <f t="shared" si="246"/>
        <v>4.6416666666666666</v>
      </c>
      <c r="M106" s="151">
        <f t="shared" si="246"/>
        <v>3.1160714285714284</v>
      </c>
      <c r="N106" s="151">
        <f t="shared" si="246"/>
        <v>3.7610619469026547</v>
      </c>
      <c r="O106" s="151">
        <f t="shared" si="246"/>
        <v>2.1370449678800858</v>
      </c>
      <c r="P106" s="151">
        <f>P25/P18</f>
        <v>2.1370449678800858</v>
      </c>
      <c r="Q106" s="118">
        <f t="shared" si="202"/>
        <v>3.3620130999342912E-2</v>
      </c>
      <c r="R106" s="20"/>
      <c r="S106" s="151">
        <f>S25/S18</f>
        <v>2.1370449678800854</v>
      </c>
      <c r="T106" s="151">
        <f t="shared" ref="T106:AB106" si="247">T25/T18</f>
        <v>2.1370449678800858</v>
      </c>
      <c r="U106" s="151">
        <f t="shared" si="247"/>
        <v>2.1370449678800854</v>
      </c>
      <c r="V106" s="151">
        <f t="shared" si="247"/>
        <v>2.1370449678800854</v>
      </c>
      <c r="W106" s="151">
        <f t="shared" si="247"/>
        <v>2.1370449678800854</v>
      </c>
      <c r="X106" s="151">
        <f t="shared" si="247"/>
        <v>2.1370449678800854</v>
      </c>
      <c r="Y106" s="151">
        <f t="shared" si="247"/>
        <v>2.1370449678800854</v>
      </c>
      <c r="Z106" s="151">
        <f t="shared" si="247"/>
        <v>2.1370449678800854</v>
      </c>
      <c r="AA106" s="151">
        <f t="shared" si="247"/>
        <v>2.1370449678800854</v>
      </c>
      <c r="AB106" s="151">
        <f t="shared" si="247"/>
        <v>2.1370449678800854</v>
      </c>
      <c r="AC106" s="137">
        <f t="shared" si="204"/>
        <v>1.5786787504121991E-2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28"/>
      <c r="R107" s="20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4">
        <f t="shared" ref="E108:F108" si="248">E68*E42</f>
        <v>0</v>
      </c>
      <c r="F108" s="164">
        <f t="shared" si="248"/>
        <v>0</v>
      </c>
      <c r="G108" s="164">
        <f>G68*G42</f>
        <v>6.2929999999999993</v>
      </c>
      <c r="H108" s="164">
        <f t="shared" ref="H108:P108" si="249">H68*H42</f>
        <v>7.9575000000000005</v>
      </c>
      <c r="I108" s="164">
        <f t="shared" si="249"/>
        <v>16.887499999999999</v>
      </c>
      <c r="J108" s="164">
        <f t="shared" si="249"/>
        <v>18.137499999999999</v>
      </c>
      <c r="K108" s="164">
        <f t="shared" si="249"/>
        <v>50.575000000000003</v>
      </c>
      <c r="L108" s="164">
        <f t="shared" si="249"/>
        <v>72.25</v>
      </c>
      <c r="M108" s="164">
        <f t="shared" si="249"/>
        <v>141.94</v>
      </c>
      <c r="N108" s="164">
        <f t="shared" si="249"/>
        <v>77.989999999999995</v>
      </c>
      <c r="O108" s="164">
        <f t="shared" si="249"/>
        <v>112.32</v>
      </c>
      <c r="P108" s="164">
        <f t="shared" si="249"/>
        <v>112.32</v>
      </c>
      <c r="Q108" s="118">
        <f t="shared" si="202"/>
        <v>0.37742067011990943</v>
      </c>
      <c r="R108" s="20"/>
      <c r="S108" s="164">
        <f t="shared" ref="S108:AB108" si="250">S68*S42</f>
        <v>117.93599999999999</v>
      </c>
      <c r="T108" s="164">
        <f t="shared" si="250"/>
        <v>123.83279999999999</v>
      </c>
      <c r="U108" s="164">
        <f t="shared" si="250"/>
        <v>130.02444</v>
      </c>
      <c r="V108" s="164">
        <f t="shared" si="250"/>
        <v>136.52566200000001</v>
      </c>
      <c r="W108" s="164">
        <f t="shared" si="250"/>
        <v>143.35194510000002</v>
      </c>
      <c r="X108" s="164">
        <f t="shared" si="250"/>
        <v>150.51954235500003</v>
      </c>
      <c r="Y108" s="164">
        <f t="shared" si="250"/>
        <v>158.04551947275004</v>
      </c>
      <c r="Z108" s="164">
        <f t="shared" si="250"/>
        <v>165.94779544638754</v>
      </c>
      <c r="AA108" s="164">
        <f t="shared" si="250"/>
        <v>174.24518521870692</v>
      </c>
      <c r="AB108" s="164">
        <f t="shared" si="250"/>
        <v>182.95744447964228</v>
      </c>
      <c r="AC108" s="137">
        <f t="shared" si="204"/>
        <v>0.19405934911859757</v>
      </c>
      <c r="AD108" s="20"/>
      <c r="AE108" s="20"/>
    </row>
    <row r="109" spans="2:31" x14ac:dyDescent="0.2">
      <c r="B109" s="20" t="s">
        <v>335</v>
      </c>
      <c r="C109" s="20"/>
      <c r="D109" s="20"/>
      <c r="E109" s="164">
        <f>(E108*0.17)+E108</f>
        <v>0</v>
      </c>
      <c r="F109" s="164">
        <f>(F108*0.17)+F108</f>
        <v>0</v>
      </c>
      <c r="G109" s="164">
        <f t="shared" ref="G109:P109" si="251">(G108*0.17)+G108</f>
        <v>7.3628099999999996</v>
      </c>
      <c r="H109" s="164">
        <f t="shared" si="251"/>
        <v>9.3102750000000007</v>
      </c>
      <c r="I109" s="164">
        <f t="shared" si="251"/>
        <v>19.758375000000001</v>
      </c>
      <c r="J109" s="164">
        <f t="shared" si="251"/>
        <v>21.220874999999999</v>
      </c>
      <c r="K109" s="164">
        <f t="shared" si="251"/>
        <v>59.172750000000008</v>
      </c>
      <c r="L109" s="164">
        <f t="shared" si="251"/>
        <v>84.532499999999999</v>
      </c>
      <c r="M109" s="164">
        <f t="shared" si="251"/>
        <v>166.06979999999999</v>
      </c>
      <c r="N109" s="164">
        <f t="shared" si="251"/>
        <v>91.2483</v>
      </c>
      <c r="O109" s="164">
        <f t="shared" si="251"/>
        <v>131.4144</v>
      </c>
      <c r="P109" s="164">
        <f t="shared" si="251"/>
        <v>131.4144</v>
      </c>
      <c r="Q109" s="118">
        <f t="shared" si="202"/>
        <v>0.37742067011990943</v>
      </c>
      <c r="R109" s="20"/>
      <c r="S109" s="164">
        <f t="shared" ref="S109:AB109" si="252">(S108*0.17)+S108</f>
        <v>137.98511999999999</v>
      </c>
      <c r="T109" s="164">
        <f t="shared" si="252"/>
        <v>144.884376</v>
      </c>
      <c r="U109" s="164">
        <f t="shared" si="252"/>
        <v>152.1285948</v>
      </c>
      <c r="V109" s="164">
        <f t="shared" si="252"/>
        <v>159.73502454000001</v>
      </c>
      <c r="W109" s="164">
        <f t="shared" si="252"/>
        <v>167.72177576700003</v>
      </c>
      <c r="X109" s="164">
        <f t="shared" si="252"/>
        <v>176.10786455535003</v>
      </c>
      <c r="Y109" s="164">
        <f t="shared" si="252"/>
        <v>184.91325778311756</v>
      </c>
      <c r="Z109" s="164">
        <f t="shared" si="252"/>
        <v>194.15892067227344</v>
      </c>
      <c r="AA109" s="164">
        <f t="shared" si="252"/>
        <v>203.86686670588711</v>
      </c>
      <c r="AB109" s="164">
        <f t="shared" si="252"/>
        <v>214.06021004118148</v>
      </c>
      <c r="AC109" s="137">
        <f t="shared" si="204"/>
        <v>0.19405934911859757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1" t="e">
        <f t="shared" ref="F110:P110" si="253">F109/F40</f>
        <v>#DIV/0!</v>
      </c>
      <c r="G110" s="151">
        <f t="shared" si="253"/>
        <v>0.4104130434782608</v>
      </c>
      <c r="H110" s="151">
        <f t="shared" si="253"/>
        <v>0.42319431818181824</v>
      </c>
      <c r="I110" s="151">
        <f t="shared" si="253"/>
        <v>0.32179763843648213</v>
      </c>
      <c r="J110" s="151">
        <f t="shared" si="253"/>
        <v>0.25262946428571426</v>
      </c>
      <c r="K110" s="151">
        <f t="shared" si="253"/>
        <v>0.42115836298932391</v>
      </c>
      <c r="L110" s="151">
        <f t="shared" si="253"/>
        <v>0.52504658385093173</v>
      </c>
      <c r="M110" s="151">
        <f t="shared" si="253"/>
        <v>0.81009658536585361</v>
      </c>
      <c r="N110" s="151">
        <f t="shared" si="253"/>
        <v>0.44295291262135922</v>
      </c>
      <c r="O110" s="151">
        <f t="shared" si="253"/>
        <v>0.59733818181818177</v>
      </c>
      <c r="P110" s="151">
        <f t="shared" si="253"/>
        <v>0.59733818181818177</v>
      </c>
      <c r="Q110" s="118">
        <f t="shared" si="202"/>
        <v>4.2583898423572686E-2</v>
      </c>
      <c r="R110" s="20"/>
      <c r="S110" s="151">
        <f t="shared" ref="S110:AB110" si="254">S109/S40</f>
        <v>0.55504875301689471</v>
      </c>
      <c r="T110" s="151">
        <f t="shared" si="254"/>
        <v>0.51575326607764549</v>
      </c>
      <c r="U110" s="151">
        <f t="shared" si="254"/>
        <v>0.47923976051462647</v>
      </c>
      <c r="V110" s="151">
        <f t="shared" si="254"/>
        <v>0.445311281894122</v>
      </c>
      <c r="W110" s="151">
        <f t="shared" si="254"/>
        <v>0.41378481945914003</v>
      </c>
      <c r="X110" s="151">
        <f t="shared" si="254"/>
        <v>0.38449031896645758</v>
      </c>
      <c r="Y110" s="151">
        <f t="shared" si="254"/>
        <v>0.35726976541131023</v>
      </c>
      <c r="Z110" s="151">
        <f t="shared" si="254"/>
        <v>0.33197633069192545</v>
      </c>
      <c r="AA110" s="151">
        <f t="shared" si="254"/>
        <v>0.30847358161639093</v>
      </c>
      <c r="AB110" s="151">
        <f t="shared" si="254"/>
        <v>0.28663474397983235</v>
      </c>
      <c r="AC110" s="137">
        <f t="shared" si="204"/>
        <v>-1.8715043725670344E-2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1" t="e">
        <f>1-F110</f>
        <v>#DIV/0!</v>
      </c>
      <c r="G111" s="151">
        <f>1-G110</f>
        <v>0.5895869565217392</v>
      </c>
      <c r="H111" s="151">
        <f t="shared" ref="H111:P111" si="255">1-H110</f>
        <v>0.5768056818181817</v>
      </c>
      <c r="I111" s="151">
        <f t="shared" si="255"/>
        <v>0.67820236156351787</v>
      </c>
      <c r="J111" s="151">
        <f t="shared" si="255"/>
        <v>0.74737053571428569</v>
      </c>
      <c r="K111" s="151">
        <f t="shared" si="255"/>
        <v>0.57884163701067615</v>
      </c>
      <c r="L111" s="151">
        <f t="shared" si="255"/>
        <v>0.47495341614906827</v>
      </c>
      <c r="M111" s="151">
        <f t="shared" si="255"/>
        <v>0.18990341463414639</v>
      </c>
      <c r="N111" s="151">
        <f t="shared" si="255"/>
        <v>0.55704708737864084</v>
      </c>
      <c r="O111" s="151">
        <f t="shared" si="255"/>
        <v>0.40266181818181823</v>
      </c>
      <c r="P111" s="151">
        <f t="shared" si="255"/>
        <v>0.40266181818181823</v>
      </c>
      <c r="Q111" s="118">
        <f t="shared" si="202"/>
        <v>-4.148442113421702E-2</v>
      </c>
      <c r="R111" s="20"/>
      <c r="S111" s="151">
        <f t="shared" ref="S111:AB111" si="256">1-S110</f>
        <v>0.44495124698310529</v>
      </c>
      <c r="T111" s="151">
        <f t="shared" si="256"/>
        <v>0.48424673392235451</v>
      </c>
      <c r="U111" s="151">
        <f t="shared" si="256"/>
        <v>0.52076023948537353</v>
      </c>
      <c r="V111" s="151">
        <f t="shared" si="256"/>
        <v>0.55468871810587794</v>
      </c>
      <c r="W111" s="151">
        <f t="shared" si="256"/>
        <v>0.58621518054085997</v>
      </c>
      <c r="X111" s="151">
        <f t="shared" si="256"/>
        <v>0.61550968103354242</v>
      </c>
      <c r="Y111" s="151">
        <f t="shared" si="256"/>
        <v>0.64273023458868983</v>
      </c>
      <c r="Z111" s="151">
        <f t="shared" si="256"/>
        <v>0.66802366930807455</v>
      </c>
      <c r="AA111" s="151">
        <f t="shared" si="256"/>
        <v>0.69152641838360907</v>
      </c>
      <c r="AB111" s="151">
        <f t="shared" si="256"/>
        <v>0.71336525602016765</v>
      </c>
      <c r="AC111" s="137">
        <f t="shared" si="204"/>
        <v>1.0080540904813029E-2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28"/>
      <c r="R112" s="20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28"/>
      <c r="AD112" s="20"/>
      <c r="AE112" s="20"/>
    </row>
    <row r="113" spans="2:31" x14ac:dyDescent="0.2">
      <c r="B113" s="20" t="s">
        <v>333</v>
      </c>
      <c r="C113" s="151"/>
      <c r="D113" s="151"/>
      <c r="E113" s="151"/>
      <c r="F113" s="151" t="e">
        <f>F31/F25</f>
        <v>#DIV/0!</v>
      </c>
      <c r="G113" s="151">
        <f>G31/G25</f>
        <v>0</v>
      </c>
      <c r="H113" s="151">
        <f t="shared" ref="H113:P113" si="257">H31/H25</f>
        <v>0</v>
      </c>
      <c r="I113" s="151">
        <f t="shared" si="257"/>
        <v>0</v>
      </c>
      <c r="J113" s="151">
        <f t="shared" si="257"/>
        <v>0</v>
      </c>
      <c r="K113" s="151">
        <f t="shared" si="257"/>
        <v>0</v>
      </c>
      <c r="L113" s="151">
        <f t="shared" si="257"/>
        <v>0</v>
      </c>
      <c r="M113" s="151">
        <f t="shared" si="257"/>
        <v>0</v>
      </c>
      <c r="N113" s="151">
        <f t="shared" si="257"/>
        <v>0</v>
      </c>
      <c r="O113" s="151">
        <f t="shared" si="257"/>
        <v>0</v>
      </c>
      <c r="P113" s="151">
        <f t="shared" si="257"/>
        <v>0</v>
      </c>
      <c r="Q113" s="118" t="e">
        <f t="shared" si="202"/>
        <v>#DIV/0!</v>
      </c>
      <c r="R113" s="20"/>
      <c r="S113" s="151">
        <f t="shared" ref="S113:AB113" si="258">S31/S25</f>
        <v>0</v>
      </c>
      <c r="T113" s="151">
        <f t="shared" si="258"/>
        <v>0</v>
      </c>
      <c r="U113" s="151">
        <f t="shared" si="258"/>
        <v>0</v>
      </c>
      <c r="V113" s="151">
        <f t="shared" si="258"/>
        <v>0</v>
      </c>
      <c r="W113" s="151">
        <f t="shared" si="258"/>
        <v>0</v>
      </c>
      <c r="X113" s="151">
        <f t="shared" si="258"/>
        <v>0</v>
      </c>
      <c r="Y113" s="151">
        <f t="shared" si="258"/>
        <v>0</v>
      </c>
      <c r="Z113" s="151">
        <f t="shared" si="258"/>
        <v>0</v>
      </c>
      <c r="AA113" s="151">
        <f t="shared" si="258"/>
        <v>0</v>
      </c>
      <c r="AB113" s="151">
        <f t="shared" si="258"/>
        <v>0</v>
      </c>
      <c r="AC113" s="137" t="e">
        <f t="shared" si="204"/>
        <v>#DIV/0!</v>
      </c>
      <c r="AD113" s="20"/>
      <c r="AE113" s="20"/>
    </row>
    <row r="114" spans="2:31" x14ac:dyDescent="0.2">
      <c r="B114" s="20" t="s">
        <v>330</v>
      </c>
      <c r="C114" s="151"/>
      <c r="D114" s="151"/>
      <c r="E114" s="151"/>
      <c r="F114" s="151" t="e">
        <f>F32/F25</f>
        <v>#DIV/0!</v>
      </c>
      <c r="G114" s="151">
        <f>G32/G25</f>
        <v>0</v>
      </c>
      <c r="H114" s="151">
        <f t="shared" ref="H114:P114" si="259">H32/H25</f>
        <v>0</v>
      </c>
      <c r="I114" s="151">
        <f t="shared" si="259"/>
        <v>0</v>
      </c>
      <c r="J114" s="151">
        <f t="shared" si="259"/>
        <v>0</v>
      </c>
      <c r="K114" s="151">
        <f t="shared" si="259"/>
        <v>0</v>
      </c>
      <c r="L114" s="151">
        <f t="shared" si="259"/>
        <v>0</v>
      </c>
      <c r="M114" s="151">
        <f t="shared" si="259"/>
        <v>0</v>
      </c>
      <c r="N114" s="151">
        <f t="shared" si="259"/>
        <v>0</v>
      </c>
      <c r="O114" s="151">
        <f t="shared" si="259"/>
        <v>0</v>
      </c>
      <c r="P114" s="151">
        <f t="shared" si="259"/>
        <v>0</v>
      </c>
      <c r="Q114" s="118" t="e">
        <f t="shared" si="202"/>
        <v>#DIV/0!</v>
      </c>
      <c r="R114" s="20"/>
      <c r="S114" s="151">
        <f t="shared" ref="S114:AB114" si="260">S32/S25</f>
        <v>0</v>
      </c>
      <c r="T114" s="151">
        <f t="shared" si="260"/>
        <v>0</v>
      </c>
      <c r="U114" s="151">
        <f t="shared" si="260"/>
        <v>0</v>
      </c>
      <c r="V114" s="151">
        <f t="shared" si="260"/>
        <v>0</v>
      </c>
      <c r="W114" s="151">
        <f t="shared" si="260"/>
        <v>0</v>
      </c>
      <c r="X114" s="151">
        <f t="shared" si="260"/>
        <v>0</v>
      </c>
      <c r="Y114" s="151">
        <f t="shared" si="260"/>
        <v>0</v>
      </c>
      <c r="Z114" s="151">
        <f t="shared" si="260"/>
        <v>0</v>
      </c>
      <c r="AA114" s="151">
        <f t="shared" si="260"/>
        <v>0</v>
      </c>
      <c r="AB114" s="151">
        <f t="shared" si="260"/>
        <v>0</v>
      </c>
      <c r="AC114" s="137" t="e">
        <f t="shared" si="204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28"/>
      <c r="R115" s="20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1">
        <f>G27/G25</f>
        <v>0.54794520547945202</v>
      </c>
      <c r="H116" s="151">
        <f t="shared" ref="H116:P116" si="261">H27/H25</f>
        <v>0.57608695652173914</v>
      </c>
      <c r="I116" s="151">
        <f t="shared" si="261"/>
        <v>0.70068027210884354</v>
      </c>
      <c r="J116" s="151">
        <f t="shared" si="261"/>
        <v>0.69041769041769041</v>
      </c>
      <c r="K116" s="151">
        <f t="shared" si="261"/>
        <v>0.61931818181818177</v>
      </c>
      <c r="L116" s="151">
        <f t="shared" si="261"/>
        <v>0.6014362657091562</v>
      </c>
      <c r="M116" s="151">
        <f t="shared" si="261"/>
        <v>0.58739255014326652</v>
      </c>
      <c r="N116" s="151">
        <f t="shared" si="261"/>
        <v>0.64</v>
      </c>
      <c r="O116" s="151">
        <f t="shared" si="261"/>
        <v>0.65130260521042083</v>
      </c>
      <c r="P116" s="151">
        <f t="shared" si="261"/>
        <v>0.65130260521042083</v>
      </c>
      <c r="Q116" s="118">
        <f t="shared" si="202"/>
        <v>1.93854004048164E-2</v>
      </c>
      <c r="R116" s="20"/>
      <c r="S116" s="151">
        <f t="shared" ref="S116:AB116" si="262">S27/S25</f>
        <v>0.65130260521042083</v>
      </c>
      <c r="T116" s="151">
        <f t="shared" si="262"/>
        <v>0.65130260521042083</v>
      </c>
      <c r="U116" s="151">
        <f t="shared" si="262"/>
        <v>0.65130260521042083</v>
      </c>
      <c r="V116" s="151">
        <f t="shared" si="262"/>
        <v>0.65130260521042094</v>
      </c>
      <c r="W116" s="151">
        <f t="shared" si="262"/>
        <v>0.65130260521042094</v>
      </c>
      <c r="X116" s="151">
        <f t="shared" si="262"/>
        <v>0.65130260521042094</v>
      </c>
      <c r="Y116" s="151">
        <f t="shared" si="262"/>
        <v>0.65130260521042094</v>
      </c>
      <c r="Z116" s="151">
        <f t="shared" si="262"/>
        <v>0.65130260521042083</v>
      </c>
      <c r="AA116" s="151">
        <f t="shared" si="262"/>
        <v>0.65130260521042094</v>
      </c>
      <c r="AB116" s="151">
        <f t="shared" si="262"/>
        <v>0.65130260521042083</v>
      </c>
      <c r="AC116" s="137">
        <f t="shared" si="204"/>
        <v>9.1361704214951711E-3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1">
        <f>G33/G25</f>
        <v>0.29452054794520549</v>
      </c>
      <c r="H117" s="151">
        <f t="shared" ref="H117:P117" si="263">H33/H25</f>
        <v>0.28804347826086957</v>
      </c>
      <c r="I117" s="151">
        <f t="shared" si="263"/>
        <v>0.39455782312925169</v>
      </c>
      <c r="J117" s="151">
        <f t="shared" si="263"/>
        <v>0.37592137592137592</v>
      </c>
      <c r="K117" s="151">
        <f t="shared" si="263"/>
        <v>0.36363636363636365</v>
      </c>
      <c r="L117" s="151">
        <f t="shared" si="263"/>
        <v>0.3734290843806104</v>
      </c>
      <c r="M117" s="151">
        <f t="shared" si="263"/>
        <v>0.37106017191977075</v>
      </c>
      <c r="N117" s="151">
        <f t="shared" si="263"/>
        <v>0.41529411764705881</v>
      </c>
      <c r="O117" s="151">
        <f t="shared" si="263"/>
        <v>0.43987975951903807</v>
      </c>
      <c r="P117" s="151">
        <f t="shared" si="263"/>
        <v>0.43987975951903807</v>
      </c>
      <c r="Q117" s="118">
        <f t="shared" si="202"/>
        <v>4.5580795156433096E-2</v>
      </c>
      <c r="R117" s="20"/>
      <c r="S117" s="151">
        <f t="shared" ref="S117:AB117" si="264">S33/S25</f>
        <v>0.43987975951903813</v>
      </c>
      <c r="T117" s="151">
        <f t="shared" si="264"/>
        <v>0.43987975951903802</v>
      </c>
      <c r="U117" s="151">
        <f t="shared" si="264"/>
        <v>0.43987975951903807</v>
      </c>
      <c r="V117" s="151">
        <f t="shared" si="264"/>
        <v>0.43987975951903813</v>
      </c>
      <c r="W117" s="151">
        <f t="shared" si="264"/>
        <v>0.43987975951903813</v>
      </c>
      <c r="X117" s="151">
        <f t="shared" si="264"/>
        <v>0.43987975951903813</v>
      </c>
      <c r="Y117" s="151">
        <f t="shared" si="264"/>
        <v>0.43987975951903818</v>
      </c>
      <c r="Z117" s="151">
        <f t="shared" si="264"/>
        <v>0.43987975951903813</v>
      </c>
      <c r="AA117" s="151">
        <f t="shared" si="264"/>
        <v>0.43987975951903813</v>
      </c>
      <c r="AB117" s="151">
        <f t="shared" si="264"/>
        <v>0.43987975951903813</v>
      </c>
      <c r="AC117" s="137">
        <f t="shared" si="204"/>
        <v>2.1337759574963311E-2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1">
        <f>G34/G25</f>
        <v>0.21027397260273972</v>
      </c>
      <c r="H118" s="151">
        <f t="shared" ref="H118:P118" si="265">H34/H25</f>
        <v>0.23695652173913045</v>
      </c>
      <c r="I118" s="151">
        <f t="shared" si="265"/>
        <v>0.25170068027210885</v>
      </c>
      <c r="J118" s="151">
        <f t="shared" si="265"/>
        <v>0.26289926289926291</v>
      </c>
      <c r="K118" s="151">
        <f t="shared" si="265"/>
        <v>0.21306818181818182</v>
      </c>
      <c r="L118" s="151">
        <f t="shared" si="265"/>
        <v>0.18850987432675045</v>
      </c>
      <c r="M118" s="151">
        <f t="shared" si="265"/>
        <v>0.18481375358166188</v>
      </c>
      <c r="N118" s="151">
        <f t="shared" si="265"/>
        <v>0.18705882352941178</v>
      </c>
      <c r="O118" s="151">
        <f t="shared" si="265"/>
        <v>0.21142284569138275</v>
      </c>
      <c r="P118" s="151">
        <f t="shared" si="265"/>
        <v>0.21142284569138275</v>
      </c>
      <c r="Q118" s="118">
        <f t="shared" si="202"/>
        <v>6.056082266341356E-4</v>
      </c>
      <c r="R118" s="20"/>
      <c r="S118" s="151">
        <f t="shared" ref="S118:AB118" si="266">S34/S25</f>
        <v>0.21142284569138278</v>
      </c>
      <c r="T118" s="151">
        <f t="shared" si="266"/>
        <v>0.21142284569138278</v>
      </c>
      <c r="U118" s="151">
        <f t="shared" si="266"/>
        <v>0.21142284569138278</v>
      </c>
      <c r="V118" s="151">
        <f t="shared" si="266"/>
        <v>0.21142284569138278</v>
      </c>
      <c r="W118" s="151">
        <f t="shared" si="266"/>
        <v>0.21142284569138281</v>
      </c>
      <c r="X118" s="151">
        <f t="shared" si="266"/>
        <v>0.21142284569138278</v>
      </c>
      <c r="Y118" s="151">
        <f t="shared" si="266"/>
        <v>0.21142284569138281</v>
      </c>
      <c r="Z118" s="151">
        <f t="shared" si="266"/>
        <v>0.21142284569138278</v>
      </c>
      <c r="AA118" s="151">
        <f t="shared" si="266"/>
        <v>0.21142284569138278</v>
      </c>
      <c r="AB118" s="151">
        <f t="shared" si="266"/>
        <v>0.21142284569138278</v>
      </c>
      <c r="AC118" s="137">
        <f t="shared" si="204"/>
        <v>2.8682135063196057E-4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8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7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0.88395061728395063</v>
      </c>
      <c r="H121" s="25">
        <f t="shared" ref="H121:AB121" si="267">H15/H9</f>
        <v>1.05</v>
      </c>
      <c r="I121" s="25">
        <f t="shared" si="267"/>
        <v>1.3648648648648649</v>
      </c>
      <c r="J121" s="25">
        <f t="shared" si="267"/>
        <v>1.303030303030303</v>
      </c>
      <c r="K121" s="25">
        <f t="shared" si="267"/>
        <v>1.3813559322033899</v>
      </c>
      <c r="L121" s="25">
        <f t="shared" si="267"/>
        <v>1.1366459627329193</v>
      </c>
      <c r="M121" s="25">
        <f t="shared" si="267"/>
        <v>0.96</v>
      </c>
      <c r="N121" s="25">
        <f t="shared" si="267"/>
        <v>0.75518672199170123</v>
      </c>
      <c r="O121" s="25">
        <f t="shared" si="267"/>
        <v>0.70680628272251311</v>
      </c>
      <c r="P121" s="25">
        <f t="shared" si="267"/>
        <v>0.70680628272251311</v>
      </c>
      <c r="Q121" s="118">
        <f t="shared" si="202"/>
        <v>-2.4543191867681391E-2</v>
      </c>
      <c r="R121" s="20"/>
      <c r="S121" s="20">
        <f t="shared" si="267"/>
        <v>0.70680628272251311</v>
      </c>
      <c r="T121" s="20">
        <f t="shared" si="267"/>
        <v>0.70680628272251311</v>
      </c>
      <c r="U121" s="20">
        <f t="shared" si="267"/>
        <v>0.706806282722513</v>
      </c>
      <c r="V121" s="20">
        <f t="shared" si="267"/>
        <v>0.706806282722513</v>
      </c>
      <c r="W121" s="20">
        <f t="shared" si="267"/>
        <v>0.70680628272251311</v>
      </c>
      <c r="X121" s="20">
        <f t="shared" si="267"/>
        <v>0.70680628272251311</v>
      </c>
      <c r="Y121" s="20">
        <f t="shared" si="267"/>
        <v>0.706806282722513</v>
      </c>
      <c r="Z121" s="20">
        <f t="shared" si="267"/>
        <v>0.706806282722513</v>
      </c>
      <c r="AA121" s="20">
        <f t="shared" si="267"/>
        <v>0.70680628272251311</v>
      </c>
      <c r="AB121" s="20">
        <f t="shared" si="267"/>
        <v>0.70680628272251311</v>
      </c>
      <c r="AC121" s="137">
        <f t="shared" si="204"/>
        <v>-1.1701762319507925E-2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0.40185185185185185</v>
      </c>
      <c r="H122" s="25">
        <f t="shared" ref="H122:P122" si="268">H12/H9</f>
        <v>0.55000000000000004</v>
      </c>
      <c r="I122" s="25">
        <f t="shared" si="268"/>
        <v>0.51351351351351349</v>
      </c>
      <c r="J122" s="25">
        <f t="shared" si="268"/>
        <v>0.42525252525252527</v>
      </c>
      <c r="K122" s="25">
        <f t="shared" si="268"/>
        <v>1.0932203389830508</v>
      </c>
      <c r="L122" s="25">
        <f t="shared" si="268"/>
        <v>0.97515527950310554</v>
      </c>
      <c r="M122" s="25">
        <f t="shared" si="268"/>
        <v>0.92285714285714282</v>
      </c>
      <c r="N122" s="25">
        <f t="shared" si="268"/>
        <v>1.0705394190871369</v>
      </c>
      <c r="O122" s="25">
        <f t="shared" si="268"/>
        <v>0.40052356020942409</v>
      </c>
      <c r="P122" s="25">
        <f t="shared" si="268"/>
        <v>0.40052356020942409</v>
      </c>
      <c r="Q122" s="118">
        <f t="shared" si="202"/>
        <v>-3.6781025191612304E-4</v>
      </c>
      <c r="R122" s="128"/>
      <c r="S122" s="20">
        <f t="shared" ref="S122:AB122" si="269">S12/S9</f>
        <v>0.40052356020942409</v>
      </c>
      <c r="T122" s="20">
        <f t="shared" si="269"/>
        <v>0.40052356020942415</v>
      </c>
      <c r="U122" s="20">
        <f t="shared" si="269"/>
        <v>0.40052356020942415</v>
      </c>
      <c r="V122" s="20">
        <f t="shared" si="269"/>
        <v>0.40052356020942415</v>
      </c>
      <c r="W122" s="20">
        <f t="shared" si="269"/>
        <v>0.4005235602094242</v>
      </c>
      <c r="X122" s="20">
        <f t="shared" si="269"/>
        <v>0.4005235602094242</v>
      </c>
      <c r="Y122" s="20">
        <f t="shared" si="269"/>
        <v>0.40052356020942415</v>
      </c>
      <c r="Z122" s="20">
        <f t="shared" si="269"/>
        <v>0.4005235602094242</v>
      </c>
      <c r="AA122" s="20">
        <f t="shared" si="269"/>
        <v>0.4005235602094242</v>
      </c>
      <c r="AB122" s="20">
        <f t="shared" si="269"/>
        <v>0.40052356020942426</v>
      </c>
      <c r="AC122" s="118">
        <f t="shared" ref="AC122" si="270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0.20277777777777778</v>
      </c>
      <c r="H123" s="25">
        <f t="shared" ref="H123:P123" si="271">H25/360</f>
        <v>0.25555555555555554</v>
      </c>
      <c r="I123" s="25">
        <f t="shared" si="271"/>
        <v>0.81666666666666665</v>
      </c>
      <c r="J123" s="25">
        <f t="shared" si="271"/>
        <v>1.1305555555555555</v>
      </c>
      <c r="K123" s="25">
        <f t="shared" si="271"/>
        <v>1.4666666666666666</v>
      </c>
      <c r="L123" s="25">
        <f t="shared" si="271"/>
        <v>1.5472222222222223</v>
      </c>
      <c r="M123" s="25">
        <f t="shared" si="271"/>
        <v>1.9388888888888889</v>
      </c>
      <c r="N123" s="25">
        <f t="shared" si="271"/>
        <v>2.3611111111111112</v>
      </c>
      <c r="O123" s="25">
        <f t="shared" si="271"/>
        <v>2.7722222222222221</v>
      </c>
      <c r="P123" s="25">
        <f t="shared" si="271"/>
        <v>2.7722222222222221</v>
      </c>
      <c r="Q123" s="118">
        <f t="shared" si="202"/>
        <v>0.33721381113185211</v>
      </c>
      <c r="R123" s="128"/>
      <c r="S123" s="25">
        <f t="shared" ref="S123:AB123" si="272">S25/360</f>
        <v>3.1326111111111103</v>
      </c>
      <c r="T123" s="25">
        <f t="shared" si="272"/>
        <v>3.5398505555555548</v>
      </c>
      <c r="U123" s="25">
        <f t="shared" si="272"/>
        <v>4.0000311277777758</v>
      </c>
      <c r="V123" s="25">
        <f t="shared" si="272"/>
        <v>4.5200351743888865</v>
      </c>
      <c r="W123" s="25">
        <f t="shared" si="272"/>
        <v>5.1076397470594408</v>
      </c>
      <c r="X123" s="25">
        <f t="shared" si="272"/>
        <v>5.7716329141771681</v>
      </c>
      <c r="Y123" s="25">
        <f t="shared" si="272"/>
        <v>6.5219451930201986</v>
      </c>
      <c r="Z123" s="25">
        <f t="shared" si="272"/>
        <v>7.3697980681128241</v>
      </c>
      <c r="AA123" s="25">
        <f t="shared" si="272"/>
        <v>8.327871816967491</v>
      </c>
      <c r="AB123" s="25">
        <f t="shared" si="272"/>
        <v>9.4104951531732635</v>
      </c>
      <c r="AC123" s="118">
        <f t="shared" ref="AC123:AC134" si="273">((AB123/S123)^(1/($H$2-$H$1) ))-1</f>
        <v>0.12999999999999989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0.1111111111111111</v>
      </c>
      <c r="H124" s="25">
        <f t="shared" ref="H124:P124" si="274">H27/360</f>
        <v>0.14722222222222223</v>
      </c>
      <c r="I124" s="25">
        <f t="shared" si="274"/>
        <v>0.57222222222222219</v>
      </c>
      <c r="J124" s="25">
        <f t="shared" si="274"/>
        <v>0.78055555555555556</v>
      </c>
      <c r="K124" s="25">
        <f t="shared" si="274"/>
        <v>0.90833333333333333</v>
      </c>
      <c r="L124" s="25">
        <f t="shared" si="274"/>
        <v>0.93055555555555558</v>
      </c>
      <c r="M124" s="25">
        <f t="shared" si="274"/>
        <v>1.1388888888888888</v>
      </c>
      <c r="N124" s="25">
        <f t="shared" si="274"/>
        <v>1.5111111111111111</v>
      </c>
      <c r="O124" s="25">
        <f t="shared" si="274"/>
        <v>1.8055555555555556</v>
      </c>
      <c r="P124" s="25">
        <f t="shared" si="274"/>
        <v>1.8055555555555556</v>
      </c>
      <c r="Q124" s="118">
        <f t="shared" si="202"/>
        <v>0.36313623628749347</v>
      </c>
      <c r="R124" s="128"/>
      <c r="S124" s="25">
        <f t="shared" ref="S124:AB124" si="275">S27/360</f>
        <v>2.0402777777777774</v>
      </c>
      <c r="T124" s="25">
        <f t="shared" si="275"/>
        <v>2.3055138888888882</v>
      </c>
      <c r="U124" s="25">
        <f t="shared" si="275"/>
        <v>2.6052306944444434</v>
      </c>
      <c r="V124" s="25">
        <f t="shared" si="275"/>
        <v>2.9439106847222214</v>
      </c>
      <c r="W124" s="25">
        <f t="shared" si="275"/>
        <v>3.3266190737361097</v>
      </c>
      <c r="X124" s="25">
        <f t="shared" si="275"/>
        <v>3.7590795533218033</v>
      </c>
      <c r="Y124" s="25">
        <f t="shared" si="275"/>
        <v>4.2477598952536368</v>
      </c>
      <c r="Z124" s="25">
        <f t="shared" si="275"/>
        <v>4.7999686816366092</v>
      </c>
      <c r="AA124" s="25">
        <f t="shared" si="275"/>
        <v>5.4239646102493682</v>
      </c>
      <c r="AB124" s="25">
        <f t="shared" si="275"/>
        <v>6.1290800095817843</v>
      </c>
      <c r="AC124" s="118">
        <f t="shared" si="273"/>
        <v>0.12999999999999989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0</v>
      </c>
      <c r="H126" s="25">
        <f t="shared" ref="H126:P126" si="276">H10/H7</f>
        <v>0</v>
      </c>
      <c r="I126" s="25">
        <f t="shared" si="276"/>
        <v>0</v>
      </c>
      <c r="J126" s="25">
        <f t="shared" si="276"/>
        <v>0</v>
      </c>
      <c r="K126" s="25">
        <f t="shared" si="276"/>
        <v>0</v>
      </c>
      <c r="L126" s="25">
        <f t="shared" si="276"/>
        <v>0</v>
      </c>
      <c r="M126" s="25">
        <f t="shared" si="276"/>
        <v>0</v>
      </c>
      <c r="N126" s="25">
        <f t="shared" si="276"/>
        <v>0</v>
      </c>
      <c r="O126" s="25">
        <f t="shared" si="276"/>
        <v>0</v>
      </c>
      <c r="P126" s="25">
        <f t="shared" si="276"/>
        <v>0</v>
      </c>
      <c r="Q126" s="118" t="e">
        <f t="shared" si="202"/>
        <v>#DIV/0!</v>
      </c>
      <c r="R126" s="128"/>
      <c r="S126" s="25">
        <f t="shared" ref="S126:AB126" si="277">S10/S7</f>
        <v>0</v>
      </c>
      <c r="T126" s="25">
        <f t="shared" si="277"/>
        <v>0</v>
      </c>
      <c r="U126" s="25">
        <f t="shared" si="277"/>
        <v>0</v>
      </c>
      <c r="V126" s="25">
        <f t="shared" si="277"/>
        <v>0</v>
      </c>
      <c r="W126" s="25">
        <f t="shared" si="277"/>
        <v>0</v>
      </c>
      <c r="X126" s="25">
        <f t="shared" si="277"/>
        <v>0</v>
      </c>
      <c r="Y126" s="25">
        <f t="shared" si="277"/>
        <v>0</v>
      </c>
      <c r="Z126" s="25">
        <f t="shared" si="277"/>
        <v>0</v>
      </c>
      <c r="AA126" s="25">
        <f t="shared" si="277"/>
        <v>0</v>
      </c>
      <c r="AB126" s="25">
        <f t="shared" si="277"/>
        <v>0</v>
      </c>
      <c r="AC126" s="118" t="e">
        <f t="shared" si="273"/>
        <v>#DIV/0!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</v>
      </c>
      <c r="H127" s="25">
        <f t="shared" ref="H127:P127" si="278">H10/(H10+H7)</f>
        <v>0</v>
      </c>
      <c r="I127" s="25">
        <f t="shared" si="278"/>
        <v>0</v>
      </c>
      <c r="J127" s="25">
        <f t="shared" si="278"/>
        <v>0</v>
      </c>
      <c r="K127" s="25">
        <f t="shared" si="278"/>
        <v>0</v>
      </c>
      <c r="L127" s="25">
        <f t="shared" si="278"/>
        <v>0</v>
      </c>
      <c r="M127" s="25">
        <f t="shared" si="278"/>
        <v>0</v>
      </c>
      <c r="N127" s="25">
        <f t="shared" si="278"/>
        <v>0</v>
      </c>
      <c r="O127" s="25">
        <f t="shared" si="278"/>
        <v>0</v>
      </c>
      <c r="P127" s="25">
        <f t="shared" si="278"/>
        <v>0</v>
      </c>
      <c r="Q127" s="118" t="e">
        <f t="shared" si="202"/>
        <v>#DIV/0!</v>
      </c>
      <c r="R127" s="128"/>
      <c r="S127" s="25">
        <f t="shared" ref="S127:AB127" si="279">S10/(S10+S7)</f>
        <v>0</v>
      </c>
      <c r="T127" s="25">
        <f t="shared" si="279"/>
        <v>0</v>
      </c>
      <c r="U127" s="25">
        <f t="shared" si="279"/>
        <v>0</v>
      </c>
      <c r="V127" s="25">
        <f t="shared" si="279"/>
        <v>0</v>
      </c>
      <c r="W127" s="25">
        <f t="shared" si="279"/>
        <v>0</v>
      </c>
      <c r="X127" s="25">
        <f t="shared" si="279"/>
        <v>0</v>
      </c>
      <c r="Y127" s="25">
        <f t="shared" si="279"/>
        <v>0</v>
      </c>
      <c r="Z127" s="25">
        <f t="shared" si="279"/>
        <v>0</v>
      </c>
      <c r="AA127" s="25">
        <f t="shared" si="279"/>
        <v>0</v>
      </c>
      <c r="AB127" s="25">
        <f t="shared" si="279"/>
        <v>0</v>
      </c>
      <c r="AC127" s="118" t="e">
        <f t="shared" si="273"/>
        <v>#DIV/0!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6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-6.5</v>
      </c>
      <c r="H129" s="25">
        <f t="shared" ref="H129:P129" si="280">H16</f>
        <v>1.24</v>
      </c>
      <c r="I129" s="25">
        <f t="shared" si="280"/>
        <v>31.7</v>
      </c>
      <c r="J129" s="25">
        <f t="shared" si="280"/>
        <v>41.69</v>
      </c>
      <c r="K129" s="25">
        <f t="shared" si="280"/>
        <v>109</v>
      </c>
      <c r="L129" s="25">
        <f t="shared" si="280"/>
        <v>132</v>
      </c>
      <c r="M129" s="25">
        <f t="shared" si="280"/>
        <v>143</v>
      </c>
      <c r="N129" s="25">
        <f t="shared" si="280"/>
        <v>170</v>
      </c>
      <c r="O129" s="25">
        <f t="shared" si="280"/>
        <v>-53</v>
      </c>
      <c r="P129" s="25">
        <f t="shared" si="280"/>
        <v>-53</v>
      </c>
      <c r="Q129" s="118">
        <f t="shared" si="202"/>
        <v>0.26259045395070446</v>
      </c>
      <c r="R129" s="128"/>
      <c r="S129" s="25">
        <f t="shared" ref="S129:AB129" si="281">S16</f>
        <v>-59.889999999999993</v>
      </c>
      <c r="T129" s="25">
        <f t="shared" si="281"/>
        <v>-67.675699999999992</v>
      </c>
      <c r="U129" s="25">
        <f t="shared" si="281"/>
        <v>-76.473540999999983</v>
      </c>
      <c r="V129" s="25">
        <f t="shared" si="281"/>
        <v>-86.41510132999997</v>
      </c>
      <c r="W129" s="25">
        <f t="shared" si="281"/>
        <v>-97.649064502899961</v>
      </c>
      <c r="X129" s="25">
        <f t="shared" si="281"/>
        <v>-110.34344288827694</v>
      </c>
      <c r="Y129" s="25">
        <f t="shared" si="281"/>
        <v>-124.68809046375293</v>
      </c>
      <c r="Z129" s="25">
        <f t="shared" si="281"/>
        <v>-140.89754222404079</v>
      </c>
      <c r="AA129" s="25">
        <f t="shared" si="281"/>
        <v>-159.21422271316607</v>
      </c>
      <c r="AB129" s="25">
        <f t="shared" si="281"/>
        <v>-179.91207166587765</v>
      </c>
      <c r="AC129" s="118">
        <f t="shared" si="273"/>
        <v>0.12999999999999989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82">G129*365/G25</f>
        <v>-32.5</v>
      </c>
      <c r="H130" s="119">
        <f t="shared" si="282"/>
        <v>4.9195652173913045</v>
      </c>
      <c r="I130" s="119">
        <f t="shared" si="282"/>
        <v>39.355442176870746</v>
      </c>
      <c r="J130" s="119">
        <f t="shared" si="282"/>
        <v>37.387837837837836</v>
      </c>
      <c r="K130" s="119">
        <f t="shared" si="282"/>
        <v>75.350378787878782</v>
      </c>
      <c r="L130" s="119">
        <f t="shared" si="282"/>
        <v>86.499102333931774</v>
      </c>
      <c r="M130" s="119">
        <f t="shared" si="282"/>
        <v>74.777936962750715</v>
      </c>
      <c r="N130" s="119">
        <f t="shared" si="282"/>
        <v>73</v>
      </c>
      <c r="O130" s="119">
        <f t="shared" si="282"/>
        <v>-19.383767535070142</v>
      </c>
      <c r="P130" s="119">
        <f t="shared" si="282"/>
        <v>-19.383767535070142</v>
      </c>
      <c r="Q130" s="118">
        <f t="shared" si="202"/>
        <v>-5.5805105032518676E-2</v>
      </c>
      <c r="R130" s="128"/>
      <c r="S130" s="119">
        <f t="shared" ref="S130:AB130" si="283">S129*365/S25</f>
        <v>-19.383767535070142</v>
      </c>
      <c r="T130" s="119">
        <f t="shared" si="283"/>
        <v>-19.383767535070142</v>
      </c>
      <c r="U130" s="119">
        <f t="shared" si="283"/>
        <v>-19.383767535070145</v>
      </c>
      <c r="V130" s="119">
        <f t="shared" si="283"/>
        <v>-19.383767535070145</v>
      </c>
      <c r="W130" s="119">
        <f t="shared" si="283"/>
        <v>-19.383767535070145</v>
      </c>
      <c r="X130" s="119">
        <f t="shared" si="283"/>
        <v>-19.383767535070145</v>
      </c>
      <c r="Y130" s="119">
        <f t="shared" si="283"/>
        <v>-19.383767535070145</v>
      </c>
      <c r="Z130" s="119">
        <f t="shared" si="283"/>
        <v>-19.383767535070145</v>
      </c>
      <c r="AA130" s="119">
        <f t="shared" si="283"/>
        <v>-19.383767535070142</v>
      </c>
      <c r="AB130" s="119">
        <f t="shared" si="283"/>
        <v>-19.383767535070145</v>
      </c>
      <c r="AC130" s="118">
        <f t="shared" si="273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2" t="e">
        <f>G78/G29</f>
        <v>#DIV/0!</v>
      </c>
      <c r="H131" s="132" t="e">
        <f t="shared" ref="H131:P131" si="284">H78/H29</f>
        <v>#DIV/0!</v>
      </c>
      <c r="I131" s="132" t="e">
        <f t="shared" si="284"/>
        <v>#DIV/0!</v>
      </c>
      <c r="J131" s="132" t="e">
        <f t="shared" si="284"/>
        <v>#DIV/0!</v>
      </c>
      <c r="K131" s="132" t="e">
        <f t="shared" si="284"/>
        <v>#DIV/0!</v>
      </c>
      <c r="L131" s="132" t="e">
        <f t="shared" si="284"/>
        <v>#DIV/0!</v>
      </c>
      <c r="M131" s="132" t="e">
        <f t="shared" si="284"/>
        <v>#DIV/0!</v>
      </c>
      <c r="N131" s="132" t="e">
        <f t="shared" si="284"/>
        <v>#DIV/0!</v>
      </c>
      <c r="O131" s="132" t="e">
        <f t="shared" si="284"/>
        <v>#DIV/0!</v>
      </c>
      <c r="P131" s="132" t="e">
        <f t="shared" si="284"/>
        <v>#DIV/0!</v>
      </c>
      <c r="Q131" s="118" t="e">
        <f t="shared" si="202"/>
        <v>#DIV/0!</v>
      </c>
      <c r="R131" s="128"/>
      <c r="S131" s="132" t="e">
        <f t="shared" ref="S131:AB131" si="285">S78/S29</f>
        <v>#DIV/0!</v>
      </c>
      <c r="T131" s="132" t="e">
        <f t="shared" si="285"/>
        <v>#DIV/0!</v>
      </c>
      <c r="U131" s="132" t="e">
        <f t="shared" si="285"/>
        <v>#DIV/0!</v>
      </c>
      <c r="V131" s="132" t="e">
        <f t="shared" si="285"/>
        <v>#DIV/0!</v>
      </c>
      <c r="W131" s="132" t="e">
        <f t="shared" si="285"/>
        <v>#DIV/0!</v>
      </c>
      <c r="X131" s="132" t="e">
        <f t="shared" si="285"/>
        <v>#DIV/0!</v>
      </c>
      <c r="Y131" s="132" t="e">
        <f t="shared" si="285"/>
        <v>#DIV/0!</v>
      </c>
      <c r="Z131" s="132" t="e">
        <f t="shared" si="285"/>
        <v>#DIV/0!</v>
      </c>
      <c r="AA131" s="132" t="e">
        <f t="shared" si="285"/>
        <v>#DIV/0!</v>
      </c>
      <c r="AB131" s="132" t="e">
        <f t="shared" si="285"/>
        <v>#DIV/0!</v>
      </c>
      <c r="AC131" s="118" t="e">
        <f t="shared" si="273"/>
        <v>#DIV/0!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6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79" t="e">
        <f>G25/G14</f>
        <v>#DIV/0!</v>
      </c>
      <c r="H133" s="179" t="e">
        <f t="shared" ref="H133:P133" si="286">H25/H14</f>
        <v>#DIV/0!</v>
      </c>
      <c r="I133" s="179" t="e">
        <f t="shared" si="286"/>
        <v>#DIV/0!</v>
      </c>
      <c r="J133" s="179" t="e">
        <f t="shared" si="286"/>
        <v>#DIV/0!</v>
      </c>
      <c r="K133" s="179" t="e">
        <f t="shared" si="286"/>
        <v>#DIV/0!</v>
      </c>
      <c r="L133" s="179" t="e">
        <f t="shared" si="286"/>
        <v>#DIV/0!</v>
      </c>
      <c r="M133" s="179" t="e">
        <f t="shared" si="286"/>
        <v>#DIV/0!</v>
      </c>
      <c r="N133" s="179" t="e">
        <f t="shared" si="286"/>
        <v>#DIV/0!</v>
      </c>
      <c r="O133" s="179" t="e">
        <f t="shared" si="286"/>
        <v>#DIV/0!</v>
      </c>
      <c r="P133" s="179" t="e">
        <f t="shared" si="286"/>
        <v>#DIV/0!</v>
      </c>
      <c r="Q133" s="118" t="e">
        <f t="shared" si="202"/>
        <v>#DIV/0!</v>
      </c>
      <c r="R133" s="128"/>
      <c r="S133" s="20" t="e">
        <f t="shared" ref="S133" si="287">S25/S14</f>
        <v>#DIV/0!</v>
      </c>
      <c r="T133" s="20" t="e">
        <f t="shared" ref="T133:AB133" si="288">T25/T14</f>
        <v>#DIV/0!</v>
      </c>
      <c r="U133" s="20" t="e">
        <f t="shared" si="288"/>
        <v>#DIV/0!</v>
      </c>
      <c r="V133" s="20" t="e">
        <f t="shared" si="288"/>
        <v>#DIV/0!</v>
      </c>
      <c r="W133" s="20" t="e">
        <f t="shared" si="288"/>
        <v>#DIV/0!</v>
      </c>
      <c r="X133" s="20" t="e">
        <f t="shared" si="288"/>
        <v>#DIV/0!</v>
      </c>
      <c r="Y133" s="20" t="e">
        <f t="shared" si="288"/>
        <v>#DIV/0!</v>
      </c>
      <c r="Z133" s="20" t="e">
        <f t="shared" si="288"/>
        <v>#DIV/0!</v>
      </c>
      <c r="AA133" s="20" t="e">
        <f t="shared" si="288"/>
        <v>#DIV/0!</v>
      </c>
      <c r="AB133" s="20" t="e">
        <f t="shared" si="288"/>
        <v>#DIV/0!</v>
      </c>
      <c r="AC133" s="118" t="e">
        <f t="shared" si="273"/>
        <v>#DIV/0!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79" t="e">
        <f>G27/G14</f>
        <v>#DIV/0!</v>
      </c>
      <c r="H134" s="179" t="e">
        <f t="shared" ref="H134:P134" si="289">H27/H14</f>
        <v>#DIV/0!</v>
      </c>
      <c r="I134" s="179" t="e">
        <f t="shared" si="289"/>
        <v>#DIV/0!</v>
      </c>
      <c r="J134" s="179" t="e">
        <f t="shared" si="289"/>
        <v>#DIV/0!</v>
      </c>
      <c r="K134" s="179" t="e">
        <f t="shared" si="289"/>
        <v>#DIV/0!</v>
      </c>
      <c r="L134" s="179" t="e">
        <f t="shared" si="289"/>
        <v>#DIV/0!</v>
      </c>
      <c r="M134" s="179" t="e">
        <f t="shared" si="289"/>
        <v>#DIV/0!</v>
      </c>
      <c r="N134" s="179" t="e">
        <f t="shared" si="289"/>
        <v>#DIV/0!</v>
      </c>
      <c r="O134" s="179" t="e">
        <f t="shared" si="289"/>
        <v>#DIV/0!</v>
      </c>
      <c r="P134" s="179" t="e">
        <f t="shared" si="289"/>
        <v>#DIV/0!</v>
      </c>
      <c r="Q134" s="118" t="e">
        <f t="shared" si="202"/>
        <v>#DIV/0!</v>
      </c>
      <c r="R134" s="128"/>
      <c r="S134" s="20" t="e">
        <f t="shared" ref="S134:AB134" si="290">S27/S14</f>
        <v>#DIV/0!</v>
      </c>
      <c r="T134" s="20" t="e">
        <f t="shared" si="290"/>
        <v>#DIV/0!</v>
      </c>
      <c r="U134" s="20" t="e">
        <f t="shared" si="290"/>
        <v>#DIV/0!</v>
      </c>
      <c r="V134" s="20" t="e">
        <f t="shared" si="290"/>
        <v>#DIV/0!</v>
      </c>
      <c r="W134" s="20" t="e">
        <f t="shared" si="290"/>
        <v>#DIV/0!</v>
      </c>
      <c r="X134" s="20" t="e">
        <f t="shared" si="290"/>
        <v>#DIV/0!</v>
      </c>
      <c r="Y134" s="20" t="e">
        <f t="shared" si="290"/>
        <v>#DIV/0!</v>
      </c>
      <c r="Z134" s="20" t="e">
        <f t="shared" si="290"/>
        <v>#DIV/0!</v>
      </c>
      <c r="AA134" s="20" t="e">
        <f t="shared" si="290"/>
        <v>#DIV/0!</v>
      </c>
      <c r="AB134" s="20" t="e">
        <f t="shared" si="290"/>
        <v>#DIV/0!</v>
      </c>
      <c r="AC134" s="118" t="e">
        <f t="shared" si="273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6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6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59">
        <f>AVERAGE(G52:P52)</f>
        <v>106.76328637621512</v>
      </c>
      <c r="R137" s="23"/>
      <c r="S137" s="133"/>
      <c r="T137" s="20"/>
      <c r="U137" s="20"/>
      <c r="V137" s="20"/>
      <c r="W137" s="20"/>
      <c r="X137" s="20"/>
      <c r="Y137" s="20"/>
      <c r="Z137" s="20"/>
      <c r="AA137" s="20"/>
      <c r="AB137" s="20"/>
      <c r="AC137" s="136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39">
        <f>S138+T138</f>
        <v>347.76612858305458</v>
      </c>
      <c r="S138" s="132">
        <f>PV($C$1, ($AB$3-$S$3), 0, -AB52)</f>
        <v>30.240532920265618</v>
      </c>
      <c r="T138" s="132">
        <f>PV($C$1, ($AB$3-$S$3), 0, -AE52)</f>
        <v>317.52559566278899</v>
      </c>
      <c r="U138" s="20"/>
      <c r="V138" s="20"/>
      <c r="W138" s="20"/>
      <c r="X138" s="20"/>
      <c r="Y138" s="20"/>
      <c r="Z138" s="20"/>
      <c r="AA138" s="20"/>
      <c r="AB138" s="20"/>
      <c r="AC138" s="136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39">
        <f t="shared" ref="R139:R157" si="291">S139+T139</f>
        <v>836.21946372925424</v>
      </c>
      <c r="S139" s="132">
        <f>PV($C$1, ($AB$3-$S$3), 0, -AB54)</f>
        <v>72.714735976456879</v>
      </c>
      <c r="T139" s="132">
        <f>PV($C$1, ($AB$3-$S$3), 0, -AE54)</f>
        <v>763.50472775279741</v>
      </c>
      <c r="U139" s="20"/>
      <c r="V139" s="20"/>
      <c r="W139" s="20"/>
      <c r="X139" s="20"/>
      <c r="Y139" s="20"/>
      <c r="Z139" s="20"/>
      <c r="AA139" s="20"/>
      <c r="AB139" s="20"/>
      <c r="AC139" s="136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39">
        <f t="shared" si="291"/>
        <v>825.15417781979329</v>
      </c>
      <c r="S140" s="132">
        <f>PV($C$1, ($AB$3-$S$3), 0, -AB55)</f>
        <v>71.752537201721154</v>
      </c>
      <c r="T140" s="132">
        <f>PV($C$1, ($AB$3-$S$3), 0, -AE55)</f>
        <v>753.40164061807218</v>
      </c>
      <c r="U140" s="20"/>
      <c r="V140" s="20"/>
      <c r="W140" s="20"/>
      <c r="X140" s="20"/>
      <c r="Y140" s="20"/>
      <c r="Z140" s="20"/>
      <c r="AA140" s="20"/>
      <c r="AB140" s="20"/>
      <c r="AC140" s="136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39">
        <f t="shared" si="291"/>
        <v>0</v>
      </c>
      <c r="S141" s="132">
        <f>PV($C$1, ($AB$3-$S$3), 0, -AB56)</f>
        <v>0</v>
      </c>
      <c r="T141" s="132">
        <f>PV($C$1, ($AB$3-$S$3), 0, -AE56)</f>
        <v>0</v>
      </c>
      <c r="U141" s="20"/>
      <c r="V141" s="20"/>
      <c r="W141" s="20"/>
      <c r="X141" s="20"/>
      <c r="Y141" s="20"/>
      <c r="Z141" s="20"/>
      <c r="AA141" s="20"/>
      <c r="AB141" s="20"/>
      <c r="AC141" s="136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39">
        <f t="shared" si="291"/>
        <v>241.85553487821542</v>
      </c>
      <c r="S142" s="132">
        <f>PV($C$1, ($AB$3-$S$3), 0, -AB62)</f>
        <v>21.030916076366555</v>
      </c>
      <c r="T142" s="132">
        <f>PV($C$1, ($AB$3-$S$3), 0, -AE62)</f>
        <v>220.82461880184886</v>
      </c>
      <c r="U142" s="20"/>
      <c r="V142" s="20"/>
      <c r="W142" s="20"/>
      <c r="X142" s="20"/>
      <c r="Y142" s="20"/>
      <c r="Z142" s="20"/>
      <c r="AA142" s="20"/>
      <c r="AB142" s="20"/>
      <c r="AC142" s="136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39"/>
      <c r="S143" s="132"/>
      <c r="T143" s="20"/>
      <c r="U143" s="20"/>
      <c r="V143" s="20"/>
      <c r="W143" s="20"/>
      <c r="X143" s="20"/>
      <c r="Y143" s="20"/>
      <c r="Z143" s="20"/>
      <c r="AA143" s="20"/>
      <c r="AB143" s="20"/>
      <c r="AC143" s="136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39">
        <f t="shared" si="291"/>
        <v>836.21946372925424</v>
      </c>
      <c r="S144" s="132">
        <f>PV($C$1, ($AB$3-$S$3), 0, -AB58)</f>
        <v>72.714735976456879</v>
      </c>
      <c r="T144" s="132">
        <f>PV($C$1, ($AB$3-$S$3), 0, -$AE$58)</f>
        <v>763.50472775279741</v>
      </c>
      <c r="U144" s="20"/>
      <c r="V144" s="20"/>
      <c r="W144" s="20"/>
      <c r="X144" s="20"/>
      <c r="Y144" s="20"/>
      <c r="Z144" s="20"/>
      <c r="AA144" s="20"/>
      <c r="AB144" s="20"/>
      <c r="AC144" s="136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39">
        <f t="shared" si="291"/>
        <v>232.37100409867742</v>
      </c>
      <c r="S145" s="132">
        <f>PV($C$1, ($AB$3-$S$3), 0, -AB59)</f>
        <v>20.206174269450209</v>
      </c>
      <c r="T145" s="132">
        <f>PV($C$1, ($AB$3-$S$3), 0, -$AE$59)</f>
        <v>212.16482982922722</v>
      </c>
      <c r="U145" s="20"/>
      <c r="V145" s="20"/>
      <c r="W145" s="20"/>
      <c r="X145" s="20"/>
      <c r="Y145" s="20"/>
      <c r="Z145" s="20"/>
      <c r="AA145" s="20"/>
      <c r="AB145" s="20"/>
      <c r="AC145" s="136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39">
        <f t="shared" si="291"/>
        <v>659.17488917788069</v>
      </c>
      <c r="S146" s="132">
        <f>PV($C$1, ($AB$3-$S$3), 0, -AB60)</f>
        <v>57.319555580685282</v>
      </c>
      <c r="T146" s="132">
        <f>PV($C$1, ($AB$3-$S$3), 0, -$AE$60)</f>
        <v>601.85533359719545</v>
      </c>
      <c r="U146" s="20"/>
      <c r="V146" s="20"/>
      <c r="W146" s="20"/>
      <c r="X146" s="20"/>
      <c r="Y146" s="20"/>
      <c r="Z146" s="20"/>
      <c r="AA146" s="20"/>
      <c r="AB146" s="20"/>
      <c r="AC146" s="136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39"/>
      <c r="S147" s="132"/>
      <c r="T147" s="20"/>
      <c r="U147" s="20"/>
      <c r="V147" s="20"/>
      <c r="W147" s="20"/>
      <c r="X147" s="20"/>
      <c r="Y147" s="20"/>
      <c r="Z147" s="20"/>
      <c r="AA147" s="20"/>
      <c r="AB147" s="20"/>
      <c r="AC147" s="136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39">
        <f t="shared" si="291"/>
        <v>426.8038850792035</v>
      </c>
      <c r="S148" s="132">
        <f>PV($C$1, ($AB$3-$S$3), 0, -AB65)</f>
        <v>37.113381311235081</v>
      </c>
      <c r="T148" s="132">
        <f>PV($C$1, ($AB$3-$S$3), 0, -AE65)</f>
        <v>389.69050376796844</v>
      </c>
      <c r="U148" s="20"/>
      <c r="V148" s="20"/>
      <c r="W148" s="20"/>
      <c r="X148" s="20"/>
      <c r="Y148" s="20"/>
      <c r="Z148" s="20"/>
      <c r="AA148" s="20"/>
      <c r="AB148" s="20"/>
      <c r="AC148" s="136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39">
        <f t="shared" si="291"/>
        <v>-55.853347923945144</v>
      </c>
      <c r="S149" s="132">
        <f>PV($C$1, ($AB$3-$S$3), 0, -AB66)</f>
        <v>-7.2852192944276268</v>
      </c>
      <c r="T149" s="132">
        <f>PV($C$1, ($AB$3-$S$3), 0, -AE66)</f>
        <v>-48.568128629517517</v>
      </c>
      <c r="U149" s="20"/>
      <c r="V149" s="20"/>
      <c r="W149" s="20"/>
      <c r="X149" s="20"/>
      <c r="Y149" s="20"/>
      <c r="Z149" s="20"/>
      <c r="AA149" s="20"/>
      <c r="AB149" s="20"/>
      <c r="AC149" s="136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39"/>
      <c r="S150" s="132"/>
      <c r="T150" s="132"/>
      <c r="U150" s="20"/>
      <c r="V150" s="20"/>
      <c r="W150" s="20"/>
      <c r="X150" s="20"/>
      <c r="Y150" s="20"/>
      <c r="Z150" s="20"/>
      <c r="AA150" s="20"/>
      <c r="AB150" s="20"/>
      <c r="AC150" s="136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39">
        <f t="shared" ref="R151" si="292">S151+T151</f>
        <v>1697.8258548450719</v>
      </c>
      <c r="S151" s="132">
        <f>PV($C$1, ($AB$3-$S$3), 0, -AB12)</f>
        <v>147.63703085609322</v>
      </c>
      <c r="T151" s="132">
        <f>PV($C$1, ($AB$3-$S$3), 0, -AE12)</f>
        <v>1550.1888239889788</v>
      </c>
      <c r="U151" s="20"/>
      <c r="V151" s="20"/>
      <c r="W151" s="20"/>
      <c r="X151" s="20"/>
      <c r="Y151" s="20"/>
      <c r="Z151" s="20"/>
      <c r="AA151" s="20"/>
      <c r="AB151" s="20"/>
      <c r="AC151" s="136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39">
        <f>S152+T152</f>
        <v>241.85553487821542</v>
      </c>
      <c r="S152" s="139">
        <f>S151/P42</f>
        <v>21.030916076366555</v>
      </c>
      <c r="T152" s="139">
        <f>T151/P42</f>
        <v>220.82461880184886</v>
      </c>
      <c r="U152" s="20"/>
      <c r="V152" s="20"/>
      <c r="W152" s="20"/>
      <c r="X152" s="20"/>
      <c r="Y152" s="20"/>
      <c r="Z152" s="20"/>
      <c r="AA152" s="20"/>
      <c r="AB152" s="20"/>
      <c r="AC152" s="136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39"/>
      <c r="S153" s="139"/>
      <c r="T153" s="139"/>
      <c r="U153" s="20"/>
      <c r="V153" s="20"/>
      <c r="W153" s="20"/>
      <c r="X153" s="20"/>
      <c r="Y153" s="20"/>
      <c r="Z153" s="20"/>
      <c r="AA153" s="20"/>
      <c r="AB153" s="20"/>
      <c r="AC153" s="136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39"/>
      <c r="S154" s="132"/>
      <c r="T154" s="132"/>
      <c r="U154" s="20"/>
      <c r="V154" s="20"/>
      <c r="W154" s="20"/>
      <c r="X154" s="20"/>
      <c r="Y154" s="20"/>
      <c r="Z154" s="20"/>
      <c r="AA154" s="20"/>
      <c r="AB154" s="20"/>
      <c r="AC154" s="136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39">
        <f t="shared" ref="R155" si="293">S155+T155</f>
        <v>228.21046317280826</v>
      </c>
      <c r="S155" s="132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150.42083255755418</v>
      </c>
      <c r="T155" s="132">
        <f>PV($C$1, ($AB$3-$S$3), 0, -AE68)</f>
        <v>77.789630615254097</v>
      </c>
      <c r="U155" s="20"/>
      <c r="V155" s="20"/>
      <c r="W155" s="20"/>
      <c r="X155" s="20"/>
      <c r="Y155" s="20"/>
      <c r="Z155" s="20"/>
      <c r="AA155" s="20"/>
      <c r="AB155" s="20"/>
      <c r="AC155" s="136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39"/>
      <c r="S156" s="132"/>
      <c r="T156" s="132"/>
      <c r="U156" s="20"/>
      <c r="V156" s="20"/>
      <c r="W156" s="20"/>
      <c r="X156" s="20"/>
      <c r="Y156" s="20"/>
      <c r="Z156" s="20"/>
      <c r="AA156" s="20"/>
      <c r="AB156" s="20"/>
      <c r="AC156" s="136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39">
        <f t="shared" si="291"/>
        <v>2467.0906437874805</v>
      </c>
      <c r="S157" s="132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1626.1385366562049</v>
      </c>
      <c r="T157" s="132">
        <f>PV($C$1, ($AB$3-$S$3), 0, -AE70)</f>
        <v>840.95210713127574</v>
      </c>
      <c r="U157" s="20"/>
      <c r="V157" s="20"/>
      <c r="W157" s="20"/>
      <c r="X157" s="20"/>
      <c r="Y157" s="20"/>
      <c r="Z157" s="20"/>
      <c r="AA157" s="20"/>
      <c r="AB157" s="20"/>
      <c r="AC157" s="136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39"/>
      <c r="S158" s="132"/>
      <c r="T158" s="132"/>
      <c r="U158" s="20"/>
      <c r="V158" s="20"/>
      <c r="W158" s="20"/>
      <c r="X158" s="20"/>
      <c r="Y158" s="20"/>
      <c r="Z158" s="20"/>
      <c r="AA158" s="20"/>
      <c r="AB158" s="20"/>
      <c r="AC158" s="136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39">
        <f t="shared" ref="R159:R162" si="294">S159+T159</f>
        <v>351.43741364494025</v>
      </c>
      <c r="S159" s="132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231.64366619034257</v>
      </c>
      <c r="T159" s="132">
        <f>PV($C$1, ($AB$3-$S$3), 0, -AE72)</f>
        <v>119.79374745459769</v>
      </c>
      <c r="U159" s="20"/>
      <c r="V159" s="20"/>
      <c r="W159" s="20"/>
      <c r="X159" s="20"/>
      <c r="Y159" s="20"/>
      <c r="Z159" s="20"/>
      <c r="AA159" s="20"/>
      <c r="AB159" s="20"/>
      <c r="AC159" s="136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39">
        <f t="shared" si="294"/>
        <v>630.89367027826631</v>
      </c>
      <c r="S160" s="132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415.84224412483189</v>
      </c>
      <c r="T160" s="132">
        <f>PV($C$1, ($AB$3-$S$3), 0, -AE73)</f>
        <v>215.05142615343445</v>
      </c>
      <c r="U160" s="20"/>
      <c r="V160" s="20"/>
      <c r="W160" s="20"/>
      <c r="X160" s="20"/>
      <c r="Y160" s="20"/>
      <c r="Z160" s="20"/>
      <c r="AA160" s="20"/>
      <c r="AB160" s="20"/>
      <c r="AC160" s="136"/>
      <c r="AD160" s="20"/>
      <c r="AE160" s="20"/>
    </row>
    <row r="161" spans="2:32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39">
        <f t="shared" si="294"/>
        <v>-279.45625663332601</v>
      </c>
      <c r="S161" s="132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-184.19857793448929</v>
      </c>
      <c r="T161" s="132">
        <f>PV($C$1, ($AB$3-$S$3), 0, -AE74)</f>
        <v>-95.257678698836727</v>
      </c>
      <c r="U161" s="20"/>
      <c r="V161" s="20"/>
      <c r="W161" s="20"/>
      <c r="X161" s="20"/>
      <c r="Y161" s="20"/>
      <c r="Z161" s="20"/>
      <c r="AA161" s="20"/>
      <c r="AB161" s="20"/>
      <c r="AC161" s="136"/>
      <c r="AD161" s="20"/>
      <c r="AE161" s="20"/>
    </row>
    <row r="162" spans="2:32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39">
        <f t="shared" si="294"/>
        <v>-465.76042772220995</v>
      </c>
      <c r="S162" s="132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-306.99762989081546</v>
      </c>
      <c r="T162" s="132">
        <f>PV($C$1, ($AB$3-$S$3), 0, -AE75)</f>
        <v>-158.76279783139449</v>
      </c>
      <c r="U162" s="20"/>
      <c r="V162" s="20"/>
      <c r="W162" s="20"/>
      <c r="X162" s="20"/>
      <c r="Y162" s="20"/>
      <c r="Z162" s="20"/>
      <c r="AA162" s="20"/>
      <c r="AB162" s="20"/>
      <c r="AC162" s="136"/>
      <c r="AD162" s="20"/>
      <c r="AE162" s="20"/>
    </row>
    <row r="163" spans="2:32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39"/>
      <c r="S163" s="132"/>
      <c r="T163" s="132"/>
      <c r="U163" s="20"/>
      <c r="V163" s="20"/>
      <c r="W163" s="20"/>
      <c r="X163" s="20"/>
      <c r="Y163" s="20"/>
      <c r="Z163" s="20"/>
      <c r="AA163" s="20"/>
      <c r="AB163" s="20"/>
      <c r="AC163" s="136"/>
      <c r="AD163" s="20"/>
      <c r="AE163" s="20"/>
    </row>
    <row r="164" spans="2:32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39">
        <f>S164+T164</f>
        <v>152.43068543635962</v>
      </c>
      <c r="S164" s="132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100.47195160063052</v>
      </c>
      <c r="T164" s="132">
        <f>PV($C$1, ($AB$3-$S$3), 0, -AE76)</f>
        <v>51.95873383572912</v>
      </c>
      <c r="U164" s="20"/>
      <c r="V164" s="20"/>
      <c r="W164" s="20"/>
      <c r="X164" s="20"/>
      <c r="Y164" s="20"/>
      <c r="Z164" s="20"/>
      <c r="AA164" s="20"/>
      <c r="AB164" s="20"/>
      <c r="AC164" s="136"/>
      <c r="AD164" s="20"/>
      <c r="AE164" s="20"/>
    </row>
    <row r="165" spans="2:32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2">
        <v>41729</v>
      </c>
      <c r="P165" s="20">
        <v>750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6"/>
      <c r="AD165" s="20"/>
      <c r="AE165" s="20"/>
    </row>
    <row r="166" spans="2:32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800</v>
      </c>
      <c r="Q166" s="20">
        <v>450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6"/>
      <c r="AD166" s="20"/>
      <c r="AE166" s="20"/>
    </row>
    <row r="167" spans="2:32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470</v>
      </c>
      <c r="H167" s="22">
        <v>650</v>
      </c>
      <c r="I167" s="22">
        <v>1600</v>
      </c>
      <c r="J167" s="22">
        <v>2000</v>
      </c>
      <c r="K167" s="22">
        <v>3000</v>
      </c>
      <c r="L167" s="22">
        <v>2120</v>
      </c>
      <c r="M167" s="22">
        <v>4900</v>
      </c>
      <c r="N167" s="22">
        <v>5600</v>
      </c>
      <c r="O167" s="22">
        <v>920</v>
      </c>
      <c r="P167" s="22">
        <v>500</v>
      </c>
      <c r="Q167" s="118">
        <f t="shared" ref="Q167:Q172" si="295">((P167/G167)^(1/($H$2-$H$1) ))-1</f>
        <v>6.8987322312663579E-3</v>
      </c>
      <c r="R167" s="31">
        <f>L2-3%</f>
        <v>0.1</v>
      </c>
      <c r="S167" s="119">
        <f t="shared" ref="S167" si="296">P167*(1+$R167)</f>
        <v>550</v>
      </c>
      <c r="T167" s="119">
        <f t="shared" ref="T167:AB167" si="297">S167*(1+$R167)</f>
        <v>605</v>
      </c>
      <c r="U167" s="119">
        <f t="shared" si="297"/>
        <v>665.5</v>
      </c>
      <c r="V167" s="119">
        <f t="shared" si="297"/>
        <v>732.05000000000007</v>
      </c>
      <c r="W167" s="119">
        <f t="shared" si="297"/>
        <v>805.25500000000011</v>
      </c>
      <c r="X167" s="119">
        <f t="shared" si="297"/>
        <v>885.78050000000019</v>
      </c>
      <c r="Y167" s="119">
        <f t="shared" si="297"/>
        <v>974.35855000000026</v>
      </c>
      <c r="Z167" s="119">
        <f t="shared" si="297"/>
        <v>1071.7944050000003</v>
      </c>
      <c r="AA167" s="119">
        <f t="shared" si="297"/>
        <v>1178.9738455000004</v>
      </c>
      <c r="AB167" s="119">
        <f t="shared" si="297"/>
        <v>1296.8712300500006</v>
      </c>
      <c r="AC167" s="137">
        <f t="shared" ref="AC167:AC172" si="298">((AB167/G167)^(1/($AB$3-$H$1) ))-1</f>
        <v>5.4872443226912981E-2</v>
      </c>
      <c r="AD167" s="31">
        <v>0.08</v>
      </c>
      <c r="AE167" s="127">
        <f t="shared" ref="AE167:AE175" si="299">(AB167*(1+AC167))/($C$1-AD167)</f>
        <v>19543.33889990766</v>
      </c>
    </row>
    <row r="168" spans="2:32" x14ac:dyDescent="0.2">
      <c r="B168" s="20" t="s">
        <v>361</v>
      </c>
      <c r="C168" s="25" t="e">
        <f t="shared" ref="C168:P168" si="300">C167/C49</f>
        <v>#DIV/0!</v>
      </c>
      <c r="D168" s="25" t="e">
        <f t="shared" si="300"/>
        <v>#DIV/0!</v>
      </c>
      <c r="E168" s="25" t="e">
        <f t="shared" si="300"/>
        <v>#DIV/0!</v>
      </c>
      <c r="F168" s="25" t="e">
        <f t="shared" si="300"/>
        <v>#DIV/0!</v>
      </c>
      <c r="G168" s="25">
        <f t="shared" si="300"/>
        <v>4.0516575342465755</v>
      </c>
      <c r="H168" s="25">
        <f t="shared" si="300"/>
        <v>4.4977173913043478</v>
      </c>
      <c r="I168" s="25">
        <f t="shared" si="300"/>
        <v>3.676190476190476</v>
      </c>
      <c r="J168" s="25">
        <f t="shared" si="300"/>
        <v>3.5651105651105652</v>
      </c>
      <c r="K168" s="25">
        <f t="shared" si="300"/>
        <v>4.1051136363636367</v>
      </c>
      <c r="L168" s="25">
        <f t="shared" si="300"/>
        <v>2.7499102333931775</v>
      </c>
      <c r="M168" s="25">
        <f t="shared" si="300"/>
        <v>4.9821346704871061</v>
      </c>
      <c r="N168" s="25">
        <f t="shared" si="300"/>
        <v>46.710588235294118</v>
      </c>
      <c r="O168" s="25">
        <f t="shared" si="300"/>
        <v>6.4713426853707405</v>
      </c>
      <c r="P168" s="25">
        <f t="shared" si="300"/>
        <v>3.5170340681362724</v>
      </c>
      <c r="Q168" s="118">
        <f t="shared" ref="Q168" si="301">((P168/G168)^(1/($H$2-$H$1) ))-1</f>
        <v>-1.5600151025640052E-2</v>
      </c>
      <c r="R168" s="128"/>
      <c r="S168" s="25">
        <f t="shared" ref="S168:AB168" si="302">S167/S49</f>
        <v>3.423661482256549</v>
      </c>
      <c r="T168" s="25">
        <f t="shared" si="302"/>
        <v>3.3327678145860213</v>
      </c>
      <c r="U168" s="25">
        <f t="shared" si="302"/>
        <v>3.2442872531368354</v>
      </c>
      <c r="V168" s="25">
        <f t="shared" si="302"/>
        <v>3.1581557331420527</v>
      </c>
      <c r="W168" s="25">
        <f t="shared" si="302"/>
        <v>3.0743108906692558</v>
      </c>
      <c r="X168" s="25">
        <f t="shared" si="302"/>
        <v>2.9926920174656471</v>
      </c>
      <c r="Y168" s="25">
        <f t="shared" si="302"/>
        <v>2.9132400170019581</v>
      </c>
      <c r="Z168" s="25">
        <f t="shared" si="302"/>
        <v>2.8358973616833225</v>
      </c>
      <c r="AA168" s="25">
        <f t="shared" si="302"/>
        <v>2.7606080511961548</v>
      </c>
      <c r="AB168" s="25">
        <f t="shared" si="302"/>
        <v>2.6873175719608593</v>
      </c>
      <c r="AC168" s="137">
        <f t="shared" ref="AC168" si="303">((AB168/G168)^(1/($AB$3-$H$1) ))-1</f>
        <v>-2.1377793343560603E-2</v>
      </c>
      <c r="AD168" s="31">
        <v>0.08</v>
      </c>
      <c r="AE168" s="127">
        <f t="shared" ref="AE168" si="304">(AB168*(1+AC168))/($C$1-AD168)</f>
        <v>37.569552175128024</v>
      </c>
    </row>
    <row r="169" spans="2:32" x14ac:dyDescent="0.2">
      <c r="B169" s="20" t="s">
        <v>389</v>
      </c>
      <c r="C169" s="25" t="e">
        <f t="shared" ref="C169:P169" si="305">C167/C52</f>
        <v>#DIV/0!</v>
      </c>
      <c r="D169" s="25" t="e">
        <f t="shared" si="305"/>
        <v>#DIV/0!</v>
      </c>
      <c r="E169" s="25" t="e">
        <f t="shared" si="305"/>
        <v>#DIV/0!</v>
      </c>
      <c r="F169" s="25" t="e">
        <f t="shared" si="305"/>
        <v>#DIV/0!</v>
      </c>
      <c r="G169" s="25">
        <f t="shared" si="305"/>
        <v>16.486677814938684</v>
      </c>
      <c r="H169" s="25">
        <f t="shared" si="305"/>
        <v>18.808636363636364</v>
      </c>
      <c r="I169" s="25">
        <f t="shared" si="305"/>
        <v>17.602605863192181</v>
      </c>
      <c r="J169" s="25">
        <f t="shared" si="305"/>
        <v>17.273809523809526</v>
      </c>
      <c r="K169" s="25">
        <f t="shared" si="305"/>
        <v>15.427046263345197</v>
      </c>
      <c r="L169" s="25">
        <f t="shared" si="305"/>
        <v>9.5136645962732924</v>
      </c>
      <c r="M169" s="25">
        <f t="shared" si="305"/>
        <v>16.963560975609756</v>
      </c>
      <c r="N169" s="25">
        <f t="shared" si="305"/>
        <v>192.73786407766991</v>
      </c>
      <c r="O169" s="25">
        <f t="shared" si="305"/>
        <v>29.356363636363636</v>
      </c>
      <c r="P169" s="25">
        <f t="shared" si="305"/>
        <v>15.954545454545453</v>
      </c>
      <c r="Q169" s="118">
        <f t="shared" si="295"/>
        <v>-3.6387945403799637E-3</v>
      </c>
      <c r="R169" s="128"/>
      <c r="S169" s="119">
        <f t="shared" ref="S169:AB169" si="306">S167/S52</f>
        <v>15.530973451327434</v>
      </c>
      <c r="T169" s="119">
        <f t="shared" si="306"/>
        <v>15.118646722531132</v>
      </c>
      <c r="U169" s="119">
        <f t="shared" si="306"/>
        <v>14.717266721048007</v>
      </c>
      <c r="V169" s="119">
        <f t="shared" si="306"/>
        <v>14.326542825798947</v>
      </c>
      <c r="W169" s="119">
        <f t="shared" si="306"/>
        <v>13.946192131308713</v>
      </c>
      <c r="X169" s="119">
        <f t="shared" si="306"/>
        <v>13.575939242866891</v>
      </c>
      <c r="Y169" s="119">
        <f t="shared" si="306"/>
        <v>13.215516077127065</v>
      </c>
      <c r="Z169" s="119">
        <f t="shared" si="306"/>
        <v>12.864661667999796</v>
      </c>
      <c r="AA169" s="119">
        <f t="shared" si="306"/>
        <v>12.523121977698919</v>
      </c>
      <c r="AB169" s="119">
        <f t="shared" si="306"/>
        <v>12.190649712804262</v>
      </c>
      <c r="AC169" s="137">
        <f t="shared" si="298"/>
        <v>-1.5763042506043989E-2</v>
      </c>
      <c r="AD169" s="31">
        <v>0.08</v>
      </c>
      <c r="AE169" s="127">
        <f t="shared" si="299"/>
        <v>171.40697118864338</v>
      </c>
    </row>
    <row r="170" spans="2:32" x14ac:dyDescent="0.2">
      <c r="B170" s="20" t="s">
        <v>258</v>
      </c>
      <c r="C170" s="25" t="e">
        <f t="shared" ref="C170:P170" si="307">C167/C55</f>
        <v>#DIV/0!</v>
      </c>
      <c r="D170" s="25" t="e">
        <f t="shared" si="307"/>
        <v>#DIV/0!</v>
      </c>
      <c r="E170" s="25" t="e">
        <f t="shared" si="307"/>
        <v>#DIV/0!</v>
      </c>
      <c r="F170" s="25" t="e">
        <f t="shared" si="307"/>
        <v>#DIV/0!</v>
      </c>
      <c r="G170" s="25">
        <f t="shared" si="307"/>
        <v>3.3232696629213483</v>
      </c>
      <c r="H170" s="25">
        <f t="shared" si="307"/>
        <v>3.9787500000000002</v>
      </c>
      <c r="I170" s="25">
        <f t="shared" si="307"/>
        <v>5.9384615384615387</v>
      </c>
      <c r="J170" s="25">
        <f t="shared" si="307"/>
        <v>5.3740740740740742</v>
      </c>
      <c r="K170" s="25">
        <f t="shared" si="307"/>
        <v>6.1928571428571431</v>
      </c>
      <c r="L170" s="25">
        <f t="shared" si="307"/>
        <v>3.5955399061032867</v>
      </c>
      <c r="M170" s="25">
        <f t="shared" si="307"/>
        <v>8.9858656330749351</v>
      </c>
      <c r="N170" s="25">
        <f t="shared" si="307"/>
        <v>97.793103448275872</v>
      </c>
      <c r="O170" s="25">
        <f t="shared" si="307"/>
        <v>12.372413793103448</v>
      </c>
      <c r="P170" s="25">
        <f t="shared" si="307"/>
        <v>6.7241379310344822</v>
      </c>
      <c r="Q170" s="118">
        <f t="shared" si="295"/>
        <v>8.1453603966968213E-2</v>
      </c>
      <c r="R170" s="128"/>
      <c r="S170" s="119">
        <f t="shared" ref="S170:AB170" si="308">S167/S55</f>
        <v>6.545620994812329</v>
      </c>
      <c r="T170" s="119">
        <f t="shared" si="308"/>
        <v>6.3718434462774889</v>
      </c>
      <c r="U170" s="119">
        <f t="shared" si="308"/>
        <v>6.2026794609780875</v>
      </c>
      <c r="V170" s="119">
        <f t="shared" si="308"/>
        <v>6.0380065549344222</v>
      </c>
      <c r="W170" s="119">
        <f t="shared" si="308"/>
        <v>5.8777054959538635</v>
      </c>
      <c r="X170" s="119">
        <f t="shared" si="308"/>
        <v>5.7216602173002222</v>
      </c>
      <c r="Y170" s="119">
        <f t="shared" si="308"/>
        <v>5.5697577336550843</v>
      </c>
      <c r="Z170" s="119">
        <f t="shared" si="308"/>
        <v>5.4218880593102599</v>
      </c>
      <c r="AA170" s="119">
        <f t="shared" si="308"/>
        <v>5.2779441285321118</v>
      </c>
      <c r="AB170" s="119">
        <f t="shared" si="308"/>
        <v>5.1378217180401098</v>
      </c>
      <c r="AC170" s="137">
        <f t="shared" si="298"/>
        <v>2.3195455305083046E-2</v>
      </c>
      <c r="AD170" s="31">
        <v>0.08</v>
      </c>
      <c r="AE170" s="127">
        <f t="shared" si="299"/>
        <v>75.099940458091353</v>
      </c>
    </row>
    <row r="171" spans="2:32" x14ac:dyDescent="0.2">
      <c r="B171" s="20" t="s">
        <v>259</v>
      </c>
      <c r="C171" s="25" t="e">
        <f t="shared" ref="C171:P171" si="309">C167/C64</f>
        <v>#DIV/0!</v>
      </c>
      <c r="D171" s="25" t="e">
        <f t="shared" si="309"/>
        <v>#DIV/0!</v>
      </c>
      <c r="E171" s="25" t="e">
        <f t="shared" si="309"/>
        <v>#DIV/0!</v>
      </c>
      <c r="F171" s="25" t="e">
        <f t="shared" si="309"/>
        <v>#DIV/0!</v>
      </c>
      <c r="G171" s="25">
        <f t="shared" si="309"/>
        <v>4.7574553643236284</v>
      </c>
      <c r="H171" s="25">
        <f t="shared" si="309"/>
        <v>5.3392258064516129</v>
      </c>
      <c r="I171" s="25">
        <f t="shared" si="309"/>
        <v>13.856410256410257</v>
      </c>
      <c r="J171" s="25">
        <f t="shared" si="309"/>
        <v>10.393982808022923</v>
      </c>
      <c r="K171" s="25">
        <f t="shared" si="309"/>
        <v>9.03125</v>
      </c>
      <c r="L171" s="25">
        <f t="shared" si="309"/>
        <v>5.8239543726235743</v>
      </c>
      <c r="M171" s="25">
        <f t="shared" si="309"/>
        <v>18.546826666666664</v>
      </c>
      <c r="N171" s="25">
        <f t="shared" si="309"/>
        <v>144.98448055504841</v>
      </c>
      <c r="O171" s="25">
        <f t="shared" si="309"/>
        <v>24.098507462686566</v>
      </c>
      <c r="P171" s="25">
        <f t="shared" si="309"/>
        <v>13.097014925373134</v>
      </c>
      <c r="Q171" s="118">
        <f t="shared" si="295"/>
        <v>0.11909356897340606</v>
      </c>
      <c r="R171" s="128"/>
      <c r="S171" s="119">
        <f t="shared" ref="S171:AB171" si="310">S167/S64</f>
        <v>12.74930656452252</v>
      </c>
      <c r="T171" s="119">
        <f t="shared" si="310"/>
        <v>12.410829399092719</v>
      </c>
      <c r="U171" s="119">
        <f t="shared" si="310"/>
        <v>12.081338353099108</v>
      </c>
      <c r="V171" s="119">
        <f t="shared" si="310"/>
        <v>11.760594856999134</v>
      </c>
      <c r="W171" s="119">
        <f t="shared" si="310"/>
        <v>11.448366674954912</v>
      </c>
      <c r="X171" s="119">
        <f t="shared" si="310"/>
        <v>11.144427736681772</v>
      </c>
      <c r="Y171" s="119">
        <f t="shared" si="310"/>
        <v>10.848557973761018</v>
      </c>
      <c r="Z171" s="119">
        <f t="shared" si="310"/>
        <v>10.560543160298337</v>
      </c>
      <c r="AA171" s="119">
        <f t="shared" si="310"/>
        <v>10.280174757812542</v>
      </c>
      <c r="AB171" s="119">
        <f t="shared" si="310"/>
        <v>10.0072497642423</v>
      </c>
      <c r="AC171" s="137">
        <f t="shared" si="298"/>
        <v>3.9912606388908145E-2</v>
      </c>
      <c r="AD171" s="31">
        <v>0.08</v>
      </c>
      <c r="AE171" s="127">
        <f t="shared" si="299"/>
        <v>148.66664550168568</v>
      </c>
    </row>
    <row r="172" spans="2:32" x14ac:dyDescent="0.2">
      <c r="B172" s="20" t="s">
        <v>260</v>
      </c>
      <c r="C172" s="25" t="e">
        <f t="shared" ref="C172:P172" si="311">C167/C66</f>
        <v>#DIV/0!</v>
      </c>
      <c r="D172" s="25" t="e">
        <f t="shared" si="311"/>
        <v>#DIV/0!</v>
      </c>
      <c r="E172" s="25" t="e">
        <f t="shared" si="311"/>
        <v>#DIV/0!</v>
      </c>
      <c r="F172" s="25" t="e">
        <f t="shared" si="311"/>
        <v>#DIV/0!</v>
      </c>
      <c r="G172" s="25">
        <f t="shared" si="311"/>
        <v>-45.503230769230768</v>
      </c>
      <c r="H172" s="25">
        <f t="shared" si="311"/>
        <v>333.70161290322585</v>
      </c>
      <c r="I172" s="25">
        <f t="shared" si="311"/>
        <v>34.094637223974765</v>
      </c>
      <c r="J172" s="25">
        <f t="shared" si="311"/>
        <v>34.804509474694179</v>
      </c>
      <c r="K172" s="25">
        <f t="shared" si="311"/>
        <v>19.88532110091743</v>
      </c>
      <c r="L172" s="25">
        <f t="shared" si="311"/>
        <v>11.603787878787879</v>
      </c>
      <c r="M172" s="25">
        <f t="shared" si="311"/>
        <v>24.318391608391607</v>
      </c>
      <c r="N172" s="25">
        <f t="shared" si="311"/>
        <v>233.5529411764706</v>
      </c>
      <c r="O172" s="25">
        <f t="shared" si="311"/>
        <v>-121.85660377358491</v>
      </c>
      <c r="P172" s="25">
        <f t="shared" si="311"/>
        <v>-66.226415094339615</v>
      </c>
      <c r="Q172" s="118">
        <f t="shared" si="295"/>
        <v>4.2581202483903846E-2</v>
      </c>
      <c r="R172" s="128"/>
      <c r="S172" s="119">
        <f t="shared" ref="S172:AB172" si="312">S167/S66</f>
        <v>-64.468191684755396</v>
      </c>
      <c r="T172" s="119">
        <f t="shared" si="312"/>
        <v>-62.756646772770736</v>
      </c>
      <c r="U172" s="119">
        <f t="shared" si="312"/>
        <v>-61.090541106237005</v>
      </c>
      <c r="V172" s="119">
        <f t="shared" si="312"/>
        <v>-59.468668333505065</v>
      </c>
      <c r="W172" s="119">
        <f t="shared" si="312"/>
        <v>-57.889854129960682</v>
      </c>
      <c r="X172" s="119">
        <f t="shared" si="312"/>
        <v>-56.352955347749344</v>
      </c>
      <c r="Y172" s="119">
        <f t="shared" si="312"/>
        <v>-54.856859188074594</v>
      </c>
      <c r="Z172" s="119">
        <f t="shared" si="312"/>
        <v>-53.40048239547086</v>
      </c>
      <c r="AA172" s="119">
        <f t="shared" si="312"/>
        <v>-51.98277047346722</v>
      </c>
      <c r="AB172" s="119">
        <f t="shared" si="312"/>
        <v>-50.602696921074283</v>
      </c>
      <c r="AC172" s="137">
        <f t="shared" si="298"/>
        <v>5.6062642073577695E-3</v>
      </c>
      <c r="AD172" s="31">
        <v>0.08</v>
      </c>
      <c r="AE172" s="127">
        <f t="shared" si="299"/>
        <v>-726.94841442312395</v>
      </c>
    </row>
    <row r="173" spans="2:32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1">
        <f t="shared" ref="G173:P173" si="313">G167/G60</f>
        <v>3.1762349656357389</v>
      </c>
      <c r="H173" s="181">
        <f t="shared" si="313"/>
        <v>3.7278378378378378</v>
      </c>
      <c r="I173" s="181">
        <f t="shared" si="313"/>
        <v>5.0037037037037031</v>
      </c>
      <c r="J173" s="181">
        <f t="shared" si="313"/>
        <v>4.7418300653594772</v>
      </c>
      <c r="K173" s="181">
        <f t="shared" si="313"/>
        <v>5.3917910447761201</v>
      </c>
      <c r="L173" s="181">
        <f t="shared" si="313"/>
        <v>3.3663736263736266</v>
      </c>
      <c r="M173" s="181">
        <f t="shared" si="313"/>
        <v>8.9627061855670096</v>
      </c>
      <c r="N173" s="181">
        <f t="shared" si="313"/>
        <v>112.15819209039549</v>
      </c>
      <c r="O173" s="181">
        <f t="shared" si="313"/>
        <v>15.487769784172661</v>
      </c>
      <c r="P173" s="181">
        <f t="shared" si="313"/>
        <v>8.4172661870503589</v>
      </c>
      <c r="Q173" s="118">
        <f t="shared" ref="Q173:Q175" si="314">((P173/G173)^(1/($H$2-$H$1) ))-1</f>
        <v>0.11436821294102417</v>
      </c>
      <c r="R173" s="128"/>
      <c r="S173" s="134">
        <f t="shared" ref="S173:AB173" si="315">S167/S60</f>
        <v>8.1937989431463691</v>
      </c>
      <c r="T173" s="134">
        <f t="shared" si="315"/>
        <v>7.9762644579300943</v>
      </c>
      <c r="U173" s="134">
        <f t="shared" si="315"/>
        <v>7.7645052245337229</v>
      </c>
      <c r="V173" s="134">
        <f t="shared" si="315"/>
        <v>7.5583679176876943</v>
      </c>
      <c r="W173" s="134">
        <f t="shared" si="315"/>
        <v>7.3577032827048363</v>
      </c>
      <c r="X173" s="134">
        <f t="shared" si="315"/>
        <v>7.1623660274117906</v>
      </c>
      <c r="Y173" s="134">
        <f t="shared" si="315"/>
        <v>6.9722147169495301</v>
      </c>
      <c r="Z173" s="134">
        <f t="shared" si="315"/>
        <v>6.7871116713667998</v>
      </c>
      <c r="AA173" s="134">
        <f t="shared" si="315"/>
        <v>6.6069228659322849</v>
      </c>
      <c r="AB173" s="134">
        <f t="shared" si="315"/>
        <v>6.4315178340933761</v>
      </c>
      <c r="AC173" s="137">
        <f t="shared" ref="AC173" si="316">((AB173/G173)^(1/($AB$3-$H$1) ))-1</f>
        <v>3.7830335452689878E-2</v>
      </c>
      <c r="AD173" s="31">
        <v>0.08</v>
      </c>
      <c r="AE173" s="127">
        <f t="shared" si="299"/>
        <v>95.354633017529807</v>
      </c>
    </row>
    <row r="174" spans="2:32" x14ac:dyDescent="0.2">
      <c r="B174" s="20" t="s">
        <v>371</v>
      </c>
      <c r="C174" s="160" t="e">
        <f t="shared" ref="C174:P174" si="317">C52/C167</f>
        <v>#DIV/0!</v>
      </c>
      <c r="D174" s="160" t="e">
        <f t="shared" si="317"/>
        <v>#DIV/0!</v>
      </c>
      <c r="E174" s="160" t="e">
        <f t="shared" si="317"/>
        <v>#DIV/0!</v>
      </c>
      <c r="F174" s="160" t="e">
        <f t="shared" si="317"/>
        <v>#DIV/0!</v>
      </c>
      <c r="G174" s="160">
        <f t="shared" si="317"/>
        <v>6.0655033793035835E-2</v>
      </c>
      <c r="H174" s="160">
        <f t="shared" si="317"/>
        <v>5.3167065419657315E-2</v>
      </c>
      <c r="I174" s="160">
        <f t="shared" si="317"/>
        <v>5.680977054034049E-2</v>
      </c>
      <c r="J174" s="160">
        <f t="shared" si="317"/>
        <v>5.7891109579600274E-2</v>
      </c>
      <c r="K174" s="160">
        <f t="shared" si="317"/>
        <v>6.4821222606689724E-2</v>
      </c>
      <c r="L174" s="160">
        <f t="shared" si="317"/>
        <v>0.1051119670953842</v>
      </c>
      <c r="M174" s="160">
        <f t="shared" si="317"/>
        <v>5.89498868449733E-2</v>
      </c>
      <c r="N174" s="160">
        <f t="shared" si="317"/>
        <v>5.1883941164618174E-3</v>
      </c>
      <c r="O174" s="160">
        <f t="shared" si="317"/>
        <v>3.4064164498947107E-2</v>
      </c>
      <c r="P174" s="160">
        <f t="shared" si="317"/>
        <v>6.2678062678062682E-2</v>
      </c>
      <c r="Q174" s="118">
        <f t="shared" si="314"/>
        <v>3.6520837226912128E-3</v>
      </c>
      <c r="R174" s="128"/>
      <c r="S174" s="160">
        <f t="shared" ref="S174:AB174" si="318">S52/S167</f>
        <v>6.4387464387464385E-2</v>
      </c>
      <c r="T174" s="160">
        <f t="shared" si="318"/>
        <v>6.6143486143486141E-2</v>
      </c>
      <c r="U174" s="160">
        <f t="shared" si="318"/>
        <v>6.794739940194483E-2</v>
      </c>
      <c r="V174" s="160">
        <f t="shared" si="318"/>
        <v>6.9800510294725143E-2</v>
      </c>
      <c r="W174" s="160">
        <f t="shared" si="318"/>
        <v>7.1704160575490353E-2</v>
      </c>
      <c r="X174" s="160">
        <f t="shared" si="318"/>
        <v>7.3659728591185539E-2</v>
      </c>
      <c r="Y174" s="160">
        <f t="shared" si="318"/>
        <v>7.5668630280036037E-2</v>
      </c>
      <c r="Z174" s="160">
        <f t="shared" si="318"/>
        <v>7.7732320196764293E-2</v>
      </c>
      <c r="AA174" s="160">
        <f t="shared" si="318"/>
        <v>7.9852292565766939E-2</v>
      </c>
      <c r="AB174" s="160">
        <f t="shared" si="318"/>
        <v>8.2030082363015108E-2</v>
      </c>
      <c r="AC174" s="137">
        <f t="shared" ref="AC174:AC175" si="319">((AB174/G174)^(1/($AB$3-$H$1) ))-1</f>
        <v>1.6015495441442873E-2</v>
      </c>
      <c r="AD174" s="31">
        <v>0.08</v>
      </c>
      <c r="AE174" s="127">
        <f t="shared" si="299"/>
        <v>1.1906262110451595</v>
      </c>
    </row>
    <row r="175" spans="2:32" x14ac:dyDescent="0.2">
      <c r="B175" s="20" t="s">
        <v>320</v>
      </c>
      <c r="C175" s="151" t="e">
        <f t="shared" ref="C175:P175" si="320">C43/C167</f>
        <v>#DIV/0!</v>
      </c>
      <c r="D175" s="151" t="e">
        <f t="shared" si="320"/>
        <v>#DIV/0!</v>
      </c>
      <c r="E175" s="151" t="e">
        <f t="shared" si="320"/>
        <v>#DIV/0!</v>
      </c>
      <c r="F175" s="151" t="e">
        <f t="shared" si="320"/>
        <v>#DIV/0!</v>
      </c>
      <c r="G175" s="151">
        <f t="shared" si="320"/>
        <v>2.1276595744680851E-2</v>
      </c>
      <c r="H175" s="151">
        <f t="shared" si="320"/>
        <v>1.9230769230769232E-2</v>
      </c>
      <c r="I175" s="151">
        <f t="shared" si="320"/>
        <v>1.5625E-2</v>
      </c>
      <c r="J175" s="151">
        <f t="shared" si="320"/>
        <v>1.2500000000000001E-2</v>
      </c>
      <c r="K175" s="151">
        <f t="shared" si="320"/>
        <v>2.3333333333333334E-2</v>
      </c>
      <c r="L175" s="151">
        <f t="shared" si="320"/>
        <v>4.716981132075472E-2</v>
      </c>
      <c r="M175" s="151">
        <f t="shared" si="320"/>
        <v>4.0816326530612242E-2</v>
      </c>
      <c r="N175" s="151">
        <f t="shared" si="320"/>
        <v>1.9642857142857144E-3</v>
      </c>
      <c r="O175" s="151">
        <f t="shared" si="320"/>
        <v>1.7391304347826087E-2</v>
      </c>
      <c r="P175" s="151">
        <f t="shared" si="320"/>
        <v>3.2000000000000001E-2</v>
      </c>
      <c r="Q175" s="118">
        <f t="shared" si="314"/>
        <v>4.6391502108545257E-2</v>
      </c>
      <c r="R175" s="128"/>
      <c r="S175" s="151">
        <f t="shared" ref="S175:AB175" si="321">S43/S167</f>
        <v>3.0545454545454546E-2</v>
      </c>
      <c r="T175" s="151">
        <f t="shared" si="321"/>
        <v>2.9157024793388431E-2</v>
      </c>
      <c r="U175" s="151">
        <f t="shared" si="321"/>
        <v>2.7831705484598051E-2</v>
      </c>
      <c r="V175" s="151">
        <f t="shared" si="321"/>
        <v>2.6566627962570866E-2</v>
      </c>
      <c r="W175" s="151">
        <f t="shared" si="321"/>
        <v>2.5359053964272189E-2</v>
      </c>
      <c r="X175" s="151">
        <f t="shared" si="321"/>
        <v>2.420636969316891E-2</v>
      </c>
      <c r="Y175" s="151">
        <f t="shared" si="321"/>
        <v>2.3106080161661231E-2</v>
      </c>
      <c r="Z175" s="151">
        <f t="shared" si="321"/>
        <v>2.2055803790676627E-2</v>
      </c>
      <c r="AA175" s="151">
        <f t="shared" si="321"/>
        <v>2.1053267254736781E-2</v>
      </c>
      <c r="AB175" s="151">
        <f t="shared" si="321"/>
        <v>2.0096300561339653E-2</v>
      </c>
      <c r="AC175" s="137">
        <f t="shared" si="319"/>
        <v>-2.9992789817023802E-3</v>
      </c>
      <c r="AD175" s="31">
        <v>0.08</v>
      </c>
      <c r="AE175" s="127">
        <f t="shared" si="299"/>
        <v>0.28622894499222934</v>
      </c>
    </row>
    <row r="176" spans="2:32" x14ac:dyDescent="0.2">
      <c r="B176" s="20" t="s">
        <v>428</v>
      </c>
      <c r="C176" s="180" t="e">
        <f t="shared" ref="C176:O176" si="322">(C169)/($L$2*100)</f>
        <v>#DIV/0!</v>
      </c>
      <c r="D176" s="180" t="e">
        <f t="shared" si="322"/>
        <v>#DIV/0!</v>
      </c>
      <c r="E176" s="180" t="e">
        <f t="shared" si="322"/>
        <v>#DIV/0!</v>
      </c>
      <c r="F176" s="180" t="e">
        <f t="shared" si="322"/>
        <v>#DIV/0!</v>
      </c>
      <c r="G176" s="180">
        <f t="shared" si="322"/>
        <v>1.268205985764514</v>
      </c>
      <c r="H176" s="180">
        <f t="shared" si="322"/>
        <v>1.4468181818181818</v>
      </c>
      <c r="I176" s="180">
        <f t="shared" si="322"/>
        <v>1.354046604860937</v>
      </c>
      <c r="J176" s="180">
        <f t="shared" si="322"/>
        <v>1.3287545787545789</v>
      </c>
      <c r="K176" s="180">
        <f t="shared" si="322"/>
        <v>1.1866958664111691</v>
      </c>
      <c r="L176" s="180">
        <f t="shared" si="322"/>
        <v>0.73182035355948405</v>
      </c>
      <c r="M176" s="180">
        <f t="shared" si="322"/>
        <v>1.304889305816135</v>
      </c>
      <c r="N176" s="180">
        <f t="shared" si="322"/>
        <v>14.825989544436148</v>
      </c>
      <c r="O176" s="180">
        <f t="shared" si="322"/>
        <v>2.2581818181818183</v>
      </c>
      <c r="P176" s="180">
        <f>(P169)/($L$2*100)</f>
        <v>1.2272727272727271</v>
      </c>
      <c r="Q176" s="118" t="e">
        <f t="shared" ref="Q176" si="323">((O176/F176)^(1/($H$2-$H$1) ))-1</f>
        <v>#DIV/0!</v>
      </c>
      <c r="R176" s="128"/>
      <c r="S176" s="180">
        <f>(S169)/($L$2*100)</f>
        <v>1.1946902654867257</v>
      </c>
      <c r="T176" s="180">
        <f>(T169)/($L$2*100)</f>
        <v>1.162972824810087</v>
      </c>
      <c r="U176" s="180">
        <f t="shared" ref="U176:AC176" si="324">(U169)/($L$2*100)</f>
        <v>1.1320974400806159</v>
      </c>
      <c r="V176" s="180">
        <f t="shared" si="324"/>
        <v>1.1020417558306883</v>
      </c>
      <c r="W176" s="180">
        <f t="shared" si="324"/>
        <v>1.0727840101006703</v>
      </c>
      <c r="X176" s="180">
        <f t="shared" si="324"/>
        <v>1.0443030186820685</v>
      </c>
      <c r="Y176" s="180">
        <f t="shared" si="324"/>
        <v>1.0165781597790049</v>
      </c>
      <c r="Z176" s="180">
        <f t="shared" si="324"/>
        <v>0.98958935907690737</v>
      </c>
      <c r="AA176" s="180">
        <f t="shared" si="324"/>
        <v>0.96331707520760912</v>
      </c>
      <c r="AB176" s="180">
        <f t="shared" si="324"/>
        <v>0.93774228560032791</v>
      </c>
      <c r="AC176" s="180">
        <f t="shared" si="324"/>
        <v>-1.212541731234153E-3</v>
      </c>
      <c r="AD176" s="137" t="e">
        <f t="shared" ref="AD176:AD177" si="325">((AC176/G176)^(1/($AC$3-$H$1) ))-1</f>
        <v>#VALUE!</v>
      </c>
      <c r="AE176" s="31">
        <v>0.08</v>
      </c>
      <c r="AF176" s="180">
        <f>(AF169)/($L$2*100)</f>
        <v>0</v>
      </c>
    </row>
    <row r="177" spans="2:45" x14ac:dyDescent="0.2">
      <c r="B177" s="20" t="s">
        <v>429</v>
      </c>
      <c r="C177" s="151"/>
      <c r="D177" s="151"/>
      <c r="E177" s="151"/>
      <c r="F177" s="151"/>
      <c r="G177" s="151">
        <f t="shared" ref="G177:P177" si="326">G176-1</f>
        <v>0.26820598576451404</v>
      </c>
      <c r="H177" s="151">
        <f t="shared" si="326"/>
        <v>0.44681818181818178</v>
      </c>
      <c r="I177" s="151">
        <f t="shared" si="326"/>
        <v>0.35404660486093698</v>
      </c>
      <c r="J177" s="151">
        <f t="shared" si="326"/>
        <v>0.32875457875457892</v>
      </c>
      <c r="K177" s="151">
        <f t="shared" si="326"/>
        <v>0.18669586641116909</v>
      </c>
      <c r="L177" s="151">
        <f t="shared" si="326"/>
        <v>-0.26817964644051595</v>
      </c>
      <c r="M177" s="151">
        <f t="shared" si="326"/>
        <v>0.30488930581613505</v>
      </c>
      <c r="N177" s="151">
        <f t="shared" si="326"/>
        <v>13.825989544436148</v>
      </c>
      <c r="O177" s="151">
        <f t="shared" si="326"/>
        <v>1.2581818181818183</v>
      </c>
      <c r="P177" s="151">
        <f t="shared" si="326"/>
        <v>0.22727272727272707</v>
      </c>
      <c r="Q177" s="128"/>
      <c r="R177" s="128"/>
      <c r="S177" s="128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6"/>
      <c r="AE177" s="20"/>
      <c r="AF177" s="127"/>
    </row>
    <row r="178" spans="2:45" x14ac:dyDescent="0.2">
      <c r="B178" s="20"/>
      <c r="C178" s="151"/>
      <c r="D178" s="151"/>
      <c r="E178" s="151"/>
      <c r="F178" s="151"/>
      <c r="G178" s="151"/>
      <c r="H178" s="151"/>
      <c r="I178" s="151"/>
      <c r="J178" s="151"/>
      <c r="K178" s="207"/>
      <c r="L178" s="208"/>
      <c r="M178" s="151"/>
      <c r="N178" s="151"/>
      <c r="O178" s="151"/>
      <c r="P178" s="151"/>
      <c r="Q178" s="128"/>
      <c r="R178" s="128"/>
      <c r="S178" s="128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209"/>
      <c r="AD178" s="136"/>
      <c r="AE178" s="20"/>
      <c r="AF178" s="210"/>
    </row>
    <row r="179" spans="2:45" x14ac:dyDescent="0.2">
      <c r="B179" s="108" t="s">
        <v>301</v>
      </c>
      <c r="C179" s="20"/>
      <c r="D179" s="20"/>
      <c r="E179" s="20"/>
      <c r="F179" s="20"/>
      <c r="G179" s="20"/>
      <c r="H179" s="20"/>
      <c r="I179" s="20"/>
      <c r="J179" s="20"/>
      <c r="K179" s="199" t="s">
        <v>351</v>
      </c>
      <c r="L179" s="20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6"/>
      <c r="AD179" s="20"/>
      <c r="AE179" s="20"/>
    </row>
    <row r="180" spans="2:45" x14ac:dyDescent="0.2">
      <c r="B180" s="20" t="s">
        <v>299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20" t="s">
        <v>352</v>
      </c>
      <c r="L180" s="22">
        <v>1</v>
      </c>
      <c r="M180" s="20"/>
      <c r="N180" s="20"/>
      <c r="O180" s="20"/>
      <c r="P180" s="128">
        <f>(P167-R155)/P167</f>
        <v>0.54357907365438352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6"/>
      <c r="AD180" s="20"/>
      <c r="AE180" s="20"/>
    </row>
    <row r="181" spans="2:45" x14ac:dyDescent="0.2">
      <c r="B181" s="20" t="s">
        <v>349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1">
        <f>$L$180</f>
        <v>1</v>
      </c>
      <c r="L181" s="20"/>
      <c r="M181" s="128">
        <f>(P167-(K181*R146))/P167</f>
        <v>-0.31834977835576139</v>
      </c>
      <c r="N181" s="20"/>
      <c r="O181" s="20"/>
      <c r="P181" s="128">
        <f>(P167-R146)/P167</f>
        <v>-0.31834977835576139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6"/>
      <c r="AD181" s="20"/>
      <c r="AE181" s="20"/>
    </row>
    <row r="182" spans="2:45" x14ac:dyDescent="0.2">
      <c r="B182" s="20" t="s">
        <v>350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1">
        <f>$L$180</f>
        <v>1</v>
      </c>
      <c r="L182" s="20"/>
      <c r="M182" s="128">
        <f>(P167-(K182*R139))/P167</f>
        <v>-0.67243892745850853</v>
      </c>
      <c r="N182" s="20"/>
      <c r="O182" s="20"/>
      <c r="P182" s="128">
        <f>(P167-R139)/P167</f>
        <v>-0.67243892745850853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6"/>
      <c r="AD182" s="20"/>
      <c r="AE182" s="20"/>
    </row>
    <row r="183" spans="2:45" x14ac:dyDescent="0.2">
      <c r="B183" s="20" t="s">
        <v>353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1">
        <f>$L$180</f>
        <v>1</v>
      </c>
      <c r="L183" s="20"/>
      <c r="M183" s="128">
        <f>(P167-(K183*R152))/P167</f>
        <v>0.51628893024356926</v>
      </c>
      <c r="N183" s="20"/>
      <c r="O183" s="20"/>
      <c r="P183" s="128">
        <f>(P167-R152)/P167</f>
        <v>0.51628893024356926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6"/>
      <c r="AD183" s="20"/>
      <c r="AE183" s="20"/>
    </row>
    <row r="184" spans="2:45" x14ac:dyDescent="0.2">
      <c r="B184" s="20" t="s">
        <v>399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1">
        <f>$L$180</f>
        <v>1</v>
      </c>
      <c r="L184" s="20"/>
      <c r="M184" s="128">
        <f>(P167-(K184*R164))/P167</f>
        <v>0.69513862912728075</v>
      </c>
      <c r="N184" s="20"/>
      <c r="O184" s="20"/>
      <c r="P184" s="128">
        <f>(P167-R164)/P167</f>
        <v>0.69513862912728075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36"/>
      <c r="AD184" s="20"/>
      <c r="AE184" s="20"/>
    </row>
    <row r="185" spans="2:45" x14ac:dyDescent="0.2">
      <c r="B185" s="20" t="s">
        <v>300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5">
        <f>P167/R138</f>
        <v>1.4377478394379872</v>
      </c>
      <c r="Q185" s="20"/>
      <c r="R185" s="20"/>
      <c r="S185" s="115" t="s">
        <v>11</v>
      </c>
      <c r="T185" s="115" t="s">
        <v>12</v>
      </c>
      <c r="U185" s="115" t="s">
        <v>13</v>
      </c>
      <c r="V185" s="115" t="s">
        <v>14</v>
      </c>
      <c r="W185" s="115" t="s">
        <v>15</v>
      </c>
      <c r="X185" s="115" t="s">
        <v>234</v>
      </c>
      <c r="Y185" s="115" t="s">
        <v>235</v>
      </c>
      <c r="Z185" s="115" t="s">
        <v>236</v>
      </c>
      <c r="AA185" s="115" t="s">
        <v>237</v>
      </c>
      <c r="AB185" s="115" t="s">
        <v>238</v>
      </c>
      <c r="AC185" s="115" t="s">
        <v>407</v>
      </c>
      <c r="AD185" s="115" t="s">
        <v>408</v>
      </c>
      <c r="AE185" s="115" t="s">
        <v>409</v>
      </c>
      <c r="AF185" s="115" t="s">
        <v>410</v>
      </c>
      <c r="AG185" s="115" t="s">
        <v>411</v>
      </c>
      <c r="AH185" s="115" t="s">
        <v>412</v>
      </c>
      <c r="AI185" s="115" t="s">
        <v>413</v>
      </c>
      <c r="AJ185" s="115" t="s">
        <v>414</v>
      </c>
      <c r="AK185" s="115" t="s">
        <v>415</v>
      </c>
      <c r="AL185" s="115" t="s">
        <v>416</v>
      </c>
      <c r="AM185" s="115" t="s">
        <v>417</v>
      </c>
      <c r="AN185" s="115" t="s">
        <v>418</v>
      </c>
      <c r="AO185" s="115" t="s">
        <v>419</v>
      </c>
      <c r="AP185" s="115" t="s">
        <v>420</v>
      </c>
      <c r="AQ185" s="115" t="s">
        <v>421</v>
      </c>
      <c r="AR185" s="115" t="s">
        <v>422</v>
      </c>
      <c r="AS185" s="115" t="s">
        <v>423</v>
      </c>
    </row>
    <row r="186" spans="2:45" x14ac:dyDescent="0.2">
      <c r="B186" s="20" t="s">
        <v>371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151">
        <f>1/P185</f>
        <v>0.69553225716610922</v>
      </c>
      <c r="Q186" s="20"/>
      <c r="R186" s="20"/>
      <c r="S186" s="184">
        <f>P167-S187</f>
        <v>387.89854930497415</v>
      </c>
      <c r="T186" s="184">
        <f>S186-T187</f>
        <v>270.19202607519696</v>
      </c>
      <c r="U186" s="184">
        <f t="shared" ref="U186:W186" si="327">T186-U187</f>
        <v>146.60017668393093</v>
      </c>
      <c r="V186" s="184">
        <f t="shared" si="327"/>
        <v>16.82873482310157</v>
      </c>
      <c r="W186" s="184">
        <f t="shared" si="327"/>
        <v>-119.43127913076927</v>
      </c>
      <c r="X186" s="184">
        <f>W186-X187</f>
        <v>-262.50429378233366</v>
      </c>
      <c r="Y186" s="184">
        <f t="shared" ref="Y186:AB186" si="328">X186-Y187</f>
        <v>-412.73095916647628</v>
      </c>
      <c r="Z186" s="184">
        <f t="shared" si="328"/>
        <v>-570.46895781982607</v>
      </c>
      <c r="AA186" s="184">
        <f t="shared" si="328"/>
        <v>-736.09385640584333</v>
      </c>
      <c r="AB186" s="184">
        <f t="shared" si="328"/>
        <v>-909.99999992116147</v>
      </c>
      <c r="AC186" s="184">
        <f t="shared" ref="AC186" si="329">AB186-AC187</f>
        <v>-1092.6014506122456</v>
      </c>
      <c r="AD186" s="184">
        <f t="shared" ref="AD186" si="330">AC186-AD187</f>
        <v>-1284.3329738378839</v>
      </c>
      <c r="AE186" s="184">
        <f t="shared" ref="AE186" si="331">AD186-AE187</f>
        <v>-1485.6510732248041</v>
      </c>
      <c r="AF186" s="184">
        <f t="shared" ref="AF186" si="332">AE186-AF187</f>
        <v>-1697.0350775810703</v>
      </c>
      <c r="AG186" s="184">
        <f t="shared" ref="AG186" si="333">AF186-AG187</f>
        <v>-1918.9882821551498</v>
      </c>
      <c r="AH186" s="184">
        <f t="shared" ref="AH186" si="334">AG186-AH187</f>
        <v>-2152.0391469579331</v>
      </c>
      <c r="AI186" s="184">
        <f t="shared" ref="AI186" si="335">AH186-AI187</f>
        <v>-2396.7425550008556</v>
      </c>
      <c r="AJ186" s="184">
        <f t="shared" ref="AJ186" si="336">AI186-AJ187</f>
        <v>-2653.6811334459244</v>
      </c>
      <c r="AK186" s="184">
        <f t="shared" ref="AK186" si="337">AJ186-AK187</f>
        <v>-2923.4666408132466</v>
      </c>
      <c r="AL186" s="184">
        <f t="shared" ref="AL186" si="338">AK186-AL187</f>
        <v>-3206.741423548935</v>
      </c>
      <c r="AM186" s="184">
        <f t="shared" ref="AM186" si="339">AL186-AM187</f>
        <v>-3504.1799454214079</v>
      </c>
      <c r="AN186" s="184">
        <f t="shared" ref="AN186" si="340">AM186-AN187</f>
        <v>-3816.4903933875044</v>
      </c>
      <c r="AO186" s="184">
        <f t="shared" ref="AO186" si="341">AN186-AO187</f>
        <v>-4144.4163637519059</v>
      </c>
      <c r="AP186" s="184">
        <f t="shared" ref="AP186" si="342">AO186-AP187</f>
        <v>-4488.7386326345277</v>
      </c>
      <c r="AQ186" s="184">
        <f t="shared" ref="AQ186" si="343">AP186-AQ187</f>
        <v>-4850.2770149612797</v>
      </c>
      <c r="AR186" s="184">
        <f t="shared" ref="AR186" si="344">AQ186-AR187</f>
        <v>-5229.8923164043699</v>
      </c>
      <c r="AS186" s="184">
        <f t="shared" ref="AS186" si="345">AR186-AS187</f>
        <v>-5628.4883829196142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3">
        <f>P1</f>
        <v>0.05</v>
      </c>
      <c r="L187" s="20"/>
      <c r="M187" s="186"/>
      <c r="N187" s="20"/>
      <c r="O187" s="20"/>
      <c r="P187" s="180">
        <f>P167/Q137</f>
        <v>4.6832578592428069</v>
      </c>
      <c r="Q187" s="20"/>
      <c r="R187" s="20"/>
      <c r="S187" s="185">
        <f>Q137*(1+$K$187)</f>
        <v>112.10145069502587</v>
      </c>
      <c r="T187" s="185">
        <f>S187*(1+$K$187)</f>
        <v>117.70652322977718</v>
      </c>
      <c r="U187" s="185">
        <f t="shared" ref="U187:AB187" si="346">T187*(1+$K$187)</f>
        <v>123.59184939126604</v>
      </c>
      <c r="V187" s="185">
        <f t="shared" si="346"/>
        <v>129.77144186082936</v>
      </c>
      <c r="W187" s="185">
        <f t="shared" si="346"/>
        <v>136.26001395387084</v>
      </c>
      <c r="X187" s="185">
        <f t="shared" si="346"/>
        <v>143.07301465156439</v>
      </c>
      <c r="Y187" s="185">
        <f t="shared" si="346"/>
        <v>150.22666538414262</v>
      </c>
      <c r="Z187" s="185">
        <f t="shared" si="346"/>
        <v>157.73799865334976</v>
      </c>
      <c r="AA187" s="185">
        <f t="shared" si="346"/>
        <v>165.62489858601725</v>
      </c>
      <c r="AB187" s="185">
        <f t="shared" si="346"/>
        <v>173.90614351531812</v>
      </c>
      <c r="AC187" s="185">
        <f t="shared" ref="AC187" si="347">AB187*(1+$K$187)</f>
        <v>182.60145069108404</v>
      </c>
      <c r="AD187" s="185">
        <f t="shared" ref="AD187" si="348">AC187*(1+$K$187)</f>
        <v>191.73152322563826</v>
      </c>
      <c r="AE187" s="185">
        <f t="shared" ref="AE187" si="349">AD187*(1+$K$187)</f>
        <v>201.31809938692018</v>
      </c>
      <c r="AF187" s="185">
        <f t="shared" ref="AF187" si="350">AE187*(1+$K$187)</f>
        <v>211.38400435626619</v>
      </c>
      <c r="AG187" s="185">
        <f t="shared" ref="AG187" si="351">AF187*(1+$K$187)</f>
        <v>221.95320457407951</v>
      </c>
      <c r="AH187" s="185">
        <f t="shared" ref="AH187" si="352">AG187*(1+$K$187)</f>
        <v>233.05086480278348</v>
      </c>
      <c r="AI187" s="185">
        <f t="shared" ref="AI187" si="353">AH187*(1+$K$187)</f>
        <v>244.70340804292266</v>
      </c>
      <c r="AJ187" s="185">
        <f t="shared" ref="AJ187" si="354">AI187*(1+$K$187)</f>
        <v>256.9385784450688</v>
      </c>
      <c r="AK187" s="185">
        <f t="shared" ref="AK187" si="355">AJ187*(1+$K$187)</f>
        <v>269.78550736732223</v>
      </c>
      <c r="AL187" s="185">
        <f t="shared" ref="AL187" si="356">AK187*(1+$K$187)</f>
        <v>283.27478273568835</v>
      </c>
      <c r="AM187" s="185">
        <f t="shared" ref="AM187" si="357">AL187*(1+$K$187)</f>
        <v>297.43852187247279</v>
      </c>
      <c r="AN187" s="185">
        <f t="shared" ref="AN187" si="358">AM187*(1+$K$187)</f>
        <v>312.31044796609643</v>
      </c>
      <c r="AO187" s="185">
        <f t="shared" ref="AO187" si="359">AN187*(1+$K$187)</f>
        <v>327.92597036440128</v>
      </c>
      <c r="AP187" s="185">
        <f t="shared" ref="AP187" si="360">AO187*(1+$K$187)</f>
        <v>344.32226888262136</v>
      </c>
      <c r="AQ187" s="185">
        <f t="shared" ref="AQ187" si="361">AP187*(1+$K$187)</f>
        <v>361.53838232675247</v>
      </c>
      <c r="AR187" s="185">
        <f t="shared" ref="AR187" si="362">AQ187*(1+$K$187)</f>
        <v>379.61530144309012</v>
      </c>
      <c r="AS187" s="185">
        <f t="shared" ref="AS187" si="363">AR187*(1+$K$187)</f>
        <v>398.59606651524462</v>
      </c>
    </row>
    <row r="188" spans="2:45" x14ac:dyDescent="0.2">
      <c r="B188" s="20" t="s">
        <v>395</v>
      </c>
      <c r="C188" s="20"/>
      <c r="D188" s="20"/>
      <c r="E188" s="20"/>
      <c r="F188" s="20"/>
      <c r="G188" s="20"/>
      <c r="H188" s="20"/>
      <c r="I188" s="20"/>
      <c r="J188" s="20"/>
      <c r="K188" s="183">
        <f>P1</f>
        <v>0.05</v>
      </c>
      <c r="L188" s="20"/>
      <c r="M188" s="186"/>
      <c r="N188" s="20"/>
      <c r="O188" s="20"/>
      <c r="P188" s="180">
        <f>P167/P52</f>
        <v>15.954545454545453</v>
      </c>
      <c r="Q188" s="20"/>
      <c r="R188" s="20"/>
      <c r="S188" s="185">
        <f>P52*(1+$K$188)</f>
        <v>32.90598290598291</v>
      </c>
      <c r="T188" s="185">
        <f>S188*(1+$K$188)</f>
        <v>34.551282051282058</v>
      </c>
      <c r="U188" s="185">
        <f t="shared" ref="U188:AB188" si="364">T188*(1+$K$188)</f>
        <v>36.27884615384616</v>
      </c>
      <c r="V188" s="185">
        <f t="shared" si="364"/>
        <v>38.092788461538468</v>
      </c>
      <c r="W188" s="185">
        <f t="shared" si="364"/>
        <v>39.997427884615391</v>
      </c>
      <c r="X188" s="185">
        <f t="shared" si="364"/>
        <v>41.997299278846164</v>
      </c>
      <c r="Y188" s="185">
        <f t="shared" si="364"/>
        <v>44.097164242788473</v>
      </c>
      <c r="Z188" s="185">
        <f t="shared" si="364"/>
        <v>46.302022454927901</v>
      </c>
      <c r="AA188" s="185">
        <f t="shared" si="364"/>
        <v>48.617123577674299</v>
      </c>
      <c r="AB188" s="185">
        <f t="shared" si="364"/>
        <v>51.047979756558014</v>
      </c>
      <c r="AC188" s="185">
        <f t="shared" ref="AC188" si="365">AB188*(1+$K$188)</f>
        <v>53.600378744385914</v>
      </c>
      <c r="AD188" s="185">
        <f t="shared" ref="AD188" si="366">AC188*(1+$K$188)</f>
        <v>56.280397681605209</v>
      </c>
      <c r="AE188" s="185">
        <f t="shared" ref="AE188" si="367">AD188*(1+$K$188)</f>
        <v>59.094417565685468</v>
      </c>
      <c r="AF188" s="185">
        <f t="shared" ref="AF188" si="368">AE188*(1+$K$188)</f>
        <v>62.049138443969746</v>
      </c>
      <c r="AG188" s="185">
        <f t="shared" ref="AG188" si="369">AF188*(1+$K$188)</f>
        <v>65.151595366168237</v>
      </c>
      <c r="AH188" s="185">
        <f t="shared" ref="AH188" si="370">AG188*(1+$K$188)</f>
        <v>68.409175134476655</v>
      </c>
      <c r="AI188" s="185">
        <f t="shared" ref="AI188" si="371">AH188*(1+$K$188)</f>
        <v>71.829633891200487</v>
      </c>
      <c r="AJ188" s="185">
        <f t="shared" ref="AJ188" si="372">AI188*(1+$K$188)</f>
        <v>75.421115585760518</v>
      </c>
      <c r="AK188" s="185">
        <f t="shared" ref="AK188" si="373">AJ188*(1+$K$188)</f>
        <v>79.192171365048551</v>
      </c>
      <c r="AL188" s="185">
        <f t="shared" ref="AL188" si="374">AK188*(1+$K$188)</f>
        <v>83.151779933300986</v>
      </c>
      <c r="AM188" s="185">
        <f t="shared" ref="AM188" si="375">AL188*(1+$K$188)</f>
        <v>87.309368929966041</v>
      </c>
      <c r="AN188" s="185">
        <f t="shared" ref="AN188" si="376">AM188*(1+$K$188)</f>
        <v>91.674837376464353</v>
      </c>
      <c r="AO188" s="185">
        <f t="shared" ref="AO188" si="377">AN188*(1+$K$188)</f>
        <v>96.258579245287578</v>
      </c>
      <c r="AP188" s="185">
        <f t="shared" ref="AP188" si="378">AO188*(1+$K$188)</f>
        <v>101.07150820755196</v>
      </c>
      <c r="AQ188" s="185">
        <f t="shared" ref="AQ188" si="379">AP188*(1+$K$188)</f>
        <v>106.12508361792956</v>
      </c>
      <c r="AR188" s="185">
        <f t="shared" ref="AR188" si="380">AQ188*(1+$K$188)</f>
        <v>111.43133779882605</v>
      </c>
      <c r="AS188" s="185">
        <f t="shared" ref="AS188" si="381">AR188*(1+$K$188)</f>
        <v>117.00290468876736</v>
      </c>
    </row>
    <row r="189" spans="2:45" x14ac:dyDescent="0.2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184">
        <f>P167-S188</f>
        <v>467.09401709401709</v>
      </c>
      <c r="T189" s="184">
        <f>S189-T188</f>
        <v>432.54273504273505</v>
      </c>
      <c r="U189" s="184">
        <f t="shared" ref="U189:Z189" si="382">T189-U188</f>
        <v>396.26388888888891</v>
      </c>
      <c r="V189" s="184">
        <f t="shared" si="382"/>
        <v>358.17110042735044</v>
      </c>
      <c r="W189" s="184">
        <f t="shared" si="382"/>
        <v>318.17367254273506</v>
      </c>
      <c r="X189" s="184">
        <f t="shared" si="382"/>
        <v>276.17637326388888</v>
      </c>
      <c r="Y189" s="184">
        <f t="shared" si="382"/>
        <v>232.07920902110041</v>
      </c>
      <c r="Z189" s="184">
        <f t="shared" si="382"/>
        <v>185.7771865661725</v>
      </c>
      <c r="AA189" s="184">
        <f>Z189-AA188</f>
        <v>137.1600629884982</v>
      </c>
      <c r="AB189" s="184">
        <f t="shared" ref="AB189" si="383">AA189-AB188</f>
        <v>86.112083231940176</v>
      </c>
      <c r="AC189" s="184">
        <f t="shared" ref="AC189" si="384">AB189-AC188</f>
        <v>32.511704487554262</v>
      </c>
      <c r="AD189" s="184">
        <f t="shared" ref="AD189" si="385">AC189-AD188</f>
        <v>-23.768693194050947</v>
      </c>
      <c r="AE189" s="184">
        <f t="shared" ref="AE189" si="386">AD189-AE188</f>
        <v>-82.863110759736415</v>
      </c>
      <c r="AF189" s="184">
        <f t="shared" ref="AF189" si="387">AE189-AF188</f>
        <v>-144.91224920370615</v>
      </c>
      <c r="AG189" s="184">
        <f t="shared" ref="AG189" si="388">AF189-AG188</f>
        <v>-210.06384456987439</v>
      </c>
      <c r="AH189" s="184">
        <f t="shared" ref="AH189" si="389">AG189-AH188</f>
        <v>-278.47301970435103</v>
      </c>
      <c r="AI189" s="184">
        <f t="shared" ref="AI189" si="390">AH189-AI188</f>
        <v>-350.30265359555153</v>
      </c>
      <c r="AJ189" s="184">
        <f t="shared" ref="AJ189" si="391">AI189-AJ188</f>
        <v>-425.72376918131204</v>
      </c>
      <c r="AK189" s="184">
        <f t="shared" ref="AK189" si="392">AJ189-AK188</f>
        <v>-504.91594054636062</v>
      </c>
      <c r="AL189" s="184">
        <f t="shared" ref="AL189" si="393">AK189-AL188</f>
        <v>-588.0677204796616</v>
      </c>
      <c r="AM189" s="184">
        <f t="shared" ref="AM189" si="394">AL189-AM188</f>
        <v>-675.37708940962762</v>
      </c>
      <c r="AN189" s="184">
        <f t="shared" ref="AN189" si="395">AM189-AN188</f>
        <v>-767.05192678609194</v>
      </c>
      <c r="AO189" s="184">
        <f t="shared" ref="AO189" si="396">AN189-AO188</f>
        <v>-863.31050603137953</v>
      </c>
      <c r="AP189" s="184">
        <f t="shared" ref="AP189" si="397">AO189-AP188</f>
        <v>-964.38201423893145</v>
      </c>
      <c r="AQ189" s="184">
        <f t="shared" ref="AQ189" si="398">AP189-AQ188</f>
        <v>-1070.507097856861</v>
      </c>
      <c r="AR189" s="184">
        <f t="shared" ref="AR189" si="399">AQ189-AR188</f>
        <v>-1181.938435655687</v>
      </c>
      <c r="AS189" s="184">
        <f t="shared" ref="AS189" si="400">AR189-AS188</f>
        <v>-1298.9413403444544</v>
      </c>
    </row>
    <row r="190" spans="2:45" x14ac:dyDescent="0.2">
      <c r="B190" s="108" t="s">
        <v>302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305</v>
      </c>
      <c r="C191" s="25" t="e">
        <f t="shared" ref="C191:P191" si="401">C10/C7</f>
        <v>#DIV/0!</v>
      </c>
      <c r="D191" s="25" t="e">
        <f t="shared" si="401"/>
        <v>#DIV/0!</v>
      </c>
      <c r="E191" s="25" t="e">
        <f t="shared" si="401"/>
        <v>#DIV/0!</v>
      </c>
      <c r="F191" s="25" t="e">
        <f t="shared" si="401"/>
        <v>#DIV/0!</v>
      </c>
      <c r="G191" s="25">
        <f t="shared" si="401"/>
        <v>0</v>
      </c>
      <c r="H191" s="25">
        <f t="shared" si="401"/>
        <v>0</v>
      </c>
      <c r="I191" s="25">
        <f t="shared" si="401"/>
        <v>0</v>
      </c>
      <c r="J191" s="25">
        <f t="shared" si="401"/>
        <v>0</v>
      </c>
      <c r="K191" s="25">
        <f t="shared" si="401"/>
        <v>0</v>
      </c>
      <c r="L191" s="25">
        <f t="shared" si="401"/>
        <v>0</v>
      </c>
      <c r="M191" s="25">
        <f t="shared" si="401"/>
        <v>0</v>
      </c>
      <c r="N191" s="25">
        <f t="shared" si="401"/>
        <v>0</v>
      </c>
      <c r="O191" s="25">
        <f t="shared" si="401"/>
        <v>0</v>
      </c>
      <c r="P191" s="25">
        <f t="shared" si="401"/>
        <v>0</v>
      </c>
      <c r="Q191" s="118" t="e">
        <f t="shared" ref="Q191:Q193" si="402">((P191/G191)^(1/($H$2-$H$1) ))-1</f>
        <v>#DIV/0!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306</v>
      </c>
      <c r="C192" s="112" t="e">
        <f>C10/C12</f>
        <v>#DIV/0!</v>
      </c>
      <c r="D192" s="112" t="e">
        <f>D10/D12</f>
        <v>#DIV/0!</v>
      </c>
      <c r="E192" s="112" t="e">
        <f>E10/E12</f>
        <v>#DIV/0!</v>
      </c>
      <c r="F192" s="112" t="e">
        <f>F10/F12</f>
        <v>#DIV/0!</v>
      </c>
      <c r="G192" s="112">
        <f>G10/G12</f>
        <v>0</v>
      </c>
      <c r="H192" s="112">
        <f t="shared" ref="H192:P192" si="403">H10/H12</f>
        <v>0</v>
      </c>
      <c r="I192" s="112">
        <f t="shared" si="403"/>
        <v>0</v>
      </c>
      <c r="J192" s="112">
        <f t="shared" si="403"/>
        <v>0</v>
      </c>
      <c r="K192" s="112">
        <f t="shared" si="403"/>
        <v>0</v>
      </c>
      <c r="L192" s="112">
        <f t="shared" si="403"/>
        <v>0</v>
      </c>
      <c r="M192" s="112">
        <f t="shared" si="403"/>
        <v>0</v>
      </c>
      <c r="N192" s="112">
        <f t="shared" si="403"/>
        <v>0</v>
      </c>
      <c r="O192" s="112">
        <f t="shared" si="403"/>
        <v>0</v>
      </c>
      <c r="P192" s="112">
        <f t="shared" si="403"/>
        <v>0</v>
      </c>
      <c r="Q192" s="118" t="e">
        <f t="shared" si="402"/>
        <v>#DIV/0!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 t="s">
        <v>307</v>
      </c>
      <c r="C193" s="25" t="e">
        <f>C10/(C12+C13)</f>
        <v>#DIV/0!</v>
      </c>
      <c r="D193" s="25" t="e">
        <f>D10/(D12+D13)</f>
        <v>#DIV/0!</v>
      </c>
      <c r="E193" s="25" t="e">
        <f>E10/(E12+E13)</f>
        <v>#DIV/0!</v>
      </c>
      <c r="F193" s="25" t="e">
        <f>F10/(F12+F13)</f>
        <v>#DIV/0!</v>
      </c>
      <c r="G193" s="25">
        <f>G10/(G12+G13)</f>
        <v>0</v>
      </c>
      <c r="H193" s="25">
        <f t="shared" ref="H193:P193" si="404">H10/(H12+H13)</f>
        <v>0</v>
      </c>
      <c r="I193" s="25">
        <f t="shared" si="404"/>
        <v>0</v>
      </c>
      <c r="J193" s="25">
        <f t="shared" si="404"/>
        <v>0</v>
      </c>
      <c r="K193" s="25">
        <f t="shared" si="404"/>
        <v>0</v>
      </c>
      <c r="L193" s="25">
        <f t="shared" si="404"/>
        <v>0</v>
      </c>
      <c r="M193" s="25">
        <f t="shared" si="404"/>
        <v>0</v>
      </c>
      <c r="N193" s="25">
        <f t="shared" si="404"/>
        <v>0</v>
      </c>
      <c r="O193" s="25">
        <f t="shared" si="404"/>
        <v>0</v>
      </c>
      <c r="P193" s="25">
        <f t="shared" si="404"/>
        <v>0</v>
      </c>
      <c r="Q193" s="118" t="e">
        <f t="shared" si="402"/>
        <v>#DIV/0!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73" t="s">
        <v>377</v>
      </c>
      <c r="D196" s="174"/>
      <c r="E196" s="174"/>
      <c r="F196" s="174"/>
      <c r="G196" s="174"/>
      <c r="H196" s="174"/>
      <c r="I196" s="174"/>
      <c r="J196" s="174"/>
      <c r="K196" s="20"/>
      <c r="L196" s="196" t="s">
        <v>337</v>
      </c>
      <c r="M196" s="197"/>
      <c r="N196" s="198"/>
      <c r="O196" s="23" t="s">
        <v>340</v>
      </c>
      <c r="P196" s="20"/>
      <c r="Q196" s="196" t="s">
        <v>338</v>
      </c>
      <c r="R196" s="197"/>
      <c r="S196" s="198"/>
      <c r="T196" s="23" t="s">
        <v>340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5" t="s">
        <v>339</v>
      </c>
      <c r="D197" s="165" t="s">
        <v>0</v>
      </c>
      <c r="E197" s="165" t="s">
        <v>378</v>
      </c>
      <c r="F197" s="165" t="s">
        <v>379</v>
      </c>
      <c r="G197" s="165" t="s">
        <v>380</v>
      </c>
      <c r="H197" s="165" t="s">
        <v>381</v>
      </c>
      <c r="I197" s="165" t="s">
        <v>382</v>
      </c>
      <c r="J197" s="165" t="s">
        <v>383</v>
      </c>
      <c r="K197" s="20"/>
      <c r="L197" s="165" t="s">
        <v>339</v>
      </c>
      <c r="M197" s="165"/>
      <c r="N197" s="165" t="s">
        <v>0</v>
      </c>
      <c r="O197" s="165" t="s">
        <v>372</v>
      </c>
      <c r="P197" s="20"/>
      <c r="Q197" s="165" t="s">
        <v>339</v>
      </c>
      <c r="R197" s="165"/>
      <c r="S197" s="165" t="s">
        <v>0</v>
      </c>
      <c r="T197" s="165" t="s">
        <v>372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6" t="s">
        <v>341</v>
      </c>
      <c r="D198" s="21">
        <v>470</v>
      </c>
      <c r="E198" s="175" t="s">
        <v>384</v>
      </c>
      <c r="F198" s="22">
        <v>0</v>
      </c>
      <c r="G198" s="22">
        <v>1</v>
      </c>
      <c r="H198" s="166">
        <f>F198/G198</f>
        <v>0</v>
      </c>
      <c r="I198" s="166">
        <f>H198*D199</f>
        <v>0</v>
      </c>
      <c r="J198" s="176">
        <f>I198+D199</f>
        <v>1</v>
      </c>
      <c r="K198" s="20"/>
      <c r="L198" s="166" t="s">
        <v>341</v>
      </c>
      <c r="M198" s="166"/>
      <c r="N198" s="21">
        <v>45</v>
      </c>
      <c r="O198" s="172">
        <f>N198</f>
        <v>45</v>
      </c>
      <c r="P198" s="20"/>
      <c r="Q198" s="166" t="s">
        <v>341</v>
      </c>
      <c r="R198" s="166"/>
      <c r="S198" s="21">
        <v>1</v>
      </c>
      <c r="T198" s="172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6" t="s">
        <v>342</v>
      </c>
      <c r="D199" s="21">
        <v>1</v>
      </c>
      <c r="E199" s="175" t="s">
        <v>385</v>
      </c>
      <c r="F199" s="22">
        <v>0</v>
      </c>
      <c r="G199" s="22">
        <v>1</v>
      </c>
      <c r="H199" s="166">
        <f>F199/G199</f>
        <v>0</v>
      </c>
      <c r="I199" s="166">
        <f>H199*J198</f>
        <v>0</v>
      </c>
      <c r="J199" s="166">
        <f>I199+J198</f>
        <v>1</v>
      </c>
      <c r="K199" s="20"/>
      <c r="L199" s="166" t="s">
        <v>342</v>
      </c>
      <c r="M199" s="166"/>
      <c r="N199" s="21">
        <v>1</v>
      </c>
      <c r="O199" s="172">
        <f>N199</f>
        <v>1</v>
      </c>
      <c r="P199" s="20"/>
      <c r="Q199" s="166" t="s">
        <v>342</v>
      </c>
      <c r="R199" s="166"/>
      <c r="S199" s="21">
        <v>1</v>
      </c>
      <c r="T199" s="172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6" t="s">
        <v>344</v>
      </c>
      <c r="D200" s="167">
        <f>D198*D199</f>
        <v>470</v>
      </c>
      <c r="E200" s="175" t="s">
        <v>397</v>
      </c>
      <c r="F200" s="22">
        <v>0</v>
      </c>
      <c r="G200" s="22">
        <v>1</v>
      </c>
      <c r="H200" s="166">
        <f>F200/G200</f>
        <v>0</v>
      </c>
      <c r="I200" s="166">
        <f>H200*J199</f>
        <v>0</v>
      </c>
      <c r="J200" s="166">
        <f>I200+J199</f>
        <v>1</v>
      </c>
      <c r="K200" s="20"/>
      <c r="L200" s="166" t="s">
        <v>343</v>
      </c>
      <c r="M200" s="166"/>
      <c r="N200" s="167">
        <f>N198*N199</f>
        <v>45</v>
      </c>
      <c r="O200" s="172">
        <f>N200</f>
        <v>45</v>
      </c>
      <c r="P200" s="20"/>
      <c r="Q200" s="166" t="s">
        <v>344</v>
      </c>
      <c r="R200" s="166"/>
      <c r="S200" s="167">
        <f>S198*S199</f>
        <v>1</v>
      </c>
      <c r="T200" s="172">
        <f>S200</f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6"/>
      <c r="D201" s="167"/>
      <c r="E201" s="175" t="s">
        <v>386</v>
      </c>
      <c r="F201" s="22">
        <v>10</v>
      </c>
      <c r="G201" s="22">
        <v>1</v>
      </c>
      <c r="H201" s="166">
        <f>F201/G201</f>
        <v>10</v>
      </c>
      <c r="I201" s="166">
        <f>H201*J200</f>
        <v>10</v>
      </c>
      <c r="J201" s="166">
        <f>I201</f>
        <v>10</v>
      </c>
      <c r="K201" s="20"/>
      <c r="L201" s="166" t="s">
        <v>345</v>
      </c>
      <c r="M201" s="166"/>
      <c r="N201" s="21">
        <v>1100</v>
      </c>
      <c r="O201" s="21">
        <v>1200</v>
      </c>
      <c r="P201" s="20"/>
      <c r="Q201" s="166" t="s">
        <v>345</v>
      </c>
      <c r="R201" s="166"/>
      <c r="S201" s="21">
        <v>1</v>
      </c>
      <c r="T201" s="21"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6" t="s">
        <v>345</v>
      </c>
      <c r="D202" s="21">
        <v>1100</v>
      </c>
      <c r="E202" s="175"/>
      <c r="F202" s="166"/>
      <c r="G202" s="166"/>
      <c r="H202" s="168" t="s">
        <v>387</v>
      </c>
      <c r="I202" s="166"/>
      <c r="J202" s="166">
        <f>J201</f>
        <v>10</v>
      </c>
      <c r="K202" s="20"/>
      <c r="L202" s="166" t="s">
        <v>346</v>
      </c>
      <c r="M202" s="166"/>
      <c r="N202" s="167">
        <f>N201*N199</f>
        <v>1100</v>
      </c>
      <c r="O202" s="167">
        <f>O201*O199</f>
        <v>1200</v>
      </c>
      <c r="P202" s="20"/>
      <c r="Q202" s="166" t="s">
        <v>342</v>
      </c>
      <c r="R202" s="166"/>
      <c r="S202" s="21">
        <v>1</v>
      </c>
      <c r="T202" s="127">
        <f>S202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6" t="s">
        <v>342</v>
      </c>
      <c r="D203" s="21">
        <v>10</v>
      </c>
      <c r="E203" s="175" t="s">
        <v>386</v>
      </c>
      <c r="F203" s="22">
        <v>10</v>
      </c>
      <c r="G203" s="22">
        <v>2</v>
      </c>
      <c r="H203" s="166">
        <f>F203/G203</f>
        <v>5</v>
      </c>
      <c r="I203" s="176">
        <f>H203*D199</f>
        <v>5</v>
      </c>
      <c r="J203" s="176">
        <f>I203</f>
        <v>5</v>
      </c>
      <c r="K203" s="20"/>
      <c r="L203" s="166"/>
      <c r="M203" s="166"/>
      <c r="N203" s="167"/>
      <c r="O203" s="167"/>
      <c r="P203" s="20"/>
      <c r="Q203" s="166" t="s">
        <v>344</v>
      </c>
      <c r="R203" s="166"/>
      <c r="S203" s="167">
        <f>S202*S201</f>
        <v>1</v>
      </c>
      <c r="T203" s="167">
        <f>T202*T201</f>
        <v>1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6" t="s">
        <v>344</v>
      </c>
      <c r="D204" s="167">
        <f>D203*D202</f>
        <v>11000</v>
      </c>
      <c r="E204" s="166"/>
      <c r="F204" s="166"/>
      <c r="G204" s="166"/>
      <c r="H204" s="168" t="s">
        <v>387</v>
      </c>
      <c r="I204" s="166"/>
      <c r="J204" s="166">
        <f>J203</f>
        <v>5</v>
      </c>
      <c r="K204" s="20"/>
      <c r="L204" s="166"/>
      <c r="M204" s="166"/>
      <c r="N204" s="167"/>
      <c r="O204" s="167"/>
      <c r="P204" s="20"/>
      <c r="Q204" s="166"/>
      <c r="R204" s="166"/>
      <c r="S204" s="167"/>
      <c r="T204" s="167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6"/>
      <c r="D205" s="167"/>
      <c r="E205" s="175" t="s">
        <v>386</v>
      </c>
      <c r="F205" s="22">
        <v>10</v>
      </c>
      <c r="G205" s="22">
        <v>2</v>
      </c>
      <c r="H205" s="166">
        <f>F205/G205</f>
        <v>5</v>
      </c>
      <c r="I205" s="166">
        <f>H205*J204</f>
        <v>25</v>
      </c>
      <c r="J205" s="166">
        <f>I205</f>
        <v>25</v>
      </c>
      <c r="K205" s="20"/>
      <c r="L205" s="168" t="s">
        <v>347</v>
      </c>
      <c r="M205" s="168"/>
      <c r="N205" s="169">
        <f>N202/N200</f>
        <v>24.444444444444443</v>
      </c>
      <c r="O205" s="169">
        <f>O202/O200</f>
        <v>26.666666666666668</v>
      </c>
      <c r="P205" s="20"/>
      <c r="Q205" s="168" t="s">
        <v>347</v>
      </c>
      <c r="R205" s="168"/>
      <c r="S205" s="169">
        <f>S203/S200</f>
        <v>1</v>
      </c>
      <c r="T205" s="169">
        <f>T203/T200</f>
        <v>1</v>
      </c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168" t="s">
        <v>347</v>
      </c>
      <c r="D206" s="169">
        <f>D204/D200</f>
        <v>23.404255319148938</v>
      </c>
      <c r="E206" s="175"/>
      <c r="F206" s="166"/>
      <c r="G206" s="166"/>
      <c r="H206" s="168" t="s">
        <v>387</v>
      </c>
      <c r="I206" s="166"/>
      <c r="J206" s="166">
        <f>J205</f>
        <v>25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x14ac:dyDescent="0.2">
      <c r="B208" s="20"/>
      <c r="C208" s="20"/>
      <c r="D208" s="136"/>
      <c r="E208" s="177"/>
      <c r="F208" s="177"/>
      <c r="G208" s="178"/>
      <c r="H208" s="20"/>
      <c r="I208" s="136"/>
      <c r="J208" s="177"/>
      <c r="K208" s="178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ht="14.25" x14ac:dyDescent="0.2">
      <c r="B209" s="20"/>
      <c r="C209" s="20"/>
      <c r="D209" s="189" t="s">
        <v>27</v>
      </c>
      <c r="E209" s="190"/>
      <c r="F209" s="190"/>
      <c r="G209" s="191"/>
      <c r="H209" s="20"/>
      <c r="I209" s="189" t="s">
        <v>392</v>
      </c>
      <c r="J209" s="190"/>
      <c r="K209" s="191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28</v>
      </c>
      <c r="E210" s="127"/>
      <c r="F210" s="127"/>
      <c r="G210" s="21">
        <f>D200</f>
        <v>470</v>
      </c>
      <c r="H210" s="20"/>
      <c r="I210" s="20" t="s">
        <v>28</v>
      </c>
      <c r="J210" s="127"/>
      <c r="K210" s="21">
        <f>G210</f>
        <v>470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29</v>
      </c>
      <c r="E211" s="127"/>
      <c r="F211" s="127"/>
      <c r="G211" s="21">
        <f>D204</f>
        <v>11000</v>
      </c>
      <c r="H211" s="20"/>
      <c r="I211" s="20" t="s">
        <v>29</v>
      </c>
      <c r="J211" s="20"/>
      <c r="K211" s="21">
        <f>G211</f>
        <v>11000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0" t="s">
        <v>30</v>
      </c>
      <c r="E212" s="20"/>
      <c r="F212" s="20"/>
      <c r="G212" s="22">
        <v>1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31</v>
      </c>
      <c r="E213" s="3"/>
      <c r="F213" s="3"/>
      <c r="G213" s="3">
        <f>((G211/G210)^(1/G212))-1</f>
        <v>22.404255319148938</v>
      </c>
      <c r="H213" s="20"/>
      <c r="I213" s="23" t="s">
        <v>393</v>
      </c>
      <c r="J213" s="23"/>
      <c r="K213" s="23">
        <f>(K211-K210)/K210</f>
        <v>22.404255319148938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3" t="s">
        <v>32</v>
      </c>
      <c r="E214" s="164"/>
      <c r="F214" s="164"/>
      <c r="G214" s="24">
        <f>G212*12</f>
        <v>12</v>
      </c>
      <c r="H214" s="20"/>
      <c r="I214" s="23" t="s">
        <v>394</v>
      </c>
      <c r="J214" s="23"/>
      <c r="K214" s="23">
        <f>K211/K210</f>
        <v>23.404255319148938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0" t="s">
        <v>30</v>
      </c>
      <c r="E215" s="25"/>
      <c r="F215" s="25"/>
      <c r="G215" s="25">
        <f>G214/12</f>
        <v>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3" t="s">
        <v>33</v>
      </c>
      <c r="E216" s="3"/>
      <c r="F216" s="3"/>
      <c r="G216" s="3">
        <f>((G211/G210)^(1/G215))-1</f>
        <v>22.404255319148938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spans="2:31" x14ac:dyDescent="0.2">
      <c r="C218" s="20"/>
      <c r="D218" s="20"/>
      <c r="E218" s="20"/>
      <c r="F218" s="20"/>
      <c r="G218" s="20"/>
      <c r="H218" s="20"/>
      <c r="I218" s="20"/>
      <c r="J218" s="20"/>
      <c r="K218" s="20"/>
    </row>
  </sheetData>
  <mergeCells count="7">
    <mergeCell ref="D209:G209"/>
    <mergeCell ref="I209:K209"/>
    <mergeCell ref="AD2:AE2"/>
    <mergeCell ref="AD3:AE3"/>
    <mergeCell ref="L196:N196"/>
    <mergeCell ref="Q196:S196"/>
    <mergeCell ref="K179:L179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1" t="s">
        <v>27</v>
      </c>
      <c r="K5" s="201"/>
      <c r="M5" s="201" t="s">
        <v>65</v>
      </c>
      <c r="N5" s="20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1" t="s">
        <v>36</v>
      </c>
      <c r="K14" s="201"/>
      <c r="L14" s="20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1" t="s">
        <v>27</v>
      </c>
      <c r="S5" s="20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1" t="s">
        <v>36</v>
      </c>
      <c r="S14" s="201"/>
      <c r="T14" s="20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1" t="s">
        <v>27</v>
      </c>
      <c r="C2" s="201"/>
      <c r="E2" s="201" t="s">
        <v>65</v>
      </c>
      <c r="F2" s="201"/>
      <c r="H2" s="205" t="s">
        <v>36</v>
      </c>
      <c r="I2" s="20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2" t="s">
        <v>68</v>
      </c>
      <c r="E10" s="203"/>
      <c r="F10" s="203"/>
      <c r="G10" s="203"/>
      <c r="H10" s="204"/>
      <c r="I10" s="202" t="s">
        <v>72</v>
      </c>
      <c r="J10" s="203"/>
      <c r="K10" s="203"/>
      <c r="L10" s="20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2014-07-21T09:33:01Z</dcterms:modified>
</cp:coreProperties>
</file>